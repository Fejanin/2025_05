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codeName="ЭтаКнига" defaultThemeVersion="124226"/>
  <mc:AlternateContent xmlns:mc="http://schemas.openxmlformats.org/markup-compatibility/2006">
    <mc:Choice Requires="x15">
      <x15ac:absPath xmlns:x15ac="http://schemas.microsoft.com/office/spreadsheetml/2010/11/ac" url="C:\WORK\2025_05\2026\ЗАВОДЫ\Останкино\"/>
    </mc:Choice>
  </mc:AlternateContent>
  <xr:revisionPtr revIDLastSave="0" documentId="13_ncr:1_{9F36C4B3-BD0F-4995-97B9-E843D58E627F}" xr6:coauthVersionLast="45" xr6:coauthVersionMax="45" xr10:uidLastSave="{00000000-0000-0000-0000-000000000000}"/>
  <bookViews>
    <workbookView xWindow="-120" yWindow="-120" windowWidth="29040" windowHeight="15840" xr2:uid="{00000000-000D-0000-FFFF-FFFF00000000}"/>
  </bookViews>
  <sheets>
    <sheet name="КИ_ПФ" sheetId="1" r:id="rId1"/>
    <sheet name="справочники" sheetId="2" state="veryHidden" r:id="rId2"/>
    <sheet name="кратность" sheetId="9" state="veryHidden" r:id="rId3"/>
  </sheets>
  <externalReferences>
    <externalReference r:id="rId4"/>
  </externalReferences>
  <definedNames>
    <definedName name="_xlnm._FilterDatabase" localSheetId="0" hidden="1">КИ_ПФ!$A$2:$AO$821</definedName>
    <definedName name="_xlnm._FilterDatabase" localSheetId="2" hidden="1">кратность!$K$1:$L$341</definedName>
    <definedName name="вес_короба__кг">КИ_ПФ!$AH$3:$AH$821</definedName>
    <definedName name="высота__мм">КИ_ПФ!$AE$3:$AE$821</definedName>
    <definedName name="высота_поддона__мм">КИ_ПФ!#REF!</definedName>
    <definedName name="ГОСТ_23670_2019">#REF!</definedName>
    <definedName name="ГОСТ_31785_2012">#REF!</definedName>
    <definedName name="ГОСТ_32125_2013">#REF!</definedName>
    <definedName name="ГОСТ_32244_2013">#REF!</definedName>
    <definedName name="ГОСТ_Р_55455_2013">#REF!</definedName>
    <definedName name="ГОСТ_Р_55456_2013">#REF!</definedName>
    <definedName name="итого_г_у">КИ_ПФ!$AM$3:$AM$821</definedName>
    <definedName name="кол_во_инд.__упак_к">КИ_ПФ!$AF$3:$AF$821</definedName>
    <definedName name="Кол_во_коробок_на_поддоне">кратность!$H$2:$H$341</definedName>
    <definedName name="кол_во_слоев_г_у">КИ_ПФ!$AL$3:$AL$821</definedName>
    <definedName name="Кол_во_штук_в_коробе">кратность!$G$2:$G$341</definedName>
    <definedName name="Новая_кратность_короба__кг">кратность!$E$2:$E$341</definedName>
    <definedName name="номин.вес_брутто__кг">КИ_ПФ!$AB$3:$AB$821</definedName>
    <definedName name="номин.вес_нетто__кг">КИ_ПФ!$Z$3:$Z$821</definedName>
    <definedName name="номин.вес_нетто_г_у__кг">КИ_ПФ!$AI$3:$AI$821</definedName>
    <definedName name="_xlnm.Print_Area">#REF!</definedName>
    <definedName name="ТУ_10.13.14_130_00425283_2017">#REF!</definedName>
  </definedNames>
  <calcPr calcId="18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4" i="1" l="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436" i="1"/>
  <c r="A437" i="1"/>
  <c r="A438" i="1"/>
  <c r="A439" i="1"/>
  <c r="A440" i="1"/>
  <c r="A441" i="1"/>
  <c r="A442" i="1"/>
  <c r="A443" i="1"/>
  <c r="A444" i="1"/>
  <c r="A445" i="1"/>
  <c r="A446" i="1"/>
  <c r="A447" i="1"/>
  <c r="A448" i="1"/>
  <c r="A449" i="1"/>
  <c r="A450" i="1"/>
  <c r="A451" i="1"/>
  <c r="A452" i="1"/>
  <c r="A453" i="1"/>
  <c r="A454" i="1"/>
  <c r="A455" i="1"/>
  <c r="A456" i="1"/>
  <c r="A457" i="1"/>
  <c r="A458" i="1"/>
  <c r="A459" i="1"/>
  <c r="A460" i="1"/>
  <c r="A461" i="1"/>
  <c r="A462" i="1"/>
  <c r="A463" i="1"/>
  <c r="A464" i="1"/>
  <c r="A465" i="1"/>
  <c r="A466" i="1"/>
  <c r="A467" i="1"/>
  <c r="A468" i="1"/>
  <c r="A469" i="1"/>
  <c r="A470" i="1"/>
  <c r="A471" i="1"/>
  <c r="A472" i="1"/>
  <c r="A473" i="1"/>
  <c r="A474" i="1"/>
  <c r="A475" i="1"/>
  <c r="A476" i="1"/>
  <c r="A477" i="1"/>
  <c r="A478" i="1"/>
  <c r="A479" i="1"/>
  <c r="A480" i="1"/>
  <c r="A481" i="1"/>
  <c r="A482" i="1"/>
  <c r="A483" i="1"/>
  <c r="A484" i="1"/>
  <c r="A485" i="1"/>
  <c r="A486" i="1"/>
  <c r="A487" i="1"/>
  <c r="A488" i="1"/>
  <c r="A489" i="1"/>
  <c r="A490" i="1"/>
  <c r="A491" i="1"/>
  <c r="A492" i="1"/>
  <c r="A493" i="1"/>
  <c r="A494" i="1"/>
  <c r="A495" i="1"/>
  <c r="A496" i="1"/>
  <c r="A497" i="1"/>
  <c r="A498" i="1"/>
  <c r="A499" i="1"/>
  <c r="A500" i="1"/>
  <c r="A501" i="1"/>
  <c r="A502" i="1"/>
  <c r="A503" i="1"/>
  <c r="A504" i="1"/>
  <c r="A505" i="1"/>
  <c r="A506" i="1"/>
  <c r="A507" i="1"/>
  <c r="A508" i="1"/>
  <c r="A509" i="1"/>
  <c r="A510" i="1"/>
  <c r="A511" i="1"/>
  <c r="A512" i="1"/>
  <c r="A513" i="1"/>
  <c r="A514" i="1"/>
  <c r="A515" i="1"/>
  <c r="A516" i="1"/>
  <c r="A517" i="1"/>
  <c r="A518" i="1"/>
  <c r="A519" i="1"/>
  <c r="A520" i="1"/>
  <c r="A521" i="1"/>
  <c r="A522" i="1"/>
  <c r="A523" i="1"/>
  <c r="A524" i="1"/>
  <c r="A525" i="1"/>
  <c r="A526" i="1"/>
  <c r="A527" i="1"/>
  <c r="A528" i="1"/>
  <c r="A529" i="1"/>
  <c r="A530" i="1"/>
  <c r="A531" i="1"/>
  <c r="A532" i="1"/>
  <c r="A533" i="1"/>
  <c r="A534" i="1"/>
  <c r="A535" i="1"/>
  <c r="A536" i="1"/>
  <c r="A537" i="1"/>
  <c r="A538" i="1"/>
  <c r="A539" i="1"/>
  <c r="A540" i="1"/>
  <c r="A541" i="1"/>
  <c r="A542" i="1"/>
  <c r="A543" i="1"/>
  <c r="A544" i="1"/>
  <c r="A545" i="1"/>
  <c r="A546" i="1"/>
  <c r="A547" i="1"/>
  <c r="A548" i="1"/>
  <c r="A549" i="1"/>
  <c r="A550" i="1"/>
  <c r="A551" i="1"/>
  <c r="A552" i="1"/>
  <c r="A553" i="1"/>
  <c r="A554" i="1"/>
  <c r="A555" i="1"/>
  <c r="A556" i="1"/>
  <c r="A557" i="1"/>
  <c r="A558" i="1"/>
  <c r="A559" i="1"/>
  <c r="A560" i="1"/>
  <c r="A561" i="1"/>
  <c r="A562" i="1"/>
  <c r="A563" i="1"/>
  <c r="A564" i="1"/>
  <c r="A565" i="1"/>
  <c r="A566" i="1"/>
  <c r="A567" i="1"/>
  <c r="A568" i="1"/>
  <c r="A569" i="1"/>
  <c r="A570" i="1"/>
  <c r="A571" i="1"/>
  <c r="A572" i="1"/>
  <c r="A573" i="1"/>
  <c r="A574" i="1"/>
  <c r="A575" i="1"/>
  <c r="A576" i="1"/>
  <c r="A577" i="1"/>
  <c r="A578" i="1"/>
  <c r="A579" i="1"/>
  <c r="A580" i="1"/>
  <c r="A581" i="1"/>
  <c r="A582" i="1"/>
  <c r="A583" i="1"/>
  <c r="A584" i="1"/>
  <c r="A585" i="1"/>
  <c r="A586" i="1"/>
  <c r="A587" i="1"/>
  <c r="A588" i="1"/>
  <c r="A589" i="1"/>
  <c r="A590" i="1"/>
  <c r="A591" i="1"/>
  <c r="A592" i="1"/>
  <c r="A593" i="1"/>
  <c r="A594" i="1"/>
  <c r="A595" i="1"/>
  <c r="A596" i="1"/>
  <c r="A597" i="1"/>
  <c r="A598" i="1"/>
  <c r="A599" i="1"/>
  <c r="A600" i="1"/>
  <c r="A601" i="1"/>
  <c r="A602" i="1"/>
  <c r="A603" i="1"/>
  <c r="A604" i="1"/>
  <c r="A605" i="1"/>
  <c r="A606" i="1"/>
  <c r="A607" i="1"/>
  <c r="A608" i="1"/>
  <c r="A609" i="1"/>
  <c r="A610" i="1"/>
  <c r="A611" i="1"/>
  <c r="A612" i="1"/>
  <c r="A613" i="1"/>
  <c r="A614" i="1"/>
  <c r="A615" i="1"/>
  <c r="A616" i="1"/>
  <c r="A617" i="1"/>
  <c r="A618" i="1"/>
  <c r="A619" i="1"/>
  <c r="A620" i="1"/>
  <c r="A621" i="1"/>
  <c r="A622" i="1"/>
  <c r="A623" i="1"/>
  <c r="A624" i="1"/>
  <c r="A625" i="1"/>
  <c r="A626" i="1"/>
  <c r="A627" i="1"/>
  <c r="A628" i="1"/>
  <c r="A629" i="1"/>
  <c r="A630" i="1"/>
  <c r="A631" i="1"/>
  <c r="A632" i="1"/>
  <c r="A633" i="1"/>
  <c r="A634" i="1"/>
  <c r="A635" i="1"/>
  <c r="A636" i="1"/>
  <c r="A637" i="1"/>
  <c r="A638" i="1"/>
  <c r="A639" i="1"/>
  <c r="A640" i="1"/>
  <c r="A641" i="1"/>
  <c r="A642" i="1"/>
  <c r="A643" i="1"/>
  <c r="A644" i="1"/>
  <c r="A645" i="1"/>
  <c r="A646" i="1"/>
  <c r="A647" i="1"/>
  <c r="A648" i="1"/>
  <c r="A649" i="1"/>
  <c r="A650" i="1"/>
  <c r="A651" i="1"/>
  <c r="A652" i="1"/>
  <c r="A653" i="1"/>
  <c r="A654" i="1"/>
  <c r="A655" i="1"/>
  <c r="A656" i="1"/>
  <c r="A657" i="1"/>
  <c r="A658" i="1"/>
  <c r="A659" i="1"/>
  <c r="A660" i="1"/>
  <c r="A661" i="1"/>
  <c r="A662" i="1"/>
  <c r="A663" i="1"/>
  <c r="A664" i="1"/>
  <c r="A665" i="1"/>
  <c r="A666" i="1"/>
  <c r="A667" i="1"/>
  <c r="A668" i="1"/>
  <c r="A669" i="1"/>
  <c r="A670" i="1"/>
  <c r="A671" i="1"/>
  <c r="A672" i="1"/>
  <c r="A673" i="1"/>
  <c r="A674" i="1"/>
  <c r="A675" i="1"/>
  <c r="A676" i="1"/>
  <c r="A677" i="1"/>
  <c r="A678" i="1"/>
  <c r="A679" i="1"/>
  <c r="A680" i="1"/>
  <c r="A681" i="1"/>
  <c r="A682" i="1"/>
  <c r="A683" i="1"/>
  <c r="A684" i="1"/>
  <c r="A685" i="1"/>
  <c r="A686" i="1"/>
  <c r="A687" i="1"/>
  <c r="A688" i="1"/>
  <c r="A689" i="1"/>
  <c r="A690" i="1"/>
  <c r="A691" i="1"/>
  <c r="A692" i="1"/>
  <c r="A693" i="1"/>
  <c r="A694" i="1"/>
  <c r="A695" i="1"/>
  <c r="A696" i="1"/>
  <c r="A697" i="1"/>
  <c r="A698" i="1"/>
  <c r="A699" i="1"/>
  <c r="A700" i="1"/>
  <c r="A701" i="1"/>
  <c r="A702" i="1"/>
  <c r="A703" i="1"/>
  <c r="A704" i="1"/>
  <c r="A705" i="1"/>
  <c r="A706" i="1"/>
  <c r="A707" i="1"/>
  <c r="A708" i="1"/>
  <c r="A709" i="1"/>
  <c r="A710" i="1"/>
  <c r="A711" i="1"/>
  <c r="A712" i="1"/>
  <c r="A713" i="1"/>
  <c r="A714" i="1"/>
  <c r="A715" i="1"/>
  <c r="A716" i="1"/>
  <c r="A717" i="1"/>
  <c r="A718" i="1"/>
  <c r="A719" i="1"/>
  <c r="A720" i="1"/>
  <c r="A721" i="1"/>
  <c r="A722" i="1"/>
  <c r="A723" i="1"/>
  <c r="A724" i="1"/>
  <c r="A725" i="1"/>
  <c r="A726" i="1"/>
  <c r="A727" i="1"/>
  <c r="A728" i="1"/>
  <c r="A729" i="1"/>
  <c r="A730" i="1"/>
  <c r="A731" i="1"/>
  <c r="A732" i="1"/>
  <c r="A733" i="1"/>
  <c r="A734" i="1"/>
  <c r="A735" i="1"/>
  <c r="A736" i="1"/>
  <c r="A737" i="1"/>
  <c r="A738" i="1"/>
  <c r="A739" i="1"/>
  <c r="A740" i="1"/>
  <c r="A741" i="1"/>
  <c r="A742" i="1"/>
  <c r="A743" i="1"/>
  <c r="A744" i="1"/>
  <c r="A745" i="1"/>
  <c r="A746" i="1"/>
  <c r="A747" i="1"/>
  <c r="A748" i="1"/>
  <c r="A749" i="1"/>
  <c r="A750" i="1"/>
  <c r="A751" i="1"/>
  <c r="A752" i="1"/>
  <c r="A753" i="1"/>
  <c r="A754" i="1"/>
  <c r="A755" i="1"/>
  <c r="A756" i="1"/>
  <c r="A757" i="1"/>
  <c r="A758" i="1"/>
  <c r="A759" i="1"/>
  <c r="A760" i="1"/>
  <c r="A761" i="1"/>
  <c r="A762" i="1"/>
  <c r="A763" i="1"/>
  <c r="A764" i="1"/>
  <c r="A765" i="1"/>
  <c r="A766" i="1"/>
  <c r="A767" i="1"/>
  <c r="A768" i="1"/>
  <c r="A769" i="1"/>
  <c r="A770" i="1"/>
  <c r="A771" i="1"/>
  <c r="A772" i="1"/>
  <c r="A773" i="1"/>
  <c r="A774" i="1"/>
  <c r="A775" i="1"/>
  <c r="A776" i="1"/>
  <c r="A777" i="1"/>
  <c r="A778" i="1"/>
  <c r="A779" i="1"/>
  <c r="A780" i="1"/>
  <c r="A781" i="1"/>
  <c r="A782" i="1"/>
  <c r="A783" i="1"/>
  <c r="A784" i="1"/>
  <c r="A785" i="1"/>
  <c r="A786" i="1"/>
  <c r="A787" i="1"/>
  <c r="A788" i="1"/>
  <c r="A789" i="1"/>
  <c r="A790" i="1"/>
  <c r="A791" i="1"/>
  <c r="A792" i="1"/>
  <c r="A793" i="1"/>
  <c r="A794" i="1"/>
  <c r="A795" i="1"/>
  <c r="A796" i="1"/>
  <c r="A797" i="1"/>
  <c r="A798" i="1"/>
  <c r="A799" i="1"/>
  <c r="A800" i="1"/>
  <c r="A801" i="1"/>
  <c r="A802" i="1"/>
  <c r="A803" i="1"/>
  <c r="A804" i="1"/>
  <c r="A805" i="1"/>
  <c r="A806" i="1"/>
  <c r="A807" i="1"/>
  <c r="A808" i="1"/>
  <c r="A809" i="1"/>
  <c r="A810" i="1"/>
  <c r="A811" i="1"/>
  <c r="A812" i="1"/>
  <c r="A813" i="1"/>
  <c r="A814" i="1"/>
  <c r="A815" i="1"/>
  <c r="A816" i="1"/>
  <c r="A817" i="1"/>
  <c r="A818" i="1"/>
  <c r="A819" i="1"/>
  <c r="A820" i="1"/>
  <c r="A821" i="1"/>
  <c r="A3" i="1"/>
  <c r="I182" i="9" l="1"/>
  <c r="F182" i="9"/>
  <c r="AO474" i="1"/>
  <c r="AM474" i="1"/>
  <c r="AI474" i="1"/>
  <c r="AH474" i="1"/>
  <c r="AB474" i="1"/>
  <c r="AO281" i="1"/>
  <c r="AM281" i="1"/>
  <c r="AN281" i="1" s="1"/>
  <c r="AI281" i="1"/>
  <c r="AH281" i="1"/>
  <c r="AB281" i="1"/>
  <c r="AN474" i="1" l="1"/>
  <c r="K182" i="9" s="1"/>
  <c r="L182" i="9" s="1"/>
  <c r="AJ474" i="1"/>
  <c r="AJ281" i="1"/>
  <c r="AO784" i="1"/>
  <c r="AM784" i="1"/>
  <c r="AN784" i="1" s="1"/>
  <c r="AI784" i="1"/>
  <c r="AH784" i="1"/>
  <c r="AB784" i="1"/>
  <c r="AJ784" i="1" l="1"/>
  <c r="F228" i="9"/>
  <c r="I228" i="9" l="1"/>
  <c r="AO597" i="1"/>
  <c r="AM597" i="1"/>
  <c r="AI597" i="1"/>
  <c r="AH597" i="1"/>
  <c r="AB597" i="1"/>
  <c r="AH386" i="1"/>
  <c r="AO386" i="1"/>
  <c r="AM386" i="1"/>
  <c r="AN386" i="1" s="1"/>
  <c r="AI386" i="1"/>
  <c r="AB386" i="1"/>
  <c r="AO122" i="1"/>
  <c r="AM122" i="1"/>
  <c r="AN122" i="1" s="1"/>
  <c r="AI122" i="1"/>
  <c r="AH122" i="1"/>
  <c r="AB122" i="1"/>
  <c r="AO190" i="1"/>
  <c r="AM190" i="1"/>
  <c r="AN190" i="1" s="1"/>
  <c r="AI190" i="1"/>
  <c r="AH190" i="1"/>
  <c r="AB190" i="1"/>
  <c r="AO282" i="1"/>
  <c r="AM282" i="1"/>
  <c r="AN282" i="1" s="1"/>
  <c r="AI282" i="1"/>
  <c r="AH282" i="1"/>
  <c r="AB282" i="1"/>
  <c r="AJ597" i="1" l="1"/>
  <c r="AJ122" i="1"/>
  <c r="AN597" i="1"/>
  <c r="K228" i="9" s="1"/>
  <c r="L228" i="9" s="1"/>
  <c r="AJ386" i="1"/>
  <c r="AJ190" i="1"/>
  <c r="AJ282" i="1"/>
  <c r="AH592" i="1"/>
  <c r="AO592" i="1"/>
  <c r="AM592" i="1"/>
  <c r="AN592" i="1" s="1"/>
  <c r="AI592" i="1"/>
  <c r="AB592" i="1"/>
  <c r="AO513" i="1"/>
  <c r="AM513" i="1"/>
  <c r="AN513" i="1" s="1"/>
  <c r="AI513" i="1"/>
  <c r="AH513" i="1"/>
  <c r="AB513" i="1"/>
  <c r="AJ592" i="1" l="1"/>
  <c r="AJ513" i="1"/>
  <c r="AH542" i="1"/>
  <c r="AO542" i="1"/>
  <c r="AM542" i="1"/>
  <c r="AN542" i="1" s="1"/>
  <c r="AI542" i="1"/>
  <c r="AB542" i="1"/>
  <c r="I247" i="9"/>
  <c r="F247" i="9"/>
  <c r="AO624" i="1"/>
  <c r="AM624" i="1"/>
  <c r="AI624" i="1"/>
  <c r="AH624" i="1"/>
  <c r="AB624" i="1"/>
  <c r="I38" i="9"/>
  <c r="F38" i="9"/>
  <c r="AH562" i="1"/>
  <c r="AO562" i="1"/>
  <c r="AM562" i="1"/>
  <c r="AN562" i="1" s="1"/>
  <c r="AI562" i="1"/>
  <c r="AB562" i="1"/>
  <c r="AO193" i="1"/>
  <c r="AM193" i="1"/>
  <c r="AN193" i="1" s="1"/>
  <c r="AI193" i="1"/>
  <c r="AH193" i="1"/>
  <c r="AB193" i="1"/>
  <c r="AH352" i="1"/>
  <c r="AO352" i="1"/>
  <c r="AM352" i="1"/>
  <c r="AN352" i="1" s="1"/>
  <c r="AI352" i="1"/>
  <c r="AB352" i="1"/>
  <c r="AN624" i="1" l="1"/>
  <c r="K247" i="9" s="1"/>
  <c r="L247" i="9" s="1"/>
  <c r="AJ193" i="1"/>
  <c r="AJ624" i="1"/>
  <c r="AJ542" i="1"/>
  <c r="AJ562" i="1"/>
  <c r="AJ352" i="1"/>
  <c r="AB62" i="1" l="1"/>
  <c r="AO62" i="1"/>
  <c r="AI62" i="1"/>
  <c r="AM62" i="1"/>
  <c r="AH62" i="1"/>
  <c r="AJ62" i="1" s="1"/>
  <c r="I101" i="9"/>
  <c r="F101" i="9"/>
  <c r="AH227" i="1"/>
  <c r="AN62" i="1" l="1"/>
  <c r="K38" i="9" s="1"/>
  <c r="L38" i="9" s="1"/>
  <c r="AO227" i="1"/>
  <c r="AM227" i="1"/>
  <c r="AI227" i="1"/>
  <c r="AB227" i="1"/>
  <c r="AJ227" i="1" s="1"/>
  <c r="AN227" i="1" l="1"/>
  <c r="K101" i="9" s="1"/>
  <c r="L101" i="9" s="1"/>
  <c r="I155" i="9"/>
  <c r="F155" i="9"/>
  <c r="AH421" i="1"/>
  <c r="AO421" i="1"/>
  <c r="AM421" i="1"/>
  <c r="AI421" i="1"/>
  <c r="AB421" i="1"/>
  <c r="AJ421" i="1" s="1"/>
  <c r="AH334" i="1"/>
  <c r="AO334" i="1"/>
  <c r="AM334" i="1"/>
  <c r="AN334" i="1" s="1"/>
  <c r="AI334" i="1"/>
  <c r="AB334" i="1"/>
  <c r="AN421" i="1" l="1"/>
  <c r="K155" i="9" s="1"/>
  <c r="L155" i="9" s="1"/>
  <c r="AJ334" i="1"/>
  <c r="AH311" i="1"/>
  <c r="AH238" i="1"/>
  <c r="AH325" i="1"/>
  <c r="AH366" i="1"/>
  <c r="AH331" i="1"/>
  <c r="AH328" i="1"/>
  <c r="AH347" i="1" l="1"/>
  <c r="AO347" i="1"/>
  <c r="AM347" i="1"/>
  <c r="AN347" i="1" s="1"/>
  <c r="AI347" i="1"/>
  <c r="AB347" i="1"/>
  <c r="AJ347" i="1" s="1"/>
  <c r="AH570" i="1" l="1"/>
  <c r="AH348" i="1" l="1"/>
  <c r="AH341" i="1" l="1"/>
  <c r="AH346" i="1"/>
  <c r="AO560" i="1"/>
  <c r="AI560" i="1"/>
  <c r="AH560" i="1"/>
  <c r="AM560" i="1"/>
  <c r="AN560" i="1" s="1"/>
  <c r="AB560" i="1"/>
  <c r="AJ560" i="1" l="1"/>
  <c r="AH535" i="1"/>
  <c r="AO535" i="1"/>
  <c r="AM535" i="1"/>
  <c r="AN535" i="1" s="1"/>
  <c r="AI535" i="1"/>
  <c r="AB535" i="1"/>
  <c r="AJ535" i="1" s="1"/>
  <c r="AH579" i="1"/>
  <c r="AO579" i="1"/>
  <c r="AM579" i="1"/>
  <c r="AN579" i="1" s="1"/>
  <c r="AI579" i="1"/>
  <c r="AB579" i="1"/>
  <c r="AO348" i="1"/>
  <c r="AM348" i="1"/>
  <c r="AN348" i="1" s="1"/>
  <c r="AI348" i="1"/>
  <c r="AB348" i="1"/>
  <c r="AO118" i="1"/>
  <c r="AM118" i="1"/>
  <c r="AN118" i="1" s="1"/>
  <c r="AI118" i="1"/>
  <c r="AH118" i="1"/>
  <c r="AB118" i="1"/>
  <c r="AH152" i="1"/>
  <c r="AO152" i="1"/>
  <c r="AM152" i="1"/>
  <c r="AN152" i="1" s="1"/>
  <c r="AI152" i="1"/>
  <c r="AB152" i="1"/>
  <c r="I71" i="9"/>
  <c r="F71" i="9"/>
  <c r="AH136" i="1"/>
  <c r="AJ579" i="1" l="1"/>
  <c r="AJ348" i="1"/>
  <c r="AJ118" i="1"/>
  <c r="AJ152" i="1"/>
  <c r="AO136" i="1"/>
  <c r="AM136" i="1"/>
  <c r="AI136" i="1"/>
  <c r="AB136" i="1"/>
  <c r="AJ136" i="1" s="1"/>
  <c r="AN136" i="1" l="1"/>
  <c r="K71" i="9" s="1"/>
  <c r="L71" i="9" s="1"/>
  <c r="AH339" i="1"/>
  <c r="AO339" i="1"/>
  <c r="AM339" i="1"/>
  <c r="AN339" i="1" s="1"/>
  <c r="AI339" i="1"/>
  <c r="AB339" i="1"/>
  <c r="AJ339" i="1" s="1"/>
  <c r="AO295" i="1"/>
  <c r="AM295" i="1"/>
  <c r="AN295" i="1" s="1"/>
  <c r="AI295" i="1"/>
  <c r="AH295" i="1"/>
  <c r="AB295" i="1"/>
  <c r="AJ295" i="1" l="1"/>
  <c r="AO156" i="1" l="1"/>
  <c r="AM156" i="1"/>
  <c r="AN156" i="1" s="1"/>
  <c r="AI156" i="1"/>
  <c r="AH156" i="1"/>
  <c r="AB156" i="1"/>
  <c r="AH155" i="1"/>
  <c r="AO155" i="1"/>
  <c r="AM155" i="1"/>
  <c r="AN155" i="1" s="1"/>
  <c r="AI155" i="1"/>
  <c r="AB155" i="1"/>
  <c r="AH154" i="1"/>
  <c r="AO154" i="1"/>
  <c r="AM154" i="1"/>
  <c r="AN154" i="1" s="1"/>
  <c r="AI154" i="1"/>
  <c r="AB154" i="1"/>
  <c r="AO153" i="1"/>
  <c r="AM153" i="1"/>
  <c r="AN153" i="1" s="1"/>
  <c r="AI153" i="1"/>
  <c r="AH153" i="1"/>
  <c r="AB153" i="1"/>
  <c r="AO550" i="1"/>
  <c r="AM550" i="1"/>
  <c r="AN550" i="1" s="1"/>
  <c r="AI550" i="1"/>
  <c r="AH550" i="1"/>
  <c r="AB550" i="1"/>
  <c r="AJ156" i="1" l="1"/>
  <c r="AJ153" i="1"/>
  <c r="AJ154" i="1"/>
  <c r="AJ155" i="1"/>
  <c r="AJ550" i="1"/>
  <c r="AH322" i="1"/>
  <c r="AO224" i="1" l="1"/>
  <c r="AM224" i="1"/>
  <c r="AN224" i="1" s="1"/>
  <c r="AI224" i="1"/>
  <c r="AH224" i="1"/>
  <c r="AB224" i="1"/>
  <c r="AO223" i="1"/>
  <c r="AM223" i="1"/>
  <c r="AN223" i="1" s="1"/>
  <c r="AI223" i="1"/>
  <c r="AH223" i="1"/>
  <c r="AB223" i="1"/>
  <c r="AJ224" i="1" l="1"/>
  <c r="AJ223" i="1"/>
  <c r="AH222" i="1"/>
  <c r="AO222" i="1"/>
  <c r="AM222" i="1"/>
  <c r="AN222" i="1" s="1"/>
  <c r="AI222" i="1"/>
  <c r="AB222" i="1"/>
  <c r="AO283" i="1"/>
  <c r="AM283" i="1"/>
  <c r="AN283" i="1" s="1"/>
  <c r="AI283" i="1"/>
  <c r="AH283" i="1"/>
  <c r="AB283" i="1"/>
  <c r="AJ222" i="1" l="1"/>
  <c r="AJ283" i="1"/>
  <c r="I21" i="9"/>
  <c r="F21" i="9"/>
  <c r="AO35" i="1"/>
  <c r="AM35" i="1"/>
  <c r="AI35" i="1"/>
  <c r="AH35" i="1"/>
  <c r="AB35" i="1"/>
  <c r="AJ35" i="1" l="1"/>
  <c r="AN35" i="1"/>
  <c r="K21" i="9" s="1"/>
  <c r="L21" i="9" s="1"/>
  <c r="AH412" i="1"/>
  <c r="AH508" i="1" l="1"/>
  <c r="AH324" i="1" l="1"/>
  <c r="AH319" i="1"/>
  <c r="AH591" i="1" l="1"/>
  <c r="AH557" i="1"/>
  <c r="AO557" i="1"/>
  <c r="AM557" i="1"/>
  <c r="AN557" i="1" s="1"/>
  <c r="AI557" i="1"/>
  <c r="AB557" i="1"/>
  <c r="I142" i="9"/>
  <c r="F142" i="9"/>
  <c r="AO392" i="1"/>
  <c r="AM392" i="1"/>
  <c r="AI392" i="1"/>
  <c r="AH392" i="1"/>
  <c r="AB392" i="1"/>
  <c r="AJ392" i="1" l="1"/>
  <c r="AN392" i="1"/>
  <c r="K142" i="9" s="1"/>
  <c r="L142" i="9" s="1"/>
  <c r="AJ557" i="1"/>
  <c r="AH143" i="1"/>
  <c r="AH147" i="1"/>
  <c r="I185" i="9" l="1"/>
  <c r="F185" i="9"/>
  <c r="AH480" i="1"/>
  <c r="AO480" i="1"/>
  <c r="AM480" i="1"/>
  <c r="AI480" i="1"/>
  <c r="AB480" i="1"/>
  <c r="AN480" i="1" l="1"/>
  <c r="K185" i="9" s="1"/>
  <c r="L185" i="9" s="1"/>
  <c r="AJ480" i="1"/>
  <c r="AH145" i="1"/>
  <c r="AH146" i="1"/>
  <c r="I131" i="9" l="1"/>
  <c r="F131" i="9"/>
  <c r="AO349" i="1"/>
  <c r="AM349" i="1"/>
  <c r="AH349" i="1"/>
  <c r="AH149" i="1" l="1"/>
  <c r="AH150" i="1"/>
  <c r="AH144" i="1" l="1"/>
  <c r="AO144" i="1"/>
  <c r="AM144" i="1"/>
  <c r="AN144" i="1" s="1"/>
  <c r="AI144" i="1"/>
  <c r="AB144" i="1"/>
  <c r="AJ144" i="1" l="1"/>
  <c r="AH360" i="1"/>
  <c r="AO360" i="1"/>
  <c r="AM360" i="1"/>
  <c r="AN360" i="1" s="1"/>
  <c r="AI360" i="1"/>
  <c r="AB360" i="1"/>
  <c r="AJ360" i="1" l="1"/>
  <c r="AO524" i="1"/>
  <c r="AM524" i="1"/>
  <c r="AN524" i="1" s="1"/>
  <c r="AI524" i="1"/>
  <c r="AH524" i="1"/>
  <c r="AB524" i="1"/>
  <c r="AO525" i="1"/>
  <c r="AM525" i="1"/>
  <c r="AN525" i="1" s="1"/>
  <c r="AI525" i="1"/>
  <c r="AH525" i="1"/>
  <c r="AB525" i="1"/>
  <c r="AH115" i="1"/>
  <c r="AO115" i="1"/>
  <c r="AM115" i="1"/>
  <c r="AN115" i="1" s="1"/>
  <c r="AI115" i="1"/>
  <c r="AB115" i="1"/>
  <c r="F96" i="9"/>
  <c r="AI186" i="1" s="1"/>
  <c r="I96" i="9"/>
  <c r="AO186" i="1"/>
  <c r="AM186" i="1"/>
  <c r="AH186" i="1"/>
  <c r="AO328" i="1"/>
  <c r="AM328" i="1"/>
  <c r="AN328" i="1" s="1"/>
  <c r="AI328" i="1"/>
  <c r="AB328" i="1"/>
  <c r="AJ115" i="1" l="1"/>
  <c r="AJ328" i="1"/>
  <c r="AJ524" i="1"/>
  <c r="AJ525" i="1"/>
  <c r="AB186" i="1"/>
  <c r="AJ186" i="1" s="1"/>
  <c r="AN186" i="1"/>
  <c r="AH336" i="1"/>
  <c r="AO336" i="1"/>
  <c r="AM336" i="1"/>
  <c r="AN336" i="1" s="1"/>
  <c r="AI336" i="1"/>
  <c r="AB336" i="1"/>
  <c r="AJ336" i="1" s="1"/>
  <c r="K96" i="9" l="1"/>
  <c r="L96" i="9" s="1"/>
  <c r="AO241" i="1"/>
  <c r="AM241" i="1"/>
  <c r="AN241" i="1" s="1"/>
  <c r="AI241" i="1"/>
  <c r="AH241" i="1"/>
  <c r="AB241" i="1"/>
  <c r="AO311" i="1"/>
  <c r="AM311" i="1"/>
  <c r="AN311" i="1" s="1"/>
  <c r="AI311" i="1"/>
  <c r="AB311" i="1"/>
  <c r="AO238" i="1"/>
  <c r="AM238" i="1"/>
  <c r="AN238" i="1" s="1"/>
  <c r="AI238" i="1"/>
  <c r="AB238" i="1"/>
  <c r="AJ238" i="1" l="1"/>
  <c r="AJ311" i="1"/>
  <c r="AJ241" i="1"/>
  <c r="AO213" i="1"/>
  <c r="AM213" i="1"/>
  <c r="AN213" i="1" s="1"/>
  <c r="AI213" i="1"/>
  <c r="AH213" i="1"/>
  <c r="AB213" i="1"/>
  <c r="AO212" i="1"/>
  <c r="AM212" i="1"/>
  <c r="AN212" i="1" s="1"/>
  <c r="AI212" i="1"/>
  <c r="AH212" i="1"/>
  <c r="AB212" i="1"/>
  <c r="AJ212" i="1" l="1"/>
  <c r="AJ213" i="1"/>
  <c r="AH595" i="1"/>
  <c r="AH577" i="1" l="1"/>
  <c r="AO577" i="1"/>
  <c r="AM577" i="1"/>
  <c r="AN577" i="1" s="1"/>
  <c r="AI577" i="1"/>
  <c r="AB577" i="1"/>
  <c r="AJ577" i="1" l="1"/>
  <c r="AH361" i="1"/>
  <c r="AO361" i="1"/>
  <c r="AM361" i="1"/>
  <c r="AN361" i="1" s="1"/>
  <c r="AI361" i="1"/>
  <c r="AB361" i="1"/>
  <c r="AJ361" i="1" l="1"/>
  <c r="I241" i="9"/>
  <c r="F241" i="9"/>
  <c r="AO615" i="1"/>
  <c r="AM615" i="1"/>
  <c r="AH615" i="1"/>
  <c r="AO70" i="1" l="1"/>
  <c r="AM70" i="1"/>
  <c r="AN70" i="1" s="1"/>
  <c r="AI70" i="1"/>
  <c r="AH70" i="1"/>
  <c r="AB70" i="1"/>
  <c r="AO402" i="1"/>
  <c r="AM402" i="1"/>
  <c r="AH402" i="1"/>
  <c r="AI402" i="1"/>
  <c r="AO487" i="1"/>
  <c r="AM487" i="1"/>
  <c r="AH487" i="1"/>
  <c r="AI487" i="1"/>
  <c r="AH226" i="1"/>
  <c r="I100" i="9"/>
  <c r="F100" i="9"/>
  <c r="AO226" i="1"/>
  <c r="AM226" i="1"/>
  <c r="AO366" i="1"/>
  <c r="AM366" i="1"/>
  <c r="AN366" i="1" s="1"/>
  <c r="AI366" i="1"/>
  <c r="AB366" i="1"/>
  <c r="AO331" i="1"/>
  <c r="AM331" i="1"/>
  <c r="AN331" i="1" s="1"/>
  <c r="AI331" i="1"/>
  <c r="AB331" i="1"/>
  <c r="AJ366" i="1" l="1"/>
  <c r="AN402" i="1"/>
  <c r="AN487" i="1"/>
  <c r="AJ70" i="1"/>
  <c r="AB402" i="1"/>
  <c r="AJ402" i="1" s="1"/>
  <c r="AB487" i="1"/>
  <c r="AJ487" i="1" s="1"/>
  <c r="AJ331" i="1"/>
  <c r="AO265" i="1"/>
  <c r="AM265" i="1"/>
  <c r="AN265" i="1" s="1"/>
  <c r="AI265" i="1"/>
  <c r="AH265" i="1"/>
  <c r="AB265" i="1"/>
  <c r="AJ265" i="1" l="1"/>
  <c r="AH698" i="1"/>
  <c r="AO698" i="1" l="1"/>
  <c r="AM698" i="1"/>
  <c r="AN698" i="1" s="1"/>
  <c r="AI698" i="1"/>
  <c r="AB698" i="1"/>
  <c r="AJ698" i="1" s="1"/>
  <c r="I57" i="9" l="1"/>
  <c r="F57" i="9"/>
  <c r="AO103" i="1"/>
  <c r="AM103" i="1"/>
  <c r="AH103" i="1"/>
  <c r="AH329" i="1" l="1"/>
  <c r="AH332" i="1"/>
  <c r="I148" i="9"/>
  <c r="F148" i="9"/>
  <c r="AO403" i="1"/>
  <c r="AM403" i="1"/>
  <c r="AH28" i="1"/>
  <c r="AO28" i="1"/>
  <c r="AM28" i="1"/>
  <c r="AI28" i="1"/>
  <c r="AB28" i="1"/>
  <c r="AJ28" i="1" l="1"/>
  <c r="AN28" i="1"/>
  <c r="AH371" i="1"/>
  <c r="AH117" i="1" l="1"/>
  <c r="AO117" i="1"/>
  <c r="AM117" i="1"/>
  <c r="AN117" i="1" s="1"/>
  <c r="AI117" i="1"/>
  <c r="AB117" i="1"/>
  <c r="AB403" i="1" l="1"/>
  <c r="AJ403" i="1" s="1"/>
  <c r="AI403" i="1"/>
  <c r="AN403" i="1" s="1"/>
  <c r="AJ117" i="1"/>
  <c r="I53" i="9"/>
  <c r="F53" i="9"/>
  <c r="AO90" i="1"/>
  <c r="AM90" i="1"/>
  <c r="AH90" i="1"/>
  <c r="I20" i="9"/>
  <c r="F20" i="9"/>
  <c r="AO34" i="1"/>
  <c r="AM34" i="1"/>
  <c r="AH34" i="1"/>
  <c r="AO197" i="1"/>
  <c r="AM197" i="1"/>
  <c r="AN197" i="1" s="1"/>
  <c r="AI197" i="1"/>
  <c r="AH197" i="1"/>
  <c r="AB197" i="1"/>
  <c r="AO325" i="1"/>
  <c r="AM325" i="1"/>
  <c r="AN325" i="1" s="1"/>
  <c r="AI325" i="1"/>
  <c r="AB325" i="1"/>
  <c r="AH318" i="1"/>
  <c r="AO318" i="1"/>
  <c r="AM318" i="1"/>
  <c r="AN318" i="1" s="1"/>
  <c r="AI318" i="1"/>
  <c r="AB318" i="1"/>
  <c r="K148" i="9" l="1"/>
  <c r="L148" i="9" s="1"/>
  <c r="AJ197" i="1"/>
  <c r="AJ325" i="1"/>
  <c r="AJ318" i="1"/>
  <c r="I321" i="9"/>
  <c r="F321" i="9"/>
  <c r="AO766" i="1"/>
  <c r="AM766" i="1"/>
  <c r="AH766" i="1"/>
  <c r="AO537" i="1"/>
  <c r="AM537" i="1"/>
  <c r="AN537" i="1" s="1"/>
  <c r="AI537" i="1"/>
  <c r="AH537" i="1"/>
  <c r="AB537" i="1"/>
  <c r="AJ537" i="1" l="1"/>
  <c r="AO570" i="1" l="1"/>
  <c r="AM570" i="1"/>
  <c r="AN570" i="1" s="1"/>
  <c r="AI570" i="1"/>
  <c r="AB570" i="1"/>
  <c r="AJ570" i="1" s="1"/>
  <c r="AO651" i="1" l="1"/>
  <c r="AM651" i="1"/>
  <c r="AN651" i="1" s="1"/>
  <c r="AI651" i="1"/>
  <c r="AH651" i="1"/>
  <c r="AB651" i="1"/>
  <c r="I291" i="9"/>
  <c r="F291" i="9"/>
  <c r="AO736" i="1"/>
  <c r="AM736" i="1"/>
  <c r="AH736" i="1"/>
  <c r="I279" i="9"/>
  <c r="F279" i="9"/>
  <c r="AO724" i="1"/>
  <c r="AM724" i="1"/>
  <c r="AH724" i="1"/>
  <c r="I334" i="9"/>
  <c r="F334" i="9"/>
  <c r="AO796" i="1"/>
  <c r="AM796" i="1"/>
  <c r="AH796" i="1"/>
  <c r="I51" i="9"/>
  <c r="F51" i="9"/>
  <c r="AO88" i="1"/>
  <c r="AM88" i="1"/>
  <c r="AH88" i="1"/>
  <c r="AJ651" i="1" l="1"/>
  <c r="AI644" i="1"/>
  <c r="AH644" i="1"/>
  <c r="AO644" i="1"/>
  <c r="AM644" i="1"/>
  <c r="AN644" i="1" s="1"/>
  <c r="AB644" i="1"/>
  <c r="AJ644" i="1" l="1"/>
  <c r="AH314" i="1"/>
  <c r="AH10" i="1"/>
  <c r="AH84" i="1"/>
  <c r="AH4" i="1"/>
  <c r="AH20" i="1"/>
  <c r="AH584" i="1" l="1"/>
  <c r="I224" i="9"/>
  <c r="F224" i="9"/>
  <c r="AO588" i="1"/>
  <c r="AM588" i="1"/>
  <c r="AH588" i="1"/>
  <c r="AH337" i="1" l="1"/>
  <c r="AO337" i="1"/>
  <c r="AM337" i="1"/>
  <c r="AN337" i="1" s="1"/>
  <c r="AI337" i="1"/>
  <c r="AB337" i="1"/>
  <c r="I97" i="9"/>
  <c r="F97" i="9"/>
  <c r="AO198" i="1"/>
  <c r="AM198" i="1"/>
  <c r="AH198" i="1"/>
  <c r="AH629" i="1"/>
  <c r="AO629" i="1"/>
  <c r="AM629" i="1"/>
  <c r="AN629" i="1" s="1"/>
  <c r="AI629" i="1"/>
  <c r="AB629" i="1"/>
  <c r="I10" i="9"/>
  <c r="F10" i="9"/>
  <c r="AH18" i="1"/>
  <c r="AO18" i="1"/>
  <c r="AM18" i="1"/>
  <c r="I15" i="9"/>
  <c r="F15" i="9"/>
  <c r="AO25" i="1"/>
  <c r="AM25" i="1"/>
  <c r="AH25" i="1"/>
  <c r="I50" i="9"/>
  <c r="F50" i="9"/>
  <c r="AO87" i="1"/>
  <c r="AM87" i="1"/>
  <c r="AH87" i="1"/>
  <c r="I305" i="9"/>
  <c r="F305" i="9"/>
  <c r="AO750" i="1"/>
  <c r="AM750" i="1"/>
  <c r="AH750" i="1"/>
  <c r="I300" i="9"/>
  <c r="F300" i="9"/>
  <c r="AO745" i="1"/>
  <c r="AM745" i="1"/>
  <c r="AH745" i="1"/>
  <c r="I297" i="9"/>
  <c r="F297" i="9"/>
  <c r="AO742" i="1"/>
  <c r="AM742" i="1"/>
  <c r="AH742" i="1"/>
  <c r="I322" i="9"/>
  <c r="F322" i="9"/>
  <c r="AO767" i="1"/>
  <c r="AM767" i="1"/>
  <c r="AH767" i="1"/>
  <c r="I313" i="9"/>
  <c r="F313" i="9"/>
  <c r="AO758" i="1"/>
  <c r="AM758" i="1"/>
  <c r="AH758" i="1"/>
  <c r="AJ337" i="1" l="1"/>
  <c r="AJ629" i="1"/>
  <c r="I92" i="9"/>
  <c r="F92" i="9"/>
  <c r="AO174" i="1"/>
  <c r="AM174" i="1"/>
  <c r="AH174" i="1"/>
  <c r="AB88" i="1" l="1"/>
  <c r="AJ88" i="1" s="1"/>
  <c r="AI88" i="1"/>
  <c r="AN88" i="1" s="1"/>
  <c r="I238" i="9"/>
  <c r="F238" i="9"/>
  <c r="K51" i="9" l="1"/>
  <c r="L51" i="9" s="1"/>
  <c r="AH272" i="1"/>
  <c r="AO272" i="1"/>
  <c r="AM272" i="1"/>
  <c r="AN272" i="1" s="1"/>
  <c r="AI272" i="1"/>
  <c r="AB272" i="1"/>
  <c r="AH204" i="1"/>
  <c r="AO204" i="1"/>
  <c r="AM204" i="1"/>
  <c r="AN204" i="1" s="1"/>
  <c r="AI204" i="1"/>
  <c r="AB204" i="1"/>
  <c r="AJ204" i="1" l="1"/>
  <c r="AJ272" i="1"/>
  <c r="AH610" i="1"/>
  <c r="AO610" i="1"/>
  <c r="AM610" i="1"/>
  <c r="AH405" i="1"/>
  <c r="AO405" i="1"/>
  <c r="AM405" i="1"/>
  <c r="AN405" i="1" s="1"/>
  <c r="AI405" i="1"/>
  <c r="AB405" i="1"/>
  <c r="AH424" i="1"/>
  <c r="AO424" i="1"/>
  <c r="AM424" i="1"/>
  <c r="AN424" i="1" s="1"/>
  <c r="AI424" i="1"/>
  <c r="AB424" i="1"/>
  <c r="AJ424" i="1" s="1"/>
  <c r="AH573" i="1"/>
  <c r="AO573" i="1"/>
  <c r="AM573" i="1"/>
  <c r="AN573" i="1" s="1"/>
  <c r="AI573" i="1"/>
  <c r="AB573" i="1"/>
  <c r="AJ405" i="1" l="1"/>
  <c r="AJ573" i="1"/>
  <c r="I236" i="9"/>
  <c r="F236" i="9"/>
  <c r="AH608" i="1"/>
  <c r="AO608" i="1"/>
  <c r="AM608" i="1"/>
  <c r="I230" i="9"/>
  <c r="F230" i="9"/>
  <c r="AH602" i="1"/>
  <c r="AO602" i="1"/>
  <c r="AM602" i="1"/>
  <c r="I234" i="9"/>
  <c r="F234" i="9"/>
  <c r="AH606" i="1"/>
  <c r="AO606" i="1"/>
  <c r="AM606" i="1"/>
  <c r="I232" i="9"/>
  <c r="F232" i="9"/>
  <c r="AH604" i="1"/>
  <c r="AO604" i="1"/>
  <c r="AM604" i="1"/>
  <c r="I6" i="9"/>
  <c r="F6" i="9"/>
  <c r="AO10" i="1"/>
  <c r="AM10" i="1"/>
  <c r="I3" i="9"/>
  <c r="F3" i="9"/>
  <c r="AO4" i="1"/>
  <c r="AM4" i="1"/>
  <c r="I12" i="9"/>
  <c r="F12" i="9"/>
  <c r="AO20" i="1"/>
  <c r="AM20" i="1"/>
  <c r="AH135" i="1"/>
  <c r="AO135" i="1"/>
  <c r="AM135" i="1"/>
  <c r="AN135" i="1" s="1"/>
  <c r="AI135" i="1"/>
  <c r="AB135" i="1"/>
  <c r="AJ135" i="1" l="1"/>
  <c r="AH40" i="1" l="1"/>
  <c r="AH38" i="1"/>
  <c r="I25" i="9"/>
  <c r="I23" i="9"/>
  <c r="F25" i="9"/>
  <c r="F23" i="9"/>
  <c r="AO40" i="1"/>
  <c r="AM40" i="1"/>
  <c r="AO38" i="1"/>
  <c r="AM38" i="1"/>
  <c r="I48" i="9"/>
  <c r="F48" i="9"/>
  <c r="AO84" i="1"/>
  <c r="AM84" i="1"/>
  <c r="AH612" i="1"/>
  <c r="AO612" i="1" l="1"/>
  <c r="AM612" i="1"/>
  <c r="AN612" i="1" s="1"/>
  <c r="AI612" i="1"/>
  <c r="AB612" i="1"/>
  <c r="AJ612" i="1" s="1"/>
  <c r="I161" i="9" l="1"/>
  <c r="F161" i="9"/>
  <c r="AO435" i="1"/>
  <c r="AM435" i="1"/>
  <c r="AH435" i="1"/>
  <c r="AO196" i="1"/>
  <c r="AM196" i="1"/>
  <c r="AN196" i="1" s="1"/>
  <c r="AI196" i="1"/>
  <c r="AH196" i="1"/>
  <c r="AB196" i="1"/>
  <c r="AH398" i="1"/>
  <c r="I144" i="9"/>
  <c r="F144" i="9"/>
  <c r="AO398" i="1"/>
  <c r="AM398" i="1"/>
  <c r="I98" i="9"/>
  <c r="F98" i="9"/>
  <c r="AO199" i="1"/>
  <c r="AM199" i="1"/>
  <c r="AH199" i="1"/>
  <c r="AI435" i="1" l="1"/>
  <c r="AN435" i="1" s="1"/>
  <c r="AB435" i="1"/>
  <c r="AJ435" i="1" s="1"/>
  <c r="AJ196" i="1"/>
  <c r="AI199" i="1"/>
  <c r="AN199" i="1" s="1"/>
  <c r="AB199" i="1"/>
  <c r="AJ199" i="1" s="1"/>
  <c r="K98" i="9" l="1"/>
  <c r="L98" i="9" s="1"/>
  <c r="K161" i="9"/>
  <c r="L161" i="9" s="1"/>
  <c r="AO322" i="1" l="1"/>
  <c r="AM322" i="1"/>
  <c r="AN322" i="1" s="1"/>
  <c r="AI322" i="1"/>
  <c r="AB322" i="1"/>
  <c r="AH129" i="1"/>
  <c r="I68" i="9"/>
  <c r="F68" i="9"/>
  <c r="AO129" i="1"/>
  <c r="AM129" i="1"/>
  <c r="AO14" i="1"/>
  <c r="AM14" i="1"/>
  <c r="AN14" i="1" s="1"/>
  <c r="AI14" i="1"/>
  <c r="AH14" i="1"/>
  <c r="AB14" i="1"/>
  <c r="I9" i="9"/>
  <c r="F9" i="9"/>
  <c r="AO13" i="1"/>
  <c r="AM13" i="1"/>
  <c r="AH13" i="1"/>
  <c r="AJ322" i="1" l="1"/>
  <c r="AJ14" i="1"/>
  <c r="AO567" i="1"/>
  <c r="AM567" i="1"/>
  <c r="AN567" i="1" s="1"/>
  <c r="AI567" i="1"/>
  <c r="AH567" i="1"/>
  <c r="AB567" i="1"/>
  <c r="AJ567" i="1" l="1"/>
  <c r="AH340" i="1"/>
  <c r="AO340" i="1"/>
  <c r="AM340" i="1"/>
  <c r="AN340" i="1" s="1"/>
  <c r="AI340" i="1"/>
  <c r="AB340" i="1"/>
  <c r="AH367" i="1"/>
  <c r="AO367" i="1"/>
  <c r="AM367" i="1"/>
  <c r="AN367" i="1" s="1"/>
  <c r="AI367" i="1"/>
  <c r="AB367" i="1"/>
  <c r="I113" i="9"/>
  <c r="F113" i="9"/>
  <c r="I112" i="9"/>
  <c r="F112" i="9"/>
  <c r="AO267" i="1"/>
  <c r="AM267" i="1"/>
  <c r="AH267" i="1"/>
  <c r="AO266" i="1"/>
  <c r="AM266" i="1"/>
  <c r="AH266" i="1"/>
  <c r="AO549" i="1"/>
  <c r="AM549" i="1"/>
  <c r="AN549" i="1" s="1"/>
  <c r="AI549" i="1"/>
  <c r="AH549" i="1"/>
  <c r="AB549" i="1"/>
  <c r="AJ340" i="1" l="1"/>
  <c r="AJ549" i="1"/>
  <c r="AJ367" i="1"/>
  <c r="AH116" i="1" l="1"/>
  <c r="AI267" i="1" l="1"/>
  <c r="AN267" i="1" s="1"/>
  <c r="AB267" i="1"/>
  <c r="AJ267" i="1" s="1"/>
  <c r="AH176" i="1"/>
  <c r="I94" i="9"/>
  <c r="K113" i="9" l="1"/>
  <c r="L113" i="9" s="1"/>
  <c r="F94" i="9"/>
  <c r="AI176" i="1" s="1"/>
  <c r="AO176" i="1"/>
  <c r="AM176" i="1"/>
  <c r="AO394" i="1"/>
  <c r="AM394" i="1"/>
  <c r="AN394" i="1" s="1"/>
  <c r="AI394" i="1"/>
  <c r="AH394" i="1"/>
  <c r="AB394" i="1"/>
  <c r="AO406" i="1"/>
  <c r="AM406" i="1"/>
  <c r="AN406" i="1" s="1"/>
  <c r="AI406" i="1"/>
  <c r="AH406" i="1"/>
  <c r="AB406" i="1"/>
  <c r="AO529" i="1"/>
  <c r="AM529" i="1"/>
  <c r="AN529" i="1" s="1"/>
  <c r="AI529" i="1"/>
  <c r="AH529" i="1"/>
  <c r="AB529" i="1"/>
  <c r="AB176" i="1" l="1"/>
  <c r="AJ176" i="1" s="1"/>
  <c r="AJ529" i="1"/>
  <c r="AN176" i="1"/>
  <c r="AJ394" i="1"/>
  <c r="AJ406" i="1"/>
  <c r="AO541" i="1"/>
  <c r="AM541" i="1"/>
  <c r="AN541" i="1" s="1"/>
  <c r="AI541" i="1"/>
  <c r="AH541" i="1"/>
  <c r="AB541" i="1"/>
  <c r="K94" i="9" l="1"/>
  <c r="L94" i="9" s="1"/>
  <c r="AJ541" i="1"/>
  <c r="AO774" i="1"/>
  <c r="AM774" i="1"/>
  <c r="AN774" i="1" s="1"/>
  <c r="AI774" i="1"/>
  <c r="AH774" i="1"/>
  <c r="AB774" i="1"/>
  <c r="AO231" i="1"/>
  <c r="AM231" i="1"/>
  <c r="AN231" i="1" s="1"/>
  <c r="AI231" i="1"/>
  <c r="AH231" i="1"/>
  <c r="AB231" i="1"/>
  <c r="I95" i="9"/>
  <c r="F95" i="9"/>
  <c r="AI181" i="1" s="1"/>
  <c r="AO181" i="1"/>
  <c r="AM181" i="1"/>
  <c r="AH181" i="1"/>
  <c r="AB181" i="1" l="1"/>
  <c r="AJ181" i="1" s="1"/>
  <c r="AJ231" i="1"/>
  <c r="AN181" i="1"/>
  <c r="AJ774" i="1"/>
  <c r="AO533" i="1"/>
  <c r="AM533" i="1"/>
  <c r="AN533" i="1" s="1"/>
  <c r="AI533" i="1"/>
  <c r="AH533" i="1"/>
  <c r="AB533" i="1"/>
  <c r="K95" i="9" l="1"/>
  <c r="L95" i="9" s="1"/>
  <c r="AJ533" i="1"/>
  <c r="AH270" i="1"/>
  <c r="AO270" i="1"/>
  <c r="AM270" i="1"/>
  <c r="AN270" i="1" s="1"/>
  <c r="AI270" i="1"/>
  <c r="AB270" i="1"/>
  <c r="AJ270" i="1" l="1"/>
  <c r="AO330" i="1"/>
  <c r="AM330" i="1"/>
  <c r="AN330" i="1" s="1"/>
  <c r="AI330" i="1"/>
  <c r="AH330" i="1"/>
  <c r="AB330" i="1"/>
  <c r="AJ330" i="1" l="1"/>
  <c r="AH80" i="1"/>
  <c r="AH66" i="1" l="1"/>
  <c r="AH67" i="1"/>
  <c r="AH444" i="1" l="1"/>
  <c r="AO444" i="1"/>
  <c r="AM444" i="1"/>
  <c r="AN444" i="1" s="1"/>
  <c r="AI444" i="1"/>
  <c r="AB444" i="1"/>
  <c r="AJ444" i="1" l="1"/>
  <c r="AH628" i="1"/>
  <c r="AO628" i="1"/>
  <c r="AM628" i="1"/>
  <c r="AN628" i="1" s="1"/>
  <c r="AI628" i="1"/>
  <c r="AB628" i="1"/>
  <c r="I26" i="9"/>
  <c r="F26" i="9"/>
  <c r="AO41" i="1"/>
  <c r="AM41" i="1"/>
  <c r="AH41" i="1"/>
  <c r="AJ628" i="1" l="1"/>
  <c r="I7" i="9"/>
  <c r="F7" i="9"/>
  <c r="AO11" i="1"/>
  <c r="AM11" i="1"/>
  <c r="AH11" i="1"/>
  <c r="AO233" i="1"/>
  <c r="AM233" i="1"/>
  <c r="AN233" i="1" s="1"/>
  <c r="AI233" i="1"/>
  <c r="AH233" i="1"/>
  <c r="AB233" i="1"/>
  <c r="AH585" i="1"/>
  <c r="AO585" i="1"/>
  <c r="AM585" i="1"/>
  <c r="AN585" i="1" s="1"/>
  <c r="AI585" i="1"/>
  <c r="AB585" i="1"/>
  <c r="AJ585" i="1" l="1"/>
  <c r="AJ233" i="1"/>
  <c r="I33" i="9"/>
  <c r="F33" i="9"/>
  <c r="AO52" i="1"/>
  <c r="AM52" i="1"/>
  <c r="AH52" i="1"/>
  <c r="I14" i="9"/>
  <c r="F14" i="9"/>
  <c r="AO24" i="1"/>
  <c r="AM24" i="1"/>
  <c r="AH24" i="1"/>
  <c r="AH107" i="1"/>
  <c r="AO107" i="1"/>
  <c r="AM107" i="1"/>
  <c r="AN107" i="1" s="1"/>
  <c r="AI107" i="1"/>
  <c r="AB107" i="1"/>
  <c r="AH6" i="1"/>
  <c r="AO6" i="1"/>
  <c r="AM6" i="1"/>
  <c r="AN6" i="1" s="1"/>
  <c r="AI6" i="1"/>
  <c r="AB6" i="1"/>
  <c r="AO508" i="1"/>
  <c r="AM508" i="1"/>
  <c r="AN508" i="1" s="1"/>
  <c r="AI508" i="1"/>
  <c r="AB508" i="1"/>
  <c r="I87" i="9"/>
  <c r="F87" i="9"/>
  <c r="AO169" i="1"/>
  <c r="AM169" i="1"/>
  <c r="AH169" i="1"/>
  <c r="AH315" i="1"/>
  <c r="AJ107" i="1" l="1"/>
  <c r="AJ508" i="1"/>
  <c r="AJ6" i="1"/>
  <c r="AO315" i="1"/>
  <c r="AM315" i="1"/>
  <c r="AN315" i="1" s="1"/>
  <c r="AI315" i="1"/>
  <c r="AB315" i="1"/>
  <c r="AJ315" i="1" s="1"/>
  <c r="AH387" i="1"/>
  <c r="AO387" i="1"/>
  <c r="AM387" i="1"/>
  <c r="AN387" i="1" s="1"/>
  <c r="AI387" i="1"/>
  <c r="AB387" i="1"/>
  <c r="AH416" i="1"/>
  <c r="AO416" i="1"/>
  <c r="AM416" i="1"/>
  <c r="AN416" i="1" s="1"/>
  <c r="AI416" i="1"/>
  <c r="AB416" i="1"/>
  <c r="AO472" i="1"/>
  <c r="AM472" i="1"/>
  <c r="AN472" i="1" s="1"/>
  <c r="AI472" i="1"/>
  <c r="AH472" i="1"/>
  <c r="AB472" i="1"/>
  <c r="I218" i="9"/>
  <c r="F218" i="9"/>
  <c r="AO561" i="1"/>
  <c r="AM561" i="1"/>
  <c r="AH561" i="1"/>
  <c r="AO528" i="1"/>
  <c r="AM528" i="1"/>
  <c r="AN528" i="1" s="1"/>
  <c r="AI528" i="1"/>
  <c r="AH528" i="1"/>
  <c r="AB528" i="1"/>
  <c r="AJ416" i="1" l="1"/>
  <c r="AJ387" i="1"/>
  <c r="AJ472" i="1"/>
  <c r="AJ528" i="1"/>
  <c r="AH370" i="1"/>
  <c r="AH369" i="1"/>
  <c r="I105" i="9" l="1"/>
  <c r="F105" i="9"/>
  <c r="AO236" i="1"/>
  <c r="AM236" i="1"/>
  <c r="AH236" i="1"/>
  <c r="I104" i="9"/>
  <c r="F104" i="9"/>
  <c r="AO232" i="1"/>
  <c r="AM232" i="1"/>
  <c r="AH232" i="1"/>
  <c r="AI266" i="1" l="1"/>
  <c r="AN266" i="1" s="1"/>
  <c r="AB266" i="1"/>
  <c r="AJ266" i="1" s="1"/>
  <c r="AB236" i="1"/>
  <c r="AJ236" i="1" s="1"/>
  <c r="AO553" i="1"/>
  <c r="AM553" i="1"/>
  <c r="AN553" i="1" s="1"/>
  <c r="AI553" i="1"/>
  <c r="AH553" i="1"/>
  <c r="AB553" i="1"/>
  <c r="K112" i="9" l="1"/>
  <c r="L112" i="9" s="1"/>
  <c r="AI236" i="1"/>
  <c r="AN236" i="1" s="1"/>
  <c r="AJ553" i="1"/>
  <c r="I103" i="9"/>
  <c r="F103" i="9"/>
  <c r="AO230" i="1"/>
  <c r="AM230" i="1"/>
  <c r="AH230" i="1"/>
  <c r="K105" i="9" l="1"/>
  <c r="L105" i="9" s="1"/>
  <c r="AB232" i="1"/>
  <c r="AJ232" i="1" s="1"/>
  <c r="AI232" i="1"/>
  <c r="AN232" i="1" s="1"/>
  <c r="K104" i="9" l="1"/>
  <c r="L104" i="9" s="1"/>
  <c r="AH86" i="1" l="1"/>
  <c r="AO308" i="1" l="1"/>
  <c r="AM308" i="1"/>
  <c r="AN308" i="1" s="1"/>
  <c r="AI308" i="1"/>
  <c r="AH308" i="1"/>
  <c r="AB308" i="1"/>
  <c r="AJ308" i="1" l="1"/>
  <c r="AH376" i="1"/>
  <c r="AH377" i="1"/>
  <c r="AO377" i="1"/>
  <c r="AM377" i="1"/>
  <c r="AN377" i="1" s="1"/>
  <c r="AI377" i="1"/>
  <c r="AB377" i="1"/>
  <c r="AO116" i="1"/>
  <c r="AM116" i="1"/>
  <c r="AN116" i="1" s="1"/>
  <c r="AI116" i="1"/>
  <c r="AB116" i="1"/>
  <c r="AH60" i="1"/>
  <c r="AO60" i="1"/>
  <c r="AM60" i="1"/>
  <c r="AN60" i="1" s="1"/>
  <c r="AI60" i="1"/>
  <c r="AB60" i="1"/>
  <c r="AJ60" i="1" l="1"/>
  <c r="AJ377" i="1"/>
  <c r="AJ116" i="1"/>
  <c r="AO536" i="1"/>
  <c r="AM536" i="1"/>
  <c r="AN536" i="1" s="1"/>
  <c r="AI536" i="1"/>
  <c r="AH536" i="1"/>
  <c r="AB536" i="1"/>
  <c r="AJ536" i="1" l="1"/>
  <c r="AO548" i="1"/>
  <c r="AM548" i="1"/>
  <c r="AN548" i="1" s="1"/>
  <c r="AI548" i="1"/>
  <c r="AH548" i="1"/>
  <c r="AB548" i="1"/>
  <c r="AJ548" i="1" l="1"/>
  <c r="I133" i="9"/>
  <c r="F133" i="9"/>
  <c r="AO363" i="1"/>
  <c r="AM363" i="1"/>
  <c r="AH363" i="1"/>
  <c r="AH547" i="1"/>
  <c r="AO547" i="1"/>
  <c r="AM547" i="1"/>
  <c r="AN547" i="1" s="1"/>
  <c r="AI547" i="1"/>
  <c r="AB547" i="1"/>
  <c r="AJ547" i="1" l="1"/>
  <c r="AH576" i="1"/>
  <c r="AO576" i="1" l="1"/>
  <c r="AM576" i="1"/>
  <c r="AN576" i="1" s="1"/>
  <c r="AI576" i="1"/>
  <c r="AB576" i="1"/>
  <c r="AJ576" i="1" s="1"/>
  <c r="AO540" i="1" l="1"/>
  <c r="AM540" i="1"/>
  <c r="AN540" i="1" s="1"/>
  <c r="AI540" i="1"/>
  <c r="AH540" i="1"/>
  <c r="AB540" i="1"/>
  <c r="AO539" i="1"/>
  <c r="AM539" i="1"/>
  <c r="AN539" i="1" s="1"/>
  <c r="AI539" i="1"/>
  <c r="AH539" i="1"/>
  <c r="AB539" i="1"/>
  <c r="AO538" i="1"/>
  <c r="AM538" i="1"/>
  <c r="AN538" i="1" s="1"/>
  <c r="AI538" i="1"/>
  <c r="AH538" i="1"/>
  <c r="AB538" i="1"/>
  <c r="AJ539" i="1" l="1"/>
  <c r="AJ538" i="1"/>
  <c r="AJ540" i="1"/>
  <c r="AO471" i="1"/>
  <c r="AM471" i="1"/>
  <c r="AN471" i="1" s="1"/>
  <c r="AI471" i="1"/>
  <c r="AH471" i="1"/>
  <c r="AB471" i="1"/>
  <c r="AJ471" i="1" l="1"/>
  <c r="AO92" i="1"/>
  <c r="AM92" i="1"/>
  <c r="AN92" i="1" s="1"/>
  <c r="AI92" i="1"/>
  <c r="AH92" i="1"/>
  <c r="AB92" i="1"/>
  <c r="AO97" i="1"/>
  <c r="AM97" i="1"/>
  <c r="AN97" i="1" s="1"/>
  <c r="AI97" i="1"/>
  <c r="AH97" i="1"/>
  <c r="AB97" i="1"/>
  <c r="AJ92" i="1" l="1"/>
  <c r="AJ97" i="1"/>
  <c r="AH15" i="1"/>
  <c r="AO15" i="1"/>
  <c r="AM15" i="1"/>
  <c r="AN15" i="1" s="1"/>
  <c r="AI15" i="1"/>
  <c r="AB15" i="1"/>
  <c r="AH407" i="1"/>
  <c r="AO407" i="1"/>
  <c r="AM407" i="1"/>
  <c r="AN407" i="1" s="1"/>
  <c r="AI407" i="1"/>
  <c r="AB407" i="1"/>
  <c r="AJ407" i="1" l="1"/>
  <c r="AJ15" i="1"/>
  <c r="AO518" i="1"/>
  <c r="AM518" i="1"/>
  <c r="AN518" i="1" s="1"/>
  <c r="AI518" i="1"/>
  <c r="AH518" i="1"/>
  <c r="AB518" i="1"/>
  <c r="AJ518" i="1" l="1"/>
  <c r="AH151" i="1"/>
  <c r="AO151" i="1"/>
  <c r="AM151" i="1"/>
  <c r="AN151" i="1" s="1"/>
  <c r="AI151" i="1"/>
  <c r="AB151" i="1"/>
  <c r="AJ151" i="1" l="1"/>
  <c r="AO146" i="1"/>
  <c r="AM146" i="1"/>
  <c r="AN146" i="1" s="1"/>
  <c r="AI146" i="1"/>
  <c r="AB146" i="1"/>
  <c r="AO309" i="1"/>
  <c r="AM309" i="1"/>
  <c r="AN309" i="1" s="1"/>
  <c r="AI309" i="1"/>
  <c r="AH309" i="1"/>
  <c r="AB309" i="1"/>
  <c r="AJ146" i="1" l="1"/>
  <c r="AJ309" i="1"/>
  <c r="AO43" i="1"/>
  <c r="AM43" i="1"/>
  <c r="AN43" i="1" s="1"/>
  <c r="AI43" i="1"/>
  <c r="AH43" i="1"/>
  <c r="AB43" i="1"/>
  <c r="AJ43" i="1" l="1"/>
  <c r="AO324" i="1"/>
  <c r="AM324" i="1"/>
  <c r="AN324" i="1" s="1"/>
  <c r="AI324" i="1"/>
  <c r="AB324" i="1"/>
  <c r="AO319" i="1"/>
  <c r="AM319" i="1"/>
  <c r="AN319" i="1" s="1"/>
  <c r="AI319" i="1"/>
  <c r="AB319" i="1"/>
  <c r="AH237" i="1"/>
  <c r="F106" i="9"/>
  <c r="I106" i="9"/>
  <c r="AO237" i="1"/>
  <c r="AM237" i="1"/>
  <c r="AJ319" i="1" l="1"/>
  <c r="AJ324" i="1"/>
  <c r="AH359" i="1" l="1"/>
  <c r="AO447" i="1" l="1"/>
  <c r="AM447" i="1"/>
  <c r="AN447" i="1" s="1"/>
  <c r="AI447" i="1"/>
  <c r="AH447" i="1"/>
  <c r="AB447" i="1"/>
  <c r="AO482" i="1"/>
  <c r="AM482" i="1"/>
  <c r="AN482" i="1" s="1"/>
  <c r="AI482" i="1"/>
  <c r="AH482" i="1"/>
  <c r="AB482" i="1"/>
  <c r="AO485" i="1"/>
  <c r="AM485" i="1"/>
  <c r="AN485" i="1" s="1"/>
  <c r="AI485" i="1"/>
  <c r="AH485" i="1"/>
  <c r="AB485" i="1"/>
  <c r="AO130" i="1"/>
  <c r="AM130" i="1"/>
  <c r="AN130" i="1" s="1"/>
  <c r="AI130" i="1"/>
  <c r="AH130" i="1"/>
  <c r="AB130" i="1"/>
  <c r="AJ485" i="1" l="1"/>
  <c r="AJ447" i="1"/>
  <c r="AJ130" i="1"/>
  <c r="AJ482" i="1"/>
  <c r="AO810" i="1"/>
  <c r="AM810" i="1"/>
  <c r="AN810" i="1" s="1"/>
  <c r="AI810" i="1"/>
  <c r="AH810" i="1"/>
  <c r="AB810" i="1"/>
  <c r="AJ810" i="1" l="1"/>
  <c r="AO333" i="1"/>
  <c r="AM333" i="1"/>
  <c r="AN333" i="1" s="1"/>
  <c r="AI333" i="1"/>
  <c r="AH333" i="1"/>
  <c r="AB333" i="1"/>
  <c r="AO321" i="1"/>
  <c r="AM321" i="1"/>
  <c r="AN321" i="1" s="1"/>
  <c r="AI321" i="1"/>
  <c r="AH321" i="1"/>
  <c r="AB321" i="1"/>
  <c r="AO313" i="1"/>
  <c r="AM313" i="1"/>
  <c r="AN313" i="1" s="1"/>
  <c r="AI313" i="1"/>
  <c r="AH313" i="1"/>
  <c r="AB313" i="1"/>
  <c r="AO413" i="1"/>
  <c r="AM413" i="1"/>
  <c r="AN413" i="1" s="1"/>
  <c r="AI413" i="1"/>
  <c r="AH413" i="1"/>
  <c r="AB413" i="1"/>
  <c r="AH476" i="1"/>
  <c r="AO476" i="1"/>
  <c r="AM476" i="1"/>
  <c r="AN476" i="1" s="1"/>
  <c r="AI476" i="1"/>
  <c r="AB476" i="1"/>
  <c r="AJ476" i="1" l="1"/>
  <c r="AJ321" i="1"/>
  <c r="AJ333" i="1"/>
  <c r="AJ413" i="1"/>
  <c r="AJ313" i="1"/>
  <c r="I152" i="9"/>
  <c r="F152" i="9"/>
  <c r="AO412" i="1"/>
  <c r="AM412" i="1"/>
  <c r="I132" i="9"/>
  <c r="F132" i="9"/>
  <c r="AH350" i="1"/>
  <c r="AO350" i="1"/>
  <c r="AM350" i="1"/>
  <c r="AH449" i="1"/>
  <c r="AO449" i="1"/>
  <c r="AM449" i="1"/>
  <c r="AN449" i="1" s="1"/>
  <c r="AI449" i="1"/>
  <c r="AB449" i="1"/>
  <c r="AI412" i="1" l="1"/>
  <c r="AN412" i="1" s="1"/>
  <c r="AB412" i="1"/>
  <c r="AJ412" i="1" s="1"/>
  <c r="AJ449" i="1"/>
  <c r="AH338" i="1"/>
  <c r="AO338" i="1"/>
  <c r="AM338" i="1"/>
  <c r="AN338" i="1" s="1"/>
  <c r="AI338" i="1"/>
  <c r="AB338" i="1"/>
  <c r="K152" i="9" l="1"/>
  <c r="L152" i="9" s="1"/>
  <c r="AJ338" i="1"/>
  <c r="AH358" i="1"/>
  <c r="I163" i="9" l="1"/>
  <c r="F163" i="9"/>
  <c r="AO438" i="1"/>
  <c r="AM438" i="1"/>
  <c r="AH438" i="1"/>
  <c r="AH134" i="1"/>
  <c r="AO201" i="1" l="1"/>
  <c r="AM201" i="1"/>
  <c r="AN201" i="1" s="1"/>
  <c r="AI201" i="1"/>
  <c r="AH201" i="1"/>
  <c r="AB201" i="1"/>
  <c r="AJ201" i="1" l="1"/>
  <c r="AO704" i="1" l="1"/>
  <c r="AM704" i="1"/>
  <c r="AN704" i="1" s="1"/>
  <c r="AI704" i="1"/>
  <c r="AH704" i="1"/>
  <c r="AB704" i="1"/>
  <c r="AO701" i="1"/>
  <c r="AM701" i="1"/>
  <c r="AN701" i="1" s="1"/>
  <c r="AI701" i="1"/>
  <c r="AH701" i="1"/>
  <c r="AB701" i="1"/>
  <c r="AO700" i="1"/>
  <c r="AM700" i="1"/>
  <c r="AN700" i="1" s="1"/>
  <c r="AI700" i="1"/>
  <c r="AH700" i="1"/>
  <c r="AB700" i="1"/>
  <c r="AO707" i="1"/>
  <c r="AM707" i="1"/>
  <c r="AN707" i="1" s="1"/>
  <c r="AI707" i="1"/>
  <c r="AH707" i="1"/>
  <c r="AB707" i="1"/>
  <c r="AO703" i="1"/>
  <c r="AM703" i="1"/>
  <c r="AN703" i="1" s="1"/>
  <c r="AI703" i="1"/>
  <c r="AH703" i="1"/>
  <c r="AB703" i="1"/>
  <c r="AO702" i="1"/>
  <c r="AM702" i="1"/>
  <c r="AN702" i="1" s="1"/>
  <c r="AI702" i="1"/>
  <c r="AH702" i="1"/>
  <c r="AB702" i="1"/>
  <c r="AJ702" i="1" l="1"/>
  <c r="AJ704" i="1"/>
  <c r="AJ701" i="1"/>
  <c r="AJ707" i="1"/>
  <c r="AJ703" i="1"/>
  <c r="AJ700" i="1"/>
  <c r="I147" i="9" l="1"/>
  <c r="F147" i="9"/>
  <c r="AO401" i="1"/>
  <c r="AM401" i="1"/>
  <c r="AH401" i="1"/>
  <c r="I126" i="9" l="1"/>
  <c r="F126" i="9"/>
  <c r="AO301" i="1"/>
  <c r="AM301" i="1"/>
  <c r="AH301" i="1"/>
  <c r="AO220" i="1" l="1"/>
  <c r="AM220" i="1"/>
  <c r="AN220" i="1" s="1"/>
  <c r="AI220" i="1"/>
  <c r="AH220" i="1"/>
  <c r="AB220" i="1"/>
  <c r="AO219" i="1"/>
  <c r="AM219" i="1"/>
  <c r="AN219" i="1" s="1"/>
  <c r="AI219" i="1"/>
  <c r="AH219" i="1"/>
  <c r="AB219" i="1"/>
  <c r="AO218" i="1"/>
  <c r="AM218" i="1"/>
  <c r="AN218" i="1" s="1"/>
  <c r="AI218" i="1"/>
  <c r="AH218" i="1"/>
  <c r="AB218" i="1"/>
  <c r="AO217" i="1"/>
  <c r="AM217" i="1"/>
  <c r="AN217" i="1" s="1"/>
  <c r="AI217" i="1"/>
  <c r="AH217" i="1"/>
  <c r="AB217" i="1"/>
  <c r="AH216" i="1"/>
  <c r="AO216" i="1"/>
  <c r="AM216" i="1"/>
  <c r="AN216" i="1" s="1"/>
  <c r="AI216" i="1"/>
  <c r="AB216" i="1"/>
  <c r="AH215" i="1"/>
  <c r="AO215" i="1"/>
  <c r="AM215" i="1"/>
  <c r="AN215" i="1" s="1"/>
  <c r="AI215" i="1"/>
  <c r="AB215" i="1"/>
  <c r="AO157" i="1"/>
  <c r="AM157" i="1"/>
  <c r="AN157" i="1" s="1"/>
  <c r="AI157" i="1"/>
  <c r="AH157" i="1"/>
  <c r="AB157" i="1"/>
  <c r="AO575" i="1"/>
  <c r="AM575" i="1"/>
  <c r="AN575" i="1" s="1"/>
  <c r="AI575" i="1"/>
  <c r="AH575" i="1"/>
  <c r="AB575" i="1"/>
  <c r="AO574" i="1"/>
  <c r="AM574" i="1"/>
  <c r="AN574" i="1" s="1"/>
  <c r="AI574" i="1"/>
  <c r="AH574" i="1"/>
  <c r="AB574" i="1"/>
  <c r="AH643" i="1"/>
  <c r="AO643" i="1"/>
  <c r="AM643" i="1"/>
  <c r="AN643" i="1" s="1"/>
  <c r="AI643" i="1"/>
  <c r="AB643" i="1"/>
  <c r="AH642" i="1"/>
  <c r="AO642" i="1"/>
  <c r="AM642" i="1"/>
  <c r="AN642" i="1" s="1"/>
  <c r="AI642" i="1"/>
  <c r="AB642" i="1"/>
  <c r="AO64" i="1"/>
  <c r="AM64" i="1"/>
  <c r="AN64" i="1" s="1"/>
  <c r="AI64" i="1"/>
  <c r="AH64" i="1"/>
  <c r="AB64" i="1"/>
  <c r="AO63" i="1"/>
  <c r="AM63" i="1"/>
  <c r="AN63" i="1" s="1"/>
  <c r="AI63" i="1"/>
  <c r="AH63" i="1"/>
  <c r="AB63" i="1"/>
  <c r="AH22" i="1"/>
  <c r="AO22" i="1"/>
  <c r="AM22" i="1"/>
  <c r="AN22" i="1" s="1"/>
  <c r="AI22" i="1"/>
  <c r="AB22" i="1"/>
  <c r="AH21" i="1"/>
  <c r="AO21" i="1"/>
  <c r="AM21" i="1"/>
  <c r="AN21" i="1" s="1"/>
  <c r="AI21" i="1"/>
  <c r="AB21" i="1"/>
  <c r="AJ22" i="1" l="1"/>
  <c r="AJ157" i="1"/>
  <c r="AJ63" i="1"/>
  <c r="AJ575" i="1"/>
  <c r="AJ642" i="1"/>
  <c r="AJ217" i="1"/>
  <c r="AJ219" i="1"/>
  <c r="AJ220" i="1"/>
  <c r="AJ643" i="1"/>
  <c r="AJ218" i="1"/>
  <c r="AJ216" i="1"/>
  <c r="AJ215" i="1"/>
  <c r="AJ574" i="1"/>
  <c r="AJ64" i="1"/>
  <c r="AJ21" i="1"/>
  <c r="AH780" i="1" l="1"/>
  <c r="AO780" i="1"/>
  <c r="AM780" i="1"/>
  <c r="AN780" i="1" s="1"/>
  <c r="AI780" i="1"/>
  <c r="AB780" i="1"/>
  <c r="AH777" i="1"/>
  <c r="AO777" i="1"/>
  <c r="AM777" i="1"/>
  <c r="AN777" i="1" s="1"/>
  <c r="AI777" i="1"/>
  <c r="AB777" i="1"/>
  <c r="AH773" i="1"/>
  <c r="AO773" i="1"/>
  <c r="AM773" i="1"/>
  <c r="AN773" i="1" s="1"/>
  <c r="AI773" i="1"/>
  <c r="AB773" i="1"/>
  <c r="AJ773" i="1" l="1"/>
  <c r="AJ780" i="1"/>
  <c r="AJ777" i="1"/>
  <c r="AB349" i="1" l="1"/>
  <c r="AJ349" i="1" s="1"/>
  <c r="AI349" i="1"/>
  <c r="AN349" i="1" s="1"/>
  <c r="AO124" i="1"/>
  <c r="AM124" i="1"/>
  <c r="AN124" i="1" s="1"/>
  <c r="AI124" i="1"/>
  <c r="AH124" i="1"/>
  <c r="AB124" i="1"/>
  <c r="K131" i="9" l="1"/>
  <c r="L131" i="9" s="1"/>
  <c r="AI350" i="1"/>
  <c r="AN350" i="1" s="1"/>
  <c r="AB350" i="1"/>
  <c r="AJ350" i="1" s="1"/>
  <c r="AJ124" i="1"/>
  <c r="K132" i="9" l="1"/>
  <c r="L132" i="9" s="1"/>
  <c r="I246" i="9"/>
  <c r="F246" i="9"/>
  <c r="AO623" i="1"/>
  <c r="AM623" i="1"/>
  <c r="AH623" i="1"/>
  <c r="AO263" i="1" l="1"/>
  <c r="AM263" i="1"/>
  <c r="AN263" i="1" s="1"/>
  <c r="AI263" i="1"/>
  <c r="AH263" i="1"/>
  <c r="AB263" i="1"/>
  <c r="AO100" i="1"/>
  <c r="AM100" i="1"/>
  <c r="AN100" i="1" s="1"/>
  <c r="AI100" i="1"/>
  <c r="AH100" i="1"/>
  <c r="AB100" i="1"/>
  <c r="AJ263" i="1" l="1"/>
  <c r="AJ100" i="1"/>
  <c r="AO566" i="1"/>
  <c r="AM566" i="1"/>
  <c r="AN566" i="1" s="1"/>
  <c r="AI566" i="1"/>
  <c r="AH566" i="1"/>
  <c r="AB566" i="1"/>
  <c r="AH262" i="1"/>
  <c r="AO262" i="1"/>
  <c r="AM262" i="1"/>
  <c r="AN262" i="1" s="1"/>
  <c r="AI262" i="1"/>
  <c r="AB262" i="1"/>
  <c r="AJ566" i="1" l="1"/>
  <c r="AJ262" i="1"/>
  <c r="AH264" i="1" l="1"/>
  <c r="AO91" i="1" l="1"/>
  <c r="AM91" i="1"/>
  <c r="AN91" i="1" s="1"/>
  <c r="AI91" i="1"/>
  <c r="AH91" i="1"/>
  <c r="AB91" i="1"/>
  <c r="AJ91" i="1" l="1"/>
  <c r="AO655" i="1" l="1"/>
  <c r="AM655" i="1"/>
  <c r="AN655" i="1" s="1"/>
  <c r="AI655" i="1"/>
  <c r="AH655" i="1"/>
  <c r="AB655" i="1"/>
  <c r="AJ655" i="1" l="1"/>
  <c r="AH351" i="1" l="1"/>
  <c r="I183" i="9" l="1"/>
  <c r="F183" i="9"/>
  <c r="AH475" i="1"/>
  <c r="AO475" i="1"/>
  <c r="AM475" i="1"/>
  <c r="AB475" i="1" l="1"/>
  <c r="AJ475" i="1" s="1"/>
  <c r="AI475" i="1"/>
  <c r="AN475" i="1" s="1"/>
  <c r="K183" i="9" l="1"/>
  <c r="L183" i="9" s="1"/>
  <c r="AH470" i="1"/>
  <c r="I181" i="9"/>
  <c r="F181" i="9"/>
  <c r="AO470" i="1"/>
  <c r="AM470" i="1"/>
  <c r="AH433" i="1"/>
  <c r="AO433" i="1"/>
  <c r="AM433" i="1"/>
  <c r="AN433" i="1" s="1"/>
  <c r="AI433" i="1"/>
  <c r="AB433" i="1"/>
  <c r="AH431" i="1"/>
  <c r="AO431" i="1"/>
  <c r="AM431" i="1"/>
  <c r="AN431" i="1" s="1"/>
  <c r="AI431" i="1"/>
  <c r="AB431" i="1"/>
  <c r="AO393" i="1"/>
  <c r="AM393" i="1"/>
  <c r="AN393" i="1" s="1"/>
  <c r="AI393" i="1"/>
  <c r="AH393" i="1"/>
  <c r="AB393" i="1"/>
  <c r="AO385" i="1"/>
  <c r="AM385" i="1"/>
  <c r="AN385" i="1" s="1"/>
  <c r="AI385" i="1"/>
  <c r="AH385" i="1"/>
  <c r="AB385" i="1"/>
  <c r="AJ433" i="1" l="1"/>
  <c r="AJ393" i="1"/>
  <c r="AJ431" i="1"/>
  <c r="AJ385" i="1"/>
  <c r="AH357" i="1"/>
  <c r="AH356" i="1"/>
  <c r="AH355" i="1"/>
  <c r="AH335" i="1"/>
  <c r="AH429" i="1" l="1"/>
  <c r="AH477" i="1" l="1"/>
  <c r="AO473" i="1"/>
  <c r="AM473" i="1"/>
  <c r="AN473" i="1" s="1"/>
  <c r="AI473" i="1"/>
  <c r="AH473" i="1"/>
  <c r="AB473" i="1"/>
  <c r="AJ473" i="1" l="1"/>
  <c r="AO357" i="1"/>
  <c r="AM357" i="1"/>
  <c r="AN357" i="1" s="1"/>
  <c r="AI357" i="1"/>
  <c r="AB357" i="1"/>
  <c r="AJ357" i="1" l="1"/>
  <c r="I153" i="9"/>
  <c r="F153" i="9"/>
  <c r="AI414" i="1" s="1"/>
  <c r="AO414" i="1"/>
  <c r="AM414" i="1"/>
  <c r="AH414" i="1"/>
  <c r="AN414" i="1" l="1"/>
  <c r="AB414" i="1"/>
  <c r="AJ414" i="1" s="1"/>
  <c r="K153" i="9" l="1"/>
  <c r="L153" i="9" s="1"/>
  <c r="AO178" i="1"/>
  <c r="AM178" i="1"/>
  <c r="AN178" i="1" s="1"/>
  <c r="AI178" i="1"/>
  <c r="AH178" i="1"/>
  <c r="AB178" i="1"/>
  <c r="AJ178" i="1" l="1"/>
  <c r="AO269" i="1"/>
  <c r="AM269" i="1"/>
  <c r="AN269" i="1" s="1"/>
  <c r="AI269" i="1"/>
  <c r="AH269" i="1"/>
  <c r="AB269" i="1"/>
  <c r="AJ269" i="1" l="1"/>
  <c r="AH344" i="1"/>
  <c r="AO145" i="1" l="1"/>
  <c r="AM145" i="1"/>
  <c r="AN145" i="1" s="1"/>
  <c r="AI145" i="1"/>
  <c r="AB145" i="1"/>
  <c r="AI814" i="1"/>
  <c r="AH814" i="1"/>
  <c r="I338" i="9"/>
  <c r="F338" i="9"/>
  <c r="AO814" i="1"/>
  <c r="AM814" i="1"/>
  <c r="AJ145" i="1" l="1"/>
  <c r="AB814" i="1"/>
  <c r="AJ814" i="1" s="1"/>
  <c r="AN814" i="1"/>
  <c r="K338" i="9" l="1"/>
  <c r="L338" i="9" s="1"/>
  <c r="I171" i="9"/>
  <c r="F171" i="9"/>
  <c r="AO456" i="1"/>
  <c r="AM456" i="1"/>
  <c r="AH456" i="1"/>
  <c r="AO530" i="1" l="1"/>
  <c r="AM530" i="1"/>
  <c r="AN530" i="1" s="1"/>
  <c r="AI530" i="1"/>
  <c r="AH530" i="1"/>
  <c r="AB530" i="1"/>
  <c r="AO221" i="1"/>
  <c r="AM221" i="1"/>
  <c r="AN221" i="1" s="1"/>
  <c r="AI221" i="1"/>
  <c r="AH221" i="1"/>
  <c r="AB221" i="1"/>
  <c r="AH395" i="1"/>
  <c r="I143" i="9"/>
  <c r="F143" i="9"/>
  <c r="AO395" i="1"/>
  <c r="AM395" i="1"/>
  <c r="AI395" i="1" l="1"/>
  <c r="AN395" i="1" s="1"/>
  <c r="AJ530" i="1"/>
  <c r="AJ221" i="1"/>
  <c r="I255" i="9"/>
  <c r="F255" i="9"/>
  <c r="AO670" i="1"/>
  <c r="AM670" i="1"/>
  <c r="AH670" i="1"/>
  <c r="AO492" i="1"/>
  <c r="AM492" i="1"/>
  <c r="AN492" i="1" s="1"/>
  <c r="AI492" i="1"/>
  <c r="AH492" i="1"/>
  <c r="AB492" i="1"/>
  <c r="K143" i="9" l="1"/>
  <c r="L143" i="9" s="1"/>
  <c r="AB395" i="1"/>
  <c r="AJ395" i="1" s="1"/>
  <c r="AI398" i="1"/>
  <c r="AN398" i="1" s="1"/>
  <c r="AB398" i="1"/>
  <c r="AJ398" i="1" s="1"/>
  <c r="AJ492" i="1"/>
  <c r="AO379" i="1"/>
  <c r="AM379" i="1"/>
  <c r="AN379" i="1" s="1"/>
  <c r="AI379" i="1"/>
  <c r="AH379" i="1"/>
  <c r="AB379" i="1"/>
  <c r="K144" i="9" l="1"/>
  <c r="L144" i="9" s="1"/>
  <c r="AJ379" i="1"/>
  <c r="AH568" i="1" l="1"/>
  <c r="AH569" i="1"/>
  <c r="I186" i="9" l="1"/>
  <c r="F186" i="9"/>
  <c r="AH483" i="1"/>
  <c r="AO483" i="1"/>
  <c r="AM483" i="1"/>
  <c r="AI483" i="1" l="1"/>
  <c r="AN483" i="1" s="1"/>
  <c r="AB483" i="1"/>
  <c r="AJ483" i="1" s="1"/>
  <c r="K186" i="9" l="1"/>
  <c r="L186" i="9" s="1"/>
  <c r="AO811" i="1"/>
  <c r="AM811" i="1"/>
  <c r="AN811" i="1" s="1"/>
  <c r="AI811" i="1"/>
  <c r="AH811" i="1"/>
  <c r="AB811" i="1"/>
  <c r="AJ811" i="1" l="1"/>
  <c r="AO481" i="1" l="1"/>
  <c r="AM481" i="1"/>
  <c r="AN481" i="1" s="1"/>
  <c r="AI481" i="1"/>
  <c r="AH481" i="1"/>
  <c r="AB481" i="1"/>
  <c r="AJ481" i="1" l="1"/>
  <c r="AO239" i="1"/>
  <c r="AM239" i="1"/>
  <c r="AN239" i="1" s="1"/>
  <c r="AI239" i="1"/>
  <c r="AH239" i="1"/>
  <c r="AB239" i="1"/>
  <c r="AO246" i="1"/>
  <c r="AM246" i="1"/>
  <c r="AH246" i="1"/>
  <c r="AI246" i="1"/>
  <c r="AH242" i="1"/>
  <c r="AO242" i="1"/>
  <c r="AM242" i="1"/>
  <c r="AN242" i="1" s="1"/>
  <c r="AI242" i="1"/>
  <c r="AB242" i="1"/>
  <c r="AH772" i="1"/>
  <c r="AO772" i="1"/>
  <c r="AM772" i="1"/>
  <c r="AN772" i="1" s="1"/>
  <c r="AI772" i="1"/>
  <c r="AB772" i="1"/>
  <c r="AH776" i="1"/>
  <c r="AO776" i="1"/>
  <c r="AM776" i="1"/>
  <c r="AN776" i="1" s="1"/>
  <c r="AI776" i="1"/>
  <c r="AB776" i="1"/>
  <c r="AH779" i="1"/>
  <c r="AO779" i="1"/>
  <c r="AM779" i="1"/>
  <c r="AN779" i="1" s="1"/>
  <c r="AI779" i="1"/>
  <c r="AB779" i="1"/>
  <c r="AJ239" i="1" l="1"/>
  <c r="AJ242" i="1"/>
  <c r="AN246" i="1"/>
  <c r="AB246" i="1"/>
  <c r="AJ246" i="1" s="1"/>
  <c r="AJ772" i="1"/>
  <c r="AJ776" i="1"/>
  <c r="AJ779" i="1"/>
  <c r="AH119" i="1"/>
  <c r="AH310" i="1" l="1"/>
  <c r="AH98" i="1" l="1"/>
  <c r="AO98" i="1"/>
  <c r="AM98" i="1"/>
  <c r="AN98" i="1" s="1"/>
  <c r="AI98" i="1"/>
  <c r="AB98" i="1"/>
  <c r="AO148" i="1"/>
  <c r="AM148" i="1"/>
  <c r="AN148" i="1" s="1"/>
  <c r="AI148" i="1"/>
  <c r="AH148" i="1"/>
  <c r="AB148" i="1"/>
  <c r="AJ98" i="1" l="1"/>
  <c r="AJ148" i="1"/>
  <c r="AO120" i="1"/>
  <c r="AM120" i="1"/>
  <c r="AN120" i="1" s="1"/>
  <c r="AI120" i="1"/>
  <c r="AH120" i="1"/>
  <c r="AB120" i="1"/>
  <c r="I177" i="9"/>
  <c r="F177" i="9"/>
  <c r="AO462" i="1"/>
  <c r="AM462" i="1"/>
  <c r="AH462" i="1"/>
  <c r="AO660" i="1"/>
  <c r="AM660" i="1"/>
  <c r="AN660" i="1" s="1"/>
  <c r="AI660" i="1"/>
  <c r="AH660" i="1"/>
  <c r="AB660" i="1"/>
  <c r="AO652" i="1"/>
  <c r="AM652" i="1"/>
  <c r="AN652" i="1" s="1"/>
  <c r="AI652" i="1"/>
  <c r="AH652" i="1"/>
  <c r="AB652" i="1"/>
  <c r="AJ660" i="1" l="1"/>
  <c r="AJ120" i="1"/>
  <c r="AJ652" i="1"/>
  <c r="AO686" i="1" l="1"/>
  <c r="AM686" i="1"/>
  <c r="AN686" i="1" s="1"/>
  <c r="AI686" i="1"/>
  <c r="AH686" i="1"/>
  <c r="AB686" i="1"/>
  <c r="AJ686" i="1" l="1"/>
  <c r="AH312" i="1"/>
  <c r="AH125" i="1" l="1"/>
  <c r="AO125" i="1"/>
  <c r="AM125" i="1"/>
  <c r="AN125" i="1" s="1"/>
  <c r="AI125" i="1"/>
  <c r="AB125" i="1"/>
  <c r="AJ125" i="1" l="1"/>
  <c r="AO159" i="1" l="1"/>
  <c r="AM159" i="1"/>
  <c r="AN159" i="1" s="1"/>
  <c r="AI159" i="1"/>
  <c r="AH159" i="1"/>
  <c r="AB159" i="1"/>
  <c r="AO158" i="1"/>
  <c r="AM158" i="1"/>
  <c r="AN158" i="1" s="1"/>
  <c r="AI158" i="1"/>
  <c r="AH158" i="1"/>
  <c r="AB158" i="1"/>
  <c r="AJ158" i="1" l="1"/>
  <c r="AJ159" i="1"/>
  <c r="I55" i="9" l="1"/>
  <c r="F55" i="9"/>
  <c r="AO96" i="1"/>
  <c r="AM96" i="1"/>
  <c r="AH96" i="1"/>
  <c r="AO95" i="1"/>
  <c r="AM95" i="1"/>
  <c r="AN95" i="1" s="1"/>
  <c r="AI95" i="1"/>
  <c r="AH95" i="1"/>
  <c r="AB95" i="1"/>
  <c r="AJ95" i="1" l="1"/>
  <c r="AO94" i="1" l="1"/>
  <c r="AM94" i="1"/>
  <c r="AN94" i="1" s="1"/>
  <c r="AI94" i="1"/>
  <c r="AH94" i="1"/>
  <c r="AB94" i="1"/>
  <c r="AO274" i="1"/>
  <c r="AM274" i="1"/>
  <c r="AN274" i="1" s="1"/>
  <c r="AI274" i="1"/>
  <c r="AH274" i="1"/>
  <c r="AB274" i="1"/>
  <c r="AJ94" i="1" l="1"/>
  <c r="AJ274" i="1"/>
  <c r="AO207" i="1" l="1"/>
  <c r="AN207" i="1"/>
  <c r="AI207" i="1"/>
  <c r="AH207" i="1"/>
  <c r="AB207" i="1"/>
  <c r="AJ207" i="1" l="1"/>
  <c r="AO450" i="1" l="1"/>
  <c r="AM450" i="1"/>
  <c r="AN450" i="1" s="1"/>
  <c r="AI450" i="1"/>
  <c r="AH450" i="1"/>
  <c r="AB450" i="1"/>
  <c r="AJ450" i="1" l="1"/>
  <c r="I138" i="9"/>
  <c r="F138" i="9"/>
  <c r="AO383" i="1"/>
  <c r="AM383" i="1"/>
  <c r="AH383" i="1"/>
  <c r="AO374" i="1"/>
  <c r="AM374" i="1"/>
  <c r="AN374" i="1" s="1"/>
  <c r="AI374" i="1"/>
  <c r="AH374" i="1"/>
  <c r="AB374" i="1"/>
  <c r="AO257" i="1"/>
  <c r="AM257" i="1"/>
  <c r="AH257" i="1"/>
  <c r="AI257" i="1"/>
  <c r="AN257" i="1" l="1"/>
  <c r="AJ374" i="1"/>
  <c r="AB257" i="1"/>
  <c r="AJ257" i="1" s="1"/>
  <c r="AO276" i="1" l="1"/>
  <c r="AM276" i="1"/>
  <c r="AN276" i="1" s="1"/>
  <c r="AI276" i="1"/>
  <c r="AH276" i="1"/>
  <c r="AB276" i="1"/>
  <c r="AJ276" i="1" l="1"/>
  <c r="AO82" i="1"/>
  <c r="AM82" i="1"/>
  <c r="AN82" i="1" s="1"/>
  <c r="AI82" i="1"/>
  <c r="AH82" i="1"/>
  <c r="AB82" i="1"/>
  <c r="AJ82" i="1" l="1"/>
  <c r="AH428" i="1" l="1"/>
  <c r="AH426" i="1"/>
  <c r="AH105" i="1" l="1"/>
  <c r="AO134" i="1"/>
  <c r="AM134" i="1"/>
  <c r="AN134" i="1" s="1"/>
  <c r="AI134" i="1"/>
  <c r="AB134" i="1"/>
  <c r="AJ134" i="1" l="1"/>
  <c r="AH372" i="1" l="1"/>
  <c r="AH373" i="1"/>
  <c r="I168" i="9" l="1"/>
  <c r="F168" i="9"/>
  <c r="AO448" i="1"/>
  <c r="AM448" i="1"/>
  <c r="AH448" i="1"/>
  <c r="AO69" i="1" l="1"/>
  <c r="AM69" i="1"/>
  <c r="AN69" i="1" s="1"/>
  <c r="AI69" i="1"/>
  <c r="AH69" i="1"/>
  <c r="AB69" i="1"/>
  <c r="AJ69" i="1" l="1"/>
  <c r="F158" i="9" l="1"/>
  <c r="AH427" i="1"/>
  <c r="I158" i="9"/>
  <c r="AO427" i="1"/>
  <c r="AM427" i="1"/>
  <c r="AO558" i="1" l="1"/>
  <c r="AM558" i="1"/>
  <c r="AN558" i="1" s="1"/>
  <c r="AI558" i="1"/>
  <c r="AH558" i="1"/>
  <c r="AB558" i="1"/>
  <c r="AJ558" i="1" l="1"/>
  <c r="AH590" i="1"/>
  <c r="AH443" i="1" l="1"/>
  <c r="AO443" i="1"/>
  <c r="AM443" i="1"/>
  <c r="AI443" i="1"/>
  <c r="AH430" i="1"/>
  <c r="AO430" i="1"/>
  <c r="AM430" i="1"/>
  <c r="AI430" i="1"/>
  <c r="AN430" i="1" l="1"/>
  <c r="AN443" i="1"/>
  <c r="AB443" i="1"/>
  <c r="AJ443" i="1" s="1"/>
  <c r="AB430" i="1"/>
  <c r="AJ430" i="1" s="1"/>
  <c r="AH432" i="1" l="1"/>
  <c r="AO432" i="1"/>
  <c r="AM432" i="1"/>
  <c r="AI432" i="1"/>
  <c r="AB432" i="1"/>
  <c r="AN432" i="1" l="1"/>
  <c r="AJ432" i="1"/>
  <c r="AO214" i="1"/>
  <c r="AM214" i="1"/>
  <c r="AN214" i="1" s="1"/>
  <c r="AI214" i="1"/>
  <c r="AH214" i="1"/>
  <c r="AB214" i="1"/>
  <c r="AJ214" i="1" l="1"/>
  <c r="AO258" i="1"/>
  <c r="AM258" i="1"/>
  <c r="AN258" i="1" s="1"/>
  <c r="AI258" i="1"/>
  <c r="AH258" i="1"/>
  <c r="AB258" i="1"/>
  <c r="AJ258" i="1" l="1"/>
  <c r="AO654" i="1"/>
  <c r="AM654" i="1"/>
  <c r="AN654" i="1" s="1"/>
  <c r="AI654" i="1"/>
  <c r="AH654" i="1"/>
  <c r="AB654" i="1"/>
  <c r="AO659" i="1"/>
  <c r="AM659" i="1"/>
  <c r="AN659" i="1" s="1"/>
  <c r="AI659" i="1"/>
  <c r="AH659" i="1"/>
  <c r="AB659" i="1"/>
  <c r="AJ659" i="1" l="1"/>
  <c r="AJ654" i="1"/>
  <c r="AO650" i="1"/>
  <c r="AM650" i="1"/>
  <c r="AN650" i="1" s="1"/>
  <c r="AI650" i="1"/>
  <c r="AH650" i="1"/>
  <c r="AB650" i="1"/>
  <c r="AJ650" i="1" l="1"/>
  <c r="AH345" i="1" l="1"/>
  <c r="AO345" i="1"/>
  <c r="AM345" i="1"/>
  <c r="AN345" i="1" s="1"/>
  <c r="AI345" i="1"/>
  <c r="AB345" i="1"/>
  <c r="AJ345" i="1" l="1"/>
  <c r="I29" i="9"/>
  <c r="F29" i="9"/>
  <c r="AO48" i="1"/>
  <c r="AM48" i="1"/>
  <c r="AH48" i="1"/>
  <c r="AO61" i="1" l="1"/>
  <c r="AM61" i="1"/>
  <c r="AN61" i="1" s="1"/>
  <c r="AI61" i="1"/>
  <c r="AH61" i="1"/>
  <c r="AB61" i="1"/>
  <c r="AJ61" i="1" l="1"/>
  <c r="I4" i="9" l="1"/>
  <c r="F4" i="9"/>
  <c r="AO8" i="1"/>
  <c r="AM8" i="1"/>
  <c r="AH8" i="1"/>
  <c r="I219" i="9" l="1"/>
  <c r="F219" i="9"/>
  <c r="AO580" i="1"/>
  <c r="AM580" i="1"/>
  <c r="AH580" i="1"/>
  <c r="F245" i="9" l="1"/>
  <c r="I245" i="9"/>
  <c r="AO622" i="1"/>
  <c r="AM622" i="1"/>
  <c r="AH622" i="1"/>
  <c r="AB623" i="1" l="1"/>
  <c r="AJ623" i="1" s="1"/>
  <c r="AI623" i="1"/>
  <c r="AN623" i="1" s="1"/>
  <c r="I151" i="9"/>
  <c r="F151" i="9"/>
  <c r="AO411" i="1"/>
  <c r="AM411" i="1"/>
  <c r="AH411" i="1"/>
  <c r="K246" i="9" l="1"/>
  <c r="L246" i="9" s="1"/>
  <c r="AH564" i="1" l="1"/>
  <c r="AH572" i="1" l="1"/>
  <c r="AO572" i="1"/>
  <c r="AM572" i="1"/>
  <c r="AN572" i="1" s="1"/>
  <c r="AI572" i="1"/>
  <c r="AB572" i="1"/>
  <c r="AJ572" i="1" l="1"/>
  <c r="AO569" i="1"/>
  <c r="AM569" i="1"/>
  <c r="AN569" i="1" s="1"/>
  <c r="AI569" i="1"/>
  <c r="AB569" i="1"/>
  <c r="AJ569" i="1" l="1"/>
  <c r="AH607" i="1" l="1"/>
  <c r="AO415" i="1" l="1"/>
  <c r="AM415" i="1"/>
  <c r="AN415" i="1" s="1"/>
  <c r="AI415" i="1"/>
  <c r="AH415" i="1"/>
  <c r="AB415" i="1"/>
  <c r="AJ415" i="1" l="1"/>
  <c r="AH598" i="1" l="1"/>
  <c r="AO235" i="1"/>
  <c r="AM235" i="1"/>
  <c r="AN235" i="1" s="1"/>
  <c r="AI235" i="1"/>
  <c r="AH235" i="1"/>
  <c r="AB235" i="1"/>
  <c r="AO278" i="1"/>
  <c r="AM278" i="1"/>
  <c r="AN278" i="1" s="1"/>
  <c r="AI278" i="1"/>
  <c r="AH278" i="1"/>
  <c r="AB278" i="1"/>
  <c r="I127" i="9"/>
  <c r="F127" i="9"/>
  <c r="AO303" i="1"/>
  <c r="AM303" i="1"/>
  <c r="AH303" i="1"/>
  <c r="AJ235" i="1" l="1"/>
  <c r="AJ278" i="1"/>
  <c r="AH182" i="1"/>
  <c r="AI226" i="1" l="1"/>
  <c r="AN226" i="1" s="1"/>
  <c r="AB226" i="1"/>
  <c r="AJ226" i="1" s="1"/>
  <c r="K100" i="9" l="1"/>
  <c r="L100" i="9" s="1"/>
  <c r="AH365" i="1" l="1"/>
  <c r="AO365" i="1"/>
  <c r="AM365" i="1"/>
  <c r="AN365" i="1" s="1"/>
  <c r="AI365" i="1"/>
  <c r="AB365" i="1"/>
  <c r="AJ365" i="1" l="1"/>
  <c r="AH532" i="1"/>
  <c r="AH354" i="1" l="1"/>
  <c r="AO354" i="1"/>
  <c r="AM354" i="1"/>
  <c r="AN354" i="1" s="1"/>
  <c r="AI354" i="1"/>
  <c r="AB354" i="1"/>
  <c r="AJ354" i="1" l="1"/>
  <c r="AH534" i="1" l="1"/>
  <c r="AO534" i="1"/>
  <c r="AM534" i="1"/>
  <c r="AN534" i="1" s="1"/>
  <c r="AI534" i="1"/>
  <c r="AB534" i="1"/>
  <c r="AJ534" i="1" l="1"/>
  <c r="AO425" i="1" l="1"/>
  <c r="AM425" i="1"/>
  <c r="AN425" i="1" s="1"/>
  <c r="AI425" i="1"/>
  <c r="AH425" i="1"/>
  <c r="AB425" i="1"/>
  <c r="AJ425" i="1" l="1"/>
  <c r="AH520" i="1"/>
  <c r="AH507" i="1" l="1"/>
  <c r="AH316" i="1" l="1"/>
  <c r="AH342" i="1"/>
  <c r="AH343" i="1"/>
  <c r="AO234" i="1" l="1"/>
  <c r="AM234" i="1"/>
  <c r="AN234" i="1" s="1"/>
  <c r="AI234" i="1"/>
  <c r="AH234" i="1"/>
  <c r="AB234" i="1"/>
  <c r="AJ234" i="1" l="1"/>
  <c r="AH320" i="1"/>
  <c r="AO619" i="1" l="1"/>
  <c r="AM619" i="1"/>
  <c r="AN619" i="1" s="1"/>
  <c r="AI619" i="1"/>
  <c r="AH619" i="1"/>
  <c r="AB619" i="1"/>
  <c r="AJ619" i="1" l="1"/>
  <c r="AH641" i="1"/>
  <c r="AH640" i="1"/>
  <c r="AH551" i="1"/>
  <c r="AO694" i="1" l="1"/>
  <c r="AM694" i="1"/>
  <c r="AN694" i="1" s="1"/>
  <c r="AI694" i="1"/>
  <c r="AH694" i="1"/>
  <c r="AB694" i="1"/>
  <c r="AJ694" i="1" l="1"/>
  <c r="AO692" i="1"/>
  <c r="AM692" i="1"/>
  <c r="AN692" i="1" s="1"/>
  <c r="AI692" i="1"/>
  <c r="AH692" i="1"/>
  <c r="AB692" i="1"/>
  <c r="I315" i="9"/>
  <c r="F315" i="9"/>
  <c r="A315" i="9"/>
  <c r="B315" i="9"/>
  <c r="AO760" i="1"/>
  <c r="AM760" i="1"/>
  <c r="AH760" i="1"/>
  <c r="I214" i="9"/>
  <c r="F214" i="9"/>
  <c r="AO546" i="1"/>
  <c r="AM546" i="1"/>
  <c r="AH546" i="1"/>
  <c r="AO545" i="1"/>
  <c r="AM545" i="1"/>
  <c r="AN545" i="1" s="1"/>
  <c r="AI545" i="1"/>
  <c r="AH545" i="1"/>
  <c r="AB545" i="1"/>
  <c r="AJ545" i="1" l="1"/>
  <c r="AJ692" i="1"/>
  <c r="AO429" i="1"/>
  <c r="I160" i="9"/>
  <c r="F160" i="9"/>
  <c r="AM429" i="1"/>
  <c r="AB429" i="1" l="1"/>
  <c r="AJ429" i="1" s="1"/>
  <c r="AI429" i="1"/>
  <c r="AN429" i="1" s="1"/>
  <c r="AO358" i="1"/>
  <c r="AM358" i="1"/>
  <c r="AN358" i="1" s="1"/>
  <c r="AI358" i="1"/>
  <c r="AB358" i="1"/>
  <c r="K160" i="9" l="1"/>
  <c r="L160" i="9" s="1"/>
  <c r="AJ358" i="1"/>
  <c r="AH323" i="1"/>
  <c r="AH317" i="1" l="1"/>
  <c r="AO706" i="1" l="1"/>
  <c r="AM706" i="1"/>
  <c r="AN706" i="1" s="1"/>
  <c r="AI706" i="1"/>
  <c r="AH706" i="1"/>
  <c r="AB706" i="1"/>
  <c r="AJ706" i="1" l="1"/>
  <c r="AH410" i="1"/>
  <c r="I150" i="9"/>
  <c r="F150" i="9"/>
  <c r="AO410" i="1"/>
  <c r="AM410" i="1"/>
  <c r="AO564" i="1"/>
  <c r="AM564" i="1"/>
  <c r="AN564" i="1" s="1"/>
  <c r="AI564" i="1"/>
  <c r="AB564" i="1"/>
  <c r="AJ564" i="1" s="1"/>
  <c r="AH633" i="1"/>
  <c r="AO633" i="1"/>
  <c r="AM633" i="1"/>
  <c r="AN633" i="1" s="1"/>
  <c r="AI633" i="1"/>
  <c r="AB633" i="1"/>
  <c r="AJ633" i="1" l="1"/>
  <c r="AO310" i="1"/>
  <c r="AM310" i="1"/>
  <c r="AN310" i="1" s="1"/>
  <c r="AI310" i="1"/>
  <c r="AB310" i="1"/>
  <c r="AJ310" i="1" l="1"/>
  <c r="AO5" i="1"/>
  <c r="AM5" i="1"/>
  <c r="AN5" i="1" s="1"/>
  <c r="AI5" i="1"/>
  <c r="AH5" i="1"/>
  <c r="AB5" i="1"/>
  <c r="AJ5" i="1" l="1"/>
  <c r="AO264" i="1"/>
  <c r="AM264" i="1"/>
  <c r="AN264" i="1" s="1"/>
  <c r="AI264" i="1"/>
  <c r="AB264" i="1"/>
  <c r="AJ264" i="1" l="1"/>
  <c r="AH587" i="1" l="1"/>
  <c r="AO479" i="1" l="1"/>
  <c r="AM479" i="1"/>
  <c r="AH479" i="1"/>
  <c r="I125" i="9" l="1"/>
  <c r="F125" i="9"/>
  <c r="AO300" i="1"/>
  <c r="AM300" i="1"/>
  <c r="AH300" i="1"/>
  <c r="AB237" i="1" l="1"/>
  <c r="AJ237" i="1" s="1"/>
  <c r="AI237" i="1"/>
  <c r="AN237" i="1" s="1"/>
  <c r="K106" i="9" l="1"/>
  <c r="L106" i="9" s="1"/>
  <c r="AB301" i="1"/>
  <c r="AJ301" i="1" s="1"/>
  <c r="AI301" i="1"/>
  <c r="AN301" i="1" s="1"/>
  <c r="AO408" i="1"/>
  <c r="AM408" i="1"/>
  <c r="AN408" i="1" s="1"/>
  <c r="AI408" i="1"/>
  <c r="AH408" i="1"/>
  <c r="AB408" i="1"/>
  <c r="K126" i="9" l="1"/>
  <c r="L126" i="9" s="1"/>
  <c r="AJ408" i="1"/>
  <c r="AO423" i="1"/>
  <c r="AM423" i="1"/>
  <c r="AI423" i="1"/>
  <c r="AH423" i="1"/>
  <c r="AB423" i="1"/>
  <c r="AN423" i="1" l="1"/>
  <c r="AJ423" i="1"/>
  <c r="AO359" i="1"/>
  <c r="AM359" i="1"/>
  <c r="AN359" i="1" s="1"/>
  <c r="AI359" i="1"/>
  <c r="AB359" i="1"/>
  <c r="AO280" i="1"/>
  <c r="AM280" i="1"/>
  <c r="AN280" i="1" s="1"/>
  <c r="AI280" i="1"/>
  <c r="AH280" i="1"/>
  <c r="AB280" i="1"/>
  <c r="AJ359" i="1" l="1"/>
  <c r="AJ280" i="1"/>
  <c r="AH586" i="1"/>
  <c r="AO131" i="1" l="1"/>
  <c r="AM131" i="1"/>
  <c r="AN131" i="1" s="1"/>
  <c r="AI131" i="1"/>
  <c r="AH131" i="1"/>
  <c r="AB131" i="1"/>
  <c r="AJ131" i="1" l="1"/>
  <c r="AO71" i="1" l="1"/>
  <c r="AM71" i="1"/>
  <c r="AN71" i="1" s="1"/>
  <c r="AI71" i="1"/>
  <c r="AH71" i="1"/>
  <c r="AB71" i="1"/>
  <c r="AJ71" i="1" l="1"/>
  <c r="AO119" i="1"/>
  <c r="AM119" i="1"/>
  <c r="AN119" i="1" s="1"/>
  <c r="AI119" i="1"/>
  <c r="AB119" i="1"/>
  <c r="AH42" i="1"/>
  <c r="AO42" i="1"/>
  <c r="AM42" i="1"/>
  <c r="AN42" i="1" s="1"/>
  <c r="AI42" i="1"/>
  <c r="AB42" i="1"/>
  <c r="AH268" i="1"/>
  <c r="AO268" i="1"/>
  <c r="AM268" i="1"/>
  <c r="AN268" i="1" s="1"/>
  <c r="AI268" i="1"/>
  <c r="AB268" i="1"/>
  <c r="AH302" i="1"/>
  <c r="AO302" i="1"/>
  <c r="AM302" i="1"/>
  <c r="AN302" i="1" s="1"/>
  <c r="AI302" i="1"/>
  <c r="AB302" i="1"/>
  <c r="AH229" i="1"/>
  <c r="AO229" i="1"/>
  <c r="AM229" i="1"/>
  <c r="AN229" i="1" s="1"/>
  <c r="AI229" i="1"/>
  <c r="AB229" i="1"/>
  <c r="AH200" i="1"/>
  <c r="AO200" i="1"/>
  <c r="AM200" i="1"/>
  <c r="AN200" i="1" s="1"/>
  <c r="AI200" i="1"/>
  <c r="AB200" i="1"/>
  <c r="AH206" i="1"/>
  <c r="AO206" i="1"/>
  <c r="AM206" i="1"/>
  <c r="AN206" i="1" s="1"/>
  <c r="AI206" i="1"/>
  <c r="AB206" i="1"/>
  <c r="AH253" i="1"/>
  <c r="AO253" i="1"/>
  <c r="AM253" i="1"/>
  <c r="AN253" i="1" s="1"/>
  <c r="AI253" i="1"/>
  <c r="AB253" i="1"/>
  <c r="AO646" i="1"/>
  <c r="AM646" i="1"/>
  <c r="AN646" i="1" s="1"/>
  <c r="AI646" i="1"/>
  <c r="AH646" i="1"/>
  <c r="AB646" i="1"/>
  <c r="AJ119" i="1" l="1"/>
  <c r="AJ200" i="1"/>
  <c r="AJ646" i="1"/>
  <c r="AJ253" i="1"/>
  <c r="AJ206" i="1"/>
  <c r="AJ229" i="1"/>
  <c r="AJ302" i="1"/>
  <c r="AJ42" i="1"/>
  <c r="AJ268" i="1"/>
  <c r="AH362" i="1" l="1"/>
  <c r="AO362" i="1"/>
  <c r="AM362" i="1"/>
  <c r="AN362" i="1" s="1"/>
  <c r="AI362" i="1"/>
  <c r="AB362" i="1"/>
  <c r="AO805" i="1"/>
  <c r="AM805" i="1"/>
  <c r="AN805" i="1" s="1"/>
  <c r="AI805" i="1"/>
  <c r="AH805" i="1"/>
  <c r="AB805" i="1"/>
  <c r="AJ362" i="1" l="1"/>
  <c r="AJ805" i="1"/>
  <c r="AO816" i="1" l="1"/>
  <c r="AM816" i="1"/>
  <c r="AN816" i="1" s="1"/>
  <c r="AI816" i="1"/>
  <c r="AH816" i="1"/>
  <c r="AB816" i="1"/>
  <c r="AO815" i="1"/>
  <c r="AM815" i="1"/>
  <c r="AN815" i="1" s="1"/>
  <c r="AI815" i="1"/>
  <c r="AH815" i="1"/>
  <c r="AB815" i="1"/>
  <c r="AH467" i="1"/>
  <c r="AO467" i="1"/>
  <c r="AM467" i="1"/>
  <c r="AN467" i="1" s="1"/>
  <c r="AI467" i="1"/>
  <c r="AB467" i="1"/>
  <c r="AO813" i="1"/>
  <c r="AM813" i="1"/>
  <c r="AN813" i="1" s="1"/>
  <c r="AI813" i="1"/>
  <c r="AH813" i="1"/>
  <c r="AB813" i="1"/>
  <c r="AO469" i="1"/>
  <c r="AM469" i="1"/>
  <c r="AN469" i="1" s="1"/>
  <c r="AI469" i="1"/>
  <c r="AH469" i="1"/>
  <c r="AB469" i="1"/>
  <c r="AJ467" i="1" l="1"/>
  <c r="AJ816" i="1"/>
  <c r="AJ815" i="1"/>
  <c r="AJ813" i="1"/>
  <c r="AJ469" i="1"/>
  <c r="AB812" i="1" l="1"/>
  <c r="AO812" i="1"/>
  <c r="AM812" i="1"/>
  <c r="AN812" i="1" s="1"/>
  <c r="AI812" i="1"/>
  <c r="AH812" i="1"/>
  <c r="AO418" i="1"/>
  <c r="AM418" i="1"/>
  <c r="AN418" i="1" s="1"/>
  <c r="AI418" i="1"/>
  <c r="AH418" i="1"/>
  <c r="AB418" i="1"/>
  <c r="AJ812" i="1" l="1"/>
  <c r="AJ418" i="1"/>
  <c r="AH819" i="1" l="1"/>
  <c r="AO327" i="1" l="1"/>
  <c r="AM327" i="1"/>
  <c r="AN327" i="1" s="1"/>
  <c r="AI327" i="1"/>
  <c r="AH327" i="1"/>
  <c r="AB327" i="1"/>
  <c r="AJ327" i="1" l="1"/>
  <c r="I28" i="9"/>
  <c r="F28" i="9"/>
  <c r="AO47" i="1"/>
  <c r="AM47" i="1"/>
  <c r="AH47" i="1"/>
  <c r="AO17" i="1" l="1"/>
  <c r="AM17" i="1"/>
  <c r="AN17" i="1" s="1"/>
  <c r="AI17" i="1"/>
  <c r="AH17" i="1"/>
  <c r="AB17" i="1"/>
  <c r="AJ17" i="1" l="1"/>
  <c r="AH375" i="1"/>
  <c r="AH177" i="1" l="1"/>
  <c r="AO177" i="1"/>
  <c r="AM177" i="1"/>
  <c r="AN177" i="1" s="1"/>
  <c r="AI177" i="1"/>
  <c r="AB177" i="1"/>
  <c r="AO180" i="1"/>
  <c r="AM180" i="1"/>
  <c r="AN180" i="1" s="1"/>
  <c r="AI180" i="1"/>
  <c r="AH180" i="1"/>
  <c r="AB180" i="1"/>
  <c r="AJ180" i="1" l="1"/>
  <c r="AJ177" i="1"/>
  <c r="AO102" i="1"/>
  <c r="AM102" i="1"/>
  <c r="AN102" i="1" s="1"/>
  <c r="AI102" i="1"/>
  <c r="AH102" i="1"/>
  <c r="AB102" i="1"/>
  <c r="AJ102" i="1" l="1"/>
  <c r="I192" i="9" l="1"/>
  <c r="F192" i="9"/>
  <c r="AI496" i="1" s="1"/>
  <c r="AO496" i="1"/>
  <c r="AM496" i="1"/>
  <c r="AH496" i="1"/>
  <c r="AB496" i="1" l="1"/>
  <c r="AJ496" i="1" s="1"/>
  <c r="AN496" i="1"/>
  <c r="K192" i="9" l="1"/>
  <c r="L192" i="9" s="1"/>
  <c r="AO255" i="1"/>
  <c r="AM255" i="1"/>
  <c r="AN255" i="1" s="1"/>
  <c r="AI255" i="1"/>
  <c r="AH255" i="1"/>
  <c r="AB255" i="1"/>
  <c r="AO305" i="1"/>
  <c r="AM305" i="1"/>
  <c r="AN305" i="1" s="1"/>
  <c r="AI305" i="1"/>
  <c r="AH305" i="1"/>
  <c r="AB305" i="1"/>
  <c r="AO205" i="1"/>
  <c r="AM205" i="1"/>
  <c r="AN205" i="1" s="1"/>
  <c r="AI205" i="1"/>
  <c r="AH205" i="1"/>
  <c r="AB205" i="1"/>
  <c r="AJ255" i="1" l="1"/>
  <c r="AJ205" i="1"/>
  <c r="AJ305" i="1"/>
  <c r="AO600" i="1"/>
  <c r="AM600" i="1"/>
  <c r="AN600" i="1" s="1"/>
  <c r="AI600" i="1"/>
  <c r="AH600" i="1"/>
  <c r="AB600" i="1"/>
  <c r="AJ600" i="1" l="1"/>
  <c r="AO277" i="1"/>
  <c r="AM277" i="1"/>
  <c r="AN277" i="1" s="1"/>
  <c r="AI277" i="1"/>
  <c r="AH277" i="1"/>
  <c r="AB277" i="1"/>
  <c r="AO273" i="1"/>
  <c r="AM273" i="1"/>
  <c r="AH273" i="1"/>
  <c r="I114" i="9"/>
  <c r="F114" i="9"/>
  <c r="AI273" i="1" s="1"/>
  <c r="I115" i="9"/>
  <c r="F115" i="9"/>
  <c r="AO275" i="1"/>
  <c r="AM275" i="1"/>
  <c r="AH275" i="1"/>
  <c r="AO271" i="1"/>
  <c r="AM271" i="1"/>
  <c r="AN271" i="1" s="1"/>
  <c r="AI271" i="1"/>
  <c r="AH271" i="1"/>
  <c r="AB271" i="1"/>
  <c r="AO284" i="1"/>
  <c r="AM284" i="1"/>
  <c r="AN284" i="1" s="1"/>
  <c r="AI284" i="1"/>
  <c r="AH284" i="1"/>
  <c r="AB284" i="1"/>
  <c r="AO240" i="1"/>
  <c r="AM240" i="1"/>
  <c r="AN240" i="1" s="1"/>
  <c r="AI240" i="1"/>
  <c r="AH240" i="1"/>
  <c r="AB240" i="1"/>
  <c r="AO254" i="1"/>
  <c r="AM254" i="1"/>
  <c r="AN254" i="1" s="1"/>
  <c r="AI254" i="1"/>
  <c r="AH254" i="1"/>
  <c r="AB254" i="1"/>
  <c r="I109" i="9"/>
  <c r="F109" i="9"/>
  <c r="AO248" i="1"/>
  <c r="AM248" i="1"/>
  <c r="AH248" i="1"/>
  <c r="AO251" i="1"/>
  <c r="AM251" i="1"/>
  <c r="AN251" i="1" s="1"/>
  <c r="AI251" i="1"/>
  <c r="AH251" i="1"/>
  <c r="AB251" i="1"/>
  <c r="AO250" i="1"/>
  <c r="AM250" i="1"/>
  <c r="AN250" i="1" s="1"/>
  <c r="AI250" i="1"/>
  <c r="AH250" i="1"/>
  <c r="AB250" i="1"/>
  <c r="AO256" i="1"/>
  <c r="AM256" i="1"/>
  <c r="AN256" i="1" s="1"/>
  <c r="AI256" i="1"/>
  <c r="AH256" i="1"/>
  <c r="AB256" i="1"/>
  <c r="AJ271" i="1" l="1"/>
  <c r="AJ256" i="1"/>
  <c r="AJ254" i="1"/>
  <c r="AJ240" i="1"/>
  <c r="AN273" i="1"/>
  <c r="AJ277" i="1"/>
  <c r="AJ251" i="1"/>
  <c r="AJ284" i="1"/>
  <c r="AJ250" i="1"/>
  <c r="AB273" i="1"/>
  <c r="AJ273" i="1" s="1"/>
  <c r="AO202" i="1"/>
  <c r="AM202" i="1"/>
  <c r="AN202" i="1" s="1"/>
  <c r="AI202" i="1"/>
  <c r="AH202" i="1"/>
  <c r="AB202" i="1"/>
  <c r="AO641" i="1"/>
  <c r="AM641" i="1"/>
  <c r="AN641" i="1" s="1"/>
  <c r="AI641" i="1"/>
  <c r="AB641" i="1"/>
  <c r="I123" i="9"/>
  <c r="F123" i="9"/>
  <c r="AO296" i="1"/>
  <c r="AM296" i="1"/>
  <c r="AH296" i="1"/>
  <c r="K114" i="9" l="1"/>
  <c r="L114" i="9" s="1"/>
  <c r="AB230" i="1"/>
  <c r="AJ230" i="1" s="1"/>
  <c r="AI230" i="1"/>
  <c r="AN230" i="1" s="1"/>
  <c r="AJ202" i="1"/>
  <c r="AJ641" i="1"/>
  <c r="AB296" i="1"/>
  <c r="AJ296" i="1" s="1"/>
  <c r="AI296" i="1"/>
  <c r="AN296" i="1" s="1"/>
  <c r="K103" i="9" l="1"/>
  <c r="L103" i="9" s="1"/>
  <c r="K123" i="9"/>
  <c r="L123" i="9" s="1"/>
  <c r="AO446" i="1"/>
  <c r="AM446" i="1"/>
  <c r="AN446" i="1" s="1"/>
  <c r="AI446" i="1"/>
  <c r="AH446" i="1"/>
  <c r="AB446" i="1"/>
  <c r="AJ446" i="1" l="1"/>
  <c r="AI388" i="1"/>
  <c r="AH388" i="1"/>
  <c r="AB388" i="1"/>
  <c r="AO388" i="1"/>
  <c r="AM388" i="1"/>
  <c r="AN388" i="1" s="1"/>
  <c r="AJ388" i="1" l="1"/>
  <c r="I184" i="9"/>
  <c r="F184" i="9"/>
  <c r="AO478" i="1"/>
  <c r="AM478" i="1"/>
  <c r="AH478" i="1"/>
  <c r="AB479" i="1" l="1"/>
  <c r="AJ479" i="1" s="1"/>
  <c r="AO477" i="1"/>
  <c r="AM477" i="1"/>
  <c r="AN477" i="1" s="1"/>
  <c r="AI477" i="1"/>
  <c r="AB477" i="1"/>
  <c r="I76" i="9"/>
  <c r="F76" i="9"/>
  <c r="AO141" i="1"/>
  <c r="AM141" i="1"/>
  <c r="AH141" i="1"/>
  <c r="AO346" i="1"/>
  <c r="AM346" i="1"/>
  <c r="AN346" i="1" s="1"/>
  <c r="AI346" i="1"/>
  <c r="AB346" i="1"/>
  <c r="AO341" i="1"/>
  <c r="AM341" i="1"/>
  <c r="AN341" i="1" s="1"/>
  <c r="AI341" i="1"/>
  <c r="AB341" i="1"/>
  <c r="AI479" i="1" l="1"/>
  <c r="AN479" i="1" s="1"/>
  <c r="K184" i="9" s="1"/>
  <c r="AJ341" i="1"/>
  <c r="AJ346" i="1"/>
  <c r="AJ477" i="1"/>
  <c r="AH632" i="1" l="1"/>
  <c r="AO632" i="1" l="1"/>
  <c r="AM632" i="1"/>
  <c r="AN632" i="1" s="1"/>
  <c r="AI632" i="1"/>
  <c r="AB632" i="1"/>
  <c r="AJ632" i="1" s="1"/>
  <c r="AH735" i="1" l="1"/>
  <c r="F323" i="9"/>
  <c r="AH768" i="1"/>
  <c r="I99" i="9" l="1"/>
  <c r="F99" i="9"/>
  <c r="AO210" i="1"/>
  <c r="AM210" i="1"/>
  <c r="AH210" i="1"/>
  <c r="I107" i="9"/>
  <c r="F107" i="9"/>
  <c r="AO245" i="1"/>
  <c r="AM245" i="1"/>
  <c r="AH245" i="1"/>
  <c r="AI198" i="1" l="1"/>
  <c r="AN198" i="1" s="1"/>
  <c r="AB198" i="1"/>
  <c r="AJ198" i="1" s="1"/>
  <c r="I339" i="9"/>
  <c r="F339" i="9"/>
  <c r="AO819" i="1"/>
  <c r="AM819" i="1"/>
  <c r="AO532" i="1"/>
  <c r="AM532" i="1"/>
  <c r="AN532" i="1" s="1"/>
  <c r="AI532" i="1"/>
  <c r="AB532" i="1"/>
  <c r="AO563" i="1"/>
  <c r="AM563" i="1"/>
  <c r="AN563" i="1" s="1"/>
  <c r="AI563" i="1"/>
  <c r="AH563" i="1"/>
  <c r="AB563" i="1"/>
  <c r="AO775" i="1"/>
  <c r="AM775" i="1"/>
  <c r="AN775" i="1" s="1"/>
  <c r="AI775" i="1"/>
  <c r="AH775" i="1"/>
  <c r="AB775" i="1"/>
  <c r="AO778" i="1"/>
  <c r="AM778" i="1"/>
  <c r="AN778" i="1" s="1"/>
  <c r="AI778" i="1"/>
  <c r="AH778" i="1"/>
  <c r="AB778" i="1"/>
  <c r="K97" i="9" l="1"/>
  <c r="L97" i="9" s="1"/>
  <c r="AJ532" i="1"/>
  <c r="AJ563" i="1"/>
  <c r="AJ778" i="1"/>
  <c r="AJ775" i="1"/>
  <c r="I141" i="9"/>
  <c r="F141" i="9"/>
  <c r="AO391" i="1"/>
  <c r="AM391" i="1"/>
  <c r="AH391" i="1"/>
  <c r="AO770" i="1" l="1"/>
  <c r="AM770" i="1"/>
  <c r="AN770" i="1" s="1"/>
  <c r="AI770" i="1"/>
  <c r="AH770" i="1"/>
  <c r="AB770" i="1"/>
  <c r="AJ770" i="1" l="1"/>
  <c r="AH636" i="1"/>
  <c r="AO636" i="1" l="1"/>
  <c r="AM636" i="1"/>
  <c r="AN636" i="1" s="1"/>
  <c r="AI636" i="1"/>
  <c r="AB636" i="1"/>
  <c r="AJ636" i="1" s="1"/>
  <c r="AH72" i="1" l="1"/>
  <c r="AO72" i="1" l="1"/>
  <c r="AM72" i="1"/>
  <c r="AN72" i="1" s="1"/>
  <c r="AI72" i="1"/>
  <c r="AB72" i="1"/>
  <c r="AJ72" i="1" s="1"/>
  <c r="AB11" i="1" l="1"/>
  <c r="AJ11" i="1" s="1"/>
  <c r="AI11" i="1"/>
  <c r="AN11" i="1" s="1"/>
  <c r="K7" i="9" l="1"/>
  <c r="L7" i="9" s="1"/>
  <c r="AO373" i="1"/>
  <c r="AM373" i="1"/>
  <c r="AN373" i="1" s="1"/>
  <c r="AI373" i="1"/>
  <c r="AB373" i="1"/>
  <c r="AO371" i="1"/>
  <c r="AM371" i="1"/>
  <c r="AN371" i="1" s="1"/>
  <c r="AI371" i="1"/>
  <c r="AB371" i="1"/>
  <c r="AO370" i="1"/>
  <c r="AM370" i="1"/>
  <c r="AN370" i="1" s="1"/>
  <c r="AI370" i="1"/>
  <c r="AB370" i="1"/>
  <c r="AO369" i="1"/>
  <c r="AM369" i="1"/>
  <c r="AN369" i="1" s="1"/>
  <c r="AI369" i="1"/>
  <c r="AB369" i="1"/>
  <c r="AO179" i="1"/>
  <c r="AM179" i="1"/>
  <c r="AN179" i="1" s="1"/>
  <c r="AI179" i="1"/>
  <c r="AH179" i="1"/>
  <c r="AB179" i="1"/>
  <c r="AO191" i="1"/>
  <c r="AM191" i="1"/>
  <c r="AN191" i="1" s="1"/>
  <c r="AI191" i="1"/>
  <c r="AH191" i="1"/>
  <c r="AB191" i="1"/>
  <c r="AO192" i="1"/>
  <c r="AM192" i="1"/>
  <c r="AN192" i="1" s="1"/>
  <c r="AI192" i="1"/>
  <c r="AH192" i="1"/>
  <c r="AB192" i="1"/>
  <c r="AO194" i="1"/>
  <c r="AM194" i="1"/>
  <c r="AN194" i="1" s="1"/>
  <c r="AI194" i="1"/>
  <c r="AH194" i="1"/>
  <c r="AB194" i="1"/>
  <c r="AJ373" i="1" l="1"/>
  <c r="AJ370" i="1"/>
  <c r="AJ371" i="1"/>
  <c r="AJ369" i="1"/>
  <c r="AJ194" i="1"/>
  <c r="AJ192" i="1"/>
  <c r="AJ179" i="1"/>
  <c r="AJ191" i="1"/>
  <c r="AH368" i="1"/>
  <c r="I134" i="9"/>
  <c r="F134" i="9"/>
  <c r="AO368" i="1"/>
  <c r="AM368" i="1"/>
  <c r="I244" i="9"/>
  <c r="F244" i="9"/>
  <c r="AO618" i="1"/>
  <c r="AM618" i="1"/>
  <c r="AH618" i="1"/>
  <c r="AI90" i="1" l="1"/>
  <c r="AN90" i="1" s="1"/>
  <c r="AB90" i="1"/>
  <c r="AJ90" i="1" s="1"/>
  <c r="AB368" i="1"/>
  <c r="AJ368" i="1" s="1"/>
  <c r="AI368" i="1"/>
  <c r="AN368" i="1" s="1"/>
  <c r="AO507" i="1"/>
  <c r="AM507" i="1"/>
  <c r="AI507" i="1"/>
  <c r="AB507" i="1"/>
  <c r="AO620" i="1"/>
  <c r="AM620" i="1"/>
  <c r="AN620" i="1" s="1"/>
  <c r="AI620" i="1"/>
  <c r="AH620" i="1"/>
  <c r="AB620" i="1"/>
  <c r="AO639" i="1"/>
  <c r="AM639" i="1"/>
  <c r="AN639" i="1" s="1"/>
  <c r="AI639" i="1"/>
  <c r="AH639" i="1"/>
  <c r="AB639" i="1"/>
  <c r="AO638" i="1"/>
  <c r="AM638" i="1"/>
  <c r="AN638" i="1" s="1"/>
  <c r="AI638" i="1"/>
  <c r="AH638" i="1"/>
  <c r="AB638" i="1"/>
  <c r="AO551" i="1"/>
  <c r="AM551" i="1"/>
  <c r="AN551" i="1" s="1"/>
  <c r="AI551" i="1"/>
  <c r="AB551" i="1"/>
  <c r="K134" i="9" l="1"/>
  <c r="L134" i="9" s="1"/>
  <c r="K53" i="9"/>
  <c r="L53" i="9" s="1"/>
  <c r="AI363" i="1"/>
  <c r="AN363" i="1" s="1"/>
  <c r="AB363" i="1"/>
  <c r="AJ363" i="1" s="1"/>
  <c r="AJ507" i="1"/>
  <c r="AJ638" i="1"/>
  <c r="AJ639" i="1"/>
  <c r="AJ620" i="1"/>
  <c r="AN507" i="1"/>
  <c r="AJ551" i="1"/>
  <c r="I240" i="9"/>
  <c r="F240" i="9"/>
  <c r="AO614" i="1"/>
  <c r="AM614" i="1"/>
  <c r="AH614" i="1"/>
  <c r="I239" i="9"/>
  <c r="F239" i="9"/>
  <c r="AO613" i="1"/>
  <c r="AM613" i="1"/>
  <c r="AH613" i="1"/>
  <c r="I242" i="9"/>
  <c r="F242" i="9"/>
  <c r="AO616" i="1"/>
  <c r="AM616" i="1"/>
  <c r="AH616" i="1"/>
  <c r="I222" i="9"/>
  <c r="F222" i="9"/>
  <c r="AO583" i="1"/>
  <c r="AM583" i="1"/>
  <c r="AH583" i="1"/>
  <c r="AO634" i="1"/>
  <c r="AM634" i="1"/>
  <c r="AN634" i="1" s="1"/>
  <c r="AI634" i="1"/>
  <c r="AH634" i="1"/>
  <c r="AB634" i="1"/>
  <c r="I221" i="9"/>
  <c r="F221" i="9"/>
  <c r="AO582" i="1"/>
  <c r="AM582" i="1"/>
  <c r="AH582" i="1"/>
  <c r="I220" i="9"/>
  <c r="F220" i="9"/>
  <c r="AO581" i="1"/>
  <c r="AM581" i="1"/>
  <c r="AH581" i="1"/>
  <c r="AO543" i="1"/>
  <c r="AM543" i="1"/>
  <c r="AN543" i="1" s="1"/>
  <c r="AI543" i="1"/>
  <c r="AH543" i="1"/>
  <c r="AB543" i="1"/>
  <c r="AO637" i="1"/>
  <c r="AM637" i="1"/>
  <c r="AN637" i="1" s="1"/>
  <c r="AI637" i="1"/>
  <c r="AH637" i="1"/>
  <c r="AB637" i="1"/>
  <c r="I248" i="9"/>
  <c r="F248" i="9"/>
  <c r="AO625" i="1"/>
  <c r="AM625" i="1"/>
  <c r="AH625" i="1"/>
  <c r="I249" i="9"/>
  <c r="F249" i="9"/>
  <c r="AO626" i="1"/>
  <c r="AM626" i="1"/>
  <c r="AH626" i="1"/>
  <c r="I250" i="9"/>
  <c r="F250" i="9"/>
  <c r="AO627" i="1"/>
  <c r="AM627" i="1"/>
  <c r="AH627" i="1"/>
  <c r="AO630" i="1"/>
  <c r="AM630" i="1"/>
  <c r="AN630" i="1" s="1"/>
  <c r="AI630" i="1"/>
  <c r="AH630" i="1"/>
  <c r="AB630" i="1"/>
  <c r="K133" i="9" l="1"/>
  <c r="L133" i="9" s="1"/>
  <c r="AB616" i="1"/>
  <c r="AJ616" i="1" s="1"/>
  <c r="AJ637" i="1"/>
  <c r="AJ634" i="1"/>
  <c r="AJ630" i="1"/>
  <c r="AJ543" i="1"/>
  <c r="AI616" i="1" l="1"/>
  <c r="AN616" i="1" s="1"/>
  <c r="AB615" i="1"/>
  <c r="AJ615" i="1" s="1"/>
  <c r="AI615" i="1"/>
  <c r="AN615" i="1" s="1"/>
  <c r="AI580" i="1"/>
  <c r="AN580" i="1" s="1"/>
  <c r="AB580" i="1"/>
  <c r="AJ580" i="1" s="1"/>
  <c r="AB622" i="1"/>
  <c r="AJ622" i="1" s="1"/>
  <c r="AI622" i="1"/>
  <c r="AN622" i="1" s="1"/>
  <c r="K242" i="9" l="1"/>
  <c r="L242" i="9" s="1"/>
  <c r="K219" i="9"/>
  <c r="L219" i="9" s="1"/>
  <c r="K245" i="9"/>
  <c r="L245" i="9" s="1"/>
  <c r="K241" i="9"/>
  <c r="L241" i="9" s="1"/>
  <c r="AO807" i="1"/>
  <c r="AM807" i="1"/>
  <c r="AN807" i="1" s="1"/>
  <c r="AI807" i="1"/>
  <c r="AH807" i="1"/>
  <c r="AB807" i="1"/>
  <c r="AJ807" i="1" l="1"/>
  <c r="I212" i="9"/>
  <c r="F212" i="9"/>
  <c r="AH531" i="1"/>
  <c r="AO531" i="1"/>
  <c r="AM531" i="1"/>
  <c r="AH599" i="1"/>
  <c r="AO599" i="1" l="1"/>
  <c r="AM599" i="1"/>
  <c r="AN599" i="1" s="1"/>
  <c r="AI599" i="1"/>
  <c r="AB599" i="1"/>
  <c r="AJ599" i="1" s="1"/>
  <c r="AO527" i="1"/>
  <c r="AM527" i="1"/>
  <c r="AN527" i="1" s="1"/>
  <c r="AI527" i="1"/>
  <c r="AH527" i="1"/>
  <c r="AB527" i="1"/>
  <c r="I210" i="9"/>
  <c r="F210" i="9"/>
  <c r="AO520" i="1"/>
  <c r="AM520" i="1"/>
  <c r="AN520" i="1" s="1"/>
  <c r="AI520" i="1"/>
  <c r="AB520" i="1"/>
  <c r="AO519" i="1"/>
  <c r="AM519" i="1"/>
  <c r="AH519" i="1"/>
  <c r="I209" i="9"/>
  <c r="F209" i="9"/>
  <c r="AO517" i="1"/>
  <c r="AM517" i="1"/>
  <c r="AN517" i="1" s="1"/>
  <c r="AI517" i="1"/>
  <c r="AH517" i="1"/>
  <c r="AB517" i="1"/>
  <c r="AO516" i="1"/>
  <c r="AM516" i="1"/>
  <c r="AH516" i="1"/>
  <c r="AJ517" i="1" l="1"/>
  <c r="AJ520" i="1"/>
  <c r="AJ527" i="1"/>
  <c r="AH364" i="1"/>
  <c r="AO364" i="1"/>
  <c r="AM364" i="1"/>
  <c r="AN364" i="1" s="1"/>
  <c r="AI364" i="1"/>
  <c r="AB364" i="1"/>
  <c r="AH326" i="1"/>
  <c r="AO326" i="1"/>
  <c r="AM326" i="1"/>
  <c r="AN326" i="1" s="1"/>
  <c r="AI326" i="1"/>
  <c r="AB326" i="1"/>
  <c r="AJ326" i="1" l="1"/>
  <c r="AJ364" i="1"/>
  <c r="AH523" i="1" l="1"/>
  <c r="I341" i="9" l="1"/>
  <c r="F341" i="9"/>
  <c r="I340" i="9"/>
  <c r="F340" i="9"/>
  <c r="I337" i="9"/>
  <c r="F337" i="9"/>
  <c r="AI801" i="1" s="1"/>
  <c r="I336" i="9"/>
  <c r="F336" i="9"/>
  <c r="AB800" i="1" s="1"/>
  <c r="I335" i="9"/>
  <c r="F335" i="9"/>
  <c r="I333" i="9"/>
  <c r="F333" i="9"/>
  <c r="I332" i="9"/>
  <c r="F332" i="9"/>
  <c r="AI794" i="1" s="1"/>
  <c r="I331" i="9"/>
  <c r="F331" i="9"/>
  <c r="AI793" i="1" s="1"/>
  <c r="I330" i="9"/>
  <c r="F330" i="9"/>
  <c r="I329" i="9"/>
  <c r="F329" i="9"/>
  <c r="AB791" i="1" s="1"/>
  <c r="I328" i="9"/>
  <c r="F328" i="9"/>
  <c r="AB790" i="1" s="1"/>
  <c r="I327" i="9"/>
  <c r="F327" i="9"/>
  <c r="I326" i="9"/>
  <c r="F326" i="9"/>
  <c r="AI788" i="1" s="1"/>
  <c r="I325" i="9"/>
  <c r="F325" i="9"/>
  <c r="I324" i="9"/>
  <c r="F324" i="9"/>
  <c r="I323" i="9"/>
  <c r="I320" i="9"/>
  <c r="F320" i="9"/>
  <c r="I319" i="9"/>
  <c r="F319" i="9"/>
  <c r="I318" i="9"/>
  <c r="F318" i="9"/>
  <c r="AB763" i="1" s="1"/>
  <c r="I317" i="9"/>
  <c r="F317" i="9"/>
  <c r="I316" i="9"/>
  <c r="F316" i="9"/>
  <c r="AB761" i="1" s="1"/>
  <c r="I314" i="9"/>
  <c r="F314" i="9"/>
  <c r="I312" i="9"/>
  <c r="F312" i="9"/>
  <c r="AI757" i="1" s="1"/>
  <c r="I311" i="9"/>
  <c r="F311" i="9"/>
  <c r="I310" i="9"/>
  <c r="F310" i="9"/>
  <c r="AB755" i="1" s="1"/>
  <c r="I309" i="9"/>
  <c r="F309" i="9"/>
  <c r="I308" i="9"/>
  <c r="F308" i="9"/>
  <c r="AB753" i="1" s="1"/>
  <c r="I307" i="9"/>
  <c r="F307" i="9"/>
  <c r="I306" i="9"/>
  <c r="F306" i="9"/>
  <c r="I304" i="9"/>
  <c r="F304" i="9"/>
  <c r="I303" i="9"/>
  <c r="F303" i="9"/>
  <c r="I302" i="9"/>
  <c r="F302" i="9"/>
  <c r="I301" i="9"/>
  <c r="F301" i="9"/>
  <c r="I299" i="9"/>
  <c r="F299" i="9"/>
  <c r="I298" i="9"/>
  <c r="F298" i="9"/>
  <c r="I296" i="9"/>
  <c r="F296" i="9"/>
  <c r="I295" i="9"/>
  <c r="F295" i="9"/>
  <c r="I294" i="9"/>
  <c r="F294" i="9"/>
  <c r="I293" i="9"/>
  <c r="F293" i="9"/>
  <c r="I292" i="9"/>
  <c r="F292" i="9"/>
  <c r="AB737" i="1" s="1"/>
  <c r="I290" i="9"/>
  <c r="F290" i="9"/>
  <c r="I289" i="9"/>
  <c r="F289" i="9"/>
  <c r="I288" i="9"/>
  <c r="F288" i="9"/>
  <c r="I287" i="9"/>
  <c r="F287" i="9"/>
  <c r="I286" i="9"/>
  <c r="F286" i="9"/>
  <c r="AI731" i="1" s="1"/>
  <c r="I285" i="9"/>
  <c r="F285" i="9"/>
  <c r="I284" i="9"/>
  <c r="F284" i="9"/>
  <c r="AI729" i="1" s="1"/>
  <c r="I283" i="9"/>
  <c r="F283" i="9"/>
  <c r="AB728" i="1" s="1"/>
  <c r="I282" i="9"/>
  <c r="F282" i="9"/>
  <c r="I281" i="9"/>
  <c r="F281" i="9"/>
  <c r="I280" i="9"/>
  <c r="F280" i="9"/>
  <c r="I278" i="9"/>
  <c r="F278" i="9"/>
  <c r="AI723" i="1" s="1"/>
  <c r="I277" i="9"/>
  <c r="F277" i="9"/>
  <c r="AI722" i="1" s="1"/>
  <c r="I276" i="9"/>
  <c r="F276" i="9"/>
  <c r="I275" i="9"/>
  <c r="F275" i="9"/>
  <c r="AB720" i="1" s="1"/>
  <c r="I274" i="9"/>
  <c r="F274" i="9"/>
  <c r="AB719" i="1" s="1"/>
  <c r="I273" i="9"/>
  <c r="F273" i="9"/>
  <c r="I272" i="9"/>
  <c r="F272" i="9"/>
  <c r="I271" i="9"/>
  <c r="F271" i="9"/>
  <c r="I270" i="9"/>
  <c r="F270" i="9"/>
  <c r="AI715" i="1" s="1"/>
  <c r="I269" i="9"/>
  <c r="F269" i="9"/>
  <c r="I268" i="9"/>
  <c r="F268" i="9"/>
  <c r="I267" i="9"/>
  <c r="F267" i="9"/>
  <c r="I266" i="9"/>
  <c r="F266" i="9"/>
  <c r="I265" i="9"/>
  <c r="F265" i="9"/>
  <c r="I264" i="9"/>
  <c r="F264" i="9"/>
  <c r="AB679" i="1" s="1"/>
  <c r="I263" i="9"/>
  <c r="F263" i="9"/>
  <c r="I262" i="9"/>
  <c r="F262" i="9"/>
  <c r="AB677" i="1" s="1"/>
  <c r="I261" i="9"/>
  <c r="F261" i="9"/>
  <c r="I260" i="9"/>
  <c r="F260" i="9"/>
  <c r="I259" i="9"/>
  <c r="F259" i="9"/>
  <c r="I258" i="9"/>
  <c r="F258" i="9"/>
  <c r="I257" i="9"/>
  <c r="F257" i="9"/>
  <c r="I256" i="9"/>
  <c r="F256" i="9"/>
  <c r="I254" i="9"/>
  <c r="F254" i="9"/>
  <c r="I253" i="9"/>
  <c r="F253" i="9"/>
  <c r="AB668" i="1" s="1"/>
  <c r="I252" i="9"/>
  <c r="F252" i="9"/>
  <c r="AB667" i="1" s="1"/>
  <c r="I251" i="9"/>
  <c r="F251" i="9"/>
  <c r="I243" i="9"/>
  <c r="F243" i="9"/>
  <c r="I237" i="9"/>
  <c r="F237" i="9"/>
  <c r="I235" i="9"/>
  <c r="F235" i="9"/>
  <c r="I233" i="9"/>
  <c r="F233" i="9"/>
  <c r="I231" i="9"/>
  <c r="F231" i="9"/>
  <c r="I229" i="9"/>
  <c r="F229" i="9"/>
  <c r="I227" i="9"/>
  <c r="F227" i="9"/>
  <c r="I226" i="9"/>
  <c r="F226" i="9"/>
  <c r="AI594" i="1" s="1"/>
  <c r="I225" i="9"/>
  <c r="F225" i="9"/>
  <c r="I223" i="9"/>
  <c r="F223" i="9"/>
  <c r="I217" i="9"/>
  <c r="F217" i="9"/>
  <c r="I216" i="9"/>
  <c r="F216" i="9"/>
  <c r="I215" i="9"/>
  <c r="F215" i="9"/>
  <c r="AB554" i="1" s="1"/>
  <c r="I213" i="9"/>
  <c r="F213" i="9"/>
  <c r="I211" i="9"/>
  <c r="F211" i="9"/>
  <c r="I208" i="9"/>
  <c r="F208" i="9"/>
  <c r="I207" i="9"/>
  <c r="F207" i="9"/>
  <c r="AB514" i="1" s="1"/>
  <c r="I206" i="9"/>
  <c r="F206" i="9"/>
  <c r="AI512" i="1" s="1"/>
  <c r="I205" i="9"/>
  <c r="F205" i="9"/>
  <c r="I204" i="9"/>
  <c r="F204" i="9"/>
  <c r="AI510" i="1" s="1"/>
  <c r="I203" i="9"/>
  <c r="F203" i="9"/>
  <c r="AI509" i="1" s="1"/>
  <c r="I202" i="9"/>
  <c r="F202" i="9"/>
  <c r="I201" i="9"/>
  <c r="F201" i="9"/>
  <c r="I200" i="9"/>
  <c r="F200" i="9"/>
  <c r="AI504" i="1" s="1"/>
  <c r="I199" i="9"/>
  <c r="F199" i="9"/>
  <c r="I198" i="9"/>
  <c r="F198" i="9"/>
  <c r="I197" i="9"/>
  <c r="F197" i="9"/>
  <c r="I196" i="9"/>
  <c r="F196" i="9"/>
  <c r="AI500" i="1" s="1"/>
  <c r="I195" i="9"/>
  <c r="F195" i="9"/>
  <c r="AB499" i="1" s="1"/>
  <c r="I194" i="9"/>
  <c r="F194" i="9"/>
  <c r="AB498" i="1" s="1"/>
  <c r="I193" i="9"/>
  <c r="F193" i="9"/>
  <c r="AB497" i="1" s="1"/>
  <c r="I191" i="9"/>
  <c r="F191" i="9"/>
  <c r="AB494" i="1" s="1"/>
  <c r="I190" i="9"/>
  <c r="F190" i="9"/>
  <c r="AI493" i="1" s="1"/>
  <c r="I189" i="9"/>
  <c r="F189" i="9"/>
  <c r="AI489" i="1" s="1"/>
  <c r="I188" i="9"/>
  <c r="F188" i="9"/>
  <c r="AI488" i="1" s="1"/>
  <c r="I187" i="9"/>
  <c r="F187" i="9"/>
  <c r="AI486" i="1" s="1"/>
  <c r="I180" i="9"/>
  <c r="F180" i="9"/>
  <c r="AB466" i="1" s="1"/>
  <c r="I179" i="9"/>
  <c r="F179" i="9"/>
  <c r="I178" i="9"/>
  <c r="F178" i="9"/>
  <c r="I176" i="9"/>
  <c r="F176" i="9"/>
  <c r="I175" i="9"/>
  <c r="F175" i="9"/>
  <c r="AB460" i="1" s="1"/>
  <c r="I174" i="9"/>
  <c r="F174" i="9"/>
  <c r="I173" i="9"/>
  <c r="F173" i="9"/>
  <c r="AB458" i="1" s="1"/>
  <c r="I172" i="9"/>
  <c r="F172" i="9"/>
  <c r="I170" i="9"/>
  <c r="F170" i="9"/>
  <c r="I169" i="9"/>
  <c r="F169" i="9"/>
  <c r="I167" i="9"/>
  <c r="F167" i="9"/>
  <c r="I166" i="9"/>
  <c r="F166" i="9"/>
  <c r="AB441" i="1" s="1"/>
  <c r="I165" i="9"/>
  <c r="F165" i="9"/>
  <c r="AI440" i="1" s="1"/>
  <c r="I164" i="9"/>
  <c r="F164" i="9"/>
  <c r="I162" i="9"/>
  <c r="F162" i="9"/>
  <c r="I159" i="9"/>
  <c r="F159" i="9"/>
  <c r="I157" i="9"/>
  <c r="F157" i="9"/>
  <c r="I156" i="9"/>
  <c r="F156" i="9"/>
  <c r="AI422" i="1" s="1"/>
  <c r="I154" i="9"/>
  <c r="F154" i="9"/>
  <c r="AI420" i="1" s="1"/>
  <c r="I149" i="9"/>
  <c r="F149" i="9"/>
  <c r="I146" i="9"/>
  <c r="F146" i="9"/>
  <c r="I145" i="9"/>
  <c r="F145" i="9"/>
  <c r="I140" i="9"/>
  <c r="F140" i="9"/>
  <c r="AB390" i="1" s="1"/>
  <c r="I139" i="9"/>
  <c r="F139" i="9"/>
  <c r="I137" i="9"/>
  <c r="F137" i="9"/>
  <c r="I136" i="9"/>
  <c r="F136" i="9"/>
  <c r="I135" i="9"/>
  <c r="F135" i="9"/>
  <c r="I130" i="9"/>
  <c r="F130" i="9"/>
  <c r="I129" i="9"/>
  <c r="F129" i="9"/>
  <c r="I128" i="9"/>
  <c r="F128" i="9"/>
  <c r="AB304" i="1" s="1"/>
  <c r="I124" i="9"/>
  <c r="F124" i="9"/>
  <c r="I122" i="9"/>
  <c r="F122" i="9"/>
  <c r="I121" i="9"/>
  <c r="F121" i="9"/>
  <c r="I120" i="9"/>
  <c r="F120" i="9"/>
  <c r="I119" i="9"/>
  <c r="F119" i="9"/>
  <c r="AI290" i="1" s="1"/>
  <c r="I118" i="9"/>
  <c r="F118" i="9"/>
  <c r="I117" i="9"/>
  <c r="F117" i="9"/>
  <c r="I116" i="9"/>
  <c r="F116" i="9"/>
  <c r="I111" i="9"/>
  <c r="F111" i="9"/>
  <c r="I110" i="9"/>
  <c r="F110" i="9"/>
  <c r="I108" i="9"/>
  <c r="F108" i="9"/>
  <c r="AI247" i="1" s="1"/>
  <c r="I102" i="9"/>
  <c r="F102" i="9"/>
  <c r="AI228" i="1" s="1"/>
  <c r="I93" i="9"/>
  <c r="F93" i="9"/>
  <c r="I91" i="9"/>
  <c r="F91" i="9"/>
  <c r="I90" i="9"/>
  <c r="F90" i="9"/>
  <c r="AI172" i="1" s="1"/>
  <c r="I89" i="9"/>
  <c r="F89" i="9"/>
  <c r="I88" i="9"/>
  <c r="F88" i="9"/>
  <c r="AI170" i="1" s="1"/>
  <c r="I86" i="9"/>
  <c r="F86" i="9"/>
  <c r="I85" i="9"/>
  <c r="F85" i="9"/>
  <c r="AI167" i="1" s="1"/>
  <c r="I84" i="9"/>
  <c r="F84" i="9"/>
  <c r="I83" i="9"/>
  <c r="F83" i="9"/>
  <c r="AI165" i="1" s="1"/>
  <c r="I82" i="9"/>
  <c r="F82" i="9"/>
  <c r="AI164" i="1" s="1"/>
  <c r="I81" i="9"/>
  <c r="F81" i="9"/>
  <c r="AI163" i="1" s="1"/>
  <c r="I80" i="9"/>
  <c r="F80" i="9"/>
  <c r="I79" i="9"/>
  <c r="F79" i="9"/>
  <c r="AI161" i="1" s="1"/>
  <c r="I78" i="9"/>
  <c r="F78" i="9"/>
  <c r="I77" i="9"/>
  <c r="F77" i="9"/>
  <c r="AI142" i="1" s="1"/>
  <c r="I75" i="9"/>
  <c r="F75" i="9"/>
  <c r="I74" i="9"/>
  <c r="F74" i="9"/>
  <c r="I73" i="9"/>
  <c r="F73" i="9"/>
  <c r="I72" i="9"/>
  <c r="F72" i="9"/>
  <c r="I70" i="9"/>
  <c r="F70" i="9"/>
  <c r="AI133" i="1" s="1"/>
  <c r="I69" i="9"/>
  <c r="F69" i="9"/>
  <c r="I67" i="9"/>
  <c r="F67" i="9"/>
  <c r="I66" i="9"/>
  <c r="F66" i="9"/>
  <c r="AI127" i="1" s="1"/>
  <c r="I65" i="9"/>
  <c r="F65" i="9"/>
  <c r="I64" i="9"/>
  <c r="F64" i="9"/>
  <c r="AI114" i="1" s="1"/>
  <c r="I63" i="9"/>
  <c r="F63" i="9"/>
  <c r="AB112" i="1" s="1"/>
  <c r="I62" i="9"/>
  <c r="F62" i="9"/>
  <c r="I61" i="9"/>
  <c r="F61" i="9"/>
  <c r="I60" i="9"/>
  <c r="F60" i="9"/>
  <c r="AB109" i="1" s="1"/>
  <c r="I59" i="9"/>
  <c r="F59" i="9"/>
  <c r="I58" i="9"/>
  <c r="F58" i="9"/>
  <c r="AB104" i="1" s="1"/>
  <c r="I56" i="9"/>
  <c r="F56" i="9"/>
  <c r="I54" i="9"/>
  <c r="F54" i="9"/>
  <c r="AI93" i="1" s="1"/>
  <c r="I52" i="9"/>
  <c r="F52" i="9"/>
  <c r="AB89" i="1" s="1"/>
  <c r="I49" i="9"/>
  <c r="F49" i="9"/>
  <c r="AI85" i="1" s="1"/>
  <c r="I47" i="9"/>
  <c r="F47" i="9"/>
  <c r="I46" i="9"/>
  <c r="F46" i="9"/>
  <c r="AI81" i="1" s="1"/>
  <c r="I45" i="9"/>
  <c r="F45" i="9"/>
  <c r="AI79" i="1" s="1"/>
  <c r="I44" i="9"/>
  <c r="F44" i="9"/>
  <c r="AI78" i="1" s="1"/>
  <c r="I43" i="9"/>
  <c r="F43" i="9"/>
  <c r="AI77" i="1" s="1"/>
  <c r="I42" i="9"/>
  <c r="F42" i="9"/>
  <c r="AI76" i="1" s="1"/>
  <c r="I41" i="9"/>
  <c r="F41" i="9"/>
  <c r="AI75" i="1" s="1"/>
  <c r="I40" i="9"/>
  <c r="F40" i="9"/>
  <c r="AI74" i="1" s="1"/>
  <c r="I39" i="9"/>
  <c r="F39" i="9"/>
  <c r="I37" i="9"/>
  <c r="F37" i="9"/>
  <c r="AI57" i="1" s="1"/>
  <c r="I36" i="9"/>
  <c r="F36" i="9"/>
  <c r="AI56" i="1" s="1"/>
  <c r="I35" i="9"/>
  <c r="F35" i="9"/>
  <c r="AI55" i="1" s="1"/>
  <c r="I34" i="9"/>
  <c r="F34" i="9"/>
  <c r="AI54" i="1" s="1"/>
  <c r="I32" i="9"/>
  <c r="F32" i="9"/>
  <c r="AB51" i="1" s="1"/>
  <c r="I31" i="9"/>
  <c r="F31" i="9"/>
  <c r="AB50" i="1" s="1"/>
  <c r="I30" i="9"/>
  <c r="F30" i="9"/>
  <c r="AB49" i="1" s="1"/>
  <c r="I27" i="9"/>
  <c r="F27" i="9"/>
  <c r="I24" i="9"/>
  <c r="F24" i="9"/>
  <c r="I22" i="9"/>
  <c r="F22" i="9"/>
  <c r="AI37" i="1" s="1"/>
  <c r="I19" i="9"/>
  <c r="F19" i="9"/>
  <c r="I18" i="9"/>
  <c r="F18" i="9"/>
  <c r="AI31" i="1" s="1"/>
  <c r="I17" i="9"/>
  <c r="F17" i="9"/>
  <c r="AI29" i="1" s="1"/>
  <c r="I16" i="9"/>
  <c r="F16" i="9"/>
  <c r="I13" i="9"/>
  <c r="F13" i="9"/>
  <c r="I11" i="9"/>
  <c r="F11" i="9"/>
  <c r="I8" i="9"/>
  <c r="F8" i="9"/>
  <c r="I5" i="9"/>
  <c r="F5" i="9"/>
  <c r="I2" i="9"/>
  <c r="F2" i="9"/>
  <c r="U2" i="2"/>
  <c r="V2" i="2" s="1"/>
  <c r="W2" i="2" s="1"/>
  <c r="AO821" i="1"/>
  <c r="AM821" i="1"/>
  <c r="AH821" i="1"/>
  <c r="AO820" i="1"/>
  <c r="AM820" i="1"/>
  <c r="AH820" i="1"/>
  <c r="AO818" i="1"/>
  <c r="AM818" i="1"/>
  <c r="AN818" i="1" s="1"/>
  <c r="AI818" i="1"/>
  <c r="AH818" i="1"/>
  <c r="AB818" i="1"/>
  <c r="AO817" i="1"/>
  <c r="AM817" i="1"/>
  <c r="AN817" i="1" s="1"/>
  <c r="AI817" i="1"/>
  <c r="AH817" i="1"/>
  <c r="AB817" i="1"/>
  <c r="AO809" i="1"/>
  <c r="AM809" i="1"/>
  <c r="AN809" i="1" s="1"/>
  <c r="AI809" i="1"/>
  <c r="AH809" i="1"/>
  <c r="AB809" i="1"/>
  <c r="AO808" i="1"/>
  <c r="AM808" i="1"/>
  <c r="AN808" i="1" s="1"/>
  <c r="AI808" i="1"/>
  <c r="AH808" i="1"/>
  <c r="AB808" i="1"/>
  <c r="AO806" i="1"/>
  <c r="AM806" i="1"/>
  <c r="AN806" i="1" s="1"/>
  <c r="AI806" i="1"/>
  <c r="AH806" i="1"/>
  <c r="AB806" i="1"/>
  <c r="AO804" i="1"/>
  <c r="AM804" i="1"/>
  <c r="AN804" i="1" s="1"/>
  <c r="AI804" i="1"/>
  <c r="AH804" i="1"/>
  <c r="AB804" i="1"/>
  <c r="AO803" i="1"/>
  <c r="AM803" i="1"/>
  <c r="AN803" i="1" s="1"/>
  <c r="AI803" i="1"/>
  <c r="AH803" i="1"/>
  <c r="AB803" i="1"/>
  <c r="AO802" i="1"/>
  <c r="AM802" i="1"/>
  <c r="AN802" i="1" s="1"/>
  <c r="AI802" i="1"/>
  <c r="AH802" i="1"/>
  <c r="AB802" i="1"/>
  <c r="AO801" i="1"/>
  <c r="AM801" i="1"/>
  <c r="AH801" i="1"/>
  <c r="AO800" i="1"/>
  <c r="AM800" i="1"/>
  <c r="AH800" i="1"/>
  <c r="AO799" i="1"/>
  <c r="AM799" i="1"/>
  <c r="AN799" i="1" s="1"/>
  <c r="AI799" i="1"/>
  <c r="AH799" i="1"/>
  <c r="AB799" i="1"/>
  <c r="AO798" i="1"/>
  <c r="AM798" i="1"/>
  <c r="AN798" i="1" s="1"/>
  <c r="AI798" i="1"/>
  <c r="AH798" i="1"/>
  <c r="AB798" i="1"/>
  <c r="AO797" i="1"/>
  <c r="AM797" i="1"/>
  <c r="AH797" i="1"/>
  <c r="AO795" i="1"/>
  <c r="AM795" i="1"/>
  <c r="AH795" i="1"/>
  <c r="AO794" i="1"/>
  <c r="AM794" i="1"/>
  <c r="AH794" i="1"/>
  <c r="AO793" i="1"/>
  <c r="AM793" i="1"/>
  <c r="AH793" i="1"/>
  <c r="AO792" i="1"/>
  <c r="AM792" i="1"/>
  <c r="AH792" i="1"/>
  <c r="AO791" i="1"/>
  <c r="AM791" i="1"/>
  <c r="AH791" i="1"/>
  <c r="AO790" i="1"/>
  <c r="AM790" i="1"/>
  <c r="AH790" i="1"/>
  <c r="AO789" i="1"/>
  <c r="AM789" i="1"/>
  <c r="AH789" i="1"/>
  <c r="AO788" i="1"/>
  <c r="AM788" i="1"/>
  <c r="AH788" i="1"/>
  <c r="AO787" i="1"/>
  <c r="AM787" i="1"/>
  <c r="AH787" i="1"/>
  <c r="AO786" i="1"/>
  <c r="AM786" i="1"/>
  <c r="AN786" i="1" s="1"/>
  <c r="AI786" i="1"/>
  <c r="AH786" i="1"/>
  <c r="AB786" i="1"/>
  <c r="AO785" i="1"/>
  <c r="AM785" i="1"/>
  <c r="AN785" i="1" s="1"/>
  <c r="AI785" i="1"/>
  <c r="AH785" i="1"/>
  <c r="AB785" i="1"/>
  <c r="AO783" i="1"/>
  <c r="AM783" i="1"/>
  <c r="AN783" i="1" s="1"/>
  <c r="AI783" i="1"/>
  <c r="AH783" i="1"/>
  <c r="AB783" i="1"/>
  <c r="AO782" i="1"/>
  <c r="AM782" i="1"/>
  <c r="AN782" i="1" s="1"/>
  <c r="AI782" i="1"/>
  <c r="AH782" i="1"/>
  <c r="AB782" i="1"/>
  <c r="AO781" i="1"/>
  <c r="AM781" i="1"/>
  <c r="AN781" i="1" s="1"/>
  <c r="AI781" i="1"/>
  <c r="AH781" i="1"/>
  <c r="AB781" i="1"/>
  <c r="AO771" i="1"/>
  <c r="AM771" i="1"/>
  <c r="AN771" i="1" s="1"/>
  <c r="AI771" i="1"/>
  <c r="AH771" i="1"/>
  <c r="AB771" i="1"/>
  <c r="AO769" i="1"/>
  <c r="AM769" i="1"/>
  <c r="AH769" i="1"/>
  <c r="AO768" i="1"/>
  <c r="AM768" i="1"/>
  <c r="AO765" i="1"/>
  <c r="AM765" i="1"/>
  <c r="AH765" i="1"/>
  <c r="AO764" i="1"/>
  <c r="AM764" i="1"/>
  <c r="AH764" i="1"/>
  <c r="AO763" i="1"/>
  <c r="AM763" i="1"/>
  <c r="AH763" i="1"/>
  <c r="AO762" i="1"/>
  <c r="AM762" i="1"/>
  <c r="AH762" i="1"/>
  <c r="AO761" i="1"/>
  <c r="AM761" i="1"/>
  <c r="AH761" i="1"/>
  <c r="AO759" i="1"/>
  <c r="AM759" i="1"/>
  <c r="AH759" i="1"/>
  <c r="AO757" i="1"/>
  <c r="AM757" i="1"/>
  <c r="AH757" i="1"/>
  <c r="AO756" i="1"/>
  <c r="AM756" i="1"/>
  <c r="AH756" i="1"/>
  <c r="AO755" i="1"/>
  <c r="AM755" i="1"/>
  <c r="AH755" i="1"/>
  <c r="AO754" i="1"/>
  <c r="AM754" i="1"/>
  <c r="AH754" i="1"/>
  <c r="AO753" i="1"/>
  <c r="AM753" i="1"/>
  <c r="AH753" i="1"/>
  <c r="AO752" i="1"/>
  <c r="AM752" i="1"/>
  <c r="AH752" i="1"/>
  <c r="AO751" i="1"/>
  <c r="AM751" i="1"/>
  <c r="AH751" i="1"/>
  <c r="AO749" i="1"/>
  <c r="AM749" i="1"/>
  <c r="AH749" i="1"/>
  <c r="AO748" i="1"/>
  <c r="AM748" i="1"/>
  <c r="AH748" i="1"/>
  <c r="AO747" i="1"/>
  <c r="AM747" i="1"/>
  <c r="AH747" i="1"/>
  <c r="AO746" i="1"/>
  <c r="AM746" i="1"/>
  <c r="AH746" i="1"/>
  <c r="AO744" i="1"/>
  <c r="AM744" i="1"/>
  <c r="AH744" i="1"/>
  <c r="AO743" i="1"/>
  <c r="AM743" i="1"/>
  <c r="AH743" i="1"/>
  <c r="AO741" i="1"/>
  <c r="AM741" i="1"/>
  <c r="AH741" i="1"/>
  <c r="AO740" i="1"/>
  <c r="AM740" i="1"/>
  <c r="AH740" i="1"/>
  <c r="AO739" i="1"/>
  <c r="AM739" i="1"/>
  <c r="AH739" i="1"/>
  <c r="AO738" i="1"/>
  <c r="AM738" i="1"/>
  <c r="AH738" i="1"/>
  <c r="AO737" i="1"/>
  <c r="AM737" i="1"/>
  <c r="AH737" i="1"/>
  <c r="AO735" i="1"/>
  <c r="AM735" i="1"/>
  <c r="AO734" i="1"/>
  <c r="AM734" i="1"/>
  <c r="AH734" i="1"/>
  <c r="AO733" i="1"/>
  <c r="AM733" i="1"/>
  <c r="AH733" i="1"/>
  <c r="AO732" i="1"/>
  <c r="AM732" i="1"/>
  <c r="AH732" i="1"/>
  <c r="AO731" i="1"/>
  <c r="AM731" i="1"/>
  <c r="AH731" i="1"/>
  <c r="AO730" i="1"/>
  <c r="AM730" i="1"/>
  <c r="AH730" i="1"/>
  <c r="AO729" i="1"/>
  <c r="AM729" i="1"/>
  <c r="AH729" i="1"/>
  <c r="AO728" i="1"/>
  <c r="AM728" i="1"/>
  <c r="AH728" i="1"/>
  <c r="AO727" i="1"/>
  <c r="AM727" i="1"/>
  <c r="AH727" i="1"/>
  <c r="AO726" i="1"/>
  <c r="AM726" i="1"/>
  <c r="AH726" i="1"/>
  <c r="AO725" i="1"/>
  <c r="AM725" i="1"/>
  <c r="AH725" i="1"/>
  <c r="AO723" i="1"/>
  <c r="AM723" i="1"/>
  <c r="AH723" i="1"/>
  <c r="AO722" i="1"/>
  <c r="AM722" i="1"/>
  <c r="AH722" i="1"/>
  <c r="AO721" i="1"/>
  <c r="AM721" i="1"/>
  <c r="AH721" i="1"/>
  <c r="AO720" i="1"/>
  <c r="AM720" i="1"/>
  <c r="AH720" i="1"/>
  <c r="AO719" i="1"/>
  <c r="AM719" i="1"/>
  <c r="AH719" i="1"/>
  <c r="AO718" i="1"/>
  <c r="AM718" i="1"/>
  <c r="AH718" i="1"/>
  <c r="AO717" i="1"/>
  <c r="AM717" i="1"/>
  <c r="AH717" i="1"/>
  <c r="AO716" i="1"/>
  <c r="AM716" i="1"/>
  <c r="AH716" i="1"/>
  <c r="AO715" i="1"/>
  <c r="AM715" i="1"/>
  <c r="AH715" i="1"/>
  <c r="AO714" i="1"/>
  <c r="AM714" i="1"/>
  <c r="AH714" i="1"/>
  <c r="AO713" i="1"/>
  <c r="AM713" i="1"/>
  <c r="AH713" i="1"/>
  <c r="AO712" i="1"/>
  <c r="AM712" i="1"/>
  <c r="AH712" i="1"/>
  <c r="AO711" i="1"/>
  <c r="AM711" i="1"/>
  <c r="AN711" i="1" s="1"/>
  <c r="AI711" i="1"/>
  <c r="AH711" i="1"/>
  <c r="AB711" i="1"/>
  <c r="AO710" i="1"/>
  <c r="AM710" i="1"/>
  <c r="AN710" i="1" s="1"/>
  <c r="AI710" i="1"/>
  <c r="AH710" i="1"/>
  <c r="AB710" i="1"/>
  <c r="AO709" i="1"/>
  <c r="AM709" i="1"/>
  <c r="AN709" i="1" s="1"/>
  <c r="AI709" i="1"/>
  <c r="AH709" i="1"/>
  <c r="AB709" i="1"/>
  <c r="AO708" i="1"/>
  <c r="AM708" i="1"/>
  <c r="AN708" i="1" s="1"/>
  <c r="AI708" i="1"/>
  <c r="AH708" i="1"/>
  <c r="AB708" i="1"/>
  <c r="AO705" i="1"/>
  <c r="AM705" i="1"/>
  <c r="AN705" i="1" s="1"/>
  <c r="AI705" i="1"/>
  <c r="AH705" i="1"/>
  <c r="AB705" i="1"/>
  <c r="AO699" i="1"/>
  <c r="AM699" i="1"/>
  <c r="AN699" i="1" s="1"/>
  <c r="AI699" i="1"/>
  <c r="AH699" i="1"/>
  <c r="AB699" i="1"/>
  <c r="AO697" i="1"/>
  <c r="AM697" i="1"/>
  <c r="AN697" i="1" s="1"/>
  <c r="AI697" i="1"/>
  <c r="AH697" i="1"/>
  <c r="AB697" i="1"/>
  <c r="AO696" i="1"/>
  <c r="AM696" i="1"/>
  <c r="AN696" i="1" s="1"/>
  <c r="AI696" i="1"/>
  <c r="AH696" i="1"/>
  <c r="AB696" i="1"/>
  <c r="AO695" i="1"/>
  <c r="AM695" i="1"/>
  <c r="AN695" i="1" s="1"/>
  <c r="AI695" i="1"/>
  <c r="AH695" i="1"/>
  <c r="AB695" i="1"/>
  <c r="AO693" i="1"/>
  <c r="AM693" i="1"/>
  <c r="AN693" i="1" s="1"/>
  <c r="AI693" i="1"/>
  <c r="AH693" i="1"/>
  <c r="AB693" i="1"/>
  <c r="AO691" i="1"/>
  <c r="AM691" i="1"/>
  <c r="AN691" i="1" s="1"/>
  <c r="AI691" i="1"/>
  <c r="AH691" i="1"/>
  <c r="AB691" i="1"/>
  <c r="AO690" i="1"/>
  <c r="AM690" i="1"/>
  <c r="AN690" i="1" s="1"/>
  <c r="AI690" i="1"/>
  <c r="AH690" i="1"/>
  <c r="AB690" i="1"/>
  <c r="AO689" i="1"/>
  <c r="AM689" i="1"/>
  <c r="AN689" i="1" s="1"/>
  <c r="AI689" i="1"/>
  <c r="AH689" i="1"/>
  <c r="AB689" i="1"/>
  <c r="AO688" i="1"/>
  <c r="AM688" i="1"/>
  <c r="AN688" i="1" s="1"/>
  <c r="AI688" i="1"/>
  <c r="AH688" i="1"/>
  <c r="AB688" i="1"/>
  <c r="AO687" i="1"/>
  <c r="AM687" i="1"/>
  <c r="AN687" i="1" s="1"/>
  <c r="AI687" i="1"/>
  <c r="AH687" i="1"/>
  <c r="AB687" i="1"/>
  <c r="AO685" i="1"/>
  <c r="AM685" i="1"/>
  <c r="AN685" i="1" s="1"/>
  <c r="AI685" i="1"/>
  <c r="AH685" i="1"/>
  <c r="AB685" i="1"/>
  <c r="AO684" i="1"/>
  <c r="AM684" i="1"/>
  <c r="AN684" i="1" s="1"/>
  <c r="AI684" i="1"/>
  <c r="AH684" i="1"/>
  <c r="AB684" i="1"/>
  <c r="AO683" i="1"/>
  <c r="AM683" i="1"/>
  <c r="AN683" i="1" s="1"/>
  <c r="AI683" i="1"/>
  <c r="AH683" i="1"/>
  <c r="AB683" i="1"/>
  <c r="AO682" i="1"/>
  <c r="AM682" i="1"/>
  <c r="AN682" i="1" s="1"/>
  <c r="AI682" i="1"/>
  <c r="AH682" i="1"/>
  <c r="AB682" i="1"/>
  <c r="AO681" i="1"/>
  <c r="AM681" i="1"/>
  <c r="AH681" i="1"/>
  <c r="AO680" i="1"/>
  <c r="AM680" i="1"/>
  <c r="AH680" i="1"/>
  <c r="AO679" i="1"/>
  <c r="AM679" i="1"/>
  <c r="AH679" i="1"/>
  <c r="AO678" i="1"/>
  <c r="AM678" i="1"/>
  <c r="AH678" i="1"/>
  <c r="AO677" i="1"/>
  <c r="AM677" i="1"/>
  <c r="AH677" i="1"/>
  <c r="AO676" i="1"/>
  <c r="AM676" i="1"/>
  <c r="AH676" i="1"/>
  <c r="AO675" i="1"/>
  <c r="AM675" i="1"/>
  <c r="AH675" i="1"/>
  <c r="AO674" i="1"/>
  <c r="AM674" i="1"/>
  <c r="AH674" i="1"/>
  <c r="AO673" i="1"/>
  <c r="AM673" i="1"/>
  <c r="AH673" i="1"/>
  <c r="AO672" i="1"/>
  <c r="AM672" i="1"/>
  <c r="AH672" i="1"/>
  <c r="AO671" i="1"/>
  <c r="AM671" i="1"/>
  <c r="AH671" i="1"/>
  <c r="AO669" i="1"/>
  <c r="AM669" i="1"/>
  <c r="AH669" i="1"/>
  <c r="AO668" i="1"/>
  <c r="AM668" i="1"/>
  <c r="AH668" i="1"/>
  <c r="AO667" i="1"/>
  <c r="AM667" i="1"/>
  <c r="AH667" i="1"/>
  <c r="AO666" i="1"/>
  <c r="AM666" i="1"/>
  <c r="AN666" i="1" s="1"/>
  <c r="AI666" i="1"/>
  <c r="AH666" i="1"/>
  <c r="AB666" i="1"/>
  <c r="AO665" i="1"/>
  <c r="AM665" i="1"/>
  <c r="AN665" i="1" s="1"/>
  <c r="AI665" i="1"/>
  <c r="AH665" i="1"/>
  <c r="AB665" i="1"/>
  <c r="AO664" i="1"/>
  <c r="AM664" i="1"/>
  <c r="AH664" i="1"/>
  <c r="AO663" i="1"/>
  <c r="AM663" i="1"/>
  <c r="AN663" i="1" s="1"/>
  <c r="AI663" i="1"/>
  <c r="AH663" i="1"/>
  <c r="AB663" i="1"/>
  <c r="AO662" i="1"/>
  <c r="AM662" i="1"/>
  <c r="AN662" i="1" s="1"/>
  <c r="AI662" i="1"/>
  <c r="AH662" i="1"/>
  <c r="AB662" i="1"/>
  <c r="AO661" i="1"/>
  <c r="AM661" i="1"/>
  <c r="AN661" i="1" s="1"/>
  <c r="AI661" i="1"/>
  <c r="AH661" i="1"/>
  <c r="AB661" i="1"/>
  <c r="AO658" i="1"/>
  <c r="AM658" i="1"/>
  <c r="AN658" i="1" s="1"/>
  <c r="AI658" i="1"/>
  <c r="AH658" i="1"/>
  <c r="AB658" i="1"/>
  <c r="AO657" i="1"/>
  <c r="AM657" i="1"/>
  <c r="AN657" i="1" s="1"/>
  <c r="AI657" i="1"/>
  <c r="AH657" i="1"/>
  <c r="AB657" i="1"/>
  <c r="AO656" i="1"/>
  <c r="AM656" i="1"/>
  <c r="AN656" i="1" s="1"/>
  <c r="AI656" i="1"/>
  <c r="AH656" i="1"/>
  <c r="AB656" i="1"/>
  <c r="AO653" i="1"/>
  <c r="AM653" i="1"/>
  <c r="AN653" i="1" s="1"/>
  <c r="AI653" i="1"/>
  <c r="AH653" i="1"/>
  <c r="AB653" i="1"/>
  <c r="AO649" i="1"/>
  <c r="AM649" i="1"/>
  <c r="AN649" i="1" s="1"/>
  <c r="AI649" i="1"/>
  <c r="AH649" i="1"/>
  <c r="AB649" i="1"/>
  <c r="AO648" i="1"/>
  <c r="AM648" i="1"/>
  <c r="AN648" i="1" s="1"/>
  <c r="AI648" i="1"/>
  <c r="AH648" i="1"/>
  <c r="AB648" i="1"/>
  <c r="AO647" i="1"/>
  <c r="AM647" i="1"/>
  <c r="AN647" i="1" s="1"/>
  <c r="AI647" i="1"/>
  <c r="AH647" i="1"/>
  <c r="AB647" i="1"/>
  <c r="AO645" i="1"/>
  <c r="AM645" i="1"/>
  <c r="AN645" i="1" s="1"/>
  <c r="AI645" i="1"/>
  <c r="AH645" i="1"/>
  <c r="AB645" i="1"/>
  <c r="AO640" i="1"/>
  <c r="AM640" i="1"/>
  <c r="AN640" i="1" s="1"/>
  <c r="AI640" i="1"/>
  <c r="AB640" i="1"/>
  <c r="AO635" i="1"/>
  <c r="AM635" i="1"/>
  <c r="AN635" i="1" s="1"/>
  <c r="AI635" i="1"/>
  <c r="AH635" i="1"/>
  <c r="AB635" i="1"/>
  <c r="AO631" i="1"/>
  <c r="AM631" i="1"/>
  <c r="AN631" i="1" s="1"/>
  <c r="AI631" i="1"/>
  <c r="AH631" i="1"/>
  <c r="AB631" i="1"/>
  <c r="AO621" i="1"/>
  <c r="AM621" i="1"/>
  <c r="AN621" i="1" s="1"/>
  <c r="AI621" i="1"/>
  <c r="AH621" i="1"/>
  <c r="AB621" i="1"/>
  <c r="AO617" i="1"/>
  <c r="AM617" i="1"/>
  <c r="AH617" i="1"/>
  <c r="AO611" i="1"/>
  <c r="AM611" i="1"/>
  <c r="AN611" i="1" s="1"/>
  <c r="AI611" i="1"/>
  <c r="AH611" i="1"/>
  <c r="AB611" i="1"/>
  <c r="AO609" i="1"/>
  <c r="AM609" i="1"/>
  <c r="AH609" i="1"/>
  <c r="AO607" i="1"/>
  <c r="AM607" i="1"/>
  <c r="AO605" i="1"/>
  <c r="AM605" i="1"/>
  <c r="AH605" i="1"/>
  <c r="AO603" i="1"/>
  <c r="AM603" i="1"/>
  <c r="AH603" i="1"/>
  <c r="AO601" i="1"/>
  <c r="AM601" i="1"/>
  <c r="AH601" i="1"/>
  <c r="AO598" i="1"/>
  <c r="AM598" i="1"/>
  <c r="AN598" i="1" s="1"/>
  <c r="AI598" i="1"/>
  <c r="AB598" i="1"/>
  <c r="AO596" i="1"/>
  <c r="AM596" i="1"/>
  <c r="AH596" i="1"/>
  <c r="AO595" i="1"/>
  <c r="AM595" i="1"/>
  <c r="AN595" i="1" s="1"/>
  <c r="AI595" i="1"/>
  <c r="AB595" i="1"/>
  <c r="AO594" i="1"/>
  <c r="AM594" i="1"/>
  <c r="AH594" i="1"/>
  <c r="AO593" i="1"/>
  <c r="AM593" i="1"/>
  <c r="AN593" i="1" s="1"/>
  <c r="AI593" i="1"/>
  <c r="AH593" i="1"/>
  <c r="AB593" i="1"/>
  <c r="AO591" i="1"/>
  <c r="AM591" i="1"/>
  <c r="AN591" i="1" s="1"/>
  <c r="AI591" i="1"/>
  <c r="AB591" i="1"/>
  <c r="AO590" i="1"/>
  <c r="AM590" i="1"/>
  <c r="AN590" i="1" s="1"/>
  <c r="AI590" i="1"/>
  <c r="AB590" i="1"/>
  <c r="AO589" i="1"/>
  <c r="AM589" i="1"/>
  <c r="AH589" i="1"/>
  <c r="AO587" i="1"/>
  <c r="AM587" i="1"/>
  <c r="AO586" i="1"/>
  <c r="AM586" i="1"/>
  <c r="AN586" i="1" s="1"/>
  <c r="AI586" i="1"/>
  <c r="AB586" i="1"/>
  <c r="AO584" i="1"/>
  <c r="AM584" i="1"/>
  <c r="AN584" i="1" s="1"/>
  <c r="AI584" i="1"/>
  <c r="AB584" i="1"/>
  <c r="AO578" i="1"/>
  <c r="AM578" i="1"/>
  <c r="AN578" i="1" s="1"/>
  <c r="AI578" i="1"/>
  <c r="AH578" i="1"/>
  <c r="AB578" i="1"/>
  <c r="AO571" i="1"/>
  <c r="AM571" i="1"/>
  <c r="AN571" i="1" s="1"/>
  <c r="AI571" i="1"/>
  <c r="AH571" i="1"/>
  <c r="AB571" i="1"/>
  <c r="AO568" i="1"/>
  <c r="AM568" i="1"/>
  <c r="AN568" i="1" s="1"/>
  <c r="AI568" i="1"/>
  <c r="AB568" i="1"/>
  <c r="AO565" i="1"/>
  <c r="AM565" i="1"/>
  <c r="AN565" i="1" s="1"/>
  <c r="AI565" i="1"/>
  <c r="AH565" i="1"/>
  <c r="AB565" i="1"/>
  <c r="AO559" i="1"/>
  <c r="AM559" i="1"/>
  <c r="AN559" i="1" s="1"/>
  <c r="AI559" i="1"/>
  <c r="AH559" i="1"/>
  <c r="AB559" i="1"/>
  <c r="AO556" i="1"/>
  <c r="AM556" i="1"/>
  <c r="AH556" i="1"/>
  <c r="AO555" i="1"/>
  <c r="AM555" i="1"/>
  <c r="AH555" i="1"/>
  <c r="AO554" i="1"/>
  <c r="AM554" i="1"/>
  <c r="AH554" i="1"/>
  <c r="AO552" i="1"/>
  <c r="AM552" i="1"/>
  <c r="AN552" i="1" s="1"/>
  <c r="AI552" i="1"/>
  <c r="AH552" i="1"/>
  <c r="AB552" i="1"/>
  <c r="AO544" i="1"/>
  <c r="AM544" i="1"/>
  <c r="AH544" i="1"/>
  <c r="AO526" i="1"/>
  <c r="AM526" i="1"/>
  <c r="AN526" i="1" s="1"/>
  <c r="AI526" i="1"/>
  <c r="AH526" i="1"/>
  <c r="AB526" i="1"/>
  <c r="AO523" i="1"/>
  <c r="AM523" i="1"/>
  <c r="AN523" i="1" s="1"/>
  <c r="AI523" i="1"/>
  <c r="AB523" i="1"/>
  <c r="AJ523" i="1" s="1"/>
  <c r="AO522" i="1"/>
  <c r="AM522" i="1"/>
  <c r="AH522" i="1"/>
  <c r="AO521" i="1"/>
  <c r="AM521" i="1"/>
  <c r="AN521" i="1" s="1"/>
  <c r="AI521" i="1"/>
  <c r="AH521" i="1"/>
  <c r="AB521" i="1"/>
  <c r="AO515" i="1"/>
  <c r="AM515" i="1"/>
  <c r="AH515" i="1"/>
  <c r="AO514" i="1"/>
  <c r="AM514" i="1"/>
  <c r="AH514" i="1"/>
  <c r="AO512" i="1"/>
  <c r="AM512" i="1"/>
  <c r="AH512" i="1"/>
  <c r="AO511" i="1"/>
  <c r="AM511" i="1"/>
  <c r="AH511" i="1"/>
  <c r="AO510" i="1"/>
  <c r="AM510" i="1"/>
  <c r="AH510" i="1"/>
  <c r="AO509" i="1"/>
  <c r="AM509" i="1"/>
  <c r="AH509" i="1"/>
  <c r="AO506" i="1"/>
  <c r="AM506" i="1"/>
  <c r="AH506" i="1"/>
  <c r="AO505" i="1"/>
  <c r="AM505" i="1"/>
  <c r="AH505" i="1"/>
  <c r="AO504" i="1"/>
  <c r="AM504" i="1"/>
  <c r="AH504" i="1"/>
  <c r="AO503" i="1"/>
  <c r="AM503" i="1"/>
  <c r="AH503" i="1"/>
  <c r="AO502" i="1"/>
  <c r="AM502" i="1"/>
  <c r="AH502" i="1"/>
  <c r="AO501" i="1"/>
  <c r="AM501" i="1"/>
  <c r="AH501" i="1"/>
  <c r="AO500" i="1"/>
  <c r="AM500" i="1"/>
  <c r="AH500" i="1"/>
  <c r="AO499" i="1"/>
  <c r="AM499" i="1"/>
  <c r="AH499" i="1"/>
  <c r="AO498" i="1"/>
  <c r="AM498" i="1"/>
  <c r="AH498" i="1"/>
  <c r="AO497" i="1"/>
  <c r="AM497" i="1"/>
  <c r="AH497" i="1"/>
  <c r="AO495" i="1"/>
  <c r="AM495" i="1"/>
  <c r="AN495" i="1" s="1"/>
  <c r="AI495" i="1"/>
  <c r="AH495" i="1"/>
  <c r="AB495" i="1"/>
  <c r="AO494" i="1"/>
  <c r="AM494" i="1"/>
  <c r="AH494" i="1"/>
  <c r="AO493" i="1"/>
  <c r="AM493" i="1"/>
  <c r="AH493" i="1"/>
  <c r="AO491" i="1"/>
  <c r="AM491" i="1"/>
  <c r="AN491" i="1" s="1"/>
  <c r="AI491" i="1"/>
  <c r="AH491" i="1"/>
  <c r="AB491" i="1"/>
  <c r="AO490" i="1"/>
  <c r="AM490" i="1"/>
  <c r="AN490" i="1" s="1"/>
  <c r="AI490" i="1"/>
  <c r="AH490" i="1"/>
  <c r="AB490" i="1"/>
  <c r="AO489" i="1"/>
  <c r="AM489" i="1"/>
  <c r="AH489" i="1"/>
  <c r="AO488" i="1"/>
  <c r="AM488" i="1"/>
  <c r="AH488" i="1"/>
  <c r="AO486" i="1"/>
  <c r="AM486" i="1"/>
  <c r="AH486" i="1"/>
  <c r="AO484" i="1"/>
  <c r="AM484" i="1"/>
  <c r="AN484" i="1" s="1"/>
  <c r="AI484" i="1"/>
  <c r="AH484" i="1"/>
  <c r="AB484" i="1"/>
  <c r="AO468" i="1"/>
  <c r="AM468" i="1"/>
  <c r="AN468" i="1" s="1"/>
  <c r="AI468" i="1"/>
  <c r="AH468" i="1"/>
  <c r="AB468" i="1"/>
  <c r="AO466" i="1"/>
  <c r="AM466" i="1"/>
  <c r="AH466" i="1"/>
  <c r="AO465" i="1"/>
  <c r="AM465" i="1"/>
  <c r="AH465" i="1"/>
  <c r="AO464" i="1"/>
  <c r="AM464" i="1"/>
  <c r="AN464" i="1" s="1"/>
  <c r="AH464" i="1"/>
  <c r="AO463" i="1"/>
  <c r="AM463" i="1"/>
  <c r="AH463" i="1"/>
  <c r="AO461" i="1"/>
  <c r="AM461" i="1"/>
  <c r="AH461" i="1"/>
  <c r="AO460" i="1"/>
  <c r="AM460" i="1"/>
  <c r="AH460" i="1"/>
  <c r="AO459" i="1"/>
  <c r="AM459" i="1"/>
  <c r="AH459" i="1"/>
  <c r="AO458" i="1"/>
  <c r="AM458" i="1"/>
  <c r="AH458" i="1"/>
  <c r="AO457" i="1"/>
  <c r="AM457" i="1"/>
  <c r="AH457" i="1"/>
  <c r="AO455" i="1"/>
  <c r="AM455" i="1"/>
  <c r="AH455" i="1"/>
  <c r="AO454" i="1"/>
  <c r="AM454" i="1"/>
  <c r="AN454" i="1" s="1"/>
  <c r="AI454" i="1"/>
  <c r="AH454" i="1"/>
  <c r="AB454" i="1"/>
  <c r="AO453" i="1"/>
  <c r="AM453" i="1"/>
  <c r="AN453" i="1" s="1"/>
  <c r="AI453" i="1"/>
  <c r="AH453" i="1"/>
  <c r="AB453" i="1"/>
  <c r="AO452" i="1"/>
  <c r="AM452" i="1"/>
  <c r="AN452" i="1" s="1"/>
  <c r="AI452" i="1"/>
  <c r="AH452" i="1"/>
  <c r="AB452" i="1"/>
  <c r="AO451" i="1"/>
  <c r="AM451" i="1"/>
  <c r="AH451" i="1"/>
  <c r="AO445" i="1"/>
  <c r="AM445" i="1"/>
  <c r="AN445" i="1" s="1"/>
  <c r="AI445" i="1"/>
  <c r="AH445" i="1"/>
  <c r="AB445" i="1"/>
  <c r="AO442" i="1"/>
  <c r="AM442" i="1"/>
  <c r="AH442" i="1"/>
  <c r="AO441" i="1"/>
  <c r="AM441" i="1"/>
  <c r="AH441" i="1"/>
  <c r="AO440" i="1"/>
  <c r="AM440" i="1"/>
  <c r="AH440" i="1"/>
  <c r="AO439" i="1"/>
  <c r="AM439" i="1"/>
  <c r="AH439" i="1"/>
  <c r="AO437" i="1"/>
  <c r="AM437" i="1"/>
  <c r="AN437" i="1" s="1"/>
  <c r="AI437" i="1"/>
  <c r="AH437" i="1"/>
  <c r="AB437" i="1"/>
  <c r="AO436" i="1"/>
  <c r="AM436" i="1"/>
  <c r="AH436" i="1"/>
  <c r="AO434" i="1"/>
  <c r="AM434" i="1"/>
  <c r="AN434" i="1" s="1"/>
  <c r="AI434" i="1"/>
  <c r="AH434" i="1"/>
  <c r="AB434" i="1"/>
  <c r="AO428" i="1"/>
  <c r="AM428" i="1"/>
  <c r="AO426" i="1"/>
  <c r="AM426" i="1"/>
  <c r="AO422" i="1"/>
  <c r="AM422" i="1"/>
  <c r="AH422" i="1"/>
  <c r="AO420" i="1"/>
  <c r="AM420" i="1"/>
  <c r="AH420" i="1"/>
  <c r="AO419" i="1"/>
  <c r="AM419" i="1"/>
  <c r="AN419" i="1" s="1"/>
  <c r="AI419" i="1"/>
  <c r="AH419" i="1"/>
  <c r="AB419" i="1"/>
  <c r="AO417" i="1"/>
  <c r="AM417" i="1"/>
  <c r="AN417" i="1" s="1"/>
  <c r="AI417" i="1"/>
  <c r="AH417" i="1"/>
  <c r="AB417" i="1"/>
  <c r="AO409" i="1"/>
  <c r="AM409" i="1"/>
  <c r="AH409" i="1"/>
  <c r="AO404" i="1"/>
  <c r="AM404" i="1"/>
  <c r="AN404" i="1" s="1"/>
  <c r="AI404" i="1"/>
  <c r="AH404" i="1"/>
  <c r="AB404" i="1"/>
  <c r="AO400" i="1"/>
  <c r="AM400" i="1"/>
  <c r="AH400" i="1"/>
  <c r="AO399" i="1"/>
  <c r="AM399" i="1"/>
  <c r="AH399" i="1"/>
  <c r="AO397" i="1"/>
  <c r="AM397" i="1"/>
  <c r="AN397" i="1" s="1"/>
  <c r="AI397" i="1"/>
  <c r="AH397" i="1"/>
  <c r="AB397" i="1"/>
  <c r="AO396" i="1"/>
  <c r="AM396" i="1"/>
  <c r="AN396" i="1" s="1"/>
  <c r="AI396" i="1"/>
  <c r="AH396" i="1"/>
  <c r="AB396" i="1"/>
  <c r="AO390" i="1"/>
  <c r="AM390" i="1"/>
  <c r="AH390" i="1"/>
  <c r="AO389" i="1"/>
  <c r="AM389" i="1"/>
  <c r="AH389" i="1"/>
  <c r="AO384" i="1"/>
  <c r="AM384" i="1"/>
  <c r="AN384" i="1" s="1"/>
  <c r="AI384" i="1"/>
  <c r="AH384" i="1"/>
  <c r="AB384" i="1"/>
  <c r="AO382" i="1"/>
  <c r="AM382" i="1"/>
  <c r="AH382" i="1"/>
  <c r="AO381" i="1"/>
  <c r="AM381" i="1"/>
  <c r="AH381" i="1"/>
  <c r="AO380" i="1"/>
  <c r="AM380" i="1"/>
  <c r="AH380" i="1"/>
  <c r="AO378" i="1"/>
  <c r="AM378" i="1"/>
  <c r="AN378" i="1" s="1"/>
  <c r="AI378" i="1"/>
  <c r="AH378" i="1"/>
  <c r="AB378" i="1"/>
  <c r="AO376" i="1"/>
  <c r="AM376" i="1"/>
  <c r="AN376" i="1" s="1"/>
  <c r="AI376" i="1"/>
  <c r="AB376" i="1"/>
  <c r="AO375" i="1"/>
  <c r="AM375" i="1"/>
  <c r="AN375" i="1" s="1"/>
  <c r="AI375" i="1"/>
  <c r="AB375" i="1"/>
  <c r="AO372" i="1"/>
  <c r="AM372" i="1"/>
  <c r="AN372" i="1" s="1"/>
  <c r="AI372" i="1"/>
  <c r="AB372" i="1"/>
  <c r="AO356" i="1"/>
  <c r="AM356" i="1"/>
  <c r="AN356" i="1" s="1"/>
  <c r="AI356" i="1"/>
  <c r="AB356" i="1"/>
  <c r="AO355" i="1"/>
  <c r="AM355" i="1"/>
  <c r="AN355" i="1" s="1"/>
  <c r="AI355" i="1"/>
  <c r="AB355" i="1"/>
  <c r="AO353" i="1"/>
  <c r="AM353" i="1"/>
  <c r="AN353" i="1" s="1"/>
  <c r="AI353" i="1"/>
  <c r="AH353" i="1"/>
  <c r="AB353" i="1"/>
  <c r="AO351" i="1"/>
  <c r="AM351" i="1"/>
  <c r="AN351" i="1" s="1"/>
  <c r="AI351" i="1"/>
  <c r="AB351" i="1"/>
  <c r="AO344" i="1"/>
  <c r="AM344" i="1"/>
  <c r="AN344" i="1" s="1"/>
  <c r="AI344" i="1"/>
  <c r="AB344" i="1"/>
  <c r="AO343" i="1"/>
  <c r="AM343" i="1"/>
  <c r="AN343" i="1" s="1"/>
  <c r="AI343" i="1"/>
  <c r="AB343" i="1"/>
  <c r="AO342" i="1"/>
  <c r="AM342" i="1"/>
  <c r="AN342" i="1" s="1"/>
  <c r="AI342" i="1"/>
  <c r="AB342" i="1"/>
  <c r="AO335" i="1"/>
  <c r="AM335" i="1"/>
  <c r="AN335" i="1" s="1"/>
  <c r="AI335" i="1"/>
  <c r="AB335" i="1"/>
  <c r="AO332" i="1"/>
  <c r="AM332" i="1"/>
  <c r="AN332" i="1" s="1"/>
  <c r="AI332" i="1"/>
  <c r="AB332" i="1"/>
  <c r="AO329" i="1"/>
  <c r="AM329" i="1"/>
  <c r="AN329" i="1" s="1"/>
  <c r="AI329" i="1"/>
  <c r="AB329" i="1"/>
  <c r="AO323" i="1"/>
  <c r="AM323" i="1"/>
  <c r="AN323" i="1" s="1"/>
  <c r="AI323" i="1"/>
  <c r="AB323" i="1"/>
  <c r="AO320" i="1"/>
  <c r="AM320" i="1"/>
  <c r="AN320" i="1" s="1"/>
  <c r="AI320" i="1"/>
  <c r="AB320" i="1"/>
  <c r="AO317" i="1"/>
  <c r="AM317" i="1"/>
  <c r="AN317" i="1" s="1"/>
  <c r="AI317" i="1"/>
  <c r="AB317" i="1"/>
  <c r="AO316" i="1"/>
  <c r="AM316" i="1"/>
  <c r="AN316" i="1" s="1"/>
  <c r="AI316" i="1"/>
  <c r="AB316" i="1"/>
  <c r="AO314" i="1"/>
  <c r="AM314" i="1"/>
  <c r="AN314" i="1" s="1"/>
  <c r="AI314" i="1"/>
  <c r="AB314" i="1"/>
  <c r="AO312" i="1"/>
  <c r="AM312" i="1"/>
  <c r="AN312" i="1" s="1"/>
  <c r="AI312" i="1"/>
  <c r="AB312" i="1"/>
  <c r="AO307" i="1"/>
  <c r="AM307" i="1"/>
  <c r="AH307" i="1"/>
  <c r="AO306" i="1"/>
  <c r="AM306" i="1"/>
  <c r="AH306" i="1"/>
  <c r="AO304" i="1"/>
  <c r="AM304" i="1"/>
  <c r="AH304" i="1"/>
  <c r="AO299" i="1"/>
  <c r="AM299" i="1"/>
  <c r="AN299" i="1" s="1"/>
  <c r="AI299" i="1"/>
  <c r="AH299" i="1"/>
  <c r="AB299" i="1"/>
  <c r="AO298" i="1"/>
  <c r="AM298" i="1"/>
  <c r="AH298" i="1"/>
  <c r="AO297" i="1"/>
  <c r="AM297" i="1"/>
  <c r="AH297" i="1"/>
  <c r="AO294" i="1"/>
  <c r="AM294" i="1"/>
  <c r="AN294" i="1" s="1"/>
  <c r="AI294" i="1"/>
  <c r="AH294" i="1"/>
  <c r="AB294" i="1"/>
  <c r="AO293" i="1"/>
  <c r="AM293" i="1"/>
  <c r="AN293" i="1" s="1"/>
  <c r="AI293" i="1"/>
  <c r="AH293" i="1"/>
  <c r="AB293" i="1"/>
  <c r="AO292" i="1"/>
  <c r="AM292" i="1"/>
  <c r="AH292" i="1"/>
  <c r="AO291" i="1"/>
  <c r="AM291" i="1"/>
  <c r="AH291" i="1"/>
  <c r="AO290" i="1"/>
  <c r="AM290" i="1"/>
  <c r="AH290" i="1"/>
  <c r="AO289" i="1"/>
  <c r="AM289" i="1"/>
  <c r="AH289" i="1"/>
  <c r="AO288" i="1"/>
  <c r="AM288" i="1"/>
  <c r="AH288" i="1"/>
  <c r="AO287" i="1"/>
  <c r="AM287" i="1"/>
  <c r="AH287" i="1"/>
  <c r="AO286" i="1"/>
  <c r="AM286" i="1"/>
  <c r="AN286" i="1" s="1"/>
  <c r="AI286" i="1"/>
  <c r="AH286" i="1"/>
  <c r="AB286" i="1"/>
  <c r="AO285" i="1"/>
  <c r="AM285" i="1"/>
  <c r="AN285" i="1" s="1"/>
  <c r="AI285" i="1"/>
  <c r="AH285" i="1"/>
  <c r="AB285" i="1"/>
  <c r="AO279" i="1"/>
  <c r="AM279" i="1"/>
  <c r="AN279" i="1" s="1"/>
  <c r="AI279" i="1"/>
  <c r="AH279" i="1"/>
  <c r="AB279" i="1"/>
  <c r="AO261" i="1"/>
  <c r="AM261" i="1"/>
  <c r="AN261" i="1" s="1"/>
  <c r="AI261" i="1"/>
  <c r="AH261" i="1"/>
  <c r="AB261" i="1"/>
  <c r="AO260" i="1"/>
  <c r="AM260" i="1"/>
  <c r="AN260" i="1" s="1"/>
  <c r="AI260" i="1"/>
  <c r="AH260" i="1"/>
  <c r="AB260" i="1"/>
  <c r="AO259" i="1"/>
  <c r="AM259" i="1"/>
  <c r="AH259" i="1"/>
  <c r="AO252" i="1"/>
  <c r="AM252" i="1"/>
  <c r="AN252" i="1" s="1"/>
  <c r="AI252" i="1"/>
  <c r="AH252" i="1"/>
  <c r="AB252" i="1"/>
  <c r="AO249" i="1"/>
  <c r="AM249" i="1"/>
  <c r="AH249" i="1"/>
  <c r="AO247" i="1"/>
  <c r="AM247" i="1"/>
  <c r="AH247" i="1"/>
  <c r="AO244" i="1"/>
  <c r="AM244" i="1"/>
  <c r="AN244" i="1" s="1"/>
  <c r="AI244" i="1"/>
  <c r="AH244" i="1"/>
  <c r="AB244" i="1"/>
  <c r="AO243" i="1"/>
  <c r="AM243" i="1"/>
  <c r="AN243" i="1" s="1"/>
  <c r="AI243" i="1"/>
  <c r="AH243" i="1"/>
  <c r="AB243" i="1"/>
  <c r="AO228" i="1"/>
  <c r="AM228" i="1"/>
  <c r="AH228" i="1"/>
  <c r="AO225" i="1"/>
  <c r="AM225" i="1"/>
  <c r="AN225" i="1" s="1"/>
  <c r="AI225" i="1"/>
  <c r="AH225" i="1"/>
  <c r="AB225" i="1"/>
  <c r="AO211" i="1"/>
  <c r="AM211" i="1"/>
  <c r="AN211" i="1" s="1"/>
  <c r="AI211" i="1"/>
  <c r="AH211" i="1"/>
  <c r="AB211" i="1"/>
  <c r="AO209" i="1"/>
  <c r="AM209" i="1"/>
  <c r="AN209" i="1" s="1"/>
  <c r="AI209" i="1"/>
  <c r="AH209" i="1"/>
  <c r="AB209" i="1"/>
  <c r="AO208" i="1"/>
  <c r="AM208" i="1"/>
  <c r="AN208" i="1" s="1"/>
  <c r="AI208" i="1"/>
  <c r="AH208" i="1"/>
  <c r="AB208" i="1"/>
  <c r="AO203" i="1"/>
  <c r="AM203" i="1"/>
  <c r="AN203" i="1" s="1"/>
  <c r="AI203" i="1"/>
  <c r="AH203" i="1"/>
  <c r="AB203" i="1"/>
  <c r="AO195" i="1"/>
  <c r="AM195" i="1"/>
  <c r="AN195" i="1" s="1"/>
  <c r="AI195" i="1"/>
  <c r="AH195" i="1"/>
  <c r="AB195" i="1"/>
  <c r="AO189" i="1"/>
  <c r="AM189" i="1"/>
  <c r="AN189" i="1" s="1"/>
  <c r="AI189" i="1"/>
  <c r="AH189" i="1"/>
  <c r="AB189" i="1"/>
  <c r="AO188" i="1"/>
  <c r="AM188" i="1"/>
  <c r="AN188" i="1" s="1"/>
  <c r="AI188" i="1"/>
  <c r="AH188" i="1"/>
  <c r="AB188" i="1"/>
  <c r="AO187" i="1"/>
  <c r="AM187" i="1"/>
  <c r="AN187" i="1" s="1"/>
  <c r="AI187" i="1"/>
  <c r="AH187" i="1"/>
  <c r="AB187" i="1"/>
  <c r="AO185" i="1"/>
  <c r="AM185" i="1"/>
  <c r="AN185" i="1" s="1"/>
  <c r="AI185" i="1"/>
  <c r="AH185" i="1"/>
  <c r="AB185" i="1"/>
  <c r="AO184" i="1"/>
  <c r="AM184" i="1"/>
  <c r="AN184" i="1" s="1"/>
  <c r="AI184" i="1"/>
  <c r="AH184" i="1"/>
  <c r="AB184" i="1"/>
  <c r="AO183" i="1"/>
  <c r="AM183" i="1"/>
  <c r="AN183" i="1" s="1"/>
  <c r="AI183" i="1"/>
  <c r="AH183" i="1"/>
  <c r="AB183" i="1"/>
  <c r="AO182" i="1"/>
  <c r="AM182" i="1"/>
  <c r="AN182" i="1" s="1"/>
  <c r="AI182" i="1"/>
  <c r="AB182" i="1"/>
  <c r="AO175" i="1"/>
  <c r="AM175" i="1"/>
  <c r="AH175" i="1"/>
  <c r="AO173" i="1"/>
  <c r="AM173" i="1"/>
  <c r="AH173" i="1"/>
  <c r="AO172" i="1"/>
  <c r="AM172" i="1"/>
  <c r="AH172" i="1"/>
  <c r="AO171" i="1"/>
  <c r="AM171" i="1"/>
  <c r="AH171" i="1"/>
  <c r="AO170" i="1"/>
  <c r="AM170" i="1"/>
  <c r="AH170" i="1"/>
  <c r="AO168" i="1"/>
  <c r="AM168" i="1"/>
  <c r="AH168" i="1"/>
  <c r="AO167" i="1"/>
  <c r="AM167" i="1"/>
  <c r="AH167" i="1"/>
  <c r="AO166" i="1"/>
  <c r="AM166" i="1"/>
  <c r="AH166" i="1"/>
  <c r="AO165" i="1"/>
  <c r="AM165" i="1"/>
  <c r="AH165" i="1"/>
  <c r="AO164" i="1"/>
  <c r="AM164" i="1"/>
  <c r="AH164" i="1"/>
  <c r="AO163" i="1"/>
  <c r="AM163" i="1"/>
  <c r="AH163" i="1"/>
  <c r="AO162" i="1"/>
  <c r="AM162" i="1"/>
  <c r="AH162" i="1"/>
  <c r="AO161" i="1"/>
  <c r="AM161" i="1"/>
  <c r="AH161" i="1"/>
  <c r="AO160" i="1"/>
  <c r="AM160" i="1"/>
  <c r="AH160" i="1"/>
  <c r="AO150" i="1"/>
  <c r="AM150" i="1"/>
  <c r="AN150" i="1" s="1"/>
  <c r="AI150" i="1"/>
  <c r="AB150" i="1"/>
  <c r="AO149" i="1"/>
  <c r="AM149" i="1"/>
  <c r="AN149" i="1" s="1"/>
  <c r="AI149" i="1"/>
  <c r="AB149" i="1"/>
  <c r="AO147" i="1"/>
  <c r="AM147" i="1"/>
  <c r="AN147" i="1" s="1"/>
  <c r="AI147" i="1"/>
  <c r="AB147" i="1"/>
  <c r="AO143" i="1"/>
  <c r="AM143" i="1"/>
  <c r="AN143" i="1" s="1"/>
  <c r="AI143" i="1"/>
  <c r="AB143" i="1"/>
  <c r="AO142" i="1"/>
  <c r="AM142" i="1"/>
  <c r="AH142" i="1"/>
  <c r="AO140" i="1"/>
  <c r="AM140" i="1"/>
  <c r="AH140" i="1"/>
  <c r="AO139" i="1"/>
  <c r="AM139" i="1"/>
  <c r="AH139" i="1"/>
  <c r="AO138" i="1"/>
  <c r="AM138" i="1"/>
  <c r="AH138" i="1"/>
  <c r="AO137" i="1"/>
  <c r="AM137" i="1"/>
  <c r="AH137" i="1"/>
  <c r="AO133" i="1"/>
  <c r="AM133" i="1"/>
  <c r="AH133" i="1"/>
  <c r="AO132" i="1"/>
  <c r="AM132" i="1"/>
  <c r="AH132" i="1"/>
  <c r="AO128" i="1"/>
  <c r="AM128" i="1"/>
  <c r="AH128" i="1"/>
  <c r="AO127" i="1"/>
  <c r="AM127" i="1"/>
  <c r="AH127" i="1"/>
  <c r="AO126" i="1"/>
  <c r="AM126" i="1"/>
  <c r="AH126" i="1"/>
  <c r="AO123" i="1"/>
  <c r="AM123" i="1"/>
  <c r="AN123" i="1" s="1"/>
  <c r="AI123" i="1"/>
  <c r="AH123" i="1"/>
  <c r="AB123" i="1"/>
  <c r="AO121" i="1"/>
  <c r="AM121" i="1"/>
  <c r="AN121" i="1" s="1"/>
  <c r="AI121" i="1"/>
  <c r="AH121" i="1"/>
  <c r="AB121" i="1"/>
  <c r="AO114" i="1"/>
  <c r="AM114" i="1"/>
  <c r="AH114" i="1"/>
  <c r="AO113" i="1"/>
  <c r="AM113" i="1"/>
  <c r="AN113" i="1" s="1"/>
  <c r="AI113" i="1"/>
  <c r="AH113" i="1"/>
  <c r="AB113" i="1"/>
  <c r="AO112" i="1"/>
  <c r="AM112" i="1"/>
  <c r="AH112" i="1"/>
  <c r="AO111" i="1"/>
  <c r="AM111" i="1"/>
  <c r="AH111" i="1"/>
  <c r="AO110" i="1"/>
  <c r="AM110" i="1"/>
  <c r="AH110" i="1"/>
  <c r="AO109" i="1"/>
  <c r="AM109" i="1"/>
  <c r="AH109" i="1"/>
  <c r="AO108" i="1"/>
  <c r="AM108" i="1"/>
  <c r="AH108" i="1"/>
  <c r="AO106" i="1"/>
  <c r="AM106" i="1"/>
  <c r="AN106" i="1" s="1"/>
  <c r="AI106" i="1"/>
  <c r="AH106" i="1"/>
  <c r="AB106" i="1"/>
  <c r="AO105" i="1"/>
  <c r="AM105" i="1"/>
  <c r="AN105" i="1" s="1"/>
  <c r="AI105" i="1"/>
  <c r="AB105" i="1"/>
  <c r="AO104" i="1"/>
  <c r="AM104" i="1"/>
  <c r="AH104" i="1"/>
  <c r="AO101" i="1"/>
  <c r="AM101" i="1"/>
  <c r="AH101" i="1"/>
  <c r="AO99" i="1"/>
  <c r="AM99" i="1"/>
  <c r="AN99" i="1" s="1"/>
  <c r="AI99" i="1"/>
  <c r="AH99" i="1"/>
  <c r="AB99" i="1"/>
  <c r="AO93" i="1"/>
  <c r="AM93" i="1"/>
  <c r="AH93" i="1"/>
  <c r="AO89" i="1"/>
  <c r="AM89" i="1"/>
  <c r="AH89" i="1"/>
  <c r="AO86" i="1"/>
  <c r="AM86" i="1"/>
  <c r="AN86" i="1" s="1"/>
  <c r="AI86" i="1"/>
  <c r="AB86" i="1"/>
  <c r="AO85" i="1"/>
  <c r="AM85" i="1"/>
  <c r="AH85" i="1"/>
  <c r="AO83" i="1"/>
  <c r="AM83" i="1"/>
  <c r="AH83" i="1"/>
  <c r="AO81" i="1"/>
  <c r="AM81" i="1"/>
  <c r="AH81" i="1"/>
  <c r="AO80" i="1"/>
  <c r="AM80" i="1"/>
  <c r="AN80" i="1" s="1"/>
  <c r="AI80" i="1"/>
  <c r="AB80" i="1"/>
  <c r="AO79" i="1"/>
  <c r="AM79" i="1"/>
  <c r="AH79" i="1"/>
  <c r="AO78" i="1"/>
  <c r="AM78" i="1"/>
  <c r="AH78" i="1"/>
  <c r="AO77" i="1"/>
  <c r="AM77" i="1"/>
  <c r="AH77" i="1"/>
  <c r="AO76" i="1"/>
  <c r="AM76" i="1"/>
  <c r="AH76" i="1"/>
  <c r="AO75" i="1"/>
  <c r="AM75" i="1"/>
  <c r="AH75" i="1"/>
  <c r="AO74" i="1"/>
  <c r="AM74" i="1"/>
  <c r="AH74" i="1"/>
  <c r="AO73" i="1"/>
  <c r="AM73" i="1"/>
  <c r="AN73" i="1" s="1"/>
  <c r="AI73" i="1"/>
  <c r="AH73" i="1"/>
  <c r="AB73" i="1"/>
  <c r="AO68" i="1"/>
  <c r="AM68" i="1"/>
  <c r="AN68" i="1" s="1"/>
  <c r="AI68" i="1"/>
  <c r="AH68" i="1"/>
  <c r="AB68" i="1"/>
  <c r="AO67" i="1"/>
  <c r="AM67" i="1"/>
  <c r="AN67" i="1" s="1"/>
  <c r="AI67" i="1"/>
  <c r="AB67" i="1"/>
  <c r="AO66" i="1"/>
  <c r="AM66" i="1"/>
  <c r="AN66" i="1" s="1"/>
  <c r="AI66" i="1"/>
  <c r="AB66" i="1"/>
  <c r="AO65" i="1"/>
  <c r="AM65" i="1"/>
  <c r="AH65" i="1"/>
  <c r="AO59" i="1"/>
  <c r="AM59" i="1"/>
  <c r="AN59" i="1" s="1"/>
  <c r="AI59" i="1"/>
  <c r="AH59" i="1"/>
  <c r="AB59" i="1"/>
  <c r="AO58" i="1"/>
  <c r="AM58" i="1"/>
  <c r="AN58" i="1" s="1"/>
  <c r="AI58" i="1"/>
  <c r="AH58" i="1"/>
  <c r="AB58" i="1"/>
  <c r="AO57" i="1"/>
  <c r="AM57" i="1"/>
  <c r="AH57" i="1"/>
  <c r="AO56" i="1"/>
  <c r="AM56" i="1"/>
  <c r="AH56" i="1"/>
  <c r="AO55" i="1"/>
  <c r="AM55" i="1"/>
  <c r="AH55" i="1"/>
  <c r="AO54" i="1"/>
  <c r="AM54" i="1"/>
  <c r="AH54" i="1"/>
  <c r="AO53" i="1"/>
  <c r="AM53" i="1"/>
  <c r="AN53" i="1" s="1"/>
  <c r="AI53" i="1"/>
  <c r="AH53" i="1"/>
  <c r="AB53" i="1"/>
  <c r="AO51" i="1"/>
  <c r="AM51" i="1"/>
  <c r="AH51" i="1"/>
  <c r="AO50" i="1"/>
  <c r="AM50" i="1"/>
  <c r="AH50" i="1"/>
  <c r="AO49" i="1"/>
  <c r="AM49" i="1"/>
  <c r="AH49" i="1"/>
  <c r="AO46" i="1"/>
  <c r="AM46" i="1"/>
  <c r="AH46" i="1"/>
  <c r="AO45" i="1"/>
  <c r="AM45" i="1"/>
  <c r="AN45" i="1" s="1"/>
  <c r="AI45" i="1"/>
  <c r="AH45" i="1"/>
  <c r="AB45" i="1"/>
  <c r="AO44" i="1"/>
  <c r="AM44" i="1"/>
  <c r="AN44" i="1" s="1"/>
  <c r="AI44" i="1"/>
  <c r="AH44" i="1"/>
  <c r="AB44" i="1"/>
  <c r="AO39" i="1"/>
  <c r="AM39" i="1"/>
  <c r="AH39" i="1"/>
  <c r="AO37" i="1"/>
  <c r="AM37" i="1"/>
  <c r="AH37" i="1"/>
  <c r="AO36" i="1"/>
  <c r="AM36" i="1"/>
  <c r="AN36" i="1" s="1"/>
  <c r="AI36" i="1"/>
  <c r="AH36" i="1"/>
  <c r="AB36" i="1"/>
  <c r="AO33" i="1"/>
  <c r="AM33" i="1"/>
  <c r="AH33" i="1"/>
  <c r="AO32" i="1"/>
  <c r="AM32" i="1"/>
  <c r="AN32" i="1" s="1"/>
  <c r="AI32" i="1"/>
  <c r="AH32" i="1"/>
  <c r="AB32" i="1"/>
  <c r="AO31" i="1"/>
  <c r="AM31" i="1"/>
  <c r="AH31" i="1"/>
  <c r="AO30" i="1"/>
  <c r="AM30" i="1"/>
  <c r="AN30" i="1" s="1"/>
  <c r="AI30" i="1"/>
  <c r="AH30" i="1"/>
  <c r="AB30" i="1"/>
  <c r="AO29" i="1"/>
  <c r="AM29" i="1"/>
  <c r="AH29" i="1"/>
  <c r="AO27" i="1"/>
  <c r="AM27" i="1"/>
  <c r="AH27" i="1"/>
  <c r="AO26" i="1"/>
  <c r="AM26" i="1"/>
  <c r="AN26" i="1" s="1"/>
  <c r="AI26" i="1"/>
  <c r="AH26" i="1"/>
  <c r="AB26" i="1"/>
  <c r="AO23" i="1"/>
  <c r="AM23" i="1"/>
  <c r="AH23" i="1"/>
  <c r="AO19" i="1"/>
  <c r="AM19" i="1"/>
  <c r="AH19" i="1"/>
  <c r="AO16" i="1"/>
  <c r="AM16" i="1"/>
  <c r="AN16" i="1" s="1"/>
  <c r="AI16" i="1"/>
  <c r="AH16" i="1"/>
  <c r="AB16" i="1"/>
  <c r="AO12" i="1"/>
  <c r="AM12" i="1"/>
  <c r="AH12" i="1"/>
  <c r="AO9" i="1"/>
  <c r="AM9" i="1"/>
  <c r="AH9" i="1"/>
  <c r="AO7" i="1"/>
  <c r="AM7" i="1"/>
  <c r="AN7" i="1" s="1"/>
  <c r="AI7" i="1"/>
  <c r="AH7" i="1"/>
  <c r="AB7" i="1"/>
  <c r="AO3" i="1"/>
  <c r="AM3" i="1"/>
  <c r="AH3" i="1"/>
  <c r="AI498" i="1" l="1"/>
  <c r="AN498" i="1" s="1"/>
  <c r="AB138" i="1"/>
  <c r="AJ138" i="1" s="1"/>
  <c r="AB33" i="1"/>
  <c r="AJ33" i="1" s="1"/>
  <c r="AI766" i="1"/>
  <c r="AN766" i="1" s="1"/>
  <c r="AB766" i="1"/>
  <c r="AJ766" i="1" s="1"/>
  <c r="AB596" i="1"/>
  <c r="AJ596" i="1" s="1"/>
  <c r="AB736" i="1"/>
  <c r="AJ736" i="1" s="1"/>
  <c r="AI736" i="1"/>
  <c r="AN736" i="1" s="1"/>
  <c r="AB735" i="1"/>
  <c r="AJ735" i="1" s="1"/>
  <c r="AI795" i="1"/>
  <c r="AN795" i="1" s="1"/>
  <c r="AB522" i="1"/>
  <c r="AJ522" i="1" s="1"/>
  <c r="AB587" i="1"/>
  <c r="AJ587" i="1" s="1"/>
  <c r="AI747" i="1"/>
  <c r="AN747" i="1" s="1"/>
  <c r="AB743" i="1"/>
  <c r="AJ743" i="1" s="1"/>
  <c r="AB738" i="1"/>
  <c r="AJ738" i="1" s="1"/>
  <c r="AB765" i="1"/>
  <c r="AJ765" i="1" s="1"/>
  <c r="AI754" i="1"/>
  <c r="AN754" i="1" s="1"/>
  <c r="AI173" i="1"/>
  <c r="AN173" i="1" s="1"/>
  <c r="AI610" i="1"/>
  <c r="AN610" i="1" s="1"/>
  <c r="AB610" i="1"/>
  <c r="AJ610" i="1" s="1"/>
  <c r="AI608" i="1"/>
  <c r="AN608" i="1" s="1"/>
  <c r="AB608" i="1"/>
  <c r="AJ608" i="1" s="1"/>
  <c r="AI602" i="1"/>
  <c r="AN602" i="1" s="1"/>
  <c r="AB602" i="1"/>
  <c r="AJ602" i="1" s="1"/>
  <c r="AB605" i="1"/>
  <c r="AJ605" i="1" s="1"/>
  <c r="AB603" i="1"/>
  <c r="AJ603" i="1" s="1"/>
  <c r="AI10" i="1"/>
  <c r="AN10" i="1" s="1"/>
  <c r="AB10" i="1"/>
  <c r="AJ10" i="1" s="1"/>
  <c r="AB3" i="1"/>
  <c r="AJ3" i="1" s="1"/>
  <c r="AB19" i="1"/>
  <c r="AJ19" i="1" s="1"/>
  <c r="AI83" i="1"/>
  <c r="AN83" i="1" s="1"/>
  <c r="AI589" i="1"/>
  <c r="AN589" i="1" s="1"/>
  <c r="AB126" i="1"/>
  <c r="AJ126" i="1" s="1"/>
  <c r="AI12" i="1"/>
  <c r="AN12" i="1" s="1"/>
  <c r="AI39" i="1"/>
  <c r="AN39" i="1" s="1"/>
  <c r="AI168" i="1"/>
  <c r="AN168" i="1" s="1"/>
  <c r="AI601" i="1"/>
  <c r="AN601" i="1" s="1"/>
  <c r="AB439" i="1"/>
  <c r="AJ439" i="1" s="1"/>
  <c r="AI607" i="1"/>
  <c r="AN607" i="1" s="1"/>
  <c r="AB609" i="1"/>
  <c r="AJ609" i="1" s="1"/>
  <c r="AB139" i="1"/>
  <c r="AJ139" i="1" s="1"/>
  <c r="AB298" i="1"/>
  <c r="AJ298" i="1" s="1"/>
  <c r="AI289" i="1"/>
  <c r="AN289" i="1" s="1"/>
  <c r="AI470" i="1"/>
  <c r="AN470" i="1" s="1"/>
  <c r="AB470" i="1"/>
  <c r="AJ470" i="1" s="1"/>
  <c r="AI457" i="1"/>
  <c r="AN457" i="1" s="1"/>
  <c r="AB669" i="1"/>
  <c r="AJ669" i="1" s="1"/>
  <c r="AB383" i="1"/>
  <c r="AJ383" i="1" s="1"/>
  <c r="AI383" i="1"/>
  <c r="AN383" i="1" s="1"/>
  <c r="AB544" i="1"/>
  <c r="AJ544" i="1" s="1"/>
  <c r="AI426" i="1"/>
  <c r="AN426" i="1" s="1"/>
  <c r="AB9" i="1"/>
  <c r="AJ9" i="1" s="1"/>
  <c r="AI23" i="1"/>
  <c r="AN23" i="1" s="1"/>
  <c r="AI27" i="1"/>
  <c r="AN27" i="1" s="1"/>
  <c r="AI411" i="1"/>
  <c r="AN411" i="1" s="1"/>
  <c r="AB411" i="1"/>
  <c r="AJ411" i="1" s="1"/>
  <c r="AI759" i="1"/>
  <c r="AN759" i="1" s="1"/>
  <c r="AB436" i="1"/>
  <c r="AJ436" i="1" s="1"/>
  <c r="AI409" i="1"/>
  <c r="AN409" i="1" s="1"/>
  <c r="AB297" i="1"/>
  <c r="AJ297" i="1" s="1"/>
  <c r="AB46" i="1"/>
  <c r="AJ46" i="1" s="1"/>
  <c r="AB501" i="1"/>
  <c r="AJ501" i="1" s="1"/>
  <c r="AB65" i="1"/>
  <c r="AJ65" i="1" s="1"/>
  <c r="AB451" i="1"/>
  <c r="AJ451" i="1" s="1"/>
  <c r="AB140" i="1"/>
  <c r="AJ140" i="1" s="1"/>
  <c r="AB259" i="1"/>
  <c r="AJ259" i="1" s="1"/>
  <c r="AB382" i="1"/>
  <c r="AJ382" i="1" s="1"/>
  <c r="AB617" i="1"/>
  <c r="AJ617" i="1" s="1"/>
  <c r="AJ106" i="1"/>
  <c r="AJ454" i="1"/>
  <c r="AJ783" i="1"/>
  <c r="AJ817" i="1"/>
  <c r="AJ189" i="1"/>
  <c r="AJ390" i="1"/>
  <c r="AJ397" i="1"/>
  <c r="AJ498" i="1"/>
  <c r="AJ621" i="1"/>
  <c r="AJ656" i="1"/>
  <c r="AJ687" i="1"/>
  <c r="AJ691" i="1"/>
  <c r="AJ697" i="1"/>
  <c r="AJ799" i="1"/>
  <c r="AJ803" i="1"/>
  <c r="AJ332" i="1"/>
  <c r="AJ384" i="1"/>
  <c r="AI790" i="1"/>
  <c r="AN790" i="1" s="1"/>
  <c r="AJ104" i="1"/>
  <c r="AJ50" i="1"/>
  <c r="AJ441" i="1"/>
  <c r="AJ458" i="1"/>
  <c r="AJ737" i="1"/>
  <c r="AJ16" i="1"/>
  <c r="AJ112" i="1"/>
  <c r="AJ285" i="1"/>
  <c r="AJ49" i="1"/>
  <c r="AJ499" i="1"/>
  <c r="AJ761" i="1"/>
  <c r="AJ66" i="1"/>
  <c r="AJ73" i="1"/>
  <c r="AJ99" i="1"/>
  <c r="AJ147" i="1"/>
  <c r="AJ353" i="1"/>
  <c r="AJ468" i="1"/>
  <c r="AB489" i="1"/>
  <c r="AJ489" i="1" s="1"/>
  <c r="AJ552" i="1"/>
  <c r="AJ696" i="1"/>
  <c r="AB715" i="1"/>
  <c r="AJ715" i="1" s="1"/>
  <c r="AJ781" i="1"/>
  <c r="AJ185" i="1"/>
  <c r="AJ372" i="1"/>
  <c r="AJ445" i="1"/>
  <c r="AJ662" i="1"/>
  <c r="AJ710" i="1"/>
  <c r="AJ786" i="1"/>
  <c r="AJ342" i="1"/>
  <c r="AJ647" i="1"/>
  <c r="AN757" i="1"/>
  <c r="AJ453" i="1"/>
  <c r="AJ683" i="1"/>
  <c r="AN165" i="1"/>
  <c r="AJ640" i="1"/>
  <c r="AB389" i="1"/>
  <c r="AJ389" i="1" s="1"/>
  <c r="AI389" i="1"/>
  <c r="AN389" i="1" s="1"/>
  <c r="AB428" i="1"/>
  <c r="AJ428" i="1" s="1"/>
  <c r="AI428" i="1"/>
  <c r="AN428" i="1" s="1"/>
  <c r="AI494" i="1"/>
  <c r="AN494" i="1" s="1"/>
  <c r="AI464" i="1"/>
  <c r="AB128" i="1"/>
  <c r="AJ128" i="1" s="1"/>
  <c r="AI128" i="1"/>
  <c r="AN128" i="1" s="1"/>
  <c r="AJ45" i="1"/>
  <c r="AB111" i="1"/>
  <c r="AJ111" i="1" s="1"/>
  <c r="AI111" i="1"/>
  <c r="AN111" i="1" s="1"/>
  <c r="AB290" i="1"/>
  <c r="AJ290" i="1" s="1"/>
  <c r="AJ294" i="1"/>
  <c r="AJ495" i="1"/>
  <c r="AJ584" i="1"/>
  <c r="AJ51" i="1"/>
  <c r="AN114" i="1"/>
  <c r="AJ514" i="1"/>
  <c r="AJ755" i="1"/>
  <c r="AJ67" i="1"/>
  <c r="AB740" i="1"/>
  <c r="AJ740" i="1" s="1"/>
  <c r="AI740" i="1"/>
  <c r="AN740" i="1" s="1"/>
  <c r="AJ595" i="1"/>
  <c r="AN228" i="1"/>
  <c r="AJ286" i="1"/>
  <c r="AJ329" i="1"/>
  <c r="AJ32" i="1"/>
  <c r="AJ44" i="1"/>
  <c r="AJ59" i="1"/>
  <c r="AJ89" i="1"/>
  <c r="AJ149" i="1"/>
  <c r="AJ211" i="1"/>
  <c r="AJ260" i="1"/>
  <c r="AJ351" i="1"/>
  <c r="AJ417" i="1"/>
  <c r="AJ494" i="1"/>
  <c r="AJ578" i="1"/>
  <c r="AJ631" i="1"/>
  <c r="AJ667" i="1"/>
  <c r="AJ682" i="1"/>
  <c r="AJ693" i="1"/>
  <c r="AJ705" i="1"/>
  <c r="AJ804" i="1"/>
  <c r="AJ791" i="1"/>
  <c r="AI455" i="1"/>
  <c r="AN455" i="1" s="1"/>
  <c r="AB455" i="1"/>
  <c r="AJ455" i="1" s="1"/>
  <c r="AJ312" i="1"/>
  <c r="AJ568" i="1"/>
  <c r="AJ798" i="1"/>
  <c r="AB31" i="1"/>
  <c r="AJ31" i="1" s="1"/>
  <c r="AN161" i="1"/>
  <c r="AN163" i="1"/>
  <c r="AJ356" i="1"/>
  <c r="AJ571" i="1"/>
  <c r="AJ648" i="1"/>
  <c r="AJ808" i="1"/>
  <c r="AJ86" i="1"/>
  <c r="AJ105" i="1"/>
  <c r="AJ183" i="1"/>
  <c r="AJ261" i="1"/>
  <c r="AJ304" i="1"/>
  <c r="AJ317" i="1"/>
  <c r="AJ335" i="1"/>
  <c r="AJ344" i="1"/>
  <c r="AN493" i="1"/>
  <c r="AB500" i="1"/>
  <c r="AJ500" i="1" s="1"/>
  <c r="AJ593" i="1"/>
  <c r="AI668" i="1"/>
  <c r="AN668" i="1" s="1"/>
  <c r="AJ679" i="1"/>
  <c r="AJ685" i="1"/>
  <c r="AJ554" i="1"/>
  <c r="AJ800" i="1"/>
  <c r="AN78" i="1"/>
  <c r="AJ109" i="1"/>
  <c r="AJ182" i="1"/>
  <c r="AJ195" i="1"/>
  <c r="AJ209" i="1"/>
  <c r="AJ316" i="1"/>
  <c r="AJ376" i="1"/>
  <c r="AJ460" i="1"/>
  <c r="AJ484" i="1"/>
  <c r="AJ559" i="1"/>
  <c r="AJ565" i="1"/>
  <c r="AJ611" i="1"/>
  <c r="AJ653" i="1"/>
  <c r="AJ666" i="1"/>
  <c r="AI719" i="1"/>
  <c r="AN719" i="1" s="1"/>
  <c r="AJ806" i="1"/>
  <c r="AJ58" i="1"/>
  <c r="AJ121" i="1"/>
  <c r="AJ208" i="1"/>
  <c r="AJ586" i="1"/>
  <c r="AJ689" i="1"/>
  <c r="AJ782" i="1"/>
  <c r="AJ785" i="1"/>
  <c r="AN788" i="1"/>
  <c r="AN801" i="1"/>
  <c r="AJ26" i="1"/>
  <c r="AN29" i="1"/>
  <c r="AN37" i="1"/>
  <c r="AN81" i="1"/>
  <c r="AN142" i="1"/>
  <c r="AJ243" i="1"/>
  <c r="AJ252" i="1"/>
  <c r="AJ437" i="1"/>
  <c r="AN486" i="1"/>
  <c r="AN488" i="1"/>
  <c r="AJ809" i="1"/>
  <c r="AN85" i="1"/>
  <c r="AJ184" i="1"/>
  <c r="AJ187" i="1"/>
  <c r="AJ299" i="1"/>
  <c r="AJ658" i="1"/>
  <c r="AJ709" i="1"/>
  <c r="AJ150" i="1"/>
  <c r="AJ225" i="1"/>
  <c r="AJ419" i="1"/>
  <c r="AN420" i="1"/>
  <c r="AJ526" i="1"/>
  <c r="AJ699" i="1"/>
  <c r="AJ771" i="1"/>
  <c r="AJ7" i="1"/>
  <c r="AJ36" i="1"/>
  <c r="AJ53" i="1"/>
  <c r="AJ68" i="1"/>
  <c r="AJ80" i="1"/>
  <c r="AJ188" i="1"/>
  <c r="AJ30" i="1"/>
  <c r="AJ123" i="1"/>
  <c r="AN54" i="1"/>
  <c r="AN55" i="1"/>
  <c r="AN56" i="1"/>
  <c r="AN57" i="1"/>
  <c r="AJ113" i="1"/>
  <c r="AN75" i="1"/>
  <c r="AN93" i="1"/>
  <c r="AJ143" i="1"/>
  <c r="AJ203" i="1"/>
  <c r="AJ244" i="1"/>
  <c r="AJ279" i="1"/>
  <c r="AN167" i="1"/>
  <c r="AJ314" i="1"/>
  <c r="AJ320" i="1"/>
  <c r="AJ323" i="1"/>
  <c r="AJ343" i="1"/>
  <c r="AJ355" i="1"/>
  <c r="AJ375" i="1"/>
  <c r="AJ378" i="1"/>
  <c r="AJ404" i="1"/>
  <c r="AJ452" i="1"/>
  <c r="AN509" i="1"/>
  <c r="AN510" i="1"/>
  <c r="AJ591" i="1"/>
  <c r="AJ598" i="1"/>
  <c r="AN290" i="1"/>
  <c r="AJ293" i="1"/>
  <c r="AJ396" i="1"/>
  <c r="AJ434" i="1"/>
  <c r="AN489" i="1"/>
  <c r="AJ490" i="1"/>
  <c r="AJ491" i="1"/>
  <c r="AJ521" i="1"/>
  <c r="AN594" i="1"/>
  <c r="AJ663" i="1"/>
  <c r="AN722" i="1"/>
  <c r="AN731" i="1"/>
  <c r="AJ590" i="1"/>
  <c r="AJ635" i="1"/>
  <c r="AJ645" i="1"/>
  <c r="AJ649" i="1"/>
  <c r="AJ657" i="1"/>
  <c r="AJ661" i="1"/>
  <c r="AJ665" i="1"/>
  <c r="AJ684" i="1"/>
  <c r="AJ688" i="1"/>
  <c r="AJ690" i="1"/>
  <c r="AJ695" i="1"/>
  <c r="AJ708" i="1"/>
  <c r="AJ711" i="1"/>
  <c r="AN723" i="1"/>
  <c r="AN729" i="1"/>
  <c r="AN504" i="1"/>
  <c r="AN512" i="1"/>
  <c r="AJ802" i="1"/>
  <c r="AJ818" i="1"/>
  <c r="AN715" i="1"/>
  <c r="AN793" i="1"/>
  <c r="AN794" i="1"/>
  <c r="AN31" i="1"/>
  <c r="AN74" i="1"/>
  <c r="AN76" i="1"/>
  <c r="AN77" i="1"/>
  <c r="AN79" i="1"/>
  <c r="AN127" i="1"/>
  <c r="AN133" i="1"/>
  <c r="AN164" i="1"/>
  <c r="AN170" i="1"/>
  <c r="AN172" i="1"/>
  <c r="AN247" i="1"/>
  <c r="AN422" i="1"/>
  <c r="AN440" i="1"/>
  <c r="AN500" i="1"/>
  <c r="AI730" i="1"/>
  <c r="AN730" i="1" s="1"/>
  <c r="AB730" i="1"/>
  <c r="AJ730" i="1" s="1"/>
  <c r="AI739" i="1"/>
  <c r="AN739" i="1" s="1"/>
  <c r="AB739" i="1"/>
  <c r="AJ739" i="1" s="1"/>
  <c r="AB792" i="1"/>
  <c r="AJ792" i="1" s="1"/>
  <c r="AI792" i="1"/>
  <c r="AN792" i="1" s="1"/>
  <c r="AI820" i="1"/>
  <c r="AN820" i="1" s="1"/>
  <c r="AB820" i="1"/>
  <c r="AJ820" i="1" s="1"/>
  <c r="AB108" i="1"/>
  <c r="AJ108" i="1" s="1"/>
  <c r="AI108" i="1"/>
  <c r="AN108" i="1" s="1"/>
  <c r="AB381" i="1"/>
  <c r="AJ381" i="1" s="1"/>
  <c r="AI381" i="1"/>
  <c r="AN381" i="1" s="1"/>
  <c r="AI741" i="1"/>
  <c r="AN741" i="1" s="1"/>
  <c r="AB741" i="1"/>
  <c r="AJ741" i="1" s="1"/>
  <c r="AB488" i="1"/>
  <c r="AJ488" i="1" s="1"/>
  <c r="AB493" i="1"/>
  <c r="AJ493" i="1" s="1"/>
  <c r="AB722" i="1"/>
  <c r="AJ722" i="1" s="1"/>
  <c r="AI755" i="1"/>
  <c r="AN755" i="1" s="1"/>
  <c r="AB794" i="1"/>
  <c r="AJ794" i="1" s="1"/>
  <c r="AI288" i="1"/>
  <c r="AN288" i="1" s="1"/>
  <c r="AB288" i="1"/>
  <c r="AJ288" i="1" s="1"/>
  <c r="AB673" i="1"/>
  <c r="AJ673" i="1" s="1"/>
  <c r="AI673" i="1"/>
  <c r="AN673" i="1" s="1"/>
  <c r="AB749" i="1"/>
  <c r="AJ749" i="1" s="1"/>
  <c r="AI749" i="1"/>
  <c r="AN749" i="1" s="1"/>
  <c r="AB769" i="1"/>
  <c r="AJ769" i="1" s="1"/>
  <c r="AI769" i="1"/>
  <c r="AN769" i="1" s="1"/>
  <c r="AB671" i="1"/>
  <c r="AJ671" i="1" s="1"/>
  <c r="AI671" i="1"/>
  <c r="AN671" i="1" s="1"/>
  <c r="AB81" i="1"/>
  <c r="AJ81" i="1" s="1"/>
  <c r="AI304" i="1"/>
  <c r="AN304" i="1" s="1"/>
  <c r="AI499" i="1"/>
  <c r="AN499" i="1" s="1"/>
  <c r="AI720" i="1"/>
  <c r="AN720" i="1" s="1"/>
  <c r="AI728" i="1"/>
  <c r="AN728" i="1" s="1"/>
  <c r="AB729" i="1"/>
  <c r="AJ729" i="1" s="1"/>
  <c r="AB731" i="1"/>
  <c r="AJ731" i="1" s="1"/>
  <c r="AI753" i="1"/>
  <c r="AN753" i="1" s="1"/>
  <c r="AI787" i="1"/>
  <c r="AN787" i="1" s="1"/>
  <c r="AB787" i="1"/>
  <c r="AJ787" i="1" s="1"/>
  <c r="AB788" i="1"/>
  <c r="AJ788" i="1" s="1"/>
  <c r="AB734" i="1"/>
  <c r="AJ734" i="1" s="1"/>
  <c r="AI734" i="1"/>
  <c r="AN734" i="1" s="1"/>
  <c r="AB114" i="1"/>
  <c r="AJ114" i="1" s="1"/>
  <c r="AI442" i="1"/>
  <c r="AN442" i="1" s="1"/>
  <c r="AB442" i="1"/>
  <c r="AJ442" i="1" s="1"/>
  <c r="AI460" i="1"/>
  <c r="AN460" i="1" s="1"/>
  <c r="AI503" i="1"/>
  <c r="AN503" i="1" s="1"/>
  <c r="AB503" i="1"/>
  <c r="AJ503" i="1" s="1"/>
  <c r="AJ466" i="1"/>
  <c r="AJ497" i="1"/>
  <c r="AI514" i="1"/>
  <c r="AN514" i="1" s="1"/>
  <c r="AI515" i="1"/>
  <c r="AN515" i="1" s="1"/>
  <c r="AB515" i="1"/>
  <c r="AJ515" i="1" s="1"/>
  <c r="AB555" i="1"/>
  <c r="AJ555" i="1" s="1"/>
  <c r="AI555" i="1"/>
  <c r="AN555" i="1" s="1"/>
  <c r="AB716" i="1"/>
  <c r="AJ716" i="1" s="1"/>
  <c r="AI716" i="1"/>
  <c r="AN716" i="1" s="1"/>
  <c r="AB723" i="1"/>
  <c r="AJ723" i="1" s="1"/>
  <c r="AJ763" i="1"/>
  <c r="AB732" i="1"/>
  <c r="AJ732" i="1" s="1"/>
  <c r="AI732" i="1"/>
  <c r="AN732" i="1" s="1"/>
  <c r="AB756" i="1"/>
  <c r="AJ756" i="1" s="1"/>
  <c r="AI756" i="1"/>
  <c r="AN756" i="1" s="1"/>
  <c r="AI112" i="1"/>
  <c r="AN112" i="1" s="1"/>
  <c r="AB463" i="1"/>
  <c r="AJ463" i="1" s="1"/>
  <c r="AI463" i="1"/>
  <c r="AN463" i="1" s="1"/>
  <c r="AI49" i="1"/>
  <c r="AN49" i="1" s="1"/>
  <c r="AI104" i="1"/>
  <c r="AN104" i="1" s="1"/>
  <c r="AB137" i="1"/>
  <c r="AJ137" i="1" s="1"/>
  <c r="AI137" i="1"/>
  <c r="AN137" i="1" s="1"/>
  <c r="AI554" i="1"/>
  <c r="AN554" i="1" s="1"/>
  <c r="AI667" i="1"/>
  <c r="AN667" i="1" s="1"/>
  <c r="AB714" i="1"/>
  <c r="AJ714" i="1" s="1"/>
  <c r="AI714" i="1"/>
  <c r="AN714" i="1" s="1"/>
  <c r="AI733" i="1"/>
  <c r="AN733" i="1" s="1"/>
  <c r="AB733" i="1"/>
  <c r="AJ733" i="1" s="1"/>
  <c r="AB764" i="1"/>
  <c r="AJ764" i="1" s="1"/>
  <c r="AI764" i="1"/>
  <c r="AN764" i="1" s="1"/>
  <c r="AB29" i="1"/>
  <c r="AJ29" i="1" s="1"/>
  <c r="AI89" i="1"/>
  <c r="AN89" i="1" s="1"/>
  <c r="AI109" i="1"/>
  <c r="AN109" i="1" s="1"/>
  <c r="AB132" i="1"/>
  <c r="AJ132" i="1" s="1"/>
  <c r="AI132" i="1"/>
  <c r="AN132" i="1" s="1"/>
  <c r="AB228" i="1"/>
  <c r="AJ228" i="1" s="1"/>
  <c r="AI441" i="1"/>
  <c r="AN441" i="1" s="1"/>
  <c r="AB465" i="1"/>
  <c r="AJ465" i="1" s="1"/>
  <c r="AI465" i="1"/>
  <c r="AN465" i="1" s="1"/>
  <c r="AI466" i="1"/>
  <c r="AN466" i="1" s="1"/>
  <c r="AI737" i="1"/>
  <c r="AN737" i="1" s="1"/>
  <c r="AB762" i="1"/>
  <c r="AJ762" i="1" s="1"/>
  <c r="AI762" i="1"/>
  <c r="AN762" i="1" s="1"/>
  <c r="AI763" i="1"/>
  <c r="AN763" i="1" s="1"/>
  <c r="AI800" i="1"/>
  <c r="AN800" i="1" s="1"/>
  <c r="AB678" i="1"/>
  <c r="AJ678" i="1" s="1"/>
  <c r="AI678" i="1"/>
  <c r="AN678" i="1" s="1"/>
  <c r="AI718" i="1"/>
  <c r="AN718" i="1" s="1"/>
  <c r="AB718" i="1"/>
  <c r="AJ718" i="1" s="1"/>
  <c r="AJ720" i="1"/>
  <c r="AJ728" i="1"/>
  <c r="AJ753" i="1"/>
  <c r="AJ719" i="1"/>
  <c r="AJ677" i="1"/>
  <c r="AJ790" i="1"/>
  <c r="AJ668" i="1"/>
  <c r="AI175" i="1"/>
  <c r="AN175" i="1" s="1"/>
  <c r="AB175" i="1"/>
  <c r="AJ175" i="1" s="1"/>
  <c r="AB676" i="1"/>
  <c r="AJ676" i="1" s="1"/>
  <c r="AI676" i="1"/>
  <c r="AN676" i="1" s="1"/>
  <c r="AI249" i="1"/>
  <c r="AN249" i="1" s="1"/>
  <c r="AB249" i="1"/>
  <c r="AJ249" i="1" s="1"/>
  <c r="AI725" i="1"/>
  <c r="AN725" i="1" s="1"/>
  <c r="AB725" i="1"/>
  <c r="AJ725" i="1" s="1"/>
  <c r="AB751" i="1"/>
  <c r="AJ751" i="1" s="1"/>
  <c r="AI751" i="1"/>
  <c r="AN751" i="1" s="1"/>
  <c r="AB752" i="1"/>
  <c r="AJ752" i="1" s="1"/>
  <c r="AI752" i="1"/>
  <c r="AN752" i="1" s="1"/>
  <c r="AI166" i="1"/>
  <c r="AN166" i="1" s="1"/>
  <c r="AB166" i="1"/>
  <c r="AJ166" i="1" s="1"/>
  <c r="AB746" i="1"/>
  <c r="AJ746" i="1" s="1"/>
  <c r="AI746" i="1"/>
  <c r="AN746" i="1" s="1"/>
  <c r="AB37" i="1"/>
  <c r="AJ37" i="1" s="1"/>
  <c r="AB54" i="1"/>
  <c r="AJ54" i="1" s="1"/>
  <c r="AB56" i="1"/>
  <c r="AJ56" i="1" s="1"/>
  <c r="AB57" i="1"/>
  <c r="AJ57" i="1" s="1"/>
  <c r="AB74" i="1"/>
  <c r="AJ74" i="1" s="1"/>
  <c r="AB76" i="1"/>
  <c r="AJ76" i="1" s="1"/>
  <c r="AB77" i="1"/>
  <c r="AJ77" i="1" s="1"/>
  <c r="AB79" i="1"/>
  <c r="AJ79" i="1" s="1"/>
  <c r="AB101" i="1"/>
  <c r="AJ101" i="1" s="1"/>
  <c r="AI101" i="1"/>
  <c r="AN101" i="1" s="1"/>
  <c r="AB110" i="1"/>
  <c r="AJ110" i="1" s="1"/>
  <c r="AI110" i="1"/>
  <c r="AN110" i="1" s="1"/>
  <c r="AB127" i="1"/>
  <c r="AJ127" i="1" s="1"/>
  <c r="AB163" i="1"/>
  <c r="AJ163" i="1" s="1"/>
  <c r="AB167" i="1"/>
  <c r="AJ167" i="1" s="1"/>
  <c r="AI171" i="1"/>
  <c r="AN171" i="1" s="1"/>
  <c r="AB171" i="1"/>
  <c r="AJ171" i="1" s="1"/>
  <c r="AI511" i="1"/>
  <c r="AN511" i="1" s="1"/>
  <c r="AB511" i="1"/>
  <c r="AJ511" i="1" s="1"/>
  <c r="AI556" i="1"/>
  <c r="AN556" i="1" s="1"/>
  <c r="AB556" i="1"/>
  <c r="AJ556" i="1" s="1"/>
  <c r="AI717" i="1"/>
  <c r="AN717" i="1" s="1"/>
  <c r="AB717" i="1"/>
  <c r="AJ717" i="1" s="1"/>
  <c r="AB768" i="1"/>
  <c r="AJ768" i="1" s="1"/>
  <c r="AI768" i="1"/>
  <c r="AN768" i="1" s="1"/>
  <c r="AI797" i="1"/>
  <c r="AN797" i="1" s="1"/>
  <c r="AB797" i="1"/>
  <c r="AJ797" i="1" s="1"/>
  <c r="AI789" i="1"/>
  <c r="AN789" i="1" s="1"/>
  <c r="AB789" i="1"/>
  <c r="AJ789" i="1" s="1"/>
  <c r="AB85" i="1"/>
  <c r="AJ85" i="1" s="1"/>
  <c r="AB93" i="1"/>
  <c r="AJ93" i="1" s="1"/>
  <c r="AB133" i="1"/>
  <c r="AJ133" i="1" s="1"/>
  <c r="AB164" i="1"/>
  <c r="AJ164" i="1" s="1"/>
  <c r="AI287" i="1"/>
  <c r="AN287" i="1" s="1"/>
  <c r="AB287" i="1"/>
  <c r="AJ287" i="1" s="1"/>
  <c r="AB306" i="1"/>
  <c r="AJ306" i="1" s="1"/>
  <c r="AI306" i="1"/>
  <c r="AN306" i="1" s="1"/>
  <c r="AI400" i="1"/>
  <c r="AN400" i="1" s="1"/>
  <c r="AB400" i="1"/>
  <c r="AJ400" i="1" s="1"/>
  <c r="AI502" i="1"/>
  <c r="AN502" i="1" s="1"/>
  <c r="AB502" i="1"/>
  <c r="AJ502" i="1" s="1"/>
  <c r="AI664" i="1"/>
  <c r="AN664" i="1" s="1"/>
  <c r="AB664" i="1"/>
  <c r="AJ664" i="1" s="1"/>
  <c r="AB674" i="1"/>
  <c r="AJ674" i="1" s="1"/>
  <c r="AI674" i="1"/>
  <c r="AN674" i="1" s="1"/>
  <c r="AB748" i="1"/>
  <c r="AJ748" i="1" s="1"/>
  <c r="AI748" i="1"/>
  <c r="AN748" i="1" s="1"/>
  <c r="AB459" i="1"/>
  <c r="AJ459" i="1" s="1"/>
  <c r="AI459" i="1"/>
  <c r="AN459" i="1" s="1"/>
  <c r="AI505" i="1"/>
  <c r="AN505" i="1" s="1"/>
  <c r="AB505" i="1"/>
  <c r="AJ505" i="1" s="1"/>
  <c r="AI50" i="1"/>
  <c r="AN50" i="1" s="1"/>
  <c r="AI51" i="1"/>
  <c r="AN51" i="1" s="1"/>
  <c r="AB55" i="1"/>
  <c r="AJ55" i="1" s="1"/>
  <c r="AB75" i="1"/>
  <c r="AJ75" i="1" s="1"/>
  <c r="AB78" i="1"/>
  <c r="AJ78" i="1" s="1"/>
  <c r="AI162" i="1"/>
  <c r="AN162" i="1" s="1"/>
  <c r="AB162" i="1"/>
  <c r="AJ162" i="1" s="1"/>
  <c r="AB172" i="1"/>
  <c r="AJ172" i="1" s="1"/>
  <c r="AI292" i="1"/>
  <c r="AN292" i="1" s="1"/>
  <c r="AB292" i="1"/>
  <c r="AJ292" i="1" s="1"/>
  <c r="AB380" i="1"/>
  <c r="AJ380" i="1" s="1"/>
  <c r="AI380" i="1"/>
  <c r="AN380" i="1" s="1"/>
  <c r="AI506" i="1"/>
  <c r="AN506" i="1" s="1"/>
  <c r="AB506" i="1"/>
  <c r="AJ506" i="1" s="1"/>
  <c r="AI721" i="1"/>
  <c r="AN721" i="1" s="1"/>
  <c r="AB721" i="1"/>
  <c r="AJ721" i="1" s="1"/>
  <c r="AI291" i="1"/>
  <c r="AN291" i="1" s="1"/>
  <c r="AB291" i="1"/>
  <c r="AJ291" i="1" s="1"/>
  <c r="AB307" i="1"/>
  <c r="AJ307" i="1" s="1"/>
  <c r="AI307" i="1"/>
  <c r="AN307" i="1" s="1"/>
  <c r="AB672" i="1"/>
  <c r="AJ672" i="1" s="1"/>
  <c r="AI672" i="1"/>
  <c r="AN672" i="1" s="1"/>
  <c r="AB681" i="1"/>
  <c r="AJ681" i="1" s="1"/>
  <c r="AI681" i="1"/>
  <c r="AN681" i="1" s="1"/>
  <c r="AI713" i="1"/>
  <c r="AN713" i="1" s="1"/>
  <c r="AB713" i="1"/>
  <c r="AJ713" i="1" s="1"/>
  <c r="AI726" i="1"/>
  <c r="AN726" i="1" s="1"/>
  <c r="AB726" i="1"/>
  <c r="AJ726" i="1" s="1"/>
  <c r="AB422" i="1"/>
  <c r="AJ422" i="1" s="1"/>
  <c r="AB510" i="1"/>
  <c r="AJ510" i="1" s="1"/>
  <c r="AB675" i="1"/>
  <c r="AJ675" i="1" s="1"/>
  <c r="AI675" i="1"/>
  <c r="AN675" i="1" s="1"/>
  <c r="AB142" i="1"/>
  <c r="AJ142" i="1" s="1"/>
  <c r="AB170" i="1"/>
  <c r="AJ170" i="1" s="1"/>
  <c r="AB247" i="1"/>
  <c r="AJ247" i="1" s="1"/>
  <c r="AI390" i="1"/>
  <c r="AN390" i="1" s="1"/>
  <c r="AB420" i="1"/>
  <c r="AJ420" i="1" s="1"/>
  <c r="AI458" i="1"/>
  <c r="AN458" i="1" s="1"/>
  <c r="AI497" i="1"/>
  <c r="AN497" i="1" s="1"/>
  <c r="AB504" i="1"/>
  <c r="AJ504" i="1" s="1"/>
  <c r="AB509" i="1"/>
  <c r="AJ509" i="1" s="1"/>
  <c r="AB512" i="1"/>
  <c r="AJ512" i="1" s="1"/>
  <c r="AB594" i="1"/>
  <c r="AJ594" i="1" s="1"/>
  <c r="AI677" i="1"/>
  <c r="AN677" i="1" s="1"/>
  <c r="AI679" i="1"/>
  <c r="AN679" i="1" s="1"/>
  <c r="AB680" i="1"/>
  <c r="AJ680" i="1" s="1"/>
  <c r="AI680" i="1"/>
  <c r="AN680" i="1" s="1"/>
  <c r="AI744" i="1"/>
  <c r="AN744" i="1" s="1"/>
  <c r="AB744" i="1"/>
  <c r="AJ744" i="1" s="1"/>
  <c r="AI761" i="1"/>
  <c r="AN761" i="1" s="1"/>
  <c r="AI791" i="1"/>
  <c r="AN791" i="1" s="1"/>
  <c r="AB793" i="1"/>
  <c r="AJ793" i="1" s="1"/>
  <c r="AB801" i="1"/>
  <c r="AJ801" i="1" s="1"/>
  <c r="AI821" i="1"/>
  <c r="AN821" i="1" s="1"/>
  <c r="AB821" i="1"/>
  <c r="AJ821" i="1" s="1"/>
  <c r="AB757" i="1"/>
  <c r="AJ757" i="1" s="1"/>
  <c r="AI727" i="1"/>
  <c r="AN727" i="1" s="1"/>
  <c r="AB727" i="1"/>
  <c r="AJ727" i="1" s="1"/>
  <c r="AI712" i="1"/>
  <c r="AN712" i="1" s="1"/>
  <c r="AB712" i="1"/>
  <c r="AJ712" i="1" s="1"/>
  <c r="AB165" i="1"/>
  <c r="AJ165" i="1" s="1"/>
  <c r="AB161" i="1"/>
  <c r="AJ161" i="1" s="1"/>
  <c r="AB160" i="1"/>
  <c r="AJ160" i="1" s="1"/>
  <c r="AI160" i="1"/>
  <c r="AN160" i="1" s="1"/>
  <c r="AB486" i="1"/>
  <c r="AJ486" i="1" s="1"/>
  <c r="AI461" i="1"/>
  <c r="AN461" i="1" s="1"/>
  <c r="AB461" i="1"/>
  <c r="AJ461" i="1" s="1"/>
  <c r="AB440" i="1"/>
  <c r="AJ440" i="1" s="1"/>
  <c r="AB399" i="1"/>
  <c r="AJ399" i="1" s="1"/>
  <c r="AI399" i="1"/>
  <c r="AN399" i="1" s="1"/>
  <c r="K262" i="9" l="1"/>
  <c r="L262" i="9" s="1"/>
  <c r="K266" i="9"/>
  <c r="L266" i="9" s="1"/>
  <c r="K303" i="9"/>
  <c r="L303" i="9" s="1"/>
  <c r="K179" i="9"/>
  <c r="L179" i="9" s="1"/>
  <c r="K311" i="9"/>
  <c r="L311" i="9" s="1"/>
  <c r="K216" i="9"/>
  <c r="L216" i="9" s="1"/>
  <c r="K324" i="9"/>
  <c r="L324" i="9" s="1"/>
  <c r="K165" i="9"/>
  <c r="L165" i="9" s="1"/>
  <c r="K18" i="9"/>
  <c r="L18" i="9" s="1"/>
  <c r="K277" i="9"/>
  <c r="L277" i="9" s="1"/>
  <c r="K37" i="9"/>
  <c r="L37" i="9" s="1"/>
  <c r="K46" i="9"/>
  <c r="L46" i="9" s="1"/>
  <c r="K295" i="9"/>
  <c r="L295" i="9" s="1"/>
  <c r="K172" i="9"/>
  <c r="L172" i="9" s="1"/>
  <c r="K24" i="9"/>
  <c r="L24" i="9" s="1"/>
  <c r="K230" i="9"/>
  <c r="L230" i="9" s="1"/>
  <c r="K238" i="9"/>
  <c r="L238" i="9" s="1"/>
  <c r="K291" i="9"/>
  <c r="L291" i="9" s="1"/>
  <c r="K321" i="9"/>
  <c r="L321" i="9" s="1"/>
  <c r="K267" i="9"/>
  <c r="L267" i="9" s="1"/>
  <c r="K329" i="9"/>
  <c r="L329" i="9" s="1"/>
  <c r="K265" i="9"/>
  <c r="L265" i="9" s="1"/>
  <c r="K193" i="9"/>
  <c r="L193" i="9" s="1"/>
  <c r="K281" i="9"/>
  <c r="L281" i="9" s="1"/>
  <c r="K276" i="9"/>
  <c r="L276" i="9" s="1"/>
  <c r="K201" i="9"/>
  <c r="L201" i="9" s="1"/>
  <c r="K251" i="9"/>
  <c r="L251" i="9" s="1"/>
  <c r="K146" i="9"/>
  <c r="L146" i="9" s="1"/>
  <c r="K116" i="9"/>
  <c r="L116" i="9" s="1"/>
  <c r="K335" i="9"/>
  <c r="L335" i="9" s="1"/>
  <c r="K272" i="9"/>
  <c r="L272" i="9" s="1"/>
  <c r="K205" i="9"/>
  <c r="L205" i="9" s="1"/>
  <c r="K56" i="9"/>
  <c r="L56" i="9" s="1"/>
  <c r="K306" i="9"/>
  <c r="L306" i="9" s="1"/>
  <c r="K319" i="9"/>
  <c r="L319" i="9" s="1"/>
  <c r="K269" i="9"/>
  <c r="L269" i="9" s="1"/>
  <c r="K72" i="9"/>
  <c r="L72" i="9" s="1"/>
  <c r="K178" i="9"/>
  <c r="L178" i="9" s="1"/>
  <c r="K175" i="9"/>
  <c r="L175" i="9" s="1"/>
  <c r="K289" i="9"/>
  <c r="L289" i="9" s="1"/>
  <c r="K325" i="9"/>
  <c r="L325" i="9" s="1"/>
  <c r="K283" i="9"/>
  <c r="L283" i="9" s="1"/>
  <c r="K310" i="9"/>
  <c r="L310" i="9" s="1"/>
  <c r="K59" i="9"/>
  <c r="L59" i="9" s="1"/>
  <c r="K330" i="9"/>
  <c r="L330" i="9" s="1"/>
  <c r="K156" i="9"/>
  <c r="L156" i="9" s="1"/>
  <c r="K82" i="9"/>
  <c r="L82" i="9" s="1"/>
  <c r="K43" i="9"/>
  <c r="L43" i="9" s="1"/>
  <c r="K332" i="9"/>
  <c r="L332" i="9" s="1"/>
  <c r="K278" i="9"/>
  <c r="L278" i="9" s="1"/>
  <c r="K204" i="9"/>
  <c r="L204" i="9" s="1"/>
  <c r="K54" i="9"/>
  <c r="L54" i="9" s="1"/>
  <c r="K36" i="9"/>
  <c r="L36" i="9" s="1"/>
  <c r="K154" i="9"/>
  <c r="L154" i="9" s="1"/>
  <c r="K22" i="9"/>
  <c r="L22" i="9" s="1"/>
  <c r="K326" i="9"/>
  <c r="L326" i="9" s="1"/>
  <c r="K79" i="9"/>
  <c r="L79" i="9" s="1"/>
  <c r="K102" i="9"/>
  <c r="L102" i="9" s="1"/>
  <c r="K64" i="9"/>
  <c r="L64" i="9" s="1"/>
  <c r="K191" i="9"/>
  <c r="L191" i="9" s="1"/>
  <c r="K138" i="9"/>
  <c r="L138" i="9" s="1"/>
  <c r="K8" i="9"/>
  <c r="L8" i="9" s="1"/>
  <c r="K91" i="9"/>
  <c r="L91" i="9" s="1"/>
  <c r="K299" i="9"/>
  <c r="L299" i="9" s="1"/>
  <c r="K260" i="9"/>
  <c r="L260" i="9" s="1"/>
  <c r="K130" i="9"/>
  <c r="L130" i="9" s="1"/>
  <c r="K280" i="9"/>
  <c r="L280" i="9" s="1"/>
  <c r="K317" i="9"/>
  <c r="L317" i="9" s="1"/>
  <c r="K288" i="9"/>
  <c r="L288" i="9" s="1"/>
  <c r="K215" i="9"/>
  <c r="L215" i="9" s="1"/>
  <c r="K207" i="9"/>
  <c r="L207" i="9" s="1"/>
  <c r="K258" i="9"/>
  <c r="L258" i="9" s="1"/>
  <c r="K294" i="9"/>
  <c r="L294" i="9" s="1"/>
  <c r="K88" i="9"/>
  <c r="L88" i="9" s="1"/>
  <c r="K284" i="9"/>
  <c r="L284" i="9" s="1"/>
  <c r="K337" i="9"/>
  <c r="L337" i="9" s="1"/>
  <c r="K328" i="9"/>
  <c r="L328" i="9" s="1"/>
  <c r="K13" i="9"/>
  <c r="L13" i="9" s="1"/>
  <c r="K6" i="9"/>
  <c r="L6" i="9" s="1"/>
  <c r="K145" i="9"/>
  <c r="L145" i="9" s="1"/>
  <c r="K176" i="9"/>
  <c r="L176" i="9" s="1"/>
  <c r="K341" i="9"/>
  <c r="L341" i="9" s="1"/>
  <c r="K316" i="9"/>
  <c r="L316" i="9" s="1"/>
  <c r="K173" i="9"/>
  <c r="L173" i="9" s="1"/>
  <c r="K257" i="9"/>
  <c r="L257" i="9" s="1"/>
  <c r="K80" i="9"/>
  <c r="L80" i="9" s="1"/>
  <c r="K32" i="9"/>
  <c r="L32" i="9" s="1"/>
  <c r="K174" i="9"/>
  <c r="L174" i="9" s="1"/>
  <c r="K259" i="9"/>
  <c r="L259" i="9" s="1"/>
  <c r="K129" i="9"/>
  <c r="L129" i="9" s="1"/>
  <c r="K323" i="9"/>
  <c r="L323" i="9" s="1"/>
  <c r="K84" i="9"/>
  <c r="L84" i="9" s="1"/>
  <c r="K110" i="9"/>
  <c r="L110" i="9" s="1"/>
  <c r="K93" i="9"/>
  <c r="L93" i="9" s="1"/>
  <c r="K336" i="9"/>
  <c r="L336" i="9" s="1"/>
  <c r="K292" i="9"/>
  <c r="L292" i="9" s="1"/>
  <c r="K166" i="9"/>
  <c r="L166" i="9" s="1"/>
  <c r="K60" i="9"/>
  <c r="L60" i="9" s="1"/>
  <c r="K287" i="9"/>
  <c r="L287" i="9" s="1"/>
  <c r="K271" i="9"/>
  <c r="L271" i="9" s="1"/>
  <c r="K308" i="9"/>
  <c r="L308" i="9" s="1"/>
  <c r="K275" i="9"/>
  <c r="L275" i="9" s="1"/>
  <c r="K256" i="9"/>
  <c r="L256" i="9" s="1"/>
  <c r="K304" i="9"/>
  <c r="L304" i="9" s="1"/>
  <c r="K296" i="9"/>
  <c r="L296" i="9" s="1"/>
  <c r="K285" i="9"/>
  <c r="L285" i="9" s="1"/>
  <c r="K108" i="9"/>
  <c r="L108" i="9" s="1"/>
  <c r="K70" i="9"/>
  <c r="L70" i="9" s="1"/>
  <c r="K42" i="9"/>
  <c r="L42" i="9" s="1"/>
  <c r="K331" i="9"/>
  <c r="L331" i="9" s="1"/>
  <c r="K206" i="9"/>
  <c r="L206" i="9" s="1"/>
  <c r="K226" i="9"/>
  <c r="L226" i="9" s="1"/>
  <c r="K189" i="9"/>
  <c r="L189" i="9" s="1"/>
  <c r="K119" i="9"/>
  <c r="L119" i="9" s="1"/>
  <c r="K203" i="9"/>
  <c r="L203" i="9" s="1"/>
  <c r="K41" i="9"/>
  <c r="L41" i="9" s="1"/>
  <c r="K35" i="9"/>
  <c r="L35" i="9" s="1"/>
  <c r="K188" i="9"/>
  <c r="L188" i="9" s="1"/>
  <c r="K17" i="9"/>
  <c r="L17" i="9" s="1"/>
  <c r="K44" i="9"/>
  <c r="L44" i="9" s="1"/>
  <c r="K190" i="9"/>
  <c r="L190" i="9" s="1"/>
  <c r="K67" i="9"/>
  <c r="L67" i="9" s="1"/>
  <c r="K159" i="9"/>
  <c r="L159" i="9" s="1"/>
  <c r="K312" i="9"/>
  <c r="L312" i="9" s="1"/>
  <c r="K149" i="9"/>
  <c r="L149" i="9" s="1"/>
  <c r="K151" i="9"/>
  <c r="L151" i="9" s="1"/>
  <c r="K181" i="9"/>
  <c r="L181" i="9" s="1"/>
  <c r="K229" i="9"/>
  <c r="L229" i="9" s="1"/>
  <c r="K236" i="9"/>
  <c r="L236" i="9" s="1"/>
  <c r="K309" i="9"/>
  <c r="L309" i="9" s="1"/>
  <c r="K302" i="9"/>
  <c r="L302" i="9" s="1"/>
  <c r="K333" i="9"/>
  <c r="L333" i="9" s="1"/>
  <c r="K78" i="9"/>
  <c r="L78" i="9" s="1"/>
  <c r="K140" i="9"/>
  <c r="L140" i="9" s="1"/>
  <c r="K135" i="9"/>
  <c r="L135" i="9" s="1"/>
  <c r="K263" i="9"/>
  <c r="L263" i="9" s="1"/>
  <c r="K69" i="9"/>
  <c r="L69" i="9" s="1"/>
  <c r="K30" i="9"/>
  <c r="L30" i="9" s="1"/>
  <c r="K199" i="9"/>
  <c r="L199" i="9" s="1"/>
  <c r="K128" i="9"/>
  <c r="L128" i="9" s="1"/>
  <c r="K340" i="9"/>
  <c r="L340" i="9" s="1"/>
  <c r="K45" i="9"/>
  <c r="L45" i="9" s="1"/>
  <c r="K49" i="9"/>
  <c r="L49" i="9" s="1"/>
  <c r="K81" i="9"/>
  <c r="L81" i="9" s="1"/>
  <c r="K139" i="9"/>
  <c r="L139" i="9" s="1"/>
  <c r="K314" i="9"/>
  <c r="L314" i="9" s="1"/>
  <c r="K47" i="9"/>
  <c r="L47" i="9" s="1"/>
  <c r="K282" i="9"/>
  <c r="L282" i="9" s="1"/>
  <c r="K264" i="9"/>
  <c r="L264" i="9" s="1"/>
  <c r="K268" i="9"/>
  <c r="L268" i="9" s="1"/>
  <c r="K120" i="9"/>
  <c r="L120" i="9" s="1"/>
  <c r="K202" i="9"/>
  <c r="L202" i="9" s="1"/>
  <c r="K121" i="9"/>
  <c r="L121" i="9" s="1"/>
  <c r="K31" i="9"/>
  <c r="L31" i="9" s="1"/>
  <c r="K198" i="9"/>
  <c r="L198" i="9" s="1"/>
  <c r="K327" i="9"/>
  <c r="L327" i="9" s="1"/>
  <c r="K217" i="9"/>
  <c r="L217" i="9" s="1"/>
  <c r="K89" i="9"/>
  <c r="L89" i="9" s="1"/>
  <c r="K61" i="9"/>
  <c r="L61" i="9" s="1"/>
  <c r="K301" i="9"/>
  <c r="L301" i="9" s="1"/>
  <c r="K307" i="9"/>
  <c r="L307" i="9" s="1"/>
  <c r="K261" i="9"/>
  <c r="L261" i="9" s="1"/>
  <c r="K273" i="9"/>
  <c r="L273" i="9" s="1"/>
  <c r="K318" i="9"/>
  <c r="L318" i="9" s="1"/>
  <c r="K180" i="9"/>
  <c r="L180" i="9" s="1"/>
  <c r="K52" i="9"/>
  <c r="L52" i="9" s="1"/>
  <c r="K252" i="9"/>
  <c r="L252" i="9" s="1"/>
  <c r="K58" i="9"/>
  <c r="L58" i="9" s="1"/>
  <c r="K63" i="9"/>
  <c r="L63" i="9" s="1"/>
  <c r="K208" i="9"/>
  <c r="L208" i="9" s="1"/>
  <c r="K167" i="9"/>
  <c r="L167" i="9" s="1"/>
  <c r="K195" i="9"/>
  <c r="L195" i="9" s="1"/>
  <c r="K117" i="9"/>
  <c r="L117" i="9" s="1"/>
  <c r="K136" i="9"/>
  <c r="L136" i="9" s="1"/>
  <c r="K196" i="9"/>
  <c r="L196" i="9" s="1"/>
  <c r="K90" i="9"/>
  <c r="L90" i="9" s="1"/>
  <c r="K66" i="9"/>
  <c r="L66" i="9" s="1"/>
  <c r="K40" i="9"/>
  <c r="L40" i="9" s="1"/>
  <c r="K270" i="9"/>
  <c r="L270" i="9" s="1"/>
  <c r="K200" i="9"/>
  <c r="L200" i="9" s="1"/>
  <c r="K286" i="9"/>
  <c r="L286" i="9" s="1"/>
  <c r="K194" i="9"/>
  <c r="L194" i="9" s="1"/>
  <c r="K85" i="9"/>
  <c r="L85" i="9" s="1"/>
  <c r="K34" i="9"/>
  <c r="L34" i="9" s="1"/>
  <c r="K187" i="9"/>
  <c r="L187" i="9" s="1"/>
  <c r="K77" i="9"/>
  <c r="L77" i="9" s="1"/>
  <c r="K274" i="9"/>
  <c r="L274" i="9" s="1"/>
  <c r="K253" i="9"/>
  <c r="L253" i="9" s="1"/>
  <c r="K170" i="9"/>
  <c r="L170" i="9" s="1"/>
  <c r="K62" i="9"/>
  <c r="L62" i="9" s="1"/>
  <c r="K83" i="9"/>
  <c r="L83" i="9" s="1"/>
  <c r="K16" i="9"/>
  <c r="L16" i="9" s="1"/>
  <c r="K157" i="9"/>
  <c r="L157" i="9" s="1"/>
  <c r="K118" i="9"/>
  <c r="L118" i="9" s="1"/>
  <c r="K235" i="9"/>
  <c r="L235" i="9" s="1"/>
  <c r="K86" i="9"/>
  <c r="L86" i="9" s="1"/>
  <c r="K225" i="9"/>
  <c r="L225" i="9" s="1"/>
  <c r="AI138" i="1"/>
  <c r="AN138" i="1" s="1"/>
  <c r="AI596" i="1"/>
  <c r="AN596" i="1" s="1"/>
  <c r="AI735" i="1"/>
  <c r="AN735" i="1" s="1"/>
  <c r="AI743" i="1"/>
  <c r="AN743" i="1" s="1"/>
  <c r="AI103" i="1"/>
  <c r="AN103" i="1" s="1"/>
  <c r="AB103" i="1"/>
  <c r="AJ103" i="1" s="1"/>
  <c r="AI33" i="1"/>
  <c r="AN33" i="1" s="1"/>
  <c r="AI522" i="1"/>
  <c r="AN522" i="1" s="1"/>
  <c r="AB34" i="1"/>
  <c r="AJ34" i="1" s="1"/>
  <c r="AI34" i="1"/>
  <c r="AN34" i="1" s="1"/>
  <c r="AB795" i="1"/>
  <c r="AJ795" i="1" s="1"/>
  <c r="AI765" i="1"/>
  <c r="AN765" i="1" s="1"/>
  <c r="AI724" i="1"/>
  <c r="AN724" i="1" s="1"/>
  <c r="AB724" i="1"/>
  <c r="AJ724" i="1" s="1"/>
  <c r="AB754" i="1"/>
  <c r="AJ754" i="1" s="1"/>
  <c r="AB747" i="1"/>
  <c r="AJ747" i="1" s="1"/>
  <c r="AI587" i="1"/>
  <c r="AN587" i="1" s="1"/>
  <c r="AB796" i="1"/>
  <c r="AJ796" i="1" s="1"/>
  <c r="AI796" i="1"/>
  <c r="AN796" i="1" s="1"/>
  <c r="AB173" i="1"/>
  <c r="AJ173" i="1" s="1"/>
  <c r="AB588" i="1"/>
  <c r="AJ588" i="1" s="1"/>
  <c r="AI588" i="1"/>
  <c r="AN588" i="1" s="1"/>
  <c r="AI605" i="1"/>
  <c r="AN605" i="1" s="1"/>
  <c r="AB18" i="1"/>
  <c r="AJ18" i="1" s="1"/>
  <c r="AI18" i="1"/>
  <c r="AN18" i="1" s="1"/>
  <c r="AB25" i="1"/>
  <c r="AJ25" i="1" s="1"/>
  <c r="AI25" i="1"/>
  <c r="AN25" i="1" s="1"/>
  <c r="AI738" i="1"/>
  <c r="AN738" i="1" s="1"/>
  <c r="AI87" i="1"/>
  <c r="AN87" i="1" s="1"/>
  <c r="AB87" i="1"/>
  <c r="AJ87" i="1" s="1"/>
  <c r="AI750" i="1"/>
  <c r="AN750" i="1" s="1"/>
  <c r="AB750" i="1"/>
  <c r="AJ750" i="1" s="1"/>
  <c r="AI745" i="1"/>
  <c r="AN745" i="1" s="1"/>
  <c r="AB745" i="1"/>
  <c r="AJ745" i="1" s="1"/>
  <c r="AB742" i="1"/>
  <c r="AJ742" i="1" s="1"/>
  <c r="AI742" i="1"/>
  <c r="AN742" i="1" s="1"/>
  <c r="AI767" i="1"/>
  <c r="AN767" i="1" s="1"/>
  <c r="AB767" i="1"/>
  <c r="AJ767" i="1" s="1"/>
  <c r="AB758" i="1"/>
  <c r="AJ758" i="1" s="1"/>
  <c r="AI758" i="1"/>
  <c r="AN758" i="1" s="1"/>
  <c r="AI174" i="1"/>
  <c r="AN174" i="1" s="1"/>
  <c r="AB174" i="1"/>
  <c r="AJ174" i="1" s="1"/>
  <c r="AI3" i="1"/>
  <c r="AN3" i="1" s="1"/>
  <c r="AI603" i="1"/>
  <c r="AN603" i="1" s="1"/>
  <c r="AI606" i="1"/>
  <c r="AN606" i="1" s="1"/>
  <c r="AB606" i="1"/>
  <c r="AJ606" i="1" s="1"/>
  <c r="AI604" i="1"/>
  <c r="AN604" i="1" s="1"/>
  <c r="AB604" i="1"/>
  <c r="AJ604" i="1" s="1"/>
  <c r="AB83" i="1"/>
  <c r="AJ83" i="1" s="1"/>
  <c r="AB12" i="1"/>
  <c r="AJ12" i="1" s="1"/>
  <c r="AI4" i="1"/>
  <c r="AN4" i="1" s="1"/>
  <c r="AB4" i="1"/>
  <c r="AJ4" i="1" s="1"/>
  <c r="AI19" i="1"/>
  <c r="AN19" i="1" s="1"/>
  <c r="AB20" i="1"/>
  <c r="AJ20" i="1" s="1"/>
  <c r="AI20" i="1"/>
  <c r="AN20" i="1" s="1"/>
  <c r="AB589" i="1"/>
  <c r="AJ589" i="1" s="1"/>
  <c r="AI38" i="1"/>
  <c r="AN38" i="1" s="1"/>
  <c r="AB38" i="1"/>
  <c r="AJ38" i="1" s="1"/>
  <c r="AB40" i="1"/>
  <c r="AJ40" i="1" s="1"/>
  <c r="AI40" i="1"/>
  <c r="AN40" i="1" s="1"/>
  <c r="AI126" i="1"/>
  <c r="AN126" i="1" s="1"/>
  <c r="AI84" i="1"/>
  <c r="AN84" i="1" s="1"/>
  <c r="AB84" i="1"/>
  <c r="AJ84" i="1" s="1"/>
  <c r="AI129" i="1"/>
  <c r="AN129" i="1" s="1"/>
  <c r="AB129" i="1"/>
  <c r="AJ129" i="1" s="1"/>
  <c r="AB13" i="1"/>
  <c r="AJ13" i="1" s="1"/>
  <c r="AI13" i="1"/>
  <c r="AN13" i="1" s="1"/>
  <c r="AB39" i="1"/>
  <c r="AJ39" i="1" s="1"/>
  <c r="AB607" i="1"/>
  <c r="AJ607" i="1" s="1"/>
  <c r="AB168" i="1"/>
  <c r="AJ168" i="1" s="1"/>
  <c r="AB41" i="1"/>
  <c r="AJ41" i="1" s="1"/>
  <c r="AI41" i="1"/>
  <c r="AN41" i="1" s="1"/>
  <c r="AB601" i="1"/>
  <c r="AJ601" i="1" s="1"/>
  <c r="AI52" i="1"/>
  <c r="AN52" i="1" s="1"/>
  <c r="AB52" i="1"/>
  <c r="AJ52" i="1" s="1"/>
  <c r="AI24" i="1"/>
  <c r="AN24" i="1" s="1"/>
  <c r="AB24" i="1"/>
  <c r="AJ24" i="1" s="1"/>
  <c r="AI169" i="1"/>
  <c r="AN169" i="1" s="1"/>
  <c r="AB169" i="1"/>
  <c r="AJ169" i="1" s="1"/>
  <c r="AI561" i="1"/>
  <c r="AN561" i="1" s="1"/>
  <c r="AB561" i="1"/>
  <c r="AJ561" i="1" s="1"/>
  <c r="AI439" i="1"/>
  <c r="AN439" i="1" s="1"/>
  <c r="AB438" i="1"/>
  <c r="AJ438" i="1" s="1"/>
  <c r="AI438" i="1"/>
  <c r="AN438" i="1" s="1"/>
  <c r="AI609" i="1"/>
  <c r="AN609" i="1" s="1"/>
  <c r="AB401" i="1"/>
  <c r="AJ401" i="1" s="1"/>
  <c r="AI401" i="1"/>
  <c r="AN401" i="1" s="1"/>
  <c r="AI139" i="1"/>
  <c r="AN139" i="1" s="1"/>
  <c r="AI298" i="1"/>
  <c r="AN298" i="1" s="1"/>
  <c r="AB289" i="1"/>
  <c r="AJ289" i="1" s="1"/>
  <c r="AB457" i="1"/>
  <c r="AJ457" i="1" s="1"/>
  <c r="AI669" i="1"/>
  <c r="AN669" i="1" s="1"/>
  <c r="AB456" i="1"/>
  <c r="AJ456" i="1" s="1"/>
  <c r="AI456" i="1"/>
  <c r="AN456" i="1" s="1"/>
  <c r="AI670" i="1"/>
  <c r="AN670" i="1" s="1"/>
  <c r="AB670" i="1"/>
  <c r="AJ670" i="1" s="1"/>
  <c r="AB426" i="1"/>
  <c r="AJ426" i="1" s="1"/>
  <c r="AI462" i="1"/>
  <c r="AN462" i="1" s="1"/>
  <c r="AB462" i="1"/>
  <c r="AJ462" i="1" s="1"/>
  <c r="AI96" i="1"/>
  <c r="AN96" i="1" s="1"/>
  <c r="AB96" i="1"/>
  <c r="AJ96" i="1" s="1"/>
  <c r="AI544" i="1"/>
  <c r="AN544" i="1" s="1"/>
  <c r="AB448" i="1"/>
  <c r="AJ448" i="1" s="1"/>
  <c r="AI448" i="1"/>
  <c r="AN448" i="1" s="1"/>
  <c r="AB23" i="1"/>
  <c r="AJ23" i="1" s="1"/>
  <c r="AI427" i="1"/>
  <c r="AN427" i="1" s="1"/>
  <c r="AB427" i="1"/>
  <c r="AJ427" i="1" s="1"/>
  <c r="AI9" i="1"/>
  <c r="AN9" i="1" s="1"/>
  <c r="AB27" i="1"/>
  <c r="AJ27" i="1" s="1"/>
  <c r="AB48" i="1"/>
  <c r="AJ48" i="1" s="1"/>
  <c r="AI48" i="1"/>
  <c r="AN48" i="1" s="1"/>
  <c r="AB8" i="1"/>
  <c r="AJ8" i="1" s="1"/>
  <c r="AI8" i="1"/>
  <c r="AN8" i="1" s="1"/>
  <c r="AI303" i="1"/>
  <c r="AN303" i="1" s="1"/>
  <c r="AB303" i="1"/>
  <c r="AJ303" i="1" s="1"/>
  <c r="AB759" i="1"/>
  <c r="AJ759" i="1" s="1"/>
  <c r="AI297" i="1"/>
  <c r="AN297" i="1" s="1"/>
  <c r="AB409" i="1"/>
  <c r="AJ409" i="1" s="1"/>
  <c r="AI436" i="1"/>
  <c r="AN436" i="1" s="1"/>
  <c r="AI760" i="1"/>
  <c r="AN760" i="1" s="1"/>
  <c r="AB760" i="1"/>
  <c r="AJ760" i="1" s="1"/>
  <c r="AI46" i="1"/>
  <c r="AN46" i="1" s="1"/>
  <c r="AI546" i="1"/>
  <c r="AN546" i="1" s="1"/>
  <c r="AB546" i="1"/>
  <c r="AJ546" i="1" s="1"/>
  <c r="AI410" i="1"/>
  <c r="AN410" i="1" s="1"/>
  <c r="AB410" i="1"/>
  <c r="AJ410" i="1" s="1"/>
  <c r="AI65" i="1"/>
  <c r="AN65" i="1" s="1"/>
  <c r="AI300" i="1"/>
  <c r="AN300" i="1" s="1"/>
  <c r="AB300" i="1"/>
  <c r="AJ300" i="1" s="1"/>
  <c r="AI501" i="1"/>
  <c r="AN501" i="1" s="1"/>
  <c r="AI47" i="1"/>
  <c r="AN47" i="1" s="1"/>
  <c r="AB47" i="1"/>
  <c r="AJ47" i="1" s="1"/>
  <c r="AI275" i="1"/>
  <c r="AN275" i="1" s="1"/>
  <c r="AB275" i="1"/>
  <c r="AJ275" i="1" s="1"/>
  <c r="AB248" i="1"/>
  <c r="AJ248" i="1" s="1"/>
  <c r="AI248" i="1"/>
  <c r="AN248" i="1" s="1"/>
  <c r="AI451" i="1"/>
  <c r="AN451" i="1" s="1"/>
  <c r="AI140" i="1"/>
  <c r="AN140" i="1" s="1"/>
  <c r="AI478" i="1"/>
  <c r="AN478" i="1" s="1"/>
  <c r="L184" i="9" s="1"/>
  <c r="AB478" i="1"/>
  <c r="AJ478" i="1" s="1"/>
  <c r="AI141" i="1"/>
  <c r="AN141" i="1" s="1"/>
  <c r="AB141" i="1"/>
  <c r="AJ141" i="1" s="1"/>
  <c r="AI259" i="1"/>
  <c r="AN259" i="1" s="1"/>
  <c r="AI210" i="1"/>
  <c r="AN210" i="1" s="1"/>
  <c r="AB210" i="1"/>
  <c r="AJ210" i="1" s="1"/>
  <c r="AB245" i="1"/>
  <c r="AJ245" i="1" s="1"/>
  <c r="AI245" i="1"/>
  <c r="AN245" i="1" s="1"/>
  <c r="AI382" i="1"/>
  <c r="AN382" i="1" s="1"/>
  <c r="AB819" i="1"/>
  <c r="AJ819" i="1" s="1"/>
  <c r="AI819" i="1"/>
  <c r="AN819" i="1" s="1"/>
  <c r="AI391" i="1"/>
  <c r="AN391" i="1" s="1"/>
  <c r="AB391" i="1"/>
  <c r="AJ391" i="1" s="1"/>
  <c r="AI617" i="1"/>
  <c r="AN617" i="1" s="1"/>
  <c r="AB618" i="1"/>
  <c r="AJ618" i="1" s="1"/>
  <c r="AI618" i="1"/>
  <c r="AN618" i="1" s="1"/>
  <c r="AB614" i="1"/>
  <c r="AJ614" i="1" s="1"/>
  <c r="AI614" i="1"/>
  <c r="AN614" i="1" s="1"/>
  <c r="AB613" i="1"/>
  <c r="AJ613" i="1" s="1"/>
  <c r="AI613" i="1"/>
  <c r="AN613" i="1" s="1"/>
  <c r="AB583" i="1"/>
  <c r="AJ583" i="1" s="1"/>
  <c r="AI583" i="1"/>
  <c r="AN583" i="1" s="1"/>
  <c r="AI582" i="1"/>
  <c r="AN582" i="1" s="1"/>
  <c r="AB582" i="1"/>
  <c r="AJ582" i="1" s="1"/>
  <c r="AB581" i="1"/>
  <c r="AJ581" i="1" s="1"/>
  <c r="AI581" i="1"/>
  <c r="AN581" i="1" s="1"/>
  <c r="AI625" i="1"/>
  <c r="AN625" i="1" s="1"/>
  <c r="AB625" i="1"/>
  <c r="AJ625" i="1" s="1"/>
  <c r="AI626" i="1"/>
  <c r="AN626" i="1" s="1"/>
  <c r="AB626" i="1"/>
  <c r="AJ626" i="1" s="1"/>
  <c r="AB627" i="1"/>
  <c r="AJ627" i="1" s="1"/>
  <c r="AI627" i="1"/>
  <c r="AN627" i="1" s="1"/>
  <c r="AB531" i="1"/>
  <c r="AJ531" i="1" s="1"/>
  <c r="AI531" i="1"/>
  <c r="AN531" i="1" s="1"/>
  <c r="AB519" i="1"/>
  <c r="AJ519" i="1" s="1"/>
  <c r="AI519" i="1"/>
  <c r="AN519" i="1" s="1"/>
  <c r="AB516" i="1"/>
  <c r="AJ516" i="1" s="1"/>
  <c r="AI516" i="1"/>
  <c r="AN516" i="1" s="1"/>
  <c r="AB464" i="1"/>
  <c r="AJ464" i="1" s="1"/>
  <c r="K250" i="9" l="1"/>
  <c r="L250" i="9" s="1"/>
  <c r="K244" i="9"/>
  <c r="L244" i="9" s="1"/>
  <c r="K107" i="9"/>
  <c r="L107" i="9" s="1"/>
  <c r="K28" i="9"/>
  <c r="L28" i="9" s="1"/>
  <c r="K162" i="9"/>
  <c r="L162" i="9" s="1"/>
  <c r="K254" i="9"/>
  <c r="L254" i="9" s="1"/>
  <c r="K87" i="9"/>
  <c r="L87" i="9" s="1"/>
  <c r="K12" i="9"/>
  <c r="L12" i="9" s="1"/>
  <c r="K232" i="9"/>
  <c r="L232" i="9" s="1"/>
  <c r="K320" i="9"/>
  <c r="L320" i="9" s="1"/>
  <c r="K248" i="9"/>
  <c r="L248" i="9" s="1"/>
  <c r="K221" i="9"/>
  <c r="L221" i="9" s="1"/>
  <c r="K137" i="9"/>
  <c r="L137" i="9" s="1"/>
  <c r="K75" i="9"/>
  <c r="L75" i="9" s="1"/>
  <c r="K197" i="9"/>
  <c r="L197" i="9" s="1"/>
  <c r="K27" i="9"/>
  <c r="L27" i="9" s="1"/>
  <c r="K127" i="9"/>
  <c r="L127" i="9" s="1"/>
  <c r="K158" i="9"/>
  <c r="L158" i="9" s="1"/>
  <c r="K213" i="9"/>
  <c r="L213" i="9" s="1"/>
  <c r="K177" i="9"/>
  <c r="L177" i="9" s="1"/>
  <c r="K255" i="9"/>
  <c r="L255" i="9" s="1"/>
  <c r="K124" i="9"/>
  <c r="L124" i="9" s="1"/>
  <c r="K237" i="9"/>
  <c r="L237" i="9" s="1"/>
  <c r="K65" i="9"/>
  <c r="L65" i="9" s="1"/>
  <c r="K224" i="9"/>
  <c r="L224" i="9" s="1"/>
  <c r="K334" i="9"/>
  <c r="L334" i="9" s="1"/>
  <c r="K19" i="9"/>
  <c r="L19" i="9" s="1"/>
  <c r="K290" i="9"/>
  <c r="L290" i="9" s="1"/>
  <c r="K239" i="9"/>
  <c r="L239" i="9" s="1"/>
  <c r="K214" i="9"/>
  <c r="L214" i="9" s="1"/>
  <c r="K29" i="9"/>
  <c r="L29" i="9" s="1"/>
  <c r="K33" i="9"/>
  <c r="L33" i="9" s="1"/>
  <c r="K3" i="9"/>
  <c r="L3" i="9" s="1"/>
  <c r="K305" i="9"/>
  <c r="L305" i="9" s="1"/>
  <c r="K233" i="9"/>
  <c r="L233" i="9" s="1"/>
  <c r="K211" i="9"/>
  <c r="L211" i="9" s="1"/>
  <c r="K209" i="9"/>
  <c r="L209" i="9" s="1"/>
  <c r="K222" i="9"/>
  <c r="L222" i="9" s="1"/>
  <c r="K243" i="9"/>
  <c r="L243" i="9" s="1"/>
  <c r="K169" i="9"/>
  <c r="L169" i="9" s="1"/>
  <c r="K150" i="9"/>
  <c r="L150" i="9" s="1"/>
  <c r="K163" i="9"/>
  <c r="L163" i="9" s="1"/>
  <c r="K14" i="9"/>
  <c r="L14" i="9" s="1"/>
  <c r="K68" i="9"/>
  <c r="L68" i="9" s="1"/>
  <c r="K23" i="9"/>
  <c r="L23" i="9" s="1"/>
  <c r="K234" i="9"/>
  <c r="L234" i="9" s="1"/>
  <c r="K322" i="9"/>
  <c r="L322" i="9" s="1"/>
  <c r="K50" i="9"/>
  <c r="L50" i="9" s="1"/>
  <c r="K227" i="9"/>
  <c r="L227" i="9" s="1"/>
  <c r="K210" i="9"/>
  <c r="L210" i="9" s="1"/>
  <c r="K111" i="9"/>
  <c r="L111" i="9" s="1"/>
  <c r="K39" i="9"/>
  <c r="L39" i="9" s="1"/>
  <c r="K122" i="9"/>
  <c r="L122" i="9" s="1"/>
  <c r="K164" i="9"/>
  <c r="L164" i="9" s="1"/>
  <c r="K48" i="9"/>
  <c r="L48" i="9" s="1"/>
  <c r="K2" i="9"/>
  <c r="L2" i="9" s="1"/>
  <c r="K15" i="9"/>
  <c r="L15" i="9" s="1"/>
  <c r="K298" i="9"/>
  <c r="L298" i="9" s="1"/>
  <c r="K212" i="9"/>
  <c r="L212" i="9" s="1"/>
  <c r="K220" i="9"/>
  <c r="L220" i="9" s="1"/>
  <c r="K240" i="9"/>
  <c r="L240" i="9" s="1"/>
  <c r="K141" i="9"/>
  <c r="L141" i="9" s="1"/>
  <c r="K76" i="9"/>
  <c r="L76" i="9" s="1"/>
  <c r="K115" i="9"/>
  <c r="L115" i="9" s="1"/>
  <c r="K4" i="9"/>
  <c r="L4" i="9" s="1"/>
  <c r="K171" i="9"/>
  <c r="L171" i="9" s="1"/>
  <c r="K74" i="9"/>
  <c r="L74" i="9" s="1"/>
  <c r="K218" i="9"/>
  <c r="L218" i="9" s="1"/>
  <c r="K26" i="9"/>
  <c r="L26" i="9" s="1"/>
  <c r="K11" i="9"/>
  <c r="L11" i="9" s="1"/>
  <c r="K92" i="9"/>
  <c r="L92" i="9" s="1"/>
  <c r="K300" i="9"/>
  <c r="L300" i="9" s="1"/>
  <c r="K10" i="9"/>
  <c r="L10" i="9" s="1"/>
  <c r="K20" i="9"/>
  <c r="L20" i="9" s="1"/>
  <c r="K249" i="9"/>
  <c r="L249" i="9" s="1"/>
  <c r="K339" i="9"/>
  <c r="L339" i="9" s="1"/>
  <c r="K99" i="9"/>
  <c r="L99" i="9" s="1"/>
  <c r="K109" i="9"/>
  <c r="L109" i="9" s="1"/>
  <c r="K125" i="9"/>
  <c r="L125" i="9" s="1"/>
  <c r="K315" i="9"/>
  <c r="L315" i="9" s="1"/>
  <c r="K5" i="9"/>
  <c r="L5" i="9" s="1"/>
  <c r="K168" i="9"/>
  <c r="L168" i="9" s="1"/>
  <c r="K55" i="9"/>
  <c r="L55" i="9" s="1"/>
  <c r="K147" i="9"/>
  <c r="L147" i="9" s="1"/>
  <c r="K9" i="9"/>
  <c r="L9" i="9" s="1"/>
  <c r="K25" i="9"/>
  <c r="L25" i="9" s="1"/>
  <c r="K231" i="9"/>
  <c r="L231" i="9" s="1"/>
  <c r="K313" i="9"/>
  <c r="L313" i="9" s="1"/>
  <c r="K297" i="9"/>
  <c r="L297" i="9" s="1"/>
  <c r="K293" i="9"/>
  <c r="L293" i="9" s="1"/>
  <c r="K223" i="9"/>
  <c r="L223" i="9" s="1"/>
  <c r="K279" i="9"/>
  <c r="L279" i="9" s="1"/>
  <c r="K57" i="9"/>
  <c r="L57" i="9" s="1"/>
  <c r="K73" i="9"/>
  <c r="L73" i="9" s="1"/>
</calcChain>
</file>

<file path=xl/sharedStrings.xml><?xml version="1.0" encoding="utf-8"?>
<sst xmlns="http://schemas.openxmlformats.org/spreadsheetml/2006/main" count="11435" uniqueCount="2120">
  <si>
    <t>115-130</t>
  </si>
  <si>
    <t>ОМПК(О)</t>
  </si>
  <si>
    <t>Останкино</t>
  </si>
  <si>
    <t>КГ</t>
  </si>
  <si>
    <t>ШТ</t>
  </si>
  <si>
    <t>Коровино</t>
  </si>
  <si>
    <t>Папа может</t>
  </si>
  <si>
    <t>МЯСНАЯ Папа может вар п/о</t>
  </si>
  <si>
    <t>кол-во г/у
в слое</t>
  </si>
  <si>
    <t>номин.вес
брутто (кг)</t>
  </si>
  <si>
    <t>номин.вес
нетто (кг)</t>
  </si>
  <si>
    <t>кол-во инд. 
упак-к</t>
  </si>
  <si>
    <t>высота (мм)</t>
  </si>
  <si>
    <t>длина (мм)</t>
  </si>
  <si>
    <t>годности, сут</t>
  </si>
  <si>
    <t>ккал/кДж</t>
  </si>
  <si>
    <t>углеводы (г)</t>
  </si>
  <si>
    <t>кг/шт</t>
  </si>
  <si>
    <t>Индивидуальная упаковка</t>
  </si>
  <si>
    <t>Штрих-код</t>
  </si>
  <si>
    <t>Срок</t>
  </si>
  <si>
    <t xml:space="preserve">Срок </t>
  </si>
  <si>
    <t>Условия</t>
  </si>
  <si>
    <t>Пищевая ценность в 100 г:</t>
  </si>
  <si>
    <t>Состав</t>
  </si>
  <si>
    <t>БЕИ</t>
  </si>
  <si>
    <t>Наименование</t>
  </si>
  <si>
    <t>Код</t>
  </si>
  <si>
    <t>48 часов</t>
  </si>
  <si>
    <t>24 часа</t>
  </si>
  <si>
    <t>ФИЛЕЙНАЯ Папа может вар п/о</t>
  </si>
  <si>
    <t>МЯСНАЯ Папа может вар п/о_Ашан</t>
  </si>
  <si>
    <t>МЯСНАЯ СО ШПИКОМ Папа может вар п/о</t>
  </si>
  <si>
    <t>МЯСНАЯ Папа может вар п/о_Метро</t>
  </si>
  <si>
    <t>Тип</t>
  </si>
  <si>
    <t>годности после вскрытия</t>
  </si>
  <si>
    <t>Вареные колбасы</t>
  </si>
  <si>
    <t>72 часа</t>
  </si>
  <si>
    <t>ОМПК(К)</t>
  </si>
  <si>
    <t>Сосиски</t>
  </si>
  <si>
    <t>232/961</t>
  </si>
  <si>
    <t>Сардельки</t>
  </si>
  <si>
    <t>ГОСТ Р 55455-2013</t>
  </si>
  <si>
    <t>мясной продукт</t>
  </si>
  <si>
    <t>5 суток</t>
  </si>
  <si>
    <t>СЕРВЕЛАТ ФИНСКИЙ в/к в/у_Х5</t>
  </si>
  <si>
    <t>СЕРВЕЛАТ ФИНСКИЙ в/к в/у_Ашан</t>
  </si>
  <si>
    <t>СЕРВЕЛАТ ФИНСКИЙ в/к в/у_Глобус</t>
  </si>
  <si>
    <t>249/1032</t>
  </si>
  <si>
    <t>ГОСТ 31785-2012</t>
  </si>
  <si>
    <t>461/1930</t>
  </si>
  <si>
    <t>4 суток</t>
  </si>
  <si>
    <t>6 суток</t>
  </si>
  <si>
    <t>АРОМАТНАЯ с/к в/у 1/250 8шт.</t>
  </si>
  <si>
    <t>ГОСТ Р 55456-2013</t>
  </si>
  <si>
    <t>537/2216</t>
  </si>
  <si>
    <t>481/1988</t>
  </si>
  <si>
    <t>647/2666</t>
  </si>
  <si>
    <t>ПРЕСИЖН с/к в/у 1/250 8шт.</t>
  </si>
  <si>
    <t>ЮБИЛЕЙНАЯ с/к в/у 1/250 8шт.</t>
  </si>
  <si>
    <t>180-300</t>
  </si>
  <si>
    <t>50-90</t>
  </si>
  <si>
    <t>20-30</t>
  </si>
  <si>
    <t>ГОСТ Р 55795-2013</t>
  </si>
  <si>
    <t>350/1470</t>
  </si>
  <si>
    <t>190-210</t>
  </si>
  <si>
    <t>50-70</t>
  </si>
  <si>
    <t>70-100</t>
  </si>
  <si>
    <t>40-60</t>
  </si>
  <si>
    <t>200-300</t>
  </si>
  <si>
    <t>80-100</t>
  </si>
  <si>
    <t>100-120</t>
  </si>
  <si>
    <t xml:space="preserve">177/736 </t>
  </si>
  <si>
    <t>90-100</t>
  </si>
  <si>
    <t>91/383</t>
  </si>
  <si>
    <t>179/742</t>
  </si>
  <si>
    <t>200-240</t>
  </si>
  <si>
    <t>Ветчины</t>
  </si>
  <si>
    <t>3 суток</t>
  </si>
  <si>
    <t>Кор N 145 (410х310х155)(0.174) бел.ОМПК</t>
  </si>
  <si>
    <t>ГОЛЯШКА СВИНАЯ в/у охл.</t>
  </si>
  <si>
    <t>ГРУДИНКА СВИНАЯ б/к кр/к в/у охл.</t>
  </si>
  <si>
    <t>380/1590</t>
  </si>
  <si>
    <t>КАРБОНАД СВИНОЙ кр/к в/у охл.</t>
  </si>
  <si>
    <t>КАРБОНАД СВИНОЙ кр/к в/у охл_М</t>
  </si>
  <si>
    <t>КОРЕЙКА СВИНАЯ б/к кр/к в/у охл.</t>
  </si>
  <si>
    <t>КУПАТЫ АССОРТИ мгс охл.</t>
  </si>
  <si>
    <t>РЕБРЫШКИ СВИНЫЕ кр/к в/у охл_М</t>
  </si>
  <si>
    <t>РЕБРЫШКИ СВИНЫЕ кр/к в/у охл_Лента</t>
  </si>
  <si>
    <t>РЕБРЫШКИ БАРБЕКЮ кр/к в/у охл.</t>
  </si>
  <si>
    <t>РУЛЬКА СВИНАЯ в/у охл.</t>
  </si>
  <si>
    <t>ФАРШ ГОВЯЖИЙ мгс 0.4кг 4шт.охл.</t>
  </si>
  <si>
    <t>ФАРШ ГОВЯЖИЙ мгс 0.4кг 4шт.охл_Х5(СТМ)</t>
  </si>
  <si>
    <t>ФАРШ ДОМАШНИЙ мгс 0.4кг 4шт.охл_Х5(СТМ)</t>
  </si>
  <si>
    <t>ФАРШ ДОМАШНИЙ мгс 1кг 4шт.охл.</t>
  </si>
  <si>
    <t>ШЕЙКА СВИНАЯ(нарезка) мгс охл.</t>
  </si>
  <si>
    <t>ЭСКАЛОП СВИНОЙ мгс 0.4кг 4шт.охл.</t>
  </si>
  <si>
    <t>ВЫРЕЗКА СВИНАЯ кр/к зам.</t>
  </si>
  <si>
    <t>ШАШЛЫК ИЗ СВИНИНЫ зам.</t>
  </si>
  <si>
    <t>ШАШЛЫК ИЗ СВИНИНЫ охл.</t>
  </si>
  <si>
    <t>ШАШЛЫК ИЗ СВИНИНЫ охл_Метро</t>
  </si>
  <si>
    <t>ШЕЙНАЯ ЧАСТЬ СВИНАЯ кр/к зам.</t>
  </si>
  <si>
    <t>Блины</t>
  </si>
  <si>
    <t>хранения,°С</t>
  </si>
  <si>
    <t>0…+6</t>
  </si>
  <si>
    <t>+2…+6</t>
  </si>
  <si>
    <t>0…+12</t>
  </si>
  <si>
    <t>0…+4</t>
  </si>
  <si>
    <t>-18</t>
  </si>
  <si>
    <t>Новая кратность короба, кг</t>
  </si>
  <si>
    <t>Номин.вес ед.продукции</t>
  </si>
  <si>
    <t>Кол-во штук в коробе</t>
  </si>
  <si>
    <t>Кол-во коробок на поддоне</t>
  </si>
  <si>
    <t>Новая кратность поддона, кг</t>
  </si>
  <si>
    <t>Текущая кратность короба, кг</t>
  </si>
  <si>
    <t>2</t>
  </si>
  <si>
    <t>3</t>
  </si>
  <si>
    <t>ФИЛЕЙНАЯ Папа может вар п/о_О</t>
  </si>
  <si>
    <t>РЕБРЫШКИ СВИНЫЕ мгс охл_Х5</t>
  </si>
  <si>
    <t>ТУ 10.13.14-143-00425283-2017</t>
  </si>
  <si>
    <t>ШАШЛЫК ИЗ СВИНИНЫ охл_Лента</t>
  </si>
  <si>
    <t>187/776</t>
  </si>
  <si>
    <t>МЯСНАЯ Папа может вар п/о 0.5кг 8шт.</t>
  </si>
  <si>
    <t>ФИЛЕЙНАЯ Папа может вар п/о 0.5кг 8шт.</t>
  </si>
  <si>
    <t>ДОКТОРСКАЯ ГОСТ вар п/о</t>
  </si>
  <si>
    <t>ВЫРЕЗКА СВИНАЯ кр/к в/у охл.</t>
  </si>
  <si>
    <t>514/2123</t>
  </si>
  <si>
    <t>ТУ 10.13.14-138-00425283-2015</t>
  </si>
  <si>
    <t>165/685</t>
  </si>
  <si>
    <t>ЧЕВАПЧИЧИ СЕРБСКИЕ мгс 0.3кг 4шт.охл.</t>
  </si>
  <si>
    <t>Кор N 170 (284х185х210)(0.182) бур.ОстN</t>
  </si>
  <si>
    <t>КОРЕЙКА СВИНАЯ б/к кр/к в/у охл_Л</t>
  </si>
  <si>
    <t>НАБОР ДЛЯ СУПА мгс 0.4кг 4шт.охл_Х5(СТМ)</t>
  </si>
  <si>
    <t>ВЕТЧ.ИЗ ЛОПАТКИ Папа может п/о_HRC</t>
  </si>
  <si>
    <t>Кор N 1111 (370х148х130)(0.135) бел.ОстN</t>
  </si>
  <si>
    <t>ОМПК(С)</t>
  </si>
  <si>
    <t xml:space="preserve">ОМПК(О)
</t>
  </si>
  <si>
    <t xml:space="preserve">2942280000005
</t>
  </si>
  <si>
    <t xml:space="preserve">2967278000003
</t>
  </si>
  <si>
    <t>БЛИНЧ.С МЯСОМ 5кг зам._120с</t>
  </si>
  <si>
    <t>свинина</t>
  </si>
  <si>
    <t>свинина на кости</t>
  </si>
  <si>
    <t>КУПАТЫ НЮРНБЕРГСКИЕ мгс 0.4кг 6шт.охл.</t>
  </si>
  <si>
    <t>РЕБРЫШКИ СВИНЫЕ мл/к в/у охл.</t>
  </si>
  <si>
    <t>свинина, вода, комплексные пищевые добавки (специи и экстракты специй, брусника, чеснок, ароматизатор, регуляторы кислотности: пирофосфаты, цитраты натрия, карбонаты натрия, лимонная кислота; усилитель вкуса и аромата Е621, глюкозный сироп, крахмал картофельный, загустители: Е407, ксантановая камедь); соль</t>
  </si>
  <si>
    <t>ШЕЙКА СВИНАЯ кр/к в/у охл.</t>
  </si>
  <si>
    <t>ШЕЙКА СВИНАЯ кр/к в/у охл_Л</t>
  </si>
  <si>
    <t>ШЕЙКА СВИНАЯ кр/к в/у охл_М</t>
  </si>
  <si>
    <t>267/1106</t>
  </si>
  <si>
    <t>КОРЕЙКА СВИНАЯ кр/к м/к в/у охл.</t>
  </si>
  <si>
    <t>КОРЕЙКА СВИНАЯ кр/к м/к в/у охл_М</t>
  </si>
  <si>
    <t>ОКОРОК СВИНОЙ кр/к б/к в/у охл.</t>
  </si>
  <si>
    <t>158/654</t>
  </si>
  <si>
    <t>БУЖЕНИНА ЗАПЕЧЕННАЯ кр/к в/у(п)</t>
  </si>
  <si>
    <t>Кор N 177 (250*110*430)(0.220) ОстN</t>
  </si>
  <si>
    <t>НОГИ СВИНЫЕ ПЕРЕДНИЕ зам.</t>
  </si>
  <si>
    <t>ГОСТ 32244-2013</t>
  </si>
  <si>
    <t>163/682</t>
  </si>
  <si>
    <t>НОГИ СВИНЫЕ ЗАДНИЕ зам.</t>
  </si>
  <si>
    <t>УШИ СВИНЫЕ зам.</t>
  </si>
  <si>
    <t>116/486</t>
  </si>
  <si>
    <t>108/454</t>
  </si>
  <si>
    <t>рецептура 2. Говядина, вода, животный белок, регуляторы кислотности: ацетаты натрия, цитраты натрия; антиокислители: аскорбиновая кислота, лимонная кислота; сок красной свеклы, ароматизатор</t>
  </si>
  <si>
    <t>свинина, соль, перец красный, чеснок</t>
  </si>
  <si>
    <t>БРАУНШВЕЙГСКАЯ полусухая с/к в/у_Ашан</t>
  </si>
  <si>
    <t>БРАУНШВЕЙГСКАЯ полусухая с/к в/у_Глобус</t>
  </si>
  <si>
    <t>ПРАЗДНИЧНАЯ с/к в/с дек.спец.мгс</t>
  </si>
  <si>
    <t>ПРАЗДНИЧНАЯ с/к в/с дек.спец.мгс_Х5</t>
  </si>
  <si>
    <t>ПРЕСИЖН с/к дек.спец.мгс</t>
  </si>
  <si>
    <t>ПРЕСИЖН с/к дек.спец.мгс_О</t>
  </si>
  <si>
    <t>ПРЕСИЖН с/к дек.спец.мгс_А-Т</t>
  </si>
  <si>
    <t>САЛЯМИ МЕЛКОЗЕРНЕНАЯ с/к в/у_Л</t>
  </si>
  <si>
    <t>САЛЯМИ ИТАЛЬЯНСКАЯ с/к в/у</t>
  </si>
  <si>
    <t>САЛЯМИ ИТАЛЬЯНСКАЯ с/к в/у_О</t>
  </si>
  <si>
    <t>САЛЯМИ ИТАЛЬЯНСКАЯ с/к в/у_Метро</t>
  </si>
  <si>
    <t>ЮБИЛЕЙНАЯ с/к в/у_Ашан</t>
  </si>
  <si>
    <t>БАСТУРМА сыровяленая в/с в/у</t>
  </si>
  <si>
    <t>САЛЯМИ МЕЛКОЗЕРНЁНАЯ с/к в/у_Ашан</t>
  </si>
  <si>
    <t>СВИНИНА ПРАЗДНИЧНАЯ мгс охл.</t>
  </si>
  <si>
    <t>САЛЯМИ ИТАЛЬЯНСКАЯ с/к в/у 1/250*8_120с</t>
  </si>
  <si>
    <t>Кор N 176 (560*285*185)(0.544) бур.ОстN</t>
  </si>
  <si>
    <t>говядина, жир, лук, соль, перец черный, лавровый лист. Массовая доля мяса не менее 58,0%</t>
  </si>
  <si>
    <t>349/1442</t>
  </si>
  <si>
    <t>свинина, лук, соль, перец черный, лист лавровый. Массовая доля мяса не менее 59,0%</t>
  </si>
  <si>
    <t>ШАШЛЫК ИЗ СВИНИНЫ охл_Глобус</t>
  </si>
  <si>
    <t>262/1086</t>
  </si>
  <si>
    <t xml:space="preserve">ОМПК(О)
ОМПК(С)
</t>
  </si>
  <si>
    <t>МЯСНАЯ Папа может вар п/о_СНГ</t>
  </si>
  <si>
    <t>МЯСНАЯ Папа может вар п/о_О</t>
  </si>
  <si>
    <t>ГОСТ 23670-2019</t>
  </si>
  <si>
    <t>228/955</t>
  </si>
  <si>
    <t>310/1298</t>
  </si>
  <si>
    <t>273/1143</t>
  </si>
  <si>
    <t>296/1239</t>
  </si>
  <si>
    <t xml:space="preserve">ОМПК(С)
</t>
  </si>
  <si>
    <t>163/684</t>
  </si>
  <si>
    <t>Юнитекс</t>
  </si>
  <si>
    <t>ТУ 10.13.14-001-98189035-2019</t>
  </si>
  <si>
    <t>свинина, комплексные пищевые добавки: стабилизаторы: альгинат натрия, Е466, цитраты натрия, крахмал картофельный, смесь посолочно-нитритная (соль,фиксатор окраски нитрит натрия), мальтодекстрин, глюкоза, специи, сушеный чеснок, усилитель вкуса и аромата Е621, ароматизаторы, регулятор кислотности молочная кислота, антиоксидант аскорбат натрия, консервант сорбат калия</t>
  </si>
  <si>
    <t>+2…+24</t>
  </si>
  <si>
    <t>Кор N 168 (575х285х245)(0.741) бур.ОстN</t>
  </si>
  <si>
    <t>Кор N 178 (194х144х224)(0.110) бел.КД</t>
  </si>
  <si>
    <t>КЛАССИЧЕСКАЯ Папа может вар п/о 0.4кг</t>
  </si>
  <si>
    <t>ВЕТЧ.МЯСНАЯ Папа может п/о</t>
  </si>
  <si>
    <t>ФАРШ ПО-ДОМАШНЕМУ мгс 0.4кг 4шт.охл.</t>
  </si>
  <si>
    <t>ФАРШ ДЛЯ КОТЛЕТ мгс 0.4кг 4шт.охл.</t>
  </si>
  <si>
    <t>КУПАТЫ ФИРМЕННЫЕ мгс 0.4*4 охл_Х5/СТМ</t>
  </si>
  <si>
    <t>ЭКСТРА Папа может с/к в/у 1/250 8шт.</t>
  </si>
  <si>
    <t>ГУЛЯШ СВИНОЙ мгс 0.4кг 4шт.охл_Х5(СТМ)</t>
  </si>
  <si>
    <t>ВЕТЧ.С ИНДЕЙКОЙ Папа может п/о 400*6</t>
  </si>
  <si>
    <t>240/995</t>
  </si>
  <si>
    <t>ДОКТОРСКАЯ ПРЕМИУМ п/о(п)</t>
  </si>
  <si>
    <t>415/1738</t>
  </si>
  <si>
    <t>МЯСНАЯ Папа может вар п/о 0.4кг 8шт.</t>
  </si>
  <si>
    <t>ДОКТОР СКАЙ Папа может вар п/о</t>
  </si>
  <si>
    <t>ФИЛЕЙНАЯ Папа может вар п/о_СНГ</t>
  </si>
  <si>
    <t>Кор N 181 (234х144х124)(0.090) бел.ОстN</t>
  </si>
  <si>
    <t>Кор N 179 (260х223х130)(0.151) бур.ОстN</t>
  </si>
  <si>
    <t>Кор N 188 (252х220х100)(0.115) бур.ОстN</t>
  </si>
  <si>
    <t>рецептура 2. Свинина, говядина, вода, животный белок, регуляторы кислотности: ацетаты натрия и цитраты натрия; антиокислители: аскорбиновая кислота, лимонная кислота; сок красной свеклы, ароматизатор</t>
  </si>
  <si>
    <t>Кор N 121 (575х375х150)(0.606) бур.ОстN</t>
  </si>
  <si>
    <t>МЯСНАЯ Папа может вар п/о 0.4кг_СНГ</t>
  </si>
  <si>
    <t>ЭКСТРА Папа может с/к в/у_Л</t>
  </si>
  <si>
    <t>ШЕЙКА СВИНАЯ В БРУСН.МАРИНАДЕ мгс охл_М</t>
  </si>
  <si>
    <t>РУЛЬКА СВИНАЯ в/у охл_Х5</t>
  </si>
  <si>
    <t>ДОКТОРСКАЯ ПРЕМИУМ вар п/о 0.4кг 8шт.</t>
  </si>
  <si>
    <t>СЕРВЕЛАТ ФИНСКИЙ в/к в/у_45с</t>
  </si>
  <si>
    <t>БЛИНЧ.КРУГЛЫЕ С САД.ЯБЛОК.1/420 зам_ПОСТ</t>
  </si>
  <si>
    <t>СЕРВЕЛАТ ФИНСКИЙ в/к в/у 0.840кг_45с</t>
  </si>
  <si>
    <t>СЕРВЕЛАТ ФИНСКИЙ в/к в/у 45c_О</t>
  </si>
  <si>
    <t>СЕРВЕЛАТ ФИНСКИЙ в/к в/у 45с_СНГ</t>
  </si>
  <si>
    <t>ФАРШ КЛАССИЧЕСКИЙ мгс 0.4кг 4шт.охл.</t>
  </si>
  <si>
    <t xml:space="preserve">СОЧНЫЙ СТЕЙК В МАРИНАДЕ мгс 0.4кг охл. </t>
  </si>
  <si>
    <t>241/998</t>
  </si>
  <si>
    <t>ТУ 10.13.14-144-00425283-2017</t>
  </si>
  <si>
    <t>СТЕЙК СВ.НА КОСТОЧКЕ мгс 0.4кг охл_Х5</t>
  </si>
  <si>
    <t>129/542</t>
  </si>
  <si>
    <t>КЛАССИЧЕСКАЯ Папа может вар п/о_О</t>
  </si>
  <si>
    <t>ШАШЛЫК С БАЗИЛИКОМ мгс охл.</t>
  </si>
  <si>
    <t>САЛЯМИ ИТАЛЬЯНСКАЯ с/к в/у 1/150_60с</t>
  </si>
  <si>
    <t>Кор N 186 (250х158х177)(0.128) бел.ОстN</t>
  </si>
  <si>
    <t>ШЕЙКА СВИНАЯ мгс 0.4кг 4шт.охл.</t>
  </si>
  <si>
    <t>ПОСОЛЬСКАЯ Папа может с/к в/у</t>
  </si>
  <si>
    <t>ТУ 10.13.14-011-56628803-2017</t>
  </si>
  <si>
    <t>184/762</t>
  </si>
  <si>
    <t>Пионер</t>
  </si>
  <si>
    <t>ГРУДИНКА СВИНАЯ б/к кр/к в/у охл_Л</t>
  </si>
  <si>
    <t>РЕБРЫШКИ БАРБЕКЮ кр/к в/у охл_Х5</t>
  </si>
  <si>
    <t>ФАРШ ДОМАШНИЙ мгс 0.4кг 4шт.охл.</t>
  </si>
  <si>
    <t>529/2187</t>
  </si>
  <si>
    <t>170-185</t>
  </si>
  <si>
    <t>115-125</t>
  </si>
  <si>
    <t>203/844</t>
  </si>
  <si>
    <t>ширина (мм)</t>
  </si>
  <si>
    <t>Кор N 192 (290х155х120)(0.115) бур.Рубл</t>
  </si>
  <si>
    <t>МЯСНЫЕ Папа может сос п/о в/у 0.4кг_45с</t>
  </si>
  <si>
    <t>САЛЯМИ ИТАЛЬЯНСКАЯ с/к в/у 1/150_СНГ_60с</t>
  </si>
  <si>
    <t>ЭКСТРА Папа может вар п/о</t>
  </si>
  <si>
    <t>Кор N 193 (340х150х120)(0.130) бур.Рубл</t>
  </si>
  <si>
    <t>КОРЕЕЧКА ПО-ФИНСКИ мгс охл.</t>
  </si>
  <si>
    <t>свинина, комплексные пищевые добавки (регуляторы кислотности: пирофосфат натрия, цитрат натрия, карбонат натрия, молочная кислота, лактат кальция; стабилизаторы: камеди (гуаровая,  ксантановая), каррагинан, Е1442; сахар, пряности и экстракты пряностей, соль,  растительное масло,  экстракт дрожжей, ароматизаторы)</t>
  </si>
  <si>
    <t>Кор N 187 (220х158х250)(0.157) бел.ОстN</t>
  </si>
  <si>
    <t>462/1911</t>
  </si>
  <si>
    <t>БЛИНЧ.КРУГЛЫЕ С ГРУШЕЙ пл.1/420 зам.</t>
  </si>
  <si>
    <t>Кор N 1061 (380х185х100)(0.147) бур.ОстN</t>
  </si>
  <si>
    <t>ВЕТЧ.ИЗ ЛОПАТКИ Папа может п/о_HRC_Окей</t>
  </si>
  <si>
    <t>221/918</t>
  </si>
  <si>
    <t>228/944</t>
  </si>
  <si>
    <t>Кор N 173 (469х285х245)(0.646) бурый</t>
  </si>
  <si>
    <t>СЕРВЕЛАТ ПРАЖСКИЙ ПМ в/к в/у 0.35кг 8шт.</t>
  </si>
  <si>
    <t>ОХОТНИЧЬЯ Папа может с/к в/у 1/220 8шт.</t>
  </si>
  <si>
    <t>516/2133</t>
  </si>
  <si>
    <t>211/873</t>
  </si>
  <si>
    <t>ПРЕСИЖН с/к в/у_О</t>
  </si>
  <si>
    <t>270/1115</t>
  </si>
  <si>
    <t>РАГУ СВИНОЕ 1кг 8шт.зам_120с</t>
  </si>
  <si>
    <t>ТУ 10.13.14-151-00425283-2018</t>
  </si>
  <si>
    <t>147/616</t>
  </si>
  <si>
    <t>ОМПК(Г)</t>
  </si>
  <si>
    <t>РЕБРЫШКИ ОБЫКНОВЕННЫЕ 1кг 12шт.зам_120с</t>
  </si>
  <si>
    <t>253/1049</t>
  </si>
  <si>
    <t>188/779</t>
  </si>
  <si>
    <t>149/617</t>
  </si>
  <si>
    <t>ПАПИН БУТЕР Папа может вар п/о 0.4кг</t>
  </si>
  <si>
    <t>САЛО СОЛЕНОЕ С ЧЕРНЫМ ПЕРЦЕМ мл/к в/у</t>
  </si>
  <si>
    <t>110-140</t>
  </si>
  <si>
    <t>25-45</t>
  </si>
  <si>
    <t>193/804</t>
  </si>
  <si>
    <t>КУПАТЫ АССОРТИ мгс охл_Л</t>
  </si>
  <si>
    <t>172/711</t>
  </si>
  <si>
    <t>222/921</t>
  </si>
  <si>
    <t>236/993</t>
  </si>
  <si>
    <t xml:space="preserve">ОМПК(Г)
</t>
  </si>
  <si>
    <t>ВЕТЧ.ФИРМЕННАЯ С ИНДЕЙКОЙ п/о</t>
  </si>
  <si>
    <t>ДОКТОРСКАЯ ГОСТ вар п/о 0.4кг 8шт.</t>
  </si>
  <si>
    <t>ПЕЧЕНЬ СВИНАЯ упак.зам.</t>
  </si>
  <si>
    <t>СЕРДЦЕ СВИНОЕ упак.зам.</t>
  </si>
  <si>
    <t>100/420</t>
  </si>
  <si>
    <t>ХВОСТЫ СВИНЫЕ упак.зам.</t>
  </si>
  <si>
    <t>ЯЗЫК СВИНОЙ упак.зам.</t>
  </si>
  <si>
    <t>208/864</t>
  </si>
  <si>
    <t>424/1752</t>
  </si>
  <si>
    <t>60-70</t>
  </si>
  <si>
    <t>60-80</t>
  </si>
  <si>
    <t>50-60</t>
  </si>
  <si>
    <t>250-300</t>
  </si>
  <si>
    <t>290-300</t>
  </si>
  <si>
    <t>ПЕЧЕНЬ СВИНАЯ упак.зам_Ашан</t>
  </si>
  <si>
    <t>ЯЗЫК СВИНОЙ упак.зам_Ашан</t>
  </si>
  <si>
    <t>ГРУДИНКА СВИНАЯ б/к кр/к в/у охл_Окей</t>
  </si>
  <si>
    <t>РУЛЬКА СВИНАЯ в/у охл_Окей</t>
  </si>
  <si>
    <t>МЕДАЛЬОНЫ ИЗ СВ.ВЫРЕЗ.В МАРИНАДЕ мгс охл</t>
  </si>
  <si>
    <t>ГРУДИНКА СВИНАЯ б/к кр/к в/у охл_Ашан</t>
  </si>
  <si>
    <t>САЛЯМИ ИТАЛЬЯНСКАЯ с/к в/у_Глобус</t>
  </si>
  <si>
    <t>САЛО СОЛЕНОЕ С ЧЕРН.ПЕРЦ.мл/к в/у_Глобус</t>
  </si>
  <si>
    <t>КЛАССИЧЕСКАЯ СО ШПИКОМ вар п/о</t>
  </si>
  <si>
    <t>ДОКТОРСКАЯ ГОСТ Папа может вар п/о</t>
  </si>
  <si>
    <t>КЛАССИЧЕСКИЕ ПМ сос п/о мгс_Kvalita</t>
  </si>
  <si>
    <t>КОРЕЙКА ПО-ОСТ.к/в в/с с/н в/у 1/150_45с</t>
  </si>
  <si>
    <t>ОКОРОК РОЖДЕСТВЕНСКИЙ мгс охл.</t>
  </si>
  <si>
    <t>ЕВРЕЙСКАЯ полусухая с/к в/у_Ашан</t>
  </si>
  <si>
    <t>КОРЕЕЧКА ПО-ФИНСКИ мгс охл_Л</t>
  </si>
  <si>
    <t>БАСТУРМА сыровяленая в/с в/у_Ашан</t>
  </si>
  <si>
    <t>СЕРВЕЛАТ ФИНСКИЙ ПМ в/к в/у 0.35кг 8шт.</t>
  </si>
  <si>
    <t>СЕРВЕЛАТ ФИНСКИЙ ПМ в/к в/у 0.42кг 8шт.</t>
  </si>
  <si>
    <t>ЕВРЕЙСКАЯ полусухая с/к в/у_Метро</t>
  </si>
  <si>
    <t>Z-АРОМАТНАЯ с/к в/у</t>
  </si>
  <si>
    <t>Z-БАСТУРМА сыровяленая в/с в/у</t>
  </si>
  <si>
    <t>Z-КЛАССИЧЕСКАЯ Папа может вар п/о</t>
  </si>
  <si>
    <t>Z-МЯСНАЯ Папа может вар п/о</t>
  </si>
  <si>
    <t>Z-МЯСНАЯ Папа может вар п/о 0.4кг_СНГ</t>
  </si>
  <si>
    <t>Z-МЯСНАЯ Папа может вар п/о_СНГ</t>
  </si>
  <si>
    <t>Z-МЯСНАЯ СО ШПИКОМ ПМ вар п/о_СНГ</t>
  </si>
  <si>
    <t>Z-ОХОТНИЧЬЯ Папа может с/к в/у 1/220</t>
  </si>
  <si>
    <t>Z-ОХОТНИЧЬЯ ПМ с/к в/у (для нарезки)</t>
  </si>
  <si>
    <t>Z-ПРЕСИЖН с/к в/у</t>
  </si>
  <si>
    <t>Z-САЛЯМИ ИТАЛЬЯНСКАЯ с/к в/у</t>
  </si>
  <si>
    <t>Z-САЛЯМИ МЕЛКОЗЕРНЕНАЯ с/к в/у</t>
  </si>
  <si>
    <t>Z-СЕРВЕЛАТ ЗЕРНИСТЫЙ Папа может в/к в/у</t>
  </si>
  <si>
    <t>Z-СЕРВЕЛАТ ФИНСКИЙ в/к в/у</t>
  </si>
  <si>
    <t>Z-СЕРВЕЛАТ ФИНСКИЙ в/к в/у 0.840кг</t>
  </si>
  <si>
    <t>Z-СОЧНАЯ Папа может вар п/о 0.4кг</t>
  </si>
  <si>
    <t>Z-ФИЛЕЙНАЯ Папа может вар п/о</t>
  </si>
  <si>
    <t>Z-ФИЛЕЙНАЯ Папа может вар п/о_СНГ</t>
  </si>
  <si>
    <t>Z-ЧЕСНОЧНАЯ п/к в/у</t>
  </si>
  <si>
    <t>Z-ЭКСТРА Папа может с/к в/у</t>
  </si>
  <si>
    <t>Z-ЭКСТРА Папа может с/к в/у 1/250</t>
  </si>
  <si>
    <t>Z-ЮБИЛЕЙНАЯ с/к в/у</t>
  </si>
  <si>
    <t>Копченые колбасы</t>
  </si>
  <si>
    <t>МОЛОЧНАЯ Папа может вар п/о</t>
  </si>
  <si>
    <t>МОЛОЧНЫЕ ГОСТ сос ц/о мгс 1*4</t>
  </si>
  <si>
    <t>код короба</t>
  </si>
  <si>
    <t>вес короба (кг)</t>
  </si>
  <si>
    <t>С/к колбасы</t>
  </si>
  <si>
    <t>380/1575</t>
  </si>
  <si>
    <t>ВЫРЕЗКА СВИНАЯ кр/к в/у (1*2) охл.</t>
  </si>
  <si>
    <t>ВЕТЧ.РУБЛЕНАЯ ПМ в/у срез 0.3кг 6шт.</t>
  </si>
  <si>
    <t>161/668</t>
  </si>
  <si>
    <t>ОМПК (Г)</t>
  </si>
  <si>
    <t>12 часов</t>
  </si>
  <si>
    <t>в пределах срока годности</t>
  </si>
  <si>
    <t>ОМПК (О)
ОМПК (Г)</t>
  </si>
  <si>
    <t>язык свиной</t>
  </si>
  <si>
    <t>хвосты свиные</t>
  </si>
  <si>
    <t>сердце свиное</t>
  </si>
  <si>
    <t xml:space="preserve"> печень свиная</t>
  </si>
  <si>
    <t>ноги свиные передние</t>
  </si>
  <si>
    <t>ноги свиные задние</t>
  </si>
  <si>
    <t>уши свиные</t>
  </si>
  <si>
    <t>ноги свиные</t>
  </si>
  <si>
    <t>БЛИНЧ.КРУГЛЫЕ С МЯСОМ 4.5кг зам_ФМ</t>
  </si>
  <si>
    <t>БЛИНЧ.КРУГЛЫЕ С ТВОРОГОМ 4.5кг зам_ФМ</t>
  </si>
  <si>
    <t>Вид</t>
  </si>
  <si>
    <t>Колбасные изделия</t>
  </si>
  <si>
    <t xml:space="preserve"> ТУ 10.13.14-130-00425283-2017</t>
  </si>
  <si>
    <t xml:space="preserve"> ТУ 10.13.14-150-00425283-2018</t>
  </si>
  <si>
    <t xml:space="preserve"> ТУ 10.13.14-160-00425283-2022</t>
  </si>
  <si>
    <t>ТУ 10.13.14-152-00425283-2018</t>
  </si>
  <si>
    <t>ТУ 10.13.14-156-00425283-2021</t>
  </si>
  <si>
    <t>ГОСТ 32125-2013</t>
  </si>
  <si>
    <t>ТУ 10.13.14-130-00425283-2017</t>
  </si>
  <si>
    <t>ТУ 10.13.14-142-00425283-2016</t>
  </si>
  <si>
    <t>ТУ 10.13.14-145-00425283-2017</t>
  </si>
  <si>
    <t>ТУ 10.13.14-146-00425283-2018</t>
  </si>
  <si>
    <t>ТУ 10.13.14-147-00425283-2018</t>
  </si>
  <si>
    <t>ТУ 10.13.14-148-00425283-2018</t>
  </si>
  <si>
    <t>ТУ 10.13.14-149-00425283-2018</t>
  </si>
  <si>
    <t>ТУ 10.13.14-150-00425283-2018</t>
  </si>
  <si>
    <t>ТУ 10.13.14-153-00425283-2019</t>
  </si>
  <si>
    <t>ТУ 10.13.14-161-00425283-2022</t>
  </si>
  <si>
    <t>ТУ 9119-131-00425283-2015</t>
  </si>
  <si>
    <t>ТУ 9166-106-00425283-03</t>
  </si>
  <si>
    <r>
      <t>ТУ 10.13.14-154-00425283-2020</t>
    </r>
    <r>
      <rPr>
        <sz val="12"/>
        <color theme="1"/>
        <rFont val="Times New Roman"/>
        <family val="1"/>
        <charset val="204"/>
      </rPr>
      <t xml:space="preserve"> </t>
    </r>
  </si>
  <si>
    <t>ТУ 10.13.14-160-00425283-2022</t>
  </si>
  <si>
    <t>ТУ 9213-129-00425283-2014</t>
  </si>
  <si>
    <t>ТУ 9213-135-00425283-2015</t>
  </si>
  <si>
    <t>ТУ 9213-136-00425283-2015</t>
  </si>
  <si>
    <t>ТУ 9213-139-00425283-2015</t>
  </si>
  <si>
    <t>ТУ 9213-140-00425283-2015</t>
  </si>
  <si>
    <t>ТУ 9214-035-00425283-05</t>
  </si>
  <si>
    <t>Номер ГОСТ/ТУ</t>
  </si>
  <si>
    <t>Группа / категория</t>
  </si>
  <si>
    <t>Мясной продукт. Изделие колбасное полукопченое категории Б.</t>
  </si>
  <si>
    <t>Мясной продукт. Изделие колбасное полукопченое категории В.</t>
  </si>
  <si>
    <t>Консервы мясные кусковые стерилизованные.</t>
  </si>
  <si>
    <t>Субпродукт свиной замороженный мякотный.</t>
  </si>
  <si>
    <t>Субпродукт свиной замороженный шерстный.</t>
  </si>
  <si>
    <t>Мясной продукт. Изделие колбасное вареное категории А.</t>
  </si>
  <si>
    <t>Мясной продукт. Изделие колбасное вареное категории Б.</t>
  </si>
  <si>
    <t>Мясной продукт. Изделие колбасное варено-копченое категории А.</t>
  </si>
  <si>
    <t>Мясной продукт. Изделие колбасное сырокопченое категории А.</t>
  </si>
  <si>
    <t>Мясной продукт. Изделие колбасное сырокопченое категории Б.</t>
  </si>
  <si>
    <t>Мясной продукт. Изделие колбасное вареное категории В.</t>
  </si>
  <si>
    <t>Мясосодержащий продукт. Изделие колбасное вареное категории В.</t>
  </si>
  <si>
    <t>Продукт мясосодержащий. Колбасное изделие вареное.</t>
  </si>
  <si>
    <t>Продукт из мяса птицы копчено-вареный.</t>
  </si>
  <si>
    <t>Мясной продукт. Колбасное изделие вареное.</t>
  </si>
  <si>
    <t>Изделие колбасное полукопченое из мяса птицы 3 сорта.</t>
  </si>
  <si>
    <t>Мясной продукт. Изделие колбасное сырокопченое.</t>
  </si>
  <si>
    <t>Мясной продукт. Изделие из свинины сырокопченое категории А.</t>
  </si>
  <si>
    <t>Мясной продукт. Изделие из свинины сырокопченое категории Б.</t>
  </si>
  <si>
    <t>Полуфабрикат в тесте с мясной начинкой замороженный категории В.</t>
  </si>
  <si>
    <t>Полуфабрикат в тесте с мясосодержащей начинкой замороженный категории Г.</t>
  </si>
  <si>
    <t>Ветчинное изделие вареное из мяса птицы.</t>
  </si>
  <si>
    <t>Ветчинное изделие вареное из мяса птицы 1 сорта.</t>
  </si>
  <si>
    <t>Ветчинное изделие вареное из мяса птицы 2 сорта.</t>
  </si>
  <si>
    <t>Мясной продукт. Продукт из мяса вареный категории Б.</t>
  </si>
  <si>
    <t>Мясосодержащий продукт. Продукт из мяса вареный категории В.</t>
  </si>
  <si>
    <t>Изделие колбасное вареное из мяса птицы.</t>
  </si>
  <si>
    <t>Изделие колбасное вареное из мяса птицы 1 сорта.</t>
  </si>
  <si>
    <t>Изделие колбасное вареное из мяса птицы 3 сорта.</t>
  </si>
  <si>
    <t>Полуфабрикат из свинины замороженный мясокостный крупнокусковой категории Б.</t>
  </si>
  <si>
    <t>Полуфабрикат из свинины замороженный мясокостный мелкокусковой категории В.</t>
  </si>
  <si>
    <t>Полуфабрикат из свинины замороженный крупнокусковой мясной категории А.</t>
  </si>
  <si>
    <t>Полуфабрикат из свинины замороженный крупнокусковой мясокостный категории А.</t>
  </si>
  <si>
    <t>Полуфабрикат из свинины замороженный мелкокусковой мясной категории Б.</t>
  </si>
  <si>
    <t>Полуфабрикат охлажденный из свинины крупнокусковой бескостный мясной категории А.</t>
  </si>
  <si>
    <t>Полуфабрикат охлажденный из свинины крупнокусковой бескостный мясной категории Б.</t>
  </si>
  <si>
    <t>Полуфабрикат охлажденный из свинины мелкокусковой бескостный мясной категории А.</t>
  </si>
  <si>
    <t>Полуфабрикат охлажденный из свинины мелкокусковой бескостный мясной категории Б.</t>
  </si>
  <si>
    <t>Полуфабрикат охлажденный из свинины мелкокусковой бескостный мясной категории В.</t>
  </si>
  <si>
    <t>Полуфабрикат охлажденный из свинины крупнокусковой мясокостный категории А.</t>
  </si>
  <si>
    <t>Полуфабрикат охлажденный из свинины крупнокусковой мясокостный категории Б.</t>
  </si>
  <si>
    <t>Полуфабрикат охлажденный из свинины мелкокусковой мясокостный категории Б.</t>
  </si>
  <si>
    <t>Полуфабрикат охлажденный из свинины мелкокусковой мясокостный категории В.</t>
  </si>
  <si>
    <t>Полуфабрикат мясной рубленый формованный охлажденный категории Б.</t>
  </si>
  <si>
    <t>Полуфабрикат мясной рубленый охлажденный категории Б.</t>
  </si>
  <si>
    <t>Полуфабрикат мясной рубленый охлажденный категории В.</t>
  </si>
  <si>
    <t>Мясной продукт. Изделие из свинины копчено-вареное категории В.</t>
  </si>
  <si>
    <t>Изделие колбасное варено-копченое из мяса птицы.</t>
  </si>
  <si>
    <t>Мясной продукт. Продукт из шпика.</t>
  </si>
  <si>
    <t>Мясной продукт. Изделие колбасное варено-копченое.</t>
  </si>
  <si>
    <t>Мясной продукт. Колбасное изделие из термически обработанных ингредиентов категории Б.</t>
  </si>
  <si>
    <t>Мясосодержащее колбасное изделие из термически обработанных ингредиентов категории Б.</t>
  </si>
  <si>
    <t>Мясной продукт. Изделие из свинины копчено-вареное категории А.</t>
  </si>
  <si>
    <t>Мясной продукт. Изделие из свинины копчено-вареное категории Б.</t>
  </si>
  <si>
    <t>Изделие колбасное сырокопченое из мяса птицы.</t>
  </si>
  <si>
    <t>Изделие колбасное сырокопченое из мяса птицы фирменное.</t>
  </si>
  <si>
    <t>Полуфабрикат высокой степени готовности: блинчики быстрозамороженные.</t>
  </si>
  <si>
    <t>Вареники с картофелем для поста замороженные.</t>
  </si>
  <si>
    <t>Полуфабрикат в тесте с мясосодержащей начинкой замороженный категории В.</t>
  </si>
  <si>
    <t>Полуфабрикат высокой степени готовности: блинчики круглые быстрозамороженные.</t>
  </si>
  <si>
    <t>Мясной продукт из свинины копчено-вареный категории А.</t>
  </si>
  <si>
    <t>для СТМ</t>
  </si>
  <si>
    <t>Мясной продукт. Продукт из мяса сыровяленый.</t>
  </si>
  <si>
    <t>Полуфабрикат из свинины охлажденный мелкокусковой мясной категории Б.</t>
  </si>
  <si>
    <t>Запеченный мясной продукт из свинины категории Б.</t>
  </si>
  <si>
    <t>Условия хранения</t>
  </si>
  <si>
    <t>0…+20</t>
  </si>
  <si>
    <t>Код короба SAP</t>
  </si>
  <si>
    <t>Наименование короба SAP</t>
  </si>
  <si>
    <t>Масса нетто короба SAP, кг</t>
  </si>
  <si>
    <t>Статус</t>
  </si>
  <si>
    <t>Кор N 103 (370х148х355)(0.225) бур.ОстN</t>
  </si>
  <si>
    <t>Кор N 107 (380х284х165) (0.440)бел.с/о О</t>
  </si>
  <si>
    <t>Кор N 108 (380х250х180)(0.415) бур. ОМПК</t>
  </si>
  <si>
    <t>Кор N 112 (380х282х280)(0.555)бел.с от.О</t>
  </si>
  <si>
    <t>Кор N 115 (560х375х95)(0.410) бурый ОМПК</t>
  </si>
  <si>
    <t>Кор N 1161 (375х275х175)(0.290) бур.ОстN</t>
  </si>
  <si>
    <t>Кор N 120 (380х185х175)(0.220) бур.ОстN</t>
  </si>
  <si>
    <t>Кор N 16 (375х275х175)(0.270) бур.ОстN</t>
  </si>
  <si>
    <t>Кор N 124 (710х170х170) (0.365)бур.с/оОМ</t>
  </si>
  <si>
    <t>Ящик (600х400х260) ОМПК</t>
  </si>
  <si>
    <t>Поддон деревянный ЕВРО</t>
  </si>
  <si>
    <t>Кор N 126 (229х261х117)(0.160)цветн.ОМПК</t>
  </si>
  <si>
    <t>Кор N 112 (380х282х280) СВИНИНА 159</t>
  </si>
  <si>
    <t>ВИРТУАЛЬНЫЙ ПОДДОН</t>
  </si>
  <si>
    <t>Кор N 130 (284х170х170)(0.151) бур.Кор</t>
  </si>
  <si>
    <t>Кор N 135 (380х185х175)(0.220) бур.Кор</t>
  </si>
  <si>
    <t>Кор N 132 (380х250х180)(0.346) бур.Кор</t>
  </si>
  <si>
    <t>Кор N 131 (380х185х150)(0.195) бур.Кор</t>
  </si>
  <si>
    <t>Кор N 128 (380х284х140)(0.253) бур.Кор</t>
  </si>
  <si>
    <t>Кор N 127 (370х148х130)(0.133) бур.Кор</t>
  </si>
  <si>
    <t>Кор N 129 (360х230х120)(0.188) бур.Кор</t>
  </si>
  <si>
    <t>Кор N 133 (380х185х100)(0.145) бур.Кор</t>
  </si>
  <si>
    <t>Кор N 134 (340х145х100)(0.110) бур.Кор</t>
  </si>
  <si>
    <t>Кор N 138 (380х105х100)(0.095)белен.ОМПК</t>
  </si>
  <si>
    <t>Кор N 140 (210x150x120)(0.090)Белен.ОМПК</t>
  </si>
  <si>
    <t>Кор N 143 (375х148х160)(0.150) бур.Кор</t>
  </si>
  <si>
    <t>Кор N 147 (200x148x103)(0.085) бур. ОМПК</t>
  </si>
  <si>
    <t>Кор N 149 (200х148х125)(0.088) бур. ОМПК</t>
  </si>
  <si>
    <t>Кор N 150 (305х204х162)(0.170) бел. ОМПК</t>
  </si>
  <si>
    <t>Кор N 153 (330х180х170)(0.180) бур.Кор</t>
  </si>
  <si>
    <t>Кор N 154 (253х183х195)(0.140) ШБ ОстN</t>
  </si>
  <si>
    <t>Ящик (600х400х260) ОМПК аудит</t>
  </si>
  <si>
    <t>блок 09.12.21</t>
  </si>
  <si>
    <t>Групповая упаковка (гофрокороб)</t>
  </si>
  <si>
    <t>Паллета</t>
  </si>
  <si>
    <t>кол-во слоев г/у</t>
  </si>
  <si>
    <t>итого г/у</t>
  </si>
  <si>
    <t>Высота (мм)</t>
  </si>
  <si>
    <t>Кратность нетто (кг/шт)</t>
  </si>
  <si>
    <t>номин.вес
нетто г/у (кг)</t>
  </si>
  <si>
    <t>номин.вес
брутто г/у (кг)</t>
  </si>
  <si>
    <t>СВИНИНА ПРАЗДНИЧНАЯ мгс охл_ФМ</t>
  </si>
  <si>
    <t>КУП.МЯСНЫЕ  Д/ЖАР.И ГРИЛЯ мгс 1/320 охл.</t>
  </si>
  <si>
    <t>ВЫРЕЗКА СВИНАЯ кр/к в/у охл_Л</t>
  </si>
  <si>
    <t>Мясной продукт. Изделие колбасное полукопченое категории А.</t>
  </si>
  <si>
    <t>Кор N 206 (255х150х94)(0.000) бел.ОстN</t>
  </si>
  <si>
    <t>Проверка</t>
  </si>
  <si>
    <t>СТМ</t>
  </si>
  <si>
    <t>шоу-бокс для Чижика</t>
  </si>
  <si>
    <t>EAN-13</t>
  </si>
  <si>
    <t>ITF-14</t>
  </si>
  <si>
    <t>ГОСТ/ТУ</t>
  </si>
  <si>
    <t>Номер</t>
  </si>
  <si>
    <t>РУЛЬКА СВИНАЯ в/у охл_Ашан</t>
  </si>
  <si>
    <t>ШНИЦЕЛЬ СВИНОЙ мгс 0.4кг охл_Х5/СТМ Верн</t>
  </si>
  <si>
    <t>SAP</t>
  </si>
  <si>
    <t>Производитель</t>
  </si>
  <si>
    <t>Группа/категория</t>
  </si>
  <si>
    <t>Торговая</t>
  </si>
  <si>
    <t>марка</t>
  </si>
  <si>
    <t>Наименование продукции</t>
  </si>
  <si>
    <t>Вид продукции</t>
  </si>
  <si>
    <t>Тип продукции</t>
  </si>
  <si>
    <t>шоу-бокс для Чижика (нарезка 2 фейса)</t>
  </si>
  <si>
    <t>ШНИЦЕЛЬ СВИНОЙ мгс 0.4кг охл_Х5/СТМ_12с</t>
  </si>
  <si>
    <t>ШЕЙКА СВИНАЯ мгс 0.4кг охл_Х5/СТМ_12с</t>
  </si>
  <si>
    <t>ФАРШ СВИНОЙ мгс 0.4кг 4шт.охл_Х5/СТМ_12с</t>
  </si>
  <si>
    <t>свинина, вода, животный белок, регуляторы кислотности: ацетаты натрия, цитраты натрия; антиокислитель аскорбиновая кислота (L-), ароматизатор</t>
  </si>
  <si>
    <t>шоу-бокс для Чижика (вк 0,35кг)</t>
  </si>
  <si>
    <t>шоу-бокс для Чижика (ск 0,25кг)</t>
  </si>
  <si>
    <t>МЯСО ПРАЗДНИЧНОЕ с/к с/н в/у 1/100 10шт.</t>
  </si>
  <si>
    <t>СВИНИНА МАДЕРА с/к с/н в/у 1/100 10шт.</t>
  </si>
  <si>
    <t>МОЛОЧНАЯ Папа может вар п/о_Окей</t>
  </si>
  <si>
    <t>свинина, говядина, вода, молоко коровье сухое обезжиренное, соль, смесь посолочно-нитритная (соль, фиксатор окраски нитрит натрия), сухой яичный меланж, регуляторы кислотности: пирофосфаты, ацетаты натрия; сахар, антиокислитель аскорбиновая кислота, кардамон, усилитель вкуса и аромата глутамат натрия</t>
  </si>
  <si>
    <t>148/619</t>
  </si>
  <si>
    <t>188/784</t>
  </si>
  <si>
    <t>226/938</t>
  </si>
  <si>
    <t>125/525</t>
  </si>
  <si>
    <t>225/940</t>
  </si>
  <si>
    <t>196/813</t>
  </si>
  <si>
    <t>215/895</t>
  </si>
  <si>
    <t>186/773</t>
  </si>
  <si>
    <t>233/969</t>
  </si>
  <si>
    <t>167/696</t>
  </si>
  <si>
    <t>371/1533</t>
  </si>
  <si>
    <t>201/833</t>
  </si>
  <si>
    <t>219/907</t>
  </si>
  <si>
    <t>277/1146</t>
  </si>
  <si>
    <t>209/867</t>
  </si>
  <si>
    <t>184/767</t>
  </si>
  <si>
    <t>331/1368</t>
  </si>
  <si>
    <t>234/972</t>
  </si>
  <si>
    <t>157/656</t>
  </si>
  <si>
    <t>244/1012</t>
  </si>
  <si>
    <t>замена вместо короба N194</t>
  </si>
  <si>
    <t>КАРБОНАД к/в с/н в/у 1/100 10шт_Т/СТМ</t>
  </si>
  <si>
    <t>БЛИНЧ.С МЯСОМ пл.1/350 зам.</t>
  </si>
  <si>
    <t>ВЕТЧ.МРАМОРНАЯ в/у_45с</t>
  </si>
  <si>
    <t>МОЛОЧНАЯ Папа может вар п/о 0.5кг 8шт.</t>
  </si>
  <si>
    <t>ВЫРЕЗКА СВИНАЯ кр/к в/у (1*2) охл_М</t>
  </si>
  <si>
    <t>МОЛОЧНАЯ Папа может вар п/о_Л</t>
  </si>
  <si>
    <t>Z-САЛЯМИ ИТАЛЬЯН. с/к в/у (для нарезки)</t>
  </si>
  <si>
    <t>шоу-бокс для Чижика (сосиски 0.45кг)</t>
  </si>
  <si>
    <t>КАРБОНАД СВИНОЙ кр/к в/у TF охл_М</t>
  </si>
  <si>
    <t>ШЕЙКА СВИНАЯ кр/к в/у TF охл_М</t>
  </si>
  <si>
    <t>ФИРМЕННАЯ Папа может вар п/о 0.5кг 16шт.</t>
  </si>
  <si>
    <t>ФИРМЕННЫЕ ПМ сос п/о мгс 0.45кг 16шт.</t>
  </si>
  <si>
    <t>АРОМАТНАЯ С ЧЕСНОКОМ ПМ п/к в/у 420*16</t>
  </si>
  <si>
    <t>ПРЕСТИЖ с/к в/у 1/250 16шт.</t>
  </si>
  <si>
    <t>короб под ушастую нарезку 10шт.</t>
  </si>
  <si>
    <t>вес вспом. упаковки (кг)</t>
  </si>
  <si>
    <t>Z-МОЛОЧНАЯ Папа может вар п/о</t>
  </si>
  <si>
    <t>АРОМАТНАЯ с/к с/н в/у 1/100 10шт.</t>
  </si>
  <si>
    <t>КАРБОНАД к/в с/н в/у 1/100*10_Х5/СТМ МФ</t>
  </si>
  <si>
    <t>свинина, вода, соль, регуляторы кислотности: трифосфаты, ацетаты натрия, цитраты натрия; стабилизаторы: пирофосфаты и полифосфаты; сахар, антиокислитель аскорбат натрия, нитритно-посолочная смесь (соль, фиксатор окраски Е250), молочный белок, животный белок свиной, ароматизатор</t>
  </si>
  <si>
    <t>РУЛЕТ ФИЛЕЙНЫЙ к/в в/у 1/100_Х5/СТМ МФ</t>
  </si>
  <si>
    <t>филе грудок куриных, вода, соль, пищевые волокна, регуляторы кислотности: трифосфаты, пирофосфаты, ацетаты натрия, цитраты натрия; нитритно-посолочная смесь (соль, фиксатор окраски нитрит натрия), стабилизаторы: пирофосфаты и полифосфаты, сахар, усилитель вкуса и аромата глутамат натрия, антиокислитель аскорбат натрия, молочный белок, чеснок свежий, ароматизаторы</t>
  </si>
  <si>
    <t>Z-ВЕТЧ.РУБЛЕНАЯ ПМ в/у срез 0.3кг 6шт.</t>
  </si>
  <si>
    <t>КАРБОНАД к/в с/н в/у 1/150 8шт.</t>
  </si>
  <si>
    <t>ВЕТЧ.МРАМОРНАЯ в/у срез 0.3кг 6шт_45с</t>
  </si>
  <si>
    <t>С СЫРОМ Папа может сос ц/о мгс 0.4кг 6шт</t>
  </si>
  <si>
    <t>ШЕЙКА СВИНАЯ кр/к в/у TF охл_Х5</t>
  </si>
  <si>
    <t>ШПИКАЧКИ СОЧНЫЕ ПМ сар б/о мгс 0.4кг_45с</t>
  </si>
  <si>
    <t>ШПИКАЧКИ СОЧНЫЕ ПМ сар б/о мгс 1*3_45с</t>
  </si>
  <si>
    <t>МЯСНЫЕ Папа может сар б/о мгс 1*3_Л_45с</t>
  </si>
  <si>
    <t>ШАШЛЫК ИЗ СВИНИНЫ охл_Ашан</t>
  </si>
  <si>
    <t>ШАШЛЫК С БАЗИЛИКОМ мгс охл_Ашан</t>
  </si>
  <si>
    <t>КУПАТЫ АССОРТИ мгс охл_Ашан</t>
  </si>
  <si>
    <t>310/1280</t>
  </si>
  <si>
    <t>ШПИКАЧКИ СОЧНЫЕ сар б/о мгс 1*3_Ашан_45с</t>
  </si>
  <si>
    <t>МЯСНЫЕ Папа может сар б/о мгс 1*3_Х5_45с</t>
  </si>
  <si>
    <t>МЯСНЫЕ Папа может сар б/о мгс 1*3_О_45с</t>
  </si>
  <si>
    <t>ГРУДИНКА СВИНАЯ б/к кр/к в/у охл_Х5</t>
  </si>
  <si>
    <t>ФАРШ КЛАССИЧЕСКИЙ мгс 0.7кг 4шт.охл.</t>
  </si>
  <si>
    <t>МОЛОЧНЫЕ КЛАССИЧЕСКИЕ сос п/о мгс 0.8кг</t>
  </si>
  <si>
    <t>Кор N 194 (310х140х130)(0.096) бур.ОстN</t>
  </si>
  <si>
    <t>Z-АРОМАТНАЯ с/к в/у 1/250</t>
  </si>
  <si>
    <t>239/992</t>
  </si>
  <si>
    <t>Z-ПРЕСИЖН с/к в/у 1/250</t>
  </si>
  <si>
    <t>САЛЯМИ МЕЛКОЗЕРНЁНАЯ с/к в/у 0.5кг 8шт.</t>
  </si>
  <si>
    <t>КАРБОНАД СВИНОЙ кр/к в/у TF охл_Лента</t>
  </si>
  <si>
    <r>
      <t>КАРБОНАД СВИНОЙ кр/к в/у TF</t>
    </r>
    <r>
      <rPr>
        <sz val="10"/>
        <rFont val="Calibri"/>
        <family val="2"/>
        <charset val="204"/>
      </rPr>
      <t xml:space="preserve"> </t>
    </r>
    <r>
      <rPr>
        <sz val="10"/>
        <rFont val="Arial CYR"/>
      </rPr>
      <t>охл_Лента</t>
    </r>
  </si>
  <si>
    <t>КАРБОНАД СВИНОЙ кр/к в/у TF охл_Ашан</t>
  </si>
  <si>
    <t>ШЕЙКА СВИНАЯ кр/к в/у TF охл_Л</t>
  </si>
  <si>
    <t>183/759</t>
  </si>
  <si>
    <t>С ГОВЯДИНОЙ ОРИГИН. сар б/о мгс 1*3_45с</t>
  </si>
  <si>
    <t>С ГОВЯДИНОЙ ПМ сар б/о мгс 0.4кг_45с</t>
  </si>
  <si>
    <t>ОСТАНКИНСКИЕ пельм кор.0.4кг зам.</t>
  </si>
  <si>
    <t>рецептура 1. Фарш: свинина, вода, лук свежий, соевый белок, говядина, соль, комплексные пищевые добавки (специи, глюкоза, ароматизаторы, усилитель вкуса и аромата Е621, регулятор кислотности трифосфат, стабилизатор пирофосфат, антиокислители: аскорбат натрия, Е300, экстракт розмарина). Тесто: мука пшеничная в/с, вода, сухой яичный меланж, соль, комплексная пищевая добавка: улучшитель муки (эмульгаторы: пирофосфаты, полифосфаты, фосфаты натрия; антиокислители: Е300, лимонная кислота).</t>
  </si>
  <si>
    <t>шоу-бокс для Дымовицы</t>
  </si>
  <si>
    <t xml:space="preserve">ТУ 10.72.19-162-00425283-2023 </t>
  </si>
  <si>
    <t>Хлебобулочное изделие. Полуфабрикат высокой степени готовности. Блинчики быстрозамороженные.</t>
  </si>
  <si>
    <t xml:space="preserve">Тесто для блинов: мука пшеничная в/с, вода, молоко сухое обезжиренное, сахар, масло растительное, сухой яичный меланж, соль, разрыхлитель гидрокарбонат натрия. Начинка: свинина, говядина, вода, соевый белок, соль, лук жареный, мука пшеничная, масло пальмовое, животный белок говяжий, петрушка, укроп, растительная клетчатка, специи, ароматизаторы, усилитель вкуса и аромата глутамат натрия, перец черный. </t>
  </si>
  <si>
    <t>шоу-бокс для Чижика (нарезка с/к колбасы скин)</t>
  </si>
  <si>
    <t>РЕБРЫШКИ к/в в/у_30c</t>
  </si>
  <si>
    <t>МОЛОЧНЫЕ КЛАССИЧЕСКИЕ сос п/о в/у 0.3кг</t>
  </si>
  <si>
    <t>СВИНАЯ ГОСТ с/к б/о в/у 1/250 Х5/СТМ Вер</t>
  </si>
  <si>
    <t>566/2333</t>
  </si>
  <si>
    <t>Z-ЮБИЛЕЙНАЯ с/к в/у 1/250</t>
  </si>
  <si>
    <t>160/665</t>
  </si>
  <si>
    <t>Кор N 211 (182х178х158)(0.000) бел.ОстN</t>
  </si>
  <si>
    <t>свинина, шпик, филе грудок куриных, говядина, соевый белок, смесь посолочно-нитритная (соль, фиксатор окраски нитрит натрия), соль, молочный белок, регулятор кислотности пирофосфаты, растительная клетчатка (в т.ч. пшеничная), натуральные пряности (перец белый, перец черный), сахар, ароматизаторы, антиокислитель изоаскорбат натрия, усилитель вкуса и аромата глутамат натрия, красители: кармины, красный рисовый; стартовая культура</t>
  </si>
  <si>
    <t>СОЧНЫЙ ГРИЛЬ ПМ сос п/о мгс 0.41кг 8шт.</t>
  </si>
  <si>
    <t>МОЛОЧНЫЕ ПМ сос п/о мгс 0.41кг 10шт.</t>
  </si>
  <si>
    <t>ФИРМЕННАЯ КОПЧ.НА БУКЕ с/к с/н в/у 1/150</t>
  </si>
  <si>
    <t>Z-АРОМАТНАЯ с/к в/у (для нарезки)</t>
  </si>
  <si>
    <t>Изделие колбасное вареное из мяса кур охлажденное.</t>
  </si>
  <si>
    <t>ТУ 10.13.14-150-00425283-2019</t>
  </si>
  <si>
    <t>Ветчинное изделие вареное из мяса кур охлажденное 1 сорта.</t>
  </si>
  <si>
    <t>ТУ 10.13.14-148-00425283-2019</t>
  </si>
  <si>
    <t>под сосиски в жесткой пленке</t>
  </si>
  <si>
    <t>СОЧНЫЙ ГРИЛЬ ПМ сос п/о мгс 1.5*4_Маяк</t>
  </si>
  <si>
    <t>Хлебобулочное изделие. Полуфабрикат высокой степени готовности. Блинчики круглые быстрозамороженные.</t>
  </si>
  <si>
    <t>СЕРВЕЛАТ МЕЛКОЗЕРНЕНЫЙ ПМ в/к в/у 0.35кг</t>
  </si>
  <si>
    <t>шоу-бокс для Чижика (ск 0,25кг) Свиная 12шт.</t>
  </si>
  <si>
    <t>шоу-бокс для Магнит сосиски Богатырские 300 г</t>
  </si>
  <si>
    <t>Кор N 215 (210х108х190)(0.000) ШБ</t>
  </si>
  <si>
    <t>ДОМАШНЯЯ Папа может вар п/о 0.4кг 8шт.</t>
  </si>
  <si>
    <t>МОЛОЧНЫЕ Коровино сос п/о мгс 1.5*6_Ц</t>
  </si>
  <si>
    <t>ФИЛЕЙНАЯ Папа может вар п/о 0.4кг</t>
  </si>
  <si>
    <t>аналогично N174, но в другом дизайне</t>
  </si>
  <si>
    <t>Кор N 216 (305х250х170)(0.000) ШБ</t>
  </si>
  <si>
    <t>шоу-бокс для сосиски Сочные 600г</t>
  </si>
  <si>
    <t>МЯСНЫЕ Папа может сос п/о мгс 1.5*3</t>
  </si>
  <si>
    <t>ИЗ ФИЛЕ КУРИНОЙ ГРУДКИ сос ц/о мгс 0.4кг</t>
  </si>
  <si>
    <t>Продукт из мяса кур копчено-вареный охлажденный.</t>
  </si>
  <si>
    <t>Тесто для блинов: мука пшеничная в/с, вода, молоко сухое обезжиренное, сахар, масло растительное, сухой яичный меланж, соль, разрыхлитель гидрокарбонат натрия. Начинка: филе грудок куриных, вода, соевый белок, масло растительное, белковый стабилизатор куриный, лук жареный, комплексные пищевые добавки (загуститель Е466, крахмал картофельный, специи и экстракты специй, мальтодекстрин, усилитель вкуса и аромата Е621, декстроза, ароматизатор); соль, животный белок говяжий.</t>
  </si>
  <si>
    <t>шоу-бокс под дабл-паки</t>
  </si>
  <si>
    <t>аналог 182 в ТМ ПМ</t>
  </si>
  <si>
    <t>аналог 183 в ТМ ПМ</t>
  </si>
  <si>
    <t>аналог 221 в ТМ ПМ</t>
  </si>
  <si>
    <t>ФАРШ СВИНОЙ мгс 0.3кг охл_Х5/СТМ Гастр-м</t>
  </si>
  <si>
    <t>свинина (в т.ч. диафрагма), животный белок свиной, вода, регуляторы кислотности: ацетаты натрия, цитраты натрия; антиокислитель аскорбиновая кислота, ароматизатор</t>
  </si>
  <si>
    <t>ФАРШ СВИНОЙ мгс 0.7кг 4шт.охл.</t>
  </si>
  <si>
    <t>Z-ИМПЕРСКАЯ в/к (для нарезки)</t>
  </si>
  <si>
    <t>свинина, шпик, вода,  белковый стабилизатор (вода, шкурка свиная), смесь посолочно-нитритная (соль, фиксатор окраски нитрит натрия), регуляторы кислотности: пирофосфаты, трифосфаты, ацетаты натрия, цитраты натрия; стабилизатор полифосфаты, соль, натуральные пряности (в т.ч. горчица), усилитель вкуса и аромата глутамат натрия, виноградный сахар, антиокислители: аскорбиновая кислота, изоаскорбат натрия</t>
  </si>
  <si>
    <t>290/1200</t>
  </si>
  <si>
    <t>Z-БАЛЫКОВАЯ в/к (для нарезки)</t>
  </si>
  <si>
    <t>свинина, вода, мясо цыпленка-бройлера механической обвалки, белковый стабилизатор (вода, шкурка свиная), смесь посолочно-нитритная (соль, фиксатор окраски нитрит натрия), регуляторы кислотности: пирофосфаты, трифосфаты, ацетаты натрия, цитраты натрия; стабилизатор полифосфаты, соль, сахара, натуральные пряности, усилитель вкуса и аромата глутамат натрия, ароматизаторы, антиокислители: аскорбат натрия, изоаскорбат натрия</t>
  </si>
  <si>
    <t>ТУ 10.13.14-164-00425283-2023</t>
  </si>
  <si>
    <t>свинина, шпик, животный белок, пищевые волокна (цитрусовые, свекольные, пшеничные), смесь посолочно-нитритная (соль, фиксатор окраски нитрит натрия), регуляторы кислотности: глюконо-дельта-лактон, ацетаты натрия, цитраты натрия, пирофосфаты, трифосфаты; соль, сахара, усилитель вкуса и аромата глутамат натрия, чеснок, грибы белые сушеные, молоко сухое обезжиренное, ароматизаторы, антиокислители: аскорбат натрия, изоаскорбат натрия; красители: кармины, сахарный колер III, красный рисовый</t>
  </si>
  <si>
    <t>280/1160</t>
  </si>
  <si>
    <t>Мясной продукт. Изделие колбасное сыровяленое.</t>
  </si>
  <si>
    <t>свинина, пищевые волокна (цитрусовые, свекольные, пшеничные), смесь посолочно-нитритная (соль, фиксатор окраски нитрит натрия), регуляторы кислотности: глюконо-дельта-лактон, ацетаты натрия, цитраты натрия, пирофосфаты, трифосфаты; соль, сахара, пряности, усилитель вкуса и аромата глутамат натрия, ароматизаторы, лактоза, экстракт дрожжей, антиокислители: аскорбат натрия, изоаскорбат натрия; красители: кармины, сахарный колер III, красный рисовый</t>
  </si>
  <si>
    <t>свинина, шпик, животный белок, пищевые волокна (цитрусовые, свекольные, пшеничные), смесь посолочно-нитритная (соль, фиксатор окраски нитрит натрия), регуляторы кислотности: глюконо-дельта-лактон, ацетаты натрия, цитраты натрия, трифосфаты; сахара, соль, стабилизаторы: пирофосфаты, полифосфаты; специи и экстракты специй, лактоза, усилитель вкуса и аромата глутамат натрия, ароматизаторы, антиокислители: аскорбат натрия, изоаскорбат натрия; красители: кармины, сахарный колер III, красный рисовый</t>
  </si>
  <si>
    <t>294/1217</t>
  </si>
  <si>
    <t>свинина, шпик, животный белок, пищевые волокна (цитрусовые, свекольные, пшеничные), смесь посолочно-нитритная (соль, фиксатор окраски нитрит натрия), регуляторы кислотности: глюконо-дельта-лактон, ацетаты натрия, цитраты натрия, пирофосфаты, трифосфаты; стабилизатор полифосфаты, соль, сахара, специи, соевый белок, загустители: каррагинан из водорослей EUCHEMA, ксантановая камедь; лактоза, усилитель вкуса и аромата глутамат натрия, ароматизаторы, антиокислители: аскорбат натрия, изоаскорбат натрия; красители: кармины, сахарный колер III, красный рисовый</t>
  </si>
  <si>
    <t>НЕАПОЛИТАНСКИЙ ДУЭТ с/к с/н мгс 1/90</t>
  </si>
  <si>
    <t>ИТАЛЬЯНСКОЕ АССОРТИ с/в с/н мгс 1/90</t>
  </si>
  <si>
    <t>ТУ 10.13.14-165-00425283-2023</t>
  </si>
  <si>
    <t>Мясной продукт. Продукт из свинины сыровяленый категории А.</t>
  </si>
  <si>
    <t>МЯСНОЕ АССОРТИ к/з с/н мгс 1/90 10шт.</t>
  </si>
  <si>
    <t>ТУ 10.13.14-163-00425283-2023</t>
  </si>
  <si>
    <t>МЯСНАЯ Папа может вар п/о_Х5</t>
  </si>
  <si>
    <t>БАВАРСКИЕ ПМ сос ц/о мгс 0.35кг 8шт.</t>
  </si>
  <si>
    <t>мясо цыпленка-бройлера механической обвалки, белковый стабилизатор (свиной и говяжий), вода, свинина, сыворотка молочная сухая, крахмал картофельный, смесь посолочно-нитритная (соль, фиксатор окраски нитрит натрия), соль, сахар, регуляторы кислотности: ацетаты и цитраты натрия, пирофосфаты, трифосфаты; загустители: альгинат натрия, каррагинан, гуаровая камедь, карбоксиметилцеллюлоза, Е1422, Е1414; стабилизаторы полифосфаты, антиокислитель аскорбиновая кислота, пряности и экстракты пряностей, чеснок свежий, усилитель вкуса и аромата глутамат натрия,  ароматизаторы, краситель кармины</t>
  </si>
  <si>
    <t>206/853</t>
  </si>
  <si>
    <t>Хлебобулочное изделие. Полуфабрикат высокой степени готовности: блинчики быстрозамороженные.</t>
  </si>
  <si>
    <t>Тесто для блинов: мука пшеничная в/с, вода, молоко сухое обезжиренное, сахар, масло растительное, сухой яичный меланж, соль, разрыхлитель гидрокарбонат натрия. Начинка: свинина, говядина, вода, соевый белок, соль, лук жареный, мука пшеничная, масло растительное, животный белок говяжий, петрушка, укроп, растительная клетчатка, специи, ароматизаторы, усилитель вкуса и аромата глутамат натрия, перец черный.</t>
  </si>
  <si>
    <t>Хлебобулочное изделие. Полуфабрикат высокой степени готовности: блинчики круглые быстрозамороженные.</t>
  </si>
  <si>
    <t>Тесто для блинов: мука пшеничная в/с, вода, масло растительное, сахар, сухой яичный меланж, сыворотка молочная сухая, соль, разрыхлитель гидрокарбонат натрия, регулятор кислотности лимонная кислота. Начинка: свинина, говядина, вода, соевый белок, лук жареный, масло растительное, мука пшеничная, соль, специи, ароматизаторы, усилитель вкуса и аромата глутамат натрия, перец черный.</t>
  </si>
  <si>
    <t>НОГИ СВИНЫЕ упак.зам.</t>
  </si>
  <si>
    <t>МОЛОЧНЫЕ сос ц/о мгс 0.5кг Х5/СТМ Вернер</t>
  </si>
  <si>
    <t>cвинина, вода, говядина, молоко сухое обезжиренное, соль, смесь посолочно-нитритная (соль, фиксатор окраски Е250), сухой яичный меланж, пряности и экстракты пряностей, стабилизаторы: Е450, Е452, регуляторы кислотности: 262, Е330, Е331, усилитель вкуса и аромата Е621, антиокислитель Е300</t>
  </si>
  <si>
    <t>СВИНЫЕ сар б/о мгс 0.5кг Х5/СТМ Вернер</t>
  </si>
  <si>
    <t>РЕБРЫШКИ БАРБЕКЮ кр/к в/у охл_Ашан</t>
  </si>
  <si>
    <t>Тесто для блинов: мука пшеничная в/с, вода, масло растительное, сахар, сухой яичный меланж, сыворотка молочная сухая, соль, разрыхлитель гидрокарбонат натрия, антиокислитель лимонная кислота. Начинка: творог (молоко нормализованное, закваска), вода, сахар, комплексные пищевые добавки (загустители: дикрахмаладипат ацетилированный, дикрахмалфосфат ацетилированный, сыворотка молочная сухая, ароматизаторы); манная крупа, соль, ванилин.</t>
  </si>
  <si>
    <t>Тесто для блинов: мука пшеничная в/с, вода, масло растительное, сахар, соль, комплексная пищевая добавка (разрыхлители: гидрокарбонат натрия, пирофосфаты, глюконо-дельта-лактон; эмульгаторы: Е471, Е481; клетчатка пшеничная, антиокислители: лимонная кислота, пиросульфит натрия, экстракт куркумы). Начинка: груша, сахар, вода, загуститель Е1442, регулятор кислотности лимонная кислота, ароматизаторы.</t>
  </si>
  <si>
    <t>РАГУ СВИНОЕ (в пластах) зам.</t>
  </si>
  <si>
    <t>БАЛЫК И ШЕЙКА с/в с/н мгс 1/90 8шт.</t>
  </si>
  <si>
    <t xml:space="preserve">Кор N 226 ()(0.000) </t>
  </si>
  <si>
    <t>178/739</t>
  </si>
  <si>
    <t>аналог N174 без печати</t>
  </si>
  <si>
    <t>Кор 380х250х180 П32СЕ Останкино №101</t>
  </si>
  <si>
    <t>Кор 380х282х232 П32СЕ Останкино №104</t>
  </si>
  <si>
    <t>Кор 380х185х100 Т24С Останкино №106</t>
  </si>
  <si>
    <t>Кор 380х284х232 Т26С Останкино №109</t>
  </si>
  <si>
    <t>Кор 380х185х150 Т24С Останкино №110</t>
  </si>
  <si>
    <t>Кор 370х148х130 Т23С Останкино №111</t>
  </si>
  <si>
    <t>Кор 380х284х140 Т25С Останкино №113</t>
  </si>
  <si>
    <t>Кор 375х275х175 Т25С Останкино №116</t>
  </si>
  <si>
    <t>Кор 360х230х120 Т24С Останкино №117</t>
  </si>
  <si>
    <t>Кор 560х185х125 Т24С Останкино №118</t>
  </si>
  <si>
    <t>Кор 284х170х170 Т24С Останкино №122</t>
  </si>
  <si>
    <t>Кор 375х148х160 Т23С Останкино №123</t>
  </si>
  <si>
    <t>Кор 284х185х180 Т25С Останкино №125</t>
  </si>
  <si>
    <t>Кор 340х145х100 Т24С Останкино №8</t>
  </si>
  <si>
    <t>Кор-реп 346х148х340 Т24С Останкино №103</t>
  </si>
  <si>
    <t>Кор 210х185х100 Т23С Останкино №139</t>
  </si>
  <si>
    <t>Кор 295х225х92 Останкино №144</t>
  </si>
  <si>
    <t>Кор 370х148х103 Т23С Останкино №146</t>
  </si>
  <si>
    <t>Кор 375х185х125 Т24С Останкино №148</t>
  </si>
  <si>
    <t>Кор-реп 334х121х102 Т23В Останкино №141</t>
  </si>
  <si>
    <t>Кор 330х180х170 Т25С Останкино №152</t>
  </si>
  <si>
    <t>Кор 380х284х140 П32ВС Останкино №160</t>
  </si>
  <si>
    <t>Кор 375х275х175 П32ВС Останкино №161</t>
  </si>
  <si>
    <t>Кор 575х375х148 Т26С Останкино №167</t>
  </si>
  <si>
    <t>Кор 930х170х172 П32ВС б/п №172</t>
  </si>
  <si>
    <t>Кор-ш/б 194х144х224 Т23Е Останкино №174</t>
  </si>
  <si>
    <t>Кор 370х148х140 Т24С Останкино №171</t>
  </si>
  <si>
    <t>Кор 430х290х110 Т25.ЗВ Останкино №169</t>
  </si>
  <si>
    <t>Кор 469х297х130 Т25В Останкино №166</t>
  </si>
  <si>
    <t>Кор 555х205х105 Т25.ЗВ Останкино №175</t>
  </si>
  <si>
    <t>Кор 305х205х157 Останкино №150</t>
  </si>
  <si>
    <t>Кор 270х200х101 Останкино №180</t>
  </si>
  <si>
    <t>Кор 430х370х260 Т24С б/п №181</t>
  </si>
  <si>
    <t>Кор-реп 234х144х154 Т23В Останкино №183</t>
  </si>
  <si>
    <t>Кор-реп 234х144х154 Т23В белый №184</t>
  </si>
  <si>
    <t>Кор-реп 252х134х134 Т23В Останкино №182</t>
  </si>
  <si>
    <t>Кор-реп 234х144х154 Т23В МФ №185</t>
  </si>
  <si>
    <t>Кор 210х185х115 Т24С Останкино №189</t>
  </si>
  <si>
    <t>Кор-реп 252х221х100 Т25В Останкино №191</t>
  </si>
  <si>
    <t>Кор 224х210х130 Т25В Останкино №190</t>
  </si>
  <si>
    <t>Кор 285х145х216 Т24С Останкино №200</t>
  </si>
  <si>
    <t>Кор-реп 285х145х216 Т24С Останкино №202</t>
  </si>
  <si>
    <t>блок 24.01.24</t>
  </si>
  <si>
    <t>короб для ТД Ступино</t>
  </si>
  <si>
    <t>Кор 250х185х115 Т23С Останкино №195</t>
  </si>
  <si>
    <t>Кор 270х185х130 Т23С Останкино №196</t>
  </si>
  <si>
    <t>Кор-реп 285х145х174 Т24С Останкино №201</t>
  </si>
  <si>
    <t>Кор 285х145х174 Т24С Останкино №199</t>
  </si>
  <si>
    <t>Кор 310х135х130 Т23С Останкино №209</t>
  </si>
  <si>
    <t>Кор-ш/б 390х290х150 Т24С Папа может №197</t>
  </si>
  <si>
    <t>Кор 400х282х232 П32СЕ б/п №205</t>
  </si>
  <si>
    <t>Кор-реп 282х234х180 Т24В Вернер №203</t>
  </si>
  <si>
    <t>Кор-ш/б 370х280х130 Т24С Папа может №198</t>
  </si>
  <si>
    <t>Кор-ш/б 310х135х250 Т24С Папа может №207</t>
  </si>
  <si>
    <t>Кор-ш/б 220х190х200 Т24С Останкино №208</t>
  </si>
  <si>
    <t>Кор 194х144х150 Т23В Останкино №210</t>
  </si>
  <si>
    <t>Кор-ш/б 288х150х224 Т23В Папа может №212</t>
  </si>
  <si>
    <t>Кор-ш/б 220х190х150 Т24В белый №214</t>
  </si>
  <si>
    <t>Кор-реп 307х160х180 Т23С Останкино №213</t>
  </si>
  <si>
    <t>Кор 307х160х180 Т23С Останкино №217</t>
  </si>
  <si>
    <t>Кор 307х160х240 Т23С Останкино №218</t>
  </si>
  <si>
    <t>Кор-реп 307х160х240 Т23С Останкино №225</t>
  </si>
  <si>
    <t>вместо короба-реппераунда 307х160х240 №225</t>
  </si>
  <si>
    <t>Кор-реп 300х160х240 Т25В Останкино №228</t>
  </si>
  <si>
    <t>шоу-бокс под Мясникс</t>
  </si>
  <si>
    <t>СЕРВЕЛАТ ФИНСКИЙ в/к в/у 0.6кг 8шт.</t>
  </si>
  <si>
    <t>МОЛОЧНАЯ Коровино(в сетке) вар п/о 0.4кг</t>
  </si>
  <si>
    <t>МЯСНАЯ Папа может вар п/о 0.6кг 6шт.</t>
  </si>
  <si>
    <t>169/702</t>
  </si>
  <si>
    <t>ФИЛЕЙНЫЕ Папа может сос ц/о мгс 1.5*2</t>
  </si>
  <si>
    <t>свинина, говядина, вода, молоко сухое обезжиренное, смесь посолочно-нитритная (соль, фиксатор окраски нитрит натрия), соль, сухой яичный меланж, регуляторы кислотности: пирофосфаты, трифосфаты, ацетаты натрия, цитраты натрия; специи, сахар,  стабилизатор полифосфаты, антиокислитель изоаскорбат натрия, усилитель вкуса и аромата глутамат натрия</t>
  </si>
  <si>
    <t>СЛИВОЧНЫЕ сос ц/о мгс 1*4</t>
  </si>
  <si>
    <t>164/682</t>
  </si>
  <si>
    <t>СЛИВОЧНЫЕ сос ц/о мгс 0.41кг 8шт.</t>
  </si>
  <si>
    <t>РУБЛЕНЫЕ сос ц/о мгс 1*4</t>
  </si>
  <si>
    <t>Кор-ш/б 194х144х224 Т23Е белый б/п №227</t>
  </si>
  <si>
    <t>Кор-ш/б 245х146х230 Т24Е Папа Может №229</t>
  </si>
  <si>
    <t>филе грудок куриных, мясо куриное механической обвалки, свинина, белковый стабилизатор (вода, шкурка свиная), вода, крахмал картофельный, сыворотка молочная сухая, смесь посолочно-нитритная (соль, фиксатор окраски нитрит натрия), соль, регуляторы кислотности: пирофосфаты, ацетаты натрия; стабилизаторы: альгинат натрия, каррагинан из водорослей EUCHEMA, камеди (рожкового дерева, гуаровая); натуральные пряности, сахар, антиокислитель изоаскорбат натрия, усилитель вкуса и аромата глутамат натрия, ароматизаторы, краситель кармины</t>
  </si>
  <si>
    <t>БЛИНЧ.КРУГЛЫЕ С САД.ЯБЛОК.пл.1/300 зам.</t>
  </si>
  <si>
    <t>Тесто для блинов: мука пшеничная в/с, вода, масло растительное, сахар, соль, дрожжи хлебопекарные, эмульгаторы: Е471, Е481; клетчатка пшеничная, антиокислители: лимонная кислота, пиросульфит натрия; экстракт куркумы. Начинка: яблоки, сахар, вода, загуститель Е1442, регулятор кислотности лимонная кислота, ароматизаторы.</t>
  </si>
  <si>
    <t>МОЛОЧНЫЕ Коровино сос п/о мгс 1.5*6_М</t>
  </si>
  <si>
    <t>Z-ВЕТЧ.ИЗ ЛОПАТКИ Папа может п/о_HRC</t>
  </si>
  <si>
    <t>Z-САЛЯМИ ИТАЛЬЯНСКАЯ с/к в/у 1/250</t>
  </si>
  <si>
    <t>аналог 191 для Бекона ПМ 140г</t>
  </si>
  <si>
    <t xml:space="preserve">шоу-бокс СТМ Х5 (МФ) для нарезки колбасы «Пражская». </t>
  </si>
  <si>
    <t>ВЕНСКАЯ САЛЯМИ п/к в/у 0.33кг 8шт.</t>
  </si>
  <si>
    <t>ВЕНСКАЯ САЛЯМИ п/к в/у 0.66кг 8шт.</t>
  </si>
  <si>
    <t>СЕРВЕЛАТ ЕВРОПЕЙСКИЙ в/к в/у 0.33кг 8шт.</t>
  </si>
  <si>
    <t>СЕРВЕЛАТ ЕВРОПЕЙСКИЙ в/к в/у 0.66кг 8шт.</t>
  </si>
  <si>
    <t>СЕРВЕЛАТ КРЕМЛЕВСКИЙ в/к в/у 0.33кг 8шт.</t>
  </si>
  <si>
    <t>313/1294</t>
  </si>
  <si>
    <t>шоу-бокс под Филейные сосиски 330 г</t>
  </si>
  <si>
    <t>177/736</t>
  </si>
  <si>
    <t>по СЗ от Чувакова М. 06.03.24</t>
  </si>
  <si>
    <t>свинина, вода, белковый стабилизатор (шкурка свиная, вода), крахмал картофельный, смесь посолочно-нитритная (соль, фиксатор окраски нитрит натрия), животный белок говяжий, соль, сахар, загустители: дикрахмалфосфат оксипропилированный, каррагинан из водорослей EUCHEMA, ксантановая камедь; соевый белок, регуляторы кислотности: трифосфаты, ацетаты натрия, цитраты натрия; стабилизаторы: пирофосфаты и полифосфаты, усилитель вкуса и аромата глутамат натрия, антиокислитель аскорбат натрия, горчица, ароматизаторы, краситель кармины</t>
  </si>
  <si>
    <t>133/554</t>
  </si>
  <si>
    <t>МОЛОЧНЫЕ ГОСТ сос ц/о мгс 0.4кг 7шт.</t>
  </si>
  <si>
    <t>РУБЛЕНЫЕ сос ц/о мгс 0.36кг 6шт.</t>
  </si>
  <si>
    <t>письмо от Чувакова М. 19.03.24</t>
  </si>
  <si>
    <t>под сосиски</t>
  </si>
  <si>
    <t>ТМ Останкино</t>
  </si>
  <si>
    <t>аналог N239 ТМ Папа может</t>
  </si>
  <si>
    <t>Кор-ш/б 252х221х100 Т23В Останкино №244</t>
  </si>
  <si>
    <t>аналог 191 для Бекона 180г</t>
  </si>
  <si>
    <t>БАЛЫКОВАЯ СТМ Kvalita п/к в/у 0.84кг 6шт</t>
  </si>
  <si>
    <t>свинина нежирная 10%*(окорок), белковый стабилизатор (шкурка свиная, вода), вода, крахмал картофельный, сыворотка молочная сухая, соль, смесь посолочно-нитритная (соль, фиксатор окраски нитрит натрия), регуляторы кислотности: трифосфаты, пирофосфаты, ацетаты натрия, цитраты натрия, лимонная кислота; стабилизатор полифосфаты, экстракты пряностей (перец черный, кардамон), ароматизатор, антиокислители: аскорбат натрия, аскорбиновая кислота; усилитель вкуса и аромата глутамат натрия, горчица, чеснок, сахар, краситель кармины. *Процент обозначает массовую долю соединительной и жировой ткани, используемой в рецептуре свинины</t>
  </si>
  <si>
    <t>АССОРТИ СЫРОКОПЧЕНЫХ КОЛБАС Коровино в/у</t>
  </si>
  <si>
    <t>КУПАТЫ АССОРТИ мгс охл_Х5</t>
  </si>
  <si>
    <t>аналог 109 без печати</t>
  </si>
  <si>
    <t>Кор 380х284х232 Т26С бурый б/п №246</t>
  </si>
  <si>
    <t>свинина, мясо куриное механической обвалки, вода, белковый стабилизатор (вода, шкурка свиная), шпик, крахмал картофельный, смесь посолочно-нитритная (соль, фиксатор окраски нитрит натрия), соль, загустители: альгинат натрия, каррагинан, гуаровая камедь, камедь целлюлозы; регуляторы кислотности: пирофосфаты, цитраты натрия; экстракты пряностей (мацис, перец), лук репчатый сушеный, декстроза, антиокислитель аскорбиновая кислота, усилители вкуса и аромата: глутамат натрия, рибонуклеотиды натрия; краситель кармины</t>
  </si>
  <si>
    <t>свинина, филе грудок куриных, шпик, белковый стабилизатор (шкурка свиная, вода), сыворотка молочная сухая, смесь посолочно-нитритная (соль, фиксатор окраски нитрит натрия), крахмал картофельный, соль, сахар, животный белок говяжий, регуляторы кислотности: пирофосфаты, ацетаты натрия; стабилизатор альгинат натрия, загуститель ксантановая камедь, натуральные специи (горчица, имбирь, мускатный орех, сельдерей), ароматизаторы, антиокислитель изоаскорбат натрия, усилитель вкуса и аромата глутамат натрия, чеснок, краситель кармины</t>
  </si>
  <si>
    <t>ДОМАШНИЙ РЕЦЕПТ ПМ п/к б/о мгс 0.33кг</t>
  </si>
  <si>
    <t>Изделие колбасное полукопченое из мяса кур охлажденное.</t>
  </si>
  <si>
    <t>филе грудок куриных, свинина, мясо цыпленка-бройлера механической обвалки, белковый стабилизатор (шкурка свиная, вода), вода, крахмал картофельный, соль, смесь посолочно-нитритная (соль, фиксатор окраски нитрит натрия), регуляторы кислотности: трифосфаты, цитраты натрия; стабилизатор полифосфаты, ароматизаторы, усилитель вкуса и аромата глутамат натрия,  сахара, чеснок сушеный, антиокислители: аскорбат натрия, лимонная кислота, экстракты розмарина; краситель кармины</t>
  </si>
  <si>
    <t>ФИЛЕЙНЫЕ Папа Может сос ц/о мгс 0.4кг</t>
  </si>
  <si>
    <t>ДОМАШНЯЯ Папа может вар н/о мгс 1*3</t>
  </si>
  <si>
    <t>Кор-ш/б 292х192х130 Т24В Папа Может №231</t>
  </si>
  <si>
    <t>Кор-ш/б 223х137х226 Т24В Останкино №238</t>
  </si>
  <si>
    <t>КУПАТЫ НЮРНБЕРГСКИЕ мгс 0.4кг охл_ФМ/СТМ</t>
  </si>
  <si>
    <t>свинина, вода питьевая, соль, пряности, сахар, регулятор кислотности молочная кислота, усилитель вкуса и аромата глутамат натрия 1-замещенный, загуститель гуаровая камедь, ароматизаторы, сухой уксус, антиокислитель экстракт розмарина</t>
  </si>
  <si>
    <t>КУПАТЫ СОЧНЫЕ мгс 0.4кг охл_ФМ/СТМ</t>
  </si>
  <si>
    <t>свинина (в т.ч. диафрагма), вода питьевая, лук сушеный, соль, растительная клетчатка (содержит глютен), уксус столовый, регуляторы кислотности: трифосфаты, цитраты натрия; натуральные овощи, экстракт дрожжей, пряности и экстракты пряностей, сироп глюкозный, ароматизаторы, усилитель вкуса и аромата глутамат натрия 1-замещенный, антиокислитель экстракты розмарина</t>
  </si>
  <si>
    <t>КОЛБАСКИ ДЛЯ ГРИЛЯ мгс 0.32кг 4шт.охл.</t>
  </si>
  <si>
    <t>свинина, вода, соль, пряности, сахар, регулятор кислотности молочная кислота, усилитель вкуса и аромата глутамат натрия, загуститель гуаровая камедь, ароматизаторы, сухой уксус, антиокислитель экстракт розмарина</t>
  </si>
  <si>
    <t>СВИНЫЕ ГОСТ сар б/о мгс 1*3</t>
  </si>
  <si>
    <t>ВЕТЧ.ФИРМЕННАЯ С ИНДЕЙКОЙ ПМ п/о 1.5*4</t>
  </si>
  <si>
    <t>сос Испанские/С сыром</t>
  </si>
  <si>
    <t>аналог N237 шпикачки Сочные</t>
  </si>
  <si>
    <t>свинина, мясо цыпленка-бройлера механической обвалки, вода, белковый стабилизатор (шкурка свиная, вода), крахмал картофельный, сыворотка сухая молочная, масло растительное, смесь посолочно-нитритная (соль, фиксатор окраски нитрит натрия), соль, стабилизаторы: альгинат натрия, каррагинан из водорослей EUCHEMA, ксантановая камедь, гуаровая камедь, камедь целлюлозы, полифосфаты; регуляторы кислотности: пирофосфаты, трифосфаты, ацетаты натрия, цитраты натрия; сахара, животный белок говяжий, специи и экстракты специй, усилитель вкуса и аромата глутамат натрия, антиокислитель аскорбиновая кислота, ароматизаторы, краситель кармины</t>
  </si>
  <si>
    <t>свинина, мясо цыпленка-бройлера механической обвалки, говядина, вода, белковый стабилизатор (шкурка свиная, вода), сыворотка сухая молочная, молоко сухое обезжиренное, масло растительное, смесь посолочно-нитритная (соль, фиксатор окраски нитрит натрия), соль, сливки сухие, регуляторы кислотности: пирофосфаты, ацетаты натрия; стабилизаторы: альгинат натрия, каррагинан из водорослей EUCHEMA, гуаровая камедь; натуральные пряности, антиокислитель изоаскорбат натрия, усилитель вкуса и аромата глутамат натрия, сахар, краситель кармины</t>
  </si>
  <si>
    <t>БЕЗ ШПИКА Папа может вар п/о (катБ)</t>
  </si>
  <si>
    <t>ОСТАНКИНСКИЕ пельм пл. 0.9кг зам_NEW</t>
  </si>
  <si>
    <t>ОСТАНКИНСКИЕ пельм кор.0.5кг зам_NEW</t>
  </si>
  <si>
    <t>свинина (в т.ч.диафрагма), вода, животный белок говяжий, соль, сухой уксус, регуляторы кислотности: цитраты натрия, трифосфаты; стабилизатор полифосфаты, пряности, сахар, горчица, усилитель вкуса и аромата глутамат натрия, антиокислители: аскорбиновая кислота,  экстракт розмарина; ароматизаторы</t>
  </si>
  <si>
    <t>Кор-реп 252х221х100 Т25В Папа может №219</t>
  </si>
  <si>
    <t>МОЛОЧНАЯ Папа может вар п/о_Ашан</t>
  </si>
  <si>
    <t>Кор-ш/б 310х105х234 Т24В Папа Может №242</t>
  </si>
  <si>
    <t>Кор-ш/б 310х105х234 Т24В Останкино №237</t>
  </si>
  <si>
    <t>233/964</t>
  </si>
  <si>
    <t>ОКОРОК КОПЧЕНЫЙ к/в мл/к в/у 0.3кг_СНГ</t>
  </si>
  <si>
    <t>ОКОРОК КОПЧЕНЫЙ к/в мл/к в/у 300*6</t>
  </si>
  <si>
    <t>ШЕЙКА КОПЧЕНАЯ ПМ к/в кр/к в/у</t>
  </si>
  <si>
    <t>ШЕЙКА КОПЧЕНАЯ ПМ к/в кр/к в/у_Ашан</t>
  </si>
  <si>
    <t>ДЫМОВИЦА ИЗ ОКОРОКА к/в мл/к в/у 0.3кг</t>
  </si>
  <si>
    <t>ДЫМОВИЦА ИЗ ЛОПАТКИ ПМ к/в с/н в/у 1/150</t>
  </si>
  <si>
    <t>ДЫМОВИЦА ИЗ ЛОПАТКИ ПМ к/в кр/к в/у</t>
  </si>
  <si>
    <t>166/688</t>
  </si>
  <si>
    <t>КЛАССИЧЕСКАЯ Коровино вар п/о(обвязка)</t>
  </si>
  <si>
    <t>мясо куриное механической обвалки, белковый стабилизатор (свиная шкурка, вода), свинина, вода, крахмал картофельный, соль, посолочно-нитритная смесь (соль, фиксатор окраски нитрит натрия), стабилизаторы: альгинат натрия, каррагинан из водорослей EUCHEMA, камедь гуаровая, растительная клетчатка, регуляторы кислотности: пирофосфаты, ацетаты натрия; натуральные пряности, сахар, усилитель вкуса и аромата Е621, антиокислитель изоаскорбат натрия, ароматизаторы, краситель кармины</t>
  </si>
  <si>
    <t>Изделие колбасное вареное из мяса кур охлажденное высшего сорта.</t>
  </si>
  <si>
    <t>СЛИВОЧНАЯ Коровино вар п/о</t>
  </si>
  <si>
    <t>мясо куриное механической обвалки, вода, филе грудок куриных, белковый стабилизатор (вода, кожа куриная, шкурка свиная), свинина, крахмал картофельный, сыворотка молочная сухая, смесь посолочно-нитритная (соль, фиксатор окраски нитрит натрия), молоко сухое, регуляторы кислотности: пирофосфаты, трифосфаты, ацетаты натрия, цитраты натрия, глюконо-дельта-лактон; стабилизаторы: полифосфаты, гуаровая камедь, ксантановая камедь; загуститель альгинат натрия, натуральные специи, ароматизаторы, антиокислитель изоаскорбат натрия, усилитель вкуса и аромата глутамат натрия, сахар, сливки сухие, соль, горчица, краситель кармины</t>
  </si>
  <si>
    <t>филе грудок куриных, мясо куриное механической обвалки, вода, свинина, белковый стабилизатор (вода, шкурка свиная, кожа куриная), шпик, сыворотка молочная сухая, крахмал картофельный, смесь посолочно-нитритная (соль, фиксатор окраски нитрит натрия), регуляторы кислотности: пирофосфаты, ацетаты натрия; стабилизаторы: альгинат натрия, каррагинан, камеди (гуаровая, ксантановая); натуральные пряности и экстракты пряностей (в т.ч. горчичное семя, сельдерей), ароматизаторы, антиокислитель изоаскорбат натрия, усилитель вкуса и аромата глутамат натрия, растительное масло, соль, чеснок, краситель кармины</t>
  </si>
  <si>
    <t>СО ШПИКОМ И ЧЕСНОКОМ Коровино п/о</t>
  </si>
  <si>
    <t>мясо куриное механической обвалки, белковый стабилизатор (вода, шкурка свиная, кожа куриная), вода, свинина, крахмал картофельный, сыворотка молочная сухая, смесь посолочно-нитритная (соль, фиксатор окраски нитрит натрия), пищевые волокна, соль, регуляторы кислотности: пирофосфаты, ацетаты натрия, глюконо-дельта-лактон; стабилизаторы: альгинат натрия, гуаровая и ксантановая камеди; сахара, молоко сухое обезжиренное, экстракты пряностей (в т.ч. горчица), загуститель конжаковая камедь, усилитель вкуса и аромата глутамат натрия, антиокислитель изоаскорбат натрия, ароматизаторы, краситель кармины</t>
  </si>
  <si>
    <t>ДОМАШНИЙ РЕЦЕПТ Коровино вар п/о</t>
  </si>
  <si>
    <t>ДОМАШНИЙ РЕЦЕПТ Коровино 0.5кг 8шт.</t>
  </si>
  <si>
    <t>ДОМАШНИЙ РЕЦЕПТ СО ШПИК.Коровино вар п/о</t>
  </si>
  <si>
    <t>ДОМАШНИЙ РЕЦЕПТ СО ШПИКОМ Коровино 0.5кг</t>
  </si>
  <si>
    <t>мясо куриное механической обвалки, белковый стабилизатор (вода, шкурка свиная, кожа куриная), вода, шпик, свинина, крахмал картофельный, сыворотка молочная сухая, смесь посолочно-нитритная (соль, фиксатор окраски нитрит натрия), регуляторы кислотности: пирофосфаты, трифосфаты, ацетаты натрия, цитраты натрия, глюконо-дельта-лактон; стабилизатор альгинат натрия, экстракты пряностей, ароматизаторы, антиокислитель изоаскорбат натрия, усилитель вкуса и аромата глутамат натрия, горчица, чеснок, соль, сахар, красители: кармины, диоксид титана</t>
  </si>
  <si>
    <t>мясо куриное механической обвалки, вода, свинина, филе грудок куриных, белковый стабилизатор (вода, шкурка свиная, кожа куриная), крахмал картофельный, сыворотка молочная сухая, молоко сухое обезжиренное, смесь посолочно-нитритная (соль, фиксатор окраски нитрит натрия), регуляторы кислотности: пирофосфаты, цитраты натрия, глюконо-дельта-лактон; стабилизаторы: полифосфаты, альгинат натрия, камеди (гуаровая, конжаковая, ксантановая), специи и экстракты специй, сахара, соль, горчица, ароматизаторы, усилитель вкуса и аромата глутамат натрия, антиокислитель изоаскорбат натрия, краситель кармины</t>
  </si>
  <si>
    <t>174/722</t>
  </si>
  <si>
    <t>филе грудок куриных, мясо куриное механической обвалки, вода, свинина, белковый стабилизатор (вода, кожа куриная, шкурка свиная), шпик, сыворотка молочная сухая, крахмал картофельный, смесь посолочно-нитритная (соль, фиксатор окраски нитрит натрия), соль, регуляторы кислотности: пирофосфаты, цитраты натрия, глюконо-дельта-лактон; стабилизатор альгинат натрия, натуральные пряности и экстракты пряностей (в т.ч. горчица, сельдерей), чеснок свежий, сахара, ароматизаторы, антиокислитель изоаскорбат натрия, усилитель вкуса и аромата глутамат натрия, краситель кармины</t>
  </si>
  <si>
    <t>ВЕТЧ.НЕЖНАЯ Коровино п/о_Маяк</t>
  </si>
  <si>
    <t>ВЕТЧ.ДОМАШНИЙ РЕЦЕПТ Коровино п/о</t>
  </si>
  <si>
    <t>Полуфабрикат в тесте с мясной начинкой замороженный категории Б.</t>
  </si>
  <si>
    <t>мясо куриное механической обвалки, свинина (в т.ч. бекон), вода, белковый стабилизатор (вода, шкурка свиная), крахмал картофельный, смесь посолочно-нитритная (соль, фиксатор окраски нитрит натрия), соль, регуляторы кислотности: пирофосфаты, цитраты натрия; стабилизатор полифосфаты, загустители: альгинат натрия, каррагинан, гуаровая камедь; чеснок свежий, сахара, пряности и экстракты пряностей, ароматизаторы, антиокислитель аскорбиновая кислота, усилитель вкуса и аромата глутамат натрия, краситель кармины</t>
  </si>
  <si>
    <t>КОЛБАСКИ ДЛЯ ЖАРКИ мгс 0.4кг 4шт.охл.</t>
  </si>
  <si>
    <t>КОРЕЙКА ФИРМЕННАЯ ПМ к/в мл/к в/у 0.3кг</t>
  </si>
  <si>
    <t>154/642</t>
  </si>
  <si>
    <t>ТУ 10.13.14-172-00425283-2024</t>
  </si>
  <si>
    <t>90-105</t>
  </si>
  <si>
    <t>70-90</t>
  </si>
  <si>
    <t>30-45</t>
  </si>
  <si>
    <t>сос Рубленые 360г</t>
  </si>
  <si>
    <t>сос Сливочные 0.41/Молочные 0.4</t>
  </si>
  <si>
    <t>варенка 0.5</t>
  </si>
  <si>
    <t xml:space="preserve">варенка 0.4 </t>
  </si>
  <si>
    <t>аналог 234 ТМ Останкино</t>
  </si>
  <si>
    <t>варенка 0.3</t>
  </si>
  <si>
    <t>Докторская гост срез 0.4</t>
  </si>
  <si>
    <t>Кор-ш/б 310х145х150 Т26В Останкино №245</t>
  </si>
  <si>
    <t>ОМПК(С)
ОМПК(Г)
ОМПК(К)
МПЗ Лыткаринский</t>
  </si>
  <si>
    <t>Кор-ш/б 392х153х165 Т26В Папа Может №243</t>
  </si>
  <si>
    <t>Кор-ш/б 392х153х165 Т26В Останкино №239</t>
  </si>
  <si>
    <t>Z-ВЕТЧ.НЕЖНАЯ Коровино п/о</t>
  </si>
  <si>
    <t>173/719</t>
  </si>
  <si>
    <t>МОЛОЧНАЯ Папа может вар п/о 0.4кг 8шт.</t>
  </si>
  <si>
    <t>ФИЛЕЙНАЯ Папа может вар п/о_А</t>
  </si>
  <si>
    <t>Изделие колбасное вареное из мяса кур охлажденное 1 сорта.</t>
  </si>
  <si>
    <t>Кор-ш/б 220х190х150 Т24В Вернер №248</t>
  </si>
  <si>
    <t>СЕРВЕЛАТ ЗЕРНИСТЫЙ Папа может в/к в/у_О</t>
  </si>
  <si>
    <t>шоу-бокс для сосисок Детские 8шт.</t>
  </si>
  <si>
    <t>КОЛБ.СНЭКИ Папа может в/к мгс 1/200</t>
  </si>
  <si>
    <t>ТУ 10.13.14-167-00425283-2024</t>
  </si>
  <si>
    <t>191/793</t>
  </si>
  <si>
    <t>ТУ 10.13.14-169-00425283-2024</t>
  </si>
  <si>
    <t>филе грудок куриных, мясо куриное механической обвалки, белковый стабилизатор (куриный), говядина, вода, крахмал картофельный, смесь посолочно-нитритная (соль, фиксатор окраски нитрит натрия), соль, регуляторы кислотности: пирофосфаты, ацетаты натрия; стабилизаторы: альгинат натрия, каррагинан, камедь (рожкового дерева, гуаровая); пряности, ароматизаторы, антиокислитель изоаскорбат натрия, усилитель вкуса и аромата глутамат натрия, сахар, краситель кармины</t>
  </si>
  <si>
    <t>Кор 285х145х174 Т24С бурый б/п №250</t>
  </si>
  <si>
    <t>Кор-ш/б 250х153х165 Т25В Останкино №249</t>
  </si>
  <si>
    <t>Кор-ш/б 300х160х190 Т25В Папа Может №241</t>
  </si>
  <si>
    <t>Кор-реп 300х160х190 Т25В Папа Может №240</t>
  </si>
  <si>
    <t>Кор-реп 300х160х240 Т25В Папа Может №235</t>
  </si>
  <si>
    <t>Кор-ш/б 300х160х240 Т25В Папа Может №236</t>
  </si>
  <si>
    <t>Z-СЕРВЕЛАТ ШВЕЙЦАРСКИЙ в/к (для нарезки)</t>
  </si>
  <si>
    <t>свинина, шпик, белковый стабилизатор (шкурка свиная, вода), вода, смесь посолочно-нитритная (соль, фиксатор окраски нитрит натрия), соль, растительные волокна, регуляторы кислотности: пирофосфаты, цитраты натрия; пряности и экстракты пряностей (чеснок, перец чили), сахара, ароматизаторы, антиокислители: изоаскорбат натрия, экстракты розмарина; усилитель вкуса и аромата глутамат натрия, краситель кармины</t>
  </si>
  <si>
    <t>под сосиски Молочные ГОСТ 300г СТМ</t>
  </si>
  <si>
    <t>200/830</t>
  </si>
  <si>
    <t>231/958</t>
  </si>
  <si>
    <t>ШЕЙКА КОПЧЕНАЯ ПМ к/в кр/к в/у_М</t>
  </si>
  <si>
    <t>ТУ 10.13.14-171-00425283-2024</t>
  </si>
  <si>
    <t>Полуфабрикаты зам</t>
  </si>
  <si>
    <t>Мясо охл</t>
  </si>
  <si>
    <t>Кор-реп 234х190х110 Т24Е Останкино №221</t>
  </si>
  <si>
    <t>КАРБОНАД ДОМАШНИЙ ПМ к/в мл/к в/у 0.3кг</t>
  </si>
  <si>
    <t>ТУ 10.13.14-166-00425283-2024</t>
  </si>
  <si>
    <t>КАРБОНAД ДОМАШНИЙ ПМ к/в кр/к в/у</t>
  </si>
  <si>
    <t>КАРБОНAД ДОМАШНИЙ ПМ к/в кр/к в/у_СНГ</t>
  </si>
  <si>
    <t>ДЫМОВИЦА ИЗ ЛОПАТКИ ПМ к/в кр/к в/у_М</t>
  </si>
  <si>
    <t>КАРБОНAД ДОМАШНИЙ ПМ к/в кр/к в/у_Глобус</t>
  </si>
  <si>
    <t>Кор-реп 234х190х110 Т24Е Папа может №224</t>
  </si>
  <si>
    <t>свинина, шпик, белковый стабилизатор (шкурка свиная, вода), вода, сыворотка молочная сухая, крахмал картофельный, посолочно-нитритная смесь (соль, фиксатор окраски нитрит натрия), соль, регуляторы кислотности: пирофосфаты, цитраты натрия, глюконо-дельта-лактон; белок животный говяжий, загуститель каррагинан, сахара, специи и экстракты специй (перец черный, мацис, кардамон, тмин, имбирь молотый, горчица), усилитель вкуса и аромата глутамат натрия, ароматизаторы, антиокислитель аскорбиновая кислота, краситель кармины</t>
  </si>
  <si>
    <t>свинина, шпик, белковый стабилизатор (шкурка свиная, вода), вода, сыворотка молочная сухая, крахмал картофельный, посолочно-нитритная смесь (соль, фиксатор окраски нитрит натрия), соль, регуляторы кислотности: пирофосфаты, цитраты натрия; стабилизатор полифосфат натрия, белок животный говяжий, сахара, специи (горчица, имбирь, черный перец, мускатный орех, чили, тмин), усилитель вкуса и аромата глутамат натрия, ароматизаторы, антиокислитель изоаскорбат натрия, краситель кармины</t>
  </si>
  <si>
    <t>Кор-ш/б 265х155х150 Т27В Останкино №247</t>
  </si>
  <si>
    <t>ВЫРЕЗКА СВ.кр/к в/у (1*2) охл_Х5/СТМ ХК</t>
  </si>
  <si>
    <t>РЕБРЫШКИ СВИНЫЕ мгс охл_Х5/СТМ ХК</t>
  </si>
  <si>
    <t>ШЕЙКА СВИНАЯ кр/к в/у охл_Х5/СТМ ХК</t>
  </si>
  <si>
    <t>ЭСКАЛОП СВИНОЙ мгс 0.4кг охл_Х5/СТМ ХК</t>
  </si>
  <si>
    <t>Без ТМ</t>
  </si>
  <si>
    <t>ВЕТЧ.КЛАССИЧЕСКАЯ в/у 0.6кг 8шт.</t>
  </si>
  <si>
    <t>САЛЯМИ Папа может с/к в/у 1/250 8шт.</t>
  </si>
  <si>
    <t>289/1197</t>
  </si>
  <si>
    <t>ТУ 10.13.14-170-00425283-2024</t>
  </si>
  <si>
    <t>СЫТНЫЕ ПМ пельм пл.0.7кг 10шт.зам.</t>
  </si>
  <si>
    <t>Полуфабрикат из мяса кур рубленый в тестовой оболочке замороженный.</t>
  </si>
  <si>
    <t>Фарш: мясо куриное механической обвалки, мука соевая, белковые стабилизаторы говяжий и свиной, лук свежий, соль, регуляторы кислотности: цитраты натрия, гидрокарбонат натрия; белок яичный, экстракт дрожжей, пряности и экстракты пряностей (горчица, перец черный, перец чили, чеснок), сахара, усилитель вкуса и аромата Е621, антиокислители: аскорбиновая кислота, экстракты розмарина, лимонная кислота; ароматизаторы (в т.ч.сливки). Тесто: мука пшеничная в/с, вода, сухой яичный меланж, соль, эмульгаторы: фосфаты натрия, пирофосфаты, полифосфаты; антиокислители: лимонная кислота, аскорбиновая кислота.</t>
  </si>
  <si>
    <t>255/1075</t>
  </si>
  <si>
    <t>ФАРШ ИЗ СВИНИНЫ СМОЛЕНСКИЙ мгс 0.3кг охл</t>
  </si>
  <si>
    <t>свинина (в т.ч.диафрагма), вода, белок животный говяжий, регуляторы кислотности: трифосфаты, цитраты натрия, ацетаты натрия; антиокислители: аскорбиновая кислота, экстракты розмарина</t>
  </si>
  <si>
    <t>224/927</t>
  </si>
  <si>
    <t>Z-МИЛАНО с/к в/у (для нарезки)</t>
  </si>
  <si>
    <t>Z-ТОСКАНО с/к в/у (для нарезки)</t>
  </si>
  <si>
    <t>Z-БАЛЫК с/в в/у (для нарезки)</t>
  </si>
  <si>
    <t>Z-ШЕЙКА с/в в/у (для нарезки)</t>
  </si>
  <si>
    <t>СЕРВЕЛАТ КРЕМЛЕВСКИЙ в/к в/у 0.84кг</t>
  </si>
  <si>
    <t>БАСТУРМА сыровяленая в/с в/у_Л</t>
  </si>
  <si>
    <t>ТУ 10.86.10-157-00425283-2022</t>
  </si>
  <si>
    <t>Мясной продукт. Изделие колбасное вареное для питания детей старше трех лет.</t>
  </si>
  <si>
    <t>246/1018</t>
  </si>
  <si>
    <t>СОЧНЫЙ ГРИЛЬ ПМ сос п/о мгс 1.5*4</t>
  </si>
  <si>
    <t>СОЧНЫЙ ГРИЛЬ ПМ сос п/о мгс 1.5*4_А</t>
  </si>
  <si>
    <t>АРОМАТНАЯ с/к в/у_А</t>
  </si>
  <si>
    <t>КЛАССИЧЕСКАЯ Коровино вар п/о(обвязка)_М</t>
  </si>
  <si>
    <t>свинина, вода, говядина, белковый стабилизатор (шкурка свиная, вода), молоко сухое обезжиренное, соль, смесь посолочно-нитритная (соль, фиксатор окраски нитрит натрия), стабилизатор цитраты натрия, сахар, экстракты специй (душистый перец, мускатный орех)</t>
  </si>
  <si>
    <t>БАСТУРМА сыровяленая в/с в/у_Г</t>
  </si>
  <si>
    <t>МОЛОЧНЫЕ ГОСТ ПМ сос п/о мгс 0.3кг_55с</t>
  </si>
  <si>
    <t>свинина, мясо куриное механической обвалки, вода, крахмал картофельный, сыворотка молочная сухая, смесь посолочно-нитритная (соль, фиксатор окраски нитрит натрия), соль, сахар, сливки сухие, загустители: альгинат натрия, каррагинан, гуаровая камедь, дикрахмаладипат ацетилированный, дикрахмалфосфат ацетилированный, карбоксиметилцеллюлоза; уплотнитель сульфат кальция, регуляторы кислотности: пирофосфаты, трифосфаты, ацетаты натрия, цитраты натрия; антиокислитель изоаскорбат натрия, усилители вкуса и аромата: глутамат натрия, гуанилат натрия; экстракты пряностей, ароматизаторы, краситель кармины</t>
  </si>
  <si>
    <t>Кор-ш/б 194х106х240 Т24Е Останкино №253</t>
  </si>
  <si>
    <t>Кор-ш/б 194х106х240 Т24Е Папа может №254</t>
  </si>
  <si>
    <t>СУПЕР СЫТНЫЕ ПМ сос п/о мгс 0.6кг 8шт.</t>
  </si>
  <si>
    <t>свинина, филе грудок куриных, шпик, белковый стабилизатор (шкурка свиная, вода), вода, сыворотка сухая молочная, соль, смесь посолочно-нитритная (соль, фиксатор окраски нитрит натрия), животный белок говяжий, регуляторы кислотности: пирофосфаты, цитраты натрия; стабилизатор альгинат натрия, специи (горчица, имбирь, черный перец, мускатный орех), ароматизаторы, антиокислители: лимонная кислота, изоаскорбат натрия; усилитель вкуса и аромата глутамат натрия, краситель кармины</t>
  </si>
  <si>
    <t>свинина, шпик, филе грудок куриных, говядина, соевый белок, смесь посолочно-нитритная (соль, фиксатор окраски нитрит натрия), соль, молочный белок, регулятор кислотности пирофосфаты, растительная клетчатка (в т.ч. пшеничная), пряности и экстракты пряностей (кориандр, паприка, перец черный, перец чили), сахар, ароматизаторы, антиокислитель изоаскорбат натрия, усилитель вкуса и аромата глутамат натрия, красители: кармины, красный рисовый; стартовая культура</t>
  </si>
  <si>
    <t>БУРГУНДИЯ Папа может с/к в/у 0.5кг 8шт.</t>
  </si>
  <si>
    <t>БУРГУНДИЯ Папа может с/к в/у 1/250 8шт.</t>
  </si>
  <si>
    <t>ДОКТОРСКАЯ ОРИГИНАЛЬНАЯ вар ц/о в/у_45с</t>
  </si>
  <si>
    <t>РУССКАЯ ОРИГИНАЛЬНАЯ вар ц/о в/у_45с</t>
  </si>
  <si>
    <t>ТУ 10.13.14-173-00425283-2024</t>
  </si>
  <si>
    <t>СЕРВЕЛАТ КАРЕЛЬСКИЙ ПМ в/к в/у 0.35кг</t>
  </si>
  <si>
    <t>257/1066</t>
  </si>
  <si>
    <t>САЛЯМИ Папа может п/к в/у</t>
  </si>
  <si>
    <t>ПРАЖСКАЯ с/к с/н в/у 1/100*10_Х5/СТМ МФ</t>
  </si>
  <si>
    <t>свинина, шпик, вода, соевый белок, жир говяжий, смесь посолочно-нитритная (соль, фиксатор окраски нитрит натрия), молочный белок, растительная клетчатка (в т.ч. пшеничная), регулятор кислотности пирофосфаты, специи и экстракты специй, соль, сахара, усилители вкуса и аромата: Е621, Е631; антиокислители: изоаскорбат натрия, аскорбат натрия, аскорбиновая кислота; ароматизатор, красители: кармины, красный рисовый; стартовая культура</t>
  </si>
  <si>
    <t>БЕКОН Папа может с/к с/н в/у 1/215 8шт.</t>
  </si>
  <si>
    <t>Кор-ш/б 194х144х150 Т24Е Мясная ферма №230</t>
  </si>
  <si>
    <t xml:space="preserve">Кор-ш/б 220х190х150 Т24В Вернер №256 </t>
  </si>
  <si>
    <t>НЕАПОЛИТАНСКИЙ ДУЭТ с/к с/н мгс 1/180</t>
  </si>
  <si>
    <t>КЛАССИЧЕСКАЯ Папа может вар п/о 1кг 4шт.</t>
  </si>
  <si>
    <t>КОЛБАСКИ ПО-ФИНСКИ мгс 0.29кг 4шт.охл.</t>
  </si>
  <si>
    <t>свинина (в т.ч.диафрагма), вода, животный белок говяжий, соль, сухой уксус, регуляторы кислотности: цитраты натрия, трифосфаты; стабилизатор полифосфаты, пряности (в т.ч. петрушка), сахара, горчица, усилитель вкуса и аромата глутамат натрия, антиокислители: аскорбиновая кислота, экстракты розмарина; ароматизаторы, маринад: лук маринованный (вода, соль), сахар, усилитель вкуса и аромата Е621, экстракт дрожжей, пряности (орегано, перец красный чили, куркума), чеснок сушеный, загустители: Е1414, Е415; овощи сушеные, экстракт чеснока, соль, цедра лимона сушеная, регулятор кислотности Е330, экстракт сельдерея, масло растительное (оливковое)</t>
  </si>
  <si>
    <t>для Мондини</t>
  </si>
  <si>
    <t xml:space="preserve">Кор-ш/б 370х178х151 Т25Е Останкино №257 </t>
  </si>
  <si>
    <t>шоу-бокс для Чижика сардельки Свиные Вернер</t>
  </si>
  <si>
    <t>Кор-реп 252х134х170 Т24Е Останкино №252</t>
  </si>
  <si>
    <t>под Бекон с/к 180 г</t>
  </si>
  <si>
    <t>Z-САЛЯМИ МЕЛКОЗЕРН.с/к в/у (для нарезки)</t>
  </si>
  <si>
    <t>Z-ЭКСТРА Папа может с/к в/у(для нарезки)</t>
  </si>
  <si>
    <t>Z-САН-РЕМО/ТОЛЕДО с/в в/у (для нарезки)</t>
  </si>
  <si>
    <t>Z-ПАЛЕРМО/КАПРИ с/в в/у (для нарезки)</t>
  </si>
  <si>
    <t>Кор-реп 234х144х154 Т23В Папа может №223</t>
  </si>
  <si>
    <t>КЛАССИЧЕСКИЕ Папа может сар б/о мгс 1*3</t>
  </si>
  <si>
    <t>130/540</t>
  </si>
  <si>
    <t>Мясной продукт категории А. Изделие колбасное сырокопченое</t>
  </si>
  <si>
    <t>говядина, шпик, свинина, соль, смесь посолочно-нитритная (соль, фиксатор окраски нитрит натрия), сахар, пряности (перец черный молотый, кардамон молотый), стартовая культура</t>
  </si>
  <si>
    <t>РУБЛЕНЫЕ сос ц/о мгс 0.72кг 4шт.</t>
  </si>
  <si>
    <t>ТУ 10.13.14-174-00425283-2024</t>
  </si>
  <si>
    <t>свинина, вода, регуляторы кислотности: пирофосфаты, цитраты натрия, карбонаты натрия; загустители: дикрахмалфосфат ацетилированный, ксантановая камедь, каррагинан; стабилизатор полифосфаты; овощи сушеные (чеснок, паприка), экстракт дрожжей, сахар, мальтодекстрин, вишня сушеная, соль, специи и экстракты специй (перец красный, перец душистый, гвоздика, паприка), экстракт свеклы, порошок лимона, ароматизатор</t>
  </si>
  <si>
    <t>ЯЗЫК СВИНОЙ (в блоках) зам.</t>
  </si>
  <si>
    <t>Тесто для блинов: мука пшеничная в/с, вода, масло растительное, сахар, сухой яичный меланж, сыворотка молочная сухая, соль, разрыхлитель гидрокарбонат натрия, антиокислитель лимонная кислота. Начинка: ветчина (свинина, вода, белковый стабилизатор (шкурка свиная, вода), крахмал картофельный, смесь посолочно-нитритная (соль, фиксатор окраски нитрит натрия), животный белок говяжий, соль, сахар, загустители: дикрахмалфосфат оксипропилированный, каррагинан из водорослей EUCHEMA, ксантановая камедь; соевый белок, регуляторы кислотности: трифосфаты, ацетаты натрия, цитраты натрия; стабилизаторы: пирофосфаты и полифосфаты, усилитель вкуса и аромата глутамат натрия, антиокислитель аскорбат натрия, горчица, ароматизаторы, краситель кармины), вода, сыр (вода, сыр, масло сливочное, молоко сухое обезжиренное, крахмал кукурузный, сухая молочная сыворотка, регулятор кислотности трифосфат, стабилизатор пирофосфат, соль, эмульгатор цитраты калия, регулятор кислотности лимонная кислота, консервант сорбат калия), стабилизатор дикрахмалфосфат ацетилированный, молочный белок, загуститель ксантановая камедь, перец черный молотый, ароматизатор, краситель каротины.</t>
  </si>
  <si>
    <t>свинина, шпик, соевый белок, смесь посолочно-нитритная (соль, фиксатор окраски нитрит натрия), соль, молочный белок, регулятор кислотности глюконо-дельта-лактон, растительная клетчатка (в т.ч. пшеничная), пряности, сахар, ароматизаторы, антиокислитель изоаскорбат натрия, усилитель вкуса и аромата глутамат натрия, красители: кармины, красный рисовый; стартовая культура</t>
  </si>
  <si>
    <t>ОМПК(Г)
ОМПК(О)</t>
  </si>
  <si>
    <t>Кор-реп 239х149х242 Т24В Вернер №251</t>
  </si>
  <si>
    <t>под Карбонад Вернер 150г</t>
  </si>
  <si>
    <t>Кор-реп 239х149х242 Т24В Вернер №259</t>
  </si>
  <si>
    <t>под Балык Вернер 150г</t>
  </si>
  <si>
    <t>Кор-реп 234х144х124 Т23Е Останкино №260</t>
  </si>
  <si>
    <t>Короб-репераунд 234х190х130 Т24Е Останкино №261</t>
  </si>
  <si>
    <t>Короб-шоубокс 210х150х100 Т26Е Останкино №258</t>
  </si>
  <si>
    <t>СЛИВОЧНЫЕ Коровино сос п/о мгс 0.8кг</t>
  </si>
  <si>
    <t>С ИНДЕЙКОЙ ПМ сос ц/о в/у 1/270 8шт.</t>
  </si>
  <si>
    <t>САЛЯМИ ИТАЛЬЯНСКАЯ с/к в/у 1/250 8шт_СНГ</t>
  </si>
  <si>
    <t>говядина, жир-сырец говяжий, смесь посолочно-нитритная (соль, фиксатор окраски нитрит натрия), соль, сахар, чеснок сушеный, пряности (перец белый и душистый молотые), антиокислитель аскорбат натрия, стартовая культура</t>
  </si>
  <si>
    <t>ГРУДИНКА ФИРМЕННАЯ ПМ к/в мл/к 0.3кг</t>
  </si>
  <si>
    <t>Полуфабрикат замороженый в тесте.</t>
  </si>
  <si>
    <t>С КАРТОФ.И ГРИБ.вареники пл.0.42кг зам.</t>
  </si>
  <si>
    <t>Тесто: мука пшеничная в/с, вода, соевый белок, соль, стабилизаторы: фосфаты натрия, пирофосфаты, полифосфаты; антиокислители: лимонная кислота, аскорбиновая кислота. Начинка: картофельное пюре (картофель отварной, картофельные хлопья, вода), грибы (шампиньоны сушеные), масло растительное, лук жареный, соль, регулятор кислотности цитраты натрия, усилитель вкуса и аромата Е621, экстракт черного перца, ароматизаторы (в т.ч. сливочного масла), консервант сорбат калия.</t>
  </si>
  <si>
    <t>226/958</t>
  </si>
  <si>
    <t>свинина, соль, мальтодекстрин, экстракт дрожжей, экстракты пряностей, овощи сушеные, регуляторы кислотности: молочная кислота, лактат кальция; загустители: дикрахмаладипат ацетилированный, гуаровая камедь; ароматизаторы</t>
  </si>
  <si>
    <t>СВИНИНА ПРАЗДНИЧНАЯ мгс охл_А</t>
  </si>
  <si>
    <t>ВЫРЕЗКА СВИНАЯ кр/к в/у (1*2) охл_Л</t>
  </si>
  <si>
    <t>ВЫРЕЗКА СВИНАЯ крк в/у (1*2) охл_Л</t>
  </si>
  <si>
    <t>мясникс</t>
  </si>
  <si>
    <t>КОРЕЙКА ПО-ДОМАШНЕМУ к/в мл/к в/у 0.3кг</t>
  </si>
  <si>
    <t>ТУ 10.13.14-129-00425283-2014</t>
  </si>
  <si>
    <t>свинина, вода, соль, пряности и специи молотые (можжевельник, паприка, гвоздика), брусника, чеснок, сахар, регуляторы кислотности: пирофосфаты, цитраты натрия, карбонаты натрия, лимонная кислота; усилитель вкуса и аромата Е621, дрожжевой экстракт, загустители: дикрахмаладипат ацетилированный, ксантановая камедь, каррагинан; стабилизатор полифосфаты, уксус сухой, антиокислитель экстракты розмарина, ароматизаторы</t>
  </si>
  <si>
    <t>ОМПК(О)
Малаховский МК</t>
  </si>
  <si>
    <t>филе грудок куриных, вода, мясо куриное механической обвалки, белковый стабилизатор (вода, шкурка свиная), свинина, крахмал картофельный, сыворотка молочная сухая, смесь посолочно-нитритная (соль, фиксатор окраски нитрит натрия), соль, регуляторы кислотности: пирофосфаты, трифосфаты, цитраты натрия, глюконо-дельта-лактон; загустители: альгинат натрия, каррагинан, гуаровая камедь, камедь целлюлозы; стабилизатор полифосфаты, пряности, сахара, антиокислители: изоаскорбат натрия, лимонная кислота; усилитель вкуса и аромата глутамат натрия, ароматизаторы, краситель кармины</t>
  </si>
  <si>
    <t>КАРБОНАД ЮБ.к/в в/у 1/150*14_Х5/СТМ Верн</t>
  </si>
  <si>
    <t>БАЛЫК с/к с/н в/у 1/150*14_Х5/СТМ Вернер</t>
  </si>
  <si>
    <t>Кор-ш/б 265х155х135 Т27В Папа Может №234</t>
  </si>
  <si>
    <t>Кор-ш/б 392х228х165 Т26С Вернер №255</t>
  </si>
  <si>
    <t xml:space="preserve">Кор-ш/б 392х292х165 Т26С Вернер №262 </t>
  </si>
  <si>
    <t>под сосиски Молочные ГОСТ Вернер</t>
  </si>
  <si>
    <t>СОЧНЫЕ Папа может сар п/о мгс 1*3_60с</t>
  </si>
  <si>
    <t>СОЧНЫЕ Папа может сар п/о мгс 0.3кг_60с</t>
  </si>
  <si>
    <t>ШПИКАЧКИ СОЧНЫЕ С БЕК. п/о мгс 1*3_60с</t>
  </si>
  <si>
    <t>ШПИКАЧКИ СОЧНЫЕ С БЕК. п/о мгс 0.3кг_60с</t>
  </si>
  <si>
    <t>ШПИКАЧКИ С БЕКОНОМ сар п/о мгс 0.8кг_60с</t>
  </si>
  <si>
    <t>свинина, белковый стабилизатор (вода питьевая, шкурка свиная), говядина, вода питьевая, молоко сухое обезжиренное, сыворотка молочная сухая, смесь посолочно-нитритная (соль, фиксатор окраски (нитрит натрия)), соль, регуляторы кислотности (пирофосфаты, трифосфаты, цитраты натрия), специи, сахара, антиокислитель (аскорбиновая кислота), усилитель вкуса и аромата (глутамат натрия), ароматизатор, краситель (кармины)</t>
  </si>
  <si>
    <t>ОСТАНКИНСКИЕ пельм пл. 0.7кг 10шт.зам.</t>
  </si>
  <si>
    <t>ВЕНСКИЕ ПРЕМИУМ сос б/о мгс 1*4</t>
  </si>
  <si>
    <t>СОЧНЫЕ ПМ сос п/о в/у 1/350 8шт_50с</t>
  </si>
  <si>
    <t>СОЧНЫЕ ПМ сос п/о мгс 1.5*4_О_50с</t>
  </si>
  <si>
    <t>СОЧНЫЕ ПМ сос п/о мгс 1.5*4_А_50с</t>
  </si>
  <si>
    <t>СОЧНЫЕ ПМ сос п/о мгс 1.5*4_50с</t>
  </si>
  <si>
    <t>МОЛОЧ.ПРЕМИУМ ПМ сос п/о в/у 1/350_50с</t>
  </si>
  <si>
    <t>МОЛОЧ.ПРЕМИУМ ПМ сос п/о мгс 0.6кг_50с</t>
  </si>
  <si>
    <t>МОЛОЧ.ПРЕМИУМ ПМ сос п/о мгс 1.5*4_О_50с</t>
  </si>
  <si>
    <t>МОЛОЧ.ПРЕМИУМ ПМ сос п/о мгс 1.5*4_50с</t>
  </si>
  <si>
    <t>МЯСНЫЕ С ГОВЯД.ПМ сос п/о мгс 0.6кг_50с</t>
  </si>
  <si>
    <t>МОЛОЧ.ОРИГИН.сос п/о мгс 1*6_Kvalita_50с</t>
  </si>
  <si>
    <t>СЛИВОЧНЫЕ ПМ сос п/о мгс 1.5*4_О_50с</t>
  </si>
  <si>
    <t>СЛИВОЧНЫЕ ПМ сос п/о мгс 1.5*4_А_50с</t>
  </si>
  <si>
    <t>СЛИВОЧНЫЕ ПМ сос п/о мгс 1.5*4_М_50с</t>
  </si>
  <si>
    <t>СОЧНЫЕ ПМ сос п/о мгс 0.6кг 8шт_50с</t>
  </si>
  <si>
    <t>СОЧНЫЕ ПМ сос п/о мгс 0.41кг 10шт_50с</t>
  </si>
  <si>
    <t>СОЧНЫЕ ПМ сос п/о мгс 0.41кг_СНГ_50с</t>
  </si>
  <si>
    <t>СЛИВОЧНЫЕ ПМ сос п/о мгс 0.41кг 10шт_50с</t>
  </si>
  <si>
    <t>КОЛБАСКИ БЕЛЫЕ МЮНХЕНСКИЕ б/о мгс 1/320</t>
  </si>
  <si>
    <t>ТУ 10.13.14-140-00425283-2015</t>
  </si>
  <si>
    <t>ФИЛЕЙНЫЕ Папа может сос ц/о мгс 1.5*2_М</t>
  </si>
  <si>
    <t>БЕКОН ДЛЯ КУЛИНАРИИ с/к с/н мгс 1*2_HRC</t>
  </si>
  <si>
    <t>ШПИК С ЧЕСНОК.И ПЕРЦЕМ к/в в/у 0.3кг_50c</t>
  </si>
  <si>
    <t>СВИНИНА ПО-ДОМ. к/в мл/к в/у 0.3кг_50с</t>
  </si>
  <si>
    <t>СВИНИНА ПО-ДОМ.к/в мл/к в/у 0.3кг_СНГ_50</t>
  </si>
  <si>
    <t>ГРУДИНКА ОХОТН. к/в мл/к в/у 0.3кг_50с</t>
  </si>
  <si>
    <t>БЕКОН Останкино с/к с/н в/у 1/180_50с</t>
  </si>
  <si>
    <t>БЕКОН Останкино с/к с/н в/у 1/180_СНГ_50</t>
  </si>
  <si>
    <t>БЕКОН Папа может с/к с/н в/у 1/140_50с</t>
  </si>
  <si>
    <t>БЕКОН Папа может с/к с/н в/у 1/250_50с</t>
  </si>
  <si>
    <t>162/671</t>
  </si>
  <si>
    <t>МЯСНАЯ Папа может вар п/о 0.7кг 6шт.</t>
  </si>
  <si>
    <t>288/1194</t>
  </si>
  <si>
    <t>свинина, шпик, волокна пищевые, смесь посолочно-нитритная (соль, фиксатор окраски (нитрит натрия)), соль, регуляторы кислотности (глюконо-дельта-лактон, пирофосфаты, цитраты натрия), сахара, специи и пряности, экстракты пряностей, усилитель вкуса и аромата (глутамат натрия), антиокислители (изоаскорбат натрия, аскорбиновая кислота, экстракт розмарина), ароматизаторы, экстракт дрожжей</t>
  </si>
  <si>
    <t>439/1819</t>
  </si>
  <si>
    <t>свинина, вода питьевая, стабилизатор белковый (вода питьевая, шкурка свиная), смесь посолочно-нитритная (соль, фиксатор окраски (нитрит натрия)), регуляторы кислотности (пирофосфаты, трифосфаты, цитраты натрия), соль, стабилизатор (полифосфаты), пряности и экстракты пряностей, сахар, усилитель вкуса и аромата (глутамат натрия 1-замещенный), антиокислитель (аскорбиновая кислота), чеснок свежий</t>
  </si>
  <si>
    <t>ДОМАШНИЕ СО СЛИВК.ПМ сос п/о мгс 0.41кг</t>
  </si>
  <si>
    <t>БЛИНЧ.С КУРИНЫМ МЯСОМ пл.1/350 зам.</t>
  </si>
  <si>
    <t>201/848</t>
  </si>
  <si>
    <t>263/1104</t>
  </si>
  <si>
    <t>270/1130</t>
  </si>
  <si>
    <t>234/987</t>
  </si>
  <si>
    <t>210/885</t>
  </si>
  <si>
    <t>216/908</t>
  </si>
  <si>
    <t>220/925</t>
  </si>
  <si>
    <t>234/982</t>
  </si>
  <si>
    <t>Z-БРАУНШВЕЙГСКАЯ с/к в/у (для нарезки)</t>
  </si>
  <si>
    <t>БЛИНЧ.КРУГЛЫЕ С ВЕТЧ.И СЫР.ПМ 1/300 зам.</t>
  </si>
  <si>
    <t>БЛИНЧ.КРУГЛЫЕ С ТВОРОГОМ ПМ 1/300 зам.</t>
  </si>
  <si>
    <t>Тесто для блинов: мука пшеничная в/с, вода, масло растительное, сахар, сухой яичный меланж, сыворотка молочная сухая, соль, разрыхлитель гидрокарбонат натрия, антиокислитель лимонная кислота. Начинка: творог (цельное молоко, обезжиренное молоко, закваска, ферментный препарат животного происхождения - сычужный фермент), вода, сахара, крупа манная, сыворотка молочная сухая, загустители: дикрахмаладипат ацетилированный, дикрахмалфосфат ацетилированный; соль, ванилин, ароматизаторы.</t>
  </si>
  <si>
    <t>БЛИНЧ.КРУГЛЫЕ С ПЕЧЕНЬЮ ПМ 1/300 зам.</t>
  </si>
  <si>
    <t>261/1028</t>
  </si>
  <si>
    <t>Тесто для блинов: мука пшеничная в/с, вода, масло растительное, сахар, сухой яичный меланж, сыворотка молочная сухая, соль, разрыхлитель гидрокарбонат натрия, антиокислитель лимонная кислота. Начинка: печень свиная, вода, свинина, лук жареный (лук репчатый, вода, мука пшеничная, масло растительное, соль), соевый белок, глюкоза, морковь сушеная, растительная клетчатка, соль, молоко сухое обезжиренное, специи, ароматизаторы, усилитель вкуса и аромата глутамат натрия.</t>
  </si>
  <si>
    <t>ФИЛЕЙНЫЕ ПМ сос ц/о в/у 1/270 8шт.</t>
  </si>
  <si>
    <t>КАРБОНАД СВИНОЙ кр/к в/у зам.</t>
  </si>
  <si>
    <t>Кор-ш/б 390х220х170 Т26С Папа Может №265</t>
  </si>
  <si>
    <t>Кор-ш/б 310х153х165 Т26Е Папа Может №266</t>
  </si>
  <si>
    <t>Короб-шоубокс 260х180х115 Т27В Папа Может №270 - арт. 229334</t>
  </si>
  <si>
    <t xml:space="preserve">Короб-шоубокс 220х192х103 Т25В Папа Может №269 арт. 229244 </t>
  </si>
  <si>
    <t xml:space="preserve">переименование из Короб-репераунд 234х144х124 Т23Е Мясная ферма №185 (арт. 229222) </t>
  </si>
  <si>
    <t xml:space="preserve">переименование из Короб-репераунд 234х144х124 Т23Е белый без печати №184 (арт. 229223) </t>
  </si>
  <si>
    <t>СЕРВЕЛАТ ЕВРОПЕЙСКИЙ в/к в/у 0.84кг</t>
  </si>
  <si>
    <t>ВЕНСКАЯ САЛЯМИ п/к в/у 0.840кг</t>
  </si>
  <si>
    <t>МЯСНЫЕ Папа может сос п/о в/у 0.64кг 6шт</t>
  </si>
  <si>
    <t>БУРГУНДИЯ ПМ с/к с/н мгс 1/90 14шт.</t>
  </si>
  <si>
    <t>САЛЯМИ ПМ с/к с/н мгс 1/90 14шт.</t>
  </si>
  <si>
    <t>ВЕТЧ.НЕЖНАЯ Коровино п/о_Т</t>
  </si>
  <si>
    <t>633/2609</t>
  </si>
  <si>
    <t>свинина, шпик, смесь посолочно-нитритная (соль, фиксатор окраски (нитрит натрия)), коньяк, чеснок сушеный, специи и экстракты специй, сахар, усилитель вкуса и аромата (глутамат натрия), краситель (кармины), стартовая культура</t>
  </si>
  <si>
    <t>СВИНАЯ ГОСТ Останкино с/к в/у</t>
  </si>
  <si>
    <t>БРАУНШВЕЙГСКАЯ ГОСТ с/к в/у 1/220 8шт.</t>
  </si>
  <si>
    <t>говядина, шпик, свинина, соль, смесь посолочно-нитритная (соль, фиксатор окраски (нитрит натрия)), сахар, пряности (перец черный молотый, кардамон молотый), стартовая культура</t>
  </si>
  <si>
    <t>ОМПК(О)
ОМПК(Г)</t>
  </si>
  <si>
    <t>САЛЬЧИЧОН Останкино с/к в/у 1/220 8шт.</t>
  </si>
  <si>
    <t>СЕРВЕЛАТ ШВЕЙЦАРСКИЙ ПРЕМИУМ в/к в/у</t>
  </si>
  <si>
    <t>свинина, шпик, стабилизатор белковый (шкурка свиная, вода питьевая), вода питьевая, смесь посолочно-нитритная (соль, фиксатор окраски (нитрит натрия)), соль, волокна растительные, регуляторы кислотности (пирофосфаты, цитраты натрия), пряности и экстракты пряностей (чеснок, перец чили), сахара, ароматизаторы, антиокислители (изоаскорбат натрия, экстракты розмарина), усилитель вкуса и аромата (глутамат натрия), краситель (кармины)</t>
  </si>
  <si>
    <t>МОЛОЧНЫЕ ПМ сос п/о мгс 0.41кг 10шт_СНГ</t>
  </si>
  <si>
    <t>БАЛЫКОВАЯ Коровино п/к в/у 0.84кг_50с</t>
  </si>
  <si>
    <t>свинина, шпик, стабилизатор белковый (шкурка свиная, вода питьевая), вода питьевая, сыворотка молочная сухая, крахмал картофельный, посолочно-нитритная смесь (соль, фиксатор окраски (нитрит натрия)), соль, регуляторы кислотности (пирофосфаты, цитраты натрия), белок животный (говяжий), загуститель (каррагинан), сахара, специи и экстракты специй (перец черный, мацис, кардамон, тмин, имбирь молотый, горчица), усилитель вкуса и аромата (глутамат натрия), ароматизаторы, антиокислитель (аскорбиновая кислота), краситель (кармины)</t>
  </si>
  <si>
    <t>свинина, стабилизатор белковый (шкурка свиная, вода питьевая), шпик, вода питьевая, сыворотка молочная сухая, крахмал картофельный, смесь посолочно-нитритная (соль, фиксатор окраски (нитрит натрия)), соль, регуляторы кислотности (пирофосфаты, цитраты натрия), белок животный (говяжий), загуститель (каррагинан), сахара, специи и экстракты специй (перец черный, мацис, кардамон, тмин, горчица), усилитель вкуса и аромата (глутамат натрия), ароматизаторы, антиокислитель (аскорбиновая кислота), краситель (кармины)</t>
  </si>
  <si>
    <t>СЕРВЕЛАТ КОПЧ.НА БУКЕ в/к в/у 0.35кг_50с</t>
  </si>
  <si>
    <t>СЕРВЕЛАТ ЗЕРНИСТЫЙ ПМ в/к в/у 0.35кг_50с</t>
  </si>
  <si>
    <t>СЕРВЕЛАТ ЗЕРНИСТЫЙ ПМ в/к в/у 0.56кг_50с</t>
  </si>
  <si>
    <t>СЕРВЕЛАТ ЗЕРНИСТЫЙ ПМ в/к в/у_50с</t>
  </si>
  <si>
    <t>СЕРВ.КОПЧ.НА БУКЕ в/к в/у 0.35кг_СНГ_50с</t>
  </si>
  <si>
    <t>СЕРВЕЛАТ ДОМАШНИЙ ПМ в/к в/у 0.84кг_50с</t>
  </si>
  <si>
    <t>СЕРВЕЛАТ КЛАССИЧ.ПМ в/к в/у 0.62кг_50с</t>
  </si>
  <si>
    <t>СЕРВЕЛАТ ОХОТНИЧИЙ ПМ в/к в/у_СНГ_50с</t>
  </si>
  <si>
    <t>СЕРВЕЛАТ ОХОТНИЧИЙ ПМ в/к в/у_50с</t>
  </si>
  <si>
    <t>СЕРВЕЛАТ ОХОТНИЧИЙ ПМ в/к в/у 0.35кг_50с</t>
  </si>
  <si>
    <t>Кор-ш/б 265х180х135 Т27В Папа Может №232</t>
  </si>
  <si>
    <t>Кор-ш/б 230х155х115 Т27В Папа Может №233</t>
  </si>
  <si>
    <t>МОЛОЧН.ГОСТ сос п/о мгс 0.6кг_Табыш/СТМ</t>
  </si>
  <si>
    <t>свинина, говядина, вода питьевая, меланж яичный сухой, молоко коровье сухое обезжиренное, смесь посолочно-нитритная (соль, фиксатор окраски (натрит натрия)), регуляторы кислотности (пирофосфаты, трифосфаты, ацетаты натрия, цитраты натрия), пряности, сахар, антиокислитель (аскорбиновая кислота), усилитель вкуса и аромата (глутамат натрия)</t>
  </si>
  <si>
    <t>БОЯNСКАЯ ПМ п/к в/у 0.42кг 8шт_50с</t>
  </si>
  <si>
    <t>ЧЕСНОЧНАЯ ПМ п/к в/у 0.35кг 8шт_50с</t>
  </si>
  <si>
    <t>СЕРВЕЛАТ КОПЧ.С ДЫМ.ПМ в/к в/у 1/350_50с</t>
  </si>
  <si>
    <t>Кор-реп 234х190х110 Т24Е Останкино №271</t>
  </si>
  <si>
    <t>Z-САЛЬЧИЧОН ПРЕМИУМ с/к в/у(для нарезки)</t>
  </si>
  <si>
    <t>свинина, вода питьевая, мясо куриное механической обвалки, стабилизатор белковый (вода питьевая, кожа куриная, шкурка свиная), филе грудок куриных, крахмалы (картофельный, кукурузный), сыворотка сухая молочная,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(каррагинан), загустители (конжак, ксантановая камедь), сахара, экстракты пряностей, соль, горчица, усилитель вкуса и аромата (глутамат натрия), ароматизаторы, антиокислитель (аскорбиновая кислота), краситель (кармины)</t>
  </si>
  <si>
    <t>мясо куриное механической обвалки, вода питьевая, свинина, филе куриной грудки, стабилизатор белковый (кожа куриная, шкурка свиная, вода питьевая), сыворотка молочная сухая, молоко сухое обезжиренное, крахмал картофельный, смесь посолочно-нитритная (соль, фиксатор окраски (нитрит натрия)), регуляторы кислотности (пирофосфаты, трифосфаты, цитрат натрия), загуститель (альгинат натрия), сахара, соль, пряности и экстракты пряностей, антиокислитель (аскорбиновая кислота), усилитель вкуса и аромата (глутамат натрия), ароматизаторы, краситель (кармины)</t>
  </si>
  <si>
    <t>СУПЕР МЯСНАЯ ПМ вар б/о в/у срез 0.4кг</t>
  </si>
  <si>
    <t>ГРУДИНКА ПРЕМИУМ к/в мл/к в/у 0.3кг_50с</t>
  </si>
  <si>
    <t>БАЛЫК Останкино с/к мл/к в/у 0.25кг</t>
  </si>
  <si>
    <t>121/508</t>
  </si>
  <si>
    <t>85-95</t>
  </si>
  <si>
    <t>75-85</t>
  </si>
  <si>
    <t>25-40</t>
  </si>
  <si>
    <t>Кор-реп 252х134х134 Т23Е Останкино №182</t>
  </si>
  <si>
    <t>ДОКТОРСКАЯ ГОСТ вар п/о 0.7кг 6шт.</t>
  </si>
  <si>
    <t>свинина, говядина, вода питьевая, сухой яичный меланж, молоко сухое обезжиренное, смесь посолочно-нитритная (соль, фиксатор окраски (нитрит натрия)), регуляторы кислотности (пирофосфаты, цитраты натрия), сахар, антиокислитель (аскорбиновая кислота), кардамон, усилитель вкуса и аромата (глутамат натрия)</t>
  </si>
  <si>
    <t>КЛАССИЧЕСКАЯ Папа может вар п/о_Глобус</t>
  </si>
  <si>
    <t>мясо куриное механической обвалки, вода питьевая, свинина, стабилизатор белковый (вода питьевая, кожа куриная, шкурка свиная), филе грудок куриных, крахмалы (картофельный, кукурузный), сыворотка сухая молочная,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(каррагинан), загустители (конжак, ксантановая камедь), сахара, экстракты пряностей, соль, горчица, усилитель вкуса и аромата (глутамат натрия), ароматизаторы, антиокислитель (аскорбиновая кислота), краситель (кармины)</t>
  </si>
  <si>
    <t>Кор-реп 252х134х170 Т23Е Папа Может №275</t>
  </si>
  <si>
    <t>ГРУДИНКА ПРЕМИУМ к/в с/н в/у 1/150*8_50с</t>
  </si>
  <si>
    <t>мясо куриное механической обвалки, вода питьевая, филе грудок куриных, стабилизатор белковый (кожа куриная, шкурка свиная, вода питьевая), свинина, шпик, крахмалы (картофельный, кукурузный), сыворотка молочная сухая, молоко сухое обезжиренное, смесь посолочно-нитритная (соль, фиксатор окраски (нитрит натрия)), сахара, регуляторы кислотности (пирофосфаты, трифосфаты, цитраты натрия), стабилизаторы (альгинат натрия, полифосфаты), соль, загустители (конжак, ксантановая камедь, гуаровая камедь), специи и экстракты специй (перец черный молотый, мускатный орех, чили), антиокислитель (изоаскорбат натрия), усилитель вкуса и аромата (глутамат натрия), ароматизаторы, краситель (кармины)</t>
  </si>
  <si>
    <t>cвинина, шпик, стабилизатор белковый (шкурка свиная, вода питьевая), вода питьевая, сыворотка молочная сухая, крахмал картофельный, посолочно-нитритная смесь (соль, фиксатор окраски (нитрит натрия)), соль, регуляторы кислотности (пирофосфаты, цитраты натрия), белок животный (говяжий), загуститель (каррагинан), сахара, специи и экстракты специй (перец черный, мацис, кардамон, тмин, имбирь молотый, горчица), усилитель вкуса и аромата (глутамат натрия), ароматизаторы, антиокислитель (аскорбиновая кислота), краситель (кармины)</t>
  </si>
  <si>
    <t>Кор-реп 234х190х120 Т23Е Папа Может №273</t>
  </si>
  <si>
    <t>Кор-реп 234х190х120 Т23Е Останкино №274</t>
  </si>
  <si>
    <t>ГОВЯЖЬЯ ПМ вар п/о 0.85кг 4шт_Kvalita</t>
  </si>
  <si>
    <t>ОХОТНИЧЬЯ Папа может с/к в/у 1/220_СНГ</t>
  </si>
  <si>
    <t>СОЧНЫЕ Папа Может пельм пл.0.42кг зам.</t>
  </si>
  <si>
    <t>САЛЯМИ Папа может с/к в/у 1/250_СНГ</t>
  </si>
  <si>
    <t>СОЧНЫЕ Папа Может пельм пл.0.7кг зам.</t>
  </si>
  <si>
    <t>Z-САЛЯМИ Папа может с/к в/у 1/250</t>
  </si>
  <si>
    <t>СОЧНЫЕ СО СЛ.МАСЛ.ПМ пельм пл.0.42кг зам</t>
  </si>
  <si>
    <t>СОЧНЫЕ СО СЛ.МАСЛ.ПМ пельм пл.0.7кг зам.</t>
  </si>
  <si>
    <t>Тесто: мука пшеничная в/с, вода питьевая, масло растительное рафинированное дезодорированное, соль, разрыхлитель (карбонат натрия). Фарш: мясо куриное механической обвалки, стабилизатор белковый (вода питьевая, свинина, говядина), белок соевый, лук репчатый свежий, спред растительно-сливочный (масло сливочное, заменитель молочного жира (масла растительные рафинированные дезодорированные: подсолнечное, пальмовое, оливковое), молоко обезжиренное, эмульгатор (моно- и диглицериды жирных кислот), консервант (сорбиновая кислота)), соль, стабилизаторы (пирофосфаты, альгинат натрия), клетчатка пшеничная, пряности, перец черный молотый, перец белый молотый, базилик сушеный, кориандр молотый, чеснок сушеный, укроп сушеный, паприка, сахара, усилитель вкуса и аромата (глутамат натрия), экстракт дрожжей, антиокислитель (аскорбиновая кислота), ароматизаторы.</t>
  </si>
  <si>
    <t>205/867</t>
  </si>
  <si>
    <t>БЕЗ ШПИКА ПМ вар п/о (катБ)_Kvalita</t>
  </si>
  <si>
    <t>МЯСНЫЕ ПРЕМИУМ пельм кор.0.4кг зам.</t>
  </si>
  <si>
    <t xml:space="preserve">Фарш: свинина, говядина, вода питьевая, лук репчатый свежий, соль, регуляторы кислотности (пирофосфаты, трифосфаты, цитраты натрия), молоко сухое цельное, чеснок сушеный, лук сушеный, перец черный молотый, перец белый молотый, экстракты пряностей, сахара, антиокислители (аскорбиновая кислота, экстракты розмарина), усилитель вкуса и аромата (глутамат натрия), ароматизаторы. Тесто: мука пшеничная в/с, вода питьевая, масло растительное рафинированное дезодорированное, соль, разрыхлитель (карбонат натрия). </t>
  </si>
  <si>
    <t>229/962</t>
  </si>
  <si>
    <t>Z-ЭКСТРА Папа может с/к с/н в/у 1/100</t>
  </si>
  <si>
    <t>30-35</t>
  </si>
  <si>
    <t>КАРЕЛЬСКАЯ ПМ с/к в/у 0.5кг 8шт_Kvalita</t>
  </si>
  <si>
    <t>свинина, шпик, говядина, белок соевый, смесь посолочно-нитритная (соль, фиксатор окраски (нитрит натрия)), белок молочный, клетчатка (в т.ч. пшеничная), соль, регулятор кислотности (пирофосфаты), пряности (перец черный, мускатный орех, кардамон), экстракты пряностей, экстракт дрожжей, сахара, антиокислители (лимонная кислота, аскорбиновая кислота, изоаскорбат натрия), усилитель вкуса и аромата (глутамат натрия), ароматизаторы (в т.ч. сельдерей), красители (гемоглобин, кармины), стартовая культура</t>
  </si>
  <si>
    <t>457/1891</t>
  </si>
  <si>
    <t>ГУЛЯШ СВИНОЙ мгс 0.4кг 4шт.охл</t>
  </si>
  <si>
    <t>СЕРВЕЛАТ КАРЕЛЬСКИЙ в/к в/у 0.28кг_209к</t>
  </si>
  <si>
    <t>БОЯNСКАЯ ПМ п/к в/у 0.28кг 8шт_209к</t>
  </si>
  <si>
    <t>БАЛЫКОВАЯ ПМ п/к в/у 0.31кг 8шт_209к</t>
  </si>
  <si>
    <t>САЛЯМИ Папа может п/к в/у 0.28кг_209к</t>
  </si>
  <si>
    <t>СЕРВЕЛАТ ШВАРЦЕР ПМ в/к в/у 0.28кг_209к</t>
  </si>
  <si>
    <t>СЕРВЕЛАТ ОРЕХОВЫЙ в/к в/у 0.31кг_209к</t>
  </si>
  <si>
    <t>КЛАССИЧЕСКАЯ ПМ вар п/о 0.3кг 8шт_209к</t>
  </si>
  <si>
    <t>ВЕТЧ.КЛАССИЧЕСКАЯ ПМ п/о 0.35кг 8шт_209к</t>
  </si>
  <si>
    <t>Кор-ш/б 260х137х226 Т26Е Останкино №263</t>
  </si>
  <si>
    <t>ПАПИН ВЫБОР Папа может вар п/о 0.5кг 8шт</t>
  </si>
  <si>
    <t>говядина, мясо куриное механической обвалки, вода питьевая, филе грудок куриных, стабилизатор белковый (кожа куриная, вода питьевая), крахмал картофельный, сыворотка молочная сухая, смесь нитритно-посолочная (соль, фиксатор окраски (нитрит натрия)), соль, регуляторы кислотности (пирофосфаты, цитраты натрия), стабилизаторы (каррагинан, ксантановая камедь), пряности и экстракты пряностей, лук сушеный, сахара, усилитель вкуса и аромата (глутамат натрия), ароматизаторы, антиокислитель (аскорбиновая кислота), краситель (кармины)</t>
  </si>
  <si>
    <t>филе грудок куриных, мясо куриное механической обвалки, стабилизатор белковый (кожа куриная, вода питьевая, говядина), вода питьевая, крахмал картофельный, смесь посолочно-нитритная (соль, фиксатор окраски (нитрит натрия)), соль, регуляторы кислотности (пирофосфаты, трифосфаты), стабилизатор (полифосфаты), загустители (альгинат натрия, каррагинан, гуаровая камедь), специи, сахара, антиокислители (аскорбиновая кислота, изоаскорбат натрия), усилитель вкуса и аромата (глутамат натрия), ароматизаторы, краситель (кармины)</t>
  </si>
  <si>
    <t>ВЕТЧ.ФИЛЕЙНАЯ ПМ п/о 0,4кг 8шт.</t>
  </si>
  <si>
    <t>говядина, мясо куриное механической обвалки, вода питьевая, филе грудок куриных, стабилизатор белковый (вода питьевая, кожа куриная), крахмалы (картофельный, кукурузный), смесь посолочно-нитритная (соль, фиксатор окраски (нитрит натрия)), соль, регуляторы кислотности (трифосфаты, пирофосфаты, цитраты натрия), стабилизатор (альгинат натрия), экстракты пряностей, антиокислитель (аскорбиновая кислота), усилитель вкуса и аромата (глутамат натрия), декстроза, ароматизаторы, краситель (кармины)</t>
  </si>
  <si>
    <t>белки (г)</t>
  </si>
  <si>
    <t>жиры (г)</t>
  </si>
  <si>
    <t>свинина, вода питьевая, масло растительное рафинированное дезодорированное, лук маринованный (лук репчатый свежий, вода питьевая, соль, регулятор кислотности (лимонная кислота)), лимон свежий, соль, уксус сухой, антиокислитель (экстракт розмарина), перец черный молотый, базилик сушеный</t>
  </si>
  <si>
    <t>181/753</t>
  </si>
  <si>
    <t>филе грудок куриных, свинина, вода питьевая, стабилизатор белковый (вода питьевая, кожа куриная, шкурка свиная), мясо куриное механической обвалки, крахмалы (картофельный, кукурузный), сыворотка сухая молочная,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(каррагинан), загустители (конжак, ксантановая камедь), сахара, экстракты пряностей, соль, горчица, усилитель вкуса и аромата (глутамат натрия), ароматизаторы, антиокислитель (аскорбиновая кислота), краситель (кармины)</t>
  </si>
  <si>
    <t>СЕРВЕЛАТ РУССКИЙ ПМ в/к в/у 0.31кг_СНГ</t>
  </si>
  <si>
    <t>ЭКСТРА Папа может с/к с/н в/у 1/100_СНГ</t>
  </si>
  <si>
    <t>ПОСОЛЬСКАЯ Папа может с/к в/у 0.5кг 8шт.</t>
  </si>
  <si>
    <t>КЛАССИКА Папа может с/к в/у 0.5кг 8шт.</t>
  </si>
  <si>
    <t>Z-СЕРВЕЛАТ ФИНСКИЙ в/к (для нарезки)</t>
  </si>
  <si>
    <t>свинина, филе грудок куриных, шпик, стабилизатор белковый (шкурка свиная, вода питьевая), вода питьевая, сыворотка сухая молочная, соль, смесь посолочно-нитритная (соль, фиксатор окраски (нитрит натрия)), белок животный (говяжий), сахар, регулятор кислотности (пирофосфаты, цитраты натрия), стабилизатор (альгинат натрия), специи (горчица, имбирь, черный перец, мускатный орех), ароматизаторы, антиокислители (лимонная кислота, изоаскорбат натрия), усилитель вкуса и аромата (глутамат натрия), краситель (кармины)</t>
  </si>
  <si>
    <t>СВИНАЯ ГОСТ Останкино с/к в/у 0.5кг 8шт.</t>
  </si>
  <si>
    <t>Кор-ш/б 194х144х224 Т23Е Папа Может №220</t>
  </si>
  <si>
    <t>СЕРВЕЛАТ МЯСНОЙ в/к в/у 0.28кг</t>
  </si>
  <si>
    <t>Кор-реп 234х144х140 Т23Е Останкино №264</t>
  </si>
  <si>
    <t>БАЛЫКОВАЯ Папа может вар п/о 0.4кг 8шт.</t>
  </si>
  <si>
    <t>свинина, вода питьевая, стабилизатор белковый (вода питьевая, шкурка свиная, кожа куриная), мясо куриное механической обвалки, филе грудок куриных, крахмал картофельный, сыворотка молочная сухая, смесь посолочно-нитритная (соль, фиксатор окраски (нитрит натрия)), соль, регуляторы кислотности (пирофосфаты, трифосфаты, цитраты натрия), стабилизаторы (полифосфаты, альгинат натрия), загустители (тары камедь, камедь рожкового дерева, ксантановая камедь, каррагинан, гуаровая камедь, камедь целлюлозы, модифицированный крахмал), белок животный (говяжий), сахара, специи, пряности, экстракты пряностей, антиокислители (изоаскоробат натрия, аскорбат натрия), усилитель вкуса и аромата (глутамат натрия), ароматизаторы, краситель (кармины)</t>
  </si>
  <si>
    <t>СЕРВЕЛАТ ФИНСКИЙ ПМ в/к с/н мгс 1/100*12</t>
  </si>
  <si>
    <t>КЛАССИЧЕСКАЯ Папа может вар п/о_А</t>
  </si>
  <si>
    <t>192/796</t>
  </si>
  <si>
    <t>МЯСНЫЕ С ГОВЯД.ПМ сос п/о мгс 0.4кг 6шт.</t>
  </si>
  <si>
    <t>ФИЛЕЙНЫЕ ПМ сос ц/о мгс 0.33кг 8шт.</t>
  </si>
  <si>
    <t>филе грудок куриных, мясо куриное механической обвалки, стабилизатор белковый (кожа куриная, вода питьевая, говядина), вода питьевая, крахмал картофельный, смесь посолочно-нитритная (соль, фиксатор окраски  (нитрит натрия)), соль, регуляторы кислотности (пирофосфаты, трифосфаты), стабилизатор (полифосфат), загустители (альгинат натрия, каррагинан, гуаровая камедь), специи, сахара, антиокислители (аскорбиновая кислота, изоаскорбат натрия), усилитель вкуса и аромата (глутамат натрия), ароматизаторы, краситель (кармины)</t>
  </si>
  <si>
    <t>Z-АССОРТИ СЫРОКОПЧЕНЫХ КОЛБАС в/у</t>
  </si>
  <si>
    <t>Кор-реп 234х144х124 Т23Е белый без печати №268</t>
  </si>
  <si>
    <t>КУП.МЯСН.Д/ЖАР.И ГРИЛЯ мгс 1/400 охл/AN</t>
  </si>
  <si>
    <t>ТУ 10.13.14-151-00425283-2025</t>
  </si>
  <si>
    <t>272/1126</t>
  </si>
  <si>
    <t>свинина, стабилизатор белковый (шкурка свиная, мясо куриное механической обвалки, вода питьевая), вода питьевая, крахмал картофельный, смесь посолочно-нитритная (соль, фиксатор окраски (нитрит натрия)), соль, животный белок (говяжий), регуляторы кислотности (трифосфаты, пирофосфаты, цитраты натрия), стабилизатор (полифосфаты), загустители (модифицированный крахмал, каррагинан из водорослей EUCHEMA), белок соевый, сахара, антиокислители (аскорбат натрия, лимонная кислота, аскорбиновая кислота), усилитель вкуса и аромата (глутамат натрия), ароматизаторы, краситель (кармины)</t>
  </si>
  <si>
    <t>156/648</t>
  </si>
  <si>
    <t>САЛЯМИ МЕЛКОЗЕРНЕНАЯ ПМ с/к в/у 1/120</t>
  </si>
  <si>
    <t>Копчености</t>
  </si>
  <si>
    <t>ПРАЗДНИЧНАЯ с/к в/с дек.спец.мгс срез</t>
  </si>
  <si>
    <t>230-250</t>
  </si>
  <si>
    <t>МЯСНЫЕ С ГОВЯД.ПМ сос п/о мгс 1кг 6шт.</t>
  </si>
  <si>
    <t>МЯСНЫЕ С ГОВЯДИНОЙ ПМ сос п/о мгс 1.5*4</t>
  </si>
  <si>
    <t>ШАШЛЫК ИЗ СВИНИНЫ охл_Гагарин</t>
  </si>
  <si>
    <t>Полуфабрикат мясной бескостный мелкокусковой охлажденный маринованный категории Б.</t>
  </si>
  <si>
    <t>ФАРШ ПО-ДОМАШНЕМУ мгс 0.4кг 4шт.охл_Т</t>
  </si>
  <si>
    <t>ФАРШ ИЗ СВИНИНЫ СМОЛ.мгс 0.3 охл_Т</t>
  </si>
  <si>
    <t>свинина, маринад (вода питьевая, соль, стабилизатор (пирофосфаты), загустители (каррагинан из водорослей EUCHEMA, ксантановая камедь), уксус сухой, антиокислители (изоаскорбат натрия, экстракт розмарина), сахара), лук репчатый свежий, перец черный молотый, ароматизатор</t>
  </si>
  <si>
    <t>142/591</t>
  </si>
  <si>
    <t>0…+25</t>
  </si>
  <si>
    <t>мясо куриное механической обвалки, свинина, вода питьевая, стабилизатор белковый (вода питьевая, шкурка свиная), шпик, филе куриной грудки, сыворотка молочная сухая, смесь посолочно-нитритная (соль, фиксатор окраски (нитрит натрия)), соль, регуляторы кислотности (пирофосфаты, трифосфаты, цитраты натрия), стабилизаторы (полифосфаты, альгинат натрия), специи и экстракты специй (в т.ч. сельдерей, горчица), чеснок свежий, сахара, крахмал картофельный, антиокислитель (изоаскорбат натрия), усилитель вкуса и аромата (глутамат натрия), ароматизаторы, краситель (кармины)</t>
  </si>
  <si>
    <t>СЛИВОЧНЫЕ ПМ сос п/о мгс 0.3кг 7шт.</t>
  </si>
  <si>
    <t>ПАПИН ВЫБОР С ЧЕСНОЧКОМ ПМ п/к в/у 1/420</t>
  </si>
  <si>
    <t>Z-ПОСОЛЬСКАЯ Папа может с/к в/у 0.5кг</t>
  </si>
  <si>
    <t>свинина, шпик, говядина, белок соевый, белок молочный, клетчатка (в т.ч. пшеничная), смесь посолочно-нитритная (соль, фиксатор окраски (нитрит натрия)), соль, сахара, регулятор кислотности (пирофосфаты), специи, экстракты специй, антиокислители (изоаскорбат натрия, аскорбат натрия, аскорбиновая кислота), усилитель вкуса и аромата (глутамат натрия), ароматизаторы, гемоглобин, краситель (кармины), стартовая культура</t>
  </si>
  <si>
    <t>156/684</t>
  </si>
  <si>
    <t>Кор-реп 234х144х140 Т23Е Папа Может №276</t>
  </si>
  <si>
    <t>Кор-реп 234х190х197 Т23Е Папа Может №277</t>
  </si>
  <si>
    <t>ДЛЯ ДЕТЕЙ сос п/о мгс 0.33кг 6шт.</t>
  </si>
  <si>
    <t>свинина, шпик, мясо куриное механической обвалки, белок соевый, смесь посолочно-нитритная (соль, фиксатор окраски (нитрит натрия)), белок молочный, клетчатка (в т.ч. пшеничная), соль, регуляторы кислотности (трифосфаты, пирофосфаты, цитраты натрия), стабилизатор (полифосфаты), экстракты пряностей, сахара, антиокислители (аскорбиновая кислота, изоаскорбат натрия, аскорбат натрия, экстракты розмарина), усилитель вкуса и аромата (глутамат натрия), ароматизаторы, гемоглобин, красители (кармины), стартовая культура</t>
  </si>
  <si>
    <t>525/2170</t>
  </si>
  <si>
    <t>ФИРМЕННАЯ КОПЧ.НА БУКЕ с/к с/н мгс 1/150</t>
  </si>
  <si>
    <t>БАЛЫК с/к с/н в/у 1/100 10шт.</t>
  </si>
  <si>
    <t>свинина, вода питьевая, стабилизатор белковый (шкурка свиная, вода питьевая, кожа куриная), крахмал картофельный, сыворотка молочная сухая, соль,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сахара, экстракты пряностей (перец черный, кардамон), чеснок сушеный, антиокислители (аскорбиновая кислота, лимонная кислота, аскорбат натрия), гидролизат кукурузного белка, усилитель вкуса и аромата (глутамат натрия), ароматизаторы, краситель (кармины)</t>
  </si>
  <si>
    <t>212/881</t>
  </si>
  <si>
    <t>ВЕНСКИЕ ПРЕМИУМ сос б/о мгс 0.3кг 6шт.</t>
  </si>
  <si>
    <t>ЧЕСНОЧНАЯ п/к в/у_55с</t>
  </si>
  <si>
    <t>СЕРВЕЛАТ ПРАЖСКИЙ ПМ в/к в/у 0.7кг_55с</t>
  </si>
  <si>
    <t>СЕРВЕЛАТ АВСТРИЙСКИЙ в/к в/у 0.42кг_55с</t>
  </si>
  <si>
    <t>215/905</t>
  </si>
  <si>
    <t xml:space="preserve">Тесто: мука пшеничная в/с, вода питьевая, масло растительное рафинированное дезодорированное, соль, разрыхлитель (карбонаты натрия). Фарш: мясо куриное механической обвалки, стабилизатор белковый (вода питьевая, говядина, свинина) белок соевый, лук свежий репчатый, соль, регуляторы кислотности (пирофосфаты, трифосфаты, цитраты натрия), загустители (модифицированный крахмал, гуаровая камедь), белок яичный, экстракт дрожжей, горчица молотая, перец черный молотый, чеснок сушеный молотый, сахара, антиокислители (аскорбиновая кислота, экстракты розмарина, лимонная кислота), усилитель вкуса и аромата (глутамат натрия), ароматизаторы. </t>
  </si>
  <si>
    <t>Тесто: мука пшеничная в/с, вода питьевая, меланж яичный сухой, соль, эмульгаторы (фосфаты натрия, пирофосфаты, полифосфаты), антиокислители (лимонная кислота, аскорбиновая кислота). Фарш: мясо куриное механической обвалки, стабилизаторы белковые (говяжий, свиной), белок соевый, лук свежий репчатый, соль, регуляторы кислотности (цитраты натрия, гидрокарбонат натрия), белок яичный, экстракт дрожжей, пряности и экстракты пряностей (горчица, перец черный, перец чили, чеснок), сахара, усилитель вкуса и аромата (глутамат натрия), антиокислители (аскорбиновая кислота, экстракты розмарина, лимонная кислота), ароматизаторы (в т.ч.сливки).</t>
  </si>
  <si>
    <t>ПАПИН ВЫБОР Папа Может с/к в/у 1/220 8шт</t>
  </si>
  <si>
    <t>КОПЧЕНЫЕ ПМ сос п/о мгс 1.2*6</t>
  </si>
  <si>
    <t>С СЫРОМ ПМ сос ц/о мгс 0.4кг 6шт_Лента</t>
  </si>
  <si>
    <t>свинина, мясо куриное механической обвалки, вода питьевая, стабилизатор белковый (вода питьевая, шкурка свиная), говядина, сыворотка молочная сухая, крахмалы (картофельный, кукурузный), смесь посолочно-нитритная (соль, фиксатор окраски (нитрит натрия)), регуляторы кислотности (трифосфаты, пирофосфаты, цитраты натрия), стабилизаторы (полифосфаты, альгинат натрия), соль, специи, экстракты специй и пряностей (в т.ч. сельдерей), сахара, антиокислители (изоаскорбат натрия, лимонная кислота, аскорбиновая кислота), усилитель вкуса и аромата (глутамат натрия), ароматизаторы (в т.ч. горчица, молоко), краситель (кармины)</t>
  </si>
  <si>
    <t>свинина, шпик, стабилизатор белковый (шкурка свиная, вода питьевая), филе грудок куриных, мясо куриное механической обвалки, крахмал кукурузный, сыворотка сухая молочная, смесь посолочно-нитритная (соль, фиксатор окраски (нитрит натрия)), соль, клетчатка, сахар, регуляторы кислотности (пирофосфаты, трифосфаты, цитраты натрия), загуститель (альгинат натрия), специи, экстракты специй, чеснок сушеный, лук сушеный, антиокислители (изоаскорбат натрия, лимонная кислота, аскорбиновая кислота), усилитель вкуса и аромата (глутамат натрия), ароматизаторы, гемоглобин, краситель (кармины)</t>
  </si>
  <si>
    <t>268/1109</t>
  </si>
  <si>
    <t>НАБОР ДЛЯ ПИЦЦЫ Папа Может с/к в/у</t>
  </si>
  <si>
    <t>свинина, вода питьевая, стабилизатор белковый (шкурка свиная, вода питьевая), крахмал картофельный, сыворотка молочная сухая, соль, смесь посолочно-нитритная (соль, фиксатор окраски (нитрит натрия)), регуляторы кислотности (пирофосфаты, трифосфаты, цитраты натрия), стабилизаторы (полифосфаты), сахара, экстракты пряностей (перец черный, кардамон), чеснок сушеный молотый, антиокислители (аскорбиновая кислота, лимонная кислота, аскорбат натрия), усилитель вкуса и аромата (глутамат натрия), ароматизаторы, краситель (кармины)</t>
  </si>
  <si>
    <t>198/824</t>
  </si>
  <si>
    <t>СОЧНЫЕ ПМ сос п/о мгс 1*6_50с</t>
  </si>
  <si>
    <t>МОЛОЧНЫЕ ПРЕМИУМ ПМ сос п/о мгс 1*6_50с</t>
  </si>
  <si>
    <t>ГОВЯЖЬЯ Папа может вар п/о</t>
  </si>
  <si>
    <t>МОЛОЧНАЯ ПРЕМИУМ вар б/о в/у срез 0.4кг</t>
  </si>
  <si>
    <t>мясо куриное механической обвалки, вода питьевая, свинина, филе грудок куриных, стабилизатор белковый (вода питьевая, кожа куриная, шкурка свиная), сыворотка молочная сухая, молоко сухое обезжиренное,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(альгинат натрия), сахара, соль, пряности и экстракты пряностей, белок животный (говяжий), антиокислитель (аскорбиновая кислота), усилитель вкуса и аромата (глутамат натрия), ароматизаторы, краситель (кармины</t>
  </si>
  <si>
    <t>КЛАССИЧЕСКАЯ Папа может вар п/о_Маяк</t>
  </si>
  <si>
    <t>филе грудок куриных, свинина, шпик, говядина, белок соевый, белок молочный, клетчатка (в т.ч. пшеничная), смесь посолочно-нитритная (соль, фиксатор окраски (нитрит натрия)), регулятор кислотности (пирофосфаты), соль, сахара, пряности, антиокислитель (изоаскорбат натрия), усилитель вкуса и аромата (глутамат натрия), гемоглобин, краситель (кармины), стартовая культура</t>
  </si>
  <si>
    <t>САЛЬЧИЧОН И САЛЯМИ ПМ с/к с/н мгс 1/90</t>
  </si>
  <si>
    <t>2
1</t>
  </si>
  <si>
    <t>свинина, шпик, филе грудок куриных, говядина, белок соевый, смесь посолочно-нитритная (соль, фиксатор окраски (нитрит натрия)), соль, молоко сухое обезжиренное, регуляторы кислотности (глюконо-дельта-лактон, пирофосфаты, цитраты натрия), загустители (каррагинан из водорослей EUCHEMA, ксантановая камедь), стабилизатор (полифосфаты), растительная клетчатка (в т.ч. пшеничная), белок животный, натуральные пряности (перец черный, чеснок, мускатный орех, кардамон, перец душистый, перец белый), сахар, ароматизаторы, антиокислители (аскорбат натрия, изоаскорбат натрия), усилитель вкуса и аромата (глутамат натрия), красители (кармины, сахарный колер III), стартовая культура</t>
  </si>
  <si>
    <t>СТЕЙК СВ.НА КОСТ.мгс 0.4кг охл_Х5/СТМ ХК</t>
  </si>
  <si>
    <t>ШНИЦЕЛЬ СВИНОЙ мгс 0.4кг охл_Х5/СТМ ХК</t>
  </si>
  <si>
    <t>ШЕЙКА СВИНАЯ мгс 0.4кг охл_Х5/СТМ ХК</t>
  </si>
  <si>
    <t>СЕРВЕЛАТ КОП.С ДЫМ.Кор в/к в/у 0.7кг_СНГ</t>
  </si>
  <si>
    <t>РУБЛЕНАЯ Коровино п/к в/у 0.84кг 6шт_СНГ</t>
  </si>
  <si>
    <t>3 года</t>
  </si>
  <si>
    <t>ПРАЗДНИЧНАЯ с/к в/с дек.спец. мгс 0.54кг</t>
  </si>
  <si>
    <t>ПРАЗДНИЧНАЯ с/к в/с дек.спец. мгс 1/270</t>
  </si>
  <si>
    <t>свинина, шпик, смесь посолочно-нитритная (соль, фиксатор окраски (нитрит натрия)), соль, перец красный, лук репчатый, семя горчичное, перец сладкий зеленый, тмин, перец черный, морковь сушеная, белок молочный, клетчатка (в т.ч. пшеничная), регулятор кислотности (пирофосфаты), желатин пищевой, экстракты пряностей, пряности, антиокислитель (изоаскорбат натрия), усилитель вкуса и аромата (глутамат натрия), ароматизаторы, краситель (кармины), стартовая культура</t>
  </si>
  <si>
    <t>ПРЕСИЖН с/к дек.спец. мгс 0.54кг</t>
  </si>
  <si>
    <t>СУПЕР КОПЧЕНЫЕ ПМ сос ц/о мгс 0.41кг 8шт</t>
  </si>
  <si>
    <t>ПРАЗДНИЧНАЯ с/к в/с дек.спец.мгс_М</t>
  </si>
  <si>
    <t>Z-САЛЬЧИЧОН Останкино с/к в/у 0.44кг</t>
  </si>
  <si>
    <t>филе грудок куриных, кожа куриная, вода питьевая, молоко сухое обезжиренное, сыворотка молочная сухая, смесь посолочно-нитритная (соль, фиксатор окраски (нитрит натрия)), сахара, регуляторы кислотности (трифосфаты, пирофосфаты, цитраты натрия), соль, пряности, экстракты пряностей, антиокислители (аскорбат натрия, лимонная кислота, аскорбиновая кислота), усилитель вкуса и аромата (глутамат натрия), ароматизаторы</t>
  </si>
  <si>
    <t>185/770</t>
  </si>
  <si>
    <t>ВЕТЧ.ДОМАШНЯЯ Папа может п/о 0.75кг 6шт.</t>
  </si>
  <si>
    <t>МЯСНАЯ СО ШПИКОМ ПМ вар п/о 0.4кг 8шт.</t>
  </si>
  <si>
    <t>СВИНЫЕ ГОСТ сар н/о мгс 1*3</t>
  </si>
  <si>
    <t>ВЕТЧИНА СЫРОКОПЧЕНАЯ с/н в/у 1/100 10шт.</t>
  </si>
  <si>
    <t>224/932</t>
  </si>
  <si>
    <t>Z-АРОМАТНАЯ с/к в/у (для нарезки 70 мм)</t>
  </si>
  <si>
    <t>СЕРВЕЛАТ ОХОТНИЧИЙ ПМ в/к в/у 0.7кг_С</t>
  </si>
  <si>
    <t>свинина, мясо куриное механической обвалки, вода питьевая, стабилизатор белковый (вода питьевая, шкурка свиная, говядина), сыворотка молочная сухая, молоко сухое обезжиренное, крахмалы (картофельный, кукурузный), смесь посолочно-нитритная (соль, фиксатор окраски (нитрит натрия)), соль, регуляторы кислотности (цитраты натрия, трифосфаты, пирофосфаты), загустители (каррагинан, конжак, ксантановая камедь, альгинат натрия, гуаровая камедь, камедь целлюлозы), экстракты пряностей, сахара, белок животный (говяжий), антиокислители (лимонная кислота, аскорбиновая кислота), усилитель вкуса и аромата (глутамат натрия), ароматизаторы, краситель (кармины)</t>
  </si>
  <si>
    <t>САЛЯМИ ДАТСКАЯ ПМ с/к в/у 1/250_Kvalita</t>
  </si>
  <si>
    <t>БОЯРСКАЯ ПМ п/к в/у 0.28кг_СНГ</t>
  </si>
  <si>
    <t>свинина, вода питьевая, стабилизатор белковый (шкурка свиная, вода питьевая), крахмал картофельный, сыворотка молочная сухая, соль,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сахара, чеснок сушеный, экстракты пряностей (перец черный, кардамон), антиокислители (аскорбиновая кислота, лимонная кислота, аскорбат натрия), усилитель вкуса и аромата (глутамат натрия), ароматизаторы, краситель (кармины)</t>
  </si>
  <si>
    <t>СЕРВЕЛАТ ОХОТНИЧИЙ ПМ в/к в/у 0.28кг_СНГ</t>
  </si>
  <si>
    <t>271/1123</t>
  </si>
  <si>
    <t>СЕЙЧАС СЕЗОН ПМ вар п/о 0.4кг</t>
  </si>
  <si>
    <t>СЕЙЧАС СЕЗОН Папа может вар п/о 0.75кг</t>
  </si>
  <si>
    <t>СЕЙЧАС СЕЗОН Папа может вар п/о</t>
  </si>
  <si>
    <t>свинина, мясо куриное механической обвалки, вода питьевая, стабилизатор белковый (вода питьевая, шкурка свиная), говядина, сыворотка молочная сухая, крахмалы (картофельный, кукурузный), смесь посолочно-нитритная (соль, фиксатор окраски (нитрит натрия)), соль, регуляторы кислотности (трифосфаты, пирофосфаты, цитраты натрия), загуститель (альгинат натрия), экстракты пряностей, сахара, антиокислители (лимонная кислота, аскорбиновая кислота), усилитель вкуса и аромата (глутамат натрия), лук сушеный молотый, краситель (кармины)</t>
  </si>
  <si>
    <t xml:space="preserve">ОМПК(С)
ОМПК(О)
</t>
  </si>
  <si>
    <t>МОЛОЧНЫЕ КЛАССИЧЕСКИЕ сос п/о мгс 2*4</t>
  </si>
  <si>
    <t xml:space="preserve">ОМПК(С)
ОМПК(Г)
</t>
  </si>
  <si>
    <t>КОНСЕРВЫ МЯС.ГОВЯДИНА ТУШ. В/С 338г_ЧЗ</t>
  </si>
  <si>
    <t>213/892</t>
  </si>
  <si>
    <t>КОНСЕРВЫ МЯС.СВИНИНА ТУШ. В/С 325г_ЧЗ</t>
  </si>
  <si>
    <t>226/946</t>
  </si>
  <si>
    <t>свинина, шпик, белок соевый, говядина, филе грудки куриной, смесь посолочно-нитритная (соль, фиксатор окраски (нитрит натрия)), белок молочный, клетчатка (в т.ч. пшеничная), соль, регуляторы кислотности (пирофосфаты), перец красный сушеный, лук репчатый сушеный, семя горчичное, перец сладкий зеленый сушеный, тмин, перец черный, морковь сушеная, экстракты пряностей, сахара, желатин пищевой, антиокислитель (изоаскорбат натрия), усилитель вкуса и аромата (глутамат натрия), ароматизатор, гемоглобин, краситель (кармины), стартовая культура</t>
  </si>
  <si>
    <t>387/1601</t>
  </si>
  <si>
    <t>350-500</t>
  </si>
  <si>
    <t>150-250</t>
  </si>
  <si>
    <t>180-250</t>
  </si>
  <si>
    <t>80-150</t>
  </si>
  <si>
    <t>80-120</t>
  </si>
  <si>
    <t>телятина, свинина, вода питьевая, шпик, языки свиные, меланж яичный сухой, орехи фисташковые очищенные, смесь посолочно-нитритная (соль, фиксатор окраски (нитрит натрия)), соль, регуляторы кислотности (пирофосфаты, цитраты натрия), стабилизатор (полифосфаты), пряности, сахара, антиокислитель (аскорбат натрия), усилитель вкуса и аромата (глутамат натрия), ароматизаторы, краситель (кармины)</t>
  </si>
  <si>
    <t>ВЕТЧ.МЯСНАЯ Папа может п/о 0.4кг 6шт.</t>
  </si>
  <si>
    <t>ВЕТЧ.МЯСНАЯ Папа может п/о 0.4кг 8шт.</t>
  </si>
  <si>
    <t>свинина, стабилизатор белковый (вода питьевая, шкурка свиная, мясо куриное механической обвалки), вода питьевая, крахмал картофельный, смесь посолочно-нитритная (соль, фиксатор окраски (нитрит натрия)), соль, белок животный (говяжий), регуляторы кислотности (цитраты натрия, пирофосфаты, трифосфаты), стабилизатор (полифосфаты), загустители (каррагинан из водорослей EUCHEUMA, крахмал модифицированный, ксантановая камедь), белок соевый, сахара, антиокислители (аскорбиновая кислота, лимонная кислота, аскорбат натрия), усилитель вкуса и аромата (глутамат натрия), ароматизаторы, краситель (кармины)</t>
  </si>
  <si>
    <t>Кор-реп 252х134х170 Т23Е белый б/п №280</t>
  </si>
  <si>
    <t>свинина, мясо птицы бескостное, шпик, стабилизатор белковый (шкурка свиная, вода питьевая), сыворотка молочная сухая, крахмал кукурузный, смесь посолочно-нитритная (соль, фиксатор окраски (нитрит натрия)), соль, клетчатка, регуляторы кислотности (пирофосфаты, трифосфаты, цитраты натрия), стабилизатор (полифосфаты), загуститель (альгинат натрия), специи (в т.ч. горчица, сельдерей), сахара, антиокислители (изоаскорбат натрия, лимонная кислота, аскорбиновая кислота), усилитель вкуса и аромата (глутамат натрия), ароматизаторы (в т.ч. глютен), гемоглобин, краситель (кармины)</t>
  </si>
  <si>
    <t>свинина, вода питьевая, мясо куриное механической обвалки, филе грудок куриных, стабилизатор белковый (вода питьевая, кожа куриная, шкурка свиная), сыворотка молочная сухая, крахмал картофельный, смесь посолочно-нитритная (соль, фиксатор окраски (нитрит натрия)), регуляторы кислотности (трифосфаты, пирофосфаты, ацетаты натрия), стабилизатор (альгинат натрия), сахара, пряности и экстракты пряностей (в т.ч. сельдерей), белок животный (говяжий), антиокислитель (аскорбиновая кислота), усилитель вкуса и аромата (глутамат натрия), ароматизаторы (в т.ч. горчица), краситель (кармины)</t>
  </si>
  <si>
    <t>215/890</t>
  </si>
  <si>
    <t>ФАРШ ДОМАШНИЙ мгс 0.4кг 4шт.охл_Т</t>
  </si>
  <si>
    <t>Кор-реп 234х190х130 Т23Е Папа Может №281</t>
  </si>
  <si>
    <t>свинина, мясо птицы бескостное, шпик, стабилизатор белковый (шкурка свиная, вода питьевая), вода питьевая, сыворотка сухая молочная, крахмал кукурузный, смесь посолочно-нитритная (соль, фиксатор окраски (нитрит натрия)), соль, клетчатка, сахар, регуляторы кислотности (пирофосфаты, трифосфаты, цитраты натрия), загуститель (альгинат натрия), специи, экстракты специй, чеснок сушеный, лук сушеный, антиокислители (изоаскорбат натрия, лимонная кислота, аскорбиновая кислота), усилитель вкуса и аромата (глутамат натрия), ароматизаторы, гемоглобин, краситель (кармины)</t>
  </si>
  <si>
    <t>свинина (в т.ч. окорок), филе грудок куриных, шпик, стабилизатор белковый (шкурка свиная, вода питьевая), вода питьевая, сыворотка молочная сухая, смесь посолочно-нитритная (соль, фиксатор окраски (нитрит натрия)), соль, пищевые растительные волокна, регуляторы кислотности (пирофосфаты, трифосфаты, цитраты натрия), стабилизатор (полифосфаты), загуститель (альгинат натрия), специи, сахара, антиокислители (изоаскорбат натрия, аскорбиновая кислота, лимонная кислота), усилитель вкуса и аромата (глутамат натрия), ароматизаторы (в т.ч. горчица), краситель (кармины), гемоглобин</t>
  </si>
  <si>
    <t>свинина, шпик, стабилизатор белковый (шкурка свиная, вода питьевая), мясо куриное механической обвалки, сыворотка молочная сухая, вода питьевая, смесь посолочно-нитритная (соль, фиксатор окраски (нитрит натрия)), крахмал картофельный, соль, регуляторы кислотности (пирофосфаты, трифосфаты, цитраты натрия), загуститель (альгинат натрия), пряности, экстракты пряностей, сахара, чеснок сушеный, антиокислители (аскорбиновая кислота, лимонная кислота), усилитель вкуса и аромата (глутамат натрия), ароматизаторы, краситель (кармины), гемоглобин</t>
  </si>
  <si>
    <t>242/1001</t>
  </si>
  <si>
    <t>свинина, стабилизатор белковый (шкурка свиная, вода питьевая), шпик, белок соевый, мясо куриное механической обвалки, сыворотка молочная сухая,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загуститель (альгинат натрия), специи, экстракты специй, сахара, антиокислители (аскорбиновая кислота, лимонная кислота), усилитель вкуса и аромата, ароматизаторы, лук сушеный молотый, краситель (кармины), гемоглобин</t>
  </si>
  <si>
    <t>237/981</t>
  </si>
  <si>
    <t>СТЕЙК СВ.НА КОСТОЧКЕ мгс 0.4кг 4шт. охл.</t>
  </si>
  <si>
    <t>Мясной полуфабрикат мясокостный мелкокусковой охлажденный из свинины категории Б.</t>
  </si>
  <si>
    <t>ШНИЦЕЛЬ СВИНОЙ мгс 0.4кг 4шт. охл.</t>
  </si>
  <si>
    <t>Мясной полуфабрикат бескостный мелкокусковой охлажденный из свинины категории А.</t>
  </si>
  <si>
    <t>САЛЯМИ МЕЛКОЗЕРНЕНАЯ с/к в/у_Глобус</t>
  </si>
  <si>
    <t>ВЕТЧ.КЛАССИЧЕСКАЯ Коровино в/у 0.6кг_55с</t>
  </si>
  <si>
    <t>ВЕТЧ.МРАМОРНАЯ Коровино в/у 0.6кг_55с</t>
  </si>
  <si>
    <t>СОЧНАЯ Папа может вар п/о 0.4кг 10шт.</t>
  </si>
  <si>
    <t>свинина, шпик, вода питьевая, белок соевый, смесь посолочно-нитритная (соль, фиксатор окраски (нитрит натрия)), соль, регуляторы кислотности (пирофосфаты, глюконо-дельта-лактон), белок молочный, клетчатка (в т.ч. пшеничная), пряности (перец белый, перец черный), сахар, антиокислитель (изоаскорбат натрия), усилитель вкуса и аромата (глутамат натрия), ароматизаторы (в т.ч. орех), гемоглобин, краситель (кармины), стартовая культура</t>
  </si>
  <si>
    <t>358/1479</t>
  </si>
  <si>
    <t>БЛИНЧ.КРУГЛЫЕ С ВЕТЧ.И СЫР.ПМ 1/180 зам.</t>
  </si>
  <si>
    <t>БЛИНЧ.КРУГЛЫЕ С ТВОРОГОМ ПМ 1/180 зам.</t>
  </si>
  <si>
    <t>БЛИНЧ.КРУГЛЫЕ С МЯСОМ ПМ 1/180 зам.</t>
  </si>
  <si>
    <t xml:space="preserve">Тесто для блинов: мука пшеничная в/с, вода питьевая, масло подсолнечное рафинированное дезодорированное, меланж яичный сухой, сахар, сыворотка молочная сухая, соль, разрыхлитель (гидрокарбонат натрия), регулятор кислотности (лимонная кислота). Начинка: свинина, вода питьевая, лук сушеный жареный (лук репчатый, вода питьевая, мука пшеничная, масло подсолнечное рафинированное дезодорированное, соль), соль, специи (в т.ч. перец черный молотый), сахар, усилитель вкуса и аромата (глутамат натрия), ароматизаторы. </t>
  </si>
  <si>
    <t>206/863</t>
  </si>
  <si>
    <t>СЕРВЕЛАТ ЕВРОПЕЙСКИЙ в/к в/у 0.35кг_Л</t>
  </si>
  <si>
    <t>СЕРВЕЛАТ ЕВРОПЕЙСКИЙ в/к в/у 0.7кг 8шт_Л</t>
  </si>
  <si>
    <t>СЕРВЕЛАТ ВЕНСКИЙ п/к в/у 0.65кг_Kvalita</t>
  </si>
  <si>
    <t>свинина, филе грудок куриных, шпик, белковый стабилизатор (шкурка свиная, вода питьевая), сыворотка молочная сухая, смесь посолочно-нитритная (соль, фиксатор окраски (нитрит натрия)), крахмал кукурузный, соль, сахар, регуляторы кислотности (пирофосфаты, цитраты натрия), стабилизатор (альгинат натрия), пряности и экстракты пряностей (в т.ч. перец черный), антиокислитель (лимонная кислота), усилитель вкуса и аромата (глутамат натрия), гемоглобин, краситель (кармины)</t>
  </si>
  <si>
    <t>Кор-ш/б 255х134х140 Т23Е Останкино №282</t>
  </si>
  <si>
    <t>Кор 310х135х130 Т24С без печати №287</t>
  </si>
  <si>
    <t>Кор 284х170х170 Т25С без печати №288</t>
  </si>
  <si>
    <t>Кор 380х284х140 Т26С без печати №285</t>
  </si>
  <si>
    <t>Кор 307х160х240 Т23С без печати №286</t>
  </si>
  <si>
    <t>свинина, говядина, вода питьевая, меланж яичный сухой, молоко коровье сухое обезжиренное, соль,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специи, сахар, антиокислитель (изоаскорбат натрия), усилитель вкуса и аромата (глутамат натрия), ароматизаторы, краситель (кармины)</t>
  </si>
  <si>
    <t>ЧОРИЗО Останкино с/к в/у 1/220 8шт.</t>
  </si>
  <si>
    <t>свинина, белок животный (говяжий), смесь посолочно-нитритная (соль, фиксатор окраски (нитрит натрия)), соль, пищевые волокна, регуляторы кислотности (цитраты натрия, глюконо-дельта-лактон), специи, экстракты специй, сахара, антиокислители (аскорбат натрия, лимонная кислота, изоаскорбат натрия, аскорбиновая кислота, экстракты розмарина), масло рапсовое рафинированное дезодорированное, усилитель вкуса и аромата (глутамат натрия), ароматизатор, краситель (кармины)</t>
  </si>
  <si>
    <t>СЕРВЕЛАТ КОПЧ.НА БУКЕ ПМ в/к в/у 0.7кг</t>
  </si>
  <si>
    <t>СОЧНАЯ ПОРЦИЯ ПМ пельм.пл.0.25кг зам.</t>
  </si>
  <si>
    <t>Мясной полуфабрикат в тесте категории В замороженный.</t>
  </si>
  <si>
    <t xml:space="preserve">Тесто: мука пшеничная в/с, вода питьевая, масло подсолнечное рафинированное дезодорированное, соль, регулятор кислотности (карбонат натрия), сахар. Начинка: свинина, лук репчатый свежий, стабилизатор белковый (говядина, вода питьевая), вода питьевая, белок соевый, соль, регуляторы кислотности (пирофосфаты, трифосфаты, цитраты натрия), специи, сахар, белок животный (говяжий), антиокислители (аскорбиновая кислота, экстракты розмарина), усилитель вкуса и аромата (глутамат натрия), ароматизаторы. </t>
  </si>
  <si>
    <t>228/959</t>
  </si>
  <si>
    <t>338/1399</t>
  </si>
  <si>
    <t>Z-ЧОРИЗО Останкино с/к в/у</t>
  </si>
  <si>
    <t>АРОМАТНАЯ с/к в/у 1/250 8шт_СНГ</t>
  </si>
  <si>
    <t>ЮБИЛЕЙНАЯ с/к в/у 1/250 8шт_СНГ</t>
  </si>
  <si>
    <t>МЕДАЛЬОНЫ ИЗ СВ.ВЫР.В МАРИНАДЕ мгс охл М</t>
  </si>
  <si>
    <t>Z-БУРГУНДИЯ с/к в/у</t>
  </si>
  <si>
    <t>свинина, шпик, белок соевый, белок молочный, клетчатка растительная (в т.ч. пшеничная), смесь посолочно-нитритная (соль, фиксатор окраски (нитрит натрия)), соль, регулятор кислотности (пирофосфаты), пряности, сахара, антиокислитель (изоаскорбат натрия), усилитель вкуса и аромата (глутамат натрия), ароматизаторы, краситель (кармины), гемоглобин, стартовая культура</t>
  </si>
  <si>
    <t>435/1795</t>
  </si>
  <si>
    <t>РУБЛЕНАЯ ПМ п/к в/у 0.28кг 8шт.</t>
  </si>
  <si>
    <t>БРЕСТСКИЕ сос п/о в/у 0.3кг 8шт.</t>
  </si>
  <si>
    <t>филе грудок куриных, мясо куриное механической обвалки, свинина, стабилизатор белковый (вода питьевая, шкурка свиная), вода питьевая, сыворотка молочная сухая,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модифицированный крахмал, камедь целлюлозы), специи, экстракты специй, сахара, антиокислители (аскорбиновая кислота, лимонная кислота), усилитель вкуса и аромата (глутамат натрия), ароматизаторы, красители (кармины, экстракт паприки)</t>
  </si>
  <si>
    <t>САЛЯМИ ИТАЛЬЯНСКАЯ с/к в/у_Ашан</t>
  </si>
  <si>
    <t>СОЧНЫЕ Папа Может пельм 4кг зам.</t>
  </si>
  <si>
    <t>ВЕТЧ.С ИНДЕЙКОЙ ПМ в/у срез 0.3кг 6шт.</t>
  </si>
  <si>
    <t>свинина, шпик, смесь посолочно-нитритная (соль, фиксатор окраски (нитрит натрия)), волокна пищевые (в т.ч. пшеничные), регуляторы кислотности (глюконо-дельта-лактон, пирофосфаты, цитраты натрия), сахара, лактоза, соль, пряности и экстракты пряностей (в т.ч. горчица), антиокислители (аскорбиновая кислота, экстракты розмарина, изоаскорбат натрия), усилитель вкуса и аромата (глутамат натрия), ароматизаторы</t>
  </si>
  <si>
    <t>469/1942</t>
  </si>
  <si>
    <t>СЕРВЕЛАТ ОРЕХОВЫЙ Кор в/к в/у 0.65_катА</t>
  </si>
  <si>
    <t>Мясной продукт. Изделие колбасное варено-копченое А.</t>
  </si>
  <si>
    <t>ТУ 10.13.15-158-00425283-2022</t>
  </si>
  <si>
    <t>БУЖЕНИНА КЛАССИК к/з мл/к в/у 0.25кг</t>
  </si>
  <si>
    <t>Мясной продукт из свинины запеченный категории Б.</t>
  </si>
  <si>
    <t>МОНРЕАЛЬ В АРОМАТ.СПЕЦИЯХ с/к мгс срез</t>
  </si>
  <si>
    <t>САЛЯМИ МЕЛКОЗЕРНЕНАЯ с/к в/у 1/120 8шт.</t>
  </si>
  <si>
    <t>САН-РЕМО Останкино с/в в/у 1/220 8шт.</t>
  </si>
  <si>
    <t>свинина, пищевые волокна, смесь посолочно-нитритная (соль, фиксатор окраски (нитрит натрия)), соль, регуляторы кислотности (пирофосфаты, трифосфаты, глюконо-дельта-лактон, цитраты натрия), сахара, чеснок сушеный молотый, грибы белые сушеные молотые, молоко сухое обезжиренное, антиокислители (изоаскорбат натрия, аскорбиновая кислота, экстракты розмарина), усилитель вкуса и аромата (глутамат натрия), ароматизаторы, краситель (кармины), гемоглобин</t>
  </si>
  <si>
    <t>Кор-ш/б 232х152х146 Т23Е Останкино №278</t>
  </si>
  <si>
    <t>свинина (в т.ч. окорок), филе грудок куриных, шпик, стабилизатор белковый (шкурка свиная, вода питьевая), вода питьевая, сыворотка молочная сухая, смесь посолочно-нитритная (соль, фиксатор окраски (нитрит натрия)), пищевые растительные волокна, соль, регуляторы кислотности (цитраты натрия, пирофосфаты, трифосфаты), загуститель (альгинат натрия), экстракты специй, чеснок сушеный, лук сушеный, масло подсолнечное рафинированное дезодорированное, сахара, антиокислители (аскорбиновая кислота, изоаскорбат натрия, лимонная кислота), усилитель вкуса и аромата (глутамат натрия), ароматизатор, гемоглобин, краситель (кармины)</t>
  </si>
  <si>
    <t>214/887</t>
  </si>
  <si>
    <t>БАРСЕЛОНА ПМ с/к в/у 1/150</t>
  </si>
  <si>
    <t>свинина, филе грудок куриных, говядина, шпик, белок соевый, смесь послочно-нитритная (соль, фиксатор окраски (нитрит натрия)), белок молочный, клетчатка (в т.ч. пшеничная), лактоза, регуляторы кислотности (пирофосфаты, цитраты натрия), овощи сушеные, экстракты пряностей, сахара, антиокислители (аскорбиновая кислота, экстракты розмарина, изоаскорбат натрия), усилитель вкуса и аромата (глутамат натрия), гемоглобин (свиной), ароматизаторы, красители (экстракт паприки, кармины), стартовая культура</t>
  </si>
  <si>
    <t>329/1328</t>
  </si>
  <si>
    <t>Z-БРАУНШВЕЙГСКАЯ ГОСТ с/к в/у 0.44 гр/уп</t>
  </si>
  <si>
    <t>Z-ПРАЗДНИЧНАЯ с/к в/с дек.сп. мгс 1/270</t>
  </si>
  <si>
    <t>Z-ПРАЗДНИЧНАЯ с/к в/с дек.сп. мгс 0.54кг</t>
  </si>
  <si>
    <t>САЛЯМИ с/к в/у</t>
  </si>
  <si>
    <t>свинина, шпик, белок соевый, филе грудок куриных, говядина, белок молочный, клетчатка (в т.ч. пшеничная), смесь посолочно-нитритная (соль, фиксатор окраски (нитрит натрия)), стабилизатор (пирофосфат натрия), специи (перец черный молотый, чеснок сушеный молотый, мускат, перец белый молотый, перец душистый, имбирь, кардамон), экстракты специй, сахара, антиокислители (изоаскорбат натрия, аскорбиновая кислота, аскорбат натрия), усилитель вкуса и аромата (глутамат натрия), ароматизаторы, гемоглобин, краситель (кармины), стартовая культура</t>
  </si>
  <si>
    <t>Z-САН-РЕМО Останкино с/в в/у гр/уп</t>
  </si>
  <si>
    <t>С ГОВЯДИНОЙ ПМ сос п/о мгс 0.8кг_Kvalita</t>
  </si>
  <si>
    <t>свинина, шпик, белок соевый, говядина, филе грудок куриных, белок молочный, клетчатка (в т.ч. пшеничная), смесь посолочно-нитритная (соль, фиксатор окраски (нитрит натрия), регулятор кислотности (пирофосфаты), экстракты пряностей, соль, сахара, антиокислитель (изоаскорбат натрия), усилитель вкуса и аромата (глутамат натрия), гемоглобин, ароматизатор, краситель (кармины), стартовая культура</t>
  </si>
  <si>
    <t>375/1550</t>
  </si>
  <si>
    <t>С ИНДЕЙКОЙ Папа может вар п/о 0.4кг 8шт.</t>
  </si>
  <si>
    <t>мясо куриное механической обвалки, стабилизатор белковый (кожа куриная, вода питьевая), филе грудок куриных, вода питьевая, мясо индюшиное механической обвалки, сыворотка молочная сухая, крахмал картофельный,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загуститель (альгинат натрия), пряности, экстракты пряностей, сахара, антиокислители (изоаскорбат натрия), усилитель вкуса и аромата (глутамат натрия), ароматизаторы, краситель (кармины)</t>
  </si>
  <si>
    <t>свинина, мясо куриное механической обвалки, стабилизатор белковый (вода питьевая, шкурка свиная), вода питьевая, шпик, крахмал кукурузный,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загустители (гуаровая камедь, конжак, альгинат натрия, каррагинан, модифицированный крахмал, конжак), экстракты пряностей, лук сушеный молотый, антиокислители (аскорбиновая кислота, лимонная кислота), усилитель вкуса и аромата (глутамат натрия), ароматизаторы, краситель (кармины)</t>
  </si>
  <si>
    <t>свинина, вода питьевая, стабилизатор белковый (вода питьевая, шкурка свиная), говядина, сыворотка молочная сухая,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специи, экстракты специй, сахара, антиокислители (аскорбиновая кислота, лимонная кислота), усилитель вкуса и аромата (глутамат натрия), ароматизаторы, краситель (кармины)</t>
  </si>
  <si>
    <t>СЕРВЕЛАТ МОСКОВСКИЙ п/к в/у 0.3кг_бренд</t>
  </si>
  <si>
    <t>говядина, шпик, свинина, смесь посолочно-нитритная (соль, фиксатор окраски (нитрит натрия)), регулятор кислотности (цитраты натрия), молоко сухое обезжиренное, сахар, чеснок сушеный молотый, перец черный молотый, орех мускатный, корица молотая, антиокислитель (аскорбиновая кислота), усилитель вкуса и аромата (глутамат натрия)</t>
  </si>
  <si>
    <t>421/1738</t>
  </si>
  <si>
    <t>ЧИКЕН КАРРИ Папа может сос п/о мгс 1/330</t>
  </si>
  <si>
    <t>мясо куриное механической обвалки, свинина, вода питьевая, стабилизатор белковый (вода питьевая, шкурка свиная, говядина), куркума, кориандр молотый, перец красный молотый, перец черный молотый, горчица порошок, пажитник, кумин молотый, экстракт сельдерея, лук репчатый сушеный молотый, чеснок сушеный молотый, желатин пищевой, сыворотка молочная сухая, крахмал кукурузный, смесь посолочно-нитритная (соль, фиксатор окраски (нитрит натрия)), регуляторы кислотности (пирофосфаты, трифосфаты, цитраты натрия, глюконо-дельта-лактон), стабилизатор (полифосфат), загустители (альгинат натрия, каррагинан, гуаровая камедь, камедь целлюлозы, модифицированный крахмал), сахара, соль, антиокилсители (аскорбиновая кислота, изоаскорбат натрия, аскорбат натрия), усилитель вкуса и аромата (глутамат натрия 1-замещенный), ароматизаторы, краситель (кармины)</t>
  </si>
  <si>
    <t>свинина, мясо куриное механической обвалки, стабилизатор белковый (вода питьевая, шкурка свиная, говядина), вода питьевая, сыворотка молочная сухая, молоко сухое обезжиренное, крахмал кукурузный,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антиокислители (лимонная кислота, аскорбиновая кислота), усилитель вкуса и аромата (глутамат натрия), ароматизаторы, краситель (кармины)</t>
  </si>
  <si>
    <t>СОЧНАЯ КЛАССИКА ПМ вар п/о 0.5кг 8шт.</t>
  </si>
  <si>
    <t>мясо куриное механической обвалки, вода питьевая, филе грудок куриных, стабилизатор белковый (кожа куриная, шкурка свиная, вода питьевая), свинина, шпик, крахмалы (картофельный, кукурузный), сыворотка молочная сухая, молоко сухое обезжиренное, смесь посолочно-нитритная (соль, фиксатор окраски (нитрит натрия)), сахара, регуляторы кислотности (пирофосфаты, трифосфаты, цитраты натрия), стабилизатор (полифосфаты), соль, загустители (альгинат натрия, каррагинан, конжак, ксантановая камедь, гуаровая камедь), специи и экстракты специй (перец черный молотый, мускатный орех, чили), антиокислитель (изоаскорбат натрия), усилитель вкуса и аромата (глутамат натрия), ароматизаторы, краситель (кармины)</t>
  </si>
  <si>
    <t>СЕРВЕЛАТ МОСКОВСКИЙ п/к в/у 0.3кг</t>
  </si>
  <si>
    <t>свинина, мясо куриное механической обвалки, стабилизатор белковый (вода питьевая, шкурка свиная, говядина), вода питьевая, сливки сухие, сыворотка молочная сухая, молоко сухое обезжиренное, крахмал кукурузный,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антиокислители (лимонная кислота, аскорбиновая кислота), усилитель вкуса и аромата (глутамат натрия), ароматизаторы, краситель (кармины)</t>
  </si>
  <si>
    <t>свинина, мясо куриное механической обвалки, стабилизатор белковый (вода питьевая, шкурка свиная, говядина), вода питьевая, филе грудок куриных, сыворотка молочная сухая, молоко сухое обезжиренное, крахмал кукурузный, смесь посолочно-нитритная (соль, фиксатор окраски (нитрит натрия)), сливки сухие, сахар, соль, регуляторы кислотности (пирофосфаты, трифосфаты, цитраты натрия), стабилизатор (полифосфаты), клетчатка, загустители (конжак, ксантановая камедь, агар, альгинат натрия, каррагинан, гуаровая камедь, модифицированный крахмал, камедь целлюлозы) животный белок (говяжий), специи, антиокислители (лимонная кислота, аскорбиновая кислота, изоаскорбат натрия), усилитель вкуса и аромата (глутамат натрия), ароматизаторы, краситель (кармины)</t>
  </si>
  <si>
    <t>СОЧНЫЕ ПМ сос п/о мгс 1*6_СНГ</t>
  </si>
  <si>
    <t>151/628</t>
  </si>
  <si>
    <t>свинина, мясо куриное механической обвалки, стабилизатор белковый (вода питьевая, шкурка свиная), масло подсолнечное рафинированное дезодорированное, вода питьевая, сыворотка молочная сухая, крахмал картофельный, смесь посолочно-нитритная (соль, фиксатор окраски (нитрит натрия)), сахар, животный белок (говяжий), регуляторы кислотности (пирофосфаты, трифосфаты, цитраты натрия), загустители (каррагинан, альгинат натрия, гуаровая камедь, модифицированный крахмал, камедь целлюлозы, конжак, ксантановая камедь), специи, экстракты пряностей, гидролизат соевого белка, антиокислители (аскорбиновая кислота, лимонная кислота, изоаскорбат натрия), усилитель вкуса и аромата (глутамат натрия), ароматизатор, краситель (кармины)</t>
  </si>
  <si>
    <t>ВЕТЧ.МЯСНАЯ Папа может п/о 0.4кг_СНГ</t>
  </si>
  <si>
    <t>свинина, вода питьевая, стабилизатор белковый (вода питьевая, шкурка свиная, кожа куриная), филе грудок куриных, шпик, сыворотка молочная сухая, крахмал картофельный, смесь посолочно-нитритная (соль, фиксатор окраски (нитрит натрия)), чеснок свежий, соль, животный белок (говяжий), регуляторы кислотности (пирофосфаты, трифосфаты, цитраты натрия), загустители (тары камедь, камедь рожкового дерева, каррагинан, гуаровая камедь, кстантановая камедь, альгинат натрия), специи, экстракты специй, экстракты пряностей (в т.ч. горчица, сельдерей), антиокислители (изоаскорбат натрия, аскорбиновая кислота, лимонная кислота), усилитель вкуса и аромата (глутамат натрия), ароматизаторы, красители (диоксид титана, кармины)</t>
  </si>
  <si>
    <t>свинина, вода питьевая, стабилизатор белковый (вода питьевая, шкурка свиная, кожа куриная), мясо куриное механической обвалки, филе грудок куриных, сыворотка молочная сухая, крахмал картофельный, смесь посолочно-нитритная (соль, фиксатор окраски (нитрит натрия)), соль, регуляторы кислотности (трифосфаты, пирофосфаты, цитраты натрия), загустители (альгинат натрия, каррагинан, гуаровая камедь, ксантановая камедь), специи, экстракты специй (в т.ч. горчица, сельдерей), сахара, антиокислитель (аскорбиновая кислота), усилитель вкуса и аромата (глутамат натрия), ароматизатор, краситель (кармины)</t>
  </si>
  <si>
    <t>свинина, мясо куриное механической обвалки, стабилизатор белковый (вода питьевая, шкурка свиная, говядина), вода питьевая, филе грудок куриных, сыворотка молочная сухая, молоко сухое обезжиренное, крахмал кукурузный, смесь посолочно-нитритная (соль, фиксатор окраски (нитрит натрия)), сливки сухие, сахар, соль, регуляторы кислотности (пирофосфаты, трифосфаты, цитраты натрия), стабилизатор (полифосфаты), клетчатка, загустители (конжак, ксантановая камедь, агар, альгинат натрия, каррагинан, гуаровая камедь, модифицированный крахмал, камедь целлюлозы), животный белок (говяжий), специи, антиокислители (лимонная кислота, аскорбиновая кислота, изоаскорбат натрия), усилитель вкуса и аромата (глутамат натрия), ароматизаторы, краситель (кармины)</t>
  </si>
  <si>
    <t>свинина, мясо куриное механической обвалки, вода питьевая, стабилизатор белковый (вода питьевая, шкурка свиная), сыворотка молочная сухая,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альгинат натрия, каррагинан, гуаровая камедь, камедь целлюлозы, модифицированный крахмал), специи, экстракты специй, антиокислители (лимонная кислота, аскорбиновая кислота), усилитель вкуса и аромата (глутамат натрия), ароматизатор, краситель (кармины)</t>
  </si>
  <si>
    <t>12324463000007 </t>
  </si>
  <si>
    <t>12324271000008 </t>
  </si>
  <si>
    <t>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t>
  </si>
  <si>
    <t>182/756</t>
  </si>
  <si>
    <t>БЛИНЧ.КРУГЛЫЕ С МЯСОМ ПМ 1/180 зам. 12шт</t>
  </si>
  <si>
    <t>Кор 390х230х150 Т24С Останкино №292</t>
  </si>
  <si>
    <t>БЛИНЧ.КРУГ. С ТВОРОГОМ ПМ 1/180 зам 12шт</t>
  </si>
  <si>
    <t>БЛИНЧ.КРУГ. С ВЕТЧ.И СЫР.ПМ 1/180 зам.12</t>
  </si>
  <si>
    <t>свинина, вода питьевая, стабилизатор белковый (вода питьевая, шкурка свиная, кожа куриная), мясо куриное механической обвалки, сыворотка молочная сухая, крахмал картофельный, смесь посолочно-нитритная (соль, фиксатор окраски (нитрит натрия)), соль, сахар, регуляторы кислотности (пирофосфаты, трифосфаты, цитраты натрия), стабилизатор (полифосфаты), загустители (альгинат натрия, каррагинан, гуаровая камедь, ксантановая камедь), специи, экстракты специй (в т.ч. горчица, сельдерей), антиокислители (аскорбиновая кислота, лимонная кислота, изоаскорбат натрия), усилитель вкуса и аромата (глутамат натрия), ароматизатор, краситель (кармины)</t>
  </si>
  <si>
    <t>204/847</t>
  </si>
  <si>
    <t>ТОЛСТЫЙ СЛАЙС ВАРЕНЫЙ вар с/н мгс 1/150</t>
  </si>
  <si>
    <t>БРАУНШВЕЙГСКАЯ полусухая с/к в/у_А</t>
  </si>
  <si>
    <t>ДОКТОРСКАЯ КЛАССИЧ. ASLAM вар п/о 0.5кг</t>
  </si>
  <si>
    <t>ASLAM</t>
  </si>
  <si>
    <t>ООО Казанские деликатесы</t>
  </si>
  <si>
    <t>ТУ 10.13.14-175-00425283-2025</t>
  </si>
  <si>
    <t>Кор 270х185х130 Т25С Аслам №284</t>
  </si>
  <si>
    <t>ДОКТОРСКАЯ КЛАССИЧ. ASLAM вар п/о 0.9кг</t>
  </si>
  <si>
    <t>мясо куриное механической обвалки, филе грудок куриных, стабилизатор белковый (вода питьевая, кожа куриная, говядина), вода питьевая, молоко сухое обезжиренное,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конжак, ксантановая камедь, гуаровая камедь), перец черный, экстракты пряностей, сахара, антиокислители (аскорбиновая кислота, лимонная кислота), усилитель вкуса и аромата (глутамат натрия), ароматизатор, экстракт гардении красной</t>
  </si>
  <si>
    <t>МУСУЛЬМАНСКАЯ ASLAM вар п/о 0.5кг 8шт.</t>
  </si>
  <si>
    <t>мясо куриное механической обвалки, филе грудок куриных, стабилизатор белковый (вода питьевая, кожа куриная, говядина), вода питьевая, молоко сухое обезжиренное,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конжак, ксантановая камедь, гуаровая камедь), пряности, экстракты пряностей, сахара, антиокислители (аскорбиновая кислота, лимонная кислота), усилитель вкуса и аромата (глутамат натрия), ароматизатор, экстракт гардении красной</t>
  </si>
  <si>
    <t>МУСУЛЬМАНСКАЯ ASLAM вар п/о 0.9кг 4шт.</t>
  </si>
  <si>
    <t>МОЛОЧНЫЕ ASLAM сос п/о мгс 0.41кг 10шт.</t>
  </si>
  <si>
    <t>мясо куриное механической обвалки, филе грудок куриных, стабилизатор белковый (вода питьевая, кожа куриная, говядина), вода питьевая, говядина, сыворотка молочная сухая, молоко сухое обезжиренное,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(альгинат натрия), пряности, экстракты пряностей, сахара, антиокислители (лимонная кислота, аскорбиновая кислота), усилитель вкуса и аромата (глутамат натрия), ароматизаторы, экстракт монаскуса, краситель (понсо 4R)</t>
  </si>
  <si>
    <t>МОЛОЧНЫЕ ASLAM сос п/о мгс 1.025кг 6шт.</t>
  </si>
  <si>
    <t>С ГОВЯДИНОЙ ASLAM сос п/о мгс 0.41кг</t>
  </si>
  <si>
    <t>С ГОВЯДИНОЙ ASLAM сос п/о мгс 1.025*6</t>
  </si>
  <si>
    <t>мясо куриное механической обвалки, филе грудок куриных, говядина, стабилизатор белковый (вода питьевая, кожа куриная, говядина),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(альгинат натрия), пряности, экстракты пряностей, сахара, антиокислители (аскорбиновая кислота, лимонная кислота), усилитель вкуса и аромата (глутамат натрия), ароматизаторы, экстракт гардении красной</t>
  </si>
  <si>
    <t>146/608</t>
  </si>
  <si>
    <t>РУЛЕТ МРАМОРНЫЙ ASLAM п/о 0.5кг 8шт.</t>
  </si>
  <si>
    <t>ТУ 10.13.14-177-00425283-2025</t>
  </si>
  <si>
    <t>Продукт из мяса кур вареный охлажденный.</t>
  </si>
  <si>
    <t>филе бедра куриное, филе куриное, вода питьевая, стабилизатор белковый (кожа куриная,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из водорослей eucheuma, ксантановая камедь, конжак), соль, пряности, экстракты пряностей, сахара, антиокислители (аскорбат натрия, аскорбиновая кислота, лимонная кислота), усилитель вкуса и аромата (глутамат натрия), ароматизаторы, экстракт гардении красной</t>
  </si>
  <si>
    <t>112/511</t>
  </si>
  <si>
    <t>МУСУЛЬМАНСКАЯ ASLAM п/к в/у 0.29кг 8шт.</t>
  </si>
  <si>
    <t>ТУ 10.13.14-176-00425283-2025</t>
  </si>
  <si>
    <t>филе бедра куриного, мясо куриное механической обвалки, говядина, вода питьевая, сыворотка молочная сухая, крахмал картофельный,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соль, специи, пряности, экстракты пряностей, сахара, антиокислители (аскорбиновая кислота, лимонная кислота), усилитель вкуса и аромата (глутамат натрия),  краситель (понсо 4R), экстракт монаскуса</t>
  </si>
  <si>
    <t>293/1175</t>
  </si>
  <si>
    <t>МУСУЛЬМАНСКАЯ ASLAM п/к в/у 0.82кг 6шт.</t>
  </si>
  <si>
    <t>САЛЯМИ ZHAZIRA ASLAM в/к в/у 0.29кг 8шт.</t>
  </si>
  <si>
    <t>САЛЯМИ ZHAZIRA ASLAM в/к в/у 0.82кг</t>
  </si>
  <si>
    <t>Изделие колбасное варено-копченое из мяса кур охлажденное.</t>
  </si>
  <si>
    <t>филе грудок куриных, мясо куриное механической обвалки, говядина, белок соевый, вода питьевая, крахмал картофельный, смесь посолочно-нитритная (соль, фиксатор окраски (нитрит натрия)), соль, белок животный (говяжий), клетчатка растительная, регуляторы кислотности (пирофосфаты, цитраты натрия), пряности, экстракты пряностей, сахара, антиокислители (аскорбат натрия, аскорбиновая кислота, лимонная кислота), ароматизаторы,  красители (понсо 4R), экстракт монаскуса</t>
  </si>
  <si>
    <t>292/1211</t>
  </si>
  <si>
    <t>СЕРВЕЛАТ SAMAH ASLAM в/к в/у 0.29кг 8шт.</t>
  </si>
  <si>
    <t>СЕРВЕЛАТ SAMAH ASLAM в/к в/у 0.82кг 6шт.</t>
  </si>
  <si>
    <t>филе грудок куриных, мясо птицы механической обвалки, говядина, вода питьевая, крахмал картофельный, сыворотка молочная сухая, смесь посолочно-нитритная (соль, фиксатор окраски (нитрит натрия)), соль, регуляторы кислотности (пирофосфаты, трифосфаты, цитраты натрия), пряности, экстракты пряностей, сахара, антиокислители (аскорбиновая кислота, лимонная кислота), белок растительный гидролизированный, усилитель вкуса и аромата (глутамат натрия), ароматизаторы, экстракт гардении красной</t>
  </si>
  <si>
    <t>Z-СЕРВ.ФИН.ТОЛС.СЛАЙСЫ в/к (для нарезки)</t>
  </si>
  <si>
    <t>свинина, стабилизатор белковый (шкурка свиная, вода питьевая), мясо куриное механической обвалки, шпик, сыворотка молочная сухая, крахмал картофельный, смесь посолочно-нитритная (соль, фиксатор окраски (нитрит натрия)), белок животный (говяжий), регуляторы кислотности (пирофосфаты, цитраты натрия, трифосфаты, глюконо-дельта-лактон), стабилизатор (полифосфаты), клетчатка, белок соевый, загустители (альгинат натрия, каррагинан, гуаровая камедь, ксантановая камедь), пряности, экстракты пряностей, сахара, соль, антиокислители (лимонная кислота, аскорбиновая кислота, аскорбат натрия), усилитель вкуса и аромата (глутамат натрия), гемоглобин, ароматизаторы, ароматизатор коптильный, краситель (кармины)</t>
  </si>
  <si>
    <t>ЕВРЕЙСКАЯ полусухая с/к в/у_Х5</t>
  </si>
  <si>
    <t>свинина, белок животный (говяжий), вода питьевая, загуститель (альгинат натрия), уплотнитель (хлорид кальция), соль, пряности (перец черный молотый, перец белый молотый, петрушка сушеная, майоран, базилик сушеный, зира), сахар, горчица, уксус сухой, антиокислитель (экстракт розмарина), усилитель вкуса и аромата (глутамат натрия), ароматизаторы ( в т.ч. молоко)</t>
  </si>
  <si>
    <t>263/1089</t>
  </si>
  <si>
    <t>КУПАТЫ ГРУЗИНСК.Останкино мгс 0.4кг охл.</t>
  </si>
  <si>
    <t>свинина, вода питьевая, соль, белок животный (говяжий), стабилизаторы (альгинат натрия, ксантановая камедь, гуаровая камедь), уплотнитель (хлорид кальция), овощи сушеные (чеснок, лук, томаты, петрушка), пряности (перец красный молотый, пажитник молотый, паприка, кумин, майоран сушеный), экстракты пряностей (перец красный, чеснок, паприка), регулятор кислотности (лимонная кислота), уксус сухой столовый, антиокислитель (экстракты розмарина), крахмал картофельный, усилитель вкуса и аромата (глутамат натрия)</t>
  </si>
  <si>
    <t>276/1143</t>
  </si>
  <si>
    <t>КУПАТЫ ИТАЛ.С ТОМАТ.И ТРАВ.мгс 0.4кг охл</t>
  </si>
  <si>
    <t>КУПАТЫ ЭКСТРА Останкино мгс 0.4кг охл.</t>
  </si>
  <si>
    <t>свинина, говядина, вода питьевая, белок животный (говяжий), загуститель (альгинат натрия), уплотнитель (хлорид кальция), лук репчатый сушеный, соль, регулятор кислотности (лимонная кислота), пряности и экстракты пряностей (сельдерей, перец черный молотый, орегано, кумин молотый, чеснок сушеный молотый, перец красный сладкий молотый), уксус сухой столовый, антиокислитель (экстракт розмарина), усилитель вкуса и аромата (глутамат натрия), сахар, ароматизатор, красители (кармины, бетанин)</t>
  </si>
  <si>
    <t>КУПАТЫ БАРБЕКЮ ПМ мгс 1/320 4шт. охл.</t>
  </si>
  <si>
    <t>свинина, вода питьевая, соль, белок животный (говяжий), загустители (альгинат натрия, гуаровая камедь, ксантановая камедь), уплотнитель (хлорид кальция), овощи сушеные, пряности, экстракты пряностей, сахар, уксус сухой столовый, усилитель вкуса и аромата (глутамат натрия), антиокислители (экстракты розмарина, лимонная кислота)</t>
  </si>
  <si>
    <t>КУПАТЫ БАЛКАНСКИЕ ПМ мгс 1/320 4шт. охл.</t>
  </si>
  <si>
    <t>свинина, вода питьевая, соль, белок животный (говяжий), загустители (альгинат натрия, ксантановая камедь, гуаровая камедь), уплотнитель (хлорид кальция), овощи сушеные, пряности, экстракты пряностей, уксус сухой столовый, усилитель вкуса и аромата (глутамат натрия), крахмал картофельный, антиокислители (экстракты розмарина, лимонная кислота)</t>
  </si>
  <si>
    <t>КУПАТЫ КЛАССИЧЕСКИЕ ПМ мгс 1/320 4шт.охл</t>
  </si>
  <si>
    <t>Мясной полуфабрикат рубленый формованный охлажденный категории В.</t>
  </si>
  <si>
    <t>свинина, говядина, вода питьевая, белок животный (говяжий), загуститель (альгинат натрия), уплотнитель (хлорид кальция), лук репчатый сушеный, соль, пряности, экстракты пряностей (в т.ч. сельдерей), уксус сухой столовый, усилитель вкуса и аромата (глутамат натрия), антиокислители (экстракты розмарина, лимонная кислота), ароматизатор, масло подсолнечное рафинированное дезодорированное, сахар, красители (кармины, бетанин)</t>
  </si>
  <si>
    <t>Мясной полуфабрикат рубленый формованный охлажденный категории Б.</t>
  </si>
  <si>
    <t>104/437</t>
  </si>
  <si>
    <t>говядина, стабилизатор белковый (кожа куриная, вода питьевая), мясо куриное механической обвалки, филе грудок куриных, вода питьевая, сыворотка молочная сухая, крахмал картофельный, смесь посолочно-нитритная (соль, фиксатор окраски (нитрит натрия)), регуляторы кислотности (трифосфаты, пирофосфаты, цитраты натрия), загустители (каррагинан, гуаровая камедь, ксантановая камедь, альгинат натрия), специи, экстракты пряностей, сахара, антиокислитель (аскорбиновая кислота), усилитель вкуса и аромата (глутамат натрия), ароматизатор, краситель (кармины)</t>
  </si>
  <si>
    <t>БАЛЫКОВАЯ Коровино п/к в/у 0.76кг</t>
  </si>
  <si>
    <t>ПРЕСИЖН с/к в/у</t>
  </si>
  <si>
    <t>мясо куриное механической обвалки, свинина (в т.ч. бекон), вода питьевая, стабилизатор белковый (вода питьевая, шкурка свиная), шпик, крахмал картофельный, крахмал кукурузный, смесь посолочно-нитритная (соль, фиксатор окраски (нитрит натрия)), регуляторы кислотности (цитраты натрия, пирофосфаты, трифосфаты), стабилизатор (полифосфаты), загустители (каррагинан, ксантановая камедь, конжак, альгинат натрия, гуаровая камедь, камедь целлюлозы, модифицированный крахмал), чеснок свежий, соль, сахара, пряности, экстракты пряностей, антиокислители (аскорбиновая кислота, лимонная кислота), усилитель вкуса и аромата (глутамат натрия), ароматизаторы, краситель (кармины)</t>
  </si>
  <si>
    <t>Кор-ш/б 232х152х146 Т23Е Папа Может №283</t>
  </si>
  <si>
    <t>Мясной полуфабрикат из свинины мясокостный крупнокусковой замороженный категории Б</t>
  </si>
  <si>
    <t>БРАУНШВЕЙГСКАЯ полусухая с/к в/у 1/100</t>
  </si>
  <si>
    <t>СТЕЙК ИЗ ШЕИ СВИНОЙ мгс 0.4кг охл_Т/СТМ</t>
  </si>
  <si>
    <t>АССОРТИ САЛЬЧИЧОН И ЧОРИЗО с/к в/у 1/440</t>
  </si>
  <si>
    <t>23
12</t>
  </si>
  <si>
    <t>41
26</t>
  </si>
  <si>
    <t>2
2</t>
  </si>
  <si>
    <t>469/1942
290/1200</t>
  </si>
  <si>
    <r>
      <rPr>
        <b/>
        <sz val="10"/>
        <rFont val="Arial Cyr"/>
        <charset val="204"/>
      </rPr>
      <t>САЛЬЧИЧОН:</t>
    </r>
    <r>
      <rPr>
        <sz val="10"/>
        <rFont val="Arial Cyr"/>
        <charset val="204"/>
      </rPr>
      <t xml:space="preserve"> свинина, шпик, смесь посолочно-нитритная (соль, фиксатор окраски (нитрит натрия)), волокна пищевые (в т.ч. пшеничные), регуляторы кислотности (глюконо-дельта-лактон, пирофосфаты, цитраты натрия), сахара, лактоза, соль, пряности и экстракты пряностей (в т.ч. горчица), антиокислители (аскорбиновая кислота, экстракты розмарина, изоаскорбат натрия), усилитель вкуса и аромата (глутамат натрия), ароматизаторы. 
</t>
    </r>
    <r>
      <rPr>
        <b/>
        <sz val="10"/>
        <rFont val="Arial Cyr"/>
        <charset val="204"/>
      </rPr>
      <t xml:space="preserve">ЧОРИЗО: </t>
    </r>
    <r>
      <rPr>
        <sz val="10"/>
        <rFont val="Arial Cyr"/>
        <charset val="204"/>
      </rPr>
      <t>свинина, белок животный (говяжий), смесь посолочно-нитритная (соль, фиксатор окраски (нитрит натрия)), соль, пищевые волокна, регуляторы кислотности (цитраты натрия, глюконо-дельта-лактон), специи, экстракты специй, сахара, антиокислители (аскорбат натрия, лимонная кислота, изоаскорбат натрия, аскорбиновая кислота, экстракты розмарина), масло рапсовое рафинированное дезодорированное, усилитель вкуса и аромата (глутамат натрия), ароматизатор, краситель (кармины).</t>
    </r>
  </si>
  <si>
    <t>САЛЯМИ с/к с/н мгс 1*8_HRC</t>
  </si>
  <si>
    <t>444/1837</t>
  </si>
  <si>
    <t>свинина, шпик, филе грудок куриных, говядина, белок соевый, белок молочный, клетчатка растительная (в т.ч. пшеничная), волокна пищевые, смесь посолочно-нитритная (соль, фиксатор окраски (нитрит натрия)), регуляторы кислотности (пирофосфаты, глюконо-дельта-ланктон, стабилизаторы (трифосфаты), пряности, экстракты пряностей, сахара, соль, антиокислители (изоаскорбат натрия, аскорбиновая кислота), усилитель вкуса и аромата (глутамат натрия), ароматизаторы, гемоглобин, краситель (кармины), стартовая культура</t>
  </si>
  <si>
    <t>НАБОР ДЛЯ ПИЦЦЫ с/к с/н мгс 1*8_HRC</t>
  </si>
  <si>
    <t>свинина, шпик, филе грудок куриных, говядина, белок соевый, смесь посолочно-нитритная (соль, фиксатор окраски (нитрит натрия)), соль, молоко сухое обезжиренное, регуляторы кислотности (глюконо-дельта-лактон, пирофосфаты, цитраты натрия), загустители (каррагинан из водорослей EUCHEMA, ксантановая камедь), стабилизатор (полифосфаты), растительная клетчатка (в т.ч. пшеничная), белок животный (говяжий), натуральные пряности (перец черный, чеснок, мускатный орех, кардамон, перец душистый, перец белый), сахар, ароматизаторы, антиокислители (аскорбат натрия, изоаскорбат натрия), усилитель вкуса и аромата (глутамат натрия), краситель (кармины), стартовая культура</t>
  </si>
  <si>
    <t>655/2700</t>
  </si>
  <si>
    <t>Z-СВИНАЯ ГОСТ с/к б/о в/у 1/250</t>
  </si>
  <si>
    <t>МАРОЧНАЯ Коровино с/к в/у 0.5кг 8шт.</t>
  </si>
  <si>
    <t>ДЫМОВИЦА ИЗ ЛОП.к/в с/н в/у 1/100_СТМ МC</t>
  </si>
  <si>
    <t>КАРБОНАД к/в с/н в/у 1/100*10_Х5/СТМ МС</t>
  </si>
  <si>
    <t>ШЕЙКА Останкино с/к с/н в/у 1/100 10шт.</t>
  </si>
  <si>
    <t>шейка свиная, вода, смесь посолочно-нитритная (соль, фиксатор окраски нитрит натрия), соль, сахар, регуляторы кислотности: ацетаты натрия, цитраты натрия, трифосфаты, пирофосфаты, глюконо-дельта-лактон, цитраты кальция, стабилизатор полифосфат, усилитель вкуса и аромата (глутамат натрия), ароматизаторы, уплотнитель сульфат магния, краситель кармины</t>
  </si>
  <si>
    <t>Мясной полуфабрикат из свинины мясокостный мелкокусковой замороженный категории В.</t>
  </si>
  <si>
    <t>ФИРМЕННЫЕ пельм пл. 0.4кг зам.</t>
  </si>
  <si>
    <t xml:space="preserve">Тесто: мука пшеничная в/с, вода питьевая, масло растительное рафинированное дезодорированное, соль, разрыхлитель (карбонат натрия). Начинка: свинина, говядина, вода питьевая, лук репчатый свежий, соль, регуляторы кислотности (пирофосфаты, трифосфаты, цитраты натрия), молоко сухое цельное, чеснок сушеный, лук сушеный, перец черный молотый, перец белый молотый, экстракты пряностей, сахара, антиокислители (аскорбиновая кислота, экстракты розмарина), усилитель вкуса и аромата (глутамат натрия 1-замещеннный), ароматизаторы. </t>
  </si>
  <si>
    <t>ВЕТЧ.ОХОТНИЧЬЯ ПМ п/о 0.35кг 6шт.</t>
  </si>
  <si>
    <t>ЭКСТРА Папа может с/к в/у 1/250 8шт_СНГ</t>
  </si>
  <si>
    <t>ЧОРИЗО Останкино с/к в/у 1/220 8шт_СНГ</t>
  </si>
  <si>
    <t>САЛЬЧИЧОН Останкино с/к в/у 1/220_СНГ</t>
  </si>
  <si>
    <t>Мясной полуфабрикат бескостный крупнокусковой охлажденный из свинины категории А.</t>
  </si>
  <si>
    <t>Z-СЕРВ. БАВАРСКИЙ в/к (для нарезки)</t>
  </si>
  <si>
    <t>свинина, шпик, стабилизатор белковый (шкурка свиная, вода питьевая), мясо куриное механической обвалки, вода питьевая, сыворотка молочная сухая, крахмал картофельный, смесь посолочно-нитритная (соль, фиксатор окраски (нитрит натрия)), черный перец, белый перец, чеснок, кориандр, красная паприка, соль, белок животный (говяжий), сахар, регуляторы кислотности (трифосфаты, пирофосфаты, глюконо-дельта-лактон, цитраты натрия), экстракты специй и пряностей, антиокислители (лимонная кислота, аскорбиновая кислота, экстракт розмарина), усилитель вкуса и аромата (глутамат натрия), гемоглобин, ароматизаторы, краситель (кармины)</t>
  </si>
  <si>
    <t>308/1274</t>
  </si>
  <si>
    <t>Кор 1010х195х195 П32ВС без печати №293</t>
  </si>
  <si>
    <t>свинина, вода питьевая, соль, регуляторы кислотности (пирофосфаты, трифосфаты, цитраты натрия), стабилизатор (полифосфаты), белок животный (свиной), сывороточный молочный белок, антиокислитель (аскорбат натрия), смесь посолочно-нитритная (соль, фиксатор окраски (нитрит натрия)), ароматизаторы</t>
  </si>
  <si>
    <t>КЛАССИЧЕСКАЯ ПМ вар п/о 0.3кг_СНГ</t>
  </si>
  <si>
    <t>СЕРВ.ТОЛСТ.СЛАЙС КОПЧ. в/к с/н мгс 1/150</t>
  </si>
  <si>
    <t>Z-ВЕТЧ.С ИНДЕЙКОЙ ПМ в/у срез 0.3кг</t>
  </si>
  <si>
    <t>ОМПК(С)
ОМПК(Г)</t>
  </si>
  <si>
    <t>свинина, вода питьевая, стабилизатор белковый (вода питьевая, шкурка свиная), крахмал картофельный, соль,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загуститель (каррагинан из водорослей EUCHEUMA), специи (в т.ч. горчица), пряности, экстракты специй, сахара, антиокислители (лимонная кислота, аскорбиновая кислота, аскорбат натрия), усилитель вкуса и аромата (глутамат натрия), ароматизаторы, краситель (кармины)</t>
  </si>
  <si>
    <t>свинина, шпик, белок соевый, филе грудок куриных, говядина, белок молочный, клетчатка растительная (в т.ч. пшеничная), смесь посолочно-нитритная (соль, фиксатор окраски (нитрит натрия)), соль, регуляторы кислотности (пирофосфаты, цитраты натрия), экстракты пряностей (перец черный молотый, имбирь, перец красный молотый), сахара, антиокислители (изоаскорбат натрия, аскорбиновая кислота), усилитель вкуса и аромата (глутамат натрия), ароматизаторы, гемоглобин, краситель (кармины), стартовая культура</t>
  </si>
  <si>
    <t>Кор 204х155х130 Т23С Останкино №295</t>
  </si>
  <si>
    <t>СОЧНЫЕ С СЫРОМ ПМ сар п/о мгс 0.3кг_60с</t>
  </si>
  <si>
    <t>КОПЧЕНАЯ НА ДУБЕ ПМ с/к в/у 1/150 12шт.</t>
  </si>
  <si>
    <t>ДОКТОРСКАЯ ГОСТ ПМ вар п/о 0.35кг 8шт.</t>
  </si>
  <si>
    <t>свинина, говядина, вода питьевая, сухой яичный меланж,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пряности (орех мускатный молотый), сахар, антиокислитель (аскорбиновая кислота), усилитель вкуса и аромата (глутамат натрия)</t>
  </si>
  <si>
    <t>свинина, шпик, филе грудок куриных, белок соевый, белок молочный, клетчатка растительная (в т.ч. пшеничная), смесь посолочно-нитритная (соль, фиксатор окраски (нитрит натрия)), соль, регуляторы кислотности (пирофосфаты, цитраты натрия), экстракты пряностей, сахара, антиокислители (изоаскорбат натрия, аскорбиновая кислота), усилитель вкуса и аромата (глутамат натрия), ароматизаторы, гемоглобин, краситель (кармины), стартовая культура</t>
  </si>
  <si>
    <t>СЛИВОЧНАЯ ПМ вар п/о 0.5кг 8шт.</t>
  </si>
  <si>
    <t>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сливки сухие,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t>
  </si>
  <si>
    <t>С ИНДЕЙКОЙ Папа может вар п/о 0.8кг 4шт.</t>
  </si>
  <si>
    <t>САЛЯМИ ФИНСКАЯ Папа может с/к в/у 1/150</t>
  </si>
  <si>
    <t>КОЛБ.РУБЛЕН.С ГОВЯД.ПМ сос п/о в/у 1/320</t>
  </si>
  <si>
    <t>199/857</t>
  </si>
  <si>
    <t>говядина, мясо куриное механической обвалки, филе грудок куриных, вода питьевая, говядина, крахмал картофельный, молоко сухое обезжиренное, смесь посолочно-нитритная (соль, фиксатор окраски (нитрит натрия)), сахар, соль, регуляторы кислотности (пирофосфаты, трифосфаты, цитраты натрия), лук сушеный молотый, пряности, экстракты пряностей, антиокислители (аскорбат натрия, лимонная кислота, аскорбиновая кислота), усилитель вкуса и аромата (глутамат натрия), ароматизаторы, красители (кармины, сахарный коллер), гемоглобин</t>
  </si>
  <si>
    <t>КОЛБ.РУБЛЕН.КУРИНЫЕ ПМ сос п/о в/у 1/320</t>
  </si>
  <si>
    <t>ТУ 10.13.14-180-00425283-2025</t>
  </si>
  <si>
    <t>КОЛБ.РУБЛЕН.СВИНЫЕ ПМ сос п/о в/у 1/320</t>
  </si>
  <si>
    <t>свинина, вода питьевая, молоко сухое обезжиренное, крахмал картофельный, смесь посолочно-нитритная (соль, фиксатор окраски (нитрит натрия)), сахар, соль, регуляторы кислотности (пирофосфаты, трифосфаты, цитраты натрия), паприка, петрушка, чеснок, пряности, экстракты пряностей, антиокислители (аскорбат натрия, лимонная кислота, аскорбиновая кислота), усилитель вкуса и аромата (глутамат натрия), ароматизаторы</t>
  </si>
  <si>
    <t>С ГОВЯДИНОЙ ПМ сос п/о мгс 0.4 кг 10шт.</t>
  </si>
  <si>
    <t>говядина, мясо куриное механической обвалки, вода питьевая, стабилизатор белковый (кожа куриная, вода питьевая, говядина), филе грудок куриных, крахмал кукурузный,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загустители (каррагинан, ксантановая камедь, конжак, альгинат натрия, гуаровая камедь, модифицированный крахмал, камедь целлюлозы), антиокислители (аскорбиновая кислота, лимонная кислота), ароматизаторы, краситель (кармины)</t>
  </si>
  <si>
    <t>свинина, вода питьевая, мясо куриное механической обвалки, шпик, стабилизатор белковый (вода питьевая, шкурка свиная), филе грудок куриных, сыворотка молочная сухая, смесь посолочно-нитритная (соль, фиксатор окраски (нитрит натрия)), соль, сахар, чеснок свежий, регуляторы кислотности (пирофосфаты, трифосфаты, цитраты натрия), стабилизатор (полифосфаты), загуститель (альгинат натрия), специи, экстракты специй (в т.ч. сельдерей, горчица), антиокислитель (изоаскорбат натрия), усилитель вкуса и аромата (глутамат натрия), ароматизаторы, краситель (кармины)</t>
  </si>
  <si>
    <t>ПО-ОСТАНКИНСКИ ПМ сос п/о мгс 0.5кг 10шт</t>
  </si>
  <si>
    <t xml:space="preserve">свинина, мясо куриное механической обвалки, стабилизатор белковый (вода питьевая, шкурка свиная, говядина), вода питьевая, сыворотка молочная сухая, молоко сухое обезжиренное, крахмал кукурузный,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антиокислители (лимонная кислота, аскорбиновая кислота), усилитель вкуса и аромата (глутамат натрия), ароматизаторы, краситель (кармины) </t>
  </si>
  <si>
    <t>ЭКСТРА с/к с/н мгс 1*2_HRC</t>
  </si>
  <si>
    <t>СО ВКУС.ПИЦЦА БАРБЕКЮ сос п/о мгс 0.33кг</t>
  </si>
  <si>
    <t>156/682</t>
  </si>
  <si>
    <t xml:space="preserve">мясо куриное механической обвалки, свинина, вода питьевая, стабилизатор белковый (вода питьевая, шкурка свиная, говядина), сыворотка молочная сухая, крахмал кукурузный, желатин пищевой, соль, овощи сушеные (томат, лук репчатый, чеснок), пряности (паприка, базилик, орегано, кориандр, пажитник, перец красный), экстракты пряностей, сырный порошок, смесь посолочно-нитритная (соль, фиксатор окраски (нитрит натрия)), регуляторы кислотности (цитраты натрия, пирофосфаты, трифосфаты), стабилизатор (полифосфаты), загустители (каррагинан, конжак, ксантановая камедь, гуммиарабик, альгинат натрия, гуаровая камедь, модифицированный крахмал, камедь целлюлозы), сахара, антиокислители (изоаскорбат натрия, аскорбиновая кислота, лимонная кислота), усилитель вкуса и аромата (глутамат натрия), ароматизатор коптильный, ароматизаторы, краситель (кармины) </t>
  </si>
  <si>
    <t>ДЛЯ ДЕТЕЙ Папа может сос п/о мгс 0.33кг</t>
  </si>
  <si>
    <t>свинина, мясо куриное механической обвалки, вода питьевая, стабилизатор белковый (вода питьевая, шкурка свиная), говядина, сыворотка молочная сухая, крахмал кукурузный, крахмал картофельный, смесь посолочно-нитритная (соль, фиксатор окраски (нитрит натрия)), соль, сахар, регуляторы кислотности (пирофосфаты, трифосфаты, цитраты натрия), загустители (каррагинан, гуаровая камедь, конжак), антиокислители (аскорбиновая кислота, лимонная кислота), экстракты пряностей, усилитель вкуса и аромата (глутамат натрия), краситель (кармины)</t>
  </si>
  <si>
    <t>ОМПК(С)
ОМПК(О)
ОМПК(Г)</t>
  </si>
  <si>
    <t>МОЛОЧНАЯ GUTMANN вар п/о 0.5кг 8шт.</t>
  </si>
  <si>
    <t>GUTMANN</t>
  </si>
  <si>
    <t xml:space="preserve">ОМПК(О)
ОМПК(С)
ОМПК(Г)
</t>
  </si>
  <si>
    <t>МОЛОЧНЫЕ GUTMANN сос п/о мгс 0.5кг 10шт.</t>
  </si>
  <si>
    <t>ВЕТЧ.БАВАРСКАЯ GUTMANN в/у срез 0.4кг</t>
  </si>
  <si>
    <t>СВИНИНА МАДЕРА с/к с/н в/у 1/100 8шт.</t>
  </si>
  <si>
    <t>МРАМОРНАЯ И БАЛЫКОВАЯ в/к с/н мгс 1/90</t>
  </si>
  <si>
    <t>свинина, вода питьевая, стабилизатор белковый (вода питьевая, шкурка свиная), сыворотка молочная сухая,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камедь целлюлозы, модифицированный крахмал), чеснок сушеный молотый, пряности, сахара, антиокислители (лимонная кислота, аскорбиновая кислота, изоаскорбат натрия, аскорбат натрия), усилитель вкуса и аромата (глутамат натрия 1-замещенный), ароматизатор, краситель (кармины)</t>
  </si>
  <si>
    <t>свинина, говядина, вода питьевая, меланж яичный сухой, молоко коровье сухое обезжиренное,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 натрия), специи (перец черный молотый, орех мускатный), сахар, антиокислитель (аскорбиновая кислота), усилитель вкуса и аромата (глутамат натрия)</t>
  </si>
  <si>
    <t>свинина, вода питьевая, смесь посолочно-нитритная (соль, фиксатор окраски (нитрит натрия)), крахмал картофельный, белок животный (говяжий), регуляторы кислотности (цитраты натрия, трифосфаты), загустители (каррагинан из водорослей EUCHEUMA, ксантановая камедь, модифицированный крахмал), соль, пряности, экстракты пряностей, сахара, антиокислители (лимонная кислота, аскорбиновая кислота, аскорбат натрия), усилитель вкуса и аромата (глутамат натрия), ароматизаторы, краситель (кармины)</t>
  </si>
  <si>
    <t>101/423</t>
  </si>
  <si>
    <t>162/676</t>
  </si>
  <si>
    <t>мясо куриное механической обвалки, свинина, вода питьевая, стабилизатор белковый (вода питьевая, шкурка свиная), продукт плавленый с сыром (вода питьевая, масло растительное рафинированное дезодорированное (в т.ч. гидрогенезированное, переэтерефицированное, подсолнечное и/или рапсовое), крахмал картофельный, молоко сухое обезжиренное, сыр (молоко пастеризованное, бактериальная закваска мезофильных молочнокислых микроорганизмов, молокосвертывающий ферментный препарат микробного происхождения), соль, регуляторы кислотности (цитраты натрия, пирофосфаты, карбонаты натрия, молочная кислота, янтарная кислота), стабилизаторы (полифосфаты, крахмал модифицированный), ароматизатор, красители (каротины, сахарный колер)),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загустители (конжак, ксантановая камедь, альгинат натрия, каррагинан, гуаровая камедь, камедь целлюлозы, модифицированный крахмал), специи, чеснок сушеный молотый, сахара, антиокислители (изоаскорбат натрия, лимонная кислота аскорбиновая кислота), усилитель вкуса и аромата (глутамат натрия), ароматизаторы, краситель (кармины)</t>
  </si>
  <si>
    <t>ВОСКРЕСЕНСКАЯ ВЯЛЕНАЯ Останкино в/к в/у</t>
  </si>
  <si>
    <t>свинина, стабилизатор белковый (шкурка свиная, вода питьевая), шпик, вода питьевая, сыворотка молочная сухая, крахмал картофельный, смесь посолочно-нитритная (соль, фиксатор окраски (нитрит натрия)), белок животный (говяжий), регуляторы кислотности (пирофосфаты, трифосфаты, цитраты натрия), стабилизатор (полифосфаты), специи и экстракты специй (в т.ч. горчица), сахара, чеснок, белок соевый, антиокислители (аскорбиновая кислота, изоаскорбат натрия), усилитель вкуса и аромата (глутамат натрия), ароматизаторы, гемоглобин, краситель (кармины), фермент (лизин)</t>
  </si>
  <si>
    <t>408/1689</t>
  </si>
  <si>
    <t>свинина, вода питьевая, стабилизатор белковый (вода питьевая, шкурка свиная), говядина, сыворотка молочная сухая, молоко сухое обезжиренное, смесь посолочно-нитритная (соль, фиксатор окраски (нитрит натрия)), сливки сухие, соль, сахар, регуляторы кислотности (пирофосфаты, трифосфаты, цитраты натрия), стабилизатор (полифосфаты), специи, антиокислители (аскорбиновая кислота, лимонная кислота, изоаскорбат натрия), усилитель вкуса и аромата (глутамат натрия), ароматизатор, краситель (кармины)</t>
  </si>
  <si>
    <t>мясо птицы механической обвалки (куриное, индейки), стабилизатор белковый (вода питьевая, говядина, кожа куриная), вода питьевая, филе грудок куриных, крахмал кукурузный,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модифицированный крахмал, каррагинан, гуаровая камедь, камедь целлюлозы, конжак, ксантановая камедь), сахара, специи, антиокислители (изоаскорбат натрия, аскорбиновая кислота, лимонная кислота), усилитель вкуса и аромата (глутамат натрия), ароматизаторы, краситель (кармины)</t>
  </si>
  <si>
    <t>168/699</t>
  </si>
  <si>
    <t>СОЧНЫЙ ГРИЛЬ сос ц/о мгс 0.41кг_Даблпак</t>
  </si>
  <si>
    <t>НОВОМОСКОВСКАЯ Останкино в/к в/у</t>
  </si>
  <si>
    <t>свинина, шпик, говядина, смесь посолочно-нитритная (соль, фиксатор окраски (нитрит натрия)), соль, регуляторы кислотности (цитраты натрия), стабилизаторы (пирофосфаты, трифосфаты, полифосфаты), сахара, экстракты специй, специи (в т.ч. горчица), усилитель вкуса и аромата (глутамат натрия), гемоглобин, краситель (кармины)</t>
  </si>
  <si>
    <t>411/1698</t>
  </si>
  <si>
    <t>СЕРВЕЛАТ АРБАТСКИЙ АВТОРСКИЙ в/к мгс</t>
  </si>
  <si>
    <t>свинина, шпик, стабилизатор белковый (шкурка свиная, вода питьевая), вода питьевая, сыворотка молочная сухая, крахмал картофельный, смесь посолочно-нитритная (соль, фиксатор окраски (нитрит натрия)), соль, белок животный (говяжий), регуляторы кислотности (пирофосфаты, трифосфаты, цитраты натрия), стабилизатор (полифосфаты), сахара, специи, экстракты специй (в т.ч. горчица), экстракты пряностей, белок соевый, антиокислитель (аскорбиновая кислота), усилитель вкуса и аромата (глутамат натрия), ароматизаторы, гемоглобин, краситель (кармины), фермент (лизин)</t>
  </si>
  <si>
    <t>404/1672</t>
  </si>
  <si>
    <t>Кор-реп 252х134х180 Т23Е Останкино №291</t>
  </si>
  <si>
    <t>свинина, вода питьевая, соль, белок животный (говяжий), загустители (альгинат натрия, ксантановая камедь), уплотнитель (хлорид кальция), овощи сушеные (томаты, лук), пряности (пажитник, кориандр, майоран, петрушка, укроп), экстракты пряностей (перец красный), сахар, уксус сухой столовый, регулятор кислотности (лимонная кислота), стабилизатор (гуаровая камедь), антиокислитель (экстракты розмарина), усилитель вкуса и аромата (глутамат натрия)</t>
  </si>
  <si>
    <t>свинина, вода питьевая, мясо куриное механической обвалки, шпик, стабилизатор белковый (вода питьевая, шкурка свиная), говядина, сыворотка молочная сухая, смесь посолочно-нитритная (соль, фиксатор окраски (нитрит натрия)), регуляторы кислотности (пирофосфаты, трифосфаты, цитраты натрия), загустители (каррагинан, гуаровая камедь, ксантановая камедь, камедь рожкового дерева, камедь тары), белок животный (говяжий), соль, сахара, специи, экстракты специй (в т.ч. горчица), антиокислители (аскорбиновая кислота), усилитель вкуса и аромата (глутамат натрия), краситель (кармины)</t>
  </si>
  <si>
    <t>ОМПК(К)
ОМПК(О)</t>
  </si>
  <si>
    <t>АСС: 2 ВК ПОРЦ МОЛ И С БЕК сос мгс 0.4кг</t>
  </si>
  <si>
    <t>10
10</t>
  </si>
  <si>
    <t>15
21</t>
  </si>
  <si>
    <t>4
3</t>
  </si>
  <si>
    <r>
      <rPr>
        <b/>
        <sz val="10"/>
        <rFont val="Arial Cyr"/>
        <charset val="204"/>
      </rPr>
      <t>сосиски Молочные:</t>
    </r>
    <r>
      <rPr>
        <sz val="10"/>
        <rFont val="Arial Cyr"/>
        <charset val="204"/>
      </rPr>
      <t xml:space="preserve"> свинина, мясо куриное механической обвалки, стабилизатор белковый (вода питьевая, шкурка свиная, говядина), вода питьевая, сыворотка молочная сухая, молоко сухое обезжиренное, сливки сухие, крахмал картофельный, крахмал кукурузный, смесь посолочно-нитритная (соль, фиксатор окраски (нитрит натрия)),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сахара, антиокислители (лимонная кислота, аскорбиновая кислота), усилитель вкуса и аромата (глутамат натрия), ароматизаторы, краситель (кармины). 
</t>
    </r>
    <r>
      <rPr>
        <b/>
        <sz val="10"/>
        <rFont val="Arial Cyr"/>
        <charset val="204"/>
      </rPr>
      <t>сосиски С беконом:</t>
    </r>
    <r>
      <rPr>
        <sz val="10"/>
        <rFont val="Arial Cyr"/>
        <charset val="204"/>
      </rPr>
      <t xml:space="preserve"> свинина, мясо куриное механической обвалки, вода питьевая, стабилизатор белковый (вода питьевая, шкурка свиная), шпик, сыворотка молочная сухая,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стабилизатор (полифосфаты), загустители (каррагинан, альгинат натрия, гуаровая камедь, модифицированный крахмал, камедь целлюлозы), сахара, чеснок свежий, специи (чеснок сушеный, перец белый молотый, перец черный молотый), экстракты специй, антиокислитель (аскорбиновая кислота), усилитель вкуса и аромата (глутамат натрия), ароматизаторы, краситель (кармины).</t>
    </r>
  </si>
  <si>
    <t>191/793
241/998</t>
  </si>
  <si>
    <t>СУПЕР СЫТНЫЕ ПМ сос п/о мгс 1.5*6</t>
  </si>
  <si>
    <t>мясо куриное механической обвалки, вода питьевая, стабилизатор белковый (вода питьевая, шкурка свиная), сыворотка молочная сухая, крахмал картофельный, смесь посолочно-нитритная (соль, фиксатор окраски (нитрит натрия)), соль, молоко сухое обезжиренное, сливки сухие, регуляторы кислотности (пирофосфаты, трифосфаты, цитраты натрия), загустители (каррагинан, конжак, ксантановая камедь, альгинат натрия, гуаровая камедь, модифицированный крахмал, камедь целлюлозы), сахара, экстракты пряностей, антиокислители (аскорбиновая кислота, лимонная кислота, изоаскорбат натрия), усилитель вкуса и аромата (глутамат натрия), ароматизаторы, краситель (кармины)</t>
  </si>
  <si>
    <t>Z-САЛЯМИ ФИНСКАЯ ПМ с/к в/у 1/150 гр/уп</t>
  </si>
  <si>
    <t>Z-ПАПИН ВЫБОР Папа Может с/к в/у 1/220</t>
  </si>
  <si>
    <t>Z-БАРСЕЛОНА ПМ с/к в/у 1/150 гр/уп</t>
  </si>
  <si>
    <t>БАЛЫК И ШЕЙКА ПМ к/з с/н мгс 1/90 8шт.</t>
  </si>
  <si>
    <t>САЛО СОЛЕНОЕ С ЧЕРНЫМ ПЕРЦЕМ мл/к в/у_X5</t>
  </si>
  <si>
    <t>КОЛБ.БЕЛЫЕ МЮНХЕН.GUTMANN б/о мгс 1/320</t>
  </si>
  <si>
    <t>свинина, филе грудок куриных, стабилизатор белковый (вода питьевая, шкурка свиная), вода питьевая, соль, волокна пищевые (пшеничные), регуляторы кислотности (пирофосфаты, трифосфаты, цитраты натрия), стабилизатор (полифосфаты), майоран, специи, экстракты специй, сахара, антиокислители (аскорбиновая кислота, лимонная кислота), усилитель вкуса и аромата (глутамат натрия)</t>
  </si>
  <si>
    <t>Кор 225х137х130 Т23С Останкино №297</t>
  </si>
  <si>
    <t>ГОВЯЖЬЯ Папа может вар п/о 0.4кг 6шт.</t>
  </si>
  <si>
    <t>ФИЛЕЙНАЯ Папа может вар п/о 0.45кг 6шт.</t>
  </si>
  <si>
    <t>ДОКТОРСКАЯ ОСТАНКИНСКАЯ вар ц/о в/у</t>
  </si>
  <si>
    <t>свинина, вода питьевая, стабилизатор белковый (вода питьевая, шкурка свиная), шпик, говядина, сыворотка молочная сухая,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крахмал картофельный, специи, экстракты специй и пряностей (в т.ч. горчица, сельдерей), сахара, антиокислители (изоаскорбат натрия, аскорбиновая кислота, лимонная кислота), усилитель вкуса и аромата (глутамат натрия), ароматизаторы, краситель (кармины)</t>
  </si>
  <si>
    <t>ЛЮБИТЕЛЬСКАЯ ОСТАНКИНСКАЯ вар ц/о в/у</t>
  </si>
  <si>
    <t>свинина, вода питьевая, стабилизатор белковый (вода питьевая, шкурка свиная), шпик, говядина, сыворотка молочная сухая, смесь посолочно-нитритная (соль, фиксатор окраски (нитрит натрия)), регуляторы кислотности (пирофосфаты, трифосфаты, цитраты натрия), загустители (каррагинан, гуаровая камедь, ксантановая камедь, альгинат натрия), специи, экстракты специи (в т.ч. горчица), сахара, антиокислители (аскорбат натрия, лимонная кислота, аскорбиновая кислота), усилитель вкуса и аромата (глутамат натрия), ароматизаторы, краситель (кармины)</t>
  </si>
  <si>
    <t>273/1129</t>
  </si>
  <si>
    <t>225/935</t>
  </si>
  <si>
    <t>РУБЛЕНЫЕ сос ц/о в/у 0.36кг 8шт.</t>
  </si>
  <si>
    <t>НОВОМОСКОВСКАЯ в/к в/у срез 0.31кг</t>
  </si>
  <si>
    <t>КЛАССИЧЕСКАЯ Кор вар п/о(обвязка)_Маяк</t>
  </si>
  <si>
    <t>КЛАССИКА ПМ сос п/о мгс 0.5кг 10шт.</t>
  </si>
  <si>
    <t>свинина, вода, говядина, белковый стабилизатор (шкурка свиная, вода), молоко сухое обезжиренное, смесь посолочно-нитритная (соль, фиксатор окраски (нитрит натрия)), стабилизатор (цитраты натрия), сахар, экстракт специй (душистый перец, мускатный орех)</t>
  </si>
  <si>
    <t>мясо куриное механической обвалки, свинина, вода питьевая, стабилизатор белковый (вода питьевая, шкурка свиная), крахмалы (кукурузный, картофельный), смесь посолочно-нитритная (соль, фиксатор окраски (нитрит натрия)), чеснок свежий, регуляторы кислотности (пирофосфаты, трифосфаты, цитраты натрия), стабилизатор (полифосфаты), загустители (альгинат натрия, каррагинан, гуаровая камедь, камедь целлюлозы, модифицированный крахмал, конжак, ксантановая камедь), соль, пряности, экстракты пряностей, сахара, антиокислитель (аскорбиновая кислота), усилитель вкуса и аромата (глутамат натрия), ароматизаторы, краситель (кармины)</t>
  </si>
  <si>
    <t>199/827</t>
  </si>
  <si>
    <t>мясо куриное механической обвалки, свинина, вода питьевая, стабилизатор белковый (вода питьевая, шкурка свиная), продукт плавленый с сыром (вода питьевая, масло растительное рафинированное дезодорированное (в т.ч. гидрогенезированное, переэтерефицированное, подсолнечное и/или рапсовое), крахмал картофельный, молоко сухое обезжиренное, сыр (молоко пастеризованное, бактериальная закваска мезофильных молочнокислых микроорганизмов, молокосвертывающий ферментный препарат микробного происхождения), соль, регуляторы кислотности (цитраты натрия, пирофосфаты, карбонаты натрия, молочная кислота, янтарная кислота), стабилизаторы (полифосфаты, крахмал модифицированный), ароматизатор, красители (каротины, сахарный колер), крахмал картофельный, крахмал кукурузный,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модифицированный крахмал, камедь целлюлозы), пряности, экстракты пряностей, сахара, антиокислители (аскорбиновая кислота, лимонная кислота), усилитель вкуса и аромата (глутамат натрия), ароматизаторы, краситель (кармины)</t>
  </si>
  <si>
    <t>Z-ПРЕСИЖН с/к дек.спец. мгс 0.54кг</t>
  </si>
  <si>
    <t>свинина, филе грудок куриных,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кукурузный, белок животный (говяжий), клетчатка, регуляторы кислотности (пирофосфаты, трифосфаты, цитраты натрия), загуститель (альгинат натрия), специи (в т.ч. горчица), ароматизаторы, сахара, антиокислители (аскорбиновая кислота, лимонная кислота), усилитель вкуса и аромата (глутамат натрия 1-замещенный), гемоглобин, краситель (кармины)</t>
  </si>
  <si>
    <t xml:space="preserve">ОМПК(К)
</t>
  </si>
  <si>
    <t>РУЛЕТ НЕЖНЫЙ к/в с/н в/у 1/100_СТМ</t>
  </si>
  <si>
    <t>Мясной полуфабрикат крупнокусковой бескостный охлажденный из свинины категории А</t>
  </si>
  <si>
    <t>Мясной полуфабрикат крупнокусковой бескостный охлажденный из свинины категории Б</t>
  </si>
  <si>
    <t>Мясной полуфабрикат крупнокусковой мясокостный охлажденный из свинины категории А</t>
  </si>
  <si>
    <t>Мясной полуфабрикат мелкокусковой мясокостный охлажденный из свинины категории Б</t>
  </si>
  <si>
    <t>Мясной полуфабрикат крупнокусковой мясокостный охлажденный из свинины категории Б</t>
  </si>
  <si>
    <t>Кор-реп 199х144х197 Т24Е Останкино №296</t>
  </si>
  <si>
    <t>СЕРВЕЛАТ ОРЕХОВЫЙ Коровино в/к в/у 0.7кг</t>
  </si>
  <si>
    <t>говядина, мясо куриное механической обвалки, вода питьевая, филе грудок куриных, стабилизатор белковый (вода питьевая, кожа куриная), крахмал кукурузный,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загустители (каррагинан, ксантановая камедь, конжак, альгинат натрия, гуаровая камедь, модифицированный крахмал, камедь целлюлозы), антиокислители (аскорбиновая кислота, лимонная кислота), ароматизаторы, краситель (кармины)</t>
  </si>
  <si>
    <t>ВЕРНЫЙ ВЫБОР ПМ сос п/о мгс 0.6кг 8шт.</t>
  </si>
  <si>
    <t>ГРУДИНКА ПРЕМИУМ к/в мл/к в/у</t>
  </si>
  <si>
    <t>ВОСКРЕСЕНСКАЯ ВЯЛЕНАЯ в/к в/у срез 1/260</t>
  </si>
  <si>
    <t>БЛИНЧ.КРУГЛЫЕ С МЯСОМ ПМ 1/300 зам.</t>
  </si>
  <si>
    <t>свинина, филе грудок куриных, мясо цыпленка-бройлера механической обвалки, стабилизатор белковый (вода питьевая, шкурка свиная), говядина, вода питьевая, сыворотка молочная сухая, крахмал кукурузный, смесь посолочно-нитритная (соль, фиксатор окраски (нитрит натрия)), регуляторы кислотности (пирофосфаты, трифосфаты, цитраты натрия), загустители (альгинат натрия, каррагинан, ксантановая камедь, гуаровая камедь, модифицированный крахмал), белок животный (говяжий), перец черный, мускатный орех, чили, сахара, антиокислители (аскорбиновая кислота, лимонная кислота), клетчатка растительная (соевая), усилитель вкуса и аромата (глутамат натрия 1-замещенный), ароматизаторы, краситель (кармины)</t>
  </si>
  <si>
    <t>665/160</t>
  </si>
  <si>
    <t>свинина, загуститель (альгинат натрия), уплотнитель (хлорид кальция), вода питьевая, соль, регулятор кислотности (молочная кислота), стабилизатор (гуаровая камедь), пряности, уксус сухой, сахар, усилитель вкуса и аромата (глутамат натрия), ароматизаторы</t>
  </si>
  <si>
    <t>266/1103</t>
  </si>
  <si>
    <t xml:space="preserve">1) 14
2) 16
3) 14  </t>
  </si>
  <si>
    <t>1) 25
2) 22
3) 20</t>
  </si>
  <si>
    <t>1) 1
2) 1
3) 1</t>
  </si>
  <si>
    <t>1) 285/1180
2) 266/1103
3) 240/995</t>
  </si>
  <si>
    <t>АСС:СОЧ.МИКС КЛАС.VS С СЫР. сос мгс 0.4</t>
  </si>
  <si>
    <t>5
4</t>
  </si>
  <si>
    <t>свинина, филе грудок куриных, мясо цыпленка-бройлера механической обвалки, вода питьевая, стабилизатор белковый (вода питьевая, кожа куриная, шкурка свиная),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(альгинат натрия, каррагинан, гуаровая камедь, ксантановая камедь), чеснок сушеный молотый, перец красный, перец черный, тмин, паприка, кориандр, имбирь, горчица, белок молочный, сахара, антиокислитель (аскорбиновая кислота), усилитель вкуса и аромата (глутамат натрия 1-замещенный), ароматизаторы, краситель (кармины)</t>
  </si>
  <si>
    <t>КЁЛЬН GUTMANN с/к в/у 1/220 8шт.</t>
  </si>
  <si>
    <t>свинина, шпик, белок соевый, белок молочный, клетчатка растительная (в т.ч. пшеничная), смесь посолочно-нитритная (соль, фиксатор окраски (нитрит натрия)), регулятор кислотности (пирофосфаты), пряности (перец белый молотый, перец черный молотый), сахара, соль, антиокислитель (изоаскорбат натрия), усилитель вкуса и аромата (глутамат натрия), ароматизаторы, гемоглобин, краситель (кармины), стартовая культура</t>
  </si>
  <si>
    <t>Z-БУРГУНДИЯ с/к в/у 0.44 гр/уп</t>
  </si>
  <si>
    <t>БАЛЫК Останкино с/к кр/к в/у</t>
  </si>
  <si>
    <t>160-200</t>
  </si>
  <si>
    <t>СО ВКУС.СОУСА ШРИРАЧА сос п/о мгс 0.33кг</t>
  </si>
  <si>
    <t>мясо цыпленка-бройлера механической обвалки, свинина, стабилизатор белковый (шкурка свиная, вода питьевая, говядина), вода питьевая, сыворотка молочная сухая, крахмал кукурузный, паприка, куркума, перец чили, сок лимона, перец черный, мускатный орех, смесь посолочно-нитритная (соль, фиксатор окраски (нитрит натрия)), регуляторы кислотности (пирофосфаты, трифосфаты, цитраты натрия), загустители (каррагинан, ксантановая камедь, альгинат натрия, гуаровая камедь, модифицированный крахмал), сахара, антиокислители (лимонная кислота, аскорбиновая кислота), усилитель вкуса и аромата (глутамат натрия 1-замещенный), ароматизаторы, краситель (кармины)</t>
  </si>
  <si>
    <t>СЕРВЕЛАТ ОРЕХОВЫЙ С КЕДР.ОРЕХОМ в/к мгс</t>
  </si>
  <si>
    <t>Z-СЕРВ. ОРЕХОВЫЙ С КЕДР.ОРЕХОМ в/к мгс</t>
  </si>
  <si>
    <t>свинина, шпик, стабилизатор белковый (шкурка свиная, вода питьевая), вода питьевая, сыворотка молочная сухая, крахмал картофельный, смесь посолочно-нитритная (соль, фиксатор окраски (нитрит натрия)), соль, белок животный (говяжий), орех кедровый очищенный, регуляторы кислотности (пирофосфаты, трифосфаты, цитраты натрия), стабилизатор (полифосфаты), чеснок, экстракты специй (в т.ч. горчица), сахара, антиокислитель (аскорбиновая кислота), усилитель вкуса и аромата (глутамат натрия), гемоглобин, ароматизаторы, ароматизатор коптильный, краситель (кармины), фермент (лизин)</t>
  </si>
  <si>
    <t>417/1723</t>
  </si>
  <si>
    <t>КОРЕЙКА GUTMANN с/к с/н мгс 1/130</t>
  </si>
  <si>
    <t>Кор-реп 199х144х197 Т24Е Гутман №312</t>
  </si>
  <si>
    <t>БРАУНШВЕЙГСКАЯ GUTMANN с/к с/н мгс 1/130</t>
  </si>
  <si>
    <t>Кор-реп 199х144х147 Т24Е Гутман №311</t>
  </si>
  <si>
    <t>СОЧНЫЕ С СЫРОМ ПМ сос ц/о мгс 0.3кг 6шт.</t>
  </si>
  <si>
    <t>Мясной полуфабрикат бескостный мелкокусковой маринованный охлажденный из свинины категории А.</t>
  </si>
  <si>
    <t>свинина, лук репчатый свежий, вода питьевая, сахар, пряности, экстракты пряностей, овощи сушеные (чеснок, томаты, паприка, перец красный, лук, перец черный, орегано), масло подсолнечное рафинированное дезодорированное, соль, уксус пищевой, крахмал картофельный, загуститель (ксантановая камедь), антиокислитель (лимонная кислота), усилитель вкуса и аромата (глутамат натрия), ароматизаторы</t>
  </si>
  <si>
    <t>свинина, стабилизатор белковый (кожа куриная, вода питьевая, шкурка свиная), вода питьевая, филе грудок куриных,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гуаровая камедь, ксантановая камедь, альгинат натрия), специи (в т.ч. горчица, сельдерей), сахара, антиокислитель (аскорбиновая кислота), усилитель вкуса и аромата (глутамат натрия), краситель (кармины)</t>
  </si>
  <si>
    <t>159/662</t>
  </si>
  <si>
    <t>ДОКТОРСКАЯ ГОСТ Останкино вар п/о</t>
  </si>
  <si>
    <t>ДОКТОРСКАЯ ГОСТ Останкино вар п/о 0.35кг</t>
  </si>
  <si>
    <t>ВЕТЧ.ИЗ ЛОПАТКИ п/о (пресс)_HRC</t>
  </si>
  <si>
    <t>ТУ 10.13.15-159-00425283-2022</t>
  </si>
  <si>
    <t>Продукт из мяса кур сырокопченый охлажденный.</t>
  </si>
  <si>
    <t>Продукт из мяса кур вареный охлажденный</t>
  </si>
  <si>
    <t>Кор 285х386х95 Т23С Останкино №300</t>
  </si>
  <si>
    <t>Кор 285х386х150 Т23С Останкино №301</t>
  </si>
  <si>
    <t>Кор 257х386х127 Т23С Останкино №302</t>
  </si>
  <si>
    <t>Кор 257х386х150 Т23С Останкино №303</t>
  </si>
  <si>
    <t>БАЛЫКОВАЯ Папа Может п/к в/у 0.84кг</t>
  </si>
  <si>
    <t>свинина, стабилизатор белковый (шкурка свиная, вода питьевая), вода питьевая, сыворотка молочная сухая, крахмал картофельный, соль, смесь посолочно-нитритная (соль, фиксатор окраски (нитрит натрия)), регуляторы кислотности (трифосфаты, пирофосфаты, цитраты натрия), чеснок сушеный молотый, горчица, перец черный, кардамон, сахара, антиокислители (аскорбиновая кислота, лимонная кислота), усилитель вкуса и аромата (глутамат натрия 1-замещенный), ароматизаторы, краситель (кармины)</t>
  </si>
  <si>
    <t>206/858</t>
  </si>
  <si>
    <t>БАЛЫКОВАЯ GUTMANN п/к в/у 0.28кг 8шт.</t>
  </si>
  <si>
    <t>свинина, стабилизатор белковый (шкурка свиная, вода питьевая), вода питьевая, сыворотка молочная сухая, крахмал картофельный, соль, смесь посолочно-нитритная (соль, фиксатор окраски (нитрит натрия)), регуляторы кислотности (трифосфаты, цитраты натрия), стабилизаторы (пирофосфаты, полифосфаты), специи, экстракты специй (в т.ч. горчица), экстракты пряностей, чеснок сушеный молотый, сахара, антиокислители (аскорбат натрия, аскорбиновая кислота, лимонная кислота), усилитель вкуса и аромата (глутамат натрия), ароматизаторы, краситель (кармины)</t>
  </si>
  <si>
    <t xml:space="preserve">ОМПК(О)
ОМПК(Г)
</t>
  </si>
  <si>
    <t>ПРЕСИЖН с/к в/у срез</t>
  </si>
  <si>
    <t>СЛИВОЧНЫЕ Коровино сос п/о мгс 0.8кг 6шт</t>
  </si>
  <si>
    <t>МЯСНАЯ СО ШПИКОМ ПМ вар п/о 1.35*8</t>
  </si>
  <si>
    <t>КЛАССИЧЕСКАЯ Кор вар п/о(обвязка) 1.35*8</t>
  </si>
  <si>
    <t>КЛАССИЧЕСКАЯ Кор вар п/о(обвязка) 1.35_М</t>
  </si>
  <si>
    <t>ВЕТЧ.ДОМАШНЯЯ Папа может п/о 0.75кг 12шт</t>
  </si>
  <si>
    <t>ДОКТОРСКАЯ ГОСТ ПМ вар п/о 1.35*8</t>
  </si>
  <si>
    <t>БЕЗ ШПИКА вар п/о (катБ) 1.35*8_Kvalita</t>
  </si>
  <si>
    <t>ДОКТОР СКАЙ Папа может вар п/о 1.35*8</t>
  </si>
  <si>
    <t>МОЛОЧНЫЕ Кор сос п/о мгс 1.5*6_Ц_308к</t>
  </si>
  <si>
    <t>Кор 285х386х180 Т23С Останкино №308</t>
  </si>
  <si>
    <t>МОЛОЧНЫЕ Коровино сос п/о мгс 1.5*6_ЮСЗ</t>
  </si>
  <si>
    <t>МОЛОЧНЫЕ Кор сос п/о мгс 1.5*6_ЮСЗ_308к</t>
  </si>
  <si>
    <t>МОЛОЧНЫЕ Кор сос п/о мгс 1.5*6_М_308к</t>
  </si>
  <si>
    <t>КОПЧЕНЫЕ ПМ сос п/о мгс 1.2*6_301к</t>
  </si>
  <si>
    <t>Мясной полуфабрикат бескостный крупнокусковой замороженный из свинины категории А.</t>
  </si>
  <si>
    <t>Кор 190х386х95 Т23С Останкино №305</t>
  </si>
  <si>
    <t>Кор 190х386х148 Т23С Останкино №306</t>
  </si>
  <si>
    <t>Кор 257х386х95 Т23С Останкино №304</t>
  </si>
  <si>
    <t>Кор 150х386х127 Т23С Останкино №307</t>
  </si>
  <si>
    <t>Кор 285х386х127 Т23С Останкино №309</t>
  </si>
  <si>
    <t>С ГОВЯД.ПМ сос п/о мгс 0.8кг_309к_Kvalit</t>
  </si>
  <si>
    <t>ПОСОЛЬСКАЯ ПМ с/к в/у 0.5кг 8шт_305к</t>
  </si>
  <si>
    <t>КЛАССИЧЕСКИЕ ПМ сос п/о мгс_309к_Kvalita</t>
  </si>
  <si>
    <t>БАЛЫКОВАЯ СТМ Kvalit п/к в/у 0.84кг 10шт</t>
  </si>
  <si>
    <t>Z-КАРПАЧЧО ИЗ КУРИЦЫ с/к в/у гр/уп</t>
  </si>
  <si>
    <t>Мясной полуфабрикат рубленый охлажденный категории В.</t>
  </si>
  <si>
    <t>КАРЕЛЬСКАЯ ПМ с/к в/у 0.5кг_Kvalita_305к</t>
  </si>
  <si>
    <t>филе грудок куриных, мясо механической обвалки (куриное, индюшиное), вода питьевая, сыворотка молочная сухая, крахмал картофельный,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загуститель (альгинат натрия), пряности, экстракты пряностей, сахара, антиокислитель (изоаскорбат натрия), усилитель вкуса и аромата (глутамат натрия), ароматизаторы, краситель (кармины)</t>
  </si>
  <si>
    <t>ШЕЙКА СВИНАЯ кр/к в/у охл_П</t>
  </si>
  <si>
    <t>ЕВРЕЙСКАЯ полусухая ГОСТ срез с/к в/у</t>
  </si>
  <si>
    <t>КОРЕЙКА СВИНАЯ кр/к в/у охл_П</t>
  </si>
  <si>
    <t>ВЫРЕЗКА СВИНАЯ кр/к в/у(1*2) охл_П</t>
  </si>
  <si>
    <t>КОРЕЙКА СВИНАЯ кр/к м/к в/у охл_П</t>
  </si>
  <si>
    <t>РЕБРЫШКИ БАРБЕКЮ кр/к в/у охл_Р</t>
  </si>
  <si>
    <t>РУССКАЯ ГОСТ вар н/о в/у_30с</t>
  </si>
  <si>
    <t>говядина, свинина, шпик, вода питьевая, соль, смесь посолочно-нитритная (соль, фиксатор окраски (нитрит натрия)), регуляторы кислотности (трифосфаты, пирофосфаты, цитраты натрия), пряности, чеснок, сахар, антиокислитель (изоаскорбат натрия), усилитель вкуса и аромата (глутамат натрия)</t>
  </si>
  <si>
    <t>ДОКТОРСКАЯ ПО-ОСТАНКИНСКИ вар б/о в/у</t>
  </si>
  <si>
    <t>ДОКТОРСКАЯ ГОСТ Останкино вар ц/о в/у</t>
  </si>
  <si>
    <t>СОЧНЫЕ ПМ сос п/о мгс 0.5кг 8шт_50с</t>
  </si>
  <si>
    <t>БАЛЫКОВАЯ Останкино в/к в/у</t>
  </si>
  <si>
    <t>свинина, стабилизатор белковый (шкурка свиная, вода питьевая), вода питьевая, смесь посолочно-нитритная (соль, фиксатор окраски (нитрит натрия)), соль, белок животный (говяжий), регуляторы кислотности (пирофосфаты, трифосфаты, цитраты натрия), стабилизатор (полифосфаты), соль, специи, пряности, экстракты специй (в т.ч.горчица), сахара, антиокислитель (аскорбиновая кислота), усилитель вкуса и аромата (глутамат натрия 1-замещенный), фермент (лизин), ароматизаторы</t>
  </si>
  <si>
    <t>217/901</t>
  </si>
  <si>
    <t>АСС: БУРГУНДИЯ И САЛЯМИ с/к с/н мгс 1/90</t>
  </si>
  <si>
    <t>20
19</t>
  </si>
  <si>
    <t>СЕРВЕЛАТ ОРИГИН.ПМ в/к в/у 1/420_Kvalita</t>
  </si>
  <si>
    <t>РУБЛЕНЫЕ Останкино сос ц/о мгс 1*4</t>
  </si>
  <si>
    <t>ДОКТОРСКАЯ ГОСТ Останкино вар н/о в/у</t>
  </si>
  <si>
    <t>ХОТ-ДОГ Папа может сос б/о в/у 1/320 8шт</t>
  </si>
  <si>
    <t>Мясной полуфабрикат рубленый охлажденный категории Б.</t>
  </si>
  <si>
    <t>говядина, вода питьевая, белок животный (говяжий), регуляторы кислотности (ацетаты натрия, цитраты натрия), мальтодекстрин, антиокислители (аскорбиновая кислота, L-, лимонная кислота), экстракт свеклы, ароматизатор</t>
  </si>
  <si>
    <t>ВЕТЧ.РУБЛЕНАЯ ПМ в/у срез 0.6кг_Kvalita</t>
  </si>
  <si>
    <t>РУССКАЯ ГОСТ Останкино вар н/о в/у</t>
  </si>
  <si>
    <t>ЯЗЫК СВИНОЙ зам. в/у_Лента</t>
  </si>
  <si>
    <t>КАРБОНАД СВИНОЙ кр/к в/у охл._В1</t>
  </si>
  <si>
    <t>ШЕЙКА СВИНАЯ кр/к в/у охл._В1</t>
  </si>
  <si>
    <t>СТЕЙК СВ.НА КОСТ. мгс 0.4кг охл_Т/СТМ</t>
  </si>
  <si>
    <t>С СЫРОМ ПМ сос ц/о мгс 0.3кг 12шт.</t>
  </si>
  <si>
    <t>мясо цыпленка-бройлера бескостное, мясо цыпленка-бройлера механической обвалки, свинина, стабилизатор белковый (вода питьевая, шкурка свиная), вода питьевая, сыр плавленый (сыр, масло сливочное, творог, вода питьевая, молоко сухое обезжиренное, сыворотка молочная сухая, эмульгаторы (полифосфаты, фосфаты натрия), стабилизатор (фосфат кальция), загустители (гуаровая камедь, камедь рожкового дерева), консервант (сорбат калия)), регуляторы кислотности (пирофосфаты, трифосфаты, цитраты натрия),загустители (альгинат натрия, каррагинан, ксантановая камедь, гуаровая камедь, модифицированный крахмал), чеснок сушеный молотый, перец черный, мускатный орех, чили, сахара, антиокислители (аскорбиновая кислота, лимонная кислота), усилитель вкуса и аромата (глутамат натрия 1-замещенный), ароматизаторы, краситель (кармины)</t>
  </si>
  <si>
    <t>ДЛЯ ДЕТЕЙ Папа может сос п/о мгс 0.264кг</t>
  </si>
  <si>
    <t>ВЫРЕЗКА СВИНАЯ кр/к в/у (1*2) охл._В1</t>
  </si>
  <si>
    <t>КАРБОНАД к/в с/н мгс 1/100 10шт.</t>
  </si>
  <si>
    <t>БАЛЫКОВАЯ Останкино в/к в/у 0.33кг 8шт.</t>
  </si>
  <si>
    <t>ЧАЙНАЯ Останкино вар н/о мгс 1*3</t>
  </si>
  <si>
    <t>РУССКАЯ ПО-ОСТАНКИНСКИ вар б/о в/у</t>
  </si>
  <si>
    <t>ВЕТЧ.БАЛЫКОВАЯ Коровино в/у 0.76кг</t>
  </si>
  <si>
    <t>Кор-реп 252х134х145 Т23E Папа Может №222</t>
  </si>
  <si>
    <t>свинина (в т.ч. субпродукт мясной обработанный (диафрагма)), белок животный (говяжий), говядина, регуляторы кислотности (ацетаты натрия, цитраты натрия), сок красной свеклы, антиокислители (аскорбиновая кислота, лимонная кислота, экстракты розмарина)</t>
  </si>
  <si>
    <t>Кор-реп 199х144х197 Т24Е Останкино №299</t>
  </si>
  <si>
    <t>Кор-реп 199х144х147 Т24Е Останкино №290</t>
  </si>
  <si>
    <t>Кор-реп 199х144х147 Т24Е Останкино №298</t>
  </si>
  <si>
    <t>филе грудок куриных, мясо куриное механической обвалки, стабилизатор белковый (кожа куриная, вода питьевая), вода питьевая, сыворотка молочная сухая, крахмалы (картофельный, кукурузный), молоко сухое обезжиренное,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ксантановая камедь), специи, пряности, экстракты пряностей, сахара, антиокислитель (изоаскорбат натрия), усилитель вкуса и аромата (глутамат натрия), ароматизаторы, краситель (кармины)</t>
  </si>
  <si>
    <t>свинина (в т.ч. субпродукт мясной обработанный (диафрагма)), белок животный (говяжий), говядина, регулятор кислотности (цитраты натрия), антиокислители (аскорбиновая кислота, лимонная кислота, экстракты розмарина), краситель бетанин</t>
  </si>
  <si>
    <t>свинина (в т.ч. субпродукт мясной обработанный (диафрагма)), белок животный (говяжий), говядина, регулятор кислотности (цитраты натрия), антиокислители (аскорбиновая кислота, лимонная кислота, экстракты розмарина), краситель (бетанин)</t>
  </si>
  <si>
    <t>ДОКТОРСКАЯ ТРАДИЦ.ПМ вар ц/о в/у 0.6кг</t>
  </si>
  <si>
    <t>филе грудок куриных, мясо куриное механической обвалки, свинина, стабилизатор белковый (вода питьевая, кожа куриная, шкурка свиная), вода питьевая, сыворотка молочная сухая, молоко сухое обезжиренное, крахмал картофельный, смесь посолочно-нитритная (соль, фиксатор окраски (нитрит натрия)), регуляторы кислотности (пирофосфаты, трифосфаты, цитрат натрия), загуститель (альгинат натрия), сахара, соль, пряности и экстракты пряностей, белок животный (говяжий), антиокислитель (аскорбиновая кислота), усилитель вкуса и аромата (глутамат натрия), ароматизаторы, краситель (кармины)</t>
  </si>
  <si>
    <t>Z-ЕВРЕЙСКАЯ с/к в/у гр/уп (для нарезки)</t>
  </si>
  <si>
    <t>Кор-реп 234х144х124 Т23Е Мясная ферма №267</t>
  </si>
  <si>
    <t>свинина (в т.ч. субпродукт мясной обработанный (диафрагма)), вода питьевая, белок животный (говяжий), загуститель (альгинат натрия), уплотнитель (хлорид кальция), соль, регуляторы кислотности (цитраты, трифосфаты натрия), стабилизатор (полифосфаты), пряности (перец черный молотый, перец белый молотый, петрушка сушеная, майоран, базилик сушеный, зира), горчица, сахара, уксус сухой, антиокислитель (аскорбиновая кислота), усилитель вкуса и аромата (глутамат натрия), ароматизаторы (в т.ч. молоко)</t>
  </si>
  <si>
    <t>ТЕЛЯЧЬЯ ГОСТ Останкино вар н/о в/у</t>
  </si>
  <si>
    <t>ФАРШ СВИНОЙ Папа может мгс 0.7кг 4шт.охл</t>
  </si>
  <si>
    <t>свинина (в т.ч. субпродукт мясной обработанный (диафрагма)), вода питьевая, белок животный (говяжий), регуляторы кислотности (трифосфаты, цитраты натрия), антиокислители (аскорбиновая кислота, экстракты розмарина)</t>
  </si>
  <si>
    <t>свинина, окорок свиной, шпик, стабилизатор белковый (шкурка свиная, вода питьевая), смесь посолочно-нитритная (соль, фиксатор окраски (нитрит натрия)), волокна пищевые (пшеничные), соль, регуляторы кислотности (пирофосфаты, трифосфаты, цитраты натрия), горчица, чеснок сушеный молотый, перец душистый, чили, ароматизаторы, гемоглобин, антиокислители (лимонная кислота, аскорбиновая кислота), сахара, усилитель вкуса и аромата (глутамат натрия 1-замещенный), краситель (кармины)</t>
  </si>
  <si>
    <t>279/1157</t>
  </si>
  <si>
    <t>свинина, шпик, стабилизатор белковый (шкурка свиная, вода питьевая), сыворотка молочная сухая, смесь посолочно-нитритная (соль, фиксатор окраски (нитрит натрия)), черный перец, белый перец, чеснок сушеный молотый, кориандр, красная паприка, крахмал картофельный, белок животный (говяжий), регуляторы кислотности (пирофосфаты, трифосфаты, глюконо-дельта-лактон, цитраты натрия), горчица, экстракты пряностей, сахара, антиокислители (лимонная кислота, аскорбиновая кислота), усилитель вкуса и аромата (глутамат натрия 1-замещенный), гемоглобин, ароматизаторы, краситель (кармины)</t>
  </si>
  <si>
    <t>297/1231</t>
  </si>
  <si>
    <t>свинина, окорок свиной, филе грудок куриных,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кукурузный, белок животный (говяжий), горчица, имбирь, черный перец молотый, мускатный орех, чили, тмин, сахара, гемоглобин, антиокислители (аскорбиновая кислота, лимонная кислота), регуляторы кислотности (пирофосфаты, трифосфаты, цитраты натрия), загуститель (альгинат натрия), клетчатка растительная, усилитель вкуса и аромата (глутамат натрия 1-замещенный), ароматизаторы, красители (кармины)</t>
  </si>
  <si>
    <t>свинина, шпик, мясо цыпленка-бройлера бескостное, стабилизатор белковый (шкурка свиная, вода питьевая), сыворотка молочная сухая, крахмал картофельный,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глюконо-дельта-лактон), стабилизатор (полифосфаты), загустители (альгинат натрия, каррагинан, гуаровая камедь, ксантановая камедь), перец черный молотый, мускатный орех, пряности, сахара, соль, антиокислители (аскорбиновая кислота, лимонная кислота), гемоглобин, усилитель вкуса и аромата (глутамат натрия 1-замещенный), ароматизаторы, краситель (кармины)</t>
  </si>
  <si>
    <r>
      <rPr>
        <b/>
        <sz val="10"/>
        <rFont val="Arial Cyr"/>
        <charset val="204"/>
      </rPr>
      <t>МРАМОРНАЯ:</t>
    </r>
    <r>
      <rPr>
        <sz val="10"/>
        <rFont val="Arial Cyr"/>
        <charset val="204"/>
      </rPr>
      <t xml:space="preserve"> свинина, шпик, стабилизатор белковый (шкурка свиная, вода питьевая), смесь посолочно-нитритная (соль, фиксатор окраски (нитрит натрия)), белок животный (говяжий), регуляторы кислотности (пирофосфаты, трифосфаты, цитраты натрия), стабилизатор (полифосфат), сахара, перец черный, перец белый, горчица, экстракты специй, антиокислители (аскорбиновая кислота), усилитель вкуса и аромата (глутамат натрия 1-замещенный), гемоглобин, ароматизаторы, краситель (кармины).
</t>
    </r>
    <r>
      <rPr>
        <b/>
        <sz val="10"/>
        <rFont val="Arial Cyr"/>
        <charset val="204"/>
      </rPr>
      <t>БАЛЫКОВАЯ:</t>
    </r>
    <r>
      <rPr>
        <sz val="10"/>
        <rFont val="Arial Cyr"/>
        <charset val="204"/>
      </rPr>
      <t xml:space="preserve"> свинина, окорок свиной, стабилизатор белковый (шкурка свиная, вода питьевая), смесь посолочно-нитритная (соль, фиксатор окраски (нитрит натрия)), белок животный (говяжий), регуляторы кислотности (пирофосфаты, трифосфаты, цитраты натрия), стабилизатор (полифосфаты), сахара, тмин, пажитник, горчица, лук репчатый сушеный молотый, чеснок сушеный молотый, антиокислители (аскорбиновая кислота), усилитель вкуса и аромата (глутамат натрия 1-замещенный), ароматизаторы.</t>
    </r>
  </si>
  <si>
    <t>15
15</t>
  </si>
  <si>
    <t>19
19</t>
  </si>
  <si>
    <t>4
5</t>
  </si>
  <si>
    <t>247/1026
251/1043</t>
  </si>
  <si>
    <t>СЕРВЕЛАТ НЕМЕЦКИЙ ПМ в/к в/у 0.28кг 8шт.</t>
  </si>
  <si>
    <t>256/1053</t>
  </si>
  <si>
    <t>свинина, филе грудок куриных, шпик стабилизатор белковый (шкурка свиная,вода питьевая), мясо цыпленка-бройлера механической обвалки, крахмал кукурузный, сыворотка молочная сухая,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загуститель (альгинат натрия), горчица, имбирь, мускатный орех, паприка, перец белый, лук репчатый, мускатный цвет, гвоздика, пажитник, сельдерей, чеснок сушеный молотый, сахара, антиокислители (лимонная кислота, аскорбиновая кислота), усилитель вкуса и аромата (глутамат натрия 1- замещенный), ароматизаторы, гемоглобин, краситель (кармины)</t>
  </si>
  <si>
    <t xml:space="preserve">Кор 199х144х115 Т24Е Останкино №315 </t>
  </si>
  <si>
    <t xml:space="preserve">Кор 199х144х115 Т24Е Папа Может №316 </t>
  </si>
  <si>
    <t>КАРБОНАД СВИНОЙ кр/к в/у TF охл_Т</t>
  </si>
  <si>
    <t>ШЕЙКА СВИНАЯ кр/к в/у TF охл_Т</t>
  </si>
  <si>
    <t>ВЫРЕЗКА СВИНАЯ кр/к в/у (1*2) охл_Т</t>
  </si>
  <si>
    <t>РУЛЕТ ФИЛЕЙНЫЙ к/в с/н в/у 1/100_Л11</t>
  </si>
  <si>
    <t>БАЛЫК с/к с/н в/у 1/100 10шт_Л11</t>
  </si>
  <si>
    <t>КРАКОВСКАЯ ГОСТ Останкино п/к н/о мгс</t>
  </si>
  <si>
    <t>свинина, говядина, грудинка свиная, соль, смесь посолочно-нитритная (соль, фиксатор окраски (нитрит натрия)), чеснок свежий, натуральные пряности (черный и душистый перцы молотые), сахар, усилитель вкуса и аромата (глутамат натрия)</t>
  </si>
  <si>
    <t>Z-ЕВРЕЙСКАЯ полусух. с/к в/у 0.5кг гр/уп</t>
  </si>
  <si>
    <t>АСС:ТОЛСТ.СЛАЙС КОПЧ.VS ВАР. мгс 1/210</t>
  </si>
  <si>
    <t>Мясной продукт. Ассорти вареных и варено-копченых колбас: Толстый слайс Копченый vs Вареный.</t>
  </si>
  <si>
    <t>5
3</t>
  </si>
  <si>
    <t>свинина (в т.ч. субпродукт мясной обработанный (диафрагма)), вода питьевая, белок животный (говяжий), загуститель (альгинат натрия), уплотнитель (хлорид кальция), соль, регуляторы кислотности (трифосфаты, цитраты натрия), стабилизатор (полифосфаты), пряности (перец черный молотый, перец белый молотый, петрушка сушеная, майоран, базилик сушеный, зира), горчица, сахара, уксус сухой, антиокислитель (аскорбиновая кислота), усилитель вкуса и аромата (глутамат натрия), ароматизаторы (в т.ч. молоко)</t>
  </si>
  <si>
    <t>СЕРВ.ОРИГИН.ПМ в/к в/у 1/420 20шт_Kvalit</t>
  </si>
  <si>
    <t>СЛИВОЧНЫЕ ПМ сос п/о мгс 1.5*4_Маяк</t>
  </si>
  <si>
    <t>ЭКСТРА Папа может с/к с/н в/у 1/100_Л10</t>
  </si>
  <si>
    <t>С ГОВЯДИНОЙ ПМ сос п/о мгс 0.25кг 8шт.</t>
  </si>
  <si>
    <t>свинина, окорок свиной,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картофельный, соль, регуляторы кислотности (трифосфаты, пирофосфаты, цитраты натрия), загуститель (альгинат натрия), перец черный, горчица, маис, кардамон, тмин, чеснок сушеный молотый, антиокислители (аскорбиновая кислота, лимонная кислота), сахара, усилитель вкуса и аромата (глутамат натрия 1-замещенный), ароматизаторы, гемоглобин, краситель (кармины)</t>
  </si>
  <si>
    <t>293/1214</t>
  </si>
  <si>
    <t>свинина, филе грудок куриных, шпик, белковый стабилизатор (шкурка свиная, вода питьевая), сыворотка сухая молочная, смесь посолочно-нитритная (соль, фиксатор окраски (нитрит натрия)), соль, крахмал кукурузный, регуляторы кислотности (пирофосфаты), стабилизатор (альгинат натрия), загуститель (ксантановая камедь), клетчатка растительная, экстракты специй (черный перец, сельдерей), чеснок сушеный, лук сушеный, усилитель вкуса и аромата (глутамат натрия 1-замещенный), антиокислитель (лимонная кислота), гемоглобин, краситель (кармины)</t>
  </si>
  <si>
    <t>252/1046</t>
  </si>
  <si>
    <t>свинина, филе грудок куриных, шпик, стабилизатор белковый (шкурка свиная, вода питьевая), мясо цыпленка-бройлера механической обвалки, сыворотка молочная сухая, крахмал кукурузный, смесь посолочно-нитритная (соль, фиксатор окраски (нитрит натрия), клетчатка растительная, регуляторы кислотности (пирофосфаты, трифосфаты, цитраты натрия), белок животный (говяжий), загуститель (альгинат натрия), овощи сушеные, пряности, сахара, антиокислители (лимонная кислота, аскорбиновая кислота), усилитель вкуса и аромата (глутамат натрия 1-замещенный), гемоглобин, ароматизаторы, краситель (кармины)</t>
  </si>
  <si>
    <t>256/1063</t>
  </si>
  <si>
    <t>свинина, филе грудок куриных, шпик, стабилизатор белковый (шкурка свиная, вода питьевая), мясо цыпленка-бройлера механической обвалки, крахмал кукурузный, сыворотка молочная сухая,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загуститель (альгинат натрия), горчица, имбирь, мускатный орех, паприка, перец белый, лук репчатый, мускатный цвет, гвоздика, пажитник, сельдерей, чеснок сушеный молотый, сахара, антиокислители (лимонная кислота, аскорбиновая кислота), усилитель вкуса и аромата (глутамат натрия 1-замещенный), ароматизаторы, гемоглобин, краситель (кармины)</t>
  </si>
  <si>
    <t>свинина, филе грудки куриной, шпик, стабилизатор белковый (шкурка свиная, вода питьевая), мясо цыпленка-бройлера механической обвалки, сыворотка молочная сухая, крахмал кукурузный, смесь посолочно-нитритная (соль, фиксатор окраски (нитрит натрия)), регуляторы кислотности (пирофосфаты, трифосфаты, цитраты натрия), клетчатка растительная, белок животный (говяжий), загуститель (альгинат натрия), чеснок сушеный молотый, лук репчатый сушеный, экстракты специй, сахара, антиокислители (аскорбиновая кислота, лимонная кислота), гемоглобин, краситель (кармины)</t>
  </si>
  <si>
    <t>МЯСНАЯ РУБЛЕНАЯ ASLAM п/к в/у 0.29кг 8шт</t>
  </si>
  <si>
    <t>МЯСНАЯ РУБЛЕНАЯ ASLAM п/к в/у 0.82кг 6шт</t>
  </si>
  <si>
    <t>филе грудок куриных, мясо куриное механической обвалки, говядина, вода питьевая, крахмал картофельный, сыворотка молочная сухая, смесь посолочно-нитритная (соль, фиксатор окраски (нитрит натрия)), соль, регуляторы кислотности (пирофосфаты, трифосфаты, цитраты натрия), пряности, экстракты пряностей, сахара, антиокислители (аскорбиновая кислота, лимонная кислота), белок растительный гидролизированный, усилитель вкуса и аромата (глутамат натрия), ароматизаторы, экстракт гардении красной</t>
  </si>
  <si>
    <t>СЕРВЕЛАТ БАВАРСКИЙ в/к с/н в/у 1/100_Л11</t>
  </si>
  <si>
    <t>СЕРВЕЛАТ ШВЕЙЦАРСК.в/к с/н в/у 1/100_Л11</t>
  </si>
  <si>
    <t>СЕРВЕЛАТ ДОМАШНИЙ Коровино в/к в/у 1/280</t>
  </si>
  <si>
    <t xml:space="preserve">ТУ 10.13.14-154-00425283-2020 </t>
  </si>
  <si>
    <t>ясо цыпленка-бройлера механической обвалки, свинина, шпик, стабилизатор белковый (шкурка свиная, вода питьевая), вода питьевая, белок соевый, сыворотка молочная сухая, крахмал картофельный, смесь посолочно-нитритная (соль, фиксатор окраски (нитрит натрия)), белок животный (говяжий), регуляторы кислотности (пирофосфаты, трифосфаты, цитраты натрия)), загуститель (альгинат натрия), клетчатка растительная, чеснок сушеный молотый, перец душистый, перец черный, сахара, антиокислитель (аскорбиновая кислота), усилитель вкуса и аромата (глутамат натрия 1-замещенный), ароматизатор, гемоглобин, краситель (кармины)</t>
  </si>
  <si>
    <t>199/844</t>
  </si>
  <si>
    <t>АРОМАТНАЯ с/к с/н в/у 1/100 10шт_Л10</t>
  </si>
  <si>
    <t>свинина, говядина, вода питьевая, белок животный (говяжий), регулятор кислотности (цитраты натрия), антиокислители (лимонная кислота, экстракты розмарина), краситель (бетанин)</t>
  </si>
  <si>
    <t>свинина, филе грудок куриных, стабилизатор белковый (шкурка свиная, кожа куриная, вода питьевая), вода питьевая, сыворотка молочная сухая,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загустители (каррагинан, гуаровая камедь, ксантановая камедь), кориандр, мускатный орех, перец черный, имбирь, сахара, антиокислители (аскорбиновая кислота, лимонная кислота), усилитель вкуса и аромата (глутамат натрия 1-замещенный), ароматизаторы, краситель (кармины)</t>
  </si>
  <si>
    <t>186/764</t>
  </si>
  <si>
    <r>
      <rPr>
        <b/>
        <sz val="10"/>
        <rFont val="Arial Cyr"/>
        <charset val="204"/>
      </rPr>
      <t>СЕРВЕЛАТ ТОЛСТЫЙ СЛАЙС КОПЧЕНЫЙ:</t>
    </r>
    <r>
      <rPr>
        <sz val="10"/>
        <rFont val="Arial Cyr"/>
        <charset val="204"/>
      </rPr>
      <t xml:space="preserve"> свинина, шпик, мясо цыпленка-бройлера бескостное, стабилизатор белковый (шкурка свиная, вода питьевая), сыворотка молочная сухая, крахмал картофельный,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глюконо-дельта-лактон), стабилизатор (полифосфаты), загустители (альгинат натрия, каррагинан, гуаровая камедь, ксантановая камедь), перец черный молотый, мускатный орех, пряности, сахара, соль, антиокислители (аскорбиновая кислота, лимонная кислота), гемоглобин, усилитель вкуса и аромата (глутамат натрия 1-замещенный), ароматизаторы, краситель (кармины).
</t>
    </r>
    <r>
      <rPr>
        <b/>
        <sz val="10"/>
        <rFont val="Arial Cyr"/>
        <charset val="204"/>
      </rPr>
      <t>ТОЛСТЫЙ СЛАЙС ВАРЕНЫЙ:</t>
    </r>
    <r>
      <rPr>
        <sz val="10"/>
        <rFont val="Arial Cyr"/>
        <charset val="204"/>
      </rPr>
      <t xml:space="preserve"> свинина, филе грудок куриных, стабилизатор белковый (шкурка свиная, кожа куриная, вода питьевая), вода питьевая, сыворотка молочная сухая,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загустители (каррагинан, гуаровая камедь, ксантановая камедь), кориандр, мускатный орех, перец черный, имбирь, сахара, антиокислители (аскорбиновая кислота, лимонная кислота), усилитель вкуса и аромата (глутамат натрия 1-замещенный), ароматизаторы, краситель (кармины).</t>
    </r>
  </si>
  <si>
    <t>13
12</t>
  </si>
  <si>
    <t>17
14</t>
  </si>
  <si>
    <t>225/935
186/764</t>
  </si>
  <si>
    <t>свинина, филе грудок куриных, мясо цыплят-бройлеров бескостное, шпик, стабилизатор белковый (шкурка свиная, вода питьевая), сыворотка молочная сухая, крахмал кукурузный,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загуститель (альгинат натрия), горчица, имбирь, мускатный орех, паприка, перец белый, лук репчатый, мускатный цвет, гвоздика, пажитник, сельдерей, экстракты специй, чеснок сушеный молотый, сахара, антиокислители (лимонная кислота, аскорбиновая кислота), усилитель вкуса и аромата (глутамат натрия 1-замещенный), ароматизаторы, гемоглобин, краситель (кармины)</t>
  </si>
  <si>
    <r>
      <rPr>
        <b/>
        <sz val="10"/>
        <rFont val="Arial Cyr"/>
        <charset val="204"/>
      </rPr>
      <t>сосиски Классические:</t>
    </r>
    <r>
      <rPr>
        <sz val="10"/>
        <rFont val="Arial Cyr"/>
        <charset val="204"/>
      </rPr>
      <t xml:space="preserve"> мясо куриное механической обвалки, свинина, стабилизатор белковый (вода питьевая, шкурка свиная), вода питьевая, сыворотка молочная сухая, масло подсолнечное рафинированное дезодорированное, крахмал картофельный, крахмал кукурузный, смесь посолочно-нитритная (соль, фиксатор окраски (нитрит натрия)), сахара, белок животный (говяжий), регуляторы кислотности (цитраты натрия, пирофосфаты, трифосфаты), загустители (камедь целлюлозы, гуаровая камедь, каррагинан, конжак, ксантановая камедь, альгинат натрия, модифицированный крахмал), экстракты пряностей, антиокислители (аскорбиновая кислота, лимонная кислота, изоаскорбат натрия), гидролизат соевого белка, усилитель вкуса и аромата (глутамат натрия), ароматизаторы, краситель (кармины).  
</t>
    </r>
    <r>
      <rPr>
        <b/>
        <sz val="10"/>
        <rFont val="Arial Cyr"/>
        <charset val="204"/>
      </rPr>
      <t>сосиски С сыром:</t>
    </r>
    <r>
      <rPr>
        <sz val="10"/>
        <rFont val="Arial Cyr"/>
        <charset val="204"/>
      </rPr>
      <t xml:space="preserve"> мясо цыпленка-бройлера бескостное, мясо цыпленка-бройлера механической обвалки, свинина, стабилизатор белковый (вода питьевая, шкурка свиная), вода питьевая, сыр плавленый (сыр, масло сливочное, творог, вода питьевая, молоко сухое обезжиренное, сыворотка молочная сухая, эмульгаторы (полифосфаты, фосфаты натрия), стабилизатор (фосфат кальция), загустители (гуаровая камедь, камедь рожкового дерева), консервант (сорбат калия)), регуляторы кислотности (пирофосфаты, трифосфаты, цитраты натрия),загустители (альгинат натрия, каррагинан, ксантановая камедь, гуаровая камедь, модифицированный крахмал), чеснок сушеный молотый, перец черный, мускатный орех, чили, сахара, антиокислители (аскорбиновая кислота, лимонная кислота), усилитель вкуса и аромата (глутамат натрия 1-замещенный), ароматизаторы, краситель (кармины). </t>
    </r>
  </si>
  <si>
    <t>9
10</t>
  </si>
  <si>
    <t>13
18</t>
  </si>
  <si>
    <t>173/719
222/921</t>
  </si>
  <si>
    <t>свинина, филе грудок куриных, шпик стабилизатор белковый (шкурка свиная, вода питьевая), мясо цыпленка-бройлера механической обвалки, крахмал кукурузный, сыворотка молочная сухая,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загуститель (альгинат натрия), горчица, имбирь, мускатный орех, паприка, перец белый, лук репчатый, мускатный цвет, гвоздика, пажитник, сельдерей, чеснок сушеный молотый, сахара, антиокислители (лимонная кислота, аскорбиновая кислота), усилитель вкуса и аромата (глутамат натрия 1-замещенный), ароматизаторы, гемоглобин, краситель (кармины)</t>
  </si>
  <si>
    <t>свинина, окорок свиной, филе грудок куриных,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кукурузный, белок животный (говяжий), горчица, имбирь, черный перец молотый, мускатный орех, чили, тмин, сахара, гемоглобин, антиокислители (аскорбиновая кислота, лимонная кислота), регуляторы кислотности (пирофосфаты, трифосфаты, цитраты натрия), загуститель (альгинат натрия), клетчатка растительная, усилитель вкуса и аромата (глутамат натрия 1-замещенный), ароматизаторы, краситель (кармины)</t>
  </si>
  <si>
    <t>свинина, шпик, мясо цыпленка-бройлера бескостное, стабилизатор белковый (шкурка свиная, вода питьевая), сыворотка молочная сухая, крахмал картофельный, смесь посолочно-нитритная (соль, фиксатор окраски (нитрит натрия)), соль, клетчатка растительная, регуляторы кислотности (пирофосфаты, трифосфаты, цитраты натрия), стабилизатор (полифосфаты), загустители (альгинат натрия, каррагинан, ксантановая камедь, гуаровая камедь), чеснок сушеный молотый, горчица, ароматизаторы, сахара, антиокислители (аскорбиновая кислота, лимонная кислота), усилитель вкуса и аромата (глутамат натрия 1-замещенный), краситель (кармины)</t>
  </si>
  <si>
    <t>243/1009</t>
  </si>
  <si>
    <t>СВИНИНА КОПЧЕН. ПМ к/в с/н в/у 1/100_Л11</t>
  </si>
  <si>
    <t xml:space="preserve">Состав: 1) Купаты Мясные для жарки и гриля: свинина (в т.ч. субпродукт мясной обработанный (диафрагма)), вода питьевая, белок животный (говяжий), загуститель (альгинат натрия), уплотнитель (хлорид кальция), соль, регулятор кислотности (трифосфаты), стабилизатор (полифосфаты), пряности (перец черный молотый, перец белый молотый, петрушка сушеная, майоран, базилик сушеный, зира), горчица, сахара, уксус сухой, антиокислитель (аскорбиновая кислота), усилитель вкуса и аромата (глутамат натрия), ароматизаторы (в т.ч. молоко). 2) Купаты Нюрнбергские: свинина, загуститель (альгинат натрия), уплотнитель (хлорид кальция), вода питьевая, соль, регулятор кислотности (молочная кислота), стабилизатор (гуаровая камедь), пряности, уксус сухой, сахар, усилитель вкуса и аромата (глутамат натрия), ароматизаторы. 3) Колбаски-гриль Мясной микс с говядиной: свинина, говядина, вода питьевая, белок животный (говяжий), загуститель (альгинат натрия), уплотнитель (хлорид кальция), соль, регуляторы кислотности (пирофосфаты, трифосфаты), пряности, экстракты пряностей, сахар, уксус сухой, антиокислитель (аскорбиновая кислота), усилитель вкуса и аромата (глутамат натрия). </t>
  </si>
  <si>
    <t>КОРЕЙКА ПО-ДОМАШНЕМУ к/в мл/к в/у</t>
  </si>
  <si>
    <t>ЭКСТРА Папа может вар п/о 0.4кг 8шт_195к</t>
  </si>
  <si>
    <t>СВИНЫЕ ГОСТ сар б/о мгс 0.4кг 6шт_45с</t>
  </si>
  <si>
    <t>СВИНЫЕ сар б/о мгс 0.5кг/СТМ Вернер_45с</t>
  </si>
  <si>
    <t>свинина, стабилизатор белковый (шкурка свиная, вода питьевая), вода питьевая, кожа куриная, сыворотка молочная сухая, крахмал картофельный, соль, смесь посолочно-нитритная (соль, фиксатор окраски (нитрит натрия)), регуляторы кислотности (трифосфаты, пирофосфаты, цитраты натрия), чеснок сушеный молотый, горчица, экстракты пряностей, сахара, антиокислители (аскорбиновая кислота, лимонная кислота), усилитель вкуса и аромата (глутамат натрия 1-замещенный), ароматизаторы, краситель (кармины)</t>
  </si>
  <si>
    <t>свинина, шпик, мясо цыпленка-бройлера бескостное, стабилизатор белковый (шкурка свиная, вода питьевая), белок соевый,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(альгинат натрия), орех кедровый, экстракты специй, лук репчатый сушеный, горчица, сахара, антиокислители (лимонная кислота, аскорбиновая кислота), гемоглобин, усилитель вкуса и аромата (глутамат натрия 1-замещенный), ароматизаторы, краситель (кармины)</t>
  </si>
  <si>
    <t>248/1029</t>
  </si>
  <si>
    <t>свинина, шпик, мясо цыпленка-бройлера механической обвалки, стабилизатор белковый (шкурка свиная, вода питьевая), сыворотка молочная сухая, крахмал картофельный, смесь посолочно-нитритная (соль, фиксатор окраски (нитрит натрия)), соль, клетчатка растительная, регуляторы кислотности (пирофосфаты, трифосфаты, цитраты натрия), стабилизатор (полифосфаты), загустители (альгинат натрия, каррагинан, ксантановая камедь, гуаровая камедь), чеснок сушеный молотый, горчица, ароматизаторы, сахара, антиокислители (аскорбиновая кислота, лимонная кислота), усилитель вкуса и аромата (глутамат натрия 1-замещенный), краситель (кармины)</t>
  </si>
  <si>
    <t>Кор-ш/б 340х140х120 Т26В Папа Может №317</t>
  </si>
  <si>
    <t>ВЕТЧ.С ИНДЕЙКОЙ ПМ п/о 0.4кг 12шт.</t>
  </si>
  <si>
    <t xml:space="preserve">Тесто: мука пшеничная в/с, вода питьевая, масло подсолнечное рафинированное дезодорированное, соль, регулятор кислотности (карбонат натрия), сахар. Начинка: свинина, лук репчатый свежий, стабилизатор белковый (говядина, вода питьевая), вода питьевая, белок соевый, соль, регуляторы кислотности (пирофосфаты, трифосфаты, цитраты натрия), специи, сахар, белок животный (говяжий), антиокислители (аскорбиновая кислота, экстракты розмарина), усилитель вкуса и аромата (глутамат натрия 1-замещенный), ароматизаторы. </t>
  </si>
  <si>
    <t>Мясной полуфабрикатрубленый формованный охлажденный категории Б.</t>
  </si>
  <si>
    <t>свинина, вода питьевая, говядина, белок животный (говяжий), лук белый сушеный, соль, пряности (в т.ч. сельдерей), экстракты пряностей, сахар, антиокислитель (лимонная кислота), усилитель вкуса и аромата (глутамат натрия), ароматизатор, уксус сухой, красители (кармины, бетанин)</t>
  </si>
  <si>
    <t>свинина, окорок свиной, филе грудок куриных,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кукурузный, белок животный (говяжий), регуляторы кислотности (пирофосфаты, трифосфаты, цитраты натрия), загуститель (альгинат натрия), горчица, имбирь, черный перец молотый, мускатный орех, чили, тмин, клетчатка растительная, ароматизаторы, сахара, антиокислители (аскорбиновая кислота, лимонная кислота), усилитель вкуса и аромата (глутамат натрия 1-замещенный), гемоглобин, краситель (кармины)</t>
  </si>
  <si>
    <t>свинина, филе грудок куриных, шпик, стабилизатор белковый (шкурка свиная, вода питьевая), сыворотка молочная сухая, крахмал кукурузный, смесь посолочно-нитритная (соль, фиксатор окраски (нитрит натрия)), белок животный (говяжий), клетчатка растительная, специи (в т.ч. горчица), ароматизаторы, сахара, регуляторы кислотности (пирофосфаты, трифосфаты, цитраты натрия), антиокислители (аскорбиновая кислота, лимонная кислота), загуститель (альгинат натрия), усилитель вкуса и аромата (глутамат натрия 1-замещенный), гемоглобин, краситель (кармины)</t>
  </si>
  <si>
    <t>ПЕППЕРОНИ с/к с/н мгс 1*8_HRC_90с</t>
  </si>
  <si>
    <t>EAN-13 (GS1)</t>
  </si>
  <si>
    <t>ITF-14 (GS1)</t>
  </si>
  <si>
    <t>Z-код</t>
  </si>
  <si>
    <t>ШК партнера</t>
  </si>
  <si>
    <t>Z-СВИНАЯ с/к в/у гр/уп (для нарезки)</t>
  </si>
  <si>
    <t>ЭКСТРА ПМ с/к с/н в/у 1/100 10шт_СНГ_Л10</t>
  </si>
  <si>
    <t>свинина, филе грудки куриной, мясо цыплят-бройлеров бескостное, шпик, стабилизатор белковый (шкурка свиная, вода питьевая), сыворотка молочная сухая, крахмал кукурузный, смесь посолочно-нитритная (соль, фиксатор окраски (нитрит натрия)), регуляторы кислотности (пирофосфаты, трифосфаты, цитраты натрия), клетчатка растительная, белок животный (говяжий), загуститель (альгинат натрия), чеснок сушеный молотый, лук репчатый сушеный, экстракты специй, сахара, антиокислители (аскорбиновая кислота, лимонная кислота), гемоглобин, краситель (кармины)</t>
  </si>
  <si>
    <t>130/545</t>
  </si>
  <si>
    <t>свинина, окорок свиной, шпик, стабилизатор белковый (шкурка свиная, вода питьевая), сыворотка молочная, смесь посолочно-нитритная (соль, фиксатор окраски (нитрит натрия)), крахмал картофельный, регуляторы кислотности (пирофосфаты, трифосфаты, цитраты натрия), белок животный (говяжий), горчица, имбирь, перец черный, мускатный орех, чили, тмин, ароматизаторы, сахара, гемоглобин, антиокислители (лимонная кислота, аскорбиновая кислота), усилитель вкуса и аромата (глутамат натрия 1-замещенный), краситель (кармины)</t>
  </si>
  <si>
    <t>Z-БРАУНШВЕЙГСКАЯ в/у (для нарезки 70 мм)</t>
  </si>
  <si>
    <t>СОЧНЫЙ ГРИЛЬ ПМ сос п/о мгс 0.8кг 5шт.</t>
  </si>
  <si>
    <t>Кор-ш/б 375х160х148 Т26В Папа Может №318</t>
  </si>
  <si>
    <t>Кор-ш/б 375х160х148 Т26В Останкино №319</t>
  </si>
  <si>
    <t>НАБОР ДЛЯ ПИЦЦЫ с/к с/н мгс 3*3_HRC</t>
  </si>
  <si>
    <t>К ЧАЮ вар н/о мгс 1*3</t>
  </si>
  <si>
    <t>свинина, филе грудок куриных, мясо цыпленка-бройлера механической обвалки, стабилизатор белковый (шкурка свиная, вода питьевая),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сахара, регуляторы кислотности (пирофосфаты, трифосфаты, цитраты натрия), загустители (каррагинан, гуаровая камедь, ксантановая камедь), пряности, чеснок сушеный молотый, перец черный молотый, имбирь, горчица, антиокислитель (аскорбиновая кислота), усилитель вкуса и аромата (глутамат натрия 1-замещенный), ароматизаторы, краситель (кармины)</t>
  </si>
  <si>
    <t>СЫРРРВЕЛАТ Папа может в/к в/у 0.28кг 8шт</t>
  </si>
  <si>
    <t>свинина, стабилизатор белковый (вода питьевая, шкурка свиная), филе грудок куриных, сыр плавленый (вода питьевая, сыр (молоко пастеризованное, бактериальная закваска мезофильных молочнокислых микроорганизмов, молокосвертывающий ферментный препарат микробного происхождения), масло сливочное, молоко сухое обезжиренное, сыворотка молочная сухая, эмульгаторы (полифосфат натрия, орто-фосфат натрия 2-замещенный), крахмал кукурузный, загуститель (каррагинан), соль), сыворотка молочная сухая, смесь посолочно-нитритная (соль, фиксатор окраски (нитрит натрия)), крахмал картофельный, стабилизаторы (пирофосфаты, полифосфаты), регуляторы кислотности (трифосфаты, цитраты натрия), белок животный (говяжий), чеснок сушеный, экстракты специй, орех молотый (миндаль), сахара, соль, антиокислители (аскорбиновая кислота, изоаскорбат натрия), усилитель вкуса и аромата (глутамат натрия), ароматизаторы, гемоглобин, краситель (кармины)</t>
  </si>
  <si>
    <t>КОЛБ.ВЕТЧИН.С ГОРЧИЦЕЙ ПМ п/к в/у 0.25кг</t>
  </si>
  <si>
    <t>свинина, стабилизатор белковый (шкурка свиная, вода питьевая), вода питьевая, сыворотка молочная сухая, смесь посолочно-нитритная (соль, фиксатор окраски (нитрит натрия)), стабилизаторы (пирофосфаты, полифосфаты), регуляторы кислотности (трифосфаты, цитраты натрия), семена горчицы, уксус спиртовой, соль, сахара, перец белый молотый, перец черный молотый, чеснок сушеный молотый, экстракты пряностей, антиокислители (аскорбиновая кислота, лимонная кислота, изоаскорбат натрия), усилитель вкуса и аромата (глутамат натрия), ароматизаторы</t>
  </si>
  <si>
    <t>КОЛБАСКИ ШТУТГАРТСКИЕ ПМ п/к в/у 0.25кг</t>
  </si>
  <si>
    <t>261/1083</t>
  </si>
  <si>
    <t>свинина, стабилизатор белковый (шкурка свиная, вода питьевая), вода питьевая, смесь посолочно-нитритная (соль, фиксатор окраски (нитрит натрия)), соль, стабилизаторы (полифосфаты, пирофосфаты), регуляторы кислотности (трифосфаты, цитраты натрия), перец черный молотый, кумин молотый, паприка молотая, куркума, орегано сушеный молотый, чеснок сушеный молотый, экстракты пряностей, пряности, сахар, антиокислители (аскорбиновая кислота, лимонная кислота, изоаскорбат натрия), усилитель вкуса и аромата (глутамат натрия), ароматизаторы</t>
  </si>
  <si>
    <t>КОЛБАСКИ КАРРИВУРСТ ПМ п/к в/у 0.25кг</t>
  </si>
  <si>
    <t>свинина, стабилизатор белковый (шкурка свиная, вода питьевая), вода питьевая, смесь посолочно-нитритная (соль, фиксатор окраски (нитрит натрия)), желатин (свиной), стабилизаторы (полифосфаты, пирофосфаты), регуляторы кислотности (трифосфаты, цитраты натрия), загустители (гуаровая камедь, ксантановая камедь, тары камедь), куркума, кориандр молотый, перец красный молотый, перец черный молотый, горчица, экстракты пряностей (кориандр, перец красный, пажитник, кумин, перец черный, сельдерей, перец белый, чеснок), лук сушеный молотый, чеснок сушеный молотый, сахара, соль, антиокислители (аскорбиновая кислота, лимонная кислота), усилитель вкуса и аромата (глутамат натрия), ароматизаторы</t>
  </si>
  <si>
    <t>КАРПАЧЧО ИЗ КУРИЦЫ с/к с/н мгс 1/80_Л10</t>
  </si>
  <si>
    <t>свинина, филе куриной грудки, шпик, стабилизатор белковый (шкурка свиная, вода питьевая), мясо цыпленка-бройлера механической обвалки, крахмал кукурузный, сыворотка молочная сухая,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загуститель (альгинат натрия), горчица, имбирь, перец черный, мускатный орех, чили, тмин, ароматизаторы, сахара, антиокислители (лимонная кислота, аскорбиновая кислота), усилитель вкуса и аромата (глутамат натрия 1-замещенный), гемоглобин, краситель (кармины)</t>
  </si>
  <si>
    <t>СО ВКУС.МЕКСИК. ТАКО сос п/о мгс 0.264кг</t>
  </si>
  <si>
    <t>мясо цыпленка-бройлера механической обвалки, свинина, стабилизатор белковый (шкурка свиная, вода питьевая, говядина), вода питьевая, сыворотка молочная сухая, крахмал кукурузный, паприка, лук, чеснок, перец черный, кориандр, шпинат, петрушка, перец чили, кумин, гвоздика, мускатный орех, смесь посолочно-нитритная (соль, фиксатор окраски (нитрит натрия)), желатин пищевой, регуляторы кислотности (пирофосфаты, трифосфаты, цитраты натрия), загустители (каррагинан, ксантановая камедь, альгинат натрия, гуаровая камедь, модифицированный крахмал), сахара, антиокислители (лимонная кислота, аскорбиновая кислота), усилитель вкуса и аромата (глутамат натрия 1-замещенный), ароматизаторы, краситель (кармины)</t>
  </si>
  <si>
    <t>Мясной продукт. Продукт из мяса вареный.</t>
  </si>
  <si>
    <t>свинина, вода питьевая, крахмал картофельный, смесь посолочно-нитритная (соль, фиксатор окраски (нитрит натрия)), белок животный (говяжий), загустители (каррагинан из водорослей EUCHEUMA, ксантановая камедь), регуляторы кислотности (трифосфаты, цитраты натрия), пряности, сахара, антиокислители (аскорбиновая кислота, лимонная кислота), усилитель вкуса и аромата (глутамат натрия 1-замещенный), ароматизаторы, краситель (кармины)</t>
  </si>
  <si>
    <t>99/417</t>
  </si>
  <si>
    <t>Кор-реп 199х144х147 Т24Е Папа Может №321</t>
  </si>
  <si>
    <t>ВЕТЧ. ДЛЯ РУЛЕТОВ с/н мгс 1/100 8шт_Л11</t>
  </si>
  <si>
    <t>свинина, стабилизатор белковый (шкурка свиная, вода питьевая), мясо цыпленка-бройлера бескостное, крахмал картофельный, смесь посолочно-нитритная (соль, фиксатор окраски (нитрит натрия)), регуляторы кислотности (трифосфаты цитраты натрия), загустители (каррагинан из водорослей EUCHEUMA, ксантановая камедь), белок животный (говяжий), специи (в т.ч. горчица), сахара, антиокислитель (лимонная кислота), усилитель вкуса и аромата (глутамат натрия 1-замещенный), ароматизаторы, краситель (каротин)</t>
  </si>
  <si>
    <t>194/807</t>
  </si>
  <si>
    <t>ХОЧУ ВЕТЧ. С ИНДЕЙКОЙ с/н мгс 1/100_Л11</t>
  </si>
  <si>
    <t>филе грудок куриных, филе бедра индейки, кожа куриная,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из водорослей EUCHEUMA, ксантановая камедь), белок животный (говяжий), мускатный орех, чеснок, перец душистый, перец черный, перец белый, сахара, антиокислители (аскорбиновая кислота, лимонная кислота), усилитель вкуса и аромата (глутамат натрия 1-замещенный), ароматизаторы, стартовая культура</t>
  </si>
  <si>
    <t>139/582</t>
  </si>
  <si>
    <t>ХОЧУ ВЕТЧ. МРАМОР. ПМ с/н мгс 1/100_Л11</t>
  </si>
  <si>
    <t>СЕРВЕЛАТ ФИРМЕННЫЙ Кор в/к в/у 0.7кг 8шт</t>
  </si>
  <si>
    <t>БРАУНШВЕЙГСКАЯ с/к с/н мгс 1/100_Л10</t>
  </si>
  <si>
    <t>КОРЕЙКА ПО-ОСТ.к/в в/с с/н мгс 1/100_Л11</t>
  </si>
  <si>
    <t>свинина, окорок свиной, шпик, стабилизатор белковый (шкурка свиная, вода питьевая), смесь посолочно-нитритная (соль, фиксатор окраски (нитрит натрия)), регуляторы кислотности (пирофосфаты, трифосфаты, цитраты натрия), чеснок сушеный молотый, экстракты пряностей (перец душистый, перец черный), горчица, сахара, антиокислители (лимонная кислота, аскорбиновая кислота), усилитель вкуса и аромата (глутамат натрия 1-замещенный), ароматизаторы, гемоглобин, краситель (кармины)</t>
  </si>
  <si>
    <t>264/1148</t>
  </si>
  <si>
    <t>ВЕТЧ.ДОМАШНЯЯ Папа может п/о</t>
  </si>
  <si>
    <t>ВЕТЧ. ИЗ ОКОРОКА с/н мгс 1/90 8шт_Л11</t>
  </si>
  <si>
    <t>ВЕТЧ.БРЕСТСКАЯ п/о 0.75кг 6шт.</t>
  </si>
  <si>
    <t>Мясной продукт из свинины вареный категории А.</t>
  </si>
  <si>
    <t>свинина, стабилизатор белковый (шкурка свиная, мясо цыпленка-бройлера механической обвалки, вода питьевая), вода питьевая, крахмал картофельный, смесь посолочно-нитритная (соль, фиксатор окраски (нитрит натрия)), регуляторы кислотности (пирофосфаты, цитраты натрия, трифосфаты), загустители (каррагинан из водорослей EUCHEUMA, ксантановая камедь, модифицированный крахмал), белок говяжий, белок соевый, сахара, антиокислители (аскорбиновая кислота, лимонная кислота), усилитель вкуса и аромата (глутамат натрия 1-замещенный), ароматизаторы, краситель (кармины)</t>
  </si>
  <si>
    <t>ОХОТНИЧЬЯ ПМ с/к с/н мгс 1/100 10шт.</t>
  </si>
  <si>
    <t>С ИНДЕЙКОЙ ПМ сос ц/о мгс 0.33кг 8шт.</t>
  </si>
  <si>
    <t>ДЛЯ ДЕТЕЙ сос п/о мгс 0.264кг 12шт_Х5</t>
  </si>
  <si>
    <t>ТОМ ЯМ ПМ сос п/о мгс 0.264кг 6шт.</t>
  </si>
  <si>
    <t>мясо куриное механической обвалки, вода питьевая, свинина, стабилизатор белковый (вода питьевая, шкурка свиная, говядина), сыворотка молочная сухая,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загустители (альгинат натрия, каррагинан, гуаровая камедь, камедь целлюлозы, модифицированный крахмал), сахара, соль, специи и экстракты специй, пряности, дрожжевой экстракт, соус соевый (соевые бобы, соль), белок животный (говяжий), желатин пищевой, антиокислители (аскорбиновая кислота, лимонная кислота, экстракт розмарина), усилители вкуса и аромата (глутамат натрия 1-замещенный, 5-гуанилат натрия 2-замещенный), ароматизаторы, красители (кармины, сахарный колер I простой)</t>
  </si>
  <si>
    <t>136/564</t>
  </si>
  <si>
    <t>ЗПФ Кусковые</t>
  </si>
  <si>
    <t>Пельмени Вареники</t>
  </si>
  <si>
    <t>ОПФ Фарши</t>
  </si>
  <si>
    <t>ОПФ Шашлыки Маринады</t>
  </si>
  <si>
    <t>ОПФ Купаты Чевапчичи</t>
  </si>
  <si>
    <t>ОПФ Кусковые</t>
  </si>
  <si>
    <t>ОПФ Нарезные</t>
  </si>
  <si>
    <t>Консервы мясные</t>
  </si>
  <si>
    <t>ТУ 10.13.14-150-00425283-2026</t>
  </si>
  <si>
    <t>195/810</t>
  </si>
  <si>
    <t>мясо цыпленка-бройлера бескостное, мясо цыпленка-бройлера механической обвалки, свинина, говядина, стабилизатор белковый (шкурка свиная, вода питьевая), вода питьевая, сыворотка молочная сухая, крахмалы (кукурузный,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(альгинат натрия, ксантановая камедь), лук репчатый сушеный, чеснок сушеный молотый, тмин, пажитник, сельдерей, антиокислители (аскорбиновая кислота, лимонная кислота), усилитель вкуса и аромата (глутамат натрия 1-замещенный), ароматизатор, красители (кармины, экстракт паприки)</t>
  </si>
  <si>
    <t>ТУ 10.13.14-183-00425283-2026</t>
  </si>
  <si>
    <t>ТУ 10.13.14-181-00425283-2026</t>
  </si>
  <si>
    <t>ТУ 10.13.14-184-00425283-2026</t>
  </si>
  <si>
    <t>Мясной продукт из свинины копчено-вареный категории Б.</t>
  </si>
  <si>
    <t>лопатка свиная, вода питьевая, смесь посолочно-нитритная (соль, фиксатор окраски (нитрит натрия)), крахмал картофельный, белок животный (говяжий), регуляторы кислотности (трифосфаты, цитраты натрия), загустители (каррагинан, ксантановая камедь, модифицированный крахмал), перец черный, сахара, антиокислитель (аскорбиновая кислота), усилитель вкуса и аромата (глутамат натрия 1-замещенный), ароматизатор, краситель (кармины)</t>
  </si>
  <si>
    <t>118/494</t>
  </si>
  <si>
    <t>карбонад свиной, вода питьевая, смесь посолочно-нитритная (соль, фиксатор окраски (нитрит натрия)), регуляторы кислотности (пирофосфаты, цитраты натрия), загустители (каррагинан, ксантановая камедь), белок животный (свиной), сахара, усилитель вкуса и аромата (глутамат натрия 1-замещенный), ароматизаторы, краситель (кармины)</t>
  </si>
  <si>
    <t>Мясной продукт из свинины копчено-вареный.</t>
  </si>
  <si>
    <t>315/1305</t>
  </si>
  <si>
    <t>ребра свиные, вода питьевая, смесь посолочно-нитритная (соль, фиксатор окраски (нитрит натрия)), регуляторы кислотности (трифосфат, цитраты натрия), сахар</t>
  </si>
  <si>
    <t>Мясной продукт из шпика свиного соленый.</t>
  </si>
  <si>
    <t>ТУ 10.13.15-158-00425283-2026</t>
  </si>
  <si>
    <t>грудинка свиная, вода питьевая, чеснок свежий, перец черный молотый, смесь посолочно-нитритная (соль, фиксатор окраски (нитрит натрия))</t>
  </si>
  <si>
    <t>412/1701</t>
  </si>
  <si>
    <t>шейка свиная, вода питьевая, смесь посолочно-нитритная (соль, фиксатор окраски (нитрит натрия)), стабилизаторы (пирофосфаты, цитраты натрия), белок животный (свиной), загустители (каррагинан, ксантановая камедь), сахара, антиокислитель (лимонная кислота), усилитель вкуса и аромата (глутамат натрия 1-замещенный), ароматизаторы, краситель (кармины)</t>
  </si>
  <si>
    <t>150/625</t>
  </si>
  <si>
    <t>Мясной продукт из свинины сырокопченый категории А.</t>
  </si>
  <si>
    <t>карбонад свиной, смесь посолочно-нитритная (соль, фиксатор окраски (нитрит натрия)), перец черный, чеснок, регуляторы кислотности (пирофосфаты, трифосфаты, цитраты натрия), сахара, антиокислитель (аскорбат натрия), усилитель вкуса и аромата (глутамат натрия 1-замещенный), ароматизатор</t>
  </si>
  <si>
    <t>124/522</t>
  </si>
  <si>
    <t>окорок свиной, вода питьевая, соль, белок животный (свиной), регуляторы кислотности (трифосфаты, цитраты натрия), чеснок сушеный молотый, сахара, антиокислители (аскорбиновая кислота, лимонная кислота), усилитель вкуса и аромата (глутамат натрия 1-замещенный), ароматизатор</t>
  </si>
  <si>
    <t>свинина, вода питьевая, стабилизатор белковый (шкурка свиная, вода питьевая), смесь посолочно-нитритная (соль, фиксатор окраски (нитрит натрия)), крахмал картофельный, регуляторы кислотности (пирофосфаты, трифосфаты, цитраты натрия), белок животный (говяжий), загустители (каррагинан, ксантановая камедь, модифицированный крахмал), горчица, чеснок сушеный молотый, сахара, антиокислитель (аскорбиновая кислота), усилитель вкуса и аромата (глутамат натрия 1-замещенный), ароматизаторы, краситель (кармины)</t>
  </si>
  <si>
    <t>грудинка свиная, вода питьевая, стабилизатор белковый (шкурка свиная, вода питьевая), смесь посолочно-нитритная (соль, фиксатор окраски (нитрит натрия)), белок животный (говяжий), горчица, чеснок сушеный молотый, крахмал картофельный, регуляторы кислотности (пирофосфаты, трифосфаты, цитраты натрия),загустители (каррагинан, ксантановая камедь, модифицированный крахмал), сахара, антиокислитель (аскорбиновая кислота), усилитель вкуса и аромата (глутамат натрия 1-замещенный), ароматизаторы, краситель (кармины)</t>
  </si>
  <si>
    <t>окорок свиной, вода питьевая, стабилизатор белковый (шкурка свиная, вода питьевая), загустители (каррагинан, ксантановая камедь, модифицированный крахмал), смесь посолочно-нитритная (соль, фиксатор окраски (нитрит натрия)), белок соевый, регуляторы кислотности (трифосфаты, пирофосфаты, цитраты натрия), волокна пищевые (в т.ч. пшеничные), белок животный (говяжий), сахара, антиокислители (аскорбиновая кислота, лимонная кислота), горчица, усилитель вкуса и аромата (глутамат натрия 1-замещенный), ароматизаторы, краситель (кармины)</t>
  </si>
  <si>
    <t>корейка свиная, вода питьевая, смесь посолочно-нитритная (соль, фиксатор окраски (нитрит натрия)), регуляторы кислотности (пирофосфаты, трифосфаты, цитраты натрия), белок животный (свиной), белок молочный, антиокислитель (аскорбат натрия), ароматизатор</t>
  </si>
  <si>
    <t>свинина, вода питьевая, смесь посолочно-нитритная (соль, фиксатор окраски (нитрит натрия)), регуляторы кислотности (пирофосфаты, трифосфаты, цитраты натрия), белок животный (свиной), белок молочный, антиокислитель (аскорбат натрия), ароматизатор</t>
  </si>
  <si>
    <t>окорок свиной, вода питьевая, смесь посолочно-нитритная (соль, фиксатор окраски (нитрит натрия)), загустители (каррагинан, ксантановая камедь, модифицированный крахмал), белок соевый, регуляторы кислотности (пирофосфаты, трифосфаты, цитраты натрия), волокна пищевые (в т.ч. пшеничные), белок животный (говяжий), сахара, усилитель вкуса и аромата (глутамат натрия 1-замещенный), ароматизаторы, краситель (кармины)</t>
  </si>
  <si>
    <t>свинина, вода питьевая, стабилизатор белковый (шкурка свиная,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белок животный (говяжий), загуститель (каррагинан), сахара, специи (в т.ч. горчица), чеснок сушеный молотый, антиокислитель (аскорбат натрия), усилитель вкуса и аромата (глутамат натрия 1 -замещенный), ароматизаторы, краситель (кармины)</t>
  </si>
  <si>
    <t>свинина, вода питьевая, стабилизатор белковый (шкурка свиная,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белок животный (говяжий), загуститель (каррагинан), сахара, специи (в т.ч. горчица), чеснок сушеный молотый, антиокислитель (аскорбат натрия), усилитель вкуса и аромата (глутамат натрия 1-замещенный), ароматизаторы, краситель (кармины)</t>
  </si>
  <si>
    <t>307/1271</t>
  </si>
  <si>
    <t>свинина, вода питьевая, чеснок свежий, перец черный молотый, смесь посолочно-нитритная (соль, фиксатор окраски (нитрит натрия)), регуляторы кислотности (трифосфаты, цитраты натрия, пирофосфаты), желатин (говяжий), белок животный (свиной), белок молочный, белок пшеничный, антиокислитель (аскорбат натрия), ароматизаторы</t>
  </si>
  <si>
    <t>Мясные продукты из свинины сыровяленые категории А: мясное ассорти: Балык и Шейка.</t>
  </si>
  <si>
    <t>25
18</t>
  </si>
  <si>
    <t>3
17</t>
  </si>
  <si>
    <t>1
2</t>
  </si>
  <si>
    <t>131/553
233/969</t>
  </si>
  <si>
    <r>
      <rPr>
        <b/>
        <sz val="10"/>
        <rFont val="Arial Cyr"/>
        <charset val="204"/>
      </rPr>
      <t>БАЛЫК:</t>
    </r>
    <r>
      <rPr>
        <sz val="10"/>
        <rFont val="Arial Cyr"/>
        <charset val="204"/>
      </rPr>
      <t xml:space="preserve"> карбонад свиной, смесь посолочно-нитритная (соль, фиксатор окраски (нитрит натрия)), регуляторы кислотности (глюконо-дельта-лактон, цитраты натрия), перец черный, сельдерей, лук репчатый, сахара, антиокислитель (аскорбиновая кислота), усилитель вкуса и аромата (глутамат натрия 1-замещенный), ароматизатор.
</t>
    </r>
    <r>
      <rPr>
        <b/>
        <sz val="10"/>
        <rFont val="Arial Cyr"/>
        <charset val="204"/>
      </rPr>
      <t>ШЕЙКА:</t>
    </r>
    <r>
      <rPr>
        <sz val="10"/>
        <rFont val="Arial Cyr"/>
        <charset val="204"/>
      </rPr>
      <t xml:space="preserve"> шейка свиная, смесь посолочно-нитритная (соль, фиксатор окраски (нитрит натрия)), регуляторы кислотности (глюконо-дельта-лактон, цитраты натрия), перец черный, сельдерей, лук репчатый, сахара, антиокислитель (аскорбиновая кислота), усилитель вкуса и аромата (глутамат натрия 1-замещенный), ароматизатор. </t>
    </r>
  </si>
  <si>
    <t>Мясные продукты из свинины копчено-запеченные: мясное ассорти: Балык и Шейка.</t>
  </si>
  <si>
    <r>
      <rPr>
        <b/>
        <sz val="10"/>
        <rFont val="Arial Cyr"/>
        <charset val="204"/>
      </rPr>
      <t>БАЛЫК:</t>
    </r>
    <r>
      <rPr>
        <sz val="10"/>
        <rFont val="Arial Cyr"/>
        <charset val="204"/>
      </rPr>
      <t xml:space="preserve"> карбонад свиной, смесь посолочно-нитритная (соль, фиксатор окраски (нитрит натрия)), регуляторы кислотности (пирофосфаты, трифосфаты, цитраты натрия), загустители (каррагинан, гуаровая камедь, ксантановая камедь), пряности, экстракты пряностей, сахара, белок животный (говяжий), антиокислитель (аскорбиновая кислота), усилитель вкуса и аромата (глутамат натрия 1-замещенный), ароматизатор.
</t>
    </r>
    <r>
      <rPr>
        <b/>
        <sz val="10"/>
        <rFont val="Arial Cyr"/>
        <charset val="204"/>
      </rPr>
      <t>ШЕЙКА:</t>
    </r>
    <r>
      <rPr>
        <sz val="10"/>
        <rFont val="Arial Cyr"/>
        <charset val="204"/>
      </rPr>
      <t xml:space="preserve"> шейка свиная, смесь посолочно-нитритная (соль, фиксатор окраски (нитрит натрия)), регуляторы кислотности (пирофосфаты, трифосфаты, цитраты натрия), загустители (каррагинан, ксантановая камедь, гуаровая камедь), ПРЯНОСТИ, сахара, белок животный (говяжий), антиокислитель (аскорбиновая кислота), усилитель вкуса и аромата (глутамат натрия 1-замещенный), ароматизатор.</t>
    </r>
  </si>
  <si>
    <t>15
19</t>
  </si>
  <si>
    <t>12
4</t>
  </si>
  <si>
    <t>176/733
116/488</t>
  </si>
  <si>
    <t>Мясные продукты из свинины копчено-запеченные: Мясное ассорти: Балык и Шейка.</t>
  </si>
  <si>
    <r>
      <rPr>
        <b/>
        <sz val="10"/>
        <rFont val="Arial Cyr"/>
        <charset val="204"/>
      </rPr>
      <t>БАЛЫК категории А:</t>
    </r>
    <r>
      <rPr>
        <sz val="10"/>
        <rFont val="Arial Cyr"/>
        <charset val="204"/>
      </rPr>
      <t xml:space="preserve"> карбонад свиной, смесь посолочно-нитритная (соль, фиксатор окраски (нитрит натрия)), перец черный, регуляторы кислотности (пирофосфаты, трифосфаты, цитраты натрия), загустители (каррагинан, гуаровая камедь, ксантановая камедь), сахара, белок животный (говяжий), антиокислитель (аскорбиновая кислота), усилитель вкуса и аромата (глутамат натрия 1-замещенный), ароматизатор.
</t>
    </r>
    <r>
      <rPr>
        <b/>
        <sz val="10"/>
        <rFont val="Arial Cyr"/>
        <charset val="204"/>
      </rPr>
      <t>ШЕЙКА категории Б:</t>
    </r>
    <r>
      <rPr>
        <sz val="10"/>
        <rFont val="Arial Cyr"/>
        <charset val="204"/>
      </rPr>
      <t xml:space="preserve"> шейка свиная, смесь посолочно-нитритная (соль, фиксатор окраски (нитрит натрия)), перец черный молотый, регуляторы кислотности (пирофосфаты, трифосфаты, цитраты натрия), загустители (каррагинан, ксантановая камедь, гуаровая камедь), сахара, белок животный (говяжий), антиокислитель (аскорбиновая кислота), усилитель вкуса и аромата (глутамат натрия 1-замещенный), ароматизатор.</t>
    </r>
  </si>
  <si>
    <t>карбонад свиной, вода питьевая, смесь посолочно-нитритная (соль, фиксатор окраски (нитрит натрия)), белок животный (свиной), регуляторы кислотности (пирофосфаты, трифосфаты, цитраты натрия), антиокислители (лимонная кислота, аскорбиновая кислота), ароматизатор</t>
  </si>
  <si>
    <t>ТУ 10.13.14-187-00425283-2026</t>
  </si>
  <si>
    <t>140/590</t>
  </si>
  <si>
    <t>филе грудок куриных, смесь посолочно-нитритная (соль, фиксатор окраски (нитрит натрия)), регуляторы кислотности (пирофосфаты, цитраты натрия), белок молочный, сельдерей, лук репчатый, сахара, антиокислитель (аскорбиновая кислота), усилитель вкуса и аромата (глутамат натрия 1 -замещенный), ароматизаторы</t>
  </si>
  <si>
    <t>162/766</t>
  </si>
  <si>
    <t>корейка свиная, вода питьевая, смесь посолочно-нитритная (соль, фиксатор окраски (нитрит натрия)), животный белок (свиной), регуляторы кислотности (пирофосфаты, трифосфаты, цитраты натрия), антиокислители (аскорбиновая кислота, лимонная кислота), сахара, ароматизатор</t>
  </si>
  <si>
    <t>ТУ 10.13.14-188-00425283-2026</t>
  </si>
  <si>
    <t>филе грудок куриных, вода питьевая, смесь посолочно-нитритная (соль, фиксатор окраски (нитрит натрия)), регуляторы кислотности (трифосфаты, пирофосфаты, цитраты натрия), волокна пищевые (в т.ч. пшеничные), чеснок свежий, сахара, антиокислители (лимонная кислота, аскорбиновая кислота), усилитель вкуса и аромата (глутамат натрия 1-замещенный), ароматизаторы</t>
  </si>
  <si>
    <t>корейка свиная, смесь посолочно-нитритная (соль, фиксатор окраски (нитрит натрия)), перец черный, чеснок, регуляторы кислотности (пирофосфаты, трифосфаты, цитраты натрия), сахара, антиокислитель (аскорбат натрия), усилитель вкуса и аромата (глутамат натрия 1-замещенный), ароматизатор</t>
  </si>
  <si>
    <t>316/1308</t>
  </si>
  <si>
    <t>грудинка свиная, смесь посолочно-нитритная (соль, фиксатор окраски (нитрит натрия)), регуляторы кислотности (трифосфаты, цитраты натрия), лук репчатый, сельдерей, экстракты специй, сахара, антиокислитель (аскорбат натрия), усилитель вкуса и аромата (глутамат натрия 1-замещенный)</t>
  </si>
  <si>
    <t>Мясной продукт из свинины сырокопченый категории Б.</t>
  </si>
  <si>
    <t>свинина, смесь посолочно-нитритная (соль, фиксатор окраски (нитрит натрия)), регуляторы кислотности (цитраты натрия, пирофосфаты, трифосфаты), специи, пряности, сахара, антиокислитель (аскорбат натрия), усилитель вкуса и аромата (глутамат натрия 1-замещенный), ароматизатор, стартовая культура</t>
  </si>
  <si>
    <t>свинина, смесь посолочно-нитритная (соль, фиксатор окраски (нитрит натрия)), регуляторы кислотности (цитраты натрия, пирофосфаты, трифосфаты), перец черный, кориандр, можжевельник, горчица, гвоздика, сахара, антиокислитель (аскорбат натрия), усилитель вкуса и аромата (глутамат натрия 1-замещенный), ароматизатор, стартовая культура</t>
  </si>
  <si>
    <t>свинина, окорок свиной, шпик, говядина, вода питьевая, белок соевый, смесь посолочно-нитритная (соль, фиксатор окраски (нитрит натрия)), перец черный, мускатный орех, кардамон, сахара, белок молочный, волокна пищевые (растительные), антиокислители (аскорбиновая кислота, изоаскорбат натрия), усилитель вкуса и аромата (глутамат натрия 1-замещенный), ароматизаторы, гемоглобин, краситель (кармины), стартовая культура</t>
  </si>
  <si>
    <t>460/1905</t>
  </si>
  <si>
    <t>Мясной продукт. Изделие колбасное сырокопченое полусухое с регулятором кислотности: Ассорти колбас: Бургундия и Салями.</t>
  </si>
  <si>
    <t>370/1535</t>
  </si>
  <si>
    <r>
      <rPr>
        <b/>
        <sz val="10"/>
        <rFont val="Arial Cyr"/>
        <charset val="204"/>
      </rPr>
      <t>БУРГУНДИЯ:</t>
    </r>
    <r>
      <rPr>
        <sz val="10"/>
        <rFont val="Arial Cyr"/>
        <charset val="204"/>
      </rPr>
      <t xml:space="preserve"> свинина, окорок свиной, волокна пищевые (растительные), смесь посолочно-нитритная (соль, фиксатор окраски (нитрит натрия)), регуляторы кислотности (глюконо-дельта-лактон, цитраты натрия), перец черный, мускатный орех, сахара, антиокислители (аскорбиновая кислота, изоаскорбат натрия), гемоглобин, краситель (кармины).
</t>
    </r>
    <r>
      <rPr>
        <b/>
        <sz val="10"/>
        <rFont val="Arial Cyr"/>
        <charset val="204"/>
      </rPr>
      <t>САЛЯМИ:</t>
    </r>
    <r>
      <rPr>
        <sz val="10"/>
        <rFont val="Arial Cyr"/>
        <charset val="204"/>
      </rPr>
      <t xml:space="preserve"> свинина, окорок свиной, шпик, белок животный (говяжий), смесь посолочно-нитритная (соль, фиксатор окраски (нитрит натрия)), регуляторы кислотности (глюконо-дельта-лактон, цитраты натрия), волокна пищевые (растительные), пряности, мускатный цвет, перец белый, сахара, антиокислители (аскорбиновая кислота, лимонная кислота), усилитель вкуса и аромата (глутамат натрия 1-замещенный), ароматизаторы, гемоглобин, краситель (кармины).</t>
    </r>
  </si>
  <si>
    <t>30
30</t>
  </si>
  <si>
    <t>370/1535
362/1501</t>
  </si>
  <si>
    <t>свинина, волокна пищевые (растительные), смесь посолочно-нитритная (соль, фиксатор окраски (нитрит натрия)), регуляторы кислотности (глюконо-дельта-лактон, цитраты натрия), пряности, сахара, антиокислители (аскорбиновая кислота, изоаскорбат натрия), гемоглобин, краситель (кармины)</t>
  </si>
  <si>
    <t>Мясные продукты. Изделия колбасные сыровяленые полусухие с регулятором кислотности: колбасы Итальянское ассорти.</t>
  </si>
  <si>
    <t>22
19</t>
  </si>
  <si>
    <t>28
30</t>
  </si>
  <si>
    <t>5
6</t>
  </si>
  <si>
    <t>360/1495
370/1535</t>
  </si>
  <si>
    <t>САН-РЕМО: свинина, окорок свиной, смесь посолочно-нитритная (соль, фиксатор окраски (нитрит натрия)), регуляторы кислотности (цитраты натрия, глюконо-дельта-лактон), волокна пищевые (растительные), чеснок сушеный молотый, грибы белые сушеные молотые, молоко сухое обезжиренное, сахара, антиокислители (аскорбиновая кислота, изоаскорбат натрия, лимонная кислота), усилитель вкуса и аромата (глутамат натрия 1-замещенный), гемоглобин, ароматизаторы, краситель (кармины).
ПАЛЕРМО: свинина, окорок свиной, шпик, белок животный (говяжий), волокна пищевые (растительные), смесь посолочно-нитритная (соль, фиксатор окраски (нитрит натрия)), регуляторы кислотности (глюконо-дельта-лактон, цитраты натрия), перец белый, перец черный, сахара, антиокислители (аскорбиновая кислота, изоаскорбат натрия, лимонная кислота), усилитель вкуса и аромата (глутамат натрия 1-замещенный), ароматизаторы, белок молочный, гемоглобин, краситель (кармины).</t>
  </si>
  <si>
    <t>Мясной продукт. Изделие колбасное сырокопченое полусухое с регулятором кислотности: Ассорти колбас: Неаполитанский дуэт.</t>
  </si>
  <si>
    <t>ТОСКАНО: свинина, окорок свиной, шпик, белок животный (говяжий), смесь посолочно-нитритная (соль, фиксатор окраски (нитрит натрия)), регуляторы кислотности (глюконо-дельта-лактон, цитраты натрия), волокна пищевые (растительные), пряности, мускатный цвет, перец белый, сахара, антиокислители (аскорбиновая кислота, лимонная кислота), усилитель вкуса и аромата (глутамат натрия 1-замещенный), ароматизаторы, гемоглобин, краситель (кармины).
МИЛАНО: свинина, окорок свиной, волокна пищевые (растительные), смесь посолочно-нитритная (соль, фиксатор окраски (нитрит натрия)), регуляторы кислотности (глюконо-дельта-лактон, цитраты натрия), перец черный, мускатный орех, сахара, антиокислители (аскорбиновая кислота, изоаскорбат натрия), гемоглобин, краситель (кармины).</t>
  </si>
  <si>
    <t>19
20</t>
  </si>
  <si>
    <t>362/1501
370/1535</t>
  </si>
  <si>
    <t>Мясной продукт. Изделие колбасное сырокопченое полусухое с регулятором кислотности: Ассорти колбас: Сальчичон и Салями.</t>
  </si>
  <si>
    <t>САЛЬЧИЧОН: свинина, шпик, волокна пищевые (растительные), смесь посолочно-нитритная (соль, фиксатор окраски (нитрит натрия)), регуляторы кислотности (глюконо-дельта-лактон, цитраты натрия), перец черный, горчица, мускатный цвет, экстракты пряностей, сахара, антиокислители (аскорбиновая кислота, изоаскорбат натрия), усилитель вкуса и аромата (глутамат натрия 1-замещенный), ароматизаторы, гемоглобин. 
САЛЯМИ: свинина, шпик, говядина, вода питьевая, белок соевый, белок молочный, волокна пищевые (растительные), смесь посолочно-нитритная (соль, фиксатор окраски (нитрит натрия)), сыворотка молочная сухая, специи, сахара, антиокислители (аскорбиновая кислота, изоаскорбат натрия), усилитель вкуса и аромата (глутамат натрия 1-замещенный), ароматизаторы, гемоглобин, краситель (кармины), стартовая культура.</t>
  </si>
  <si>
    <t>35
40</t>
  </si>
  <si>
    <t>4
6</t>
  </si>
  <si>
    <t>419/1737
460/1905</t>
  </si>
  <si>
    <t>свинина, шпик, говядина, вода питьевая, белок соевый, белок молочный, волокна пищевые (растительные), смесь посолочно-нитритная (соль, фиксатор окраски (нитрит натрия)), пряности, сахара, антиокислители (аскорбиновая кислота, изоаскорбат натрия), усилитель вкуса и аромата (глутамат натрия 1-замещенный), ароматизаторы, гемоглобин, краситель (кармины), стартовая культура</t>
  </si>
  <si>
    <t>свинина, шпик, говядина, вода питьевая, белок соевый, белок молочный, смесь посолочно-нитритная (соль, фиксатор окраски (нитрит натрия)), перец черный, чеснок сушеный молотый, мускатный орех, перец белый, имбирь, кардамон, можжевельник, экстракты специй, волокна пищевые (растительные), сахара, антиокислители (изоаскорбат натрия, аскорбиновая кислота), усилитель вкуса и аромата (глутамат натрия 1-замещенный), гемоглобин, краситель (кармины), стартовая культура</t>
  </si>
  <si>
    <t>465/1925</t>
  </si>
  <si>
    <t>448/1854</t>
  </si>
  <si>
    <t>свинина, говядина, шпик, вода питьевая, белок соевый, белок молочный, волокна пищевые (растительные), смесь посолочно-нитритная (соль, фиксатор окраски (нитрит натрия)), перец чили, паприка, тмин, чеснок сушеный молотый, перец черный, сахара, антиокислитель (изоаскорбат натрия), усилитель вкуса и аромата (глутамат натрия 1-замещенный), ароматизатор, гемоглобин, краситель (кармины), стартовая культура</t>
  </si>
  <si>
    <t>470/1945</t>
  </si>
  <si>
    <t>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волокна пищевые (пшеничные), белок молочный, перец белый, перец черный, экстракты пряностей, сахара, антиокислитель (изоаскорбат натрия), усилитель вкуса и аромата (глутамат натрия 1-замещенный), ароматизаторы, гемоглобин, краситель (кармины)</t>
  </si>
  <si>
    <t>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белок молочный, волокна пищевые (растительные), перец белый, перец черный, мускатный орех, сахара, антиокислитель (изоаскорбат натрия), усилитель вкуса и аромата (глутамат натрия 1-замещенный), ароматизатор, гемоглобин, краситель (кармины), стартовая культура</t>
  </si>
  <si>
    <t>452/1871</t>
  </si>
  <si>
    <t>426/1763</t>
  </si>
  <si>
    <t>свинина, шпик, вода питьевая, белок соевый, смесь посолочно-нитритная (соль, фиксатор окраски (нитрит натрия)), регуляторы кислотности (пирофосфат натрия, трифосфаты натрия), чеснок сушеный молотый, лук репчатый сушеный, кориандр, паприка, перец черный молотый, перец чили, сахара, белок молочный, пищевые волокна, гемоглобин, антиокислитель (изоаскорбат натрия), усилитель вкуса и аромата (глутамат натрия 1-замещенный), ароматизатор, краситель (кармины)</t>
  </si>
  <si>
    <t>490/2030</t>
  </si>
  <si>
    <t>свинина, шпик, вода питьевая, белок соевый, смесь посолочно-нитритная (соль, фиксатор окраски (нитрит натрия)), волокна пищевые (растительные), белок молочный, перец белый, перец черный, антиокислитель (изоаскорбат натрия), ароматизаторы, гемоглобин, краситель (кармины), стартовая культура</t>
  </si>
  <si>
    <t>свинина, шпик, вода питьевая, белок соевый, белок молочный, волокна пищевые (растительные), смесь посолочно-нитритная (соль, фиксатор окраски (нитрит натрия)), пряности, антиокислитель (изоаскорбат натрия), ароматизаторы, гемоглобин, краситель (кармины), стартовая культура</t>
  </si>
  <si>
    <t>ТУ 10.13.14-139-00425283-2015</t>
  </si>
  <si>
    <t>Изделие колбасное сырокопченое из мяса кур охлажденное фирменное</t>
  </si>
  <si>
    <t xml:space="preserve">ОМПК(О)
</t>
  </si>
  <si>
    <t>свинина, шпик, говядина, белок соевый, белок молочный, волокна пищевые (растительные), смесь посолочно-нитритная (соль, фиксатор окраски (нитрит натрия)), стабилизатор (пирофосфат), перец черный, имбирь, перец красный, сахара, антиокислитель (изоаскорбат натрия), усилитель вкуса и аромата (глутамат натрия 1-замещенный), ароматизатор, гемоглобин, краситель (кармины), стартовая культура</t>
  </si>
  <si>
    <t>478/1979</t>
  </si>
  <si>
    <t>грудинка свиная, свинина, смесь посолочно-нитритная (соль, фиксатор окраски (нитрит натрия)), коньяк, чеснок сушеный, специи, экстракты специй, сахара, стартовая культура</t>
  </si>
  <si>
    <t>451/1868</t>
  </si>
  <si>
    <t>свинина, окорок свиной, шпик, говядина, вода питьевая, белок соевый, белок молочный, волокна пищевые (растительные), смесь посолочно-нитритная (соль, фиксатор окраски (нитрит натрия)), перец черный, мускатный орех, горчица, сахара, антиокислитель (изоаскорбат натрия), усилитель вкуса и аромата (глутамат натрия 1-замещенный), гемоглобин, ароматизаторы, краситель (кармины), стартовая культура</t>
  </si>
  <si>
    <t>235/990</t>
  </si>
  <si>
    <t>говядина, пажитник молотый, чеснок свежий, перец черный, перец красный, мука пшеничная в/с, соль, антиокислитель (лимонная кислота), смесь посолочно-нитритная (соль, фиксатор окраски (нитрит натрия))</t>
  </si>
  <si>
    <t>Мясной продукт из говядины сыровяленый категории А.</t>
  </si>
  <si>
    <t>САЛЯМИ БЕРЛИНСКАЯ с/к с/н мгс 1/130_Л10</t>
  </si>
  <si>
    <t>свинина, окорок свиной, шпик, белок животный (говяжий), смесь посолочно-нитритная (соль, фиксатор окраски (нитрит натрия)), регуляторы кислотности (глюконо-дельта-лактон, цитраты натрия), волокна пищевые (растительные), пряности, мускатный цвет, перец белый, сахара, антиокислители (аскорбиновая кислота, лимонная кислота), усилитель вкуса и аромата (глутамат натрия 1-замещенный), ароматизаторы, гемоглобин, краситель (кармины)</t>
  </si>
  <si>
    <t>362/1501</t>
  </si>
  <si>
    <t>КАРБОНАД Останкино к/в с/н в/у 1/100_Л11</t>
  </si>
  <si>
    <t>КОРЕЙКА ПО-ОСТ.к/в в/с с/н в/у 1/100_Л11</t>
  </si>
  <si>
    <t>РИЕТ МЯСНОЙ С ГРИБАМИ ПМ п/о 1/150</t>
  </si>
  <si>
    <t>Прочая продукция</t>
  </si>
  <si>
    <t>ТУ 10.13.14-138-00425283-2026</t>
  </si>
  <si>
    <t>Мясосодержащий продукт. Изделие колбасное из термически обработанных ингредиентов: паштет.</t>
  </si>
  <si>
    <t>свинина, филе грудок куриных, мясо цыпленка-бройлера механической обвалки, стабилизатор белковый (шкурка свиная, кожа куриная, вода питьевая), говядина, масло подсолнечное рафинированное дезодорированное, вода питьевая, молоко сухое, желток яичный сухой, грибы сушеные, крахмалы (кукурузный, картофельный), смесь посолочно-нитритная (соль, фиксатор окраски (нитрит натрия)), сахара, регуляторы кислотности (пирофосфаты, трифосфаты, цитраты натрия), загустители (альгинат натрия, каррагинан, гуаровая камедь, ксантановая камедь, модифицированный крахмал), волокна пищевые (пшеничные), белок животный (говяжий, свиной), пряности (в т.ч. горчица, сельдерей), антиокислители (аскорбиновая кислота, лимонная кислота), усилитель вкуса и аромата (глутамат натрия 1-замещенный), ароматизаторы, краситель (кармины).</t>
  </si>
  <si>
    <t>344/1422</t>
  </si>
  <si>
    <t>Z-ОХОТНИЧЬЯ с/к в/у (для нарезки 70 мм)</t>
  </si>
  <si>
    <t>131/553</t>
  </si>
  <si>
    <t>карбонад свиной, смесь посолочно-нитритная (соль, фиксатор окраски (нитрит натрия)), регуляторы кислотности (глюконо-дельта-лактон, цитраты натрия), перец черный, сельдерей, лук репчатый, сахара, антиокислитель (аскорбиновая кислота), усилитель вкуса и аромата (глутамат натрия 1-замещенный), ароматизатор</t>
  </si>
  <si>
    <t>филе грудок куриных, смесь посолочно-нитритная (соль, фиксатор окраски (нитрит натрия)), регуляторы кислотности (пирофосфаты, цитраты натрия), белок молочный, сельдерей, лук репчатый, сахара, антиокислитель (аскорбиновая кислота), усилитель вкуса и аромата (глутамат натрия 1-замещенный), ароматизаторы</t>
  </si>
  <si>
    <t>шейка свиная, смесь посолочно-нитритная (соль, фиксатор окраски (нитрит натрия)), регуляторы кислотности (глюконо-дельта-лактон, цитраты натрия), перец черный, сельдерей, лук репчатый, сахара, антиокислители (аскорбиновая кислота, лимонная кислота), усилитель вкуса и аромата (глутамат натрия 1-замещенный), ароматизатор</t>
  </si>
  <si>
    <t>грудинка свиная, смесь посолочно-нитритная (соль, фиксатор окраски (нитрит натрия)), регуляторы кислотности (трифосфаты, цитраты натрия), специи, экстракты специй (в т.ч. сельдерей), сахара, антиокислитель (аскорбат натрия), усилитель вкуса и аромата (глутамат натрия 1-замещенный)</t>
  </si>
  <si>
    <t>грудинка свиная, вода питьевая, стабилизатор белковый (шкурка свиная, вода питьевая), смесь посолочно-нитритная (соль, фиксатор окраски (нитрит натрия)), белок животный (говяжий), горчица, чеснок сушеный молотый, крахмал картофельный, регуляторы кислотности (пирофосфаты, трифосфаты, цитраты натрия), загустители (каррагинан, ксантановая камедь, модифицированный крахмал), сахара, антиокислитель (аскорбиновая кислота), усилитель вкуса и аромата (глутамат натрия 1-замещенный), ароматизаторы, краситель (кармины)</t>
  </si>
  <si>
    <t>свинина,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белок молочный, волокна пищевые (растительные), специи, сахара, антиокислитель (изоаскорбат натрия), усилитель вкуса и аромата (глутамат натрия 1-замещенный), ароматизатор, гемоглобин, краситель (кармины), стартовая культура</t>
  </si>
  <si>
    <t>ХОЧУ ВЕТЧ.ИЗ СВ.ОТРУБА с/н мгс 1/100_Л11</t>
  </si>
  <si>
    <t>КРАКОВСКАЯ п/к н/о мгс_45с</t>
  </si>
  <si>
    <t>МОЛОЧНАЯ СН вар п/о</t>
  </si>
  <si>
    <t>Советское наследие</t>
  </si>
  <si>
    <t>мясо цыпленка-бройлера бескостное, мясо цыпленка-бройлера механической обвалки,  стабилизатор белковый (шкурка свиная, вода питьевая), вода питьевая, сыворотка молочная сухая, крахмал картофельный, крупа манная, смесь посолочно-нитритная (соль, фиксатор окраски (нитрит натрия)), регуляторы кислотности (пирофосфаты, трифосфаты, цитраты натрия), белок животный (говяжий), загустители (ксантановая камедь, каррагинан), чеснок свежий, перец черный, мускатный орех, перец чили, горчица, кориандр, сахара, клетчатка растительная (соевая), антиокислитель (изоаскорбат натрия), усилитель вкуса и аромата (глутамат натрия 1-замещенный), ароматизаторы, краситель (кармины)</t>
  </si>
  <si>
    <t>250/1040</t>
  </si>
  <si>
    <t>ПРАЖСКАЯ с/к с/н мгс 1/100*10_Х5/СТМ МФ</t>
  </si>
  <si>
    <t>свинина, шпик, белок соевый, говядина, вода питьевая, белок молочный, клетчатка растительная, смесь посолочно-нитритная (соль, фиксатор окраски (нитрит натрия)), сыворотка молочная сухая, соль, регулятор кислотности (пирофосфаты), специи, экстракты специй, сахара, антиокислители (аскорбиновая кислота, аскорбат натрия, изоаскорбат натрия), усилитель вкуса и аромата Е621, ароматизатор, гемоглобин, краситель (кармины), стартовая культура</t>
  </si>
  <si>
    <t>461/1908</t>
  </si>
  <si>
    <t>СВИНИНА ПРАЗДНИЧНАЯ с/к мл/к в/у 0.3кг</t>
  </si>
  <si>
    <t>СУПЕР СЫТНЫЕ ПМ сос п/о мгс 0.84кг 5шт.</t>
  </si>
  <si>
    <t>свинина, вода питьевая, смесь посолочно-нитритная (соль, фиксатор окраски (нитрит натрия)), белок животный (свиной), регуляторы кислотности (пирофосфаты, трифосфаты, цитраты натрия), антиокислители (лимонная кислота, аскорбиновая кислота), ароматизатор</t>
  </si>
  <si>
    <t>СОЧНЫЕ ПМ сос п/о мгс 1*6_Лента</t>
  </si>
  <si>
    <t>МОЛОЧНЫЕ GUTMANN сос п/о мгс 0.5кг 8шт.</t>
  </si>
  <si>
    <t>С ИНДЕЙКОЙ ПМ сар п/о мгс 0.3кг 8шт.</t>
  </si>
  <si>
    <t>мясо цыпленка-бройлера механической обвалки, филе грудок куриных, мясо индейки бескостное, стабилизатор белковый (кожа куриная, вода питьевая), говядина, вода питьевая, крахмал кукурузный,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ксантановая камедь, гуаровая камедь, альгинат натрия, модифицированный крахмал), перец черный, мускатный орех, перец чили, кардамон перец белый, сахара, антиокислитель (аскорбиновая кислота, лимонная кислота), усилитель вкуса и аромата (глутамат натрия 1-замещенный), ароматизатор, краситель (кармины)</t>
  </si>
  <si>
    <t>МОЛОЧНЫЕ КЛАССИЧ. сос п/о мгс 0.8кг 6шт.</t>
  </si>
  <si>
    <t>свинина, вода питьевая, смесь посолочно-нитритная (соль, фиксатор окраски (нитрит натрия)), белок животный (свиной), регуляторы кислотности (пирофосфаты, трифосфаты, цитраты натрия), антиокислители (лимонная кислота, аскорбиновая кислота), ароматизатор</t>
  </si>
  <si>
    <t>филе грудок куриных, вода питьевая, смесь посолочно-нитритная (соль, фиксатор окраски (нитрит натрия)), регуляторы кислотности (трифосфаты, пирифосфаты, цитраты натрия), волокна пищевые (в т.ч. пшеничные), чеснок свежий, сахара, антиокислители (лимонная кислота, аскорбиновая кислота), усилитель вкуса и аромата (глутамат натрия 1-замещенный), ароматизаторы</t>
  </si>
  <si>
    <t>94/397</t>
  </si>
  <si>
    <t>ШПИКАЧКИ СОЧНЫЕ сар б/о мгс 1*3_А_45с</t>
  </si>
  <si>
    <t>СЕРВЕЛАТ С ИНДЕЙКОЙ ПМ в/к в/у 0.28кг</t>
  </si>
  <si>
    <t>филе куриное, говядина, филе бедра индейки, мясо цыпленка-бройлера механической обвалки, сыворотка молочная сухая, крахмал картофельный, смесь посолочно-нитритная (соль, фиксатор окраски (нитрит натрия)), регуляторы кислотности (пирофосфат, цитраты натрия), перец черный, кориандр, мускатный орех, кардамон, волокна пищевые, сахар, антиокислители (аскорбиновая кислота, лимонная кислота), усилитель вкуса и аромата (глутамат натрия 1-замещенный), ароматизаторы, краситель (понсо R4)</t>
  </si>
  <si>
    <t>301/1248</t>
  </si>
  <si>
    <t>ТУ 10.13.14-185-00425283-2026</t>
  </si>
  <si>
    <t>СВИНИНА ПО-БЕЛОРУССКИ к/в в/у 0.4кг</t>
  </si>
  <si>
    <t>ВЕТЧ.КОПЧЕНАЯ в/у 0.6кг 8шт.</t>
  </si>
  <si>
    <t>ТУ 10.13.14-182-00425283-2026</t>
  </si>
  <si>
    <t>Мясной продукт из свинины вареный категории Б.</t>
  </si>
  <si>
    <t>БАРСЕЛОНА ПМ с/к в/у 1/150 12шт.</t>
  </si>
  <si>
    <t>Кор-ш/б 164х106х240 Т24Е Папа Может №314</t>
  </si>
  <si>
    <t>МОЛОЧНЫЕ ГОСТ сос ц/о мгс 1*4_Лента</t>
  </si>
  <si>
    <t>Мясной полуфабрикат мелкокусковой бескостный охлажденный из свинины категории А.</t>
  </si>
  <si>
    <t>свинина, филе грудок куриных, мясо цыпленка-бройлера механической обвалки, стабилизатор белковый (шкурка свиная, вода питьевая), говядина, вода питьевая, молоко сухое, сыворотка молочная сухая, крахмал кукурузный,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ксантановая камедь, альгинат натрия, гуаровая камедь, модифицированный крахмал), перец черный, мускатный орех, чили, сахара, антиокислители (лимонная кислота, аскорбиновая кислота), усилитель вкуса и аромата (глутамат натрия 1-замещенный), ароматизаторы, краситель (кармины)</t>
  </si>
  <si>
    <t>свинина, стабилизатор белковый (шкурка свиная, вода питьевая),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(каррагинан из водорослей eucheuma), перец черный молотый, кориандр, можжевельник, горчица, сахара, антиокислители (аскорбиновая кислота, лимонная кислота), усилитель вкуса и аромата (глутамат натрия 1-замещенный), ароматизаторы, краситель (кармины)</t>
  </si>
  <si>
    <t>мясо цыпленка-бройлера бескостное, мясо цыпленка-бройлера механической обвалки, свинина, стабилизатор белковый (шкурка свиная, вода питьевая), вода питьевая, сыворотка молочная сухая, крахмал картофельный, смесь посолочно-нитритная (соль, фиксатор окраски (нитрит натрия)), загустители (альгинат натрия, каррагинан, ксантановая камедь, гуаровая камедь, модифицированный крахмал), перец черный, мускатный орех, кардамон, чеснок сушеный молотый, паприка, сахара, антиокислители (лимонная кислота, аскорбиновая кислота), усилитель вкуса и аромата (глутамат натрия 1-замещенный), ароматизаторы, краситель (кармины)</t>
  </si>
  <si>
    <t>172/716</t>
  </si>
  <si>
    <t>свинина, мясо цыпленка-бройлера механической обвалки, стабилизатор белковый (шкурка свиная, вода питьевая), вода питьевая,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(альгинат натрия, каррагинан, гуаровая камедь, ксантановая камедь, модифицированный крахмал), перец черный, перец белый, чеснок сушеный молотый, лук репчатый, сахара, антиокислители (аскорбиновая кислота, лимонная кислота), усилитель вкуса и аромата (глутамат натрия 1-замещенный), ароматизаторы, краситель (кармины)</t>
  </si>
  <si>
    <t>филе грудок куриных, мясо цыпленка-бройлера механической обвалки, говядина, стабилизатор белковый (кожа куриная, вода питьевая), вода питьевая, крахмал кукурузный,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ксантановая камедь, альгинат натрия, гуаровая камедь, модифицированный крахмал), перец черный, мускатный орех, перец чили, сахара, антиокислители (лимонная кислота, аскорбиновая кислота), усилитель вкуса и аромата (глутамат натрия 1-замещенный), ароматизаторы, краситель (кармины)</t>
  </si>
  <si>
    <t>филе грудок куриных, стабилизатор белковый (кожа куриная, вода питьевая), мясо индейки бескостное, вода питьевая, крахмал картофельный, смесь посолочно-нитритная (соль, фиксатор окраски (нитрит натрия)), регулятор кислотности (цитраты натрия), загустители (каррагинан из водорослей eucheuma, ксантановая камедь, модифицированный крахмал), белок говяжий, белок соевый, сахара, антиокислитель (аскорбат натрия), усилитель вкуса и аромата (глутамат натрия 1-замещенный), ароматизаторы, краситель (кармины)</t>
  </si>
  <si>
    <t>Мясосодержащий продукт из свинины вареный категории В.</t>
  </si>
  <si>
    <t>свинина, стабилизатор белковый (шкурка свиная, вода питьевая), мясо цыпленка-бройлера бескостное, вода питьевая, крахмал картофельный, смесь посолочно-нитритная (соль, фиксатор окраски (нитрит натрия)), регуляторы кислотности (пирофосфаты, цитраты натрия, трифосфаты), загустители (каррагинан из водорослей eucheuma, ксантановая камедь, модифицированный крахмал), белок говяжий, белок соевый, сахара, антиокислители (аскорбиновая кислота, лимонная кислота), усилитель вкуса и аромата (глутамат натрия 1-замещенный), ароматизаторы, краситель (кармины)</t>
  </si>
  <si>
    <t>Мясной продукт из мяса вареный категории Б.</t>
  </si>
  <si>
    <t>мясо цыпленка-бройлера бескостное, мясо цыпленка-бройлера механической обвалки, стабилизатор белковый (шкурка свиная, вода питьевая), вода питьевая, сыворотка молочная сухая, крахмал картофельный, крупа манная, смесь посолочно-нитритная (соль, фиксатор окраски (нитрит натрия)), регуляторы кислотности (пирофосфаты, трифосфаты, цитраты натрия), белок животный (говяжий), загустители (ксантановая камедь, каррагинан), чеснок свежий, перец черный, мускатный орех перец чили, горчица, кориандр, сахара, клетчатка растительная (соевая), антиокислитель (изоаскорбат натрия), усилитель вкуса и аромата (глутамат натрия 1-замещенный), ароматизаторы, краситель (кармины)</t>
  </si>
  <si>
    <t>БЛИНЧ.КРУГЛЫЕ С ГРУШЕЙ 1/300 12шт.зам.</t>
  </si>
  <si>
    <t>Тесто для блинов: мука пшеничная в/с, вода питьевая, масло подсолнечное рафинированное дезодорированное, сахар, порошок яичный, сыворотка молочная сухая, соль, разрыхлитель (гидрокарбонат натрия), антиокислитель (лимонная кислота). Начинка: груша, сахар, вода питьевая, загуститель (модифицированный крахмал), ароматизатор натуральный.</t>
  </si>
  <si>
    <t>Z-СВИНАЯ ГОСТ с/к мгс 0.5кг гр/уп</t>
  </si>
  <si>
    <t>Z-БРАУНШВЕЙГСКАЯ мгс (для нарезки 70 мм)</t>
  </si>
  <si>
    <t>Z-АРОМАТНАЯ мгс в/у (для нарезки 70 мм)</t>
  </si>
  <si>
    <t>СЕРВЕЛАТ С ГОВЯДИНОЙ ПМ в/к в/у 0.28кг</t>
  </si>
  <si>
    <t>филе грудок куриных, говядина, мясо цыпленка-бройлера механической обвалки, вода питьевая, белок соевый, крахмал картофельный, смесь посолочно-нитритная (соль, фиксатор окраски (нитрит натрия)), регуляторы кислотности (пирофосфаты, цитраты натрия, трифосфаты), кардамон, перец чили, кориандр, тмин, карри, имбирь, мускатный орех, лук репчатый сушеный, перец черный, перец душистый, клетчатка растительная, сахара, антиокислители (аскорбиновая кислота, лимонная кислота), усилитель вкуса и аромата (глутамат натрия 1-замещенный), ароматизаторы, гемоглобин, краситель (кармины), экстракт гардении красной</t>
  </si>
  <si>
    <t>САН-РЕМО Останкино с/в в/у срез</t>
  </si>
  <si>
    <t>360/1495</t>
  </si>
  <si>
    <t>свинина, окорок свиной, смесь посолочно-нитритная (соль, фиксатор окраски (нитрит натрия)), регуляторы кислотности (цитраты натрия, глюконо-дельта-лактон), волокна пищевые (растительные), чеснок сушеный молотый, грибы белые сушеные молотые, молоко сухое обезжиренное, сахара, антиокислители (аскорбиновая кислота, изоаскорбат натрия, лимонная кислота), усилитель вкуса и аромата (глутамат натрия 1-замещенный), гемоглобин, ароматизаторы, краситель (кармины)</t>
  </si>
  <si>
    <t xml:space="preserve">Состав: Тесто: мука пшеничная в/с, вода питьевая, масло подсолнечное рафинированное дезодорированное, сахар, меланж яичный сухой, сыворотка молочная сухая, соль, разрыхлитель (гидрокарбонат натрия), антиокислитель (лимонная кислота). Начинка: ветчина (свинина, вода питьевая, белковый стабилизатор (шкурка свиная, вода питьевая), крахмал картофельный, смесь посолочно-нитритная (соль, фиксатор окраски (нитрит натрия)), белок животный (говяжий), соль, сахар, загустители (модифицированный крахмал, каррагинан из водорослей EUCHEMA, ксантановая камедь), белок соевый, регуляторы кислотности (трифосфаты, ацетаты натрия, цитраты натрия), стабилизаторы (пирофосфаты, полифосфаты), усилитель вкуса и аромата (глутамат натрия), антиокислитель (аскорбат натрия), горчица, ароматизаторы, краситель (кармины)), вода питьевая, сыр плавленый колбасный копченый (вода питьевая, сыр, масло сливочное, молоко сухое обезжиренное, крахмал кукурузный, сыворотка молочная сухая, регулятор кислотности (трифосфат), стабилизатор (пирофосфат), соль, эмульгатор (цитраты калия), регулятор кислотности (лимонная кислота), консервант (сорбат калия), стабилизатор (модифицированный крахмал), белок молочный, загуститель (ксантановая камедь), перец черный молотый, ароматизатор, краситель (каротины). </t>
  </si>
  <si>
    <t xml:space="preserve">Состав: Тесто для блинов: мука пшеничная в/с, вода питьевая, масло подсолнечное рафинированное дезодорированное, сахар, меланж яичный сухой, сыворотка молочная сухая, соль, разрыхлитель (гидрокарбонат натрия), антиокислитель (лимонная кислота). Начинка: творог (молоко цельное, молоко обезжиренное, закваска, ферментный препарат животного происхождения (сычужный фермент)), вода питьевая, сахара, крупа манная, сыворотка молочная сухая, загуститель (модифицированный крахмал), соль, ванилин, ароматизаторы. </t>
  </si>
  <si>
    <t>179/752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</si>
</sst>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 _₽_-;\-* #,##0.00\ _₽_-;_-* &quot;-&quot;??\ _₽_-;_-@_-"/>
    <numFmt numFmtId="165" formatCode="0.000"/>
    <numFmt numFmtId="166" formatCode="0.0"/>
    <numFmt numFmtId="167" formatCode="#,##0.0"/>
  </numFmts>
  <fonts count="61" x14ac:knownFonts="1">
    <font>
      <sz val="10"/>
      <name val="Arial Cyr"/>
      <charset val="204"/>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b/>
      <sz val="10"/>
      <name val="Arial Cyr"/>
      <family val="2"/>
      <charset val="204"/>
    </font>
    <font>
      <b/>
      <sz val="10"/>
      <name val="Arial Cyr"/>
      <charset val="204"/>
    </font>
    <font>
      <b/>
      <sz val="8"/>
      <name val="Arial Cyr"/>
      <family val="2"/>
      <charset val="204"/>
    </font>
    <font>
      <sz val="8"/>
      <name val="Arial Cyr"/>
      <charset val="204"/>
    </font>
    <font>
      <sz val="10"/>
      <name val="Arial Cyr"/>
      <family val="2"/>
      <charset val="204"/>
    </font>
    <font>
      <sz val="11"/>
      <color theme="1"/>
      <name val="Calibri"/>
      <family val="2"/>
      <scheme val="minor"/>
    </font>
    <font>
      <sz val="10"/>
      <name val="Arial"/>
      <family val="2"/>
    </font>
    <font>
      <sz val="10"/>
      <name val="Arial Cyr"/>
      <charset val="204"/>
    </font>
    <font>
      <sz val="10"/>
      <name val="Arial"/>
      <family val="2"/>
      <charset val="204"/>
    </font>
    <font>
      <sz val="8"/>
      <name val="Arial Cyr"/>
      <family val="2"/>
      <charset val="204"/>
    </font>
    <font>
      <b/>
      <sz val="11"/>
      <color theme="1"/>
      <name val="Calibri"/>
      <family val="2"/>
      <charset val="204"/>
      <scheme val="minor"/>
    </font>
    <font>
      <sz val="12"/>
      <color theme="1"/>
      <name val="Times New Roman"/>
      <family val="1"/>
      <charset val="204"/>
    </font>
    <font>
      <b/>
      <sz val="10"/>
      <color theme="1"/>
      <name val="Arial"/>
      <family val="2"/>
      <charset val="204"/>
    </font>
    <font>
      <sz val="10"/>
      <color theme="1"/>
      <name val="Arial"/>
      <family val="2"/>
      <charset val="204"/>
    </font>
    <font>
      <b/>
      <sz val="8"/>
      <name val="Arial Cyr"/>
      <charset val="204"/>
    </font>
    <font>
      <b/>
      <sz val="10"/>
      <color theme="0"/>
      <name val="Arial Cyr"/>
      <family val="2"/>
      <charset val="204"/>
    </font>
    <font>
      <b/>
      <sz val="10"/>
      <color theme="0"/>
      <name val="Arial Cyr"/>
      <charset val="204"/>
    </font>
    <font>
      <sz val="10"/>
      <name val="Arial CYR"/>
    </font>
    <font>
      <sz val="10"/>
      <name val="Calibri"/>
      <family val="2"/>
      <charset val="204"/>
    </font>
    <font>
      <sz val="10"/>
      <color rgb="FFFF0000"/>
      <name val="Arial"/>
      <family val="2"/>
      <charset val="204"/>
    </font>
    <font>
      <sz val="11"/>
      <color rgb="FFFF0000"/>
      <name val="Calibri"/>
      <family val="2"/>
      <scheme val="minor"/>
    </font>
  </fonts>
  <fills count="11">
    <fill>
      <patternFill patternType="none"/>
    </fill>
    <fill>
      <patternFill patternType="gray125"/>
    </fill>
    <fill>
      <patternFill patternType="solid">
        <fgColor theme="0"/>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6" tint="0.79998168889431442"/>
        <bgColor rgb="FF000000"/>
      </patternFill>
    </fill>
    <fill>
      <patternFill patternType="solid">
        <fgColor theme="2" tint="-0.249977111117893"/>
        <bgColor indexed="64"/>
      </patternFill>
    </fill>
    <fill>
      <patternFill patternType="solid">
        <fgColor theme="2"/>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rgb="FFFFFF00"/>
        <bgColor indexed="64"/>
      </patternFill>
    </fill>
  </fills>
  <borders count="40">
    <border>
      <left/>
      <right/>
      <top/>
      <bottom/>
      <diagonal/>
    </border>
    <border>
      <left style="medium">
        <color indexed="64"/>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top/>
      <bottom style="thin">
        <color indexed="64"/>
      </bottom>
      <diagonal/>
    </border>
    <border>
      <left style="hair">
        <color auto="1"/>
      </left>
      <right style="hair">
        <color auto="1"/>
      </right>
      <top style="hair">
        <color auto="1"/>
      </top>
      <bottom style="hair">
        <color auto="1"/>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bottom style="medium">
        <color indexed="64"/>
      </bottom>
      <diagonal/>
    </border>
    <border>
      <left style="thin">
        <color indexed="64"/>
      </left>
      <right/>
      <top style="thin">
        <color indexed="64"/>
      </top>
      <bottom style="medium">
        <color indexed="64"/>
      </bottom>
      <diagonal/>
    </border>
    <border>
      <left style="medium">
        <color indexed="64"/>
      </left>
      <right/>
      <top style="medium">
        <color indexed="64"/>
      </top>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s>
  <cellStyleXfs count="4">
    <xf numFmtId="0" fontId="0" fillId="0" borderId="0"/>
    <xf numFmtId="0" fontId="45" fillId="0" borderId="0"/>
    <xf numFmtId="164" fontId="47" fillId="0" borderId="0" applyFont="0" applyFill="0" applyBorder="0" applyAlignment="0" applyProtection="0"/>
    <xf numFmtId="0" fontId="48" fillId="0" borderId="0"/>
  </cellStyleXfs>
  <cellXfs count="364">
    <xf numFmtId="0" fontId="0" fillId="0" borderId="0" xfId="0"/>
    <xf numFmtId="0" fontId="40" fillId="0" borderId="1" xfId="0" applyFont="1" applyFill="1" applyBorder="1" applyAlignment="1">
      <alignment horizontal="center"/>
    </xf>
    <xf numFmtId="0" fontId="40" fillId="0" borderId="1" xfId="0" applyFont="1" applyFill="1" applyBorder="1" applyAlignment="1">
      <alignment horizontal="center" wrapText="1"/>
    </xf>
    <xf numFmtId="0" fontId="40" fillId="0" borderId="1" xfId="0" applyFont="1" applyFill="1" applyBorder="1" applyAlignment="1">
      <alignment horizontal="center" vertical="top"/>
    </xf>
    <xf numFmtId="0" fontId="0" fillId="0" borderId="2" xfId="0" applyFont="1" applyFill="1" applyBorder="1"/>
    <xf numFmtId="0" fontId="0" fillId="0" borderId="3" xfId="0" applyFont="1" applyFill="1" applyBorder="1"/>
    <xf numFmtId="0" fontId="0" fillId="0" borderId="3" xfId="0" applyFont="1" applyFill="1" applyBorder="1" applyAlignment="1">
      <alignment horizontal="left"/>
    </xf>
    <xf numFmtId="0" fontId="40" fillId="0" borderId="3" xfId="0" applyFont="1" applyFill="1" applyBorder="1" applyAlignment="1">
      <alignment horizontal="right"/>
    </xf>
    <xf numFmtId="0" fontId="0" fillId="0" borderId="4" xfId="0" applyFont="1" applyFill="1" applyBorder="1"/>
    <xf numFmtId="0" fontId="0" fillId="0" borderId="0" xfId="0" applyFont="1" applyFill="1" applyBorder="1"/>
    <xf numFmtId="0" fontId="40" fillId="0" borderId="5" xfId="0" applyFont="1" applyFill="1" applyBorder="1" applyAlignment="1">
      <alignment horizontal="center" vertical="top"/>
    </xf>
    <xf numFmtId="0" fontId="42" fillId="0" borderId="6" xfId="0" applyFont="1" applyFill="1" applyBorder="1" applyAlignment="1">
      <alignment horizontal="center" vertical="top" wrapText="1"/>
    </xf>
    <xf numFmtId="0" fontId="42" fillId="0" borderId="7" xfId="0" applyFont="1" applyFill="1" applyBorder="1" applyAlignment="1">
      <alignment horizontal="center" vertical="top" wrapText="1"/>
    </xf>
    <xf numFmtId="0" fontId="42" fillId="0" borderId="8" xfId="0" applyFont="1" applyFill="1" applyBorder="1" applyAlignment="1">
      <alignment horizontal="center" vertical="top" wrapText="1"/>
    </xf>
    <xf numFmtId="0" fontId="42" fillId="0" borderId="9" xfId="0" applyFont="1" applyFill="1" applyBorder="1" applyAlignment="1">
      <alignment horizontal="center" vertical="top"/>
    </xf>
    <xf numFmtId="0" fontId="42" fillId="0" borderId="5" xfId="0" applyFont="1" applyFill="1" applyBorder="1" applyAlignment="1">
      <alignment horizontal="center" vertical="top"/>
    </xf>
    <xf numFmtId="0" fontId="42" fillId="0" borderId="10" xfId="0" applyFont="1" applyFill="1" applyBorder="1" applyAlignment="1">
      <alignment horizontal="center" vertical="top" wrapText="1"/>
    </xf>
    <xf numFmtId="0" fontId="42" fillId="0" borderId="11" xfId="0" applyFont="1" applyFill="1" applyBorder="1" applyAlignment="1">
      <alignment horizontal="center" vertical="top"/>
    </xf>
    <xf numFmtId="0" fontId="42" fillId="0" borderId="11" xfId="0" applyFont="1" applyFill="1" applyBorder="1" applyAlignment="1">
      <alignment horizontal="center" vertical="top" wrapText="1"/>
    </xf>
    <xf numFmtId="0" fontId="42" fillId="0" borderId="12" xfId="0" applyFont="1" applyFill="1" applyBorder="1" applyAlignment="1">
      <alignment horizontal="center" vertical="top" wrapText="1"/>
    </xf>
    <xf numFmtId="0" fontId="42" fillId="0" borderId="6" xfId="0" applyFont="1" applyFill="1" applyBorder="1" applyAlignment="1">
      <alignment horizontal="center" vertical="top"/>
    </xf>
    <xf numFmtId="0" fontId="42" fillId="0" borderId="7" xfId="0" applyFont="1" applyFill="1" applyBorder="1" applyAlignment="1">
      <alignment horizontal="center" vertical="top"/>
    </xf>
    <xf numFmtId="0" fontId="0" fillId="0" borderId="0" xfId="0" applyFont="1" applyFill="1" applyBorder="1" applyAlignment="1">
      <alignment vertical="top"/>
    </xf>
    <xf numFmtId="0" fontId="0" fillId="0" borderId="13" xfId="0" applyFont="1" applyFill="1" applyBorder="1" applyAlignment="1">
      <alignment horizontal="center" vertical="top"/>
    </xf>
    <xf numFmtId="0" fontId="0" fillId="0" borderId="13" xfId="0" applyFont="1" applyFill="1" applyBorder="1" applyAlignment="1">
      <alignment horizontal="center" vertical="top" wrapText="1"/>
    </xf>
    <xf numFmtId="0" fontId="0" fillId="0" borderId="13" xfId="0" applyFont="1" applyFill="1" applyBorder="1" applyAlignment="1">
      <alignment vertical="top"/>
    </xf>
    <xf numFmtId="0" fontId="0" fillId="0" borderId="13" xfId="0" applyFont="1" applyFill="1" applyBorder="1" applyAlignment="1">
      <alignment horizontal="justify" vertical="top" wrapText="1"/>
    </xf>
    <xf numFmtId="0" fontId="0" fillId="0" borderId="14" xfId="0" applyFont="1" applyFill="1" applyBorder="1" applyAlignment="1">
      <alignment horizontal="center" vertical="top"/>
    </xf>
    <xf numFmtId="0" fontId="0" fillId="0" borderId="15" xfId="0" applyFont="1" applyFill="1" applyBorder="1" applyAlignment="1">
      <alignment horizontal="center" vertical="top"/>
    </xf>
    <xf numFmtId="0" fontId="0" fillId="0" borderId="16" xfId="0" applyFont="1" applyFill="1" applyBorder="1" applyAlignment="1">
      <alignment horizontal="center" vertical="top"/>
    </xf>
    <xf numFmtId="0" fontId="0" fillId="0" borderId="17" xfId="0" applyFont="1" applyFill="1" applyBorder="1" applyAlignment="1">
      <alignment horizontal="center" vertical="top"/>
    </xf>
    <xf numFmtId="0" fontId="0" fillId="0" borderId="18" xfId="0" applyFont="1" applyFill="1" applyBorder="1" applyAlignment="1">
      <alignment horizontal="center" vertical="top"/>
    </xf>
    <xf numFmtId="0" fontId="0" fillId="0" borderId="19" xfId="0" applyFont="1" applyFill="1" applyBorder="1" applyAlignment="1">
      <alignment horizontal="center" vertical="top"/>
    </xf>
    <xf numFmtId="0" fontId="0" fillId="0" borderId="20" xfId="0" applyFont="1" applyFill="1" applyBorder="1" applyAlignment="1">
      <alignment vertical="top"/>
    </xf>
    <xf numFmtId="0" fontId="0" fillId="0" borderId="21" xfId="0" applyFont="1" applyFill="1" applyBorder="1" applyAlignment="1">
      <alignment vertical="top"/>
    </xf>
    <xf numFmtId="165" fontId="0" fillId="0" borderId="15" xfId="0" applyNumberFormat="1" applyFont="1" applyFill="1" applyBorder="1" applyAlignment="1">
      <alignment vertical="top"/>
    </xf>
    <xf numFmtId="165" fontId="0" fillId="0" borderId="17" xfId="0" applyNumberFormat="1" applyFont="1" applyFill="1" applyBorder="1" applyAlignment="1">
      <alignment vertical="top"/>
    </xf>
    <xf numFmtId="0" fontId="0" fillId="0" borderId="14" xfId="0" applyFont="1" applyFill="1" applyBorder="1" applyAlignment="1">
      <alignment vertical="top"/>
    </xf>
    <xf numFmtId="0" fontId="0" fillId="0" borderId="15" xfId="0" applyFont="1" applyFill="1" applyBorder="1" applyAlignment="1">
      <alignment vertical="top"/>
    </xf>
    <xf numFmtId="2" fontId="0" fillId="0" borderId="21" xfId="0" applyNumberFormat="1" applyFont="1" applyFill="1" applyBorder="1" applyAlignment="1">
      <alignment vertical="top"/>
    </xf>
    <xf numFmtId="0" fontId="0" fillId="0" borderId="22" xfId="0" applyFont="1" applyFill="1" applyBorder="1" applyAlignment="1">
      <alignment vertical="top"/>
    </xf>
    <xf numFmtId="0" fontId="0" fillId="0" borderId="20" xfId="0" applyFont="1" applyFill="1" applyBorder="1" applyAlignment="1">
      <alignment horizontal="center" vertical="top"/>
    </xf>
    <xf numFmtId="0" fontId="0" fillId="0" borderId="21" xfId="0" applyFont="1" applyFill="1" applyBorder="1" applyAlignment="1">
      <alignment horizontal="center" vertical="top"/>
    </xf>
    <xf numFmtId="0" fontId="0" fillId="0" borderId="23" xfId="0" applyFont="1" applyFill="1" applyBorder="1" applyAlignment="1">
      <alignment horizontal="center" vertical="top"/>
    </xf>
    <xf numFmtId="0" fontId="0" fillId="0" borderId="22" xfId="0" applyFont="1" applyFill="1" applyBorder="1" applyAlignment="1">
      <alignment horizontal="center" vertical="top"/>
    </xf>
    <xf numFmtId="0" fontId="0" fillId="0" borderId="21" xfId="0" applyFont="1" applyFill="1" applyBorder="1" applyAlignment="1">
      <alignment horizontal="right" vertical="top"/>
    </xf>
    <xf numFmtId="1" fontId="0" fillId="0" borderId="13" xfId="0" applyNumberFormat="1" applyFont="1" applyFill="1" applyBorder="1" applyAlignment="1">
      <alignment vertical="top"/>
    </xf>
    <xf numFmtId="0" fontId="0" fillId="0" borderId="0" xfId="0" applyFont="1" applyFill="1" applyBorder="1" applyAlignment="1">
      <alignment horizontal="center"/>
    </xf>
    <xf numFmtId="0" fontId="0" fillId="0" borderId="13" xfId="0" applyBorder="1" applyAlignment="1">
      <alignment vertical="top"/>
    </xf>
    <xf numFmtId="0" fontId="0" fillId="0" borderId="13" xfId="0" applyBorder="1" applyAlignment="1">
      <alignment horizontal="center" vertical="top"/>
    </xf>
    <xf numFmtId="0" fontId="0" fillId="0" borderId="13" xfId="0" applyFill="1" applyBorder="1" applyAlignment="1">
      <alignment horizontal="center" vertical="top"/>
    </xf>
    <xf numFmtId="0" fontId="0" fillId="0" borderId="13" xfId="0" applyBorder="1" applyAlignment="1">
      <alignment horizontal="justify" vertical="top" wrapText="1"/>
    </xf>
    <xf numFmtId="0" fontId="0" fillId="0" borderId="14" xfId="0" applyBorder="1" applyAlignment="1">
      <alignment horizontal="center" vertical="top"/>
    </xf>
    <xf numFmtId="0" fontId="0" fillId="0" borderId="15" xfId="0" applyBorder="1" applyAlignment="1">
      <alignment horizontal="center" vertical="top"/>
    </xf>
    <xf numFmtId="0" fontId="0" fillId="0" borderId="16" xfId="0" applyBorder="1" applyAlignment="1">
      <alignment horizontal="center" vertical="top"/>
    </xf>
    <xf numFmtId="0" fontId="0" fillId="0" borderId="18" xfId="0" applyBorder="1" applyAlignment="1">
      <alignment vertical="top"/>
    </xf>
    <xf numFmtId="0" fontId="0" fillId="0" borderId="25" xfId="0" applyBorder="1" applyAlignment="1">
      <alignment horizontal="center" vertical="top"/>
    </xf>
    <xf numFmtId="0" fontId="0" fillId="0" borderId="0" xfId="0" applyAlignment="1">
      <alignment vertical="top"/>
    </xf>
    <xf numFmtId="0" fontId="0" fillId="0" borderId="13" xfId="0" applyBorder="1" applyAlignment="1">
      <alignment horizontal="center" vertical="top" wrapText="1"/>
    </xf>
    <xf numFmtId="0" fontId="0" fillId="0" borderId="14" xfId="0" applyBorder="1" applyAlignment="1">
      <alignment vertical="top"/>
    </xf>
    <xf numFmtId="0" fontId="0" fillId="0" borderId="15" xfId="0" applyBorder="1" applyAlignment="1">
      <alignment vertical="top"/>
    </xf>
    <xf numFmtId="2" fontId="0" fillId="0" borderId="21" xfId="0" applyNumberFormat="1" applyBorder="1" applyAlignment="1">
      <alignment vertical="top"/>
    </xf>
    <xf numFmtId="2" fontId="0" fillId="0" borderId="15" xfId="0" applyNumberFormat="1" applyBorder="1" applyAlignment="1">
      <alignment vertical="top"/>
    </xf>
    <xf numFmtId="0" fontId="41" fillId="0" borderId="1" xfId="0" applyFont="1" applyFill="1" applyBorder="1" applyAlignment="1">
      <alignment horizontal="center"/>
    </xf>
    <xf numFmtId="0" fontId="43" fillId="0" borderId="13" xfId="0" applyFont="1" applyFill="1" applyBorder="1" applyAlignment="1">
      <alignment vertical="top" wrapText="1"/>
    </xf>
    <xf numFmtId="165" fontId="0" fillId="0" borderId="15" xfId="0" applyNumberFormat="1" applyBorder="1" applyAlignment="1">
      <alignment vertical="top"/>
    </xf>
    <xf numFmtId="165" fontId="0" fillId="0" borderId="17" xfId="0" applyNumberFormat="1" applyBorder="1" applyAlignment="1">
      <alignment vertical="top"/>
    </xf>
    <xf numFmtId="0" fontId="0" fillId="0" borderId="20" xfId="0" applyBorder="1" applyAlignment="1">
      <alignment vertical="top"/>
    </xf>
    <xf numFmtId="0" fontId="0" fillId="0" borderId="21" xfId="0" applyBorder="1" applyAlignment="1">
      <alignment vertical="top"/>
    </xf>
    <xf numFmtId="0" fontId="0" fillId="0" borderId="24" xfId="0" applyBorder="1" applyAlignment="1">
      <alignment horizontal="center" vertical="top"/>
    </xf>
    <xf numFmtId="0" fontId="0" fillId="0" borderId="13" xfId="0" applyFill="1" applyBorder="1" applyAlignment="1">
      <alignment vertical="top"/>
    </xf>
    <xf numFmtId="0" fontId="0" fillId="0" borderId="13" xfId="0" applyFill="1" applyBorder="1" applyAlignment="1">
      <alignment horizontal="justify" vertical="top" wrapText="1"/>
    </xf>
    <xf numFmtId="0" fontId="0" fillId="0" borderId="14" xfId="0" applyFill="1" applyBorder="1" applyAlignment="1">
      <alignment horizontal="center" vertical="top"/>
    </xf>
    <xf numFmtId="0" fontId="0" fillId="0" borderId="15" xfId="0" applyFill="1" applyBorder="1" applyAlignment="1">
      <alignment horizontal="center" vertical="top"/>
    </xf>
    <xf numFmtId="0" fontId="0" fillId="0" borderId="16" xfId="0" applyFill="1" applyBorder="1" applyAlignment="1">
      <alignment horizontal="center" vertical="top"/>
    </xf>
    <xf numFmtId="0" fontId="0" fillId="0" borderId="14" xfId="0" applyFill="1" applyBorder="1" applyAlignment="1">
      <alignment vertical="top"/>
    </xf>
    <xf numFmtId="0" fontId="0" fillId="0" borderId="15" xfId="0" applyFill="1" applyBorder="1" applyAlignment="1">
      <alignment vertical="top"/>
    </xf>
    <xf numFmtId="165" fontId="0" fillId="0" borderId="15" xfId="0" applyNumberFormat="1" applyFill="1" applyBorder="1" applyAlignment="1">
      <alignment vertical="top"/>
    </xf>
    <xf numFmtId="165" fontId="0" fillId="0" borderId="17" xfId="0" applyNumberFormat="1" applyFill="1" applyBorder="1" applyAlignment="1">
      <alignment vertical="top"/>
    </xf>
    <xf numFmtId="2" fontId="0" fillId="0" borderId="15" xfId="0" applyNumberFormat="1" applyFill="1" applyBorder="1" applyAlignment="1">
      <alignment vertical="top"/>
    </xf>
    <xf numFmtId="1" fontId="0" fillId="0" borderId="13" xfId="0" applyNumberFormat="1" applyBorder="1" applyAlignment="1">
      <alignment vertical="top"/>
    </xf>
    <xf numFmtId="1" fontId="0" fillId="0" borderId="13" xfId="0" applyNumberFormat="1" applyBorder="1" applyAlignment="1">
      <alignment horizontal="center" vertical="top"/>
    </xf>
    <xf numFmtId="0" fontId="0" fillId="0" borderId="19" xfId="0" applyBorder="1" applyAlignment="1">
      <alignment horizontal="center" vertical="top"/>
    </xf>
    <xf numFmtId="0" fontId="0" fillId="0" borderId="18" xfId="0" applyBorder="1" applyAlignment="1">
      <alignment horizontal="justify" vertical="top" wrapText="1"/>
    </xf>
    <xf numFmtId="0" fontId="0" fillId="0" borderId="20" xfId="0" applyBorder="1" applyAlignment="1">
      <alignment horizontal="center" vertical="top"/>
    </xf>
    <xf numFmtId="0" fontId="0" fillId="0" borderId="21" xfId="0" applyBorder="1" applyAlignment="1">
      <alignment horizontal="center" vertical="top"/>
    </xf>
    <xf numFmtId="0" fontId="0" fillId="0" borderId="22" xfId="0" applyBorder="1" applyAlignment="1">
      <alignment horizontal="center" vertical="top"/>
    </xf>
    <xf numFmtId="0" fontId="0" fillId="0" borderId="18" xfId="0" applyBorder="1" applyAlignment="1">
      <alignment horizontal="center" vertical="top"/>
    </xf>
    <xf numFmtId="0" fontId="0" fillId="0" borderId="17" xfId="0" applyBorder="1" applyAlignment="1">
      <alignment horizontal="center" vertical="top"/>
    </xf>
    <xf numFmtId="0" fontId="0" fillId="0" borderId="17" xfId="0" applyFill="1" applyBorder="1" applyAlignment="1">
      <alignment horizontal="center" vertical="top"/>
    </xf>
    <xf numFmtId="0" fontId="0" fillId="0" borderId="27" xfId="0" applyBorder="1" applyAlignment="1">
      <alignment horizontal="center" vertical="top"/>
    </xf>
    <xf numFmtId="0" fontId="0" fillId="0" borderId="23" xfId="0" applyBorder="1" applyAlignment="1">
      <alignment horizontal="center" vertical="top"/>
    </xf>
    <xf numFmtId="165" fontId="0" fillId="0" borderId="21" xfId="0" applyNumberFormat="1" applyBorder="1" applyAlignment="1">
      <alignment vertical="top"/>
    </xf>
    <xf numFmtId="0" fontId="0" fillId="0" borderId="29" xfId="0" applyBorder="1" applyAlignment="1">
      <alignment vertical="top"/>
    </xf>
    <xf numFmtId="165" fontId="0" fillId="0" borderId="22" xfId="0" applyNumberFormat="1" applyBorder="1" applyAlignment="1">
      <alignment vertical="top"/>
    </xf>
    <xf numFmtId="0" fontId="0" fillId="0" borderId="21" xfId="0" applyFill="1" applyBorder="1" applyAlignment="1">
      <alignment horizontal="right" vertical="top"/>
    </xf>
    <xf numFmtId="0" fontId="0" fillId="0" borderId="21" xfId="0" applyBorder="1" applyAlignment="1">
      <alignment horizontal="right" vertical="top"/>
    </xf>
    <xf numFmtId="0" fontId="0" fillId="0" borderId="15" xfId="0" applyBorder="1" applyAlignment="1">
      <alignment horizontal="right" vertical="top"/>
    </xf>
    <xf numFmtId="0" fontId="44" fillId="0" borderId="13" xfId="0" applyFont="1" applyBorder="1" applyAlignment="1">
      <alignment horizontal="justify" vertical="top" wrapText="1"/>
    </xf>
    <xf numFmtId="49" fontId="0" fillId="0" borderId="15" xfId="0" applyNumberFormat="1" applyBorder="1" applyAlignment="1">
      <alignment horizontal="center" vertical="top"/>
    </xf>
    <xf numFmtId="49" fontId="0" fillId="0" borderId="16" xfId="0" applyNumberFormat="1" applyBorder="1" applyAlignment="1">
      <alignment horizontal="center" vertical="top"/>
    </xf>
    <xf numFmtId="0" fontId="0" fillId="0" borderId="30" xfId="0" applyBorder="1" applyAlignment="1">
      <alignment horizontal="center" vertical="top"/>
    </xf>
    <xf numFmtId="0" fontId="45" fillId="0" borderId="0" xfId="1"/>
    <xf numFmtId="165" fontId="0" fillId="0" borderId="15" xfId="0" applyNumberFormat="1" applyFont="1" applyFill="1" applyBorder="1" applyAlignment="1">
      <alignment horizontal="center" vertical="top"/>
    </xf>
    <xf numFmtId="165" fontId="0" fillId="0" borderId="15" xfId="0" applyNumberFormat="1" applyBorder="1" applyAlignment="1">
      <alignment horizontal="center" vertical="top"/>
    </xf>
    <xf numFmtId="165" fontId="0" fillId="0" borderId="21" xfId="0" applyNumberFormat="1" applyBorder="1" applyAlignment="1">
      <alignment horizontal="center" vertical="top"/>
    </xf>
    <xf numFmtId="165" fontId="0" fillId="0" borderId="15" xfId="0" applyNumberFormat="1" applyFill="1" applyBorder="1" applyAlignment="1">
      <alignment horizontal="center" vertical="top"/>
    </xf>
    <xf numFmtId="0" fontId="0" fillId="0" borderId="18" xfId="0" applyFill="1" applyBorder="1" applyAlignment="1">
      <alignment horizontal="center" vertical="top"/>
    </xf>
    <xf numFmtId="0" fontId="0" fillId="0" borderId="20" xfId="0" applyFill="1" applyBorder="1" applyAlignment="1">
      <alignment vertical="top"/>
    </xf>
    <xf numFmtId="0" fontId="0" fillId="0" borderId="21" xfId="0" applyFill="1" applyBorder="1" applyAlignment="1">
      <alignment vertical="top"/>
    </xf>
    <xf numFmtId="0" fontId="0" fillId="0" borderId="14" xfId="0" applyBorder="1" applyAlignment="1">
      <alignment horizontal="center" vertical="top" wrapText="1"/>
    </xf>
    <xf numFmtId="0" fontId="0" fillId="0" borderId="15" xfId="0" applyBorder="1" applyAlignment="1">
      <alignment horizontal="center" vertical="top" wrapText="1"/>
    </xf>
    <xf numFmtId="0" fontId="43" fillId="0" borderId="13" xfId="0" applyFont="1" applyBorder="1" applyAlignment="1">
      <alignment vertical="top"/>
    </xf>
    <xf numFmtId="0" fontId="0" fillId="0" borderId="18" xfId="0" quotePrefix="1" applyFont="1" applyFill="1" applyBorder="1" applyAlignment="1">
      <alignment horizontal="center" vertical="top"/>
    </xf>
    <xf numFmtId="0" fontId="0" fillId="0" borderId="18" xfId="0" quotePrefix="1" applyBorder="1" applyAlignment="1">
      <alignment horizontal="center" vertical="top"/>
    </xf>
    <xf numFmtId="1" fontId="0" fillId="0" borderId="13" xfId="0" applyNumberFormat="1" applyFont="1" applyFill="1" applyBorder="1" applyAlignment="1">
      <alignment horizontal="center" vertical="top" wrapText="1"/>
    </xf>
    <xf numFmtId="1" fontId="0" fillId="0" borderId="24" xfId="0" applyNumberFormat="1" applyFont="1" applyFill="1" applyBorder="1" applyAlignment="1">
      <alignment vertical="top"/>
    </xf>
    <xf numFmtId="1" fontId="0" fillId="0" borderId="15" xfId="0" applyNumberFormat="1" applyFont="1" applyFill="1" applyBorder="1" applyAlignment="1">
      <alignment vertical="top"/>
    </xf>
    <xf numFmtId="0" fontId="0" fillId="0" borderId="0" xfId="0" applyFont="1" applyFill="1" applyBorder="1" applyAlignment="1">
      <alignment horizontal="center" vertical="top"/>
    </xf>
    <xf numFmtId="0" fontId="0" fillId="2" borderId="13" xfId="0" applyFill="1" applyBorder="1" applyAlignment="1">
      <alignment horizontal="justify" vertical="top" wrapText="1"/>
    </xf>
    <xf numFmtId="1" fontId="0" fillId="0" borderId="13" xfId="0" applyNumberFormat="1" applyBorder="1" applyAlignment="1">
      <alignment horizontal="right" vertical="top"/>
    </xf>
    <xf numFmtId="2" fontId="0" fillId="0" borderId="16" xfId="0" applyNumberFormat="1" applyFont="1" applyFill="1" applyBorder="1" applyAlignment="1">
      <alignment vertical="top"/>
    </xf>
    <xf numFmtId="2" fontId="0" fillId="0" borderId="16" xfId="0" applyNumberFormat="1" applyBorder="1" applyAlignment="1">
      <alignment vertical="top"/>
    </xf>
    <xf numFmtId="2" fontId="0" fillId="0" borderId="23" xfId="0" applyNumberFormat="1" applyBorder="1" applyAlignment="1">
      <alignment vertical="top"/>
    </xf>
    <xf numFmtId="2" fontId="0" fillId="0" borderId="16" xfId="0" applyNumberFormat="1" applyFill="1" applyBorder="1" applyAlignment="1">
      <alignment vertical="top"/>
    </xf>
    <xf numFmtId="49" fontId="0" fillId="0" borderId="2" xfId="0" applyNumberFormat="1" applyFont="1" applyFill="1" applyBorder="1" applyAlignment="1"/>
    <xf numFmtId="2" fontId="0" fillId="0" borderId="21" xfId="0" applyNumberFormat="1" applyFill="1" applyBorder="1" applyAlignment="1">
      <alignment vertical="top"/>
    </xf>
    <xf numFmtId="2" fontId="40" fillId="0" borderId="3" xfId="0" applyNumberFormat="1" applyFont="1" applyFill="1" applyBorder="1" applyAlignment="1">
      <alignment horizontal="right"/>
    </xf>
    <xf numFmtId="2" fontId="0" fillId="0" borderId="3" xfId="0" applyNumberFormat="1" applyFont="1" applyFill="1" applyBorder="1"/>
    <xf numFmtId="2" fontId="42" fillId="0" borderId="7" xfId="0" applyNumberFormat="1" applyFont="1" applyFill="1" applyBorder="1" applyAlignment="1">
      <alignment horizontal="center" vertical="top" wrapText="1"/>
    </xf>
    <xf numFmtId="2" fontId="42" fillId="0" borderId="8" xfId="0" applyNumberFormat="1" applyFont="1" applyFill="1" applyBorder="1" applyAlignment="1">
      <alignment horizontal="center" vertical="top" wrapText="1"/>
    </xf>
    <xf numFmtId="2" fontId="0" fillId="0" borderId="0" xfId="0" applyNumberFormat="1" applyFont="1" applyFill="1" applyBorder="1"/>
    <xf numFmtId="0" fontId="43" fillId="0" borderId="13" xfId="0" applyFont="1" applyFill="1" applyBorder="1" applyAlignment="1">
      <alignment vertical="top"/>
    </xf>
    <xf numFmtId="0" fontId="43" fillId="0" borderId="18" xfId="0" applyFont="1" applyFill="1" applyBorder="1" applyAlignment="1">
      <alignment vertical="top"/>
    </xf>
    <xf numFmtId="0" fontId="0" fillId="0" borderId="0" xfId="0" applyFont="1" applyFill="1" applyBorder="1" applyAlignment="1"/>
    <xf numFmtId="1" fontId="0" fillId="0" borderId="18" xfId="0" applyNumberFormat="1" applyFont="1" applyFill="1" applyBorder="1" applyAlignment="1">
      <alignment vertical="top"/>
    </xf>
    <xf numFmtId="0" fontId="43" fillId="0" borderId="18" xfId="0" applyFont="1" applyBorder="1" applyAlignment="1">
      <alignment vertical="top"/>
    </xf>
    <xf numFmtId="0" fontId="0" fillId="0" borderId="19" xfId="0" applyBorder="1" applyAlignment="1">
      <alignment vertical="top"/>
    </xf>
    <xf numFmtId="0" fontId="0" fillId="0" borderId="25" xfId="0" applyBorder="1" applyAlignment="1">
      <alignment vertical="top"/>
    </xf>
    <xf numFmtId="49" fontId="43" fillId="0" borderId="24" xfId="0" applyNumberFormat="1" applyFont="1" applyBorder="1" applyAlignment="1">
      <alignment vertical="top" wrapText="1"/>
    </xf>
    <xf numFmtId="0" fontId="0" fillId="0" borderId="18" xfId="0" applyBorder="1" applyAlignment="1">
      <alignment horizontal="center" vertical="top" wrapText="1"/>
    </xf>
    <xf numFmtId="2" fontId="0" fillId="0" borderId="22" xfId="0" applyNumberFormat="1" applyBorder="1" applyAlignment="1">
      <alignment vertical="top"/>
    </xf>
    <xf numFmtId="2" fontId="0" fillId="0" borderId="17" xfId="0" applyNumberFormat="1" applyBorder="1" applyAlignment="1">
      <alignment vertical="top"/>
    </xf>
    <xf numFmtId="2" fontId="0" fillId="0" borderId="17" xfId="0" applyNumberFormat="1" applyFill="1" applyBorder="1" applyAlignment="1">
      <alignment vertical="top"/>
    </xf>
    <xf numFmtId="49" fontId="43" fillId="0" borderId="13" xfId="0" applyNumberFormat="1" applyFont="1" applyBorder="1" applyAlignment="1">
      <alignment vertical="top" wrapText="1"/>
    </xf>
    <xf numFmtId="1" fontId="0" fillId="0" borderId="0" xfId="0" applyNumberFormat="1" applyFont="1" applyFill="1" applyBorder="1"/>
    <xf numFmtId="0" fontId="49" fillId="0" borderId="13" xfId="0" applyFont="1" applyFill="1" applyBorder="1" applyAlignment="1">
      <alignment horizontal="left" vertical="top"/>
    </xf>
    <xf numFmtId="0" fontId="0" fillId="0" borderId="0" xfId="0" applyFont="1" applyFill="1" applyBorder="1" applyAlignment="1">
      <alignment horizontal="left"/>
    </xf>
    <xf numFmtId="0" fontId="49" fillId="0" borderId="13" xfId="0" applyFont="1" applyFill="1" applyBorder="1" applyAlignment="1">
      <alignment vertical="top" wrapText="1"/>
    </xf>
    <xf numFmtId="0" fontId="49" fillId="0" borderId="18" xfId="0" applyFont="1" applyFill="1" applyBorder="1" applyAlignment="1">
      <alignment vertical="top" wrapText="1"/>
    </xf>
    <xf numFmtId="0" fontId="49" fillId="0" borderId="18" xfId="0" applyFont="1" applyBorder="1" applyAlignment="1">
      <alignment vertical="top" wrapText="1"/>
    </xf>
    <xf numFmtId="0" fontId="49" fillId="0" borderId="13" xfId="0" applyFont="1" applyBorder="1" applyAlignment="1">
      <alignment vertical="top" wrapText="1"/>
    </xf>
    <xf numFmtId="0" fontId="49" fillId="0" borderId="0" xfId="0" applyFont="1" applyFill="1" applyBorder="1" applyAlignment="1">
      <alignment wrapText="1"/>
    </xf>
    <xf numFmtId="0" fontId="44" fillId="0" borderId="13" xfId="0" applyFont="1" applyFill="1" applyBorder="1" applyAlignment="1">
      <alignment vertical="top"/>
    </xf>
    <xf numFmtId="0" fontId="44" fillId="0" borderId="13" xfId="0" applyFont="1" applyBorder="1" applyAlignment="1">
      <alignment vertical="top"/>
    </xf>
    <xf numFmtId="0" fontId="44" fillId="0" borderId="18" xfId="0" applyFont="1" applyBorder="1" applyAlignment="1">
      <alignment vertical="top"/>
    </xf>
    <xf numFmtId="0" fontId="44" fillId="0" borderId="0" xfId="0" applyFont="1" applyFill="1" applyBorder="1"/>
    <xf numFmtId="0" fontId="0" fillId="0" borderId="28" xfId="0" applyFont="1" applyFill="1" applyBorder="1" applyAlignment="1">
      <alignment vertical="top"/>
    </xf>
    <xf numFmtId="0" fontId="0" fillId="0" borderId="29" xfId="0" applyFont="1" applyFill="1" applyBorder="1" applyAlignment="1">
      <alignment vertical="top"/>
    </xf>
    <xf numFmtId="1" fontId="0" fillId="0" borderId="24" xfId="2" applyNumberFormat="1" applyFont="1" applyFill="1" applyBorder="1" applyAlignment="1">
      <alignment horizontal="center" vertical="top"/>
    </xf>
    <xf numFmtId="0" fontId="44" fillId="0" borderId="18" xfId="0" applyFont="1" applyFill="1" applyBorder="1" applyAlignment="1">
      <alignment vertical="top"/>
    </xf>
    <xf numFmtId="0" fontId="44" fillId="0" borderId="15" xfId="0" applyFont="1" applyBorder="1" applyAlignment="1">
      <alignment horizontal="center" vertical="top"/>
    </xf>
    <xf numFmtId="0" fontId="0" fillId="0" borderId="22" xfId="0" applyBorder="1" applyAlignment="1">
      <alignment horizontal="center" vertical="top" wrapText="1"/>
    </xf>
    <xf numFmtId="0" fontId="0" fillId="0" borderId="25" xfId="0" applyFont="1" applyFill="1" applyBorder="1" applyAlignment="1">
      <alignment horizontal="center" vertical="top"/>
    </xf>
    <xf numFmtId="49" fontId="43" fillId="0" borderId="19" xfId="0" applyNumberFormat="1" applyFont="1" applyBorder="1" applyAlignment="1">
      <alignment vertical="top" wrapText="1"/>
    </xf>
    <xf numFmtId="0" fontId="0" fillId="0" borderId="15" xfId="0" applyFill="1" applyBorder="1" applyAlignment="1">
      <alignment horizontal="right" vertical="top"/>
    </xf>
    <xf numFmtId="165" fontId="0" fillId="0" borderId="21" xfId="0" applyNumberFormat="1" applyFont="1" applyFill="1" applyBorder="1" applyAlignment="1">
      <alignment horizontal="center" vertical="top"/>
    </xf>
    <xf numFmtId="0" fontId="0" fillId="0" borderId="27" xfId="0" applyBorder="1" applyAlignment="1">
      <alignment vertical="top"/>
    </xf>
    <xf numFmtId="2" fontId="0" fillId="0" borderId="15" xfId="0" applyNumberFormat="1" applyFont="1" applyFill="1" applyBorder="1" applyAlignment="1">
      <alignment vertical="top"/>
    </xf>
    <xf numFmtId="2" fontId="0" fillId="0" borderId="23" xfId="0" applyNumberFormat="1" applyFill="1" applyBorder="1" applyAlignment="1">
      <alignment vertical="top"/>
    </xf>
    <xf numFmtId="0" fontId="0" fillId="0" borderId="0" xfId="0" applyNumberFormat="1" applyFill="1" applyBorder="1" applyAlignment="1">
      <alignment horizontal="left" vertical="top"/>
    </xf>
    <xf numFmtId="0" fontId="0" fillId="0" borderId="0" xfId="0" applyNumberFormat="1" applyFill="1" applyBorder="1" applyAlignment="1">
      <alignment vertical="top"/>
    </xf>
    <xf numFmtId="0" fontId="41" fillId="0" borderId="0" xfId="0" applyNumberFormat="1" applyFont="1" applyAlignment="1">
      <alignment vertical="top"/>
    </xf>
    <xf numFmtId="0" fontId="41" fillId="0" borderId="0" xfId="0" applyNumberFormat="1" applyFont="1" applyAlignment="1">
      <alignment vertical="top" wrapText="1"/>
    </xf>
    <xf numFmtId="0" fontId="0" fillId="0" borderId="0" xfId="0" applyNumberFormat="1" applyAlignment="1">
      <alignment vertical="top" wrapText="1"/>
    </xf>
    <xf numFmtId="0" fontId="52" fillId="0" borderId="0" xfId="1" applyFont="1"/>
    <xf numFmtId="49" fontId="53" fillId="0" borderId="0" xfId="1" applyNumberFormat="1" applyFont="1" applyAlignment="1">
      <alignment horizontal="center" vertical="top"/>
    </xf>
    <xf numFmtId="165" fontId="52" fillId="3" borderId="31" xfId="1" applyNumberFormat="1" applyFont="1" applyFill="1" applyBorder="1" applyAlignment="1">
      <alignment horizontal="center" vertical="center" wrapText="1"/>
    </xf>
    <xf numFmtId="0" fontId="50" fillId="3" borderId="31" xfId="1" applyFont="1" applyFill="1" applyBorder="1" applyAlignment="1">
      <alignment horizontal="center" vertical="center"/>
    </xf>
    <xf numFmtId="0" fontId="39" fillId="0" borderId="0" xfId="1" applyFont="1"/>
    <xf numFmtId="165" fontId="53" fillId="4" borderId="31" xfId="1" applyNumberFormat="1" applyFont="1" applyFill="1" applyBorder="1"/>
    <xf numFmtId="165" fontId="53" fillId="4" borderId="31" xfId="1" applyNumberFormat="1" applyFont="1" applyFill="1" applyBorder="1" applyAlignment="1">
      <alignment horizontal="center" vertical="center"/>
    </xf>
    <xf numFmtId="0" fontId="53" fillId="0" borderId="0" xfId="1" applyFont="1" applyBorder="1"/>
    <xf numFmtId="0" fontId="39" fillId="0" borderId="0" xfId="1" applyFont="1" applyBorder="1"/>
    <xf numFmtId="165" fontId="53" fillId="0" borderId="0" xfId="1" applyNumberFormat="1" applyFont="1" applyBorder="1" applyAlignment="1">
      <alignment horizontal="center" vertical="center"/>
    </xf>
    <xf numFmtId="1" fontId="53" fillId="4" borderId="31" xfId="1" applyNumberFormat="1" applyFont="1" applyFill="1" applyBorder="1" applyAlignment="1">
      <alignment horizontal="left" vertical="center"/>
    </xf>
    <xf numFmtId="0" fontId="48" fillId="4" borderId="31" xfId="1" applyFont="1" applyFill="1" applyBorder="1" applyAlignment="1">
      <alignment horizontal="left" vertical="center"/>
    </xf>
    <xf numFmtId="0" fontId="53" fillId="4" borderId="31" xfId="1" applyFont="1" applyFill="1" applyBorder="1" applyAlignment="1">
      <alignment horizontal="left" vertical="center"/>
    </xf>
    <xf numFmtId="0" fontId="44" fillId="0" borderId="16" xfId="0" applyFont="1" applyBorder="1" applyAlignment="1">
      <alignment horizontal="center" vertical="top"/>
    </xf>
    <xf numFmtId="1" fontId="0" fillId="0" borderId="18" xfId="0" applyNumberFormat="1" applyBorder="1" applyAlignment="1">
      <alignment vertical="top" wrapText="1"/>
    </xf>
    <xf numFmtId="0" fontId="0" fillId="0" borderId="16" xfId="0" applyFont="1" applyFill="1" applyBorder="1" applyAlignment="1">
      <alignment vertical="top"/>
    </xf>
    <xf numFmtId="0" fontId="0" fillId="0" borderId="16" xfId="0" applyBorder="1" applyAlignment="1">
      <alignment vertical="top"/>
    </xf>
    <xf numFmtId="0" fontId="0" fillId="0" borderId="16" xfId="0" applyFill="1" applyBorder="1" applyAlignment="1">
      <alignment vertical="top"/>
    </xf>
    <xf numFmtId="0" fontId="0" fillId="0" borderId="23" xfId="0" applyFont="1" applyFill="1" applyBorder="1" applyAlignment="1">
      <alignment vertical="top"/>
    </xf>
    <xf numFmtId="0" fontId="0" fillId="0" borderId="23" xfId="0" applyBorder="1" applyAlignment="1">
      <alignment vertical="top"/>
    </xf>
    <xf numFmtId="0" fontId="0" fillId="0" borderId="23" xfId="0" applyFill="1" applyBorder="1" applyAlignment="1">
      <alignment vertical="top"/>
    </xf>
    <xf numFmtId="1" fontId="0" fillId="0" borderId="16" xfId="0" applyNumberFormat="1" applyBorder="1" applyAlignment="1">
      <alignment vertical="top"/>
    </xf>
    <xf numFmtId="0" fontId="48" fillId="0" borderId="0" xfId="1" applyFont="1" applyBorder="1"/>
    <xf numFmtId="165" fontId="45" fillId="0" borderId="0" xfId="1" applyNumberFormat="1" applyFill="1" applyBorder="1" applyAlignment="1">
      <alignment horizontal="center" vertical="center"/>
    </xf>
    <xf numFmtId="0" fontId="40" fillId="0" borderId="3" xfId="0" applyFont="1" applyFill="1" applyBorder="1" applyAlignment="1">
      <alignment horizontal="left"/>
    </xf>
    <xf numFmtId="0" fontId="54" fillId="0" borderId="6" xfId="0" applyFont="1" applyFill="1" applyBorder="1" applyAlignment="1">
      <alignment horizontal="center" vertical="top" wrapText="1"/>
    </xf>
    <xf numFmtId="0" fontId="54" fillId="0" borderId="7" xfId="0" applyFont="1" applyFill="1" applyBorder="1" applyAlignment="1">
      <alignment horizontal="center" vertical="top" wrapText="1"/>
    </xf>
    <xf numFmtId="0" fontId="54" fillId="0" borderId="10" xfId="0" applyFont="1" applyFill="1" applyBorder="1" applyAlignment="1">
      <alignment horizontal="center" vertical="top" wrapText="1"/>
    </xf>
    <xf numFmtId="0" fontId="54" fillId="0" borderId="5" xfId="0" applyFont="1" applyFill="1" applyBorder="1" applyAlignment="1">
      <alignment horizontal="center" vertical="top" wrapText="1"/>
    </xf>
    <xf numFmtId="3" fontId="0" fillId="0" borderId="13" xfId="0" applyNumberFormat="1" applyFont="1" applyFill="1" applyBorder="1" applyAlignment="1">
      <alignment vertical="top"/>
    </xf>
    <xf numFmtId="3" fontId="0" fillId="0" borderId="13" xfId="0" applyNumberFormat="1" applyBorder="1" applyAlignment="1">
      <alignment vertical="top"/>
    </xf>
    <xf numFmtId="3" fontId="0" fillId="0" borderId="18" xfId="0" applyNumberFormat="1" applyFont="1" applyFill="1" applyBorder="1" applyAlignment="1">
      <alignment vertical="top"/>
    </xf>
    <xf numFmtId="165" fontId="0" fillId="0" borderId="21" xfId="0" applyNumberFormat="1" applyFill="1" applyBorder="1" applyAlignment="1">
      <alignment horizontal="center" vertical="top"/>
    </xf>
    <xf numFmtId="165" fontId="0" fillId="4" borderId="15" xfId="0" applyNumberFormat="1" applyFont="1" applyFill="1" applyBorder="1" applyAlignment="1">
      <alignment vertical="top"/>
    </xf>
    <xf numFmtId="165" fontId="0" fillId="4" borderId="15" xfId="0" applyNumberFormat="1" applyFill="1" applyBorder="1" applyAlignment="1">
      <alignment vertical="top"/>
    </xf>
    <xf numFmtId="165" fontId="0" fillId="4" borderId="21" xfId="0" applyNumberFormat="1" applyFill="1" applyBorder="1" applyAlignment="1">
      <alignment vertical="top"/>
    </xf>
    <xf numFmtId="166" fontId="0" fillId="0" borderId="0" xfId="0" applyNumberFormat="1"/>
    <xf numFmtId="166" fontId="0" fillId="4" borderId="18" xfId="0" applyNumberFormat="1" applyFont="1" applyFill="1" applyBorder="1" applyAlignment="1">
      <alignment vertical="top"/>
    </xf>
    <xf numFmtId="166" fontId="0" fillId="4" borderId="13" xfId="0" applyNumberFormat="1" applyFont="1" applyFill="1" applyBorder="1" applyAlignment="1">
      <alignment vertical="top"/>
    </xf>
    <xf numFmtId="166" fontId="0" fillId="0" borderId="18" xfId="0" applyNumberFormat="1" applyFont="1" applyFill="1" applyBorder="1" applyAlignment="1">
      <alignment vertical="top"/>
    </xf>
    <xf numFmtId="4" fontId="0" fillId="0" borderId="29" xfId="0" applyNumberFormat="1" applyBorder="1"/>
    <xf numFmtId="0" fontId="0" fillId="0" borderId="32" xfId="0" applyFont="1" applyFill="1" applyBorder="1" applyAlignment="1">
      <alignment horizontal="center" vertical="center"/>
    </xf>
    <xf numFmtId="1" fontId="46" fillId="0" borderId="33" xfId="0" applyNumberFormat="1" applyFont="1" applyFill="1" applyBorder="1" applyAlignment="1">
      <alignment horizontal="center" vertical="center" wrapText="1"/>
    </xf>
    <xf numFmtId="2" fontId="46" fillId="5" borderId="33" xfId="0" applyNumberFormat="1" applyFont="1" applyFill="1" applyBorder="1" applyAlignment="1">
      <alignment horizontal="center" vertical="top" wrapText="1"/>
    </xf>
    <xf numFmtId="165" fontId="46" fillId="5" borderId="33" xfId="0" applyNumberFormat="1" applyFont="1" applyFill="1" applyBorder="1" applyAlignment="1">
      <alignment horizontal="center" vertical="top" wrapText="1"/>
    </xf>
    <xf numFmtId="1" fontId="46" fillId="0" borderId="33" xfId="0" applyNumberFormat="1" applyFont="1" applyFill="1" applyBorder="1" applyAlignment="1">
      <alignment horizontal="center" vertical="top" wrapText="1"/>
    </xf>
    <xf numFmtId="1" fontId="46" fillId="0" borderId="34" xfId="0" applyNumberFormat="1" applyFont="1" applyFill="1" applyBorder="1" applyAlignment="1">
      <alignment horizontal="center" vertical="top" wrapText="1"/>
    </xf>
    <xf numFmtId="165" fontId="46" fillId="5" borderId="32" xfId="0" applyNumberFormat="1" applyFont="1" applyFill="1" applyBorder="1" applyAlignment="1">
      <alignment horizontal="center" vertical="top" wrapText="1"/>
    </xf>
    <xf numFmtId="0" fontId="49" fillId="0" borderId="13" xfId="0" applyFont="1" applyFill="1" applyBorder="1" applyAlignment="1">
      <alignment horizontal="left" vertical="top" wrapText="1"/>
    </xf>
    <xf numFmtId="0" fontId="49" fillId="0" borderId="13" xfId="0" applyFont="1" applyBorder="1" applyAlignment="1">
      <alignment horizontal="left" vertical="top"/>
    </xf>
    <xf numFmtId="0" fontId="49" fillId="0" borderId="13" xfId="0" applyFont="1" applyBorder="1" applyAlignment="1">
      <alignment horizontal="left" vertical="top" wrapText="1"/>
    </xf>
    <xf numFmtId="0" fontId="49" fillId="0" borderId="18" xfId="0" applyFont="1" applyBorder="1" applyAlignment="1">
      <alignment horizontal="left" vertical="top"/>
    </xf>
    <xf numFmtId="0" fontId="49" fillId="0" borderId="0" xfId="0" applyFont="1" applyFill="1" applyBorder="1" applyAlignment="1">
      <alignment horizontal="left"/>
    </xf>
    <xf numFmtId="0" fontId="40" fillId="0" borderId="1" xfId="0" applyFont="1" applyFill="1" applyBorder="1" applyAlignment="1">
      <alignment horizontal="center" vertical="center"/>
    </xf>
    <xf numFmtId="0" fontId="41" fillId="0" borderId="0" xfId="0" applyFont="1" applyAlignment="1">
      <alignment horizontal="center" vertical="center"/>
    </xf>
    <xf numFmtId="0" fontId="0" fillId="0" borderId="0" xfId="0" applyAlignment="1">
      <alignment horizontal="center"/>
    </xf>
    <xf numFmtId="0" fontId="38" fillId="0" borderId="0" xfId="1" applyFont="1"/>
    <xf numFmtId="1" fontId="0" fillId="0" borderId="18" xfId="0" applyNumberFormat="1" applyFont="1" applyFill="1" applyBorder="1" applyAlignment="1">
      <alignment vertical="top" wrapText="1"/>
    </xf>
    <xf numFmtId="1" fontId="0" fillId="0" borderId="18" xfId="0" applyNumberFormat="1" applyFont="1" applyFill="1" applyBorder="1" applyAlignment="1">
      <alignment horizontal="right" vertical="top" wrapText="1"/>
    </xf>
    <xf numFmtId="1" fontId="0" fillId="0" borderId="18" xfId="0" applyNumberFormat="1" applyBorder="1" applyAlignment="1">
      <alignment vertical="top"/>
    </xf>
    <xf numFmtId="1" fontId="0" fillId="0" borderId="13" xfId="0" applyNumberFormat="1" applyFont="1" applyFill="1" applyBorder="1" applyAlignment="1">
      <alignment vertical="top" wrapText="1"/>
    </xf>
    <xf numFmtId="1" fontId="44" fillId="0" borderId="18" xfId="0" applyNumberFormat="1" applyFont="1" applyBorder="1" applyAlignment="1">
      <alignment vertical="top"/>
    </xf>
    <xf numFmtId="1" fontId="0" fillId="0" borderId="18" xfId="0" applyNumberFormat="1" applyBorder="1" applyAlignment="1">
      <alignment horizontal="right" vertical="top" wrapText="1"/>
    </xf>
    <xf numFmtId="1" fontId="44" fillId="0" borderId="18" xfId="0" applyNumberFormat="1" applyFont="1" applyBorder="1" applyAlignment="1">
      <alignment vertical="top" wrapText="1"/>
    </xf>
    <xf numFmtId="1" fontId="0" fillId="0" borderId="18" xfId="0" applyNumberFormat="1" applyBorder="1" applyAlignment="1">
      <alignment horizontal="right" vertical="top"/>
    </xf>
    <xf numFmtId="1" fontId="0" fillId="0" borderId="18" xfId="0" applyNumberFormat="1" applyBorder="1" applyAlignment="1">
      <alignment horizontal="left" vertical="top"/>
    </xf>
    <xf numFmtId="1" fontId="40" fillId="0" borderId="1" xfId="0" applyNumberFormat="1" applyFont="1" applyFill="1" applyBorder="1" applyAlignment="1">
      <alignment horizontal="center"/>
    </xf>
    <xf numFmtId="1" fontId="0" fillId="0" borderId="18" xfId="0" applyNumberFormat="1" applyFont="1" applyFill="1" applyBorder="1" applyAlignment="1">
      <alignment horizontal="right" vertical="top"/>
    </xf>
    <xf numFmtId="1" fontId="0" fillId="0" borderId="13" xfId="0" applyNumberFormat="1" applyBorder="1" applyAlignment="1">
      <alignment horizontal="right" vertical="top" wrapText="1"/>
    </xf>
    <xf numFmtId="1" fontId="0" fillId="0" borderId="13" xfId="0" applyNumberFormat="1" applyFont="1" applyFill="1" applyBorder="1" applyAlignment="1">
      <alignment horizontal="right" vertical="top"/>
    </xf>
    <xf numFmtId="1" fontId="0" fillId="0" borderId="18" xfId="0" applyNumberFormat="1" applyFill="1" applyBorder="1" applyAlignment="1">
      <alignment horizontal="right" vertical="top"/>
    </xf>
    <xf numFmtId="1" fontId="0" fillId="0" borderId="18" xfId="0" applyNumberFormat="1" applyFill="1" applyBorder="1" applyAlignment="1">
      <alignment horizontal="right" vertical="top" wrapText="1"/>
    </xf>
    <xf numFmtId="1" fontId="40" fillId="0" borderId="5" xfId="0" applyNumberFormat="1" applyFont="1" applyFill="1" applyBorder="1" applyAlignment="1">
      <alignment horizontal="center" vertical="top" wrapText="1"/>
    </xf>
    <xf numFmtId="1" fontId="40" fillId="0" borderId="35" xfId="0" applyNumberFormat="1" applyFont="1" applyFill="1" applyBorder="1" applyAlignment="1">
      <alignment horizontal="center" vertical="top" wrapText="1"/>
    </xf>
    <xf numFmtId="2" fontId="0" fillId="4" borderId="15" xfId="0" applyNumberFormat="1" applyFont="1" applyFill="1" applyBorder="1"/>
    <xf numFmtId="2" fontId="0" fillId="0" borderId="0" xfId="0" applyNumberFormat="1" applyFont="1"/>
    <xf numFmtId="0" fontId="55" fillId="0" borderId="5" xfId="0" applyFont="1" applyFill="1" applyBorder="1" applyAlignment="1">
      <alignment horizontal="center" vertical="top"/>
    </xf>
    <xf numFmtId="0" fontId="56" fillId="0" borderId="5" xfId="0" applyFont="1" applyFill="1" applyBorder="1" applyAlignment="1">
      <alignment horizontal="center" vertical="top"/>
    </xf>
    <xf numFmtId="0" fontId="55" fillId="0" borderId="5" xfId="0" applyFont="1" applyFill="1" applyBorder="1" applyAlignment="1">
      <alignment horizontal="center" vertical="top" wrapText="1"/>
    </xf>
    <xf numFmtId="0" fontId="0" fillId="0" borderId="28" xfId="0" applyFont="1" applyFill="1" applyBorder="1" applyAlignment="1">
      <alignment horizontal="right" vertical="top"/>
    </xf>
    <xf numFmtId="0" fontId="0" fillId="0" borderId="29" xfId="0" applyBorder="1" applyAlignment="1">
      <alignment horizontal="right" vertical="top"/>
    </xf>
    <xf numFmtId="0" fontId="0" fillId="0" borderId="29" xfId="0" applyFill="1" applyBorder="1" applyAlignment="1">
      <alignment horizontal="right" vertical="top"/>
    </xf>
    <xf numFmtId="0" fontId="0" fillId="0" borderId="29" xfId="0" applyFill="1" applyBorder="1" applyAlignment="1">
      <alignment vertical="top"/>
    </xf>
    <xf numFmtId="0" fontId="0" fillId="0" borderId="28" xfId="0" applyBorder="1" applyAlignment="1">
      <alignment vertical="top"/>
    </xf>
    <xf numFmtId="0" fontId="0" fillId="0" borderId="28" xfId="0" applyBorder="1" applyAlignment="1">
      <alignment horizontal="right" vertical="top"/>
    </xf>
    <xf numFmtId="0" fontId="0" fillId="0" borderId="28" xfId="0" applyFill="1" applyBorder="1" applyAlignment="1">
      <alignment horizontal="right" vertical="top"/>
    </xf>
    <xf numFmtId="0" fontId="0" fillId="0" borderId="28" xfId="0" applyFill="1" applyBorder="1" applyAlignment="1">
      <alignment vertical="top"/>
    </xf>
    <xf numFmtId="0" fontId="37" fillId="0" borderId="0" xfId="1" applyFont="1"/>
    <xf numFmtId="0" fontId="50" fillId="6" borderId="0" xfId="1" applyFont="1" applyFill="1" applyAlignment="1">
      <alignment horizontal="center" vertical="center"/>
    </xf>
    <xf numFmtId="1" fontId="45" fillId="7" borderId="15" xfId="1" applyNumberFormat="1" applyFill="1" applyBorder="1"/>
    <xf numFmtId="0" fontId="36" fillId="0" borderId="0" xfId="1" applyFont="1"/>
    <xf numFmtId="0" fontId="0" fillId="0" borderId="26" xfId="0" applyBorder="1" applyAlignment="1">
      <alignment vertical="top"/>
    </xf>
    <xf numFmtId="0" fontId="35" fillId="0" borderId="0" xfId="1" applyFont="1"/>
    <xf numFmtId="0" fontId="34" fillId="0" borderId="0" xfId="1" applyFont="1"/>
    <xf numFmtId="0" fontId="33" fillId="0" borderId="0" xfId="1" applyFont="1"/>
    <xf numFmtId="0" fontId="42" fillId="0" borderId="36" xfId="0" applyFont="1" applyFill="1" applyBorder="1" applyAlignment="1">
      <alignment horizontal="center" vertical="top" wrapText="1"/>
    </xf>
    <xf numFmtId="165" fontId="0" fillId="0" borderId="16" xfId="0" applyNumberFormat="1" applyFont="1" applyFill="1" applyBorder="1" applyAlignment="1">
      <alignment vertical="top"/>
    </xf>
    <xf numFmtId="167" fontId="0" fillId="0" borderId="18" xfId="0" applyNumberFormat="1" applyFont="1" applyFill="1" applyBorder="1" applyAlignment="1">
      <alignment vertical="top"/>
    </xf>
    <xf numFmtId="0" fontId="0" fillId="0" borderId="3" xfId="0" applyFont="1" applyFill="1" applyBorder="1" applyAlignment="1">
      <alignment horizontal="center"/>
    </xf>
    <xf numFmtId="0" fontId="57" fillId="0" borderId="0" xfId="0" applyFont="1"/>
    <xf numFmtId="0" fontId="0" fillId="0" borderId="13" xfId="0" applyFont="1" applyBorder="1" applyAlignment="1">
      <alignment vertical="top"/>
    </xf>
    <xf numFmtId="0" fontId="57" fillId="0" borderId="13" xfId="0" applyFont="1" applyBorder="1"/>
    <xf numFmtId="0" fontId="32" fillId="0" borderId="0" xfId="1" applyFont="1"/>
    <xf numFmtId="0" fontId="31" fillId="0" borderId="0" xfId="1" applyFont="1"/>
    <xf numFmtId="0" fontId="30" fillId="0" borderId="0" xfId="1" applyFont="1"/>
    <xf numFmtId="0" fontId="29" fillId="0" borderId="0" xfId="1" applyFont="1"/>
    <xf numFmtId="0" fontId="28" fillId="0" borderId="0" xfId="1" applyFont="1"/>
    <xf numFmtId="0" fontId="27" fillId="0" borderId="0" xfId="1" applyFont="1"/>
    <xf numFmtId="0" fontId="26" fillId="0" borderId="0" xfId="1" applyFont="1"/>
    <xf numFmtId="0" fontId="25" fillId="0" borderId="0" xfId="1" applyFont="1"/>
    <xf numFmtId="0" fontId="24" fillId="0" borderId="0" xfId="1" applyFont="1"/>
    <xf numFmtId="0" fontId="0" fillId="0" borderId="20" xfId="0" applyBorder="1" applyAlignment="1">
      <alignment horizontal="center" vertical="top" wrapText="1"/>
    </xf>
    <xf numFmtId="0" fontId="0" fillId="0" borderId="21" xfId="0" applyBorder="1" applyAlignment="1">
      <alignment horizontal="center" vertical="top" wrapText="1"/>
    </xf>
    <xf numFmtId="0" fontId="0" fillId="0" borderId="16" xfId="0" applyFont="1" applyBorder="1" applyAlignment="1">
      <alignment vertical="top"/>
    </xf>
    <xf numFmtId="0" fontId="23" fillId="0" borderId="0" xfId="1" applyFont="1"/>
    <xf numFmtId="1" fontId="53" fillId="8" borderId="31" xfId="1" applyNumberFormat="1" applyFont="1" applyFill="1" applyBorder="1" applyAlignment="1">
      <alignment horizontal="left" vertical="center"/>
    </xf>
    <xf numFmtId="0" fontId="48" fillId="8" borderId="31" xfId="1" applyFont="1" applyFill="1" applyBorder="1" applyAlignment="1">
      <alignment horizontal="left" vertical="center"/>
    </xf>
    <xf numFmtId="165" fontId="53" fillId="8" borderId="31" xfId="1" applyNumberFormat="1" applyFont="1" applyFill="1" applyBorder="1" applyAlignment="1">
      <alignment horizontal="center" vertical="center"/>
    </xf>
    <xf numFmtId="165" fontId="53" fillId="8" borderId="31" xfId="1" applyNumberFormat="1" applyFont="1" applyFill="1" applyBorder="1"/>
    <xf numFmtId="0" fontId="22" fillId="0" borderId="0" xfId="1" applyFont="1"/>
    <xf numFmtId="0" fontId="21" fillId="0" borderId="0" xfId="1" applyFont="1"/>
    <xf numFmtId="0" fontId="20" fillId="0" borderId="0" xfId="1" applyFont="1"/>
    <xf numFmtId="0" fontId="19" fillId="0" borderId="0" xfId="1" applyFont="1"/>
    <xf numFmtId="0" fontId="18" fillId="0" borderId="0" xfId="1" applyFont="1"/>
    <xf numFmtId="0" fontId="17" fillId="0" borderId="0" xfId="1" applyFont="1"/>
    <xf numFmtId="0" fontId="16" fillId="0" borderId="0" xfId="1" applyFont="1"/>
    <xf numFmtId="0" fontId="15" fillId="0" borderId="0" xfId="1" applyFont="1"/>
    <xf numFmtId="0" fontId="14" fillId="0" borderId="0" xfId="1" applyFont="1"/>
    <xf numFmtId="0" fontId="13" fillId="0" borderId="0" xfId="1" applyFont="1"/>
    <xf numFmtId="0" fontId="12" fillId="0" borderId="0" xfId="1" applyFont="1"/>
    <xf numFmtId="0" fontId="11" fillId="0" borderId="0" xfId="1" applyFont="1"/>
    <xf numFmtId="0" fontId="10" fillId="0" borderId="0" xfId="1" applyFont="1"/>
    <xf numFmtId="0" fontId="9" fillId="0" borderId="0" xfId="1" applyFont="1"/>
    <xf numFmtId="165" fontId="59" fillId="4" borderId="31" xfId="1" applyNumberFormat="1" applyFont="1" applyFill="1" applyBorder="1" applyAlignment="1">
      <alignment horizontal="center" vertical="center"/>
    </xf>
    <xf numFmtId="0" fontId="60" fillId="0" borderId="0" xfId="1" applyFont="1"/>
    <xf numFmtId="0" fontId="8" fillId="0" borderId="0" xfId="1" applyFont="1"/>
    <xf numFmtId="4" fontId="0" fillId="0" borderId="29" xfId="0" applyNumberFormat="1" applyFill="1" applyBorder="1"/>
    <xf numFmtId="0" fontId="0" fillId="0" borderId="0" xfId="0" applyFill="1"/>
    <xf numFmtId="0" fontId="7" fillId="0" borderId="0" xfId="1" applyFont="1"/>
    <xf numFmtId="0" fontId="6" fillId="0" borderId="0" xfId="1" applyFont="1"/>
    <xf numFmtId="0" fontId="5" fillId="0" borderId="0" xfId="1" applyFont="1"/>
    <xf numFmtId="2" fontId="0" fillId="0" borderId="29" xfId="0" applyNumberFormat="1" applyBorder="1"/>
    <xf numFmtId="0" fontId="4" fillId="0" borderId="0" xfId="1" applyFont="1"/>
    <xf numFmtId="4" fontId="0" fillId="0" borderId="29" xfId="0" applyNumberFormat="1" applyFont="1" applyBorder="1"/>
    <xf numFmtId="0" fontId="3" fillId="0" borderId="0" xfId="1" applyFont="1"/>
    <xf numFmtId="0" fontId="48" fillId="4" borderId="31" xfId="1" applyFont="1" applyFill="1" applyBorder="1" applyAlignment="1">
      <alignment horizontal="left" vertical="center" wrapText="1"/>
    </xf>
    <xf numFmtId="0" fontId="2" fillId="0" borderId="0" xfId="1" applyFont="1"/>
    <xf numFmtId="0" fontId="0" fillId="0" borderId="15" xfId="0" applyNumberFormat="1" applyBorder="1" applyAlignment="1">
      <alignment horizontal="center" vertical="top"/>
    </xf>
    <xf numFmtId="0" fontId="0" fillId="0" borderId="16" xfId="0" applyNumberFormat="1" applyBorder="1" applyAlignment="1">
      <alignment horizontal="center" vertical="top"/>
    </xf>
    <xf numFmtId="0" fontId="1" fillId="0" borderId="0" xfId="1" applyFont="1"/>
    <xf numFmtId="1" fontId="0" fillId="0" borderId="25" xfId="0" applyNumberFormat="1" applyBorder="1" applyAlignment="1">
      <alignment vertical="top"/>
    </xf>
    <xf numFmtId="0" fontId="0" fillId="0" borderId="23" xfId="0" applyBorder="1" applyAlignment="1">
      <alignment horizontal="center" vertical="top" wrapText="1"/>
    </xf>
    <xf numFmtId="0" fontId="0" fillId="0" borderId="16" xfId="0" applyBorder="1" applyAlignment="1">
      <alignment horizontal="center" vertical="top" wrapText="1"/>
    </xf>
    <xf numFmtId="0" fontId="0" fillId="0" borderId="17" xfId="0" applyBorder="1" applyAlignment="1">
      <alignment horizontal="center" vertical="top" wrapText="1"/>
    </xf>
    <xf numFmtId="0" fontId="0" fillId="0" borderId="13" xfId="0" applyFont="1" applyBorder="1" applyAlignment="1">
      <alignment horizontal="justify" vertical="top" wrapText="1"/>
    </xf>
    <xf numFmtId="0" fontId="0" fillId="0" borderId="18" xfId="0" applyFont="1" applyBorder="1" applyAlignment="1">
      <alignment horizontal="justify" vertical="top" wrapText="1"/>
    </xf>
    <xf numFmtId="1" fontId="40" fillId="0" borderId="37" xfId="0" applyNumberFormat="1" applyFont="1" applyFill="1" applyBorder="1" applyAlignment="1">
      <alignment horizontal="center"/>
    </xf>
    <xf numFmtId="1" fontId="0" fillId="0" borderId="30" xfId="0" applyNumberFormat="1" applyBorder="1" applyAlignment="1">
      <alignment horizontal="right" vertical="top" wrapText="1"/>
    </xf>
    <xf numFmtId="1" fontId="0" fillId="0" borderId="30" xfId="0" applyNumberFormat="1" applyFont="1" applyFill="1" applyBorder="1" applyAlignment="1">
      <alignment vertical="top"/>
    </xf>
    <xf numFmtId="1" fontId="0" fillId="0" borderId="30" xfId="0" applyNumberFormat="1" applyFont="1" applyFill="1" applyBorder="1" applyAlignment="1">
      <alignment horizontal="right" vertical="top" wrapText="1"/>
    </xf>
    <xf numFmtId="1" fontId="0" fillId="0" borderId="30" xfId="0" applyNumberFormat="1" applyFont="1" applyFill="1" applyBorder="1" applyAlignment="1">
      <alignment horizontal="right" vertical="top"/>
    </xf>
    <xf numFmtId="1" fontId="0" fillId="0" borderId="30" xfId="0" applyNumberFormat="1" applyFont="1" applyFill="1" applyBorder="1" applyAlignment="1">
      <alignment vertical="top" wrapText="1"/>
    </xf>
    <xf numFmtId="1" fontId="0" fillId="0" borderId="30" xfId="0" applyNumberFormat="1" applyBorder="1" applyAlignment="1">
      <alignment vertical="top" wrapText="1"/>
    </xf>
    <xf numFmtId="1" fontId="0" fillId="0" borderId="30" xfId="0" applyNumberFormat="1" applyBorder="1" applyAlignment="1">
      <alignment vertical="top"/>
    </xf>
    <xf numFmtId="1" fontId="44" fillId="0" borderId="30" xfId="0" applyNumberFormat="1" applyFont="1" applyBorder="1" applyAlignment="1">
      <alignment vertical="top" wrapText="1"/>
    </xf>
    <xf numFmtId="1" fontId="0" fillId="0" borderId="24" xfId="0" applyNumberFormat="1" applyBorder="1" applyAlignment="1">
      <alignment horizontal="right" vertical="top" wrapText="1"/>
    </xf>
    <xf numFmtId="1" fontId="0" fillId="0" borderId="24" xfId="0" applyNumberFormat="1" applyFont="1" applyFill="1" applyBorder="1" applyAlignment="1">
      <alignment horizontal="right" vertical="top"/>
    </xf>
    <xf numFmtId="1" fontId="0" fillId="0" borderId="24" xfId="0" applyNumberFormat="1" applyBorder="1" applyAlignment="1">
      <alignment horizontal="right" vertical="top"/>
    </xf>
    <xf numFmtId="1" fontId="0" fillId="0" borderId="24" xfId="0" applyNumberFormat="1" applyFont="1" applyFill="1" applyBorder="1" applyAlignment="1">
      <alignment vertical="top" wrapText="1"/>
    </xf>
    <xf numFmtId="1" fontId="0" fillId="0" borderId="30" xfId="0" applyNumberFormat="1" applyBorder="1" applyAlignment="1">
      <alignment horizontal="right" vertical="top"/>
    </xf>
    <xf numFmtId="1" fontId="0" fillId="0" borderId="30" xfId="0" applyNumberFormat="1" applyFill="1" applyBorder="1" applyAlignment="1">
      <alignment horizontal="right" vertical="top"/>
    </xf>
    <xf numFmtId="1" fontId="44" fillId="0" borderId="30" xfId="0" applyNumberFormat="1" applyFont="1" applyBorder="1" applyAlignment="1">
      <alignment vertical="top"/>
    </xf>
    <xf numFmtId="1" fontId="0" fillId="0" borderId="24" xfId="0" applyNumberFormat="1" applyBorder="1" applyAlignment="1">
      <alignment vertical="top"/>
    </xf>
    <xf numFmtId="1" fontId="0" fillId="0" borderId="30" xfId="0" applyNumberFormat="1" applyFill="1" applyBorder="1" applyAlignment="1">
      <alignment horizontal="right" vertical="top" wrapText="1"/>
    </xf>
    <xf numFmtId="1" fontId="0" fillId="0" borderId="30" xfId="0" applyNumberFormat="1" applyBorder="1" applyAlignment="1">
      <alignment horizontal="left" vertical="top"/>
    </xf>
    <xf numFmtId="0" fontId="42" fillId="0" borderId="38" xfId="0" applyFont="1" applyFill="1" applyBorder="1" applyAlignment="1">
      <alignment horizontal="center" vertical="top"/>
    </xf>
    <xf numFmtId="1" fontId="40" fillId="9" borderId="1" xfId="0" applyNumberFormat="1" applyFont="1" applyFill="1" applyBorder="1" applyAlignment="1">
      <alignment horizontal="center"/>
    </xf>
    <xf numFmtId="1" fontId="40" fillId="9" borderId="37" xfId="0" applyNumberFormat="1" applyFont="1" applyFill="1" applyBorder="1" applyAlignment="1">
      <alignment horizontal="center"/>
    </xf>
    <xf numFmtId="1" fontId="40" fillId="9" borderId="5" xfId="0" applyNumberFormat="1" applyFont="1" applyFill="1" applyBorder="1" applyAlignment="1">
      <alignment horizontal="center" vertical="top" wrapText="1"/>
    </xf>
    <xf numFmtId="1" fontId="40" fillId="9" borderId="35" xfId="0" applyNumberFormat="1" applyFont="1" applyFill="1" applyBorder="1" applyAlignment="1">
      <alignment horizontal="center" vertical="top" wrapText="1"/>
    </xf>
    <xf numFmtId="0" fontId="0" fillId="0" borderId="13" xfId="0" quotePrefix="1" applyBorder="1" applyAlignment="1">
      <alignment horizontal="center" vertical="top"/>
    </xf>
    <xf numFmtId="49" fontId="43" fillId="0" borderId="25" xfId="0" applyNumberFormat="1" applyFont="1" applyBorder="1" applyAlignment="1">
      <alignment vertical="top" wrapText="1"/>
    </xf>
    <xf numFmtId="0" fontId="0" fillId="0" borderId="17" xfId="0" applyFont="1" applyFill="1" applyBorder="1" applyAlignment="1">
      <alignment vertical="top"/>
    </xf>
    <xf numFmtId="166" fontId="0" fillId="0" borderId="13" xfId="0" applyNumberFormat="1" applyFont="1" applyFill="1" applyBorder="1" applyAlignment="1">
      <alignment vertical="top"/>
    </xf>
    <xf numFmtId="1" fontId="0" fillId="10" borderId="13" xfId="0" applyNumberFormat="1" applyFont="1" applyFill="1" applyBorder="1" applyAlignment="1">
      <alignment vertical="top"/>
    </xf>
    <xf numFmtId="1" fontId="0" fillId="0" borderId="39" xfId="0" applyNumberFormat="1" applyFont="1" applyFill="1" applyBorder="1" applyAlignment="1">
      <alignment vertical="top"/>
    </xf>
    <xf numFmtId="0" fontId="41" fillId="0" borderId="2" xfId="0" applyFont="1" applyFill="1" applyBorder="1" applyAlignment="1">
      <alignment horizontal="center"/>
    </xf>
    <xf numFmtId="0" fontId="41" fillId="0" borderId="3" xfId="0" applyFont="1" applyFill="1" applyBorder="1" applyAlignment="1">
      <alignment horizontal="center"/>
    </xf>
    <xf numFmtId="0" fontId="41" fillId="0" borderId="4" xfId="0" applyFont="1" applyFill="1" applyBorder="1" applyAlignment="1">
      <alignment horizontal="center"/>
    </xf>
  </cellXfs>
  <cellStyles count="4">
    <cellStyle name="Обычный" xfId="0" builtinId="0"/>
    <cellStyle name="Обычный 2" xfId="1" xr:uid="{00000000-0005-0000-0000-000001000000}"/>
    <cellStyle name="Обычный 3" xfId="3" xr:uid="{00000000-0005-0000-0000-000002000000}"/>
    <cellStyle name="Финансовый" xfId="2" builtinId="3"/>
  </cellStyles>
  <dxfs count="82">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numFmt numFmtId="0" formatCode="General"/>
      <fill>
        <patternFill patternType="none">
          <fgColor indexed="64"/>
          <bgColor indexed="65"/>
        </patternFill>
      </fill>
      <alignment horizontal="left" vertical="top" textRotation="0" wrapText="0" indent="0" justifyLastLine="0" shrinkToFit="0" readingOrder="0"/>
    </dxf>
    <dxf>
      <fill>
        <patternFill patternType="none">
          <fgColor indexed="64"/>
          <bgColor indexed="65"/>
        </patternFill>
      </fill>
      <alignment horizontal="left" vertical="top" textRotation="0" wrapText="0" indent="0" justifyLastLine="0" shrinkToFit="0" readingOrder="0"/>
    </dxf>
    <dxf>
      <font>
        <b/>
        <i val="0"/>
        <strike val="0"/>
        <condense val="0"/>
        <extend val="0"/>
        <outline val="0"/>
        <shadow val="0"/>
        <u val="none"/>
        <vertAlign val="baseline"/>
        <sz val="10"/>
        <color auto="1"/>
        <name val="Arial Cyr"/>
        <scheme val="none"/>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0"/>
        <color theme="1"/>
        <name val="Arial"/>
        <scheme val="none"/>
      </font>
      <numFmt numFmtId="30" formatCode="@"/>
      <alignment horizontal="center" vertical="top" textRotation="0" wrapText="0" indent="0" justifyLastLine="0" shrinkToFit="0" readingOrder="0"/>
    </dxf>
    <dxf>
      <font>
        <b val="0"/>
        <i val="0"/>
        <strike val="0"/>
        <condense val="0"/>
        <extend val="0"/>
        <outline val="0"/>
        <shadow val="0"/>
        <u val="none"/>
        <vertAlign val="baseline"/>
        <sz val="10"/>
        <color theme="1"/>
        <name val="Arial"/>
        <scheme val="none"/>
      </font>
      <numFmt numFmtId="30" formatCode="@"/>
      <alignment horizontal="center" vertical="top" textRotation="0" wrapText="0" indent="0" justifyLastLine="0" shrinkToFit="0" readingOrder="0"/>
    </dxf>
    <dxf>
      <font>
        <b/>
        <i val="0"/>
        <strike val="0"/>
        <condense val="0"/>
        <extend val="0"/>
        <outline val="0"/>
        <shadow val="0"/>
        <u val="none"/>
        <vertAlign val="baseline"/>
        <sz val="10"/>
        <color theme="1"/>
        <name val="Arial"/>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stanitskaya/Desktop/&#1054;&#1089;&#1090;&#1072;&#1085;&#1082;&#1080;&#1085;&#1086;_new/&#1087;&#1072;&#1089;&#1087;&#1086;&#1088;&#1090;&#1072;/&#1082;&#1086;&#1083;&#1073;_&#1080;&#1079;&#1076;&#1077;&#1083;&#1080;&#1103;_N/&#1082;&#1086;&#1083;&#1073;_&#1087;&#1092;_&#1090;&#1072;&#1073;_0901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КИ_ПФ"/>
      <sheetName val="справочники"/>
      <sheetName val="кратность"/>
    </sheetNames>
    <sheetDataSet>
      <sheetData sheetId="0" refreshError="1"/>
      <sheetData sheetId="1"/>
      <sheetData sheetId="2"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УХ" displayName="УХ" ref="Q1:Q9" totalsRowShown="0" headerRowDxfId="81" dataDxfId="80" headerRowCellStyle="Обычный 2" dataCellStyle="Обычный 2">
  <autoFilter ref="Q1:Q9" xr:uid="{00000000-0009-0000-0100-000002000000}"/>
  <tableColumns count="1">
    <tableColumn id="1" xr3:uid="{00000000-0010-0000-0000-000001000000}" name="Условия хранения" dataDxfId="79" dataCellStyle="Обычный 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Номер_НТД" displayName="Номер_НТД" ref="K1:K69" totalsRowShown="0" headerRowDxfId="78" dataDxfId="77">
  <autoFilter ref="K1:K69" xr:uid="{00000000-0009-0000-0100-000001000000}"/>
  <tableColumns count="1">
    <tableColumn id="1" xr3:uid="{00000000-0010-0000-0100-000001000000}" name="Номер ГОСТ/ТУ" dataDxfId="76"/>
  </tableColumns>
  <tableStyleInfo showFirstColumn="0" showLastColumn="0" showRowStripes="1" showColumnStripes="0"/>
</table>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
    <pageSetUpPr fitToPage="1"/>
  </sheetPr>
  <dimension ref="A1:BB827"/>
  <sheetViews>
    <sheetView tabSelected="1" zoomScaleNormal="100" workbookViewId="0">
      <pane xSplit="3" ySplit="2" topLeftCell="D3" activePane="bottomRight" state="frozen"/>
      <selection pane="topRight" activeCell="C1" sqref="C1"/>
      <selection pane="bottomLeft" activeCell="A3" sqref="A3"/>
      <selection pane="bottomRight" activeCell="C2" sqref="C2"/>
    </sheetView>
  </sheetViews>
  <sheetFormatPr defaultColWidth="9.140625" defaultRowHeight="12.75" x14ac:dyDescent="0.2"/>
  <cols>
    <col min="1" max="1" width="9.140625" style="9"/>
    <col min="2" max="2" width="14.140625" style="118" bestFit="1" customWidth="1"/>
    <col min="3" max="3" width="47.7109375" style="9" bestFit="1" customWidth="1"/>
    <col min="4" max="4" width="5.5703125" style="47" bestFit="1" customWidth="1"/>
    <col min="5" max="5" width="10" style="147" customWidth="1"/>
    <col min="6" max="6" width="10.42578125" style="134" customWidth="1"/>
    <col min="7" max="7" width="7.85546875" style="227" customWidth="1"/>
    <col min="8" max="8" width="8.42578125" style="47" customWidth="1"/>
    <col min="9" max="9" width="10.85546875" style="156" customWidth="1"/>
    <col min="10" max="10" width="19.5703125" style="152" customWidth="1"/>
    <col min="11" max="11" width="40.5703125" style="9" customWidth="1"/>
    <col min="12" max="12" width="8.85546875" style="47" customWidth="1"/>
    <col min="13" max="13" width="8.5703125" style="47" customWidth="1"/>
    <col min="14" max="14" width="11.42578125" style="47" customWidth="1"/>
    <col min="15" max="15" width="12.85546875" style="47" bestFit="1" customWidth="1"/>
    <col min="16" max="16" width="13.42578125" style="9" customWidth="1"/>
    <col min="17" max="17" width="11.5703125" style="47" customWidth="1"/>
    <col min="18" max="18" width="8.5703125" style="47" customWidth="1"/>
    <col min="19" max="22" width="15.140625" style="145" customWidth="1"/>
    <col min="23" max="23" width="10" style="9" customWidth="1"/>
    <col min="24" max="24" width="11" style="9" customWidth="1"/>
    <col min="25" max="25" width="10.5703125" style="9" customWidth="1"/>
    <col min="26" max="26" width="9.7109375" style="9" customWidth="1"/>
    <col min="27" max="27" width="9.42578125" style="9" hidden="1" customWidth="1"/>
    <col min="28" max="28" width="9.42578125" style="9" customWidth="1"/>
    <col min="29" max="29" width="10" style="9" customWidth="1"/>
    <col min="30" max="30" width="11" style="9" customWidth="1"/>
    <col min="31" max="31" width="10.5703125" style="9" customWidth="1"/>
    <col min="32" max="32" width="10.140625" style="9" customWidth="1"/>
    <col min="33" max="33" width="10.5703125" style="9" hidden="1" customWidth="1"/>
    <col min="34" max="34" width="6.85546875" style="47" hidden="1" customWidth="1"/>
    <col min="35" max="36" width="9.42578125" style="131" customWidth="1"/>
    <col min="37" max="37" width="8.85546875" style="9" customWidth="1"/>
    <col min="38" max="38" width="8.28515625" style="9" customWidth="1"/>
    <col min="39" max="39" width="8.85546875" style="9" customWidth="1"/>
    <col min="40" max="40" width="9" style="9" customWidth="1"/>
    <col min="41" max="41" width="6.7109375" style="9" customWidth="1"/>
    <col min="42" max="42" width="11.140625" style="9" bestFit="1" customWidth="1"/>
    <col min="43" max="44" width="9.140625" style="9"/>
    <col min="45" max="45" width="9.140625" style="9" customWidth="1"/>
    <col min="46" max="48" width="9.140625" style="9"/>
    <col min="49" max="49" width="15" style="9" customWidth="1"/>
    <col min="50" max="50" width="4" style="9" customWidth="1"/>
    <col min="51" max="16384" width="9.140625" style="9"/>
  </cols>
  <sheetData>
    <row r="1" spans="1:54" x14ac:dyDescent="0.2">
      <c r="B1" s="3" t="s">
        <v>27</v>
      </c>
      <c r="C1" s="1" t="s">
        <v>26</v>
      </c>
      <c r="D1" s="1" t="s">
        <v>25</v>
      </c>
      <c r="E1" s="3" t="s">
        <v>372</v>
      </c>
      <c r="F1" s="63" t="s">
        <v>34</v>
      </c>
      <c r="G1" s="228" t="s">
        <v>531</v>
      </c>
      <c r="H1" s="1" t="s">
        <v>529</v>
      </c>
      <c r="I1" s="1" t="s">
        <v>525</v>
      </c>
      <c r="J1" s="2" t="s">
        <v>530</v>
      </c>
      <c r="K1" s="3" t="s">
        <v>24</v>
      </c>
      <c r="L1" s="361" t="s">
        <v>23</v>
      </c>
      <c r="M1" s="362"/>
      <c r="N1" s="362"/>
      <c r="O1" s="363"/>
      <c r="P1" s="1" t="s">
        <v>22</v>
      </c>
      <c r="Q1" s="1" t="s">
        <v>21</v>
      </c>
      <c r="R1" s="1" t="s">
        <v>20</v>
      </c>
      <c r="S1" s="241" t="s">
        <v>19</v>
      </c>
      <c r="T1" s="331" t="s">
        <v>19</v>
      </c>
      <c r="U1" s="351" t="s">
        <v>19</v>
      </c>
      <c r="V1" s="352" t="s">
        <v>19</v>
      </c>
      <c r="W1" s="5"/>
      <c r="X1" s="5"/>
      <c r="Y1" s="6"/>
      <c r="Z1" s="7" t="s">
        <v>18</v>
      </c>
      <c r="AA1" s="7"/>
      <c r="AB1" s="8"/>
      <c r="AC1" s="4"/>
      <c r="AD1" s="199" t="s">
        <v>506</v>
      </c>
      <c r="AE1" s="5"/>
      <c r="AF1" s="5"/>
      <c r="AG1" s="5"/>
      <c r="AH1" s="273"/>
      <c r="AI1" s="127"/>
      <c r="AJ1" s="128"/>
      <c r="AK1" s="125"/>
      <c r="AL1" s="5"/>
      <c r="AM1" s="199" t="s">
        <v>507</v>
      </c>
      <c r="AN1" s="5"/>
      <c r="AO1" s="8"/>
    </row>
    <row r="2" spans="1:54" s="22" customFormat="1" ht="34.5" customHeight="1" thickBot="1" x14ac:dyDescent="0.25">
      <c r="B2" s="10" t="s">
        <v>528</v>
      </c>
      <c r="C2" s="251" t="s">
        <v>533</v>
      </c>
      <c r="D2" s="10" t="s">
        <v>17</v>
      </c>
      <c r="E2" s="252" t="s">
        <v>534</v>
      </c>
      <c r="F2" s="252" t="s">
        <v>535</v>
      </c>
      <c r="G2" s="10" t="s">
        <v>532</v>
      </c>
      <c r="H2" s="253" t="s">
        <v>529</v>
      </c>
      <c r="I2" s="10" t="s">
        <v>524</v>
      </c>
      <c r="J2" s="253" t="s">
        <v>530</v>
      </c>
      <c r="K2" s="251">
        <v>3</v>
      </c>
      <c r="L2" s="11" t="s">
        <v>1199</v>
      </c>
      <c r="M2" s="12" t="s">
        <v>1200</v>
      </c>
      <c r="N2" s="13" t="s">
        <v>16</v>
      </c>
      <c r="O2" s="14" t="s">
        <v>15</v>
      </c>
      <c r="P2" s="10" t="s">
        <v>103</v>
      </c>
      <c r="Q2" s="15" t="s">
        <v>14</v>
      </c>
      <c r="R2" s="16" t="s">
        <v>35</v>
      </c>
      <c r="S2" s="247" t="s">
        <v>522</v>
      </c>
      <c r="T2" s="248" t="s">
        <v>523</v>
      </c>
      <c r="U2" s="353" t="s">
        <v>1872</v>
      </c>
      <c r="V2" s="354" t="s">
        <v>1873</v>
      </c>
      <c r="W2" s="350" t="s">
        <v>13</v>
      </c>
      <c r="X2" s="17" t="s">
        <v>253</v>
      </c>
      <c r="Y2" s="17" t="s">
        <v>12</v>
      </c>
      <c r="Z2" s="18" t="s">
        <v>10</v>
      </c>
      <c r="AA2" s="270" t="s">
        <v>583</v>
      </c>
      <c r="AB2" s="19" t="s">
        <v>9</v>
      </c>
      <c r="AC2" s="20" t="s">
        <v>13</v>
      </c>
      <c r="AD2" s="21" t="s">
        <v>253</v>
      </c>
      <c r="AE2" s="21" t="s">
        <v>12</v>
      </c>
      <c r="AF2" s="12" t="s">
        <v>11</v>
      </c>
      <c r="AG2" s="17" t="s">
        <v>351</v>
      </c>
      <c r="AH2" s="12" t="s">
        <v>352</v>
      </c>
      <c r="AI2" s="129" t="s">
        <v>512</v>
      </c>
      <c r="AJ2" s="130" t="s">
        <v>513</v>
      </c>
      <c r="AK2" s="200" t="s">
        <v>8</v>
      </c>
      <c r="AL2" s="201" t="s">
        <v>508</v>
      </c>
      <c r="AM2" s="202" t="s">
        <v>509</v>
      </c>
      <c r="AN2" s="203" t="s">
        <v>511</v>
      </c>
      <c r="AO2" s="203" t="s">
        <v>510</v>
      </c>
    </row>
    <row r="3" spans="1:54" s="22" customFormat="1" ht="204" x14ac:dyDescent="0.2">
      <c r="A3" s="22">
        <f>VALUE(RIGHT(B3,4))</f>
        <v>6874</v>
      </c>
      <c r="B3" s="116">
        <v>1001012486874</v>
      </c>
      <c r="C3" s="46" t="s">
        <v>1175</v>
      </c>
      <c r="D3" s="23" t="s">
        <v>3</v>
      </c>
      <c r="E3" s="146" t="s">
        <v>373</v>
      </c>
      <c r="F3" s="132" t="s">
        <v>36</v>
      </c>
      <c r="G3" s="146" t="s">
        <v>6</v>
      </c>
      <c r="H3" s="24" t="s">
        <v>135</v>
      </c>
      <c r="I3" s="153" t="s">
        <v>1566</v>
      </c>
      <c r="J3" s="148" t="s">
        <v>408</v>
      </c>
      <c r="K3" s="26" t="s">
        <v>1442</v>
      </c>
      <c r="L3" s="27">
        <v>9</v>
      </c>
      <c r="M3" s="28">
        <v>14</v>
      </c>
      <c r="N3" s="29">
        <v>5</v>
      </c>
      <c r="O3" s="30" t="s">
        <v>1443</v>
      </c>
      <c r="P3" s="31" t="s">
        <v>104</v>
      </c>
      <c r="Q3" s="31">
        <v>60</v>
      </c>
      <c r="R3" s="32" t="s">
        <v>37</v>
      </c>
      <c r="S3" s="135">
        <v>2800682000002</v>
      </c>
      <c r="T3" s="333">
        <v>12800682000009</v>
      </c>
      <c r="U3" s="360">
        <v>4630362180094</v>
      </c>
      <c r="V3" s="360">
        <v>14630362180091</v>
      </c>
      <c r="W3" s="157">
        <v>250</v>
      </c>
      <c r="X3" s="34">
        <v>90</v>
      </c>
      <c r="Y3" s="34">
        <v>90</v>
      </c>
      <c r="Z3" s="35">
        <v>1.35</v>
      </c>
      <c r="AA3" s="271">
        <v>2E-3</v>
      </c>
      <c r="AB3" s="36">
        <f>Z3+AA3</f>
        <v>1.3520000000000001</v>
      </c>
      <c r="AC3" s="37">
        <v>292</v>
      </c>
      <c r="AD3" s="38">
        <v>178</v>
      </c>
      <c r="AE3" s="38">
        <v>178</v>
      </c>
      <c r="AF3" s="190">
        <v>3</v>
      </c>
      <c r="AG3" s="117">
        <v>600000029</v>
      </c>
      <c r="AH3" s="103">
        <f>справочники!$C$21</f>
        <v>0.125</v>
      </c>
      <c r="AI3" s="39">
        <f t="shared" ref="AI3:AI52" si="0">ROUNDDOWN(номин.вес_нетто__кг*кол_во_инд.__упак_к,2)</f>
        <v>4.05</v>
      </c>
      <c r="AJ3" s="121">
        <f t="shared" ref="AJ3:AJ52" si="1">(номин.вес_брутто__кг*кол_во_инд.__упак_к)+вес_короба__кг</f>
        <v>4.181</v>
      </c>
      <c r="AK3" s="37">
        <v>16</v>
      </c>
      <c r="AL3" s="38">
        <v>8</v>
      </c>
      <c r="AM3" s="40">
        <f>AK3*AL3</f>
        <v>128</v>
      </c>
      <c r="AN3" s="214">
        <f>IF(D3="ШТ",кол_во_инд.__упак_к*итого_г_у,ROUNDDOWN(номин.вес_нетто_г_у__кг*итого_г_у,1))</f>
        <v>518.4</v>
      </c>
      <c r="AO3" s="204">
        <f t="shared" ref="AO3:AO52" si="2">(высота__мм*кол_во_слоев_г_у)+145</f>
        <v>1569</v>
      </c>
    </row>
    <row r="4" spans="1:54" s="22" customFormat="1" ht="204" x14ac:dyDescent="0.2">
      <c r="A4" s="22">
        <f t="shared" ref="A4:A67" si="3">VALUE(RIGHT(B4,4))</f>
        <v>7568</v>
      </c>
      <c r="B4" s="116">
        <v>1001012487568</v>
      </c>
      <c r="C4" s="46" t="s">
        <v>1713</v>
      </c>
      <c r="D4" s="23" t="s">
        <v>3</v>
      </c>
      <c r="E4" s="146" t="s">
        <v>373</v>
      </c>
      <c r="F4" s="132" t="s">
        <v>36</v>
      </c>
      <c r="G4" s="146" t="s">
        <v>6</v>
      </c>
      <c r="H4" s="24" t="s">
        <v>135</v>
      </c>
      <c r="I4" s="153" t="s">
        <v>1566</v>
      </c>
      <c r="J4" s="148" t="s">
        <v>408</v>
      </c>
      <c r="K4" s="26" t="s">
        <v>1442</v>
      </c>
      <c r="L4" s="27">
        <v>9</v>
      </c>
      <c r="M4" s="28">
        <v>14</v>
      </c>
      <c r="N4" s="29">
        <v>5</v>
      </c>
      <c r="O4" s="30" t="s">
        <v>1443</v>
      </c>
      <c r="P4" s="31" t="s">
        <v>104</v>
      </c>
      <c r="Q4" s="31">
        <v>60</v>
      </c>
      <c r="R4" s="32" t="s">
        <v>37</v>
      </c>
      <c r="S4" s="135">
        <v>2800682000002</v>
      </c>
      <c r="T4" s="333">
        <v>12800682000009</v>
      </c>
      <c r="U4" s="46">
        <v>4630362180094</v>
      </c>
      <c r="V4" s="46">
        <v>24630362180098</v>
      </c>
      <c r="W4" s="157">
        <v>250</v>
      </c>
      <c r="X4" s="34">
        <v>90</v>
      </c>
      <c r="Y4" s="34">
        <v>90</v>
      </c>
      <c r="Z4" s="35">
        <v>1.35</v>
      </c>
      <c r="AA4" s="271">
        <v>2E-3</v>
      </c>
      <c r="AB4" s="36">
        <f>Z4+AA4</f>
        <v>1.3520000000000001</v>
      </c>
      <c r="AC4" s="37">
        <v>293</v>
      </c>
      <c r="AD4" s="38">
        <v>394</v>
      </c>
      <c r="AE4" s="38">
        <v>158</v>
      </c>
      <c r="AF4" s="190">
        <v>8</v>
      </c>
      <c r="AG4" s="117">
        <v>600000607</v>
      </c>
      <c r="AH4" s="103">
        <f>справочники!$C$195</f>
        <v>0.23599999999999999</v>
      </c>
      <c r="AI4" s="39">
        <f t="shared" si="0"/>
        <v>10.8</v>
      </c>
      <c r="AJ4" s="121">
        <f t="shared" si="1"/>
        <v>11.052000000000001</v>
      </c>
      <c r="AK4" s="37">
        <v>8</v>
      </c>
      <c r="AL4" s="38">
        <v>9</v>
      </c>
      <c r="AM4" s="40">
        <f>AK4*AL4</f>
        <v>72</v>
      </c>
      <c r="AN4" s="214">
        <f>IF(D4="ШТ",кол_во_инд.__упак_к*итого_г_у,ROUNDDOWN(номин.вес_нетто_г_у__кг*итого_г_у,1))</f>
        <v>777.6</v>
      </c>
      <c r="AO4" s="204">
        <f t="shared" si="2"/>
        <v>1567</v>
      </c>
    </row>
    <row r="5" spans="1:54" ht="153" customHeight="1" x14ac:dyDescent="0.2">
      <c r="A5" s="22">
        <f t="shared" si="3"/>
        <v>6319</v>
      </c>
      <c r="B5" s="116">
        <v>1001013636319</v>
      </c>
      <c r="C5" s="25" t="s">
        <v>1214</v>
      </c>
      <c r="D5" s="23" t="s">
        <v>4</v>
      </c>
      <c r="E5" s="146" t="s">
        <v>373</v>
      </c>
      <c r="F5" s="132" t="s">
        <v>36</v>
      </c>
      <c r="G5" s="146" t="s">
        <v>6</v>
      </c>
      <c r="H5" s="24" t="s">
        <v>194</v>
      </c>
      <c r="I5" s="153" t="s">
        <v>374</v>
      </c>
      <c r="J5" s="148" t="s">
        <v>408</v>
      </c>
      <c r="K5" s="26" t="s">
        <v>1215</v>
      </c>
      <c r="L5" s="27">
        <v>11</v>
      </c>
      <c r="M5" s="28">
        <v>15</v>
      </c>
      <c r="N5" s="29">
        <v>3</v>
      </c>
      <c r="O5" s="30" t="s">
        <v>902</v>
      </c>
      <c r="P5" s="31" t="s">
        <v>104</v>
      </c>
      <c r="Q5" s="31">
        <v>60</v>
      </c>
      <c r="R5" s="32" t="s">
        <v>78</v>
      </c>
      <c r="S5" s="233">
        <v>4607958071111</v>
      </c>
      <c r="T5" s="334">
        <v>14607958071118</v>
      </c>
      <c r="U5" s="46">
        <v>4607958071111</v>
      </c>
      <c r="V5" s="46">
        <v>14607958071118</v>
      </c>
      <c r="W5" s="157">
        <v>160</v>
      </c>
      <c r="X5" s="34">
        <v>67</v>
      </c>
      <c r="Y5" s="34">
        <v>67</v>
      </c>
      <c r="Z5" s="35">
        <v>0.4</v>
      </c>
      <c r="AA5" s="271">
        <v>2E-3</v>
      </c>
      <c r="AB5" s="36">
        <f t="shared" ref="AB5" si="4">Z5+AA5</f>
        <v>0.40200000000000002</v>
      </c>
      <c r="AC5" s="59">
        <v>318</v>
      </c>
      <c r="AD5" s="60">
        <v>143</v>
      </c>
      <c r="AE5" s="60">
        <v>138</v>
      </c>
      <c r="AF5" s="191">
        <v>8</v>
      </c>
      <c r="AG5" s="117">
        <v>600000407</v>
      </c>
      <c r="AH5" s="104">
        <f>справочники!$C$106</f>
        <v>9.4E-2</v>
      </c>
      <c r="AI5" s="39">
        <f t="shared" ref="AI5" si="5">ROUNDDOWN(номин.вес_нетто__кг*кол_во_инд.__упак_к,2)</f>
        <v>3.2</v>
      </c>
      <c r="AJ5" s="121">
        <f t="shared" ref="AJ5" si="6">(номин.вес_брутто__кг*кол_во_инд.__упак_к)+вес_короба__кг</f>
        <v>3.31</v>
      </c>
      <c r="AK5" s="37">
        <v>19</v>
      </c>
      <c r="AL5" s="38">
        <v>11</v>
      </c>
      <c r="AM5" s="40">
        <f t="shared" ref="AM5" si="7">AK5*AL5</f>
        <v>209</v>
      </c>
      <c r="AN5" s="206">
        <f t="shared" ref="AN5" si="8">IF(D5="ШТ",кол_во_инд.__упак_к*итого_г_у,ROUNDDOWN(номин.вес_нетто_г_у__кг*итого_г_у,1))</f>
        <v>1672</v>
      </c>
      <c r="AO5" s="204">
        <f t="shared" ref="AO5" si="9">(высота__мм*кол_во_слоев_г_у)+145</f>
        <v>1663</v>
      </c>
      <c r="AP5" s="22"/>
      <c r="AQ5" s="22"/>
      <c r="AR5" s="22"/>
      <c r="AS5" s="22"/>
      <c r="AT5" s="22"/>
      <c r="AU5" s="22"/>
      <c r="AV5" s="22"/>
      <c r="AW5" s="22"/>
      <c r="AX5" s="22"/>
      <c r="AY5" s="22"/>
      <c r="AZ5" s="22"/>
      <c r="BA5" s="22"/>
      <c r="BB5" s="22"/>
    </row>
    <row r="6" spans="1:54" ht="191.25" x14ac:dyDescent="0.2">
      <c r="A6" s="22">
        <f t="shared" si="3"/>
        <v>7523</v>
      </c>
      <c r="B6" s="116">
        <v>1001012427523</v>
      </c>
      <c r="C6" s="25" t="s">
        <v>1627</v>
      </c>
      <c r="D6" s="23" t="s">
        <v>4</v>
      </c>
      <c r="E6" s="146" t="s">
        <v>373</v>
      </c>
      <c r="F6" s="132" t="s">
        <v>36</v>
      </c>
      <c r="G6" s="146" t="s">
        <v>6</v>
      </c>
      <c r="H6" s="24" t="s">
        <v>135</v>
      </c>
      <c r="I6" s="153" t="s">
        <v>1566</v>
      </c>
      <c r="J6" s="148" t="s">
        <v>413</v>
      </c>
      <c r="K6" s="26" t="s">
        <v>1507</v>
      </c>
      <c r="L6" s="27">
        <v>9</v>
      </c>
      <c r="M6" s="28">
        <v>14</v>
      </c>
      <c r="N6" s="29">
        <v>4</v>
      </c>
      <c r="O6" s="30" t="s">
        <v>704</v>
      </c>
      <c r="P6" s="31" t="s">
        <v>104</v>
      </c>
      <c r="Q6" s="31">
        <v>60</v>
      </c>
      <c r="R6" s="32" t="s">
        <v>37</v>
      </c>
      <c r="S6" s="233">
        <v>4607958076277</v>
      </c>
      <c r="T6" s="334">
        <v>24607958076271</v>
      </c>
      <c r="U6" s="46">
        <v>4607958076277</v>
      </c>
      <c r="V6" s="46">
        <v>24607958076271</v>
      </c>
      <c r="W6" s="157">
        <v>160</v>
      </c>
      <c r="X6" s="34">
        <v>67</v>
      </c>
      <c r="Y6" s="34">
        <v>67</v>
      </c>
      <c r="Z6" s="35">
        <v>0.4</v>
      </c>
      <c r="AA6" s="271">
        <v>2E-3</v>
      </c>
      <c r="AB6" s="36">
        <f t="shared" ref="AB6" si="10">Z6+AA6</f>
        <v>0.40200000000000002</v>
      </c>
      <c r="AC6" s="59">
        <v>212</v>
      </c>
      <c r="AD6" s="60">
        <v>163</v>
      </c>
      <c r="AE6" s="60">
        <v>138</v>
      </c>
      <c r="AF6" s="191">
        <v>6</v>
      </c>
      <c r="AG6" s="117">
        <v>600000590</v>
      </c>
      <c r="AH6" s="104">
        <f>справочники!$C$189</f>
        <v>0.13</v>
      </c>
      <c r="AI6" s="39">
        <f t="shared" si="0"/>
        <v>2.4</v>
      </c>
      <c r="AJ6" s="121">
        <f t="shared" si="1"/>
        <v>2.5419999999999998</v>
      </c>
      <c r="AK6" s="37">
        <v>26</v>
      </c>
      <c r="AL6" s="38">
        <v>9</v>
      </c>
      <c r="AM6" s="40">
        <f t="shared" ref="AM6" si="11">AK6*AL6</f>
        <v>234</v>
      </c>
      <c r="AN6" s="206">
        <f t="shared" ref="AN6" si="12">IF(D6="ШТ",кол_во_инд.__упак_к*итого_г_у,ROUNDDOWN(номин.вес_нетто_г_у__кг*итого_г_у,1))</f>
        <v>1404</v>
      </c>
      <c r="AO6" s="204">
        <f t="shared" si="2"/>
        <v>1387</v>
      </c>
      <c r="AP6" s="22"/>
      <c r="AQ6" s="22"/>
      <c r="AR6" s="22"/>
      <c r="AS6" s="22"/>
      <c r="AT6" s="22"/>
      <c r="AU6" s="22"/>
      <c r="AV6" s="22"/>
      <c r="AW6" s="22"/>
      <c r="AX6" s="22"/>
      <c r="AY6" s="22"/>
      <c r="AZ6" s="22"/>
      <c r="BA6" s="22"/>
      <c r="BB6" s="22"/>
    </row>
    <row r="7" spans="1:54" ht="191.25" x14ac:dyDescent="0.2">
      <c r="A7" s="22">
        <f t="shared" si="3"/>
        <v>7025</v>
      </c>
      <c r="B7" s="116">
        <v>1001012427025</v>
      </c>
      <c r="C7" s="25" t="s">
        <v>1165</v>
      </c>
      <c r="D7" s="23" t="s">
        <v>4</v>
      </c>
      <c r="E7" s="146" t="s">
        <v>373</v>
      </c>
      <c r="F7" s="132" t="s">
        <v>36</v>
      </c>
      <c r="G7" s="146" t="s">
        <v>6</v>
      </c>
      <c r="H7" s="24" t="s">
        <v>135</v>
      </c>
      <c r="I7" s="153" t="s">
        <v>1566</v>
      </c>
      <c r="J7" s="148" t="s">
        <v>413</v>
      </c>
      <c r="K7" s="26" t="s">
        <v>1507</v>
      </c>
      <c r="L7" s="27">
        <v>9</v>
      </c>
      <c r="M7" s="28">
        <v>14</v>
      </c>
      <c r="N7" s="29">
        <v>4</v>
      </c>
      <c r="O7" s="30" t="s">
        <v>704</v>
      </c>
      <c r="P7" s="31" t="s">
        <v>104</v>
      </c>
      <c r="Q7" s="31">
        <v>60</v>
      </c>
      <c r="R7" s="32" t="s">
        <v>37</v>
      </c>
      <c r="S7" s="233">
        <v>4607958078493</v>
      </c>
      <c r="T7" s="334">
        <v>14607958078490</v>
      </c>
      <c r="U7" s="46">
        <v>4607958078493</v>
      </c>
      <c r="V7" s="46">
        <v>14607958078490</v>
      </c>
      <c r="W7" s="157">
        <v>190</v>
      </c>
      <c r="X7" s="34">
        <v>70</v>
      </c>
      <c r="Y7" s="34">
        <v>70</v>
      </c>
      <c r="Z7" s="35">
        <v>0.85</v>
      </c>
      <c r="AA7" s="271">
        <v>2E-3</v>
      </c>
      <c r="AB7" s="36">
        <f t="shared" ref="AB7:AB8" si="13">Z7+AA7</f>
        <v>0.85199999999999998</v>
      </c>
      <c r="AC7" s="59">
        <v>388</v>
      </c>
      <c r="AD7" s="60">
        <v>193</v>
      </c>
      <c r="AE7" s="60">
        <v>108</v>
      </c>
      <c r="AF7" s="191">
        <v>4</v>
      </c>
      <c r="AG7" s="117">
        <v>600000013</v>
      </c>
      <c r="AH7" s="104">
        <f>справочники!$C$5</f>
        <v>0.14099999999999999</v>
      </c>
      <c r="AI7" s="39">
        <f t="shared" si="0"/>
        <v>3.4</v>
      </c>
      <c r="AJ7" s="121">
        <f t="shared" si="1"/>
        <v>3.5489999999999999</v>
      </c>
      <c r="AK7" s="37">
        <v>12</v>
      </c>
      <c r="AL7" s="38">
        <v>14</v>
      </c>
      <c r="AM7" s="40">
        <f t="shared" ref="AM7:AM8" si="14">AK7*AL7</f>
        <v>168</v>
      </c>
      <c r="AN7" s="206">
        <f t="shared" ref="AN7:AN8" si="15">IF(D7="ШТ",кол_во_инд.__упак_к*итого_г_у,ROUNDDOWN(номин.вес_нетто_г_у__кг*итого_г_у,1))</f>
        <v>672</v>
      </c>
      <c r="AO7" s="204">
        <f t="shared" si="2"/>
        <v>1657</v>
      </c>
      <c r="AP7" s="22"/>
      <c r="AQ7" s="22"/>
      <c r="AR7" s="22"/>
      <c r="AS7" s="22"/>
      <c r="AT7" s="22"/>
      <c r="AU7" s="22"/>
      <c r="AV7" s="22"/>
      <c r="AW7" s="22"/>
      <c r="AX7" s="22"/>
      <c r="AY7" s="22"/>
      <c r="AZ7" s="22"/>
      <c r="BA7" s="22"/>
      <c r="BB7" s="22"/>
    </row>
    <row r="8" spans="1:54" s="22" customFormat="1" ht="178.5" x14ac:dyDescent="0.2">
      <c r="A8" s="22">
        <f t="shared" si="3"/>
        <v>6220</v>
      </c>
      <c r="B8" s="116">
        <v>1001012426220</v>
      </c>
      <c r="C8" s="46" t="s">
        <v>1275</v>
      </c>
      <c r="D8" s="23" t="s">
        <v>3</v>
      </c>
      <c r="E8" s="146" t="s">
        <v>373</v>
      </c>
      <c r="F8" s="132" t="s">
        <v>36</v>
      </c>
      <c r="G8" s="146" t="s">
        <v>6</v>
      </c>
      <c r="H8" s="24" t="s">
        <v>135</v>
      </c>
      <c r="I8" s="153" t="s">
        <v>1566</v>
      </c>
      <c r="J8" s="148" t="s">
        <v>413</v>
      </c>
      <c r="K8" s="26" t="s">
        <v>1195</v>
      </c>
      <c r="L8" s="27">
        <v>9</v>
      </c>
      <c r="M8" s="28">
        <v>13</v>
      </c>
      <c r="N8" s="29">
        <v>2</v>
      </c>
      <c r="O8" s="30" t="s">
        <v>357</v>
      </c>
      <c r="P8" s="31" t="s">
        <v>104</v>
      </c>
      <c r="Q8" s="31">
        <v>60</v>
      </c>
      <c r="R8" s="32" t="s">
        <v>37</v>
      </c>
      <c r="S8" s="233">
        <v>2800327000008</v>
      </c>
      <c r="T8" s="334">
        <v>12800327000005</v>
      </c>
      <c r="U8" s="46">
        <v>4630362181077</v>
      </c>
      <c r="V8" s="46">
        <v>14630362181074</v>
      </c>
      <c r="W8" s="157">
        <v>250</v>
      </c>
      <c r="X8" s="34">
        <v>90</v>
      </c>
      <c r="Y8" s="34">
        <v>90</v>
      </c>
      <c r="Z8" s="35">
        <v>1.35</v>
      </c>
      <c r="AA8" s="271">
        <v>2E-3</v>
      </c>
      <c r="AB8" s="36">
        <f t="shared" si="13"/>
        <v>1.3520000000000001</v>
      </c>
      <c r="AC8" s="37">
        <v>292</v>
      </c>
      <c r="AD8" s="38">
        <v>178</v>
      </c>
      <c r="AE8" s="38">
        <v>178</v>
      </c>
      <c r="AF8" s="190">
        <v>3</v>
      </c>
      <c r="AG8" s="117">
        <v>600000029</v>
      </c>
      <c r="AH8" s="103">
        <f>справочники!$C$21</f>
        <v>0.125</v>
      </c>
      <c r="AI8" s="39">
        <f t="shared" si="0"/>
        <v>4.05</v>
      </c>
      <c r="AJ8" s="121">
        <f t="shared" si="1"/>
        <v>4.181</v>
      </c>
      <c r="AK8" s="37">
        <v>14</v>
      </c>
      <c r="AL8" s="38">
        <v>8</v>
      </c>
      <c r="AM8" s="40">
        <f t="shared" si="14"/>
        <v>112</v>
      </c>
      <c r="AN8" s="214">
        <f t="shared" si="15"/>
        <v>453.6</v>
      </c>
      <c r="AO8" s="204">
        <f t="shared" si="2"/>
        <v>1569</v>
      </c>
    </row>
    <row r="9" spans="1:54" s="22" customFormat="1" ht="216.75" x14ac:dyDescent="0.2">
      <c r="A9" s="22">
        <f t="shared" si="3"/>
        <v>3254</v>
      </c>
      <c r="B9" s="116">
        <v>1001012993254</v>
      </c>
      <c r="C9" s="46" t="s">
        <v>214</v>
      </c>
      <c r="D9" s="23" t="s">
        <v>3</v>
      </c>
      <c r="E9" s="146" t="s">
        <v>373</v>
      </c>
      <c r="F9" s="132" t="s">
        <v>36</v>
      </c>
      <c r="G9" s="146" t="s">
        <v>6</v>
      </c>
      <c r="H9" s="24" t="s">
        <v>135</v>
      </c>
      <c r="I9" s="153" t="s">
        <v>1566</v>
      </c>
      <c r="J9" s="148" t="s">
        <v>412</v>
      </c>
      <c r="K9" s="26" t="s">
        <v>1887</v>
      </c>
      <c r="L9" s="27">
        <v>9</v>
      </c>
      <c r="M9" s="28">
        <v>14</v>
      </c>
      <c r="N9" s="29">
        <v>5</v>
      </c>
      <c r="O9" s="30" t="s">
        <v>1443</v>
      </c>
      <c r="P9" s="31" t="s">
        <v>104</v>
      </c>
      <c r="Q9" s="31">
        <v>60</v>
      </c>
      <c r="R9" s="32" t="s">
        <v>37</v>
      </c>
      <c r="S9" s="135">
        <v>2100116000005</v>
      </c>
      <c r="T9" s="333">
        <v>12100116000002</v>
      </c>
      <c r="U9" s="46">
        <v>4630362181138</v>
      </c>
      <c r="V9" s="46">
        <v>14630362181135</v>
      </c>
      <c r="W9" s="157">
        <v>250</v>
      </c>
      <c r="X9" s="34">
        <v>90</v>
      </c>
      <c r="Y9" s="34">
        <v>90</v>
      </c>
      <c r="Z9" s="35">
        <v>1.35</v>
      </c>
      <c r="AA9" s="271">
        <v>2E-3</v>
      </c>
      <c r="AB9" s="36">
        <f t="shared" ref="AB9:AB59" si="16">Z9+AA9</f>
        <v>1.3520000000000001</v>
      </c>
      <c r="AC9" s="37">
        <v>292</v>
      </c>
      <c r="AD9" s="38">
        <v>178</v>
      </c>
      <c r="AE9" s="38">
        <v>178</v>
      </c>
      <c r="AF9" s="190">
        <v>3</v>
      </c>
      <c r="AG9" s="117">
        <v>600000029</v>
      </c>
      <c r="AH9" s="103">
        <f>справочники!$C$21</f>
        <v>0.125</v>
      </c>
      <c r="AI9" s="39">
        <f t="shared" si="0"/>
        <v>4.05</v>
      </c>
      <c r="AJ9" s="121">
        <f t="shared" si="1"/>
        <v>4.181</v>
      </c>
      <c r="AK9" s="37">
        <v>16</v>
      </c>
      <c r="AL9" s="38">
        <v>8</v>
      </c>
      <c r="AM9" s="40">
        <f t="shared" ref="AM9:AM49" si="17">AK9*AL9</f>
        <v>128</v>
      </c>
      <c r="AN9" s="214">
        <f t="shared" ref="AN9:AN50" si="18">IF(D9="ШТ",кол_во_инд.__упак_к*итого_г_у,ROUNDDOWN(номин.вес_нетто_г_у__кг*итого_г_у,1))</f>
        <v>518.4</v>
      </c>
      <c r="AO9" s="204">
        <f t="shared" si="2"/>
        <v>1569</v>
      </c>
    </row>
    <row r="10" spans="1:54" s="22" customFormat="1" ht="115.5" customHeight="1" x14ac:dyDescent="0.2">
      <c r="A10" s="22">
        <f t="shared" si="3"/>
        <v>7577</v>
      </c>
      <c r="B10" s="116">
        <v>1001012997577</v>
      </c>
      <c r="C10" s="46" t="s">
        <v>1714</v>
      </c>
      <c r="D10" s="23" t="s">
        <v>3</v>
      </c>
      <c r="E10" s="146" t="s">
        <v>373</v>
      </c>
      <c r="F10" s="132" t="s">
        <v>36</v>
      </c>
      <c r="G10" s="146" t="s">
        <v>6</v>
      </c>
      <c r="H10" s="24" t="s">
        <v>135</v>
      </c>
      <c r="I10" s="153" t="s">
        <v>1566</v>
      </c>
      <c r="J10" s="148" t="s">
        <v>412</v>
      </c>
      <c r="K10" s="26" t="s">
        <v>1442</v>
      </c>
      <c r="L10" s="27">
        <v>9</v>
      </c>
      <c r="M10" s="28">
        <v>14</v>
      </c>
      <c r="N10" s="29">
        <v>5</v>
      </c>
      <c r="O10" s="30" t="s">
        <v>1443</v>
      </c>
      <c r="P10" s="31" t="s">
        <v>104</v>
      </c>
      <c r="Q10" s="31">
        <v>60</v>
      </c>
      <c r="R10" s="32" t="s">
        <v>37</v>
      </c>
      <c r="S10" s="135">
        <v>2100116000005</v>
      </c>
      <c r="T10" s="333">
        <v>12100116000002</v>
      </c>
      <c r="U10" s="46">
        <v>4630362181138</v>
      </c>
      <c r="V10" s="46">
        <v>24630362181132</v>
      </c>
      <c r="W10" s="157">
        <v>250</v>
      </c>
      <c r="X10" s="34">
        <v>90</v>
      </c>
      <c r="Y10" s="34">
        <v>90</v>
      </c>
      <c r="Z10" s="35">
        <v>1.35</v>
      </c>
      <c r="AA10" s="271">
        <v>2E-3</v>
      </c>
      <c r="AB10" s="36">
        <f t="shared" ref="AB10" si="19">Z10+AA10</f>
        <v>1.3520000000000001</v>
      </c>
      <c r="AC10" s="37">
        <v>293</v>
      </c>
      <c r="AD10" s="38">
        <v>394</v>
      </c>
      <c r="AE10" s="38">
        <v>158</v>
      </c>
      <c r="AF10" s="190">
        <v>8</v>
      </c>
      <c r="AG10" s="117">
        <v>600000607</v>
      </c>
      <c r="AH10" s="103">
        <f>справочники!$C$195</f>
        <v>0.23599999999999999</v>
      </c>
      <c r="AI10" s="39">
        <f t="shared" si="0"/>
        <v>10.8</v>
      </c>
      <c r="AJ10" s="121">
        <f t="shared" si="1"/>
        <v>11.052000000000001</v>
      </c>
      <c r="AK10" s="37">
        <v>8</v>
      </c>
      <c r="AL10" s="38">
        <v>9</v>
      </c>
      <c r="AM10" s="40">
        <f t="shared" ref="AM10" si="20">AK10*AL10</f>
        <v>72</v>
      </c>
      <c r="AN10" s="214">
        <f t="shared" ref="AN10" si="21">IF(D10="ШТ",кол_во_инд.__упак_к*итого_г_у,ROUNDDOWN(номин.вес_нетто_г_у__кг*итого_г_у,1))</f>
        <v>777.6</v>
      </c>
      <c r="AO10" s="204">
        <f t="shared" si="2"/>
        <v>1567</v>
      </c>
    </row>
    <row r="11" spans="1:54" s="22" customFormat="1" ht="64.5" customHeight="1" x14ac:dyDescent="0.2">
      <c r="A11" s="22">
        <f t="shared" si="3"/>
        <v>1112</v>
      </c>
      <c r="B11" s="116">
        <v>1001010011112</v>
      </c>
      <c r="C11" s="25" t="s">
        <v>1753</v>
      </c>
      <c r="D11" s="23" t="s">
        <v>3</v>
      </c>
      <c r="E11" s="146" t="s">
        <v>373</v>
      </c>
      <c r="F11" s="132" t="s">
        <v>36</v>
      </c>
      <c r="G11" s="146" t="s">
        <v>2</v>
      </c>
      <c r="H11" s="24" t="s">
        <v>292</v>
      </c>
      <c r="I11" s="153" t="s">
        <v>189</v>
      </c>
      <c r="J11" s="148" t="s">
        <v>407</v>
      </c>
      <c r="K11" s="26" t="s">
        <v>1156</v>
      </c>
      <c r="L11" s="27">
        <v>12</v>
      </c>
      <c r="M11" s="28">
        <v>20</v>
      </c>
      <c r="N11" s="28">
        <v>0</v>
      </c>
      <c r="O11" s="29" t="s">
        <v>190</v>
      </c>
      <c r="P11" s="31" t="s">
        <v>104</v>
      </c>
      <c r="Q11" s="31">
        <v>30</v>
      </c>
      <c r="R11" s="32" t="s">
        <v>28</v>
      </c>
      <c r="S11" s="242">
        <v>2326628000009</v>
      </c>
      <c r="T11" s="335">
        <v>12326628000006</v>
      </c>
      <c r="U11" s="46">
        <v>4630362182494</v>
      </c>
      <c r="V11" s="46">
        <v>14630362182491</v>
      </c>
      <c r="W11" s="254" t="s">
        <v>250</v>
      </c>
      <c r="X11" s="45" t="s">
        <v>251</v>
      </c>
      <c r="Y11" s="45" t="s">
        <v>251</v>
      </c>
      <c r="Z11" s="35">
        <v>1.325</v>
      </c>
      <c r="AA11" s="271">
        <v>8.0000000000000002E-3</v>
      </c>
      <c r="AB11" s="36">
        <f t="shared" ref="AB11" si="22">Z11+AA11</f>
        <v>1.333</v>
      </c>
      <c r="AC11" s="37">
        <v>383</v>
      </c>
      <c r="AD11" s="38">
        <v>156</v>
      </c>
      <c r="AE11" s="38">
        <v>168</v>
      </c>
      <c r="AF11" s="190">
        <v>2</v>
      </c>
      <c r="AG11" s="117">
        <v>600000030</v>
      </c>
      <c r="AH11" s="103">
        <f>справочники!$C$22</f>
        <v>0.127</v>
      </c>
      <c r="AI11" s="39">
        <f t="shared" si="0"/>
        <v>2.65</v>
      </c>
      <c r="AJ11" s="121">
        <f t="shared" si="1"/>
        <v>2.7930000000000001</v>
      </c>
      <c r="AK11" s="37">
        <v>15</v>
      </c>
      <c r="AL11" s="38">
        <v>9</v>
      </c>
      <c r="AM11" s="40">
        <f t="shared" ref="AM11" si="23">AK11*AL11</f>
        <v>135</v>
      </c>
      <c r="AN11" s="214">
        <f t="shared" ref="AN11" si="24">IF(D11="ШТ",кол_во_инд.__упак_к*итого_г_у,ROUNDDOWN(номин.вес_нетто_г_у__кг*итого_г_у,1))</f>
        <v>357.7</v>
      </c>
      <c r="AO11" s="204">
        <f t="shared" si="2"/>
        <v>1657</v>
      </c>
    </row>
    <row r="12" spans="1:54" s="22" customFormat="1" ht="79.150000000000006" customHeight="1" x14ac:dyDescent="0.2">
      <c r="A12" s="22">
        <f t="shared" si="3"/>
        <v>4555</v>
      </c>
      <c r="B12" s="116">
        <v>1001010014555</v>
      </c>
      <c r="C12" s="46" t="s">
        <v>124</v>
      </c>
      <c r="D12" s="23" t="s">
        <v>3</v>
      </c>
      <c r="E12" s="146" t="s">
        <v>373</v>
      </c>
      <c r="F12" s="132" t="s">
        <v>36</v>
      </c>
      <c r="G12" s="146" t="s">
        <v>2</v>
      </c>
      <c r="H12" s="115" t="s">
        <v>135</v>
      </c>
      <c r="I12" s="153" t="s">
        <v>189</v>
      </c>
      <c r="J12" s="148" t="s">
        <v>407</v>
      </c>
      <c r="K12" s="26" t="s">
        <v>1556</v>
      </c>
      <c r="L12" s="27">
        <v>12</v>
      </c>
      <c r="M12" s="28">
        <v>20</v>
      </c>
      <c r="N12" s="28">
        <v>0</v>
      </c>
      <c r="O12" s="29" t="s">
        <v>190</v>
      </c>
      <c r="P12" s="31" t="s">
        <v>104</v>
      </c>
      <c r="Q12" s="31">
        <v>60</v>
      </c>
      <c r="R12" s="32" t="s">
        <v>78</v>
      </c>
      <c r="S12" s="135">
        <v>2722280000003</v>
      </c>
      <c r="T12" s="333">
        <v>12722280000000</v>
      </c>
      <c r="U12" s="46">
        <v>4630362181152</v>
      </c>
      <c r="V12" s="46">
        <v>14630362181159</v>
      </c>
      <c r="W12" s="157">
        <v>250</v>
      </c>
      <c r="X12" s="34">
        <v>90</v>
      </c>
      <c r="Y12" s="34">
        <v>90</v>
      </c>
      <c r="Z12" s="35">
        <v>1.35</v>
      </c>
      <c r="AA12" s="271">
        <v>2E-3</v>
      </c>
      <c r="AB12" s="36">
        <f t="shared" si="16"/>
        <v>1.3520000000000001</v>
      </c>
      <c r="AC12" s="37">
        <v>292</v>
      </c>
      <c r="AD12" s="38">
        <v>178</v>
      </c>
      <c r="AE12" s="38">
        <v>178</v>
      </c>
      <c r="AF12" s="190">
        <v>3</v>
      </c>
      <c r="AG12" s="117">
        <v>600000029</v>
      </c>
      <c r="AH12" s="103">
        <f>справочники!$C$21</f>
        <v>0.125</v>
      </c>
      <c r="AI12" s="39">
        <f t="shared" si="0"/>
        <v>4.05</v>
      </c>
      <c r="AJ12" s="121">
        <f t="shared" si="1"/>
        <v>4.181</v>
      </c>
      <c r="AK12" s="37">
        <v>16</v>
      </c>
      <c r="AL12" s="38">
        <v>8</v>
      </c>
      <c r="AM12" s="40">
        <f t="shared" si="17"/>
        <v>128</v>
      </c>
      <c r="AN12" s="214">
        <f t="shared" si="18"/>
        <v>518.4</v>
      </c>
      <c r="AO12" s="204">
        <f t="shared" si="2"/>
        <v>1569</v>
      </c>
    </row>
    <row r="13" spans="1:54" s="22" customFormat="1" ht="79.150000000000006" customHeight="1" x14ac:dyDescent="0.2">
      <c r="A13" s="22">
        <f t="shared" si="3"/>
        <v>7536</v>
      </c>
      <c r="B13" s="116">
        <v>1001010017536</v>
      </c>
      <c r="C13" s="46" t="s">
        <v>1690</v>
      </c>
      <c r="D13" s="23" t="s">
        <v>3</v>
      </c>
      <c r="E13" s="146" t="s">
        <v>373</v>
      </c>
      <c r="F13" s="132" t="s">
        <v>36</v>
      </c>
      <c r="G13" s="146" t="s">
        <v>2</v>
      </c>
      <c r="H13" s="115" t="s">
        <v>135</v>
      </c>
      <c r="I13" s="153" t="s">
        <v>189</v>
      </c>
      <c r="J13" s="148" t="s">
        <v>407</v>
      </c>
      <c r="K13" s="26" t="s">
        <v>1556</v>
      </c>
      <c r="L13" s="27">
        <v>12</v>
      </c>
      <c r="M13" s="28">
        <v>20</v>
      </c>
      <c r="N13" s="28">
        <v>0</v>
      </c>
      <c r="O13" s="29" t="s">
        <v>190</v>
      </c>
      <c r="P13" s="31" t="s">
        <v>104</v>
      </c>
      <c r="Q13" s="31">
        <v>60</v>
      </c>
      <c r="R13" s="32" t="s">
        <v>78</v>
      </c>
      <c r="S13" s="135">
        <v>2800541000006</v>
      </c>
      <c r="T13" s="333">
        <v>12800541000003</v>
      </c>
      <c r="U13" s="46">
        <v>4630362181152</v>
      </c>
      <c r="V13" s="46">
        <v>14630362181159</v>
      </c>
      <c r="W13" s="157">
        <v>250</v>
      </c>
      <c r="X13" s="34">
        <v>90</v>
      </c>
      <c r="Y13" s="34">
        <v>90</v>
      </c>
      <c r="Z13" s="35">
        <v>1.35</v>
      </c>
      <c r="AA13" s="271">
        <v>2E-3</v>
      </c>
      <c r="AB13" s="36">
        <f t="shared" ref="AB13:AB14" si="25">Z13+AA13</f>
        <v>1.3520000000000001</v>
      </c>
      <c r="AC13" s="37">
        <v>292</v>
      </c>
      <c r="AD13" s="38">
        <v>178</v>
      </c>
      <c r="AE13" s="38">
        <v>178</v>
      </c>
      <c r="AF13" s="190">
        <v>3</v>
      </c>
      <c r="AG13" s="117">
        <v>600000029</v>
      </c>
      <c r="AH13" s="103">
        <f>справочники!$C$21</f>
        <v>0.125</v>
      </c>
      <c r="AI13" s="39">
        <f t="shared" si="0"/>
        <v>4.05</v>
      </c>
      <c r="AJ13" s="121">
        <f t="shared" si="1"/>
        <v>4.181</v>
      </c>
      <c r="AK13" s="37">
        <v>16</v>
      </c>
      <c r="AL13" s="38">
        <v>8</v>
      </c>
      <c r="AM13" s="40">
        <f t="shared" ref="AM13:AM14" si="26">AK13*AL13</f>
        <v>128</v>
      </c>
      <c r="AN13" s="214">
        <f t="shared" ref="AN13:AN14" si="27">IF(D13="ШТ",кол_во_инд.__упак_к*итого_г_у,ROUNDDOWN(номин.вес_нетто_г_у__кг*итого_г_у,1))</f>
        <v>518.4</v>
      </c>
      <c r="AO13" s="204">
        <f t="shared" si="2"/>
        <v>1569</v>
      </c>
    </row>
    <row r="14" spans="1:54" s="22" customFormat="1" ht="81" customHeight="1" x14ac:dyDescent="0.2">
      <c r="A14" s="22">
        <f t="shared" si="3"/>
        <v>7539</v>
      </c>
      <c r="B14" s="116">
        <v>1001010017539</v>
      </c>
      <c r="C14" s="25" t="s">
        <v>1691</v>
      </c>
      <c r="D14" s="23" t="s">
        <v>4</v>
      </c>
      <c r="E14" s="146" t="s">
        <v>373</v>
      </c>
      <c r="F14" s="132" t="s">
        <v>36</v>
      </c>
      <c r="G14" s="146" t="s">
        <v>2</v>
      </c>
      <c r="H14" s="115" t="s">
        <v>135</v>
      </c>
      <c r="I14" s="153" t="s">
        <v>189</v>
      </c>
      <c r="J14" s="148" t="s">
        <v>407</v>
      </c>
      <c r="K14" s="26" t="s">
        <v>1556</v>
      </c>
      <c r="L14" s="27">
        <v>12</v>
      </c>
      <c r="M14" s="28">
        <v>20</v>
      </c>
      <c r="N14" s="28">
        <v>0</v>
      </c>
      <c r="O14" s="29" t="s">
        <v>190</v>
      </c>
      <c r="P14" s="31" t="s">
        <v>104</v>
      </c>
      <c r="Q14" s="31">
        <v>60</v>
      </c>
      <c r="R14" s="32" t="s">
        <v>78</v>
      </c>
      <c r="S14" s="233">
        <v>4630362182227</v>
      </c>
      <c r="T14" s="334">
        <v>14630362182224</v>
      </c>
      <c r="U14" s="46">
        <v>4630362182227</v>
      </c>
      <c r="V14" s="46">
        <v>14630362182224</v>
      </c>
      <c r="W14" s="157">
        <v>180</v>
      </c>
      <c r="X14" s="34">
        <v>57</v>
      </c>
      <c r="Y14" s="34">
        <v>57</v>
      </c>
      <c r="Z14" s="35">
        <v>0.35</v>
      </c>
      <c r="AA14" s="271">
        <v>2E-3</v>
      </c>
      <c r="AB14" s="36">
        <f t="shared" si="25"/>
        <v>0.35199999999999998</v>
      </c>
      <c r="AC14" s="59">
        <v>258</v>
      </c>
      <c r="AD14" s="60">
        <v>193</v>
      </c>
      <c r="AE14" s="60">
        <v>123</v>
      </c>
      <c r="AF14" s="191">
        <v>8</v>
      </c>
      <c r="AG14" s="117">
        <v>600000403</v>
      </c>
      <c r="AH14" s="104">
        <f>справочники!$C$100</f>
        <v>0.104</v>
      </c>
      <c r="AI14" s="39">
        <f t="shared" si="0"/>
        <v>2.8</v>
      </c>
      <c r="AJ14" s="121">
        <f t="shared" si="1"/>
        <v>2.92</v>
      </c>
      <c r="AK14" s="37">
        <v>18</v>
      </c>
      <c r="AL14" s="38">
        <v>12</v>
      </c>
      <c r="AM14" s="40">
        <f t="shared" si="26"/>
        <v>216</v>
      </c>
      <c r="AN14" s="206">
        <f t="shared" si="27"/>
        <v>1728</v>
      </c>
      <c r="AO14" s="204">
        <f t="shared" si="2"/>
        <v>1621</v>
      </c>
    </row>
    <row r="15" spans="1:54" s="22" customFormat="1" ht="81" customHeight="1" x14ac:dyDescent="0.2">
      <c r="A15" s="22">
        <f t="shared" si="3"/>
        <v>7477</v>
      </c>
      <c r="B15" s="116">
        <v>1001016447477</v>
      </c>
      <c r="C15" s="25" t="s">
        <v>1555</v>
      </c>
      <c r="D15" s="23" t="s">
        <v>4</v>
      </c>
      <c r="E15" s="146" t="s">
        <v>373</v>
      </c>
      <c r="F15" s="132" t="s">
        <v>36</v>
      </c>
      <c r="G15" s="146" t="s">
        <v>6</v>
      </c>
      <c r="H15" s="115" t="s">
        <v>135</v>
      </c>
      <c r="I15" s="153" t="s">
        <v>189</v>
      </c>
      <c r="J15" s="148" t="s">
        <v>407</v>
      </c>
      <c r="K15" s="26" t="s">
        <v>1556</v>
      </c>
      <c r="L15" s="27">
        <v>12</v>
      </c>
      <c r="M15" s="28">
        <v>20</v>
      </c>
      <c r="N15" s="28">
        <v>0</v>
      </c>
      <c r="O15" s="29" t="s">
        <v>190</v>
      </c>
      <c r="P15" s="31" t="s">
        <v>104</v>
      </c>
      <c r="Q15" s="31">
        <v>60</v>
      </c>
      <c r="R15" s="32" t="s">
        <v>78</v>
      </c>
      <c r="S15" s="233">
        <v>4630362181015</v>
      </c>
      <c r="T15" s="334">
        <v>14630362181012</v>
      </c>
      <c r="U15" s="46">
        <v>4630362181015</v>
      </c>
      <c r="V15" s="46">
        <v>14630362181012</v>
      </c>
      <c r="W15" s="157">
        <v>180</v>
      </c>
      <c r="X15" s="34">
        <v>57</v>
      </c>
      <c r="Y15" s="34">
        <v>57</v>
      </c>
      <c r="Z15" s="35">
        <v>0.35</v>
      </c>
      <c r="AA15" s="271">
        <v>2E-3</v>
      </c>
      <c r="AB15" s="36">
        <f t="shared" ref="AB15" si="28">Z15+AA15</f>
        <v>0.35199999999999998</v>
      </c>
      <c r="AC15" s="59">
        <v>258</v>
      </c>
      <c r="AD15" s="60">
        <v>193</v>
      </c>
      <c r="AE15" s="60">
        <v>123</v>
      </c>
      <c r="AF15" s="191">
        <v>8</v>
      </c>
      <c r="AG15" s="117">
        <v>600000403</v>
      </c>
      <c r="AH15" s="104">
        <f>справочники!$C$100</f>
        <v>0.104</v>
      </c>
      <c r="AI15" s="39">
        <f t="shared" si="0"/>
        <v>2.8</v>
      </c>
      <c r="AJ15" s="121">
        <f t="shared" si="1"/>
        <v>2.92</v>
      </c>
      <c r="AK15" s="37">
        <v>18</v>
      </c>
      <c r="AL15" s="38">
        <v>12</v>
      </c>
      <c r="AM15" s="40">
        <f t="shared" ref="AM15" si="29">AK15*AL15</f>
        <v>216</v>
      </c>
      <c r="AN15" s="206">
        <f t="shared" ref="AN15" si="30">IF(D15="ШТ",кол_во_инд.__упак_к*итого_г_у,ROUNDDOWN(номин.вес_нетто_г_у__кг*итого_г_у,1))</f>
        <v>1728</v>
      </c>
      <c r="AO15" s="204">
        <f t="shared" si="2"/>
        <v>1621</v>
      </c>
    </row>
    <row r="16" spans="1:54" s="22" customFormat="1" ht="79.150000000000006" customHeight="1" x14ac:dyDescent="0.2">
      <c r="A16" s="22">
        <f t="shared" si="3"/>
        <v>6324</v>
      </c>
      <c r="B16" s="116">
        <v>1001010016324</v>
      </c>
      <c r="C16" s="25" t="s">
        <v>294</v>
      </c>
      <c r="D16" s="23" t="s">
        <v>4</v>
      </c>
      <c r="E16" s="146" t="s">
        <v>373</v>
      </c>
      <c r="F16" s="132" t="s">
        <v>36</v>
      </c>
      <c r="G16" s="146" t="s">
        <v>2</v>
      </c>
      <c r="H16" s="115" t="s">
        <v>135</v>
      </c>
      <c r="I16" s="153" t="s">
        <v>189</v>
      </c>
      <c r="J16" s="148" t="s">
        <v>407</v>
      </c>
      <c r="K16" s="26" t="s">
        <v>1556</v>
      </c>
      <c r="L16" s="27">
        <v>12</v>
      </c>
      <c r="M16" s="28">
        <v>20</v>
      </c>
      <c r="N16" s="28">
        <v>0</v>
      </c>
      <c r="O16" s="29" t="s">
        <v>190</v>
      </c>
      <c r="P16" s="31" t="s">
        <v>104</v>
      </c>
      <c r="Q16" s="31">
        <v>60</v>
      </c>
      <c r="R16" s="32" t="s">
        <v>78</v>
      </c>
      <c r="S16" s="233">
        <v>4607958074334</v>
      </c>
      <c r="T16" s="334">
        <v>14607958074331</v>
      </c>
      <c r="U16" s="46">
        <v>4607958074334</v>
      </c>
      <c r="V16" s="46">
        <v>14607958074331</v>
      </c>
      <c r="W16" s="157">
        <v>160</v>
      </c>
      <c r="X16" s="34">
        <v>67</v>
      </c>
      <c r="Y16" s="34">
        <v>67</v>
      </c>
      <c r="Z16" s="35">
        <v>0.4</v>
      </c>
      <c r="AA16" s="271">
        <v>2E-3</v>
      </c>
      <c r="AB16" s="36">
        <f t="shared" si="16"/>
        <v>0.40200000000000002</v>
      </c>
      <c r="AC16" s="59">
        <v>318</v>
      </c>
      <c r="AD16" s="60">
        <v>143</v>
      </c>
      <c r="AE16" s="60">
        <v>138</v>
      </c>
      <c r="AF16" s="191">
        <v>8</v>
      </c>
      <c r="AG16" s="117">
        <v>600000407</v>
      </c>
      <c r="AH16" s="104">
        <f>справочники!$C$106</f>
        <v>9.4E-2</v>
      </c>
      <c r="AI16" s="39">
        <f t="shared" si="0"/>
        <v>3.2</v>
      </c>
      <c r="AJ16" s="121">
        <f t="shared" si="1"/>
        <v>3.31</v>
      </c>
      <c r="AK16" s="37">
        <v>19</v>
      </c>
      <c r="AL16" s="38">
        <v>11</v>
      </c>
      <c r="AM16" s="40">
        <f t="shared" si="17"/>
        <v>209</v>
      </c>
      <c r="AN16" s="206">
        <f t="shared" si="18"/>
        <v>1672</v>
      </c>
      <c r="AO16" s="204">
        <f t="shared" si="2"/>
        <v>1663</v>
      </c>
    </row>
    <row r="17" spans="1:54" ht="114.75" x14ac:dyDescent="0.2">
      <c r="A17" s="22">
        <f t="shared" si="3"/>
        <v>7190</v>
      </c>
      <c r="B17" s="116">
        <v>1001016447190</v>
      </c>
      <c r="C17" s="25" t="s">
        <v>1155</v>
      </c>
      <c r="D17" s="23" t="s">
        <v>4</v>
      </c>
      <c r="E17" s="146" t="s">
        <v>373</v>
      </c>
      <c r="F17" s="132" t="s">
        <v>36</v>
      </c>
      <c r="G17" s="146" t="s">
        <v>2</v>
      </c>
      <c r="H17" s="115" t="s">
        <v>135</v>
      </c>
      <c r="I17" s="153" t="s">
        <v>189</v>
      </c>
      <c r="J17" s="148" t="s">
        <v>407</v>
      </c>
      <c r="K17" s="26" t="s">
        <v>1156</v>
      </c>
      <c r="L17" s="27">
        <v>12</v>
      </c>
      <c r="M17" s="28">
        <v>20</v>
      </c>
      <c r="N17" s="28"/>
      <c r="O17" s="29" t="s">
        <v>190</v>
      </c>
      <c r="P17" s="31" t="s">
        <v>104</v>
      </c>
      <c r="Q17" s="31">
        <v>60</v>
      </c>
      <c r="R17" s="32" t="s">
        <v>78</v>
      </c>
      <c r="S17" s="233">
        <v>4607958079230</v>
      </c>
      <c r="T17" s="334">
        <v>14607958079237</v>
      </c>
      <c r="U17" s="46">
        <v>4607958079230</v>
      </c>
      <c r="V17" s="46">
        <v>14607958079237</v>
      </c>
      <c r="W17" s="157">
        <v>245</v>
      </c>
      <c r="X17" s="34">
        <v>67</v>
      </c>
      <c r="Y17" s="34">
        <v>67</v>
      </c>
      <c r="Z17" s="35">
        <v>0.7</v>
      </c>
      <c r="AA17" s="271">
        <v>2E-3</v>
      </c>
      <c r="AB17" s="36">
        <f>Z17+AA17</f>
        <v>0.70199999999999996</v>
      </c>
      <c r="AC17" s="37">
        <v>293</v>
      </c>
      <c r="AD17" s="38">
        <v>153</v>
      </c>
      <c r="AE17" s="38">
        <v>224</v>
      </c>
      <c r="AF17" s="190">
        <v>6</v>
      </c>
      <c r="AG17" s="117">
        <v>600000400</v>
      </c>
      <c r="AH17" s="103">
        <f>справочники!$C$95</f>
        <v>0.13500000000000001</v>
      </c>
      <c r="AI17" s="39">
        <f t="shared" si="0"/>
        <v>4.2</v>
      </c>
      <c r="AJ17" s="121">
        <f t="shared" si="1"/>
        <v>4.3469999999999995</v>
      </c>
      <c r="AK17" s="37">
        <v>20</v>
      </c>
      <c r="AL17" s="38">
        <v>7</v>
      </c>
      <c r="AM17" s="40">
        <f>AK17*AL17</f>
        <v>140</v>
      </c>
      <c r="AN17" s="206">
        <f>IF(D17="ШТ",кол_во_инд.__упак_к*итого_г_у,ROUNDDOWN(номин.вес_нетто_г_у__кг*итого_г_у,1))</f>
        <v>840</v>
      </c>
      <c r="AO17" s="204">
        <f t="shared" si="2"/>
        <v>1713</v>
      </c>
      <c r="AP17" s="22"/>
      <c r="AQ17" s="22"/>
      <c r="AR17" s="22"/>
      <c r="AS17" s="22"/>
      <c r="AT17" s="22"/>
      <c r="AU17" s="22"/>
      <c r="AV17" s="22"/>
      <c r="AW17" s="22"/>
      <c r="AX17" s="22"/>
      <c r="AY17" s="22"/>
      <c r="AZ17" s="22"/>
      <c r="BA17" s="22"/>
      <c r="BB17" s="22"/>
    </row>
    <row r="18" spans="1:54" s="22" customFormat="1" ht="79.900000000000006" customHeight="1" x14ac:dyDescent="0.2">
      <c r="A18" s="22">
        <f t="shared" si="3"/>
        <v>7557</v>
      </c>
      <c r="B18" s="116">
        <v>1001010017557</v>
      </c>
      <c r="C18" s="25" t="s">
        <v>1744</v>
      </c>
      <c r="D18" s="23" t="s">
        <v>3</v>
      </c>
      <c r="E18" s="146" t="s">
        <v>373</v>
      </c>
      <c r="F18" s="132" t="s">
        <v>36</v>
      </c>
      <c r="G18" s="223" t="s">
        <v>2</v>
      </c>
      <c r="H18" s="115" t="s">
        <v>135</v>
      </c>
      <c r="I18" s="153" t="s">
        <v>189</v>
      </c>
      <c r="J18" s="148" t="s">
        <v>407</v>
      </c>
      <c r="K18" s="26" t="s">
        <v>1556</v>
      </c>
      <c r="L18" s="41">
        <v>12</v>
      </c>
      <c r="M18" s="42">
        <v>20</v>
      </c>
      <c r="N18" s="43">
        <v>0</v>
      </c>
      <c r="O18" s="44" t="s">
        <v>190</v>
      </c>
      <c r="P18" s="31" t="s">
        <v>104</v>
      </c>
      <c r="Q18" s="31">
        <v>30</v>
      </c>
      <c r="R18" s="32" t="s">
        <v>28</v>
      </c>
      <c r="S18" s="232">
        <v>2500317000000</v>
      </c>
      <c r="T18" s="336">
        <v>12500317000007</v>
      </c>
      <c r="U18" s="46">
        <v>4630362181169</v>
      </c>
      <c r="V18" s="46">
        <v>24630362181163</v>
      </c>
      <c r="W18" s="157">
        <v>330</v>
      </c>
      <c r="X18" s="34">
        <v>100</v>
      </c>
      <c r="Y18" s="34">
        <v>85</v>
      </c>
      <c r="Z18" s="35">
        <v>1.6</v>
      </c>
      <c r="AA18" s="271">
        <v>0.01</v>
      </c>
      <c r="AB18" s="36">
        <f t="shared" ref="AB18" si="31">Z18+AA18</f>
        <v>1.61</v>
      </c>
      <c r="AC18" s="37">
        <v>338</v>
      </c>
      <c r="AD18" s="38">
        <v>188</v>
      </c>
      <c r="AE18" s="38">
        <v>178</v>
      </c>
      <c r="AF18" s="190">
        <v>4</v>
      </c>
      <c r="AG18" s="117">
        <v>600000260</v>
      </c>
      <c r="AH18" s="103">
        <f>справочники!$C$54</f>
        <v>0.17699999999999999</v>
      </c>
      <c r="AI18" s="39">
        <f t="shared" si="0"/>
        <v>6.4</v>
      </c>
      <c r="AJ18" s="121">
        <f t="shared" si="1"/>
        <v>6.617</v>
      </c>
      <c r="AK18" s="37">
        <v>12</v>
      </c>
      <c r="AL18" s="38">
        <v>8</v>
      </c>
      <c r="AM18" s="40">
        <f t="shared" ref="AM18" si="32">AK18*AL18</f>
        <v>96</v>
      </c>
      <c r="AN18" s="214">
        <f t="shared" ref="AN18" si="33">IF(D18="ШТ",кол_во_инд.__упак_к*итого_г_у,ROUNDDOWN(номин.вес_нетто_г_у__кг*итого_г_у,1))</f>
        <v>614.4</v>
      </c>
      <c r="AO18" s="204">
        <f t="shared" si="2"/>
        <v>1569</v>
      </c>
    </row>
    <row r="19" spans="1:54" s="22" customFormat="1" ht="63.75" customHeight="1" x14ac:dyDescent="0.2">
      <c r="A19" s="22">
        <f t="shared" si="3"/>
        <v>4561</v>
      </c>
      <c r="B19" s="116">
        <v>1001010014561</v>
      </c>
      <c r="C19" s="46" t="s">
        <v>316</v>
      </c>
      <c r="D19" s="23" t="s">
        <v>3</v>
      </c>
      <c r="E19" s="146" t="s">
        <v>373</v>
      </c>
      <c r="F19" s="132" t="s">
        <v>36</v>
      </c>
      <c r="G19" s="146" t="s">
        <v>6</v>
      </c>
      <c r="H19" s="115" t="s">
        <v>135</v>
      </c>
      <c r="I19" s="153" t="s">
        <v>189</v>
      </c>
      <c r="J19" s="148" t="s">
        <v>407</v>
      </c>
      <c r="K19" s="26" t="s">
        <v>546</v>
      </c>
      <c r="L19" s="41">
        <v>12</v>
      </c>
      <c r="M19" s="42">
        <v>20</v>
      </c>
      <c r="N19" s="43"/>
      <c r="O19" s="44" t="s">
        <v>190</v>
      </c>
      <c r="P19" s="31" t="s">
        <v>104</v>
      </c>
      <c r="Q19" s="31">
        <v>60</v>
      </c>
      <c r="R19" s="32" t="s">
        <v>78</v>
      </c>
      <c r="S19" s="135">
        <v>2800296000009</v>
      </c>
      <c r="T19" s="333">
        <v>12800296000006</v>
      </c>
      <c r="U19" s="46">
        <v>4630362180100</v>
      </c>
      <c r="V19" s="46">
        <v>14630362180107</v>
      </c>
      <c r="W19" s="157">
        <v>250</v>
      </c>
      <c r="X19" s="34">
        <v>90</v>
      </c>
      <c r="Y19" s="34">
        <v>90</v>
      </c>
      <c r="Z19" s="35">
        <v>1.35</v>
      </c>
      <c r="AA19" s="271">
        <v>2E-3</v>
      </c>
      <c r="AB19" s="36">
        <f t="shared" si="16"/>
        <v>1.3520000000000001</v>
      </c>
      <c r="AC19" s="37">
        <v>292</v>
      </c>
      <c r="AD19" s="38">
        <v>178</v>
      </c>
      <c r="AE19" s="38">
        <v>178</v>
      </c>
      <c r="AF19" s="190">
        <v>3</v>
      </c>
      <c r="AG19" s="117">
        <v>600000029</v>
      </c>
      <c r="AH19" s="103">
        <f>справочники!$C$21</f>
        <v>0.125</v>
      </c>
      <c r="AI19" s="39">
        <f t="shared" si="0"/>
        <v>4.05</v>
      </c>
      <c r="AJ19" s="121">
        <f t="shared" si="1"/>
        <v>4.181</v>
      </c>
      <c r="AK19" s="37">
        <v>16</v>
      </c>
      <c r="AL19" s="38">
        <v>8</v>
      </c>
      <c r="AM19" s="40">
        <f t="shared" si="17"/>
        <v>128</v>
      </c>
      <c r="AN19" s="214">
        <f t="shared" si="18"/>
        <v>518.4</v>
      </c>
      <c r="AO19" s="204">
        <f t="shared" si="2"/>
        <v>1569</v>
      </c>
    </row>
    <row r="20" spans="1:54" s="22" customFormat="1" ht="63.75" customHeight="1" x14ac:dyDescent="0.2">
      <c r="A20" s="22">
        <f t="shared" si="3"/>
        <v>7567</v>
      </c>
      <c r="B20" s="116">
        <v>1001010017567</v>
      </c>
      <c r="C20" s="46" t="s">
        <v>1712</v>
      </c>
      <c r="D20" s="23" t="s">
        <v>3</v>
      </c>
      <c r="E20" s="146" t="s">
        <v>373</v>
      </c>
      <c r="F20" s="132" t="s">
        <v>36</v>
      </c>
      <c r="G20" s="146" t="s">
        <v>6</v>
      </c>
      <c r="H20" s="115" t="s">
        <v>135</v>
      </c>
      <c r="I20" s="153" t="s">
        <v>189</v>
      </c>
      <c r="J20" s="148" t="s">
        <v>407</v>
      </c>
      <c r="K20" s="26" t="s">
        <v>546</v>
      </c>
      <c r="L20" s="41">
        <v>12</v>
      </c>
      <c r="M20" s="42">
        <v>20</v>
      </c>
      <c r="N20" s="43"/>
      <c r="O20" s="44" t="s">
        <v>190</v>
      </c>
      <c r="P20" s="31" t="s">
        <v>104</v>
      </c>
      <c r="Q20" s="31">
        <v>60</v>
      </c>
      <c r="R20" s="32" t="s">
        <v>78</v>
      </c>
      <c r="S20" s="135">
        <v>2800296000009</v>
      </c>
      <c r="T20" s="333">
        <v>12800296000006</v>
      </c>
      <c r="U20" s="46">
        <v>4630362180100</v>
      </c>
      <c r="V20" s="46">
        <v>24630362180104</v>
      </c>
      <c r="W20" s="157">
        <v>250</v>
      </c>
      <c r="X20" s="34">
        <v>90</v>
      </c>
      <c r="Y20" s="34">
        <v>90</v>
      </c>
      <c r="Z20" s="35">
        <v>1.35</v>
      </c>
      <c r="AA20" s="271">
        <v>2E-3</v>
      </c>
      <c r="AB20" s="36">
        <f t="shared" ref="AB20" si="34">Z20+AA20</f>
        <v>1.3520000000000001</v>
      </c>
      <c r="AC20" s="37">
        <v>293</v>
      </c>
      <c r="AD20" s="38">
        <v>394</v>
      </c>
      <c r="AE20" s="38">
        <v>158</v>
      </c>
      <c r="AF20" s="190">
        <v>8</v>
      </c>
      <c r="AG20" s="117">
        <v>600000607</v>
      </c>
      <c r="AH20" s="103">
        <f>справочники!$C$195</f>
        <v>0.23599999999999999</v>
      </c>
      <c r="AI20" s="39">
        <f t="shared" si="0"/>
        <v>10.8</v>
      </c>
      <c r="AJ20" s="121">
        <f t="shared" si="1"/>
        <v>11.052000000000001</v>
      </c>
      <c r="AK20" s="37">
        <v>8</v>
      </c>
      <c r="AL20" s="38">
        <v>9</v>
      </c>
      <c r="AM20" s="40">
        <f t="shared" ref="AM20" si="35">AK20*AL20</f>
        <v>72</v>
      </c>
      <c r="AN20" s="214">
        <f t="shared" ref="AN20" si="36">IF(D20="ШТ",кол_во_инд.__упак_к*итого_г_у,ROUNDDOWN(номин.вес_нетто_г_у__кг*итого_г_у,1))</f>
        <v>777.6</v>
      </c>
      <c r="AO20" s="204">
        <f t="shared" si="2"/>
        <v>1567</v>
      </c>
    </row>
    <row r="21" spans="1:54" s="22" customFormat="1" ht="204" x14ac:dyDescent="0.2">
      <c r="A21" s="22">
        <f t="shared" si="3"/>
        <v>7403</v>
      </c>
      <c r="B21" s="116">
        <v>1001010077403</v>
      </c>
      <c r="C21" s="25" t="s">
        <v>1452</v>
      </c>
      <c r="D21" s="23" t="s">
        <v>4</v>
      </c>
      <c r="E21" s="146" t="s">
        <v>373</v>
      </c>
      <c r="F21" s="132" t="s">
        <v>36</v>
      </c>
      <c r="G21" s="146" t="s">
        <v>1453</v>
      </c>
      <c r="H21" s="24" t="s">
        <v>1454</v>
      </c>
      <c r="I21" s="153" t="s">
        <v>1455</v>
      </c>
      <c r="J21" s="151" t="s">
        <v>639</v>
      </c>
      <c r="K21" s="26" t="s">
        <v>1458</v>
      </c>
      <c r="L21" s="41">
        <v>10</v>
      </c>
      <c r="M21" s="42">
        <v>11</v>
      </c>
      <c r="N21" s="43">
        <v>3</v>
      </c>
      <c r="O21" s="44" t="s">
        <v>1433</v>
      </c>
      <c r="P21" s="31" t="s">
        <v>104</v>
      </c>
      <c r="Q21" s="31">
        <v>60</v>
      </c>
      <c r="R21" s="32" t="s">
        <v>37</v>
      </c>
      <c r="S21" s="242">
        <v>4630362180353</v>
      </c>
      <c r="T21" s="335">
        <v>14630362180350</v>
      </c>
      <c r="U21" s="46">
        <v>4630362180353</v>
      </c>
      <c r="V21" s="46">
        <v>14630362180350</v>
      </c>
      <c r="W21" s="157">
        <v>190</v>
      </c>
      <c r="X21" s="34">
        <v>67</v>
      </c>
      <c r="Y21" s="34">
        <v>67</v>
      </c>
      <c r="Z21" s="35">
        <v>0.5</v>
      </c>
      <c r="AA21" s="271">
        <v>6.0000000000000001E-3</v>
      </c>
      <c r="AB21" s="36">
        <f t="shared" ref="AB21" si="37">Z21+AA21</f>
        <v>0.50600000000000001</v>
      </c>
      <c r="AC21" s="37">
        <v>278</v>
      </c>
      <c r="AD21" s="38">
        <v>193</v>
      </c>
      <c r="AE21" s="38">
        <v>138</v>
      </c>
      <c r="AF21" s="190">
        <v>8</v>
      </c>
      <c r="AG21" s="117">
        <v>600000404</v>
      </c>
      <c r="AH21" s="103">
        <f>справочники!$C$179</f>
        <v>0.13800000000000001</v>
      </c>
      <c r="AI21" s="39">
        <f t="shared" si="0"/>
        <v>4</v>
      </c>
      <c r="AJ21" s="121">
        <f t="shared" si="1"/>
        <v>4.1859999999999999</v>
      </c>
      <c r="AK21" s="37">
        <v>16</v>
      </c>
      <c r="AL21" s="38">
        <v>9</v>
      </c>
      <c r="AM21" s="40">
        <f t="shared" ref="AM21" si="38">AK21*AL21</f>
        <v>144</v>
      </c>
      <c r="AN21" s="206">
        <f t="shared" ref="AN21" si="39">IF(D21="ШТ",кол_во_инд.__упак_к*итого_г_у,ROUNDDOWN(номин.вес_нетто_г_у__кг*итого_г_у,1))</f>
        <v>1152</v>
      </c>
      <c r="AO21" s="204">
        <f t="shared" si="2"/>
        <v>1387</v>
      </c>
    </row>
    <row r="22" spans="1:54" s="22" customFormat="1" ht="204" x14ac:dyDescent="0.2">
      <c r="A22" s="22">
        <f t="shared" si="3"/>
        <v>7406</v>
      </c>
      <c r="B22" s="116">
        <v>1001010077406</v>
      </c>
      <c r="C22" s="25" t="s">
        <v>1457</v>
      </c>
      <c r="D22" s="23" t="s">
        <v>4</v>
      </c>
      <c r="E22" s="146" t="s">
        <v>373</v>
      </c>
      <c r="F22" s="132" t="s">
        <v>36</v>
      </c>
      <c r="G22" s="146" t="s">
        <v>1453</v>
      </c>
      <c r="H22" s="24" t="s">
        <v>1454</v>
      </c>
      <c r="I22" s="153" t="s">
        <v>1455</v>
      </c>
      <c r="J22" s="151" t="s">
        <v>639</v>
      </c>
      <c r="K22" s="26" t="s">
        <v>1458</v>
      </c>
      <c r="L22" s="41">
        <v>10</v>
      </c>
      <c r="M22" s="42">
        <v>11</v>
      </c>
      <c r="N22" s="43">
        <v>3</v>
      </c>
      <c r="O22" s="44" t="s">
        <v>1433</v>
      </c>
      <c r="P22" s="31" t="s">
        <v>104</v>
      </c>
      <c r="Q22" s="31">
        <v>60</v>
      </c>
      <c r="R22" s="32" t="s">
        <v>37</v>
      </c>
      <c r="S22" s="242">
        <v>4630362180360</v>
      </c>
      <c r="T22" s="335">
        <v>14630362180367</v>
      </c>
      <c r="U22" s="46">
        <v>4630362180360</v>
      </c>
      <c r="V22" s="46">
        <v>14630362180367</v>
      </c>
      <c r="W22" s="157">
        <v>250</v>
      </c>
      <c r="X22" s="34">
        <v>78</v>
      </c>
      <c r="Y22" s="34">
        <v>78</v>
      </c>
      <c r="Z22" s="35">
        <v>0.9</v>
      </c>
      <c r="AA22" s="271">
        <v>8.0000000000000002E-3</v>
      </c>
      <c r="AB22" s="36">
        <f t="shared" ref="AB22" si="40">Z22+AA22</f>
        <v>0.90800000000000003</v>
      </c>
      <c r="AC22" s="37">
        <v>292</v>
      </c>
      <c r="AD22" s="38">
        <v>178</v>
      </c>
      <c r="AE22" s="38">
        <v>178</v>
      </c>
      <c r="AF22" s="190">
        <v>4</v>
      </c>
      <c r="AG22" s="117">
        <v>600000573</v>
      </c>
      <c r="AH22" s="103">
        <f>справочники!$C$183</f>
        <v>0.15</v>
      </c>
      <c r="AI22" s="39">
        <f t="shared" si="0"/>
        <v>3.6</v>
      </c>
      <c r="AJ22" s="121">
        <f t="shared" si="1"/>
        <v>3.782</v>
      </c>
      <c r="AK22" s="37">
        <v>16</v>
      </c>
      <c r="AL22" s="38">
        <v>8</v>
      </c>
      <c r="AM22" s="40">
        <f t="shared" ref="AM22" si="41">AK22*AL22</f>
        <v>128</v>
      </c>
      <c r="AN22" s="206">
        <f t="shared" ref="AN22" si="42">IF(D22="ШТ",кол_во_инд.__упак_к*итого_г_у,ROUNDDOWN(номин.вес_нетто_г_у__кг*итого_г_у,1))</f>
        <v>512</v>
      </c>
      <c r="AO22" s="204">
        <f t="shared" si="2"/>
        <v>1569</v>
      </c>
    </row>
    <row r="23" spans="1:54" s="22" customFormat="1" ht="128.25" customHeight="1" x14ac:dyDescent="0.2">
      <c r="A23" s="22">
        <f t="shared" si="3"/>
        <v>6988</v>
      </c>
      <c r="B23" s="116">
        <v>1001010096988</v>
      </c>
      <c r="C23" s="46" t="s">
        <v>971</v>
      </c>
      <c r="D23" s="23" t="s">
        <v>3</v>
      </c>
      <c r="E23" s="146" t="s">
        <v>373</v>
      </c>
      <c r="F23" s="132" t="s">
        <v>36</v>
      </c>
      <c r="G23" s="146" t="s">
        <v>5</v>
      </c>
      <c r="H23" s="115" t="s">
        <v>135</v>
      </c>
      <c r="I23" s="153" t="s">
        <v>387</v>
      </c>
      <c r="J23" s="151" t="s">
        <v>639</v>
      </c>
      <c r="K23" s="26" t="s">
        <v>867</v>
      </c>
      <c r="L23" s="41">
        <v>9</v>
      </c>
      <c r="M23" s="42">
        <v>14</v>
      </c>
      <c r="N23" s="43">
        <v>3</v>
      </c>
      <c r="O23" s="44" t="s">
        <v>868</v>
      </c>
      <c r="P23" s="31" t="s">
        <v>104</v>
      </c>
      <c r="Q23" s="31">
        <v>45</v>
      </c>
      <c r="R23" s="32" t="s">
        <v>28</v>
      </c>
      <c r="S23" s="242">
        <v>2313712000007</v>
      </c>
      <c r="T23" s="335">
        <v>12313712000004</v>
      </c>
      <c r="U23" s="46">
        <v>4630362181176</v>
      </c>
      <c r="V23" s="46">
        <v>14630362181173</v>
      </c>
      <c r="W23" s="157">
        <v>330</v>
      </c>
      <c r="X23" s="34">
        <v>100</v>
      </c>
      <c r="Y23" s="34">
        <v>85</v>
      </c>
      <c r="Z23" s="35">
        <v>1.55</v>
      </c>
      <c r="AA23" s="271">
        <v>0.01</v>
      </c>
      <c r="AB23" s="36">
        <f>Z23+AA23</f>
        <v>1.56</v>
      </c>
      <c r="AC23" s="37">
        <v>338</v>
      </c>
      <c r="AD23" s="38">
        <v>188</v>
      </c>
      <c r="AE23" s="38">
        <v>178</v>
      </c>
      <c r="AF23" s="190">
        <v>4</v>
      </c>
      <c r="AG23" s="117">
        <v>600000260</v>
      </c>
      <c r="AH23" s="103">
        <f>справочники!$C$54</f>
        <v>0.17699999999999999</v>
      </c>
      <c r="AI23" s="39">
        <f t="shared" si="0"/>
        <v>6.2</v>
      </c>
      <c r="AJ23" s="121">
        <f t="shared" si="1"/>
        <v>6.4169999999999998</v>
      </c>
      <c r="AK23" s="37">
        <v>12</v>
      </c>
      <c r="AL23" s="38">
        <v>8</v>
      </c>
      <c r="AM23" s="40">
        <f>AK23*AL23</f>
        <v>96</v>
      </c>
      <c r="AN23" s="214">
        <f>IF(D23="ШТ",кол_во_инд.__упак_к*итого_г_у,ROUNDDOWN(номин.вес_нетто_г_у__кг*итого_г_у,1))</f>
        <v>595.20000000000005</v>
      </c>
      <c r="AO23" s="204">
        <f t="shared" si="2"/>
        <v>1569</v>
      </c>
    </row>
    <row r="24" spans="1:54" s="22" customFormat="1" ht="204" x14ac:dyDescent="0.2">
      <c r="A24" s="22">
        <f t="shared" si="3"/>
        <v>7515</v>
      </c>
      <c r="B24" s="116">
        <v>1001017437515</v>
      </c>
      <c r="C24" s="46" t="s">
        <v>1629</v>
      </c>
      <c r="D24" s="23" t="s">
        <v>3</v>
      </c>
      <c r="E24" s="146" t="s">
        <v>373</v>
      </c>
      <c r="F24" s="132" t="s">
        <v>36</v>
      </c>
      <c r="G24" s="146" t="s">
        <v>2</v>
      </c>
      <c r="H24" s="115" t="s">
        <v>135</v>
      </c>
      <c r="I24" s="153" t="s">
        <v>1566</v>
      </c>
      <c r="J24" s="151" t="s">
        <v>412</v>
      </c>
      <c r="K24" s="26" t="s">
        <v>1630</v>
      </c>
      <c r="L24" s="41">
        <v>10</v>
      </c>
      <c r="M24" s="42">
        <v>16</v>
      </c>
      <c r="N24" s="43">
        <v>4</v>
      </c>
      <c r="O24" s="44" t="s">
        <v>914</v>
      </c>
      <c r="P24" s="31" t="s">
        <v>104</v>
      </c>
      <c r="Q24" s="31">
        <v>30</v>
      </c>
      <c r="R24" s="32" t="s">
        <v>37</v>
      </c>
      <c r="S24" s="242">
        <v>2800522000001</v>
      </c>
      <c r="T24" s="335">
        <v>12800522000008</v>
      </c>
      <c r="U24" s="46">
        <v>4630362182500</v>
      </c>
      <c r="V24" s="46">
        <v>14630362182507</v>
      </c>
      <c r="W24" s="157">
        <v>330</v>
      </c>
      <c r="X24" s="34">
        <v>100</v>
      </c>
      <c r="Y24" s="34">
        <v>85</v>
      </c>
      <c r="Z24" s="35">
        <v>1.6</v>
      </c>
      <c r="AA24" s="271">
        <v>0.01</v>
      </c>
      <c r="AB24" s="36">
        <f t="shared" ref="AB24:AB25" si="43">Z24+AA24</f>
        <v>1.61</v>
      </c>
      <c r="AC24" s="37">
        <v>338</v>
      </c>
      <c r="AD24" s="38">
        <v>188</v>
      </c>
      <c r="AE24" s="38">
        <v>178</v>
      </c>
      <c r="AF24" s="190">
        <v>4</v>
      </c>
      <c r="AG24" s="117">
        <v>600000260</v>
      </c>
      <c r="AH24" s="103">
        <f>справочники!$C$54</f>
        <v>0.17699999999999999</v>
      </c>
      <c r="AI24" s="39">
        <f t="shared" si="0"/>
        <v>6.4</v>
      </c>
      <c r="AJ24" s="121">
        <f t="shared" si="1"/>
        <v>6.617</v>
      </c>
      <c r="AK24" s="37">
        <v>12</v>
      </c>
      <c r="AL24" s="38">
        <v>8</v>
      </c>
      <c r="AM24" s="40">
        <f t="shared" ref="AM24:AM25" si="44">AK24*AL24</f>
        <v>96</v>
      </c>
      <c r="AN24" s="214">
        <f t="shared" ref="AN24:AN25" si="45">IF(D24="ШТ",кол_во_инд.__упак_к*итого_г_у,ROUNDDOWN(номин.вес_нетто_г_у__кг*итого_г_у,1))</f>
        <v>614.4</v>
      </c>
      <c r="AO24" s="204">
        <f t="shared" si="2"/>
        <v>1569</v>
      </c>
    </row>
    <row r="25" spans="1:54" s="22" customFormat="1" ht="133.15" customHeight="1" x14ac:dyDescent="0.2">
      <c r="A25" s="22">
        <f t="shared" si="3"/>
        <v>7555</v>
      </c>
      <c r="B25" s="116">
        <v>1001012497555</v>
      </c>
      <c r="C25" s="25" t="s">
        <v>1743</v>
      </c>
      <c r="D25" s="23" t="s">
        <v>3</v>
      </c>
      <c r="E25" s="146" t="s">
        <v>373</v>
      </c>
      <c r="F25" s="132" t="s">
        <v>36</v>
      </c>
      <c r="G25" s="146" t="s">
        <v>2</v>
      </c>
      <c r="H25" s="24" t="s">
        <v>278</v>
      </c>
      <c r="I25" s="153" t="s">
        <v>1566</v>
      </c>
      <c r="J25" s="151" t="s">
        <v>412</v>
      </c>
      <c r="K25" s="26" t="s">
        <v>1448</v>
      </c>
      <c r="L25" s="27">
        <v>11</v>
      </c>
      <c r="M25" s="28">
        <v>16</v>
      </c>
      <c r="N25" s="29">
        <v>4</v>
      </c>
      <c r="O25" s="30" t="s">
        <v>1449</v>
      </c>
      <c r="P25" s="31" t="s">
        <v>104</v>
      </c>
      <c r="Q25" s="31">
        <v>30</v>
      </c>
      <c r="R25" s="32" t="s">
        <v>28</v>
      </c>
      <c r="S25" s="242">
        <v>2800243000007</v>
      </c>
      <c r="T25" s="335">
        <v>12800243000004</v>
      </c>
      <c r="U25" s="46">
        <v>4630362182531</v>
      </c>
      <c r="V25" s="46">
        <v>14630362182538</v>
      </c>
      <c r="W25" s="157">
        <v>365</v>
      </c>
      <c r="X25" s="34">
        <v>220</v>
      </c>
      <c r="Y25" s="34">
        <v>110</v>
      </c>
      <c r="Z25" s="35">
        <v>1.5</v>
      </c>
      <c r="AA25" s="271">
        <v>0.01</v>
      </c>
      <c r="AB25" s="36">
        <f t="shared" si="43"/>
        <v>1.51</v>
      </c>
      <c r="AC25" s="37">
        <v>292</v>
      </c>
      <c r="AD25" s="38">
        <v>178</v>
      </c>
      <c r="AE25" s="38">
        <v>178</v>
      </c>
      <c r="AF25" s="190">
        <v>2</v>
      </c>
      <c r="AG25" s="117">
        <v>600000029</v>
      </c>
      <c r="AH25" s="103">
        <f>справочники!$C$21</f>
        <v>0.125</v>
      </c>
      <c r="AI25" s="39">
        <f t="shared" si="0"/>
        <v>3</v>
      </c>
      <c r="AJ25" s="121">
        <f t="shared" si="1"/>
        <v>3.145</v>
      </c>
      <c r="AK25" s="37">
        <v>16</v>
      </c>
      <c r="AL25" s="38">
        <v>8</v>
      </c>
      <c r="AM25" s="40">
        <f t="shared" si="44"/>
        <v>128</v>
      </c>
      <c r="AN25" s="214">
        <f t="shared" si="45"/>
        <v>384</v>
      </c>
      <c r="AO25" s="204">
        <f t="shared" si="2"/>
        <v>1569</v>
      </c>
    </row>
    <row r="26" spans="1:54" s="22" customFormat="1" ht="191.25" x14ac:dyDescent="0.2">
      <c r="A26" s="22">
        <f t="shared" si="3"/>
        <v>6325</v>
      </c>
      <c r="B26" s="116">
        <v>1001010106325</v>
      </c>
      <c r="C26" s="25" t="s">
        <v>225</v>
      </c>
      <c r="D26" s="23" t="s">
        <v>4</v>
      </c>
      <c r="E26" s="146" t="s">
        <v>373</v>
      </c>
      <c r="F26" s="132" t="s">
        <v>36</v>
      </c>
      <c r="G26" s="146" t="s">
        <v>6</v>
      </c>
      <c r="H26" s="24" t="s">
        <v>194</v>
      </c>
      <c r="I26" s="153" t="s">
        <v>1566</v>
      </c>
      <c r="J26" s="148" t="s">
        <v>408</v>
      </c>
      <c r="K26" s="26" t="s">
        <v>1437</v>
      </c>
      <c r="L26" s="41">
        <v>11</v>
      </c>
      <c r="M26" s="42">
        <v>16</v>
      </c>
      <c r="N26" s="43">
        <v>3</v>
      </c>
      <c r="O26" s="44" t="s">
        <v>914</v>
      </c>
      <c r="P26" s="31" t="s">
        <v>104</v>
      </c>
      <c r="Q26" s="31">
        <v>60</v>
      </c>
      <c r="R26" s="32" t="s">
        <v>37</v>
      </c>
      <c r="S26" s="233">
        <v>4607958072682</v>
      </c>
      <c r="T26" s="334">
        <v>14607958072689</v>
      </c>
      <c r="U26" s="46">
        <v>4607958072682</v>
      </c>
      <c r="V26" s="46">
        <v>14607958072689</v>
      </c>
      <c r="W26" s="157">
        <v>160</v>
      </c>
      <c r="X26" s="34">
        <v>67</v>
      </c>
      <c r="Y26" s="34">
        <v>67</v>
      </c>
      <c r="Z26" s="35">
        <v>0.4</v>
      </c>
      <c r="AA26" s="271">
        <v>2E-3</v>
      </c>
      <c r="AB26" s="36">
        <f t="shared" si="16"/>
        <v>0.40200000000000002</v>
      </c>
      <c r="AC26" s="59">
        <v>318</v>
      </c>
      <c r="AD26" s="60">
        <v>143</v>
      </c>
      <c r="AE26" s="60">
        <v>138</v>
      </c>
      <c r="AF26" s="191">
        <v>8</v>
      </c>
      <c r="AG26" s="117">
        <v>600000407</v>
      </c>
      <c r="AH26" s="104">
        <f>справочники!$C$106</f>
        <v>9.4E-2</v>
      </c>
      <c r="AI26" s="39">
        <f t="shared" si="0"/>
        <v>3.2</v>
      </c>
      <c r="AJ26" s="121">
        <f t="shared" si="1"/>
        <v>3.31</v>
      </c>
      <c r="AK26" s="37">
        <v>19</v>
      </c>
      <c r="AL26" s="38">
        <v>11</v>
      </c>
      <c r="AM26" s="40">
        <f t="shared" si="17"/>
        <v>209</v>
      </c>
      <c r="AN26" s="206">
        <f t="shared" si="18"/>
        <v>1672</v>
      </c>
      <c r="AO26" s="204">
        <f t="shared" si="2"/>
        <v>1663</v>
      </c>
    </row>
    <row r="27" spans="1:54" s="22" customFormat="1" ht="115.5" customHeight="1" x14ac:dyDescent="0.2">
      <c r="A27" s="22">
        <f t="shared" si="3"/>
        <v>8014</v>
      </c>
      <c r="B27" s="116">
        <v>1001010108014</v>
      </c>
      <c r="C27" s="25" t="s">
        <v>211</v>
      </c>
      <c r="D27" s="23" t="s">
        <v>3</v>
      </c>
      <c r="E27" s="146" t="s">
        <v>373</v>
      </c>
      <c r="F27" s="132" t="s">
        <v>36</v>
      </c>
      <c r="G27" s="146" t="s">
        <v>6</v>
      </c>
      <c r="H27" s="24" t="s">
        <v>135</v>
      </c>
      <c r="I27" s="153" t="s">
        <v>380</v>
      </c>
      <c r="J27" s="148" t="s">
        <v>408</v>
      </c>
      <c r="K27" s="26" t="s">
        <v>1335</v>
      </c>
      <c r="L27" s="41">
        <v>10</v>
      </c>
      <c r="M27" s="42">
        <v>19</v>
      </c>
      <c r="N27" s="43">
        <v>1</v>
      </c>
      <c r="O27" s="44" t="s">
        <v>1336</v>
      </c>
      <c r="P27" s="31" t="s">
        <v>104</v>
      </c>
      <c r="Q27" s="31">
        <v>60</v>
      </c>
      <c r="R27" s="32" t="s">
        <v>78</v>
      </c>
      <c r="S27" s="242">
        <v>2727916000006</v>
      </c>
      <c r="T27" s="335">
        <v>12727916000003</v>
      </c>
      <c r="U27" s="46">
        <v>4630362181190</v>
      </c>
      <c r="V27" s="46">
        <v>14630362181197</v>
      </c>
      <c r="W27" s="157">
        <v>250</v>
      </c>
      <c r="X27" s="34">
        <v>88</v>
      </c>
      <c r="Y27" s="34">
        <v>88</v>
      </c>
      <c r="Z27" s="35">
        <v>1.35</v>
      </c>
      <c r="AA27" s="271">
        <v>2E-3</v>
      </c>
      <c r="AB27" s="36">
        <f t="shared" si="16"/>
        <v>1.3520000000000001</v>
      </c>
      <c r="AC27" s="37">
        <v>292</v>
      </c>
      <c r="AD27" s="38">
        <v>178</v>
      </c>
      <c r="AE27" s="38">
        <v>178</v>
      </c>
      <c r="AF27" s="190">
        <v>4</v>
      </c>
      <c r="AG27" s="117">
        <v>600000029</v>
      </c>
      <c r="AH27" s="103">
        <f>справочники!$C$21</f>
        <v>0.125</v>
      </c>
      <c r="AI27" s="39">
        <f t="shared" si="0"/>
        <v>5.4</v>
      </c>
      <c r="AJ27" s="121">
        <f t="shared" si="1"/>
        <v>5.5330000000000004</v>
      </c>
      <c r="AK27" s="37">
        <v>16</v>
      </c>
      <c r="AL27" s="38">
        <v>8</v>
      </c>
      <c r="AM27" s="40">
        <f t="shared" si="17"/>
        <v>128</v>
      </c>
      <c r="AN27" s="214">
        <f t="shared" si="18"/>
        <v>691.2</v>
      </c>
      <c r="AO27" s="204">
        <f t="shared" si="2"/>
        <v>1569</v>
      </c>
    </row>
    <row r="28" spans="1:54" s="22" customFormat="1" ht="128.25" customHeight="1" x14ac:dyDescent="0.2">
      <c r="A28" s="22">
        <f t="shared" si="3"/>
        <v>7602</v>
      </c>
      <c r="B28" s="116">
        <v>1001010117602</v>
      </c>
      <c r="C28" s="46" t="s">
        <v>1780</v>
      </c>
      <c r="D28" s="23" t="s">
        <v>4</v>
      </c>
      <c r="E28" s="146" t="s">
        <v>373</v>
      </c>
      <c r="F28" s="132" t="s">
        <v>36</v>
      </c>
      <c r="G28" s="146" t="s">
        <v>6</v>
      </c>
      <c r="H28" s="115" t="s">
        <v>1</v>
      </c>
      <c r="I28" s="153" t="s">
        <v>1936</v>
      </c>
      <c r="J28" s="151" t="s">
        <v>639</v>
      </c>
      <c r="K28" s="26" t="s">
        <v>1781</v>
      </c>
      <c r="L28" s="41">
        <v>10</v>
      </c>
      <c r="M28" s="42">
        <v>15</v>
      </c>
      <c r="N28" s="43">
        <v>2</v>
      </c>
      <c r="O28" s="44" t="s">
        <v>617</v>
      </c>
      <c r="P28" s="31" t="s">
        <v>104</v>
      </c>
      <c r="Q28" s="31">
        <v>45</v>
      </c>
      <c r="R28" s="32" t="s">
        <v>28</v>
      </c>
      <c r="S28" s="242">
        <v>4630362182357</v>
      </c>
      <c r="T28" s="335">
        <v>14630362182354</v>
      </c>
      <c r="U28" s="46">
        <v>4630362182357</v>
      </c>
      <c r="V28" s="46">
        <v>14630362182354</v>
      </c>
      <c r="W28" s="157">
        <v>210</v>
      </c>
      <c r="X28" s="34">
        <v>100</v>
      </c>
      <c r="Y28" s="34">
        <v>60</v>
      </c>
      <c r="Z28" s="35">
        <v>0.6</v>
      </c>
      <c r="AA28" s="271">
        <v>7.0000000000000001E-3</v>
      </c>
      <c r="AB28" s="36">
        <f>Z28+AA28</f>
        <v>0.60699999999999998</v>
      </c>
      <c r="AC28" s="59">
        <v>230</v>
      </c>
      <c r="AD28" s="60">
        <v>216</v>
      </c>
      <c r="AE28" s="60">
        <v>138</v>
      </c>
      <c r="AF28" s="190">
        <v>6</v>
      </c>
      <c r="AG28" s="117">
        <v>600000390</v>
      </c>
      <c r="AH28" s="103">
        <f>справочники!$C$90</f>
        <v>0.14699999999999999</v>
      </c>
      <c r="AI28" s="39">
        <f t="shared" si="0"/>
        <v>3.6</v>
      </c>
      <c r="AJ28" s="121">
        <f t="shared" si="1"/>
        <v>3.7889999999999997</v>
      </c>
      <c r="AK28" s="37">
        <v>15</v>
      </c>
      <c r="AL28" s="38">
        <v>11</v>
      </c>
      <c r="AM28" s="40">
        <f>AK28*AL28</f>
        <v>165</v>
      </c>
      <c r="AN28" s="206">
        <f>IF(D28="ШТ",кол_во_инд.__упак_к*итого_г_у,ROUNDDOWN(номин.вес_нетто_г_у__кг*итого_г_у,1))</f>
        <v>990</v>
      </c>
      <c r="AO28" s="204">
        <f t="shared" si="2"/>
        <v>1663</v>
      </c>
    </row>
    <row r="29" spans="1:54" s="22" customFormat="1" ht="129" customHeight="1" x14ac:dyDescent="0.2">
      <c r="A29" s="22">
        <f t="shared" si="3"/>
        <v>6861</v>
      </c>
      <c r="B29" s="116">
        <v>1001015646861</v>
      </c>
      <c r="C29" s="25" t="s">
        <v>862</v>
      </c>
      <c r="D29" s="23" t="s">
        <v>3</v>
      </c>
      <c r="E29" s="146" t="s">
        <v>373</v>
      </c>
      <c r="F29" s="132" t="s">
        <v>36</v>
      </c>
      <c r="G29" s="146" t="s">
        <v>5</v>
      </c>
      <c r="H29" s="24" t="s">
        <v>135</v>
      </c>
      <c r="I29" s="153" t="s">
        <v>387</v>
      </c>
      <c r="J29" s="151" t="s">
        <v>639</v>
      </c>
      <c r="K29" s="26" t="s">
        <v>861</v>
      </c>
      <c r="L29" s="41">
        <v>7</v>
      </c>
      <c r="M29" s="42">
        <v>16</v>
      </c>
      <c r="N29" s="43"/>
      <c r="O29" s="44" t="s">
        <v>289</v>
      </c>
      <c r="P29" s="31" t="s">
        <v>104</v>
      </c>
      <c r="Q29" s="31">
        <v>60</v>
      </c>
      <c r="R29" s="32" t="s">
        <v>78</v>
      </c>
      <c r="S29" s="242">
        <v>2100653000001</v>
      </c>
      <c r="T29" s="335">
        <v>12100653000008</v>
      </c>
      <c r="U29" s="46">
        <v>4630362181213</v>
      </c>
      <c r="V29" s="46">
        <v>14630362181210</v>
      </c>
      <c r="W29" s="157">
        <v>350</v>
      </c>
      <c r="X29" s="34">
        <v>97</v>
      </c>
      <c r="Y29" s="34">
        <v>97</v>
      </c>
      <c r="Z29" s="35">
        <v>1.95</v>
      </c>
      <c r="AA29" s="271">
        <v>5.0000000000000001E-3</v>
      </c>
      <c r="AB29" s="36">
        <f t="shared" si="16"/>
        <v>1.9549999999999998</v>
      </c>
      <c r="AC29" s="37">
        <v>368</v>
      </c>
      <c r="AD29" s="38">
        <v>238</v>
      </c>
      <c r="AE29" s="38">
        <v>128</v>
      </c>
      <c r="AF29" s="190">
        <v>2</v>
      </c>
      <c r="AG29" s="117">
        <v>600000025</v>
      </c>
      <c r="AH29" s="103">
        <f>справочники!$C$17</f>
        <v>0.17499999999999999</v>
      </c>
      <c r="AI29" s="39">
        <f t="shared" si="0"/>
        <v>3.9</v>
      </c>
      <c r="AJ29" s="121">
        <f t="shared" si="1"/>
        <v>4.085</v>
      </c>
      <c r="AK29" s="37">
        <v>10</v>
      </c>
      <c r="AL29" s="38">
        <v>12</v>
      </c>
      <c r="AM29" s="40">
        <f t="shared" si="17"/>
        <v>120</v>
      </c>
      <c r="AN29" s="214">
        <f t="shared" si="18"/>
        <v>468</v>
      </c>
      <c r="AO29" s="204">
        <f t="shared" si="2"/>
        <v>1681</v>
      </c>
      <c r="AP29" s="9"/>
      <c r="AQ29" s="9"/>
      <c r="AR29" s="9"/>
      <c r="AS29" s="9"/>
      <c r="AT29" s="9"/>
      <c r="AU29" s="9"/>
      <c r="AV29" s="9"/>
      <c r="AW29" s="9"/>
      <c r="AX29" s="9"/>
      <c r="AY29" s="9"/>
      <c r="AZ29" s="9"/>
      <c r="BA29" s="9"/>
      <c r="BB29" s="9"/>
    </row>
    <row r="30" spans="1:54" s="22" customFormat="1" ht="127.5" customHeight="1" x14ac:dyDescent="0.2">
      <c r="A30" s="22">
        <f t="shared" si="3"/>
        <v>6340</v>
      </c>
      <c r="B30" s="116">
        <v>1001012816340</v>
      </c>
      <c r="C30" s="25" t="s">
        <v>863</v>
      </c>
      <c r="D30" s="23" t="s">
        <v>4</v>
      </c>
      <c r="E30" s="146" t="s">
        <v>373</v>
      </c>
      <c r="F30" s="132" t="s">
        <v>36</v>
      </c>
      <c r="G30" s="146" t="s">
        <v>5</v>
      </c>
      <c r="H30" s="24" t="s">
        <v>135</v>
      </c>
      <c r="I30" s="153" t="s">
        <v>387</v>
      </c>
      <c r="J30" s="151" t="s">
        <v>639</v>
      </c>
      <c r="K30" s="26" t="s">
        <v>861</v>
      </c>
      <c r="L30" s="41">
        <v>7</v>
      </c>
      <c r="M30" s="42">
        <v>16</v>
      </c>
      <c r="N30" s="43">
        <v>4</v>
      </c>
      <c r="O30" s="44" t="s">
        <v>281</v>
      </c>
      <c r="P30" s="31" t="s">
        <v>104</v>
      </c>
      <c r="Q30" s="31">
        <v>60</v>
      </c>
      <c r="R30" s="32" t="s">
        <v>78</v>
      </c>
      <c r="S30" s="242">
        <v>4607958077816</v>
      </c>
      <c r="T30" s="335">
        <v>14607958077813</v>
      </c>
      <c r="U30" s="46">
        <v>4607958077816</v>
      </c>
      <c r="V30" s="46">
        <v>14607958077813</v>
      </c>
      <c r="W30" s="157">
        <v>190</v>
      </c>
      <c r="X30" s="34">
        <v>67</v>
      </c>
      <c r="Y30" s="34">
        <v>67</v>
      </c>
      <c r="Z30" s="35">
        <v>0.5</v>
      </c>
      <c r="AA30" s="271">
        <v>3.0000000000000001E-3</v>
      </c>
      <c r="AB30" s="36">
        <f t="shared" si="16"/>
        <v>0.503</v>
      </c>
      <c r="AC30" s="37">
        <v>278</v>
      </c>
      <c r="AD30" s="38">
        <v>193</v>
      </c>
      <c r="AE30" s="38">
        <v>138</v>
      </c>
      <c r="AF30" s="190">
        <v>8</v>
      </c>
      <c r="AG30" s="117">
        <v>600000404</v>
      </c>
      <c r="AH30" s="103">
        <f>справочники!$C$101</f>
        <v>0.105</v>
      </c>
      <c r="AI30" s="39">
        <f t="shared" si="0"/>
        <v>4</v>
      </c>
      <c r="AJ30" s="121">
        <f t="shared" si="1"/>
        <v>4.1290000000000004</v>
      </c>
      <c r="AK30" s="37">
        <v>16</v>
      </c>
      <c r="AL30" s="38">
        <v>9</v>
      </c>
      <c r="AM30" s="40">
        <f t="shared" si="17"/>
        <v>144</v>
      </c>
      <c r="AN30" s="206">
        <f t="shared" si="18"/>
        <v>1152</v>
      </c>
      <c r="AO30" s="204">
        <f t="shared" si="2"/>
        <v>1387</v>
      </c>
    </row>
    <row r="31" spans="1:54" s="22" customFormat="1" ht="191.25" x14ac:dyDescent="0.2">
      <c r="A31" s="22">
        <f t="shared" si="3"/>
        <v>6862</v>
      </c>
      <c r="B31" s="116">
        <v>1001015706862</v>
      </c>
      <c r="C31" s="25" t="s">
        <v>864</v>
      </c>
      <c r="D31" s="23" t="s">
        <v>3</v>
      </c>
      <c r="E31" s="146" t="s">
        <v>373</v>
      </c>
      <c r="F31" s="132" t="s">
        <v>36</v>
      </c>
      <c r="G31" s="146" t="s">
        <v>5</v>
      </c>
      <c r="H31" s="24" t="s">
        <v>135</v>
      </c>
      <c r="I31" s="153" t="s">
        <v>387</v>
      </c>
      <c r="J31" s="151" t="s">
        <v>639</v>
      </c>
      <c r="K31" s="26" t="s">
        <v>866</v>
      </c>
      <c r="L31" s="41">
        <v>9</v>
      </c>
      <c r="M31" s="42">
        <v>14</v>
      </c>
      <c r="N31" s="43">
        <v>3</v>
      </c>
      <c r="O31" s="44" t="s">
        <v>282</v>
      </c>
      <c r="P31" s="31" t="s">
        <v>104</v>
      </c>
      <c r="Q31" s="31">
        <v>60</v>
      </c>
      <c r="R31" s="32" t="s">
        <v>78</v>
      </c>
      <c r="S31" s="242">
        <v>2800746000009</v>
      </c>
      <c r="T31" s="335">
        <v>12800746000006</v>
      </c>
      <c r="U31" s="46">
        <v>4630362181220</v>
      </c>
      <c r="V31" s="46">
        <v>14630362181227</v>
      </c>
      <c r="W31" s="157">
        <v>350</v>
      </c>
      <c r="X31" s="34">
        <v>97</v>
      </c>
      <c r="Y31" s="34">
        <v>97</v>
      </c>
      <c r="Z31" s="35">
        <v>1.95</v>
      </c>
      <c r="AA31" s="271">
        <v>5.0000000000000001E-3</v>
      </c>
      <c r="AB31" s="36">
        <f t="shared" si="16"/>
        <v>1.9549999999999998</v>
      </c>
      <c r="AC31" s="37">
        <v>368</v>
      </c>
      <c r="AD31" s="38">
        <v>238</v>
      </c>
      <c r="AE31" s="38">
        <v>128</v>
      </c>
      <c r="AF31" s="190">
        <v>2</v>
      </c>
      <c r="AG31" s="117">
        <v>600000025</v>
      </c>
      <c r="AH31" s="103">
        <f>справочники!$C$17</f>
        <v>0.17499999999999999</v>
      </c>
      <c r="AI31" s="39">
        <f t="shared" si="0"/>
        <v>3.9</v>
      </c>
      <c r="AJ31" s="121">
        <f t="shared" si="1"/>
        <v>4.085</v>
      </c>
      <c r="AK31" s="37">
        <v>10</v>
      </c>
      <c r="AL31" s="38">
        <v>12</v>
      </c>
      <c r="AM31" s="40">
        <f t="shared" si="17"/>
        <v>120</v>
      </c>
      <c r="AN31" s="214">
        <f t="shared" si="18"/>
        <v>468</v>
      </c>
      <c r="AO31" s="204">
        <f t="shared" si="2"/>
        <v>1681</v>
      </c>
    </row>
    <row r="32" spans="1:54" s="22" customFormat="1" ht="191.25" x14ac:dyDescent="0.2">
      <c r="A32" s="22">
        <f t="shared" si="3"/>
        <v>6341</v>
      </c>
      <c r="B32" s="116">
        <v>1001012816341</v>
      </c>
      <c r="C32" s="25" t="s">
        <v>865</v>
      </c>
      <c r="D32" s="23" t="s">
        <v>4</v>
      </c>
      <c r="E32" s="146" t="s">
        <v>373</v>
      </c>
      <c r="F32" s="132" t="s">
        <v>36</v>
      </c>
      <c r="G32" s="146" t="s">
        <v>5</v>
      </c>
      <c r="H32" s="24" t="s">
        <v>135</v>
      </c>
      <c r="I32" s="153" t="s">
        <v>387</v>
      </c>
      <c r="J32" s="151" t="s">
        <v>639</v>
      </c>
      <c r="K32" s="26" t="s">
        <v>866</v>
      </c>
      <c r="L32" s="41">
        <v>9</v>
      </c>
      <c r="M32" s="42">
        <v>14</v>
      </c>
      <c r="N32" s="43">
        <v>3</v>
      </c>
      <c r="O32" s="44" t="s">
        <v>282</v>
      </c>
      <c r="P32" s="31" t="s">
        <v>104</v>
      </c>
      <c r="Q32" s="31">
        <v>60</v>
      </c>
      <c r="R32" s="32" t="s">
        <v>78</v>
      </c>
      <c r="S32" s="242">
        <v>4607958077823</v>
      </c>
      <c r="T32" s="335">
        <v>14607958077820</v>
      </c>
      <c r="U32" s="46">
        <v>4607958077823</v>
      </c>
      <c r="V32" s="46">
        <v>14607958077820</v>
      </c>
      <c r="W32" s="157">
        <v>190</v>
      </c>
      <c r="X32" s="34">
        <v>67</v>
      </c>
      <c r="Y32" s="34">
        <v>67</v>
      </c>
      <c r="Z32" s="35">
        <v>0.5</v>
      </c>
      <c r="AA32" s="271">
        <v>3.0000000000000001E-3</v>
      </c>
      <c r="AB32" s="36">
        <f t="shared" si="16"/>
        <v>0.503</v>
      </c>
      <c r="AC32" s="37">
        <v>278</v>
      </c>
      <c r="AD32" s="38">
        <v>193</v>
      </c>
      <c r="AE32" s="38">
        <v>138</v>
      </c>
      <c r="AF32" s="190">
        <v>8</v>
      </c>
      <c r="AG32" s="117">
        <v>600000404</v>
      </c>
      <c r="AH32" s="103">
        <f>справочники!$C$101</f>
        <v>0.105</v>
      </c>
      <c r="AI32" s="39">
        <f t="shared" si="0"/>
        <v>4</v>
      </c>
      <c r="AJ32" s="121">
        <f t="shared" si="1"/>
        <v>4.1290000000000004</v>
      </c>
      <c r="AK32" s="37">
        <v>16</v>
      </c>
      <c r="AL32" s="38">
        <v>9</v>
      </c>
      <c r="AM32" s="40">
        <f t="shared" si="17"/>
        <v>144</v>
      </c>
      <c r="AN32" s="206">
        <f t="shared" si="18"/>
        <v>1152</v>
      </c>
      <c r="AO32" s="204">
        <f t="shared" si="2"/>
        <v>1387</v>
      </c>
    </row>
    <row r="33" spans="1:41" s="22" customFormat="1" ht="191.25" x14ac:dyDescent="0.2">
      <c r="A33" s="22">
        <f t="shared" si="3"/>
        <v>6841</v>
      </c>
      <c r="B33" s="116">
        <v>1001011086841</v>
      </c>
      <c r="C33" s="46" t="s">
        <v>822</v>
      </c>
      <c r="D33" s="23" t="s">
        <v>3</v>
      </c>
      <c r="E33" s="146" t="s">
        <v>373</v>
      </c>
      <c r="F33" s="132" t="s">
        <v>36</v>
      </c>
      <c r="G33" s="146" t="s">
        <v>6</v>
      </c>
      <c r="H33" s="24" t="s">
        <v>1</v>
      </c>
      <c r="I33" s="153" t="s">
        <v>1566</v>
      </c>
      <c r="J33" s="149" t="s">
        <v>408</v>
      </c>
      <c r="K33" s="26" t="s">
        <v>1609</v>
      </c>
      <c r="L33" s="27">
        <v>10</v>
      </c>
      <c r="M33" s="28">
        <v>26</v>
      </c>
      <c r="N33" s="29">
        <v>4</v>
      </c>
      <c r="O33" s="30" t="s">
        <v>669</v>
      </c>
      <c r="P33" s="31" t="s">
        <v>104</v>
      </c>
      <c r="Q33" s="31">
        <v>30</v>
      </c>
      <c r="R33" s="32" t="s">
        <v>37</v>
      </c>
      <c r="S33" s="135">
        <v>2100375000006</v>
      </c>
      <c r="T33" s="333">
        <v>12100375000003</v>
      </c>
      <c r="U33" s="46">
        <v>4630362181237</v>
      </c>
      <c r="V33" s="46">
        <v>14630362181234</v>
      </c>
      <c r="W33" s="157">
        <v>300</v>
      </c>
      <c r="X33" s="34">
        <v>190</v>
      </c>
      <c r="Y33" s="34">
        <v>80</v>
      </c>
      <c r="Z33" s="35">
        <v>1.05</v>
      </c>
      <c r="AA33" s="271">
        <v>1.4E-2</v>
      </c>
      <c r="AB33" s="36">
        <f t="shared" si="16"/>
        <v>1.0640000000000001</v>
      </c>
      <c r="AC33" s="37">
        <v>292</v>
      </c>
      <c r="AD33" s="38">
        <v>178</v>
      </c>
      <c r="AE33" s="38">
        <v>178</v>
      </c>
      <c r="AF33" s="190">
        <v>3</v>
      </c>
      <c r="AG33" s="117">
        <v>600000029</v>
      </c>
      <c r="AH33" s="103">
        <f>справочники!$C$21</f>
        <v>0.125</v>
      </c>
      <c r="AI33" s="39">
        <f t="shared" si="0"/>
        <v>3.15</v>
      </c>
      <c r="AJ33" s="121">
        <f t="shared" si="1"/>
        <v>3.3170000000000002</v>
      </c>
      <c r="AK33" s="37">
        <v>16</v>
      </c>
      <c r="AL33" s="38">
        <v>8</v>
      </c>
      <c r="AM33" s="40">
        <f t="shared" si="17"/>
        <v>128</v>
      </c>
      <c r="AN33" s="214">
        <f t="shared" si="18"/>
        <v>403.2</v>
      </c>
      <c r="AO33" s="204">
        <f t="shared" si="2"/>
        <v>1569</v>
      </c>
    </row>
    <row r="34" spans="1:41" s="22" customFormat="1" ht="191.25" x14ac:dyDescent="0.2">
      <c r="A34" s="22">
        <f t="shared" si="3"/>
        <v>7512</v>
      </c>
      <c r="B34" s="116">
        <v>1001016997512</v>
      </c>
      <c r="C34" s="46" t="s">
        <v>1769</v>
      </c>
      <c r="D34" s="23" t="s">
        <v>3</v>
      </c>
      <c r="E34" s="146" t="s">
        <v>373</v>
      </c>
      <c r="F34" s="132" t="s">
        <v>36</v>
      </c>
      <c r="G34" s="146" t="s">
        <v>2</v>
      </c>
      <c r="H34" s="24" t="s">
        <v>278</v>
      </c>
      <c r="I34" s="153" t="s">
        <v>1566</v>
      </c>
      <c r="J34" s="149" t="s">
        <v>408</v>
      </c>
      <c r="K34" s="26" t="s">
        <v>1609</v>
      </c>
      <c r="L34" s="27">
        <v>10</v>
      </c>
      <c r="M34" s="28">
        <v>26</v>
      </c>
      <c r="N34" s="29">
        <v>4</v>
      </c>
      <c r="O34" s="30" t="s">
        <v>669</v>
      </c>
      <c r="P34" s="31" t="s">
        <v>104</v>
      </c>
      <c r="Q34" s="31">
        <v>30</v>
      </c>
      <c r="R34" s="32" t="s">
        <v>37</v>
      </c>
      <c r="S34" s="135">
        <v>2800031000004</v>
      </c>
      <c r="T34" s="333">
        <v>12800031000001</v>
      </c>
      <c r="U34" s="46">
        <v>4630362182661</v>
      </c>
      <c r="V34" s="46">
        <v>14630362182668</v>
      </c>
      <c r="W34" s="157">
        <v>300</v>
      </c>
      <c r="X34" s="34">
        <v>190</v>
      </c>
      <c r="Y34" s="34">
        <v>80</v>
      </c>
      <c r="Z34" s="35">
        <v>1</v>
      </c>
      <c r="AA34" s="271">
        <v>1.4E-2</v>
      </c>
      <c r="AB34" s="36">
        <f t="shared" ref="AB34" si="46">Z34+AA34</f>
        <v>1.014</v>
      </c>
      <c r="AC34" s="37">
        <v>292</v>
      </c>
      <c r="AD34" s="38">
        <v>178</v>
      </c>
      <c r="AE34" s="38">
        <v>178</v>
      </c>
      <c r="AF34" s="190">
        <v>3</v>
      </c>
      <c r="AG34" s="117">
        <v>600000029</v>
      </c>
      <c r="AH34" s="103">
        <f>справочники!$C$21</f>
        <v>0.125</v>
      </c>
      <c r="AI34" s="39">
        <f t="shared" si="0"/>
        <v>3</v>
      </c>
      <c r="AJ34" s="121">
        <f t="shared" si="1"/>
        <v>3.1669999999999998</v>
      </c>
      <c r="AK34" s="37">
        <v>16</v>
      </c>
      <c r="AL34" s="38">
        <v>8</v>
      </c>
      <c r="AM34" s="40">
        <f t="shared" ref="AM34" si="47">AK34*AL34</f>
        <v>128</v>
      </c>
      <c r="AN34" s="214">
        <f t="shared" ref="AN34" si="48">IF(D34="ШТ",кол_во_инд.__упак_к*итого_г_у,ROUNDDOWN(номин.вес_нетто_г_у__кг*итого_г_у,1))</f>
        <v>384</v>
      </c>
      <c r="AO34" s="204">
        <f t="shared" si="2"/>
        <v>1569</v>
      </c>
    </row>
    <row r="35" spans="1:41" s="22" customFormat="1" ht="191.25" x14ac:dyDescent="0.2">
      <c r="A35" s="22">
        <f t="shared" si="3"/>
        <v>3214</v>
      </c>
      <c r="B35" s="116">
        <v>1001013643214</v>
      </c>
      <c r="C35" s="46" t="s">
        <v>1886</v>
      </c>
      <c r="D35" s="23" t="s">
        <v>3</v>
      </c>
      <c r="E35" s="146" t="s">
        <v>373</v>
      </c>
      <c r="F35" s="132" t="s">
        <v>36</v>
      </c>
      <c r="G35" s="146" t="s">
        <v>6</v>
      </c>
      <c r="H35" s="24" t="s">
        <v>278</v>
      </c>
      <c r="I35" s="153" t="s">
        <v>1566</v>
      </c>
      <c r="J35" s="149" t="s">
        <v>408</v>
      </c>
      <c r="K35" s="26" t="s">
        <v>1609</v>
      </c>
      <c r="L35" s="27">
        <v>10</v>
      </c>
      <c r="M35" s="28">
        <v>26</v>
      </c>
      <c r="N35" s="29">
        <v>4</v>
      </c>
      <c r="O35" s="30" t="s">
        <v>669</v>
      </c>
      <c r="P35" s="31" t="s">
        <v>104</v>
      </c>
      <c r="Q35" s="31">
        <v>30</v>
      </c>
      <c r="R35" s="32" t="s">
        <v>37</v>
      </c>
      <c r="S35" s="135">
        <v>2800845000009</v>
      </c>
      <c r="T35" s="333">
        <v>12800845000006</v>
      </c>
      <c r="U35" s="46"/>
      <c r="V35" s="46"/>
      <c r="W35" s="157">
        <v>300</v>
      </c>
      <c r="X35" s="34">
        <v>190</v>
      </c>
      <c r="Y35" s="34">
        <v>80</v>
      </c>
      <c r="Z35" s="35">
        <v>1</v>
      </c>
      <c r="AA35" s="271">
        <v>1.4E-2</v>
      </c>
      <c r="AB35" s="36">
        <f t="shared" ref="AB35" si="49">Z35+AA35</f>
        <v>1.014</v>
      </c>
      <c r="AC35" s="37">
        <v>292</v>
      </c>
      <c r="AD35" s="38">
        <v>178</v>
      </c>
      <c r="AE35" s="38">
        <v>178</v>
      </c>
      <c r="AF35" s="190">
        <v>3</v>
      </c>
      <c r="AG35" s="117">
        <v>600000029</v>
      </c>
      <c r="AH35" s="103">
        <f>справочники!$C$21</f>
        <v>0.125</v>
      </c>
      <c r="AI35" s="39">
        <f t="shared" si="0"/>
        <v>3</v>
      </c>
      <c r="AJ35" s="121">
        <f t="shared" si="1"/>
        <v>3.1669999999999998</v>
      </c>
      <c r="AK35" s="37">
        <v>16</v>
      </c>
      <c r="AL35" s="38">
        <v>8</v>
      </c>
      <c r="AM35" s="40">
        <f t="shared" ref="AM35" si="50">AK35*AL35</f>
        <v>128</v>
      </c>
      <c r="AN35" s="214">
        <f t="shared" ref="AN35" si="51">IF(D35="ШТ",кол_во_инд.__упак_к*итого_г_у,ROUNDDOWN(номин.вес_нетто_г_у__кг*итого_г_у,1))</f>
        <v>384</v>
      </c>
      <c r="AO35" s="204">
        <f t="shared" si="2"/>
        <v>1569</v>
      </c>
    </row>
    <row r="36" spans="1:41" s="22" customFormat="1" ht="102.75" customHeight="1" x14ac:dyDescent="0.2">
      <c r="A36" s="22">
        <f t="shared" si="3"/>
        <v>6247</v>
      </c>
      <c r="B36" s="116">
        <v>1001011086247</v>
      </c>
      <c r="C36" s="25" t="s">
        <v>650</v>
      </c>
      <c r="D36" s="23" t="s">
        <v>4</v>
      </c>
      <c r="E36" s="146" t="s">
        <v>373</v>
      </c>
      <c r="F36" s="132" t="s">
        <v>36</v>
      </c>
      <c r="G36" s="146" t="s">
        <v>6</v>
      </c>
      <c r="H36" s="24" t="s">
        <v>135</v>
      </c>
      <c r="I36" s="153" t="s">
        <v>1566</v>
      </c>
      <c r="J36" s="148" t="s">
        <v>412</v>
      </c>
      <c r="K36" s="26" t="s">
        <v>1688</v>
      </c>
      <c r="L36" s="41">
        <v>10</v>
      </c>
      <c r="M36" s="42">
        <v>11</v>
      </c>
      <c r="N36" s="43">
        <v>5</v>
      </c>
      <c r="O36" s="44" t="s">
        <v>1689</v>
      </c>
      <c r="P36" s="31" t="s">
        <v>104</v>
      </c>
      <c r="Q36" s="31">
        <v>60</v>
      </c>
      <c r="R36" s="32" t="s">
        <v>37</v>
      </c>
      <c r="S36" s="233">
        <v>4607958076321</v>
      </c>
      <c r="T36" s="334">
        <v>14607958076328</v>
      </c>
      <c r="U36" s="46">
        <v>4607958076321</v>
      </c>
      <c r="V36" s="46">
        <v>14607958076328</v>
      </c>
      <c r="W36" s="157">
        <v>160</v>
      </c>
      <c r="X36" s="34">
        <v>67</v>
      </c>
      <c r="Y36" s="34">
        <v>67</v>
      </c>
      <c r="Z36" s="35">
        <v>0.4</v>
      </c>
      <c r="AA36" s="271">
        <v>2E-3</v>
      </c>
      <c r="AB36" s="36">
        <f t="shared" si="16"/>
        <v>0.40200000000000002</v>
      </c>
      <c r="AC36" s="37">
        <v>318</v>
      </c>
      <c r="AD36" s="38">
        <v>143</v>
      </c>
      <c r="AE36" s="38">
        <v>138</v>
      </c>
      <c r="AF36" s="190">
        <v>8</v>
      </c>
      <c r="AG36" s="117">
        <v>600000407</v>
      </c>
      <c r="AH36" s="103">
        <f>справочники!$C$106</f>
        <v>9.4E-2</v>
      </c>
      <c r="AI36" s="39">
        <f t="shared" si="0"/>
        <v>3.2</v>
      </c>
      <c r="AJ36" s="121">
        <f t="shared" si="1"/>
        <v>3.31</v>
      </c>
      <c r="AK36" s="37">
        <v>19</v>
      </c>
      <c r="AL36" s="38">
        <v>11</v>
      </c>
      <c r="AM36" s="40">
        <f t="shared" si="17"/>
        <v>209</v>
      </c>
      <c r="AN36" s="206">
        <f t="shared" si="18"/>
        <v>1672</v>
      </c>
      <c r="AO36" s="204">
        <f t="shared" si="2"/>
        <v>1663</v>
      </c>
    </row>
    <row r="37" spans="1:41" s="22" customFormat="1" ht="103.5" customHeight="1" x14ac:dyDescent="0.2">
      <c r="A37" s="22">
        <f t="shared" si="3"/>
        <v>6859</v>
      </c>
      <c r="B37" s="116">
        <v>1001013956859</v>
      </c>
      <c r="C37" s="25" t="s">
        <v>854</v>
      </c>
      <c r="D37" s="23" t="s">
        <v>3</v>
      </c>
      <c r="E37" s="146" t="s">
        <v>373</v>
      </c>
      <c r="F37" s="132" t="s">
        <v>36</v>
      </c>
      <c r="G37" s="146" t="s">
        <v>5</v>
      </c>
      <c r="H37" s="24" t="s">
        <v>135</v>
      </c>
      <c r="I37" s="153" t="s">
        <v>387</v>
      </c>
      <c r="J37" s="149" t="s">
        <v>856</v>
      </c>
      <c r="K37" s="26" t="s">
        <v>855</v>
      </c>
      <c r="L37" s="41">
        <v>13</v>
      </c>
      <c r="M37" s="42">
        <v>15</v>
      </c>
      <c r="N37" s="43"/>
      <c r="O37" s="44" t="s">
        <v>121</v>
      </c>
      <c r="P37" s="31" t="s">
        <v>104</v>
      </c>
      <c r="Q37" s="31">
        <v>60</v>
      </c>
      <c r="R37" s="32" t="s">
        <v>78</v>
      </c>
      <c r="S37" s="233">
        <v>2100315000004</v>
      </c>
      <c r="T37" s="334">
        <v>12100315000001</v>
      </c>
      <c r="U37" s="46">
        <v>4630362181244</v>
      </c>
      <c r="V37" s="46">
        <v>14630362181241</v>
      </c>
      <c r="W37" s="157">
        <v>260</v>
      </c>
      <c r="X37" s="34">
        <v>90</v>
      </c>
      <c r="Y37" s="34">
        <v>90</v>
      </c>
      <c r="Z37" s="35">
        <v>1.35</v>
      </c>
      <c r="AA37" s="271">
        <v>5.0000000000000001E-3</v>
      </c>
      <c r="AB37" s="36">
        <f t="shared" si="16"/>
        <v>1.355</v>
      </c>
      <c r="AC37" s="37">
        <v>385</v>
      </c>
      <c r="AD37" s="38">
        <v>285</v>
      </c>
      <c r="AE37" s="38">
        <v>185</v>
      </c>
      <c r="AF37" s="190">
        <v>8</v>
      </c>
      <c r="AG37" s="117">
        <v>600000290</v>
      </c>
      <c r="AH37" s="103">
        <f>справочники!$C$59</f>
        <v>0.35199999999999998</v>
      </c>
      <c r="AI37" s="39">
        <f t="shared" si="0"/>
        <v>10.8</v>
      </c>
      <c r="AJ37" s="121">
        <f t="shared" si="1"/>
        <v>11.192</v>
      </c>
      <c r="AK37" s="37">
        <v>8</v>
      </c>
      <c r="AL37" s="38">
        <v>8</v>
      </c>
      <c r="AM37" s="40">
        <f t="shared" si="17"/>
        <v>64</v>
      </c>
      <c r="AN37" s="214">
        <f t="shared" si="18"/>
        <v>691.2</v>
      </c>
      <c r="AO37" s="204">
        <f t="shared" si="2"/>
        <v>1625</v>
      </c>
    </row>
    <row r="38" spans="1:41" s="22" customFormat="1" ht="103.5" customHeight="1" x14ac:dyDescent="0.2">
      <c r="A38" s="22">
        <f t="shared" si="3"/>
        <v>7572</v>
      </c>
      <c r="B38" s="116">
        <v>1001013957572</v>
      </c>
      <c r="C38" s="25" t="s">
        <v>1709</v>
      </c>
      <c r="D38" s="23" t="s">
        <v>3</v>
      </c>
      <c r="E38" s="146" t="s">
        <v>373</v>
      </c>
      <c r="F38" s="132" t="s">
        <v>36</v>
      </c>
      <c r="G38" s="146" t="s">
        <v>5</v>
      </c>
      <c r="H38" s="24" t="s">
        <v>135</v>
      </c>
      <c r="I38" s="153" t="s">
        <v>387</v>
      </c>
      <c r="J38" s="149" t="s">
        <v>856</v>
      </c>
      <c r="K38" s="26" t="s">
        <v>855</v>
      </c>
      <c r="L38" s="41">
        <v>13</v>
      </c>
      <c r="M38" s="42">
        <v>15</v>
      </c>
      <c r="N38" s="43"/>
      <c r="O38" s="44" t="s">
        <v>121</v>
      </c>
      <c r="P38" s="31" t="s">
        <v>104</v>
      </c>
      <c r="Q38" s="31">
        <v>60</v>
      </c>
      <c r="R38" s="32" t="s">
        <v>78</v>
      </c>
      <c r="S38" s="233">
        <v>2100315000004</v>
      </c>
      <c r="T38" s="334">
        <v>12100315000001</v>
      </c>
      <c r="U38" s="46">
        <v>4630362181244</v>
      </c>
      <c r="V38" s="46">
        <v>14630362181241</v>
      </c>
      <c r="W38" s="157">
        <v>260</v>
      </c>
      <c r="X38" s="34">
        <v>90</v>
      </c>
      <c r="Y38" s="34">
        <v>90</v>
      </c>
      <c r="Z38" s="35">
        <v>1.35</v>
      </c>
      <c r="AA38" s="271">
        <v>5.0000000000000001E-3</v>
      </c>
      <c r="AB38" s="36">
        <f t="shared" ref="AB38" si="52">Z38+AA38</f>
        <v>1.355</v>
      </c>
      <c r="AC38" s="37">
        <v>293</v>
      </c>
      <c r="AD38" s="38">
        <v>394</v>
      </c>
      <c r="AE38" s="38">
        <v>158</v>
      </c>
      <c r="AF38" s="190">
        <v>8</v>
      </c>
      <c r="AG38" s="117">
        <v>600000607</v>
      </c>
      <c r="AH38" s="103">
        <f>справочники!$C$195</f>
        <v>0.23599999999999999</v>
      </c>
      <c r="AI38" s="39">
        <f t="shared" si="0"/>
        <v>10.8</v>
      </c>
      <c r="AJ38" s="121">
        <f t="shared" si="1"/>
        <v>11.076000000000001</v>
      </c>
      <c r="AK38" s="37">
        <v>8</v>
      </c>
      <c r="AL38" s="38">
        <v>9</v>
      </c>
      <c r="AM38" s="40">
        <f t="shared" ref="AM38" si="53">AK38*AL38</f>
        <v>72</v>
      </c>
      <c r="AN38" s="214">
        <f t="shared" ref="AN38" si="54">IF(D38="ШТ",кол_во_инд.__упак_к*итого_г_у,ROUNDDOWN(номин.вес_нетто_г_у__кг*итого_г_у,1))</f>
        <v>777.6</v>
      </c>
      <c r="AO38" s="204">
        <f t="shared" si="2"/>
        <v>1567</v>
      </c>
    </row>
    <row r="39" spans="1:41" s="22" customFormat="1" ht="103.5" customHeight="1" x14ac:dyDescent="0.2">
      <c r="A39" s="22">
        <f t="shared" si="3"/>
        <v>6860</v>
      </c>
      <c r="B39" s="116">
        <v>1001013956860</v>
      </c>
      <c r="C39" s="25" t="s">
        <v>959</v>
      </c>
      <c r="D39" s="23" t="s">
        <v>3</v>
      </c>
      <c r="E39" s="146" t="s">
        <v>373</v>
      </c>
      <c r="F39" s="132" t="s">
        <v>36</v>
      </c>
      <c r="G39" s="146" t="s">
        <v>5</v>
      </c>
      <c r="H39" s="24" t="s">
        <v>135</v>
      </c>
      <c r="I39" s="153" t="s">
        <v>387</v>
      </c>
      <c r="J39" s="149" t="s">
        <v>856</v>
      </c>
      <c r="K39" s="26" t="s">
        <v>855</v>
      </c>
      <c r="L39" s="41">
        <v>13</v>
      </c>
      <c r="M39" s="42">
        <v>15</v>
      </c>
      <c r="N39" s="43"/>
      <c r="O39" s="44" t="s">
        <v>121</v>
      </c>
      <c r="P39" s="31" t="s">
        <v>104</v>
      </c>
      <c r="Q39" s="31">
        <v>60</v>
      </c>
      <c r="R39" s="32" t="s">
        <v>78</v>
      </c>
      <c r="S39" s="233">
        <v>2101947000004</v>
      </c>
      <c r="T39" s="334">
        <v>12101947000001</v>
      </c>
      <c r="U39" s="46">
        <v>4630362181244</v>
      </c>
      <c r="V39" s="46">
        <v>14630362181241</v>
      </c>
      <c r="W39" s="157">
        <v>260</v>
      </c>
      <c r="X39" s="34">
        <v>90</v>
      </c>
      <c r="Y39" s="34">
        <v>90</v>
      </c>
      <c r="Z39" s="35">
        <v>1.35</v>
      </c>
      <c r="AA39" s="271">
        <v>5.0000000000000001E-3</v>
      </c>
      <c r="AB39" s="36">
        <f>Z39+AA39</f>
        <v>1.355</v>
      </c>
      <c r="AC39" s="37">
        <v>385</v>
      </c>
      <c r="AD39" s="38">
        <v>285</v>
      </c>
      <c r="AE39" s="38">
        <v>185</v>
      </c>
      <c r="AF39" s="190">
        <v>8</v>
      </c>
      <c r="AG39" s="117">
        <v>600000290</v>
      </c>
      <c r="AH39" s="103">
        <f>справочники!$C$59</f>
        <v>0.35199999999999998</v>
      </c>
      <c r="AI39" s="39">
        <f t="shared" si="0"/>
        <v>10.8</v>
      </c>
      <c r="AJ39" s="121">
        <f t="shared" si="1"/>
        <v>11.192</v>
      </c>
      <c r="AK39" s="37">
        <v>8</v>
      </c>
      <c r="AL39" s="38">
        <v>8</v>
      </c>
      <c r="AM39" s="40">
        <f>AK39*AL39</f>
        <v>64</v>
      </c>
      <c r="AN39" s="214">
        <f>IF(D39="ШТ",кол_во_инд.__упак_к*итого_г_у,ROUNDDOWN(номин.вес_нетто_г_у__кг*итого_г_у,1))</f>
        <v>691.2</v>
      </c>
      <c r="AO39" s="204">
        <f t="shared" si="2"/>
        <v>1625</v>
      </c>
    </row>
    <row r="40" spans="1:41" s="22" customFormat="1" ht="103.5" customHeight="1" x14ac:dyDescent="0.2">
      <c r="A40" s="22">
        <f t="shared" si="3"/>
        <v>7571</v>
      </c>
      <c r="B40" s="116">
        <v>1001013957571</v>
      </c>
      <c r="C40" s="25" t="s">
        <v>1710</v>
      </c>
      <c r="D40" s="23" t="s">
        <v>3</v>
      </c>
      <c r="E40" s="146" t="s">
        <v>373</v>
      </c>
      <c r="F40" s="132" t="s">
        <v>36</v>
      </c>
      <c r="G40" s="146" t="s">
        <v>5</v>
      </c>
      <c r="H40" s="24" t="s">
        <v>135</v>
      </c>
      <c r="I40" s="153" t="s">
        <v>387</v>
      </c>
      <c r="J40" s="149" t="s">
        <v>856</v>
      </c>
      <c r="K40" s="26" t="s">
        <v>855</v>
      </c>
      <c r="L40" s="41">
        <v>13</v>
      </c>
      <c r="M40" s="42">
        <v>15</v>
      </c>
      <c r="N40" s="43"/>
      <c r="O40" s="44" t="s">
        <v>121</v>
      </c>
      <c r="P40" s="31" t="s">
        <v>104</v>
      </c>
      <c r="Q40" s="31">
        <v>60</v>
      </c>
      <c r="R40" s="32" t="s">
        <v>78</v>
      </c>
      <c r="S40" s="233">
        <v>2101947000004</v>
      </c>
      <c r="T40" s="334">
        <v>12101947000001</v>
      </c>
      <c r="U40" s="46">
        <v>4630362181244</v>
      </c>
      <c r="V40" s="46">
        <v>14630362181241</v>
      </c>
      <c r="W40" s="157">
        <v>260</v>
      </c>
      <c r="X40" s="34">
        <v>90</v>
      </c>
      <c r="Y40" s="34">
        <v>90</v>
      </c>
      <c r="Z40" s="35">
        <v>1.35</v>
      </c>
      <c r="AA40" s="271">
        <v>5.0000000000000001E-3</v>
      </c>
      <c r="AB40" s="36">
        <f>Z40+AA40</f>
        <v>1.355</v>
      </c>
      <c r="AC40" s="37">
        <v>293</v>
      </c>
      <c r="AD40" s="38">
        <v>394</v>
      </c>
      <c r="AE40" s="38">
        <v>158</v>
      </c>
      <c r="AF40" s="190">
        <v>8</v>
      </c>
      <c r="AG40" s="117">
        <v>600000607</v>
      </c>
      <c r="AH40" s="103">
        <f>справочники!$C$195</f>
        <v>0.23599999999999999</v>
      </c>
      <c r="AI40" s="39">
        <f t="shared" si="0"/>
        <v>10.8</v>
      </c>
      <c r="AJ40" s="121">
        <f t="shared" si="1"/>
        <v>11.076000000000001</v>
      </c>
      <c r="AK40" s="37">
        <v>8</v>
      </c>
      <c r="AL40" s="38">
        <v>9</v>
      </c>
      <c r="AM40" s="40">
        <f>AK40*AL40</f>
        <v>72</v>
      </c>
      <c r="AN40" s="214">
        <f>IF(D40="ШТ",кол_во_инд.__упак_к*итого_г_у,ROUNDDOWN(номин.вес_нетто_г_у__кг*итого_г_у,1))</f>
        <v>777.6</v>
      </c>
      <c r="AO40" s="204">
        <f t="shared" si="2"/>
        <v>1567</v>
      </c>
    </row>
    <row r="41" spans="1:41" s="22" customFormat="1" ht="103.5" customHeight="1" x14ac:dyDescent="0.2">
      <c r="A41" s="22">
        <f t="shared" si="3"/>
        <v>7529</v>
      </c>
      <c r="B41" s="116">
        <v>1001013957529</v>
      </c>
      <c r="C41" s="25" t="s">
        <v>1637</v>
      </c>
      <c r="D41" s="23" t="s">
        <v>3</v>
      </c>
      <c r="E41" s="146" t="s">
        <v>373</v>
      </c>
      <c r="F41" s="132" t="s">
        <v>36</v>
      </c>
      <c r="G41" s="146" t="s">
        <v>5</v>
      </c>
      <c r="H41" s="24" t="s">
        <v>135</v>
      </c>
      <c r="I41" s="153" t="s">
        <v>387</v>
      </c>
      <c r="J41" s="149" t="s">
        <v>856</v>
      </c>
      <c r="K41" s="26" t="s">
        <v>855</v>
      </c>
      <c r="L41" s="41">
        <v>13</v>
      </c>
      <c r="M41" s="42">
        <v>15</v>
      </c>
      <c r="N41" s="43"/>
      <c r="O41" s="44" t="s">
        <v>121</v>
      </c>
      <c r="P41" s="31" t="s">
        <v>104</v>
      </c>
      <c r="Q41" s="31">
        <v>60</v>
      </c>
      <c r="R41" s="32" t="s">
        <v>78</v>
      </c>
      <c r="S41" s="233">
        <v>2100336000007</v>
      </c>
      <c r="T41" s="334">
        <v>12100336000004</v>
      </c>
      <c r="U41" s="46">
        <v>4630362181244</v>
      </c>
      <c r="V41" s="46">
        <v>14630362181241</v>
      </c>
      <c r="W41" s="157">
        <v>260</v>
      </c>
      <c r="X41" s="34">
        <v>90</v>
      </c>
      <c r="Y41" s="34">
        <v>90</v>
      </c>
      <c r="Z41" s="35">
        <v>1.35</v>
      </c>
      <c r="AA41" s="271">
        <v>5.0000000000000001E-3</v>
      </c>
      <c r="AB41" s="36">
        <f>Z41+AA41</f>
        <v>1.355</v>
      </c>
      <c r="AC41" s="37">
        <v>385</v>
      </c>
      <c r="AD41" s="38">
        <v>285</v>
      </c>
      <c r="AE41" s="38">
        <v>185</v>
      </c>
      <c r="AF41" s="190">
        <v>8</v>
      </c>
      <c r="AG41" s="117">
        <v>600000290</v>
      </c>
      <c r="AH41" s="103">
        <f>справочники!$C$59</f>
        <v>0.35199999999999998</v>
      </c>
      <c r="AI41" s="39">
        <f t="shared" si="0"/>
        <v>10.8</v>
      </c>
      <c r="AJ41" s="121">
        <f t="shared" si="1"/>
        <v>11.192</v>
      </c>
      <c r="AK41" s="37">
        <v>8</v>
      </c>
      <c r="AL41" s="38">
        <v>8</v>
      </c>
      <c r="AM41" s="40">
        <f>AK41*AL41</f>
        <v>64</v>
      </c>
      <c r="AN41" s="214">
        <f>IF(D41="ШТ",кол_во_инд.__упак_к*итого_г_у,ROUNDDOWN(номин.вес_нетто_г_у__кг*итого_г_у,1))</f>
        <v>691.2</v>
      </c>
      <c r="AO41" s="204">
        <f t="shared" si="2"/>
        <v>1625</v>
      </c>
    </row>
    <row r="42" spans="1:41" s="22" customFormat="1" ht="127.5" customHeight="1" x14ac:dyDescent="0.2">
      <c r="A42" s="22">
        <f t="shared" si="3"/>
        <v>7231</v>
      </c>
      <c r="B42" s="116">
        <v>1001013957231</v>
      </c>
      <c r="C42" s="25" t="s">
        <v>1191</v>
      </c>
      <c r="D42" s="23" t="s">
        <v>4</v>
      </c>
      <c r="E42" s="146" t="s">
        <v>373</v>
      </c>
      <c r="F42" s="132" t="s">
        <v>36</v>
      </c>
      <c r="G42" s="146" t="s">
        <v>6</v>
      </c>
      <c r="H42" s="24" t="s">
        <v>889</v>
      </c>
      <c r="I42" s="153" t="s">
        <v>387</v>
      </c>
      <c r="J42" s="151" t="s">
        <v>639</v>
      </c>
      <c r="K42" s="26" t="s">
        <v>1158</v>
      </c>
      <c r="L42" s="84">
        <v>9</v>
      </c>
      <c r="M42" s="85">
        <v>14</v>
      </c>
      <c r="N42" s="91">
        <v>4</v>
      </c>
      <c r="O42" s="86" t="s">
        <v>704</v>
      </c>
      <c r="P42" s="31" t="s">
        <v>104</v>
      </c>
      <c r="Q42" s="31">
        <v>60</v>
      </c>
      <c r="R42" s="32" t="s">
        <v>78</v>
      </c>
      <c r="S42" s="233">
        <v>4607958074570</v>
      </c>
      <c r="T42" s="334">
        <v>24607958074574</v>
      </c>
      <c r="U42" s="46">
        <v>4607958074570</v>
      </c>
      <c r="V42" s="46">
        <v>24607958074574</v>
      </c>
      <c r="W42" s="157">
        <v>130</v>
      </c>
      <c r="X42" s="34">
        <v>59</v>
      </c>
      <c r="Y42" s="34">
        <v>59</v>
      </c>
      <c r="Z42" s="35">
        <v>0.3</v>
      </c>
      <c r="AA42" s="271">
        <v>2E-3</v>
      </c>
      <c r="AB42" s="36">
        <f t="shared" ref="AB42" si="55">Z42+AA42</f>
        <v>0.30199999999999999</v>
      </c>
      <c r="AC42" s="59">
        <v>318</v>
      </c>
      <c r="AD42" s="60">
        <v>143</v>
      </c>
      <c r="AE42" s="60">
        <v>138</v>
      </c>
      <c r="AF42" s="191">
        <v>8</v>
      </c>
      <c r="AG42" s="117">
        <v>600000407</v>
      </c>
      <c r="AH42" s="104">
        <f>справочники!$C$106</f>
        <v>9.4E-2</v>
      </c>
      <c r="AI42" s="39">
        <f t="shared" si="0"/>
        <v>2.4</v>
      </c>
      <c r="AJ42" s="121">
        <f t="shared" si="1"/>
        <v>2.5099999999999998</v>
      </c>
      <c r="AK42" s="37">
        <v>19</v>
      </c>
      <c r="AL42" s="38">
        <v>11</v>
      </c>
      <c r="AM42" s="40">
        <f>AK42*AL42</f>
        <v>209</v>
      </c>
      <c r="AN42" s="206">
        <f t="shared" ref="AN42" si="56">IF(D42="ШТ",кол_во_инд.__упак_к*итого_г_у,ROUNDDOWN(номин.вес_нетто_г_у__кг*итого_г_у,1))</f>
        <v>1672</v>
      </c>
      <c r="AO42" s="204">
        <f t="shared" si="2"/>
        <v>1663</v>
      </c>
    </row>
    <row r="43" spans="1:41" s="22" customFormat="1" ht="127.5" customHeight="1" x14ac:dyDescent="0.2">
      <c r="A43" s="22">
        <f t="shared" si="3"/>
        <v>7193</v>
      </c>
      <c r="B43" s="116">
        <v>1001013957193</v>
      </c>
      <c r="C43" s="25" t="s">
        <v>1546</v>
      </c>
      <c r="D43" s="23" t="s">
        <v>4</v>
      </c>
      <c r="E43" s="146" t="s">
        <v>373</v>
      </c>
      <c r="F43" s="132" t="s">
        <v>36</v>
      </c>
      <c r="G43" s="146" t="s">
        <v>6</v>
      </c>
      <c r="H43" s="24" t="s">
        <v>194</v>
      </c>
      <c r="I43" s="153" t="s">
        <v>387</v>
      </c>
      <c r="J43" s="151" t="s">
        <v>639</v>
      </c>
      <c r="K43" s="26" t="s">
        <v>1158</v>
      </c>
      <c r="L43" s="84">
        <v>9</v>
      </c>
      <c r="M43" s="85">
        <v>14</v>
      </c>
      <c r="N43" s="91">
        <v>4</v>
      </c>
      <c r="O43" s="86" t="s">
        <v>704</v>
      </c>
      <c r="P43" s="31" t="s">
        <v>104</v>
      </c>
      <c r="Q43" s="31">
        <v>60</v>
      </c>
      <c r="R43" s="32" t="s">
        <v>78</v>
      </c>
      <c r="S43" s="233">
        <v>4607958074570</v>
      </c>
      <c r="T43" s="334">
        <v>24607958074574</v>
      </c>
      <c r="U43" s="46">
        <v>4607958074570</v>
      </c>
      <c r="V43" s="46">
        <v>24607958074574</v>
      </c>
      <c r="W43" s="157">
        <v>130</v>
      </c>
      <c r="X43" s="34">
        <v>59</v>
      </c>
      <c r="Y43" s="34">
        <v>59</v>
      </c>
      <c r="Z43" s="35">
        <v>0.3</v>
      </c>
      <c r="AA43" s="271">
        <v>2E-3</v>
      </c>
      <c r="AB43" s="36">
        <f t="shared" ref="AB43" si="57">Z43+AA43</f>
        <v>0.30199999999999999</v>
      </c>
      <c r="AC43" s="59">
        <v>318</v>
      </c>
      <c r="AD43" s="60">
        <v>143</v>
      </c>
      <c r="AE43" s="60">
        <v>138</v>
      </c>
      <c r="AF43" s="191">
        <v>8</v>
      </c>
      <c r="AG43" s="117">
        <v>600000407</v>
      </c>
      <c r="AH43" s="104">
        <f>справочники!$C$106</f>
        <v>9.4E-2</v>
      </c>
      <c r="AI43" s="39">
        <f t="shared" si="0"/>
        <v>2.4</v>
      </c>
      <c r="AJ43" s="121">
        <f t="shared" si="1"/>
        <v>2.5099999999999998</v>
      </c>
      <c r="AK43" s="37">
        <v>19</v>
      </c>
      <c r="AL43" s="38">
        <v>11</v>
      </c>
      <c r="AM43" s="40">
        <f>AK43*AL43</f>
        <v>209</v>
      </c>
      <c r="AN43" s="206">
        <f t="shared" ref="AN43" si="58">IF(D43="ШТ",кол_во_инд.__упак_к*итого_г_у,ROUNDDOWN(номин.вес_нетто_г_у__кг*итого_г_у,1))</f>
        <v>1672</v>
      </c>
      <c r="AO43" s="204">
        <f t="shared" si="2"/>
        <v>1663</v>
      </c>
    </row>
    <row r="44" spans="1:41" s="22" customFormat="1" ht="126.75" customHeight="1" x14ac:dyDescent="0.2">
      <c r="A44" s="22">
        <f t="shared" si="3"/>
        <v>6329</v>
      </c>
      <c r="B44" s="116">
        <v>1001013956329</v>
      </c>
      <c r="C44" s="25" t="s">
        <v>202</v>
      </c>
      <c r="D44" s="23" t="s">
        <v>4</v>
      </c>
      <c r="E44" s="146" t="s">
        <v>373</v>
      </c>
      <c r="F44" s="132" t="s">
        <v>36</v>
      </c>
      <c r="G44" s="146" t="s">
        <v>6</v>
      </c>
      <c r="H44" s="24" t="s">
        <v>135</v>
      </c>
      <c r="I44" s="153" t="s">
        <v>387</v>
      </c>
      <c r="J44" s="151" t="s">
        <v>639</v>
      </c>
      <c r="K44" s="26" t="s">
        <v>1158</v>
      </c>
      <c r="L44" s="84">
        <v>9</v>
      </c>
      <c r="M44" s="85">
        <v>14</v>
      </c>
      <c r="N44" s="91">
        <v>4</v>
      </c>
      <c r="O44" s="86" t="s">
        <v>704</v>
      </c>
      <c r="P44" s="31" t="s">
        <v>104</v>
      </c>
      <c r="Q44" s="31">
        <v>60</v>
      </c>
      <c r="R44" s="32" t="s">
        <v>78</v>
      </c>
      <c r="S44" s="233">
        <v>4607958071661</v>
      </c>
      <c r="T44" s="334">
        <v>14607958071668</v>
      </c>
      <c r="U44" s="46">
        <v>4607958071661</v>
      </c>
      <c r="V44" s="46">
        <v>14607958071668</v>
      </c>
      <c r="W44" s="157">
        <v>160</v>
      </c>
      <c r="X44" s="34">
        <v>67</v>
      </c>
      <c r="Y44" s="34">
        <v>67</v>
      </c>
      <c r="Z44" s="35">
        <v>0.4</v>
      </c>
      <c r="AA44" s="271">
        <v>2E-3</v>
      </c>
      <c r="AB44" s="36">
        <f t="shared" si="16"/>
        <v>0.40200000000000002</v>
      </c>
      <c r="AC44" s="59">
        <v>318</v>
      </c>
      <c r="AD44" s="60">
        <v>143</v>
      </c>
      <c r="AE44" s="60">
        <v>138</v>
      </c>
      <c r="AF44" s="191">
        <v>8</v>
      </c>
      <c r="AG44" s="117">
        <v>600000407</v>
      </c>
      <c r="AH44" s="104">
        <f>справочники!$C$106</f>
        <v>9.4E-2</v>
      </c>
      <c r="AI44" s="39">
        <f t="shared" si="0"/>
        <v>3.2</v>
      </c>
      <c r="AJ44" s="121">
        <f t="shared" si="1"/>
        <v>3.31</v>
      </c>
      <c r="AK44" s="37">
        <v>19</v>
      </c>
      <c r="AL44" s="38">
        <v>11</v>
      </c>
      <c r="AM44" s="40">
        <f t="shared" si="17"/>
        <v>209</v>
      </c>
      <c r="AN44" s="206">
        <f t="shared" si="18"/>
        <v>1672</v>
      </c>
      <c r="AO44" s="204">
        <f t="shared" si="2"/>
        <v>1663</v>
      </c>
    </row>
    <row r="45" spans="1:41" s="22" customFormat="1" ht="128.25" customHeight="1" x14ac:dyDescent="0.2">
      <c r="A45" s="22">
        <f t="shared" si="3"/>
        <v>7034</v>
      </c>
      <c r="B45" s="116">
        <v>1001013957034</v>
      </c>
      <c r="C45" s="25" t="s">
        <v>983</v>
      </c>
      <c r="D45" s="23" t="s">
        <v>4</v>
      </c>
      <c r="E45" s="146" t="s">
        <v>373</v>
      </c>
      <c r="F45" s="132" t="s">
        <v>36</v>
      </c>
      <c r="G45" s="146" t="s">
        <v>6</v>
      </c>
      <c r="H45" s="24" t="s">
        <v>135</v>
      </c>
      <c r="I45" s="153" t="s">
        <v>387</v>
      </c>
      <c r="J45" s="151" t="s">
        <v>639</v>
      </c>
      <c r="K45" s="26" t="s">
        <v>1158</v>
      </c>
      <c r="L45" s="84">
        <v>9</v>
      </c>
      <c r="M45" s="85">
        <v>14</v>
      </c>
      <c r="N45" s="91">
        <v>4</v>
      </c>
      <c r="O45" s="86" t="s">
        <v>704</v>
      </c>
      <c r="P45" s="31" t="s">
        <v>104</v>
      </c>
      <c r="Q45" s="31">
        <v>60</v>
      </c>
      <c r="R45" s="32" t="s">
        <v>78</v>
      </c>
      <c r="S45" s="242">
        <v>4607958078530</v>
      </c>
      <c r="T45" s="335">
        <v>14607958078537</v>
      </c>
      <c r="U45" s="46">
        <v>4607958078530</v>
      </c>
      <c r="V45" s="46">
        <v>14607958078537</v>
      </c>
      <c r="W45" s="157">
        <v>230</v>
      </c>
      <c r="X45" s="34">
        <v>90</v>
      </c>
      <c r="Y45" s="34">
        <v>90</v>
      </c>
      <c r="Z45" s="35">
        <v>1</v>
      </c>
      <c r="AA45" s="271">
        <v>2E-3</v>
      </c>
      <c r="AB45" s="36">
        <f>Z45+AA45</f>
        <v>1.002</v>
      </c>
      <c r="AC45" s="37">
        <v>292</v>
      </c>
      <c r="AD45" s="38">
        <v>178</v>
      </c>
      <c r="AE45" s="38">
        <v>178</v>
      </c>
      <c r="AF45" s="190">
        <v>4</v>
      </c>
      <c r="AG45" s="117">
        <v>600000029</v>
      </c>
      <c r="AH45" s="103">
        <f>справочники!$C$21</f>
        <v>0.125</v>
      </c>
      <c r="AI45" s="39">
        <f t="shared" si="0"/>
        <v>4</v>
      </c>
      <c r="AJ45" s="121">
        <f t="shared" si="1"/>
        <v>4.133</v>
      </c>
      <c r="AK45" s="37">
        <v>16</v>
      </c>
      <c r="AL45" s="38">
        <v>8</v>
      </c>
      <c r="AM45" s="40">
        <f>AK45*AL45</f>
        <v>128</v>
      </c>
      <c r="AN45" s="135">
        <f>IF(D45="ШТ",кол_во_инд.__упак_к*итого_г_у,ROUNDDOWN(номин.вес_нетто_г_у__кг*итого_г_у,1))</f>
        <v>512</v>
      </c>
      <c r="AO45" s="204">
        <f t="shared" si="2"/>
        <v>1569</v>
      </c>
    </row>
    <row r="46" spans="1:41" s="22" customFormat="1" ht="127.5" customHeight="1" x14ac:dyDescent="0.2">
      <c r="A46" s="22">
        <f t="shared" si="3"/>
        <v>6310</v>
      </c>
      <c r="B46" s="116">
        <v>1001013956310</v>
      </c>
      <c r="C46" s="25" t="s">
        <v>1217</v>
      </c>
      <c r="D46" s="23" t="s">
        <v>3</v>
      </c>
      <c r="E46" s="146" t="s">
        <v>373</v>
      </c>
      <c r="F46" s="132" t="s">
        <v>36</v>
      </c>
      <c r="G46" s="146" t="s">
        <v>6</v>
      </c>
      <c r="H46" s="24" t="s">
        <v>135</v>
      </c>
      <c r="I46" s="153" t="s">
        <v>387</v>
      </c>
      <c r="J46" s="151" t="s">
        <v>639</v>
      </c>
      <c r="K46" s="26" t="s">
        <v>1158</v>
      </c>
      <c r="L46" s="84">
        <v>9</v>
      </c>
      <c r="M46" s="85">
        <v>14</v>
      </c>
      <c r="N46" s="91">
        <v>4</v>
      </c>
      <c r="O46" s="86" t="s">
        <v>704</v>
      </c>
      <c r="P46" s="31" t="s">
        <v>104</v>
      </c>
      <c r="Q46" s="31">
        <v>60</v>
      </c>
      <c r="R46" s="32" t="s">
        <v>78</v>
      </c>
      <c r="S46" s="242">
        <v>2355013000003</v>
      </c>
      <c r="T46" s="335">
        <v>12355013000000</v>
      </c>
      <c r="U46" s="46">
        <v>4607958078202</v>
      </c>
      <c r="V46" s="46">
        <v>14607958078209</v>
      </c>
      <c r="W46" s="157">
        <v>250</v>
      </c>
      <c r="X46" s="34">
        <v>90</v>
      </c>
      <c r="Y46" s="34">
        <v>90</v>
      </c>
      <c r="Z46" s="35">
        <v>1.35</v>
      </c>
      <c r="AA46" s="271">
        <v>2E-3</v>
      </c>
      <c r="AB46" s="36">
        <f t="shared" si="16"/>
        <v>1.3520000000000001</v>
      </c>
      <c r="AC46" s="37">
        <v>292</v>
      </c>
      <c r="AD46" s="38">
        <v>178</v>
      </c>
      <c r="AE46" s="38">
        <v>178</v>
      </c>
      <c r="AF46" s="190">
        <v>3</v>
      </c>
      <c r="AG46" s="117">
        <v>600000029</v>
      </c>
      <c r="AH46" s="103">
        <f>справочники!$C$21</f>
        <v>0.125</v>
      </c>
      <c r="AI46" s="39">
        <f t="shared" si="0"/>
        <v>4.05</v>
      </c>
      <c r="AJ46" s="121">
        <f t="shared" si="1"/>
        <v>4.181</v>
      </c>
      <c r="AK46" s="37">
        <v>14</v>
      </c>
      <c r="AL46" s="38">
        <v>8</v>
      </c>
      <c r="AM46" s="40">
        <f t="shared" si="17"/>
        <v>112</v>
      </c>
      <c r="AN46" s="214">
        <f t="shared" si="18"/>
        <v>453.6</v>
      </c>
      <c r="AO46" s="204">
        <f t="shared" si="2"/>
        <v>1569</v>
      </c>
    </row>
    <row r="47" spans="1:41" s="22" customFormat="1" ht="128.25" customHeight="1" x14ac:dyDescent="0.2">
      <c r="A47" s="22">
        <f t="shared" si="3"/>
        <v>7196</v>
      </c>
      <c r="B47" s="116">
        <v>1001013957196</v>
      </c>
      <c r="C47" s="25" t="s">
        <v>1157</v>
      </c>
      <c r="D47" s="23" t="s">
        <v>3</v>
      </c>
      <c r="E47" s="146" t="s">
        <v>373</v>
      </c>
      <c r="F47" s="132" t="s">
        <v>36</v>
      </c>
      <c r="G47" s="146" t="s">
        <v>6</v>
      </c>
      <c r="H47" s="24" t="s">
        <v>135</v>
      </c>
      <c r="I47" s="153" t="s">
        <v>387</v>
      </c>
      <c r="J47" s="151" t="s">
        <v>639</v>
      </c>
      <c r="K47" s="26" t="s">
        <v>1158</v>
      </c>
      <c r="L47" s="84">
        <v>9</v>
      </c>
      <c r="M47" s="85">
        <v>14</v>
      </c>
      <c r="N47" s="91">
        <v>4</v>
      </c>
      <c r="O47" s="86" t="s">
        <v>704</v>
      </c>
      <c r="P47" s="31" t="s">
        <v>104</v>
      </c>
      <c r="Q47" s="31">
        <v>60</v>
      </c>
      <c r="R47" s="32" t="s">
        <v>78</v>
      </c>
      <c r="S47" s="242">
        <v>2847990000003</v>
      </c>
      <c r="T47" s="335">
        <v>12847990000000</v>
      </c>
      <c r="U47" s="46">
        <v>4607958078202</v>
      </c>
      <c r="V47" s="46">
        <v>14607958078209</v>
      </c>
      <c r="W47" s="157">
        <v>250</v>
      </c>
      <c r="X47" s="34">
        <v>90</v>
      </c>
      <c r="Y47" s="34">
        <v>90</v>
      </c>
      <c r="Z47" s="35">
        <v>1.35</v>
      </c>
      <c r="AA47" s="271">
        <v>2E-3</v>
      </c>
      <c r="AB47" s="36">
        <f t="shared" ref="AB47" si="59">Z47+AA47</f>
        <v>1.3520000000000001</v>
      </c>
      <c r="AC47" s="37">
        <v>292</v>
      </c>
      <c r="AD47" s="38">
        <v>178</v>
      </c>
      <c r="AE47" s="38">
        <v>178</v>
      </c>
      <c r="AF47" s="190">
        <v>3</v>
      </c>
      <c r="AG47" s="117">
        <v>600000029</v>
      </c>
      <c r="AH47" s="103">
        <f>справочники!$C$21</f>
        <v>0.125</v>
      </c>
      <c r="AI47" s="39">
        <f t="shared" si="0"/>
        <v>4.05</v>
      </c>
      <c r="AJ47" s="121">
        <f t="shared" si="1"/>
        <v>4.181</v>
      </c>
      <c r="AK47" s="37">
        <v>14</v>
      </c>
      <c r="AL47" s="38">
        <v>8</v>
      </c>
      <c r="AM47" s="40">
        <f t="shared" ref="AM47" si="60">AK47*AL47</f>
        <v>112</v>
      </c>
      <c r="AN47" s="214">
        <f t="shared" ref="AN47" si="61">IF(D47="ШТ",кол_во_инд.__упак_к*итого_г_у,ROUNDDOWN(номин.вес_нетто_г_у__кг*итого_г_у,1))</f>
        <v>453.6</v>
      </c>
      <c r="AO47" s="204">
        <f t="shared" si="2"/>
        <v>1569</v>
      </c>
    </row>
    <row r="48" spans="1:41" s="22" customFormat="1" ht="127.5" customHeight="1" x14ac:dyDescent="0.2">
      <c r="A48" s="22">
        <f t="shared" si="3"/>
        <v>6885</v>
      </c>
      <c r="B48" s="116">
        <v>1001013956885</v>
      </c>
      <c r="C48" s="25" t="s">
        <v>1278</v>
      </c>
      <c r="D48" s="23" t="s">
        <v>3</v>
      </c>
      <c r="E48" s="146" t="s">
        <v>373</v>
      </c>
      <c r="F48" s="132" t="s">
        <v>36</v>
      </c>
      <c r="G48" s="146" t="s">
        <v>6</v>
      </c>
      <c r="H48" s="24" t="s">
        <v>135</v>
      </c>
      <c r="I48" s="153" t="s">
        <v>387</v>
      </c>
      <c r="J48" s="151" t="s">
        <v>639</v>
      </c>
      <c r="K48" s="26" t="s">
        <v>1158</v>
      </c>
      <c r="L48" s="84">
        <v>9</v>
      </c>
      <c r="M48" s="85">
        <v>14</v>
      </c>
      <c r="N48" s="91">
        <v>4</v>
      </c>
      <c r="O48" s="86" t="s">
        <v>704</v>
      </c>
      <c r="P48" s="31" t="s">
        <v>104</v>
      </c>
      <c r="Q48" s="31">
        <v>60</v>
      </c>
      <c r="R48" s="32" t="s">
        <v>78</v>
      </c>
      <c r="S48" s="242">
        <v>2101072000009</v>
      </c>
      <c r="T48" s="335">
        <v>12101072000006</v>
      </c>
      <c r="U48" s="46">
        <v>4607958078202</v>
      </c>
      <c r="V48" s="46">
        <v>14607958078209</v>
      </c>
      <c r="W48" s="157">
        <v>250</v>
      </c>
      <c r="X48" s="34">
        <v>90</v>
      </c>
      <c r="Y48" s="34">
        <v>90</v>
      </c>
      <c r="Z48" s="35">
        <v>1.35</v>
      </c>
      <c r="AA48" s="271">
        <v>2E-3</v>
      </c>
      <c r="AB48" s="36">
        <f t="shared" ref="AB48" si="62">Z48+AA48</f>
        <v>1.3520000000000001</v>
      </c>
      <c r="AC48" s="37">
        <v>292</v>
      </c>
      <c r="AD48" s="38">
        <v>178</v>
      </c>
      <c r="AE48" s="38">
        <v>178</v>
      </c>
      <c r="AF48" s="190">
        <v>3</v>
      </c>
      <c r="AG48" s="117">
        <v>600000029</v>
      </c>
      <c r="AH48" s="103">
        <f>справочники!$C$21</f>
        <v>0.125</v>
      </c>
      <c r="AI48" s="39">
        <f t="shared" si="0"/>
        <v>4.05</v>
      </c>
      <c r="AJ48" s="121">
        <f t="shared" si="1"/>
        <v>4.181</v>
      </c>
      <c r="AK48" s="37">
        <v>16</v>
      </c>
      <c r="AL48" s="38">
        <v>8</v>
      </c>
      <c r="AM48" s="40">
        <f t="shared" ref="AM48" si="63">AK48*AL48</f>
        <v>128</v>
      </c>
      <c r="AN48" s="214">
        <f t="shared" ref="AN48" si="64">IF(D48="ШТ",кол_во_инд.__упак_к*итого_г_у,ROUNDDOWN(номин.вес_нетто_г_у__кг*итого_г_у,1))</f>
        <v>518.4</v>
      </c>
      <c r="AO48" s="204">
        <f t="shared" si="2"/>
        <v>1569</v>
      </c>
    </row>
    <row r="49" spans="1:54" s="22" customFormat="1" ht="128.25" customHeight="1" x14ac:dyDescent="0.2">
      <c r="A49" s="22">
        <f t="shared" si="3"/>
        <v>5652</v>
      </c>
      <c r="B49" s="116">
        <v>1001013955652</v>
      </c>
      <c r="C49" s="25" t="s">
        <v>237</v>
      </c>
      <c r="D49" s="23" t="s">
        <v>3</v>
      </c>
      <c r="E49" s="146" t="s">
        <v>373</v>
      </c>
      <c r="F49" s="132" t="s">
        <v>36</v>
      </c>
      <c r="G49" s="146" t="s">
        <v>6</v>
      </c>
      <c r="H49" s="24" t="s">
        <v>135</v>
      </c>
      <c r="I49" s="153" t="s">
        <v>387</v>
      </c>
      <c r="J49" s="151" t="s">
        <v>639</v>
      </c>
      <c r="K49" s="26" t="s">
        <v>1158</v>
      </c>
      <c r="L49" s="84">
        <v>9</v>
      </c>
      <c r="M49" s="85">
        <v>14</v>
      </c>
      <c r="N49" s="91">
        <v>4</v>
      </c>
      <c r="O49" s="86" t="s">
        <v>704</v>
      </c>
      <c r="P49" s="31" t="s">
        <v>104</v>
      </c>
      <c r="Q49" s="31">
        <v>60</v>
      </c>
      <c r="R49" s="32" t="s">
        <v>78</v>
      </c>
      <c r="S49" s="242">
        <v>2907400000006</v>
      </c>
      <c r="T49" s="335">
        <v>12907400000003</v>
      </c>
      <c r="U49" s="46">
        <v>4607958078202</v>
      </c>
      <c r="V49" s="46">
        <v>14607958078209</v>
      </c>
      <c r="W49" s="157">
        <v>250</v>
      </c>
      <c r="X49" s="34">
        <v>90</v>
      </c>
      <c r="Y49" s="34">
        <v>90</v>
      </c>
      <c r="Z49" s="35">
        <v>1.35</v>
      </c>
      <c r="AA49" s="271">
        <v>2E-3</v>
      </c>
      <c r="AB49" s="36">
        <f t="shared" si="16"/>
        <v>1.3520000000000001</v>
      </c>
      <c r="AC49" s="37">
        <v>292</v>
      </c>
      <c r="AD49" s="38">
        <v>178</v>
      </c>
      <c r="AE49" s="38">
        <v>178</v>
      </c>
      <c r="AF49" s="190">
        <v>3</v>
      </c>
      <c r="AG49" s="117">
        <v>600000029</v>
      </c>
      <c r="AH49" s="103">
        <f>справочники!$C$21</f>
        <v>0.125</v>
      </c>
      <c r="AI49" s="39">
        <f t="shared" si="0"/>
        <v>4.05</v>
      </c>
      <c r="AJ49" s="121">
        <f t="shared" si="1"/>
        <v>4.181</v>
      </c>
      <c r="AK49" s="37">
        <v>14</v>
      </c>
      <c r="AL49" s="38">
        <v>8</v>
      </c>
      <c r="AM49" s="40">
        <f t="shared" si="17"/>
        <v>112</v>
      </c>
      <c r="AN49" s="214">
        <f t="shared" si="18"/>
        <v>453.6</v>
      </c>
      <c r="AO49" s="204">
        <f t="shared" si="2"/>
        <v>1569</v>
      </c>
    </row>
    <row r="50" spans="1:54" s="22" customFormat="1" ht="127.5" customHeight="1" x14ac:dyDescent="0.2">
      <c r="A50" s="22">
        <f t="shared" si="3"/>
        <v>3498</v>
      </c>
      <c r="B50" s="116">
        <v>1001013953498</v>
      </c>
      <c r="C50" s="25" t="s">
        <v>328</v>
      </c>
      <c r="D50" s="23" t="s">
        <v>3</v>
      </c>
      <c r="E50" s="146" t="s">
        <v>373</v>
      </c>
      <c r="F50" s="132" t="s">
        <v>36</v>
      </c>
      <c r="G50" s="146" t="s">
        <v>6</v>
      </c>
      <c r="H50" s="24" t="s">
        <v>135</v>
      </c>
      <c r="I50" s="153" t="s">
        <v>387</v>
      </c>
      <c r="J50" s="151" t="s">
        <v>639</v>
      </c>
      <c r="K50" s="26" t="s">
        <v>1158</v>
      </c>
      <c r="L50" s="84">
        <v>9</v>
      </c>
      <c r="M50" s="85">
        <v>14</v>
      </c>
      <c r="N50" s="91">
        <v>4</v>
      </c>
      <c r="O50" s="86" t="s">
        <v>704</v>
      </c>
      <c r="P50" s="31" t="s">
        <v>104</v>
      </c>
      <c r="Q50" s="31">
        <v>60</v>
      </c>
      <c r="R50" s="32" t="s">
        <v>78</v>
      </c>
      <c r="S50" s="242">
        <v>2313717000002</v>
      </c>
      <c r="T50" s="335">
        <v>12313717000009</v>
      </c>
      <c r="U50" s="46" t="s">
        <v>1874</v>
      </c>
      <c r="V50" s="46" t="s">
        <v>1874</v>
      </c>
      <c r="W50" s="157">
        <v>250</v>
      </c>
      <c r="X50" s="34">
        <v>90</v>
      </c>
      <c r="Y50" s="34">
        <v>90</v>
      </c>
      <c r="Z50" s="35">
        <v>1.35</v>
      </c>
      <c r="AA50" s="271">
        <v>2E-3</v>
      </c>
      <c r="AB50" s="36">
        <f t="shared" si="16"/>
        <v>1.3520000000000001</v>
      </c>
      <c r="AC50" s="37">
        <v>292</v>
      </c>
      <c r="AD50" s="38">
        <v>178</v>
      </c>
      <c r="AE50" s="38">
        <v>178</v>
      </c>
      <c r="AF50" s="190">
        <v>3</v>
      </c>
      <c r="AG50" s="117">
        <v>600000029</v>
      </c>
      <c r="AH50" s="103">
        <f>справочники!$C$21</f>
        <v>0.125</v>
      </c>
      <c r="AI50" s="39">
        <f t="shared" ref="AI50:AI86" si="65">ROUNDDOWN(номин.вес_нетто__кг*кол_во_инд.__упак_к,2)</f>
        <v>4.05</v>
      </c>
      <c r="AJ50" s="121">
        <f t="shared" ref="AJ50:AJ86" si="66">(номин.вес_брутто__кг*кол_во_инд.__упак_к)+вес_короба__кг</f>
        <v>4.181</v>
      </c>
      <c r="AK50" s="37">
        <v>16</v>
      </c>
      <c r="AL50" s="38">
        <v>8</v>
      </c>
      <c r="AM50" s="40">
        <f t="shared" ref="AM50:AM86" si="67">AK50*AL50</f>
        <v>128</v>
      </c>
      <c r="AN50" s="214">
        <f t="shared" si="18"/>
        <v>518.4</v>
      </c>
      <c r="AO50" s="204">
        <f t="shared" si="2"/>
        <v>1569</v>
      </c>
    </row>
    <row r="51" spans="1:54" s="22" customFormat="1" ht="114.75" customHeight="1" x14ac:dyDescent="0.2">
      <c r="A51" s="22">
        <f t="shared" si="3"/>
        <v>6501</v>
      </c>
      <c r="B51" s="116">
        <v>1001014136501</v>
      </c>
      <c r="C51" s="46" t="s">
        <v>315</v>
      </c>
      <c r="D51" s="23" t="s">
        <v>3</v>
      </c>
      <c r="E51" s="146" t="s">
        <v>373</v>
      </c>
      <c r="F51" s="132" t="s">
        <v>36</v>
      </c>
      <c r="G51" s="146" t="s">
        <v>6</v>
      </c>
      <c r="H51" s="24" t="s">
        <v>194</v>
      </c>
      <c r="I51" s="153" t="s">
        <v>387</v>
      </c>
      <c r="J51" s="148" t="s">
        <v>639</v>
      </c>
      <c r="K51" s="26" t="s">
        <v>1242</v>
      </c>
      <c r="L51" s="41">
        <v>8</v>
      </c>
      <c r="M51" s="42">
        <v>14</v>
      </c>
      <c r="N51" s="43">
        <v>2</v>
      </c>
      <c r="O51" s="44" t="s">
        <v>853</v>
      </c>
      <c r="P51" s="31" t="s">
        <v>104</v>
      </c>
      <c r="Q51" s="31">
        <v>60</v>
      </c>
      <c r="R51" s="32" t="s">
        <v>78</v>
      </c>
      <c r="S51" s="135">
        <v>2100912000001</v>
      </c>
      <c r="T51" s="333">
        <v>12100912000008</v>
      </c>
      <c r="U51" s="46">
        <v>4630362181268</v>
      </c>
      <c r="V51" s="46">
        <v>14630362181265</v>
      </c>
      <c r="W51" s="157">
        <v>250</v>
      </c>
      <c r="X51" s="34">
        <v>90</v>
      </c>
      <c r="Y51" s="34">
        <v>90</v>
      </c>
      <c r="Z51" s="35">
        <v>1.35</v>
      </c>
      <c r="AA51" s="271">
        <v>2E-3</v>
      </c>
      <c r="AB51" s="36">
        <f>Z51+AA51</f>
        <v>1.3520000000000001</v>
      </c>
      <c r="AC51" s="37">
        <v>292</v>
      </c>
      <c r="AD51" s="38">
        <v>178</v>
      </c>
      <c r="AE51" s="38">
        <v>178</v>
      </c>
      <c r="AF51" s="190">
        <v>3</v>
      </c>
      <c r="AG51" s="117">
        <v>600000029</v>
      </c>
      <c r="AH51" s="103">
        <f>справочники!$C$21</f>
        <v>0.125</v>
      </c>
      <c r="AI51" s="39">
        <f t="shared" si="65"/>
        <v>4.05</v>
      </c>
      <c r="AJ51" s="121">
        <f t="shared" si="66"/>
        <v>4.181</v>
      </c>
      <c r="AK51" s="37">
        <v>16</v>
      </c>
      <c r="AL51" s="38">
        <v>8</v>
      </c>
      <c r="AM51" s="40">
        <f>AK51*AL51</f>
        <v>128</v>
      </c>
      <c r="AN51" s="214">
        <f>IF(D51="ШТ",кол_во_инд.__упак_к*итого_г_у,ROUNDDOWN(номин.вес_нетто_г_у__кг*итого_г_у,1))</f>
        <v>518.4</v>
      </c>
      <c r="AO51" s="204">
        <f t="shared" si="2"/>
        <v>1569</v>
      </c>
    </row>
    <row r="52" spans="1:54" s="22" customFormat="1" ht="178.5" x14ac:dyDescent="0.2">
      <c r="A52" s="22">
        <f t="shared" si="3"/>
        <v>7514</v>
      </c>
      <c r="B52" s="116">
        <v>1001017557514</v>
      </c>
      <c r="C52" s="46" t="s">
        <v>1631</v>
      </c>
      <c r="D52" s="23" t="s">
        <v>3</v>
      </c>
      <c r="E52" s="146" t="s">
        <v>373</v>
      </c>
      <c r="F52" s="132" t="s">
        <v>36</v>
      </c>
      <c r="G52" s="146" t="s">
        <v>2</v>
      </c>
      <c r="H52" s="115" t="s">
        <v>135</v>
      </c>
      <c r="I52" s="153" t="s">
        <v>1566</v>
      </c>
      <c r="J52" s="151" t="s">
        <v>412</v>
      </c>
      <c r="K52" s="26" t="s">
        <v>1632</v>
      </c>
      <c r="L52" s="41">
        <v>9</v>
      </c>
      <c r="M52" s="42">
        <v>25</v>
      </c>
      <c r="N52" s="43">
        <v>3</v>
      </c>
      <c r="O52" s="44" t="s">
        <v>1633</v>
      </c>
      <c r="P52" s="31" t="s">
        <v>104</v>
      </c>
      <c r="Q52" s="31">
        <v>30</v>
      </c>
      <c r="R52" s="32" t="s">
        <v>37</v>
      </c>
      <c r="S52" s="242">
        <v>2800521000002</v>
      </c>
      <c r="T52" s="335">
        <v>12800521000009</v>
      </c>
      <c r="U52" s="46">
        <v>4630362182579</v>
      </c>
      <c r="V52" s="46">
        <v>14630362182576</v>
      </c>
      <c r="W52" s="157">
        <v>330</v>
      </c>
      <c r="X52" s="34">
        <v>100</v>
      </c>
      <c r="Y52" s="34">
        <v>85</v>
      </c>
      <c r="Z52" s="35">
        <v>1.6</v>
      </c>
      <c r="AA52" s="271">
        <v>0.01</v>
      </c>
      <c r="AB52" s="36">
        <f>Z52+AA52</f>
        <v>1.61</v>
      </c>
      <c r="AC52" s="37">
        <v>338</v>
      </c>
      <c r="AD52" s="38">
        <v>188</v>
      </c>
      <c r="AE52" s="38">
        <v>178</v>
      </c>
      <c r="AF52" s="190">
        <v>4</v>
      </c>
      <c r="AG52" s="117">
        <v>600000260</v>
      </c>
      <c r="AH52" s="103">
        <f>справочники!$C$54</f>
        <v>0.17699999999999999</v>
      </c>
      <c r="AI52" s="39">
        <f t="shared" si="0"/>
        <v>6.4</v>
      </c>
      <c r="AJ52" s="121">
        <f t="shared" si="1"/>
        <v>6.617</v>
      </c>
      <c r="AK52" s="37">
        <v>12</v>
      </c>
      <c r="AL52" s="38">
        <v>8</v>
      </c>
      <c r="AM52" s="40">
        <f>AK52*AL52</f>
        <v>96</v>
      </c>
      <c r="AN52" s="214">
        <f>IF(D52="ШТ",кол_во_инд.__упак_к*итого_г_у,ROUNDDOWN(номин.вес_нетто_г_у__кг*итого_г_у,1))</f>
        <v>614.4</v>
      </c>
      <c r="AO52" s="204">
        <f t="shared" si="2"/>
        <v>1569</v>
      </c>
    </row>
    <row r="53" spans="1:54" s="22" customFormat="1" ht="229.5" x14ac:dyDescent="0.2">
      <c r="A53" s="22">
        <f t="shared" si="3"/>
        <v>6784</v>
      </c>
      <c r="B53" s="116">
        <v>1001010026784</v>
      </c>
      <c r="C53" s="25" t="s">
        <v>772</v>
      </c>
      <c r="D53" s="23" t="s">
        <v>4</v>
      </c>
      <c r="E53" s="146" t="s">
        <v>373</v>
      </c>
      <c r="F53" s="132" t="s">
        <v>36</v>
      </c>
      <c r="G53" s="146" t="s">
        <v>5</v>
      </c>
      <c r="H53" s="24" t="s">
        <v>135</v>
      </c>
      <c r="I53" s="153" t="s">
        <v>1936</v>
      </c>
      <c r="J53" s="151" t="s">
        <v>639</v>
      </c>
      <c r="K53" s="26" t="s">
        <v>2106</v>
      </c>
      <c r="L53" s="41">
        <v>13</v>
      </c>
      <c r="M53" s="42">
        <v>18</v>
      </c>
      <c r="N53" s="43">
        <v>9</v>
      </c>
      <c r="O53" s="44" t="s">
        <v>2068</v>
      </c>
      <c r="P53" s="31" t="s">
        <v>104</v>
      </c>
      <c r="Q53" s="31">
        <v>60</v>
      </c>
      <c r="R53" s="32" t="s">
        <v>37</v>
      </c>
      <c r="S53" s="242">
        <v>4607958077175</v>
      </c>
      <c r="T53" s="335">
        <v>14607958077172</v>
      </c>
      <c r="U53" s="46">
        <v>4607958077175</v>
      </c>
      <c r="V53" s="46">
        <v>14607958077172</v>
      </c>
      <c r="W53" s="157">
        <v>160</v>
      </c>
      <c r="X53" s="34">
        <v>67</v>
      </c>
      <c r="Y53" s="34">
        <v>67</v>
      </c>
      <c r="Z53" s="35">
        <v>0.4</v>
      </c>
      <c r="AA53" s="271">
        <v>3.0000000000000001E-3</v>
      </c>
      <c r="AB53" s="36">
        <f>Z53+AA53</f>
        <v>0.40300000000000002</v>
      </c>
      <c r="AC53" s="37">
        <v>378</v>
      </c>
      <c r="AD53" s="38">
        <v>156</v>
      </c>
      <c r="AE53" s="38">
        <v>138</v>
      </c>
      <c r="AF53" s="190">
        <v>8</v>
      </c>
      <c r="AG53" s="117">
        <v>600000019</v>
      </c>
      <c r="AH53" s="103">
        <f>справочники!$C$11</f>
        <v>0.114</v>
      </c>
      <c r="AI53" s="39">
        <f t="shared" si="65"/>
        <v>3.2</v>
      </c>
      <c r="AJ53" s="121">
        <f t="shared" si="66"/>
        <v>3.3380000000000001</v>
      </c>
      <c r="AK53" s="37">
        <v>15</v>
      </c>
      <c r="AL53" s="38">
        <v>11</v>
      </c>
      <c r="AM53" s="40">
        <f t="shared" si="67"/>
        <v>165</v>
      </c>
      <c r="AN53" s="206">
        <f t="shared" ref="AN53:AN86" si="68">IF(D53="ШТ",кол_во_инд.__упак_к*итого_г_у,ROUNDDOWN(номин.вес_нетто_г_у__кг*итого_г_у,1))</f>
        <v>1320</v>
      </c>
      <c r="AO53" s="204">
        <f t="shared" ref="AO53:AO89" si="69">(высота__мм*кол_во_слоев_г_у)+145</f>
        <v>1663</v>
      </c>
    </row>
    <row r="54" spans="1:54" s="22" customFormat="1" ht="204" x14ac:dyDescent="0.2">
      <c r="A54" s="22">
        <f t="shared" si="3"/>
        <v>6464</v>
      </c>
      <c r="B54" s="116">
        <v>1001012456464</v>
      </c>
      <c r="C54" s="46" t="s">
        <v>545</v>
      </c>
      <c r="D54" s="23" t="s">
        <v>3</v>
      </c>
      <c r="E54" s="146" t="s">
        <v>373</v>
      </c>
      <c r="F54" s="132" t="s">
        <v>36</v>
      </c>
      <c r="G54" s="146" t="s">
        <v>6</v>
      </c>
      <c r="H54" s="24" t="s">
        <v>194</v>
      </c>
      <c r="I54" s="153" t="s">
        <v>1566</v>
      </c>
      <c r="J54" s="148" t="s">
        <v>412</v>
      </c>
      <c r="K54" s="26" t="s">
        <v>1442</v>
      </c>
      <c r="L54" s="27">
        <v>9</v>
      </c>
      <c r="M54" s="28">
        <v>14</v>
      </c>
      <c r="N54" s="29">
        <v>5</v>
      </c>
      <c r="O54" s="30" t="s">
        <v>1443</v>
      </c>
      <c r="P54" s="31" t="s">
        <v>104</v>
      </c>
      <c r="Q54" s="31">
        <v>60</v>
      </c>
      <c r="R54" s="32" t="s">
        <v>37</v>
      </c>
      <c r="S54" s="135">
        <v>2909780000003</v>
      </c>
      <c r="T54" s="333">
        <v>12909780000000</v>
      </c>
      <c r="U54" s="46">
        <v>4630362181282</v>
      </c>
      <c r="V54" s="46">
        <v>14630362181289</v>
      </c>
      <c r="W54" s="157">
        <v>230</v>
      </c>
      <c r="X54" s="34">
        <v>90</v>
      </c>
      <c r="Y54" s="34">
        <v>90</v>
      </c>
      <c r="Z54" s="35">
        <v>1</v>
      </c>
      <c r="AA54" s="271">
        <v>2E-3</v>
      </c>
      <c r="AB54" s="36">
        <f t="shared" si="16"/>
        <v>1.002</v>
      </c>
      <c r="AC54" s="37">
        <v>292</v>
      </c>
      <c r="AD54" s="38">
        <v>178</v>
      </c>
      <c r="AE54" s="38">
        <v>178</v>
      </c>
      <c r="AF54" s="190">
        <v>4</v>
      </c>
      <c r="AG54" s="117">
        <v>600000029</v>
      </c>
      <c r="AH54" s="103">
        <f>справочники!$C$21</f>
        <v>0.125</v>
      </c>
      <c r="AI54" s="39">
        <f t="shared" si="65"/>
        <v>4</v>
      </c>
      <c r="AJ54" s="121">
        <f t="shared" si="66"/>
        <v>4.133</v>
      </c>
      <c r="AK54" s="37">
        <v>14</v>
      </c>
      <c r="AL54" s="38">
        <v>8</v>
      </c>
      <c r="AM54" s="40">
        <f t="shared" ref="AM54:AM60" si="70">AK54*AL54</f>
        <v>112</v>
      </c>
      <c r="AN54" s="214">
        <f t="shared" ref="AN54:AN60" si="71">IF(D54="ШТ",кол_во_инд.__упак_к*итого_г_у,ROUNDDOWN(номин.вес_нетто_г_у__кг*итого_г_у,1))</f>
        <v>448</v>
      </c>
      <c r="AO54" s="204">
        <f t="shared" si="69"/>
        <v>1569</v>
      </c>
    </row>
    <row r="55" spans="1:54" s="22" customFormat="1" ht="127.5" customHeight="1" x14ac:dyDescent="0.2">
      <c r="A55" s="22">
        <f t="shared" si="3"/>
        <v>6876</v>
      </c>
      <c r="B55" s="116">
        <v>1001012456876</v>
      </c>
      <c r="C55" s="46" t="s">
        <v>842</v>
      </c>
      <c r="D55" s="23" t="s">
        <v>3</v>
      </c>
      <c r="E55" s="146" t="s">
        <v>373</v>
      </c>
      <c r="F55" s="132" t="s">
        <v>36</v>
      </c>
      <c r="G55" s="146" t="s">
        <v>6</v>
      </c>
      <c r="H55" s="24" t="s">
        <v>194</v>
      </c>
      <c r="I55" s="153" t="s">
        <v>1566</v>
      </c>
      <c r="J55" s="148" t="s">
        <v>412</v>
      </c>
      <c r="K55" s="26" t="s">
        <v>1442</v>
      </c>
      <c r="L55" s="27">
        <v>9</v>
      </c>
      <c r="M55" s="28">
        <v>14</v>
      </c>
      <c r="N55" s="29">
        <v>5</v>
      </c>
      <c r="O55" s="30" t="s">
        <v>1443</v>
      </c>
      <c r="P55" s="31" t="s">
        <v>104</v>
      </c>
      <c r="Q55" s="31">
        <v>60</v>
      </c>
      <c r="R55" s="32" t="s">
        <v>37</v>
      </c>
      <c r="S55" s="135">
        <v>2358466000002</v>
      </c>
      <c r="T55" s="333">
        <v>12358466000009</v>
      </c>
      <c r="U55" s="46">
        <v>4630362181282</v>
      </c>
      <c r="V55" s="46">
        <v>14630362181289</v>
      </c>
      <c r="W55" s="157">
        <v>230</v>
      </c>
      <c r="X55" s="34">
        <v>90</v>
      </c>
      <c r="Y55" s="34">
        <v>90</v>
      </c>
      <c r="Z55" s="35">
        <v>1</v>
      </c>
      <c r="AA55" s="271">
        <v>2E-3</v>
      </c>
      <c r="AB55" s="36">
        <f>Z55+AA55</f>
        <v>1.002</v>
      </c>
      <c r="AC55" s="37">
        <v>292</v>
      </c>
      <c r="AD55" s="38">
        <v>178</v>
      </c>
      <c r="AE55" s="38">
        <v>178</v>
      </c>
      <c r="AF55" s="190">
        <v>4</v>
      </c>
      <c r="AG55" s="117">
        <v>600000029</v>
      </c>
      <c r="AH55" s="103">
        <f>справочники!$C$21</f>
        <v>0.125</v>
      </c>
      <c r="AI55" s="39">
        <f t="shared" si="65"/>
        <v>4</v>
      </c>
      <c r="AJ55" s="121">
        <f t="shared" si="66"/>
        <v>4.133</v>
      </c>
      <c r="AK55" s="37">
        <v>14</v>
      </c>
      <c r="AL55" s="38">
        <v>8</v>
      </c>
      <c r="AM55" s="40">
        <f t="shared" si="70"/>
        <v>112</v>
      </c>
      <c r="AN55" s="214">
        <f t="shared" si="71"/>
        <v>448</v>
      </c>
      <c r="AO55" s="204">
        <f t="shared" si="69"/>
        <v>1569</v>
      </c>
    </row>
    <row r="56" spans="1:54" s="22" customFormat="1" ht="204" x14ac:dyDescent="0.2">
      <c r="A56" s="22">
        <f t="shared" si="3"/>
        <v>6498</v>
      </c>
      <c r="B56" s="116">
        <v>1001012456498</v>
      </c>
      <c r="C56" s="46" t="s">
        <v>349</v>
      </c>
      <c r="D56" s="23" t="s">
        <v>3</v>
      </c>
      <c r="E56" s="146" t="s">
        <v>373</v>
      </c>
      <c r="F56" s="132" t="s">
        <v>36</v>
      </c>
      <c r="G56" s="146" t="s">
        <v>6</v>
      </c>
      <c r="H56" s="24" t="s">
        <v>194</v>
      </c>
      <c r="I56" s="153" t="s">
        <v>1566</v>
      </c>
      <c r="J56" s="148" t="s">
        <v>412</v>
      </c>
      <c r="K56" s="26" t="s">
        <v>1442</v>
      </c>
      <c r="L56" s="27">
        <v>9</v>
      </c>
      <c r="M56" s="28">
        <v>14</v>
      </c>
      <c r="N56" s="29">
        <v>5</v>
      </c>
      <c r="O56" s="30" t="s">
        <v>1443</v>
      </c>
      <c r="P56" s="31" t="s">
        <v>104</v>
      </c>
      <c r="Q56" s="31">
        <v>60</v>
      </c>
      <c r="R56" s="32" t="s">
        <v>37</v>
      </c>
      <c r="S56" s="135">
        <v>2909780000003</v>
      </c>
      <c r="T56" s="333">
        <v>12909780000000</v>
      </c>
      <c r="U56" s="46">
        <v>4630362181282</v>
      </c>
      <c r="V56" s="46">
        <v>14630362181289</v>
      </c>
      <c r="W56" s="157">
        <v>230</v>
      </c>
      <c r="X56" s="34">
        <v>90</v>
      </c>
      <c r="Y56" s="34">
        <v>90</v>
      </c>
      <c r="Z56" s="35">
        <v>1</v>
      </c>
      <c r="AA56" s="271">
        <v>2E-3</v>
      </c>
      <c r="AB56" s="36">
        <f t="shared" si="16"/>
        <v>1.002</v>
      </c>
      <c r="AC56" s="37">
        <v>292</v>
      </c>
      <c r="AD56" s="38">
        <v>178</v>
      </c>
      <c r="AE56" s="38">
        <v>178</v>
      </c>
      <c r="AF56" s="190">
        <v>4</v>
      </c>
      <c r="AG56" s="117">
        <v>600000029</v>
      </c>
      <c r="AH56" s="103">
        <f>справочники!$C$21</f>
        <v>0.125</v>
      </c>
      <c r="AI56" s="39">
        <f t="shared" si="65"/>
        <v>4</v>
      </c>
      <c r="AJ56" s="121">
        <f t="shared" si="66"/>
        <v>4.133</v>
      </c>
      <c r="AK56" s="37">
        <v>14</v>
      </c>
      <c r="AL56" s="38">
        <v>8</v>
      </c>
      <c r="AM56" s="40">
        <f t="shared" si="70"/>
        <v>112</v>
      </c>
      <c r="AN56" s="214">
        <f t="shared" si="71"/>
        <v>448</v>
      </c>
      <c r="AO56" s="204">
        <f t="shared" si="69"/>
        <v>1569</v>
      </c>
    </row>
    <row r="57" spans="1:54" s="22" customFormat="1" ht="127.5" customHeight="1" x14ac:dyDescent="0.2">
      <c r="A57" s="22">
        <f t="shared" si="3"/>
        <v>6481</v>
      </c>
      <c r="B57" s="116">
        <v>1001012456481</v>
      </c>
      <c r="C57" s="46" t="s">
        <v>584</v>
      </c>
      <c r="D57" s="23" t="s">
        <v>3</v>
      </c>
      <c r="E57" s="146" t="s">
        <v>373</v>
      </c>
      <c r="F57" s="132" t="s">
        <v>36</v>
      </c>
      <c r="G57" s="146" t="s">
        <v>6</v>
      </c>
      <c r="H57" s="24" t="s">
        <v>194</v>
      </c>
      <c r="I57" s="153" t="s">
        <v>1566</v>
      </c>
      <c r="J57" s="148" t="s">
        <v>412</v>
      </c>
      <c r="K57" s="26" t="s">
        <v>1442</v>
      </c>
      <c r="L57" s="27">
        <v>9</v>
      </c>
      <c r="M57" s="28">
        <v>14</v>
      </c>
      <c r="N57" s="29">
        <v>5</v>
      </c>
      <c r="O57" s="30" t="s">
        <v>1443</v>
      </c>
      <c r="P57" s="31" t="s">
        <v>104</v>
      </c>
      <c r="Q57" s="31">
        <v>60</v>
      </c>
      <c r="R57" s="32" t="s">
        <v>37</v>
      </c>
      <c r="S57" s="135">
        <v>2312679000006</v>
      </c>
      <c r="T57" s="333">
        <v>12312679000003</v>
      </c>
      <c r="U57" s="46" t="s">
        <v>1874</v>
      </c>
      <c r="V57" s="46" t="s">
        <v>1874</v>
      </c>
      <c r="W57" s="157">
        <v>230</v>
      </c>
      <c r="X57" s="34">
        <v>90</v>
      </c>
      <c r="Y57" s="34">
        <v>90</v>
      </c>
      <c r="Z57" s="35">
        <v>1</v>
      </c>
      <c r="AA57" s="271">
        <v>2E-3</v>
      </c>
      <c r="AB57" s="36">
        <f>Z57+AA57</f>
        <v>1.002</v>
      </c>
      <c r="AC57" s="37">
        <v>292</v>
      </c>
      <c r="AD57" s="38">
        <v>178</v>
      </c>
      <c r="AE57" s="38">
        <v>178</v>
      </c>
      <c r="AF57" s="190">
        <v>4</v>
      </c>
      <c r="AG57" s="117">
        <v>600000029</v>
      </c>
      <c r="AH57" s="103">
        <f>справочники!$C$21</f>
        <v>0.125</v>
      </c>
      <c r="AI57" s="39">
        <f t="shared" si="65"/>
        <v>4</v>
      </c>
      <c r="AJ57" s="121">
        <f t="shared" si="66"/>
        <v>4.133</v>
      </c>
      <c r="AK57" s="37">
        <v>16</v>
      </c>
      <c r="AL57" s="38">
        <v>8</v>
      </c>
      <c r="AM57" s="40">
        <f t="shared" si="70"/>
        <v>128</v>
      </c>
      <c r="AN57" s="214">
        <f t="shared" si="71"/>
        <v>512</v>
      </c>
      <c r="AO57" s="204">
        <f t="shared" si="69"/>
        <v>1569</v>
      </c>
    </row>
    <row r="58" spans="1:54" ht="127.5" customHeight="1" x14ac:dyDescent="0.2">
      <c r="A58" s="22">
        <f t="shared" si="3"/>
        <v>6904</v>
      </c>
      <c r="B58" s="116">
        <v>1001012456904</v>
      </c>
      <c r="C58" s="25" t="s">
        <v>894</v>
      </c>
      <c r="D58" s="23" t="s">
        <v>4</v>
      </c>
      <c r="E58" s="146" t="s">
        <v>373</v>
      </c>
      <c r="F58" s="132" t="s">
        <v>36</v>
      </c>
      <c r="G58" s="146" t="s">
        <v>6</v>
      </c>
      <c r="H58" s="24" t="s">
        <v>1118</v>
      </c>
      <c r="I58" s="153" t="s">
        <v>1566</v>
      </c>
      <c r="J58" s="148" t="s">
        <v>412</v>
      </c>
      <c r="K58" s="26" t="s">
        <v>1442</v>
      </c>
      <c r="L58" s="27">
        <v>9</v>
      </c>
      <c r="M58" s="28">
        <v>14</v>
      </c>
      <c r="N58" s="29">
        <v>5</v>
      </c>
      <c r="O58" s="30" t="s">
        <v>1443</v>
      </c>
      <c r="P58" s="31" t="s">
        <v>104</v>
      </c>
      <c r="Q58" s="31">
        <v>60</v>
      </c>
      <c r="R58" s="32" t="s">
        <v>37</v>
      </c>
      <c r="S58" s="233">
        <v>4607958078004</v>
      </c>
      <c r="T58" s="334">
        <v>14607958078001</v>
      </c>
      <c r="U58" s="46">
        <v>4607958078004</v>
      </c>
      <c r="V58" s="46">
        <v>14607958078001</v>
      </c>
      <c r="W58" s="157">
        <v>160</v>
      </c>
      <c r="X58" s="34">
        <v>67</v>
      </c>
      <c r="Y58" s="34">
        <v>67</v>
      </c>
      <c r="Z58" s="35">
        <v>0.4</v>
      </c>
      <c r="AA58" s="271">
        <v>2E-3</v>
      </c>
      <c r="AB58" s="36">
        <f>Z58+AA58</f>
        <v>0.40200000000000002</v>
      </c>
      <c r="AC58" s="59">
        <v>318</v>
      </c>
      <c r="AD58" s="60">
        <v>143</v>
      </c>
      <c r="AE58" s="60">
        <v>138</v>
      </c>
      <c r="AF58" s="191">
        <v>8</v>
      </c>
      <c r="AG58" s="117">
        <v>600000407</v>
      </c>
      <c r="AH58" s="104">
        <f>справочники!$C$106</f>
        <v>9.4E-2</v>
      </c>
      <c r="AI58" s="39">
        <f t="shared" si="65"/>
        <v>3.2</v>
      </c>
      <c r="AJ58" s="121">
        <f t="shared" si="66"/>
        <v>3.31</v>
      </c>
      <c r="AK58" s="37">
        <v>19</v>
      </c>
      <c r="AL58" s="38">
        <v>11</v>
      </c>
      <c r="AM58" s="40">
        <f t="shared" si="70"/>
        <v>209</v>
      </c>
      <c r="AN58" s="206">
        <f t="shared" si="71"/>
        <v>1672</v>
      </c>
      <c r="AO58" s="204">
        <f t="shared" si="69"/>
        <v>1663</v>
      </c>
      <c r="AP58" s="22"/>
      <c r="AQ58" s="22"/>
      <c r="AR58" s="22"/>
      <c r="AS58" s="22"/>
      <c r="AT58" s="22"/>
      <c r="AU58" s="22"/>
      <c r="AV58" s="22"/>
      <c r="AW58" s="22"/>
      <c r="AX58" s="22"/>
      <c r="AY58" s="22"/>
      <c r="AZ58" s="22"/>
      <c r="BA58" s="22"/>
      <c r="BB58" s="22"/>
    </row>
    <row r="59" spans="1:54" s="22" customFormat="1" ht="204" x14ac:dyDescent="0.2">
      <c r="A59" s="22">
        <f t="shared" si="3"/>
        <v>6479</v>
      </c>
      <c r="B59" s="116">
        <v>1001012456479</v>
      </c>
      <c r="C59" s="25" t="s">
        <v>571</v>
      </c>
      <c r="D59" s="23" t="s">
        <v>4</v>
      </c>
      <c r="E59" s="146" t="s">
        <v>373</v>
      </c>
      <c r="F59" s="132" t="s">
        <v>36</v>
      </c>
      <c r="G59" s="146" t="s">
        <v>6</v>
      </c>
      <c r="H59" s="24" t="s">
        <v>1549</v>
      </c>
      <c r="I59" s="153" t="s">
        <v>1566</v>
      </c>
      <c r="J59" s="148" t="s">
        <v>412</v>
      </c>
      <c r="K59" s="26" t="s">
        <v>1442</v>
      </c>
      <c r="L59" s="27">
        <v>9</v>
      </c>
      <c r="M59" s="28">
        <v>14</v>
      </c>
      <c r="N59" s="29">
        <v>5</v>
      </c>
      <c r="O59" s="30" t="s">
        <v>1443</v>
      </c>
      <c r="P59" s="31" t="s">
        <v>104</v>
      </c>
      <c r="Q59" s="31">
        <v>60</v>
      </c>
      <c r="R59" s="32" t="s">
        <v>37</v>
      </c>
      <c r="S59" s="233">
        <v>4607958075409</v>
      </c>
      <c r="T59" s="334">
        <v>14607958075406</v>
      </c>
      <c r="U59" s="46">
        <v>4607958075409</v>
      </c>
      <c r="V59" s="46">
        <v>14607958075406</v>
      </c>
      <c r="W59" s="157">
        <v>190</v>
      </c>
      <c r="X59" s="34">
        <v>67</v>
      </c>
      <c r="Y59" s="34">
        <v>67</v>
      </c>
      <c r="Z59" s="35">
        <v>0.5</v>
      </c>
      <c r="AA59" s="271">
        <v>2E-3</v>
      </c>
      <c r="AB59" s="36">
        <f t="shared" si="16"/>
        <v>0.502</v>
      </c>
      <c r="AC59" s="37">
        <v>278</v>
      </c>
      <c r="AD59" s="38">
        <v>193</v>
      </c>
      <c r="AE59" s="38">
        <v>138</v>
      </c>
      <c r="AF59" s="190">
        <v>8</v>
      </c>
      <c r="AG59" s="117">
        <v>600000404</v>
      </c>
      <c r="AH59" s="103">
        <f>справочники!$C$101</f>
        <v>0.105</v>
      </c>
      <c r="AI59" s="39">
        <f t="shared" si="65"/>
        <v>4</v>
      </c>
      <c r="AJ59" s="121">
        <f t="shared" si="66"/>
        <v>4.1210000000000004</v>
      </c>
      <c r="AK59" s="37">
        <v>16</v>
      </c>
      <c r="AL59" s="38">
        <v>9</v>
      </c>
      <c r="AM59" s="40">
        <f t="shared" si="70"/>
        <v>144</v>
      </c>
      <c r="AN59" s="206">
        <f t="shared" si="71"/>
        <v>1152</v>
      </c>
      <c r="AO59" s="204">
        <f t="shared" si="69"/>
        <v>1387</v>
      </c>
    </row>
    <row r="60" spans="1:54" s="22" customFormat="1" ht="141" customHeight="1" x14ac:dyDescent="0.2">
      <c r="A60" s="22">
        <f t="shared" si="3"/>
        <v>7500</v>
      </c>
      <c r="B60" s="116">
        <v>1001010027500</v>
      </c>
      <c r="C60" s="25" t="s">
        <v>1581</v>
      </c>
      <c r="D60" s="23" t="s">
        <v>4</v>
      </c>
      <c r="E60" s="146" t="s">
        <v>373</v>
      </c>
      <c r="F60" s="132" t="s">
        <v>36</v>
      </c>
      <c r="G60" s="146" t="s">
        <v>1582</v>
      </c>
      <c r="H60" s="24" t="s">
        <v>1315</v>
      </c>
      <c r="I60" s="153" t="s">
        <v>1566</v>
      </c>
      <c r="J60" s="148" t="s">
        <v>408</v>
      </c>
      <c r="K60" s="26" t="s">
        <v>1669</v>
      </c>
      <c r="L60" s="41">
        <v>11</v>
      </c>
      <c r="M60" s="42">
        <v>16</v>
      </c>
      <c r="N60" s="43">
        <v>3</v>
      </c>
      <c r="O60" s="44" t="s">
        <v>914</v>
      </c>
      <c r="P60" s="31" t="s">
        <v>104</v>
      </c>
      <c r="Q60" s="31">
        <v>60</v>
      </c>
      <c r="R60" s="32" t="s">
        <v>37</v>
      </c>
      <c r="S60" s="233">
        <v>4630362181466</v>
      </c>
      <c r="T60" s="334">
        <v>14630362181463</v>
      </c>
      <c r="U60" s="46">
        <v>4630362181466</v>
      </c>
      <c r="V60" s="46">
        <v>14630362181463</v>
      </c>
      <c r="W60" s="157">
        <v>190</v>
      </c>
      <c r="X60" s="34">
        <v>67</v>
      </c>
      <c r="Y60" s="34">
        <v>67</v>
      </c>
      <c r="Z60" s="35">
        <v>0.5</v>
      </c>
      <c r="AA60" s="271">
        <v>2E-3</v>
      </c>
      <c r="AB60" s="36">
        <f t="shared" ref="AB60" si="72">Z60+AA60</f>
        <v>0.502</v>
      </c>
      <c r="AC60" s="37">
        <v>278</v>
      </c>
      <c r="AD60" s="38">
        <v>193</v>
      </c>
      <c r="AE60" s="38">
        <v>138</v>
      </c>
      <c r="AF60" s="190">
        <v>8</v>
      </c>
      <c r="AG60" s="117">
        <v>600000404</v>
      </c>
      <c r="AH60" s="104">
        <f>справочники!$C$101</f>
        <v>0.105</v>
      </c>
      <c r="AI60" s="39">
        <f t="shared" si="65"/>
        <v>4</v>
      </c>
      <c r="AJ60" s="121">
        <f t="shared" si="66"/>
        <v>4.1210000000000004</v>
      </c>
      <c r="AK60" s="37">
        <v>16</v>
      </c>
      <c r="AL60" s="38">
        <v>9</v>
      </c>
      <c r="AM60" s="40">
        <f t="shared" si="70"/>
        <v>144</v>
      </c>
      <c r="AN60" s="206">
        <f t="shared" si="71"/>
        <v>1152</v>
      </c>
      <c r="AO60" s="204">
        <f t="shared" si="69"/>
        <v>1387</v>
      </c>
    </row>
    <row r="61" spans="1:54" s="22" customFormat="1" ht="191.25" x14ac:dyDescent="0.2">
      <c r="A61" s="22">
        <f t="shared" si="3"/>
        <v>7307</v>
      </c>
      <c r="B61" s="116">
        <v>1001010477307</v>
      </c>
      <c r="C61" s="25" t="s">
        <v>1276</v>
      </c>
      <c r="D61" s="23" t="s">
        <v>4</v>
      </c>
      <c r="E61" s="146" t="s">
        <v>373</v>
      </c>
      <c r="F61" s="132" t="s">
        <v>36</v>
      </c>
      <c r="G61" s="146" t="s">
        <v>6</v>
      </c>
      <c r="H61" s="115" t="s">
        <v>1</v>
      </c>
      <c r="I61" s="153" t="s">
        <v>387</v>
      </c>
      <c r="J61" s="150" t="s">
        <v>639</v>
      </c>
      <c r="K61" s="26" t="s">
        <v>1277</v>
      </c>
      <c r="L61" s="27">
        <v>10</v>
      </c>
      <c r="M61" s="28">
        <v>15</v>
      </c>
      <c r="N61" s="28">
        <v>2</v>
      </c>
      <c r="O61" s="29" t="s">
        <v>617</v>
      </c>
      <c r="P61" s="31" t="s">
        <v>104</v>
      </c>
      <c r="Q61" s="31">
        <v>30</v>
      </c>
      <c r="R61" s="32" t="s">
        <v>28</v>
      </c>
      <c r="S61" s="233">
        <v>4607958079728</v>
      </c>
      <c r="T61" s="334">
        <v>14607958079725</v>
      </c>
      <c r="U61" s="46">
        <v>4607958079728</v>
      </c>
      <c r="V61" s="46">
        <v>14607958079725</v>
      </c>
      <c r="W61" s="157">
        <v>215</v>
      </c>
      <c r="X61" s="34">
        <v>100</v>
      </c>
      <c r="Y61" s="34">
        <v>69</v>
      </c>
      <c r="Z61" s="35">
        <v>0.4</v>
      </c>
      <c r="AA61" s="271">
        <v>5.0000000000000001E-3</v>
      </c>
      <c r="AB61" s="36">
        <f>Z61+AA61</f>
        <v>0.40500000000000003</v>
      </c>
      <c r="AC61" s="59">
        <v>318</v>
      </c>
      <c r="AD61" s="60">
        <v>143</v>
      </c>
      <c r="AE61" s="60">
        <v>138</v>
      </c>
      <c r="AF61" s="191">
        <v>6</v>
      </c>
      <c r="AG61" s="117">
        <v>600000407</v>
      </c>
      <c r="AH61" s="104">
        <f>справочники!$C$106</f>
        <v>9.4E-2</v>
      </c>
      <c r="AI61" s="39">
        <f t="shared" si="65"/>
        <v>2.4</v>
      </c>
      <c r="AJ61" s="121">
        <f t="shared" si="66"/>
        <v>2.524</v>
      </c>
      <c r="AK61" s="37">
        <v>19</v>
      </c>
      <c r="AL61" s="38">
        <v>11</v>
      </c>
      <c r="AM61" s="40">
        <f>AK61*AL61</f>
        <v>209</v>
      </c>
      <c r="AN61" s="206">
        <f>IF(D61="ШТ",кол_во_инд.__упак_к*итого_г_у,ROUNDDOWN(номин.вес_нетто_г_у__кг*итого_г_у,1))</f>
        <v>1254</v>
      </c>
      <c r="AO61" s="204">
        <f t="shared" si="69"/>
        <v>1663</v>
      </c>
    </row>
    <row r="62" spans="1:54" s="22" customFormat="1" ht="229.5" x14ac:dyDescent="0.2">
      <c r="A62" s="22">
        <f t="shared" si="3"/>
        <v>6594</v>
      </c>
      <c r="B62" s="116">
        <v>1001010026594</v>
      </c>
      <c r="C62" s="25" t="s">
        <v>2065</v>
      </c>
      <c r="D62" s="23" t="s">
        <v>3</v>
      </c>
      <c r="E62" s="146" t="s">
        <v>373</v>
      </c>
      <c r="F62" s="132" t="s">
        <v>36</v>
      </c>
      <c r="G62" s="223" t="s">
        <v>2066</v>
      </c>
      <c r="H62" s="115" t="s">
        <v>135</v>
      </c>
      <c r="I62" s="153" t="s">
        <v>387</v>
      </c>
      <c r="J62" s="150" t="s">
        <v>639</v>
      </c>
      <c r="K62" s="26" t="s">
        <v>2067</v>
      </c>
      <c r="L62" s="41">
        <v>13</v>
      </c>
      <c r="M62" s="42">
        <v>18</v>
      </c>
      <c r="N62" s="43">
        <v>9</v>
      </c>
      <c r="O62" s="43" t="s">
        <v>2068</v>
      </c>
      <c r="P62" s="31" t="s">
        <v>104</v>
      </c>
      <c r="Q62" s="31">
        <v>60</v>
      </c>
      <c r="R62" s="32" t="s">
        <v>37</v>
      </c>
      <c r="S62" s="233">
        <v>2100011490000</v>
      </c>
      <c r="T62" s="334">
        <v>12100011490007</v>
      </c>
      <c r="U62" s="46">
        <v>4630362183163</v>
      </c>
      <c r="V62" s="46">
        <v>14630362183160</v>
      </c>
      <c r="W62" s="157">
        <v>230</v>
      </c>
      <c r="X62" s="34">
        <v>89</v>
      </c>
      <c r="Y62" s="34">
        <v>89</v>
      </c>
      <c r="Z62" s="35">
        <v>1.35</v>
      </c>
      <c r="AA62" s="271">
        <v>2E-3</v>
      </c>
      <c r="AB62" s="36">
        <f>Z62+AA62</f>
        <v>1.3520000000000001</v>
      </c>
      <c r="AC62" s="59">
        <v>385</v>
      </c>
      <c r="AD62" s="60">
        <v>285</v>
      </c>
      <c r="AE62" s="60">
        <v>185</v>
      </c>
      <c r="AF62" s="191">
        <v>8</v>
      </c>
      <c r="AG62" s="117">
        <v>600000290</v>
      </c>
      <c r="AH62" s="104">
        <f>справочники!$C$59</f>
        <v>0.35199999999999998</v>
      </c>
      <c r="AI62" s="39">
        <f t="shared" si="65"/>
        <v>10.8</v>
      </c>
      <c r="AJ62" s="121">
        <f t="shared" si="66"/>
        <v>11.168000000000001</v>
      </c>
      <c r="AK62" s="37">
        <v>8</v>
      </c>
      <c r="AL62" s="38">
        <v>8</v>
      </c>
      <c r="AM62" s="40">
        <f>AK62*AL62</f>
        <v>64</v>
      </c>
      <c r="AN62" s="272">
        <f>IF(D62="ШТ",кол_во_инд.__упак_к*итого_г_у,ROUNDDOWN(номин.вес_нетто_г_у__кг*итого_г_у,1))</f>
        <v>691.2</v>
      </c>
      <c r="AO62" s="204">
        <f t="shared" si="69"/>
        <v>1625</v>
      </c>
    </row>
    <row r="63" spans="1:54" s="22" customFormat="1" ht="204" x14ac:dyDescent="0.2">
      <c r="A63" s="22">
        <f t="shared" si="3"/>
        <v>7409</v>
      </c>
      <c r="B63" s="116">
        <v>1001017027409</v>
      </c>
      <c r="C63" s="25" t="s">
        <v>1459</v>
      </c>
      <c r="D63" s="23" t="s">
        <v>4</v>
      </c>
      <c r="E63" s="146" t="s">
        <v>373</v>
      </c>
      <c r="F63" s="132" t="s">
        <v>36</v>
      </c>
      <c r="G63" s="146" t="s">
        <v>1453</v>
      </c>
      <c r="H63" s="24" t="s">
        <v>1454</v>
      </c>
      <c r="I63" s="153" t="s">
        <v>1455</v>
      </c>
      <c r="J63" s="151" t="s">
        <v>639</v>
      </c>
      <c r="K63" s="26" t="s">
        <v>1460</v>
      </c>
      <c r="L63" s="41">
        <v>10</v>
      </c>
      <c r="M63" s="42">
        <v>11</v>
      </c>
      <c r="N63" s="43">
        <v>3</v>
      </c>
      <c r="O63" s="44" t="s">
        <v>1433</v>
      </c>
      <c r="P63" s="31" t="s">
        <v>104</v>
      </c>
      <c r="Q63" s="31">
        <v>60</v>
      </c>
      <c r="R63" s="32" t="s">
        <v>37</v>
      </c>
      <c r="S63" s="242">
        <v>4630362180377</v>
      </c>
      <c r="T63" s="335">
        <v>14630362180374</v>
      </c>
      <c r="U63" s="46">
        <v>4630362180377</v>
      </c>
      <c r="V63" s="46">
        <v>14630362180374</v>
      </c>
      <c r="W63" s="157">
        <v>190</v>
      </c>
      <c r="X63" s="34">
        <v>67</v>
      </c>
      <c r="Y63" s="34">
        <v>67</v>
      </c>
      <c r="Z63" s="35">
        <v>0.5</v>
      </c>
      <c r="AA63" s="271">
        <v>6.0000000000000001E-3</v>
      </c>
      <c r="AB63" s="36">
        <f t="shared" ref="AB63:AB64" si="73">Z63+AA63</f>
        <v>0.50600000000000001</v>
      </c>
      <c r="AC63" s="37">
        <v>278</v>
      </c>
      <c r="AD63" s="38">
        <v>193</v>
      </c>
      <c r="AE63" s="38">
        <v>138</v>
      </c>
      <c r="AF63" s="190">
        <v>8</v>
      </c>
      <c r="AG63" s="117">
        <v>600000404</v>
      </c>
      <c r="AH63" s="103">
        <f>справочники!$C$179</f>
        <v>0.13800000000000001</v>
      </c>
      <c r="AI63" s="39">
        <f t="shared" si="65"/>
        <v>4</v>
      </c>
      <c r="AJ63" s="121">
        <f t="shared" si="66"/>
        <v>4.1859999999999999</v>
      </c>
      <c r="AK63" s="37">
        <v>16</v>
      </c>
      <c r="AL63" s="38">
        <v>9</v>
      </c>
      <c r="AM63" s="40">
        <f t="shared" ref="AM63:AM64" si="74">AK63*AL63</f>
        <v>144</v>
      </c>
      <c r="AN63" s="206">
        <f t="shared" ref="AN63:AN64" si="75">IF(D63="ШТ",кол_во_инд.__упак_к*итого_г_у,ROUNDDOWN(номин.вес_нетто_г_у__кг*итого_г_у,1))</f>
        <v>1152</v>
      </c>
      <c r="AO63" s="204">
        <f t="shared" si="69"/>
        <v>1387</v>
      </c>
    </row>
    <row r="64" spans="1:54" s="22" customFormat="1" ht="204" x14ac:dyDescent="0.2">
      <c r="A64" s="22">
        <f t="shared" si="3"/>
        <v>7404</v>
      </c>
      <c r="B64" s="116">
        <v>1001017027404</v>
      </c>
      <c r="C64" s="25" t="s">
        <v>1461</v>
      </c>
      <c r="D64" s="23" t="s">
        <v>4</v>
      </c>
      <c r="E64" s="146" t="s">
        <v>373</v>
      </c>
      <c r="F64" s="132" t="s">
        <v>36</v>
      </c>
      <c r="G64" s="146" t="s">
        <v>1453</v>
      </c>
      <c r="H64" s="24" t="s">
        <v>1454</v>
      </c>
      <c r="I64" s="153" t="s">
        <v>1455</v>
      </c>
      <c r="J64" s="151" t="s">
        <v>639</v>
      </c>
      <c r="K64" s="26" t="s">
        <v>1460</v>
      </c>
      <c r="L64" s="41">
        <v>10</v>
      </c>
      <c r="M64" s="42">
        <v>11</v>
      </c>
      <c r="N64" s="43">
        <v>3</v>
      </c>
      <c r="O64" s="44" t="s">
        <v>1433</v>
      </c>
      <c r="P64" s="31" t="s">
        <v>104</v>
      </c>
      <c r="Q64" s="31">
        <v>60</v>
      </c>
      <c r="R64" s="32" t="s">
        <v>37</v>
      </c>
      <c r="S64" s="242">
        <v>4630362180384</v>
      </c>
      <c r="T64" s="335">
        <v>14630362180381</v>
      </c>
      <c r="U64" s="46">
        <v>4630362180384</v>
      </c>
      <c r="V64" s="46">
        <v>14630362180381</v>
      </c>
      <c r="W64" s="157">
        <v>250</v>
      </c>
      <c r="X64" s="34">
        <v>78</v>
      </c>
      <c r="Y64" s="34">
        <v>78</v>
      </c>
      <c r="Z64" s="35">
        <v>0.9</v>
      </c>
      <c r="AA64" s="271">
        <v>8.0000000000000002E-3</v>
      </c>
      <c r="AB64" s="36">
        <f t="shared" si="73"/>
        <v>0.90800000000000003</v>
      </c>
      <c r="AC64" s="37">
        <v>292</v>
      </c>
      <c r="AD64" s="38">
        <v>178</v>
      </c>
      <c r="AE64" s="38">
        <v>178</v>
      </c>
      <c r="AF64" s="190">
        <v>4</v>
      </c>
      <c r="AG64" s="117">
        <v>600000573</v>
      </c>
      <c r="AH64" s="103">
        <f>справочники!$C$183</f>
        <v>0.15</v>
      </c>
      <c r="AI64" s="39">
        <f t="shared" si="65"/>
        <v>3.6</v>
      </c>
      <c r="AJ64" s="121">
        <f t="shared" si="66"/>
        <v>3.782</v>
      </c>
      <c r="AK64" s="37">
        <v>16</v>
      </c>
      <c r="AL64" s="38">
        <v>8</v>
      </c>
      <c r="AM64" s="40">
        <f t="shared" si="74"/>
        <v>128</v>
      </c>
      <c r="AN64" s="206">
        <f t="shared" si="75"/>
        <v>512</v>
      </c>
      <c r="AO64" s="204">
        <f t="shared" si="69"/>
        <v>1569</v>
      </c>
    </row>
    <row r="65" spans="1:54" s="22" customFormat="1" ht="128.25" customHeight="1" x14ac:dyDescent="0.2">
      <c r="A65" s="22">
        <f t="shared" si="3"/>
        <v>4063</v>
      </c>
      <c r="B65" s="116">
        <v>1001012484063</v>
      </c>
      <c r="C65" s="46" t="s">
        <v>7</v>
      </c>
      <c r="D65" s="23" t="s">
        <v>3</v>
      </c>
      <c r="E65" s="146" t="s">
        <v>373</v>
      </c>
      <c r="F65" s="132" t="s">
        <v>36</v>
      </c>
      <c r="G65" s="146" t="s">
        <v>6</v>
      </c>
      <c r="H65" s="24" t="s">
        <v>186</v>
      </c>
      <c r="I65" s="153" t="s">
        <v>374</v>
      </c>
      <c r="J65" s="148" t="s">
        <v>412</v>
      </c>
      <c r="K65" s="26" t="s">
        <v>1145</v>
      </c>
      <c r="L65" s="27">
        <v>9</v>
      </c>
      <c r="M65" s="28">
        <v>14</v>
      </c>
      <c r="N65" s="29">
        <v>4</v>
      </c>
      <c r="O65" s="30" t="s">
        <v>704</v>
      </c>
      <c r="P65" s="31" t="s">
        <v>104</v>
      </c>
      <c r="Q65" s="31">
        <v>60</v>
      </c>
      <c r="R65" s="32" t="s">
        <v>78</v>
      </c>
      <c r="S65" s="135">
        <v>2412109000009</v>
      </c>
      <c r="T65" s="333">
        <v>12412109000006</v>
      </c>
      <c r="U65" s="46">
        <v>4607958070688</v>
      </c>
      <c r="V65" s="46">
        <v>14607958070685</v>
      </c>
      <c r="W65" s="157">
        <v>250</v>
      </c>
      <c r="X65" s="34">
        <v>90</v>
      </c>
      <c r="Y65" s="34">
        <v>90</v>
      </c>
      <c r="Z65" s="35">
        <v>1.35</v>
      </c>
      <c r="AA65" s="271">
        <v>2E-3</v>
      </c>
      <c r="AB65" s="36">
        <f t="shared" ref="AB65:AB104" si="76">Z65+AA65</f>
        <v>1.3520000000000001</v>
      </c>
      <c r="AC65" s="37">
        <v>292</v>
      </c>
      <c r="AD65" s="38">
        <v>178</v>
      </c>
      <c r="AE65" s="38">
        <v>178</v>
      </c>
      <c r="AF65" s="190">
        <v>3</v>
      </c>
      <c r="AG65" s="117">
        <v>600000029</v>
      </c>
      <c r="AH65" s="103">
        <f>справочники!$C$21</f>
        <v>0.125</v>
      </c>
      <c r="AI65" s="39">
        <f t="shared" si="65"/>
        <v>4.05</v>
      </c>
      <c r="AJ65" s="121">
        <f t="shared" si="66"/>
        <v>4.181</v>
      </c>
      <c r="AK65" s="37">
        <v>14</v>
      </c>
      <c r="AL65" s="38">
        <v>8</v>
      </c>
      <c r="AM65" s="40">
        <f t="shared" si="67"/>
        <v>112</v>
      </c>
      <c r="AN65" s="214">
        <f t="shared" si="68"/>
        <v>453.6</v>
      </c>
      <c r="AO65" s="204">
        <f t="shared" si="69"/>
        <v>1569</v>
      </c>
    </row>
    <row r="66" spans="1:54" ht="204" x14ac:dyDescent="0.2">
      <c r="A66" s="22">
        <f t="shared" si="3"/>
        <v>6333</v>
      </c>
      <c r="B66" s="116">
        <v>1001012486333</v>
      </c>
      <c r="C66" s="25" t="s">
        <v>213</v>
      </c>
      <c r="D66" s="23" t="s">
        <v>4</v>
      </c>
      <c r="E66" s="146" t="s">
        <v>373</v>
      </c>
      <c r="F66" s="132" t="s">
        <v>36</v>
      </c>
      <c r="G66" s="146" t="s">
        <v>6</v>
      </c>
      <c r="H66" s="24" t="s">
        <v>1</v>
      </c>
      <c r="I66" s="153" t="s">
        <v>1566</v>
      </c>
      <c r="J66" s="148" t="s">
        <v>412</v>
      </c>
      <c r="K66" s="26" t="s">
        <v>1442</v>
      </c>
      <c r="L66" s="27">
        <v>9</v>
      </c>
      <c r="M66" s="28">
        <v>14</v>
      </c>
      <c r="N66" s="29">
        <v>5</v>
      </c>
      <c r="O66" s="30" t="s">
        <v>1443</v>
      </c>
      <c r="P66" s="31" t="s">
        <v>104</v>
      </c>
      <c r="Q66" s="31">
        <v>60</v>
      </c>
      <c r="R66" s="32" t="s">
        <v>37</v>
      </c>
      <c r="S66" s="233">
        <v>4607958070862</v>
      </c>
      <c r="T66" s="334">
        <v>14607958070869</v>
      </c>
      <c r="U66" s="46">
        <v>4607958070862</v>
      </c>
      <c r="V66" s="46">
        <v>14607958070869</v>
      </c>
      <c r="W66" s="157">
        <v>180</v>
      </c>
      <c r="X66" s="34">
        <v>59</v>
      </c>
      <c r="Y66" s="34">
        <v>59</v>
      </c>
      <c r="Z66" s="35">
        <v>0.4</v>
      </c>
      <c r="AA66" s="271">
        <v>2E-3</v>
      </c>
      <c r="AB66" s="36">
        <f t="shared" si="76"/>
        <v>0.40200000000000002</v>
      </c>
      <c r="AC66" s="59">
        <v>258</v>
      </c>
      <c r="AD66" s="60">
        <v>193</v>
      </c>
      <c r="AE66" s="60">
        <v>123</v>
      </c>
      <c r="AF66" s="191">
        <v>8</v>
      </c>
      <c r="AG66" s="117">
        <v>600000403</v>
      </c>
      <c r="AH66" s="104">
        <f>справочники!$C$100</f>
        <v>0.104</v>
      </c>
      <c r="AI66" s="39">
        <f t="shared" si="65"/>
        <v>3.2</v>
      </c>
      <c r="AJ66" s="121">
        <f t="shared" si="66"/>
        <v>3.3200000000000003</v>
      </c>
      <c r="AK66" s="37">
        <v>18</v>
      </c>
      <c r="AL66" s="38">
        <v>12</v>
      </c>
      <c r="AM66" s="40">
        <f t="shared" si="67"/>
        <v>216</v>
      </c>
      <c r="AN66" s="206">
        <f t="shared" si="68"/>
        <v>1728</v>
      </c>
      <c r="AO66" s="204">
        <f t="shared" si="69"/>
        <v>1621</v>
      </c>
      <c r="AP66" s="22"/>
      <c r="AQ66" s="22"/>
      <c r="AR66" s="22"/>
      <c r="AS66" s="22"/>
      <c r="AT66" s="22"/>
      <c r="AU66" s="22"/>
      <c r="AV66" s="22"/>
      <c r="AW66" s="22"/>
      <c r="AX66" s="22"/>
      <c r="AY66" s="22"/>
      <c r="AZ66" s="22"/>
      <c r="BA66" s="22"/>
      <c r="BB66" s="22"/>
    </row>
    <row r="67" spans="1:54" s="22" customFormat="1" ht="204" x14ac:dyDescent="0.2">
      <c r="A67" s="22">
        <f t="shared" si="3"/>
        <v>6334</v>
      </c>
      <c r="B67" s="116">
        <v>1001012486334</v>
      </c>
      <c r="C67" s="25" t="s">
        <v>221</v>
      </c>
      <c r="D67" s="23" t="s">
        <v>4</v>
      </c>
      <c r="E67" s="146" t="s">
        <v>373</v>
      </c>
      <c r="F67" s="132" t="s">
        <v>36</v>
      </c>
      <c r="G67" s="146" t="s">
        <v>6</v>
      </c>
      <c r="H67" s="24" t="s">
        <v>1</v>
      </c>
      <c r="I67" s="153" t="s">
        <v>1566</v>
      </c>
      <c r="J67" s="148" t="s">
        <v>412</v>
      </c>
      <c r="K67" s="26" t="s">
        <v>1442</v>
      </c>
      <c r="L67" s="27">
        <v>9</v>
      </c>
      <c r="M67" s="28">
        <v>14</v>
      </c>
      <c r="N67" s="29">
        <v>5</v>
      </c>
      <c r="O67" s="30" t="s">
        <v>1443</v>
      </c>
      <c r="P67" s="31" t="s">
        <v>104</v>
      </c>
      <c r="Q67" s="31">
        <v>60</v>
      </c>
      <c r="R67" s="32" t="s">
        <v>37</v>
      </c>
      <c r="S67" s="233">
        <v>4607958070862</v>
      </c>
      <c r="T67" s="334">
        <v>14607958070869</v>
      </c>
      <c r="U67" s="46">
        <v>4607958070862</v>
      </c>
      <c r="V67" s="46">
        <v>14607958070869</v>
      </c>
      <c r="W67" s="157">
        <v>180</v>
      </c>
      <c r="X67" s="34">
        <v>59</v>
      </c>
      <c r="Y67" s="34">
        <v>59</v>
      </c>
      <c r="Z67" s="35">
        <v>0.4</v>
      </c>
      <c r="AA67" s="271">
        <v>2E-3</v>
      </c>
      <c r="AB67" s="36">
        <f t="shared" si="76"/>
        <v>0.40200000000000002</v>
      </c>
      <c r="AC67" s="59">
        <v>258</v>
      </c>
      <c r="AD67" s="60">
        <v>193</v>
      </c>
      <c r="AE67" s="60">
        <v>123</v>
      </c>
      <c r="AF67" s="191">
        <v>8</v>
      </c>
      <c r="AG67" s="117">
        <v>600000403</v>
      </c>
      <c r="AH67" s="104">
        <f>справочники!$C$100</f>
        <v>0.104</v>
      </c>
      <c r="AI67" s="39">
        <f t="shared" si="65"/>
        <v>3.2</v>
      </c>
      <c r="AJ67" s="121">
        <f t="shared" si="66"/>
        <v>3.3200000000000003</v>
      </c>
      <c r="AK67" s="37">
        <v>18</v>
      </c>
      <c r="AL67" s="38">
        <v>12</v>
      </c>
      <c r="AM67" s="40">
        <f t="shared" si="67"/>
        <v>216</v>
      </c>
      <c r="AN67" s="206">
        <f t="shared" si="68"/>
        <v>1728</v>
      </c>
      <c r="AO67" s="204">
        <f t="shared" si="69"/>
        <v>1621</v>
      </c>
    </row>
    <row r="68" spans="1:54" s="22" customFormat="1" ht="128.25" customHeight="1" x14ac:dyDescent="0.2">
      <c r="A68" s="22">
        <f t="shared" ref="A68:A131" si="77">VALUE(RIGHT(B68,4))</f>
        <v>6332</v>
      </c>
      <c r="B68" s="116">
        <v>1001012486332</v>
      </c>
      <c r="C68" s="25" t="s">
        <v>122</v>
      </c>
      <c r="D68" s="23" t="s">
        <v>4</v>
      </c>
      <c r="E68" s="146" t="s">
        <v>373</v>
      </c>
      <c r="F68" s="132" t="s">
        <v>36</v>
      </c>
      <c r="G68" s="146" t="s">
        <v>6</v>
      </c>
      <c r="H68" s="24" t="s">
        <v>1583</v>
      </c>
      <c r="I68" s="153" t="s">
        <v>1566</v>
      </c>
      <c r="J68" s="148" t="s">
        <v>412</v>
      </c>
      <c r="K68" s="26" t="s">
        <v>1442</v>
      </c>
      <c r="L68" s="27">
        <v>9</v>
      </c>
      <c r="M68" s="28">
        <v>14</v>
      </c>
      <c r="N68" s="29">
        <v>5</v>
      </c>
      <c r="O68" s="30" t="s">
        <v>1443</v>
      </c>
      <c r="P68" s="31" t="s">
        <v>104</v>
      </c>
      <c r="Q68" s="31">
        <v>60</v>
      </c>
      <c r="R68" s="32" t="s">
        <v>37</v>
      </c>
      <c r="S68" s="233">
        <v>4607958074747</v>
      </c>
      <c r="T68" s="334">
        <v>14607958074744</v>
      </c>
      <c r="U68" s="46">
        <v>4607958074747</v>
      </c>
      <c r="V68" s="46">
        <v>14607958074744</v>
      </c>
      <c r="W68" s="157">
        <v>190</v>
      </c>
      <c r="X68" s="34">
        <v>67</v>
      </c>
      <c r="Y68" s="34">
        <v>67</v>
      </c>
      <c r="Z68" s="35">
        <v>0.5</v>
      </c>
      <c r="AA68" s="271">
        <v>2E-3</v>
      </c>
      <c r="AB68" s="36">
        <f t="shared" si="76"/>
        <v>0.502</v>
      </c>
      <c r="AC68" s="37">
        <v>278</v>
      </c>
      <c r="AD68" s="38">
        <v>193</v>
      </c>
      <c r="AE68" s="38">
        <v>138</v>
      </c>
      <c r="AF68" s="190">
        <v>8</v>
      </c>
      <c r="AG68" s="117">
        <v>600000404</v>
      </c>
      <c r="AH68" s="103">
        <f>справочники!$C$101</f>
        <v>0.105</v>
      </c>
      <c r="AI68" s="39">
        <f t="shared" si="65"/>
        <v>4</v>
      </c>
      <c r="AJ68" s="121">
        <f t="shared" si="66"/>
        <v>4.1210000000000004</v>
      </c>
      <c r="AK68" s="37">
        <v>16</v>
      </c>
      <c r="AL68" s="38">
        <v>9</v>
      </c>
      <c r="AM68" s="40">
        <f t="shared" si="67"/>
        <v>144</v>
      </c>
      <c r="AN68" s="206">
        <f t="shared" si="68"/>
        <v>1152</v>
      </c>
      <c r="AO68" s="204">
        <f t="shared" si="69"/>
        <v>1387</v>
      </c>
    </row>
    <row r="69" spans="1:54" ht="204" x14ac:dyDescent="0.2">
      <c r="A69" s="22">
        <f t="shared" si="77"/>
        <v>7323</v>
      </c>
      <c r="B69" s="116">
        <v>1001016767323</v>
      </c>
      <c r="C69" s="48" t="s">
        <v>1450</v>
      </c>
      <c r="D69" s="49" t="s">
        <v>4</v>
      </c>
      <c r="E69" s="146" t="s">
        <v>373</v>
      </c>
      <c r="F69" s="132" t="s">
        <v>36</v>
      </c>
      <c r="G69" s="224" t="s">
        <v>6</v>
      </c>
      <c r="H69" s="49" t="s">
        <v>1</v>
      </c>
      <c r="I69" s="154" t="s">
        <v>380</v>
      </c>
      <c r="J69" s="148" t="s">
        <v>412</v>
      </c>
      <c r="K69" s="83" t="s">
        <v>1839</v>
      </c>
      <c r="L69" s="286">
        <v>12</v>
      </c>
      <c r="M69" s="287">
        <v>14</v>
      </c>
      <c r="N69" s="91">
        <v>3</v>
      </c>
      <c r="O69" s="162" t="s">
        <v>1840</v>
      </c>
      <c r="P69" s="31" t="s">
        <v>104</v>
      </c>
      <c r="Q69" s="87">
        <v>30</v>
      </c>
      <c r="R69" s="82" t="s">
        <v>28</v>
      </c>
      <c r="S69" s="237">
        <v>4630362180735</v>
      </c>
      <c r="T69" s="332">
        <v>14630362180732</v>
      </c>
      <c r="U69" s="46">
        <v>4630362180735</v>
      </c>
      <c r="V69" s="46">
        <v>14630362180732</v>
      </c>
      <c r="W69" s="258">
        <v>230</v>
      </c>
      <c r="X69" s="68">
        <v>90</v>
      </c>
      <c r="Y69" s="68">
        <v>20</v>
      </c>
      <c r="Z69" s="65">
        <v>0.15</v>
      </c>
      <c r="AA69" s="271">
        <v>8.9999999999999993E-3</v>
      </c>
      <c r="AB69" s="66">
        <f t="shared" si="76"/>
        <v>0.159</v>
      </c>
      <c r="AC69" s="59">
        <v>239</v>
      </c>
      <c r="AD69" s="60">
        <v>195</v>
      </c>
      <c r="AE69" s="60">
        <v>123</v>
      </c>
      <c r="AF69" s="191">
        <v>8</v>
      </c>
      <c r="AG69" s="117">
        <v>600000506</v>
      </c>
      <c r="AH69" s="104">
        <f>справочники!$C$170</f>
        <v>7.6999999999999999E-2</v>
      </c>
      <c r="AI69" s="61">
        <f t="shared" si="65"/>
        <v>1.2</v>
      </c>
      <c r="AJ69" s="122">
        <f t="shared" si="66"/>
        <v>1.349</v>
      </c>
      <c r="AK69" s="37">
        <v>20</v>
      </c>
      <c r="AL69" s="38">
        <v>13</v>
      </c>
      <c r="AM69" s="40">
        <f t="shared" si="67"/>
        <v>260</v>
      </c>
      <c r="AN69" s="206">
        <f t="shared" si="68"/>
        <v>2080</v>
      </c>
      <c r="AO69" s="204">
        <f t="shared" si="69"/>
        <v>1744</v>
      </c>
    </row>
    <row r="70" spans="1:54" ht="409.5" x14ac:dyDescent="0.2">
      <c r="A70" s="22">
        <f t="shared" si="77"/>
        <v>7629</v>
      </c>
      <c r="B70" s="116">
        <v>1001017677629</v>
      </c>
      <c r="C70" s="48" t="s">
        <v>1812</v>
      </c>
      <c r="D70" s="49" t="s">
        <v>4</v>
      </c>
      <c r="E70" s="146" t="s">
        <v>373</v>
      </c>
      <c r="F70" s="132" t="s">
        <v>36</v>
      </c>
      <c r="G70" s="224" t="s">
        <v>6</v>
      </c>
      <c r="H70" s="49" t="s">
        <v>1</v>
      </c>
      <c r="I70" s="154" t="s">
        <v>1001</v>
      </c>
      <c r="J70" s="151" t="s">
        <v>1813</v>
      </c>
      <c r="K70" s="330" t="s">
        <v>1841</v>
      </c>
      <c r="L70" s="286" t="s">
        <v>1842</v>
      </c>
      <c r="M70" s="287" t="s">
        <v>1843</v>
      </c>
      <c r="N70" s="326" t="s">
        <v>1814</v>
      </c>
      <c r="O70" s="162" t="s">
        <v>1844</v>
      </c>
      <c r="P70" s="31" t="s">
        <v>104</v>
      </c>
      <c r="Q70" s="87">
        <v>30</v>
      </c>
      <c r="R70" s="49" t="s">
        <v>29</v>
      </c>
      <c r="S70" s="237">
        <v>4630362182388</v>
      </c>
      <c r="T70" s="332">
        <v>14630362182385</v>
      </c>
      <c r="U70" s="46">
        <v>4630362182388</v>
      </c>
      <c r="V70" s="46">
        <v>14630362182385</v>
      </c>
      <c r="W70" s="258">
        <v>230</v>
      </c>
      <c r="X70" s="68">
        <v>183</v>
      </c>
      <c r="Y70" s="68">
        <v>20</v>
      </c>
      <c r="Z70" s="65">
        <v>0.21</v>
      </c>
      <c r="AA70" s="271">
        <v>8.9999999999999993E-3</v>
      </c>
      <c r="AB70" s="66">
        <f t="shared" si="76"/>
        <v>0.219</v>
      </c>
      <c r="AC70" s="59">
        <v>239</v>
      </c>
      <c r="AD70" s="60">
        <v>195</v>
      </c>
      <c r="AE70" s="60">
        <v>123</v>
      </c>
      <c r="AF70" s="191">
        <v>6</v>
      </c>
      <c r="AG70" s="117">
        <v>600000506</v>
      </c>
      <c r="AH70" s="104">
        <f>справочники!$C$170</f>
        <v>7.6999999999999999E-2</v>
      </c>
      <c r="AI70" s="61">
        <f t="shared" si="65"/>
        <v>1.26</v>
      </c>
      <c r="AJ70" s="122">
        <f t="shared" si="66"/>
        <v>1.391</v>
      </c>
      <c r="AK70" s="37">
        <v>20</v>
      </c>
      <c r="AL70" s="38">
        <v>13</v>
      </c>
      <c r="AM70" s="40">
        <f t="shared" si="67"/>
        <v>260</v>
      </c>
      <c r="AN70" s="206">
        <f t="shared" si="68"/>
        <v>1560</v>
      </c>
      <c r="AO70" s="204">
        <f t="shared" si="69"/>
        <v>1744</v>
      </c>
    </row>
    <row r="71" spans="1:54" s="22" customFormat="1" ht="204" x14ac:dyDescent="0.2">
      <c r="A71" s="22">
        <f t="shared" si="77"/>
        <v>7242</v>
      </c>
      <c r="B71" s="116">
        <v>1001016497242</v>
      </c>
      <c r="C71" s="25" t="s">
        <v>1194</v>
      </c>
      <c r="D71" s="23" t="s">
        <v>4</v>
      </c>
      <c r="E71" s="146" t="s">
        <v>373</v>
      </c>
      <c r="F71" s="132" t="s">
        <v>36</v>
      </c>
      <c r="G71" s="146" t="s">
        <v>6</v>
      </c>
      <c r="H71" s="24" t="s">
        <v>135</v>
      </c>
      <c r="I71" s="153" t="s">
        <v>1566</v>
      </c>
      <c r="J71" s="148" t="s">
        <v>412</v>
      </c>
      <c r="K71" s="26" t="s">
        <v>1442</v>
      </c>
      <c r="L71" s="27">
        <v>9</v>
      </c>
      <c r="M71" s="28">
        <v>14</v>
      </c>
      <c r="N71" s="29">
        <v>5</v>
      </c>
      <c r="O71" s="30" t="s">
        <v>1443</v>
      </c>
      <c r="P71" s="31" t="s">
        <v>104</v>
      </c>
      <c r="Q71" s="31">
        <v>60</v>
      </c>
      <c r="R71" s="32" t="s">
        <v>37</v>
      </c>
      <c r="S71" s="233">
        <v>4607958079322</v>
      </c>
      <c r="T71" s="334">
        <v>14607958079329</v>
      </c>
      <c r="U71" s="46">
        <v>4607958079322</v>
      </c>
      <c r="V71" s="46">
        <v>14607958079329</v>
      </c>
      <c r="W71" s="157">
        <v>190</v>
      </c>
      <c r="X71" s="34">
        <v>67</v>
      </c>
      <c r="Y71" s="34">
        <v>67</v>
      </c>
      <c r="Z71" s="35">
        <v>0.5</v>
      </c>
      <c r="AA71" s="271">
        <v>2E-3</v>
      </c>
      <c r="AB71" s="36">
        <f t="shared" ref="AB71" si="78">Z71+AA71</f>
        <v>0.502</v>
      </c>
      <c r="AC71" s="37">
        <v>278</v>
      </c>
      <c r="AD71" s="38">
        <v>193</v>
      </c>
      <c r="AE71" s="38">
        <v>138</v>
      </c>
      <c r="AF71" s="190">
        <v>8</v>
      </c>
      <c r="AG71" s="117">
        <v>600000404</v>
      </c>
      <c r="AH71" s="103">
        <f>справочники!$C$101</f>
        <v>0.105</v>
      </c>
      <c r="AI71" s="39">
        <f t="shared" si="65"/>
        <v>4</v>
      </c>
      <c r="AJ71" s="121">
        <f t="shared" si="66"/>
        <v>4.1210000000000004</v>
      </c>
      <c r="AK71" s="37">
        <v>16</v>
      </c>
      <c r="AL71" s="38">
        <v>9</v>
      </c>
      <c r="AM71" s="40">
        <f t="shared" ref="AM71" si="79">AK71*AL71</f>
        <v>144</v>
      </c>
      <c r="AN71" s="206">
        <f t="shared" ref="AN71" si="80">IF(D71="ШТ",кол_во_инд.__упак_к*итого_г_у,ROUNDDOWN(номин.вес_нетто_г_у__кг*итого_г_у,1))</f>
        <v>1152</v>
      </c>
      <c r="AO71" s="204">
        <f t="shared" si="69"/>
        <v>1387</v>
      </c>
    </row>
    <row r="72" spans="1:54" ht="127.5" customHeight="1" x14ac:dyDescent="0.2">
      <c r="A72" s="22">
        <f t="shared" si="77"/>
        <v>7096</v>
      </c>
      <c r="B72" s="116">
        <v>1001012487096</v>
      </c>
      <c r="C72" s="25" t="s">
        <v>1077</v>
      </c>
      <c r="D72" s="23" t="s">
        <v>4</v>
      </c>
      <c r="E72" s="146" t="s">
        <v>373</v>
      </c>
      <c r="F72" s="132" t="s">
        <v>36</v>
      </c>
      <c r="G72" s="146" t="s">
        <v>6</v>
      </c>
      <c r="H72" s="24" t="s">
        <v>1</v>
      </c>
      <c r="I72" s="153" t="s">
        <v>1566</v>
      </c>
      <c r="J72" s="148" t="s">
        <v>412</v>
      </c>
      <c r="K72" s="26" t="s">
        <v>1442</v>
      </c>
      <c r="L72" s="27">
        <v>9</v>
      </c>
      <c r="M72" s="28">
        <v>14</v>
      </c>
      <c r="N72" s="29">
        <v>5</v>
      </c>
      <c r="O72" s="30" t="s">
        <v>1443</v>
      </c>
      <c r="P72" s="31" t="s">
        <v>104</v>
      </c>
      <c r="Q72" s="31">
        <v>60</v>
      </c>
      <c r="R72" s="32" t="s">
        <v>37</v>
      </c>
      <c r="S72" s="233">
        <v>4607958078929</v>
      </c>
      <c r="T72" s="334">
        <v>14607958078926</v>
      </c>
      <c r="U72" s="46">
        <v>4607958078929</v>
      </c>
      <c r="V72" s="46">
        <v>14607958078926</v>
      </c>
      <c r="W72" s="157">
        <v>245</v>
      </c>
      <c r="X72" s="34">
        <v>67</v>
      </c>
      <c r="Y72" s="34">
        <v>67</v>
      </c>
      <c r="Z72" s="35">
        <v>0.7</v>
      </c>
      <c r="AA72" s="271">
        <v>2E-3</v>
      </c>
      <c r="AB72" s="36">
        <f>Z72+AA72</f>
        <v>0.70199999999999996</v>
      </c>
      <c r="AC72" s="37">
        <v>293</v>
      </c>
      <c r="AD72" s="38">
        <v>153</v>
      </c>
      <c r="AE72" s="38">
        <v>224</v>
      </c>
      <c r="AF72" s="190">
        <v>6</v>
      </c>
      <c r="AG72" s="117">
        <v>600000400</v>
      </c>
      <c r="AH72" s="103">
        <f>справочники!$C$95</f>
        <v>0.13500000000000001</v>
      </c>
      <c r="AI72" s="39">
        <f t="shared" si="65"/>
        <v>4.2</v>
      </c>
      <c r="AJ72" s="121">
        <f t="shared" si="66"/>
        <v>4.3469999999999995</v>
      </c>
      <c r="AK72" s="37">
        <v>20</v>
      </c>
      <c r="AL72" s="38">
        <v>7</v>
      </c>
      <c r="AM72" s="40">
        <f>AK72*AL72</f>
        <v>140</v>
      </c>
      <c r="AN72" s="206">
        <f>IF(D72="ШТ",кол_во_инд.__упак_к*итого_г_у,ROUNDDOWN(номин.вес_нетто_г_у__кг*итого_г_у,1))</f>
        <v>840</v>
      </c>
      <c r="AO72" s="204">
        <f t="shared" si="69"/>
        <v>1713</v>
      </c>
      <c r="AP72" s="22"/>
      <c r="AQ72" s="22"/>
      <c r="AR72" s="22"/>
      <c r="AS72" s="22"/>
      <c r="AT72" s="22"/>
      <c r="AU72" s="22"/>
      <c r="AV72" s="22"/>
      <c r="AW72" s="22"/>
      <c r="AX72" s="22"/>
      <c r="AY72" s="22"/>
      <c r="AZ72" s="22"/>
      <c r="BA72" s="22"/>
      <c r="BB72" s="22"/>
    </row>
    <row r="73" spans="1:54" ht="204" x14ac:dyDescent="0.2">
      <c r="A73" s="22">
        <f t="shared" si="77"/>
        <v>6815</v>
      </c>
      <c r="B73" s="116">
        <v>1001012486815</v>
      </c>
      <c r="C73" s="25" t="s">
        <v>773</v>
      </c>
      <c r="D73" s="23" t="s">
        <v>4</v>
      </c>
      <c r="E73" s="146" t="s">
        <v>373</v>
      </c>
      <c r="F73" s="132" t="s">
        <v>36</v>
      </c>
      <c r="G73" s="146" t="s">
        <v>6</v>
      </c>
      <c r="H73" s="24" t="s">
        <v>135</v>
      </c>
      <c r="I73" s="153" t="s">
        <v>1566</v>
      </c>
      <c r="J73" s="148" t="s">
        <v>412</v>
      </c>
      <c r="K73" s="26" t="s">
        <v>1442</v>
      </c>
      <c r="L73" s="27">
        <v>9</v>
      </c>
      <c r="M73" s="28">
        <v>14</v>
      </c>
      <c r="N73" s="29">
        <v>5</v>
      </c>
      <c r="O73" s="30" t="s">
        <v>1443</v>
      </c>
      <c r="P73" s="31" t="s">
        <v>104</v>
      </c>
      <c r="Q73" s="31">
        <v>60</v>
      </c>
      <c r="R73" s="32" t="s">
        <v>37</v>
      </c>
      <c r="S73" s="233">
        <v>4607958077243</v>
      </c>
      <c r="T73" s="334">
        <v>14607958077240</v>
      </c>
      <c r="U73" s="46">
        <v>4607958077243</v>
      </c>
      <c r="V73" s="46">
        <v>14607958077240</v>
      </c>
      <c r="W73" s="157">
        <v>190</v>
      </c>
      <c r="X73" s="34">
        <v>72</v>
      </c>
      <c r="Y73" s="34">
        <v>72</v>
      </c>
      <c r="Z73" s="35">
        <v>0.6</v>
      </c>
      <c r="AA73" s="271">
        <v>2E-3</v>
      </c>
      <c r="AB73" s="36">
        <f>Z73+AA73</f>
        <v>0.60199999999999998</v>
      </c>
      <c r="AC73" s="37">
        <v>293</v>
      </c>
      <c r="AD73" s="38">
        <v>153</v>
      </c>
      <c r="AE73" s="38">
        <v>224</v>
      </c>
      <c r="AF73" s="190">
        <v>6</v>
      </c>
      <c r="AG73" s="117">
        <v>600000400</v>
      </c>
      <c r="AH73" s="103">
        <f>справочники!$C$95</f>
        <v>0.13500000000000001</v>
      </c>
      <c r="AI73" s="39">
        <f t="shared" si="65"/>
        <v>3.6</v>
      </c>
      <c r="AJ73" s="121">
        <f t="shared" si="66"/>
        <v>3.7469999999999999</v>
      </c>
      <c r="AK73" s="37">
        <v>20</v>
      </c>
      <c r="AL73" s="38">
        <v>7</v>
      </c>
      <c r="AM73" s="40">
        <f>AK73*AL73</f>
        <v>140</v>
      </c>
      <c r="AN73" s="206">
        <f>IF(D73="ШТ",кол_во_инд.__упак_к*итого_г_у,ROUNDDOWN(номин.вес_нетто_г_у__кг*итого_г_у,1))</f>
        <v>840</v>
      </c>
      <c r="AO73" s="204">
        <f t="shared" si="69"/>
        <v>1713</v>
      </c>
      <c r="AP73" s="22"/>
      <c r="AQ73" s="22"/>
      <c r="AR73" s="22"/>
      <c r="AS73" s="22"/>
      <c r="AT73" s="22"/>
      <c r="AU73" s="22"/>
      <c r="AV73" s="22"/>
      <c r="AW73" s="22"/>
      <c r="AX73" s="22"/>
      <c r="AY73" s="22"/>
      <c r="AZ73" s="22"/>
      <c r="BA73" s="22"/>
      <c r="BB73" s="22"/>
    </row>
    <row r="74" spans="1:54" s="22" customFormat="1" ht="204" x14ac:dyDescent="0.2">
      <c r="A74" s="22">
        <f t="shared" si="77"/>
        <v>3969</v>
      </c>
      <c r="B74" s="116">
        <v>1001012483969</v>
      </c>
      <c r="C74" s="46" t="s">
        <v>31</v>
      </c>
      <c r="D74" s="23" t="s">
        <v>3</v>
      </c>
      <c r="E74" s="146" t="s">
        <v>373</v>
      </c>
      <c r="F74" s="132" t="s">
        <v>36</v>
      </c>
      <c r="G74" s="146" t="s">
        <v>6</v>
      </c>
      <c r="H74" s="24" t="s">
        <v>135</v>
      </c>
      <c r="I74" s="153" t="s">
        <v>1566</v>
      </c>
      <c r="J74" s="149" t="s">
        <v>412</v>
      </c>
      <c r="K74" s="26" t="s">
        <v>1442</v>
      </c>
      <c r="L74" s="27">
        <v>9</v>
      </c>
      <c r="M74" s="28">
        <v>14</v>
      </c>
      <c r="N74" s="29">
        <v>5</v>
      </c>
      <c r="O74" s="30" t="s">
        <v>1443</v>
      </c>
      <c r="P74" s="31" t="s">
        <v>104</v>
      </c>
      <c r="Q74" s="31">
        <v>60</v>
      </c>
      <c r="R74" s="32" t="s">
        <v>37</v>
      </c>
      <c r="S74" s="135">
        <v>2517874000008</v>
      </c>
      <c r="T74" s="333">
        <v>12517874000005</v>
      </c>
      <c r="U74" s="46">
        <v>4607958070688</v>
      </c>
      <c r="V74" s="46">
        <v>14607958070685</v>
      </c>
      <c r="W74" s="157">
        <v>250</v>
      </c>
      <c r="X74" s="34">
        <v>90</v>
      </c>
      <c r="Y74" s="34">
        <v>90</v>
      </c>
      <c r="Z74" s="35">
        <v>1.35</v>
      </c>
      <c r="AA74" s="271">
        <v>2E-3</v>
      </c>
      <c r="AB74" s="36">
        <f t="shared" si="76"/>
        <v>1.3520000000000001</v>
      </c>
      <c r="AC74" s="37">
        <v>292</v>
      </c>
      <c r="AD74" s="38">
        <v>178</v>
      </c>
      <c r="AE74" s="38">
        <v>178</v>
      </c>
      <c r="AF74" s="190">
        <v>3</v>
      </c>
      <c r="AG74" s="117">
        <v>600000029</v>
      </c>
      <c r="AH74" s="103">
        <f>справочники!$C$21</f>
        <v>0.125</v>
      </c>
      <c r="AI74" s="39">
        <f t="shared" si="65"/>
        <v>4.05</v>
      </c>
      <c r="AJ74" s="121">
        <f t="shared" si="66"/>
        <v>4.181</v>
      </c>
      <c r="AK74" s="37">
        <v>14</v>
      </c>
      <c r="AL74" s="38">
        <v>8</v>
      </c>
      <c r="AM74" s="40">
        <f t="shared" si="67"/>
        <v>112</v>
      </c>
      <c r="AN74" s="214">
        <f t="shared" si="68"/>
        <v>453.6</v>
      </c>
      <c r="AO74" s="204">
        <f t="shared" si="69"/>
        <v>1569</v>
      </c>
    </row>
    <row r="75" spans="1:54" s="22" customFormat="1" ht="204" x14ac:dyDescent="0.2">
      <c r="A75" s="22">
        <f t="shared" si="77"/>
        <v>4109</v>
      </c>
      <c r="B75" s="116">
        <v>1001012484109</v>
      </c>
      <c r="C75" s="46" t="s">
        <v>33</v>
      </c>
      <c r="D75" s="23" t="s">
        <v>3</v>
      </c>
      <c r="E75" s="146" t="s">
        <v>373</v>
      </c>
      <c r="F75" s="132" t="s">
        <v>36</v>
      </c>
      <c r="G75" s="146" t="s">
        <v>6</v>
      </c>
      <c r="H75" s="24" t="s">
        <v>186</v>
      </c>
      <c r="I75" s="153" t="s">
        <v>1566</v>
      </c>
      <c r="J75" s="149" t="s">
        <v>412</v>
      </c>
      <c r="K75" s="26" t="s">
        <v>1442</v>
      </c>
      <c r="L75" s="27">
        <v>9</v>
      </c>
      <c r="M75" s="28">
        <v>14</v>
      </c>
      <c r="N75" s="29">
        <v>5</v>
      </c>
      <c r="O75" s="30" t="s">
        <v>1443</v>
      </c>
      <c r="P75" s="31" t="s">
        <v>104</v>
      </c>
      <c r="Q75" s="31">
        <v>60</v>
      </c>
      <c r="R75" s="32" t="s">
        <v>37</v>
      </c>
      <c r="S75" s="135">
        <v>2707410000009</v>
      </c>
      <c r="T75" s="333">
        <v>12707410000006</v>
      </c>
      <c r="U75" s="46">
        <v>4607958070688</v>
      </c>
      <c r="V75" s="46">
        <v>14607958070685</v>
      </c>
      <c r="W75" s="157">
        <v>250</v>
      </c>
      <c r="X75" s="34">
        <v>90</v>
      </c>
      <c r="Y75" s="34">
        <v>90</v>
      </c>
      <c r="Z75" s="35">
        <v>1.35</v>
      </c>
      <c r="AA75" s="271">
        <v>2E-3</v>
      </c>
      <c r="AB75" s="36">
        <f t="shared" si="76"/>
        <v>1.3520000000000001</v>
      </c>
      <c r="AC75" s="37">
        <v>292</v>
      </c>
      <c r="AD75" s="38">
        <v>178</v>
      </c>
      <c r="AE75" s="38">
        <v>178</v>
      </c>
      <c r="AF75" s="190">
        <v>3</v>
      </c>
      <c r="AG75" s="117">
        <v>600000029</v>
      </c>
      <c r="AH75" s="103">
        <f>справочники!$C$21</f>
        <v>0.125</v>
      </c>
      <c r="AI75" s="39">
        <f t="shared" si="65"/>
        <v>4.05</v>
      </c>
      <c r="AJ75" s="121">
        <f t="shared" si="66"/>
        <v>4.181</v>
      </c>
      <c r="AK75" s="37">
        <v>16</v>
      </c>
      <c r="AL75" s="38">
        <v>8</v>
      </c>
      <c r="AM75" s="40">
        <f t="shared" si="67"/>
        <v>128</v>
      </c>
      <c r="AN75" s="214">
        <f t="shared" si="68"/>
        <v>518.4</v>
      </c>
      <c r="AO75" s="204">
        <f t="shared" si="69"/>
        <v>1569</v>
      </c>
    </row>
    <row r="76" spans="1:54" s="22" customFormat="1" ht="204" x14ac:dyDescent="0.2">
      <c r="A76" s="22">
        <f t="shared" si="77"/>
        <v>4025</v>
      </c>
      <c r="B76" s="116">
        <v>1001012484025</v>
      </c>
      <c r="C76" s="46" t="s">
        <v>188</v>
      </c>
      <c r="D76" s="23" t="s">
        <v>3</v>
      </c>
      <c r="E76" s="146" t="s">
        <v>373</v>
      </c>
      <c r="F76" s="132" t="s">
        <v>36</v>
      </c>
      <c r="G76" s="146" t="s">
        <v>6</v>
      </c>
      <c r="H76" s="24" t="s">
        <v>186</v>
      </c>
      <c r="I76" s="153" t="s">
        <v>1566</v>
      </c>
      <c r="J76" s="149" t="s">
        <v>412</v>
      </c>
      <c r="K76" s="26" t="s">
        <v>1442</v>
      </c>
      <c r="L76" s="27">
        <v>9</v>
      </c>
      <c r="M76" s="28">
        <v>14</v>
      </c>
      <c r="N76" s="29">
        <v>5</v>
      </c>
      <c r="O76" s="30" t="s">
        <v>1443</v>
      </c>
      <c r="P76" s="31" t="s">
        <v>104</v>
      </c>
      <c r="Q76" s="31">
        <v>60</v>
      </c>
      <c r="R76" s="32" t="s">
        <v>37</v>
      </c>
      <c r="S76" s="135">
        <v>2974002000000</v>
      </c>
      <c r="T76" s="333">
        <v>12974002000007</v>
      </c>
      <c r="U76" s="46">
        <v>4607958070688</v>
      </c>
      <c r="V76" s="46">
        <v>14607958070685</v>
      </c>
      <c r="W76" s="157">
        <v>250</v>
      </c>
      <c r="X76" s="34">
        <v>90</v>
      </c>
      <c r="Y76" s="34">
        <v>90</v>
      </c>
      <c r="Z76" s="35">
        <v>1.35</v>
      </c>
      <c r="AA76" s="271">
        <v>2E-3</v>
      </c>
      <c r="AB76" s="36">
        <f t="shared" si="76"/>
        <v>1.3520000000000001</v>
      </c>
      <c r="AC76" s="37">
        <v>292</v>
      </c>
      <c r="AD76" s="38">
        <v>178</v>
      </c>
      <c r="AE76" s="38">
        <v>178</v>
      </c>
      <c r="AF76" s="190">
        <v>3</v>
      </c>
      <c r="AG76" s="117">
        <v>600000029</v>
      </c>
      <c r="AH76" s="103">
        <f>справочники!$C$21</f>
        <v>0.125</v>
      </c>
      <c r="AI76" s="39">
        <f t="shared" si="65"/>
        <v>4.05</v>
      </c>
      <c r="AJ76" s="121">
        <f t="shared" si="66"/>
        <v>4.181</v>
      </c>
      <c r="AK76" s="37">
        <v>14</v>
      </c>
      <c r="AL76" s="38">
        <v>8</v>
      </c>
      <c r="AM76" s="40">
        <f t="shared" si="67"/>
        <v>112</v>
      </c>
      <c r="AN76" s="214">
        <f t="shared" si="68"/>
        <v>453.6</v>
      </c>
      <c r="AO76" s="204">
        <f t="shared" si="69"/>
        <v>1569</v>
      </c>
    </row>
    <row r="77" spans="1:54" s="22" customFormat="1" ht="126.75" customHeight="1" x14ac:dyDescent="0.2">
      <c r="A77" s="22">
        <f t="shared" si="77"/>
        <v>4405</v>
      </c>
      <c r="B77" s="116">
        <v>1001012484405</v>
      </c>
      <c r="C77" s="46" t="s">
        <v>187</v>
      </c>
      <c r="D77" s="23" t="s">
        <v>3</v>
      </c>
      <c r="E77" s="146" t="s">
        <v>373</v>
      </c>
      <c r="F77" s="132" t="s">
        <v>36</v>
      </c>
      <c r="G77" s="146" t="s">
        <v>6</v>
      </c>
      <c r="H77" s="24" t="s">
        <v>135</v>
      </c>
      <c r="I77" s="153" t="s">
        <v>1566</v>
      </c>
      <c r="J77" s="149" t="s">
        <v>412</v>
      </c>
      <c r="K77" s="26" t="s">
        <v>1442</v>
      </c>
      <c r="L77" s="27">
        <v>9</v>
      </c>
      <c r="M77" s="28">
        <v>14</v>
      </c>
      <c r="N77" s="29">
        <v>5</v>
      </c>
      <c r="O77" s="30" t="s">
        <v>1443</v>
      </c>
      <c r="P77" s="31" t="s">
        <v>104</v>
      </c>
      <c r="Q77" s="31">
        <v>60</v>
      </c>
      <c r="R77" s="32" t="s">
        <v>37</v>
      </c>
      <c r="S77" s="135">
        <v>2847960000002</v>
      </c>
      <c r="T77" s="333">
        <v>12847960000009</v>
      </c>
      <c r="U77" s="46">
        <v>4607958070688</v>
      </c>
      <c r="V77" s="46">
        <v>14607958070685</v>
      </c>
      <c r="W77" s="157">
        <v>250</v>
      </c>
      <c r="X77" s="34">
        <v>90</v>
      </c>
      <c r="Y77" s="34">
        <v>90</v>
      </c>
      <c r="Z77" s="35">
        <v>1.3</v>
      </c>
      <c r="AA77" s="271">
        <v>2E-3</v>
      </c>
      <c r="AB77" s="36">
        <f t="shared" si="76"/>
        <v>1.302</v>
      </c>
      <c r="AC77" s="37">
        <v>292</v>
      </c>
      <c r="AD77" s="38">
        <v>178</v>
      </c>
      <c r="AE77" s="38">
        <v>178</v>
      </c>
      <c r="AF77" s="190">
        <v>3</v>
      </c>
      <c r="AG77" s="117">
        <v>600000029</v>
      </c>
      <c r="AH77" s="103">
        <f>справочники!$C$21</f>
        <v>0.125</v>
      </c>
      <c r="AI77" s="39">
        <f t="shared" si="65"/>
        <v>3.9</v>
      </c>
      <c r="AJ77" s="121">
        <f t="shared" si="66"/>
        <v>4.0310000000000006</v>
      </c>
      <c r="AK77" s="37">
        <v>16</v>
      </c>
      <c r="AL77" s="38">
        <v>8</v>
      </c>
      <c r="AM77" s="40">
        <f t="shared" si="67"/>
        <v>128</v>
      </c>
      <c r="AN77" s="214">
        <f t="shared" si="68"/>
        <v>499.2</v>
      </c>
      <c r="AO77" s="204">
        <f t="shared" si="69"/>
        <v>1569</v>
      </c>
    </row>
    <row r="78" spans="1:54" s="22" customFormat="1" ht="204" x14ac:dyDescent="0.2">
      <c r="A78" s="22">
        <f t="shared" si="77"/>
        <v>4458</v>
      </c>
      <c r="B78" s="116">
        <v>1001012484458</v>
      </c>
      <c r="C78" s="46" t="s">
        <v>686</v>
      </c>
      <c r="D78" s="23" t="s">
        <v>3</v>
      </c>
      <c r="E78" s="146" t="s">
        <v>373</v>
      </c>
      <c r="F78" s="132" t="s">
        <v>36</v>
      </c>
      <c r="G78" s="146" t="s">
        <v>6</v>
      </c>
      <c r="H78" s="24" t="s">
        <v>194</v>
      </c>
      <c r="I78" s="153" t="s">
        <v>1566</v>
      </c>
      <c r="J78" s="149" t="s">
        <v>412</v>
      </c>
      <c r="K78" s="26" t="s">
        <v>1442</v>
      </c>
      <c r="L78" s="27">
        <v>9</v>
      </c>
      <c r="M78" s="28">
        <v>14</v>
      </c>
      <c r="N78" s="29">
        <v>5</v>
      </c>
      <c r="O78" s="30" t="s">
        <v>1443</v>
      </c>
      <c r="P78" s="31" t="s">
        <v>104</v>
      </c>
      <c r="Q78" s="31">
        <v>60</v>
      </c>
      <c r="R78" s="32" t="s">
        <v>37</v>
      </c>
      <c r="S78" s="135">
        <v>2570443000007</v>
      </c>
      <c r="T78" s="333">
        <v>12570443000004</v>
      </c>
      <c r="U78" s="46">
        <v>4607958070688</v>
      </c>
      <c r="V78" s="46">
        <v>14607958070685</v>
      </c>
      <c r="W78" s="157">
        <v>250</v>
      </c>
      <c r="X78" s="34">
        <v>90</v>
      </c>
      <c r="Y78" s="34">
        <v>90</v>
      </c>
      <c r="Z78" s="35">
        <v>1.35</v>
      </c>
      <c r="AA78" s="271">
        <v>2E-3</v>
      </c>
      <c r="AB78" s="36">
        <f>Z78+AA78</f>
        <v>1.3520000000000001</v>
      </c>
      <c r="AC78" s="37">
        <v>292</v>
      </c>
      <c r="AD78" s="38">
        <v>178</v>
      </c>
      <c r="AE78" s="38">
        <v>178</v>
      </c>
      <c r="AF78" s="190">
        <v>3</v>
      </c>
      <c r="AG78" s="117">
        <v>600000029</v>
      </c>
      <c r="AH78" s="103">
        <f>справочники!$C$21</f>
        <v>0.125</v>
      </c>
      <c r="AI78" s="39">
        <f t="shared" si="65"/>
        <v>4.05</v>
      </c>
      <c r="AJ78" s="121">
        <f t="shared" si="66"/>
        <v>4.181</v>
      </c>
      <c r="AK78" s="37">
        <v>16</v>
      </c>
      <c r="AL78" s="38">
        <v>8</v>
      </c>
      <c r="AM78" s="40">
        <f>AK78*AL78</f>
        <v>128</v>
      </c>
      <c r="AN78" s="214">
        <f>IF(D78="ШТ",кол_во_инд.__упак_к*итого_г_у,ROUNDDOWN(номин.вес_нетто_г_у__кг*итого_г_у,1))</f>
        <v>518.4</v>
      </c>
      <c r="AO78" s="204">
        <f t="shared" si="69"/>
        <v>1569</v>
      </c>
    </row>
    <row r="79" spans="1:54" s="22" customFormat="1" ht="204" x14ac:dyDescent="0.2">
      <c r="A79" s="22">
        <f t="shared" si="77"/>
        <v>5125</v>
      </c>
      <c r="B79" s="116">
        <v>1001012485125</v>
      </c>
      <c r="C79" s="46" t="s">
        <v>329</v>
      </c>
      <c r="D79" s="23" t="s">
        <v>3</v>
      </c>
      <c r="E79" s="146" t="s">
        <v>373</v>
      </c>
      <c r="F79" s="132" t="s">
        <v>36</v>
      </c>
      <c r="G79" s="146" t="s">
        <v>6</v>
      </c>
      <c r="H79" s="24" t="s">
        <v>194</v>
      </c>
      <c r="I79" s="153" t="s">
        <v>1566</v>
      </c>
      <c r="J79" s="149" t="s">
        <v>412</v>
      </c>
      <c r="K79" s="26" t="s">
        <v>1442</v>
      </c>
      <c r="L79" s="27">
        <v>9</v>
      </c>
      <c r="M79" s="28">
        <v>14</v>
      </c>
      <c r="N79" s="29">
        <v>5</v>
      </c>
      <c r="O79" s="30" t="s">
        <v>1443</v>
      </c>
      <c r="P79" s="31" t="s">
        <v>104</v>
      </c>
      <c r="Q79" s="31">
        <v>60</v>
      </c>
      <c r="R79" s="32" t="s">
        <v>37</v>
      </c>
      <c r="S79" s="135">
        <v>2800754000008</v>
      </c>
      <c r="T79" s="333">
        <v>12800754000005</v>
      </c>
      <c r="U79" s="46" t="s">
        <v>1874</v>
      </c>
      <c r="V79" s="46" t="s">
        <v>1874</v>
      </c>
      <c r="W79" s="157">
        <v>250</v>
      </c>
      <c r="X79" s="34">
        <v>90</v>
      </c>
      <c r="Y79" s="34">
        <v>90</v>
      </c>
      <c r="Z79" s="35">
        <v>1.35</v>
      </c>
      <c r="AA79" s="271">
        <v>2E-3</v>
      </c>
      <c r="AB79" s="36">
        <f t="shared" si="76"/>
        <v>1.3520000000000001</v>
      </c>
      <c r="AC79" s="37">
        <v>292</v>
      </c>
      <c r="AD79" s="38">
        <v>178</v>
      </c>
      <c r="AE79" s="38">
        <v>178</v>
      </c>
      <c r="AF79" s="190">
        <v>3</v>
      </c>
      <c r="AG79" s="117">
        <v>600000029</v>
      </c>
      <c r="AH79" s="103">
        <f>справочники!$C$21</f>
        <v>0.125</v>
      </c>
      <c r="AI79" s="39">
        <f t="shared" si="65"/>
        <v>4.05</v>
      </c>
      <c r="AJ79" s="121">
        <f t="shared" si="66"/>
        <v>4.181</v>
      </c>
      <c r="AK79" s="37">
        <v>16</v>
      </c>
      <c r="AL79" s="38">
        <v>8</v>
      </c>
      <c r="AM79" s="40">
        <f t="shared" si="67"/>
        <v>128</v>
      </c>
      <c r="AN79" s="214">
        <f t="shared" si="68"/>
        <v>518.4</v>
      </c>
      <c r="AO79" s="204">
        <f t="shared" si="69"/>
        <v>1569</v>
      </c>
    </row>
    <row r="80" spans="1:54" s="22" customFormat="1" ht="127.5" customHeight="1" x14ac:dyDescent="0.2">
      <c r="A80" s="22">
        <f t="shared" si="77"/>
        <v>4181</v>
      </c>
      <c r="B80" s="116">
        <v>1001012484181</v>
      </c>
      <c r="C80" s="25" t="s">
        <v>330</v>
      </c>
      <c r="D80" s="23" t="s">
        <v>4</v>
      </c>
      <c r="E80" s="146" t="s">
        <v>373</v>
      </c>
      <c r="F80" s="132" t="s">
        <v>36</v>
      </c>
      <c r="G80" s="146" t="s">
        <v>6</v>
      </c>
      <c r="H80" s="24" t="s">
        <v>1</v>
      </c>
      <c r="I80" s="153" t="s">
        <v>1566</v>
      </c>
      <c r="J80" s="149" t="s">
        <v>412</v>
      </c>
      <c r="K80" s="26" t="s">
        <v>1442</v>
      </c>
      <c r="L80" s="27">
        <v>9</v>
      </c>
      <c r="M80" s="28">
        <v>14</v>
      </c>
      <c r="N80" s="29">
        <v>5</v>
      </c>
      <c r="O80" s="30" t="s">
        <v>1443</v>
      </c>
      <c r="P80" s="31" t="s">
        <v>104</v>
      </c>
      <c r="Q80" s="31">
        <v>60</v>
      </c>
      <c r="R80" s="32" t="s">
        <v>37</v>
      </c>
      <c r="S80" s="233">
        <v>4607958070862</v>
      </c>
      <c r="T80" s="334">
        <v>14607958070869</v>
      </c>
      <c r="U80" s="46" t="s">
        <v>1874</v>
      </c>
      <c r="V80" s="46" t="s">
        <v>1874</v>
      </c>
      <c r="W80" s="157">
        <v>180</v>
      </c>
      <c r="X80" s="34">
        <v>59</v>
      </c>
      <c r="Y80" s="34">
        <v>59</v>
      </c>
      <c r="Z80" s="35">
        <v>0.4</v>
      </c>
      <c r="AA80" s="271">
        <v>2E-3</v>
      </c>
      <c r="AB80" s="36">
        <f t="shared" si="76"/>
        <v>0.40200000000000002</v>
      </c>
      <c r="AC80" s="59">
        <v>258</v>
      </c>
      <c r="AD80" s="60">
        <v>193</v>
      </c>
      <c r="AE80" s="60">
        <v>123</v>
      </c>
      <c r="AF80" s="191">
        <v>8</v>
      </c>
      <c r="AG80" s="117">
        <v>600000403</v>
      </c>
      <c r="AH80" s="103">
        <f>справочники!$C$100</f>
        <v>0.104</v>
      </c>
      <c r="AI80" s="39">
        <f t="shared" si="65"/>
        <v>3.2</v>
      </c>
      <c r="AJ80" s="121">
        <f t="shared" si="66"/>
        <v>3.3200000000000003</v>
      </c>
      <c r="AK80" s="37">
        <v>18</v>
      </c>
      <c r="AL80" s="38">
        <v>12</v>
      </c>
      <c r="AM80" s="40">
        <f t="shared" si="67"/>
        <v>216</v>
      </c>
      <c r="AN80" s="206">
        <f t="shared" si="68"/>
        <v>1728</v>
      </c>
      <c r="AO80" s="204">
        <f t="shared" si="69"/>
        <v>1621</v>
      </c>
    </row>
    <row r="81" spans="1:54" s="22" customFormat="1" ht="126.75" customHeight="1" x14ac:dyDescent="0.2">
      <c r="A81" s="22">
        <f t="shared" si="77"/>
        <v>5055</v>
      </c>
      <c r="B81" s="116">
        <v>1001012485055</v>
      </c>
      <c r="C81" s="46" t="s">
        <v>331</v>
      </c>
      <c r="D81" s="23" t="s">
        <v>3</v>
      </c>
      <c r="E81" s="146" t="s">
        <v>373</v>
      </c>
      <c r="F81" s="132" t="s">
        <v>36</v>
      </c>
      <c r="G81" s="146" t="s">
        <v>6</v>
      </c>
      <c r="H81" s="24" t="s">
        <v>135</v>
      </c>
      <c r="I81" s="153" t="s">
        <v>1566</v>
      </c>
      <c r="J81" s="149" t="s">
        <v>412</v>
      </c>
      <c r="K81" s="26" t="s">
        <v>1442</v>
      </c>
      <c r="L81" s="27">
        <v>9</v>
      </c>
      <c r="M81" s="28">
        <v>14</v>
      </c>
      <c r="N81" s="29">
        <v>5</v>
      </c>
      <c r="O81" s="30" t="s">
        <v>1443</v>
      </c>
      <c r="P81" s="31" t="s">
        <v>104</v>
      </c>
      <c r="Q81" s="31">
        <v>60</v>
      </c>
      <c r="R81" s="32" t="s">
        <v>37</v>
      </c>
      <c r="S81" s="135">
        <v>2800754000008</v>
      </c>
      <c r="T81" s="333">
        <v>12800754000005</v>
      </c>
      <c r="U81" s="46" t="s">
        <v>1874</v>
      </c>
      <c r="V81" s="46" t="s">
        <v>1874</v>
      </c>
      <c r="W81" s="157">
        <v>250</v>
      </c>
      <c r="X81" s="34">
        <v>90</v>
      </c>
      <c r="Y81" s="34">
        <v>90</v>
      </c>
      <c r="Z81" s="35">
        <v>1.35</v>
      </c>
      <c r="AA81" s="271">
        <v>2E-3</v>
      </c>
      <c r="AB81" s="36">
        <f t="shared" si="76"/>
        <v>1.3520000000000001</v>
      </c>
      <c r="AC81" s="37">
        <v>292</v>
      </c>
      <c r="AD81" s="38">
        <v>178</v>
      </c>
      <c r="AE81" s="38">
        <v>178</v>
      </c>
      <c r="AF81" s="190">
        <v>3</v>
      </c>
      <c r="AG81" s="117">
        <v>600000029</v>
      </c>
      <c r="AH81" s="103">
        <f>справочники!$C$21</f>
        <v>0.125</v>
      </c>
      <c r="AI81" s="39">
        <f t="shared" si="65"/>
        <v>4.05</v>
      </c>
      <c r="AJ81" s="121">
        <f t="shared" si="66"/>
        <v>4.181</v>
      </c>
      <c r="AK81" s="37">
        <v>16</v>
      </c>
      <c r="AL81" s="38">
        <v>8</v>
      </c>
      <c r="AM81" s="40">
        <f t="shared" si="67"/>
        <v>128</v>
      </c>
      <c r="AN81" s="214">
        <f t="shared" si="68"/>
        <v>518.4</v>
      </c>
      <c r="AO81" s="204">
        <f t="shared" si="69"/>
        <v>1569</v>
      </c>
    </row>
    <row r="82" spans="1:54" ht="191.25" x14ac:dyDescent="0.2">
      <c r="A82" s="22">
        <f t="shared" si="77"/>
        <v>7334</v>
      </c>
      <c r="B82" s="116">
        <v>1001012637334</v>
      </c>
      <c r="C82" s="25" t="s">
        <v>1299</v>
      </c>
      <c r="D82" s="23" t="s">
        <v>4</v>
      </c>
      <c r="E82" s="146" t="s">
        <v>373</v>
      </c>
      <c r="F82" s="132" t="s">
        <v>36</v>
      </c>
      <c r="G82" s="146" t="s">
        <v>6</v>
      </c>
      <c r="H82" s="23" t="s">
        <v>135</v>
      </c>
      <c r="I82" s="153" t="s">
        <v>1566</v>
      </c>
      <c r="J82" s="148" t="s">
        <v>412</v>
      </c>
      <c r="K82" s="26" t="s">
        <v>1571</v>
      </c>
      <c r="L82" s="27">
        <v>9</v>
      </c>
      <c r="M82" s="28">
        <v>16</v>
      </c>
      <c r="N82" s="29">
        <v>3</v>
      </c>
      <c r="O82" s="30" t="s">
        <v>1218</v>
      </c>
      <c r="P82" s="31" t="s">
        <v>104</v>
      </c>
      <c r="Q82" s="31">
        <v>60</v>
      </c>
      <c r="R82" s="32" t="s">
        <v>37</v>
      </c>
      <c r="S82" s="233">
        <v>4607958079889</v>
      </c>
      <c r="T82" s="334">
        <v>14607958079886</v>
      </c>
      <c r="U82" s="46">
        <v>4607958079889</v>
      </c>
      <c r="V82" s="46">
        <v>14607958079886</v>
      </c>
      <c r="W82" s="157">
        <v>160</v>
      </c>
      <c r="X82" s="34">
        <v>67</v>
      </c>
      <c r="Y82" s="34">
        <v>67</v>
      </c>
      <c r="Z82" s="35">
        <v>0.4</v>
      </c>
      <c r="AA82" s="271">
        <v>2E-3</v>
      </c>
      <c r="AB82" s="36">
        <f t="shared" ref="AB82" si="81">Z82+AA82</f>
        <v>0.40200000000000002</v>
      </c>
      <c r="AC82" s="59">
        <v>318</v>
      </c>
      <c r="AD82" s="60">
        <v>143</v>
      </c>
      <c r="AE82" s="60">
        <v>138</v>
      </c>
      <c r="AF82" s="191">
        <v>8</v>
      </c>
      <c r="AG82" s="117">
        <v>600000407</v>
      </c>
      <c r="AH82" s="104">
        <f>справочники!$C$106</f>
        <v>9.4E-2</v>
      </c>
      <c r="AI82" s="39">
        <f t="shared" si="65"/>
        <v>3.2</v>
      </c>
      <c r="AJ82" s="121">
        <f t="shared" si="66"/>
        <v>3.31</v>
      </c>
      <c r="AK82" s="37">
        <v>19</v>
      </c>
      <c r="AL82" s="38">
        <v>11</v>
      </c>
      <c r="AM82" s="40">
        <f t="shared" ref="AM82" si="82">AK82*AL82</f>
        <v>209</v>
      </c>
      <c r="AN82" s="206">
        <f t="shared" ref="AN82" si="83">IF(D82="ШТ",кол_во_инд.__упак_к*итого_г_у,ROUNDDOWN(номин.вес_нетто_г_у__кг*итого_г_у,1))</f>
        <v>1672</v>
      </c>
      <c r="AO82" s="204">
        <f t="shared" si="69"/>
        <v>1663</v>
      </c>
      <c r="AP82" s="22"/>
      <c r="AQ82" s="22"/>
      <c r="AR82" s="22"/>
      <c r="AS82" s="22"/>
      <c r="AT82" s="22"/>
      <c r="AU82" s="22"/>
      <c r="AV82" s="22"/>
      <c r="AW82" s="22"/>
      <c r="AX82" s="22"/>
      <c r="AY82" s="22"/>
      <c r="AZ82" s="22"/>
      <c r="BA82" s="22"/>
      <c r="BB82" s="22"/>
    </row>
    <row r="83" spans="1:54" s="22" customFormat="1" ht="191.25" x14ac:dyDescent="0.2">
      <c r="A83" s="22">
        <f t="shared" si="77"/>
        <v>4574</v>
      </c>
      <c r="B83" s="116">
        <v>1001012634574</v>
      </c>
      <c r="C83" s="46" t="s">
        <v>32</v>
      </c>
      <c r="D83" s="23" t="s">
        <v>3</v>
      </c>
      <c r="E83" s="146" t="s">
        <v>373</v>
      </c>
      <c r="F83" s="132" t="s">
        <v>36</v>
      </c>
      <c r="G83" s="146" t="s">
        <v>6</v>
      </c>
      <c r="H83" s="23" t="s">
        <v>135</v>
      </c>
      <c r="I83" s="153" t="s">
        <v>1566</v>
      </c>
      <c r="J83" s="149" t="s">
        <v>412</v>
      </c>
      <c r="K83" s="26" t="s">
        <v>1571</v>
      </c>
      <c r="L83" s="27">
        <v>9</v>
      </c>
      <c r="M83" s="28">
        <v>16</v>
      </c>
      <c r="N83" s="29">
        <v>3</v>
      </c>
      <c r="O83" s="30" t="s">
        <v>1218</v>
      </c>
      <c r="P83" s="31" t="s">
        <v>104</v>
      </c>
      <c r="Q83" s="31">
        <v>60</v>
      </c>
      <c r="R83" s="32" t="s">
        <v>78</v>
      </c>
      <c r="S83" s="135">
        <v>2343484000004</v>
      </c>
      <c r="T83" s="333">
        <v>12343484000001</v>
      </c>
      <c r="U83" s="46">
        <v>4630362180087</v>
      </c>
      <c r="V83" s="46">
        <v>14630362180084</v>
      </c>
      <c r="W83" s="157">
        <v>250</v>
      </c>
      <c r="X83" s="34">
        <v>90</v>
      </c>
      <c r="Y83" s="34">
        <v>90</v>
      </c>
      <c r="Z83" s="35">
        <v>1.35</v>
      </c>
      <c r="AA83" s="271">
        <v>2E-3</v>
      </c>
      <c r="AB83" s="36">
        <f t="shared" si="76"/>
        <v>1.3520000000000001</v>
      </c>
      <c r="AC83" s="37">
        <v>292</v>
      </c>
      <c r="AD83" s="38">
        <v>178</v>
      </c>
      <c r="AE83" s="38">
        <v>178</v>
      </c>
      <c r="AF83" s="190">
        <v>3</v>
      </c>
      <c r="AG83" s="117">
        <v>600000029</v>
      </c>
      <c r="AH83" s="103">
        <f>справочники!$C$21</f>
        <v>0.125</v>
      </c>
      <c r="AI83" s="39">
        <f t="shared" si="65"/>
        <v>4.05</v>
      </c>
      <c r="AJ83" s="121">
        <f t="shared" si="66"/>
        <v>4.181</v>
      </c>
      <c r="AK83" s="37">
        <v>16</v>
      </c>
      <c r="AL83" s="38">
        <v>8</v>
      </c>
      <c r="AM83" s="40">
        <f t="shared" si="67"/>
        <v>128</v>
      </c>
      <c r="AN83" s="214">
        <f t="shared" si="68"/>
        <v>518.4</v>
      </c>
      <c r="AO83" s="204">
        <f t="shared" si="69"/>
        <v>1569</v>
      </c>
    </row>
    <row r="84" spans="1:54" s="22" customFormat="1" ht="191.25" x14ac:dyDescent="0.2">
      <c r="A84" s="22">
        <f t="shared" si="77"/>
        <v>7569</v>
      </c>
      <c r="B84" s="116">
        <v>1001012637569</v>
      </c>
      <c r="C84" s="46" t="s">
        <v>1708</v>
      </c>
      <c r="D84" s="23" t="s">
        <v>3</v>
      </c>
      <c r="E84" s="146" t="s">
        <v>373</v>
      </c>
      <c r="F84" s="132" t="s">
        <v>36</v>
      </c>
      <c r="G84" s="146" t="s">
        <v>6</v>
      </c>
      <c r="H84" s="23" t="s">
        <v>135</v>
      </c>
      <c r="I84" s="153" t="s">
        <v>1566</v>
      </c>
      <c r="J84" s="149" t="s">
        <v>412</v>
      </c>
      <c r="K84" s="26" t="s">
        <v>1571</v>
      </c>
      <c r="L84" s="27">
        <v>9</v>
      </c>
      <c r="M84" s="28">
        <v>16</v>
      </c>
      <c r="N84" s="29">
        <v>3</v>
      </c>
      <c r="O84" s="30" t="s">
        <v>1218</v>
      </c>
      <c r="P84" s="31" t="s">
        <v>104</v>
      </c>
      <c r="Q84" s="31">
        <v>60</v>
      </c>
      <c r="R84" s="32" t="s">
        <v>78</v>
      </c>
      <c r="S84" s="135">
        <v>2343484000004</v>
      </c>
      <c r="T84" s="333">
        <v>12343484000001</v>
      </c>
      <c r="U84" s="46">
        <v>4630362180087</v>
      </c>
      <c r="V84" s="46">
        <v>24630362180081</v>
      </c>
      <c r="W84" s="157">
        <v>250</v>
      </c>
      <c r="X84" s="34">
        <v>90</v>
      </c>
      <c r="Y84" s="34">
        <v>90</v>
      </c>
      <c r="Z84" s="35">
        <v>1.35</v>
      </c>
      <c r="AA84" s="271">
        <v>2E-3</v>
      </c>
      <c r="AB84" s="36">
        <f t="shared" ref="AB84" si="84">Z84+AA84</f>
        <v>1.3520000000000001</v>
      </c>
      <c r="AC84" s="37">
        <v>293</v>
      </c>
      <c r="AD84" s="38">
        <v>394</v>
      </c>
      <c r="AE84" s="38">
        <v>158</v>
      </c>
      <c r="AF84" s="190">
        <v>8</v>
      </c>
      <c r="AG84" s="117">
        <v>600000607</v>
      </c>
      <c r="AH84" s="103">
        <f>справочники!$C$195</f>
        <v>0.23599999999999999</v>
      </c>
      <c r="AI84" s="39">
        <f t="shared" si="65"/>
        <v>10.8</v>
      </c>
      <c r="AJ84" s="121">
        <f t="shared" si="66"/>
        <v>11.052000000000001</v>
      </c>
      <c r="AK84" s="37">
        <v>8</v>
      </c>
      <c r="AL84" s="38">
        <v>9</v>
      </c>
      <c r="AM84" s="40">
        <f t="shared" ref="AM84" si="85">AK84*AL84</f>
        <v>72</v>
      </c>
      <c r="AN84" s="214">
        <f t="shared" ref="AN84" si="86">IF(D84="ШТ",кол_во_инд.__упак_к*итого_г_у,ROUNDDOWN(номин.вес_нетто_г_у__кг*итого_г_у,1))</f>
        <v>777.6</v>
      </c>
      <c r="AO84" s="204">
        <f t="shared" si="69"/>
        <v>1567</v>
      </c>
    </row>
    <row r="85" spans="1:54" s="22" customFormat="1" ht="114.75" customHeight="1" x14ac:dyDescent="0.2">
      <c r="A85" s="22">
        <f t="shared" si="77"/>
        <v>4424</v>
      </c>
      <c r="B85" s="116">
        <v>1001012634424</v>
      </c>
      <c r="C85" s="46" t="s">
        <v>332</v>
      </c>
      <c r="D85" s="23" t="s">
        <v>3</v>
      </c>
      <c r="E85" s="146" t="s">
        <v>373</v>
      </c>
      <c r="F85" s="132" t="s">
        <v>36</v>
      </c>
      <c r="G85" s="146" t="s">
        <v>6</v>
      </c>
      <c r="H85" s="23" t="s">
        <v>135</v>
      </c>
      <c r="I85" s="153" t="s">
        <v>374</v>
      </c>
      <c r="J85" s="149" t="s">
        <v>412</v>
      </c>
      <c r="K85" s="26" t="s">
        <v>1571</v>
      </c>
      <c r="L85" s="27">
        <v>9</v>
      </c>
      <c r="M85" s="28">
        <v>16</v>
      </c>
      <c r="N85" s="29">
        <v>3</v>
      </c>
      <c r="O85" s="30" t="s">
        <v>1218</v>
      </c>
      <c r="P85" s="31" t="s">
        <v>104</v>
      </c>
      <c r="Q85" s="31">
        <v>60</v>
      </c>
      <c r="R85" s="32" t="s">
        <v>78</v>
      </c>
      <c r="S85" s="135">
        <v>2800841000003</v>
      </c>
      <c r="T85" s="333">
        <v>12800841000000</v>
      </c>
      <c r="U85" s="46" t="s">
        <v>1874</v>
      </c>
      <c r="V85" s="46" t="s">
        <v>1874</v>
      </c>
      <c r="W85" s="157">
        <v>250</v>
      </c>
      <c r="X85" s="34">
        <v>90</v>
      </c>
      <c r="Y85" s="34">
        <v>90</v>
      </c>
      <c r="Z85" s="35">
        <v>1.35</v>
      </c>
      <c r="AA85" s="271">
        <v>2E-3</v>
      </c>
      <c r="AB85" s="36">
        <f t="shared" si="76"/>
        <v>1.3520000000000001</v>
      </c>
      <c r="AC85" s="37">
        <v>292</v>
      </c>
      <c r="AD85" s="38">
        <v>178</v>
      </c>
      <c r="AE85" s="38">
        <v>178</v>
      </c>
      <c r="AF85" s="190">
        <v>3</v>
      </c>
      <c r="AG85" s="117">
        <v>600000029</v>
      </c>
      <c r="AH85" s="103">
        <f>справочники!$C$21</f>
        <v>0.125</v>
      </c>
      <c r="AI85" s="39">
        <f t="shared" si="65"/>
        <v>4.05</v>
      </c>
      <c r="AJ85" s="121">
        <f t="shared" si="66"/>
        <v>4.181</v>
      </c>
      <c r="AK85" s="37">
        <v>16</v>
      </c>
      <c r="AL85" s="38">
        <v>8</v>
      </c>
      <c r="AM85" s="40">
        <f t="shared" si="67"/>
        <v>128</v>
      </c>
      <c r="AN85" s="214">
        <f t="shared" si="68"/>
        <v>518.4</v>
      </c>
      <c r="AO85" s="204">
        <f t="shared" si="69"/>
        <v>1569</v>
      </c>
    </row>
    <row r="86" spans="1:54" s="22" customFormat="1" ht="126.75" customHeight="1" x14ac:dyDescent="0.2">
      <c r="A86" s="22">
        <f t="shared" si="77"/>
        <v>5704</v>
      </c>
      <c r="B86" s="116">
        <v>1001014375704</v>
      </c>
      <c r="C86" s="25" t="s">
        <v>283</v>
      </c>
      <c r="D86" s="23" t="s">
        <v>4</v>
      </c>
      <c r="E86" s="146" t="s">
        <v>373</v>
      </c>
      <c r="F86" s="132" t="s">
        <v>36</v>
      </c>
      <c r="G86" s="146" t="s">
        <v>6</v>
      </c>
      <c r="H86" s="24" t="s">
        <v>194</v>
      </c>
      <c r="I86" s="153" t="s">
        <v>1566</v>
      </c>
      <c r="J86" s="148" t="s">
        <v>412</v>
      </c>
      <c r="K86" s="26" t="s">
        <v>1442</v>
      </c>
      <c r="L86" s="27">
        <v>9</v>
      </c>
      <c r="M86" s="28">
        <v>14</v>
      </c>
      <c r="N86" s="29">
        <v>5</v>
      </c>
      <c r="O86" s="30" t="s">
        <v>1443</v>
      </c>
      <c r="P86" s="31" t="s">
        <v>104</v>
      </c>
      <c r="Q86" s="31">
        <v>60</v>
      </c>
      <c r="R86" s="32" t="s">
        <v>37</v>
      </c>
      <c r="S86" s="233">
        <v>4607958073092</v>
      </c>
      <c r="T86" s="334">
        <v>14607958073099</v>
      </c>
      <c r="U86" s="46">
        <v>4607958073092</v>
      </c>
      <c r="V86" s="46">
        <v>14607958073099</v>
      </c>
      <c r="W86" s="157">
        <v>160</v>
      </c>
      <c r="X86" s="34">
        <v>70</v>
      </c>
      <c r="Y86" s="34">
        <v>70</v>
      </c>
      <c r="Z86" s="35">
        <v>0.4</v>
      </c>
      <c r="AA86" s="271">
        <v>2E-3</v>
      </c>
      <c r="AB86" s="36">
        <f t="shared" si="76"/>
        <v>0.40200000000000002</v>
      </c>
      <c r="AC86" s="59">
        <v>318</v>
      </c>
      <c r="AD86" s="60">
        <v>143</v>
      </c>
      <c r="AE86" s="60">
        <v>138</v>
      </c>
      <c r="AF86" s="191">
        <v>8</v>
      </c>
      <c r="AG86" s="117">
        <v>600000407</v>
      </c>
      <c r="AH86" s="103">
        <f>справочники!$C$106</f>
        <v>9.4E-2</v>
      </c>
      <c r="AI86" s="39">
        <f t="shared" si="65"/>
        <v>3.2</v>
      </c>
      <c r="AJ86" s="121">
        <f t="shared" si="66"/>
        <v>3.31</v>
      </c>
      <c r="AK86" s="37">
        <v>19</v>
      </c>
      <c r="AL86" s="38">
        <v>11</v>
      </c>
      <c r="AM86" s="40">
        <f t="shared" si="67"/>
        <v>209</v>
      </c>
      <c r="AN86" s="206">
        <f t="shared" si="68"/>
        <v>1672</v>
      </c>
      <c r="AO86" s="204">
        <f t="shared" si="69"/>
        <v>1663</v>
      </c>
    </row>
    <row r="87" spans="1:54" s="22" customFormat="1" ht="102" x14ac:dyDescent="0.2">
      <c r="A87" s="22">
        <f t="shared" si="77"/>
        <v>7554</v>
      </c>
      <c r="B87" s="116">
        <v>1001016867554</v>
      </c>
      <c r="C87" s="25" t="s">
        <v>1741</v>
      </c>
      <c r="D87" s="23" t="s">
        <v>3</v>
      </c>
      <c r="E87" s="146" t="s">
        <v>373</v>
      </c>
      <c r="F87" s="132" t="s">
        <v>36</v>
      </c>
      <c r="G87" s="146" t="s">
        <v>2</v>
      </c>
      <c r="H87" s="24" t="s">
        <v>278</v>
      </c>
      <c r="I87" s="153" t="s">
        <v>189</v>
      </c>
      <c r="J87" s="148" t="s">
        <v>408</v>
      </c>
      <c r="K87" s="26" t="s">
        <v>1742</v>
      </c>
      <c r="L87" s="41">
        <v>10</v>
      </c>
      <c r="M87" s="42">
        <v>30</v>
      </c>
      <c r="N87" s="43">
        <v>0</v>
      </c>
      <c r="O87" s="44" t="s">
        <v>191</v>
      </c>
      <c r="P87" s="31" t="s">
        <v>104</v>
      </c>
      <c r="Q87" s="31">
        <v>30</v>
      </c>
      <c r="R87" s="32" t="s">
        <v>28</v>
      </c>
      <c r="S87" s="242">
        <v>2308144000008</v>
      </c>
      <c r="T87" s="335">
        <v>12308144000005</v>
      </c>
      <c r="U87" s="46">
        <v>4630362182609</v>
      </c>
      <c r="V87" s="46">
        <v>14630362182606</v>
      </c>
      <c r="W87" s="254" t="s">
        <v>250</v>
      </c>
      <c r="X87" s="45" t="s">
        <v>251</v>
      </c>
      <c r="Y87" s="45" t="s">
        <v>251</v>
      </c>
      <c r="Z87" s="35">
        <v>1.3</v>
      </c>
      <c r="AA87" s="271">
        <v>0.01</v>
      </c>
      <c r="AB87" s="36">
        <f t="shared" ref="AB87" si="87">Z87+AA87</f>
        <v>1.31</v>
      </c>
      <c r="AC87" s="37">
        <v>383</v>
      </c>
      <c r="AD87" s="38">
        <v>156</v>
      </c>
      <c r="AE87" s="38">
        <v>168</v>
      </c>
      <c r="AF87" s="190">
        <v>2</v>
      </c>
      <c r="AG87" s="117">
        <v>600000030</v>
      </c>
      <c r="AH87" s="103">
        <f>справочники!$C$22</f>
        <v>0.127</v>
      </c>
      <c r="AI87" s="39">
        <f t="shared" ref="AI87:AI115" si="88">ROUNDDOWN(номин.вес_нетто__кг*кол_во_инд.__упак_к,2)</f>
        <v>2.6</v>
      </c>
      <c r="AJ87" s="121">
        <f t="shared" ref="AJ87:AJ115" si="89">(номин.вес_брутто__кг*кол_во_инд.__упак_к)+вес_короба__кг</f>
        <v>2.7469999999999999</v>
      </c>
      <c r="AK87" s="37">
        <v>15</v>
      </c>
      <c r="AL87" s="38">
        <v>9</v>
      </c>
      <c r="AM87" s="40">
        <f t="shared" ref="AM87" si="90">AK87*AL87</f>
        <v>135</v>
      </c>
      <c r="AN87" s="214">
        <f t="shared" ref="AN87" si="91">IF(D87="ШТ",кол_во_инд.__упак_к*итого_г_у,ROUNDDOWN(номин.вес_нетто_г_у__кг*итого_г_у,1))</f>
        <v>351</v>
      </c>
      <c r="AO87" s="204">
        <f t="shared" si="69"/>
        <v>1657</v>
      </c>
      <c r="AP87" s="9"/>
      <c r="AQ87" s="9"/>
      <c r="AR87" s="9"/>
      <c r="AS87" s="9"/>
      <c r="AT87" s="9"/>
      <c r="AU87" s="9"/>
      <c r="AV87" s="9"/>
      <c r="AW87" s="9"/>
      <c r="AX87" s="9"/>
      <c r="AY87" s="9"/>
      <c r="AZ87" s="9"/>
      <c r="BA87" s="9"/>
      <c r="BB87" s="9"/>
    </row>
    <row r="88" spans="1:54" s="22" customFormat="1" ht="102" x14ac:dyDescent="0.2">
      <c r="A88" s="22">
        <f t="shared" si="77"/>
        <v>7517</v>
      </c>
      <c r="B88" s="116">
        <v>1001016867517</v>
      </c>
      <c r="C88" s="25" t="s">
        <v>1758</v>
      </c>
      <c r="D88" s="23" t="s">
        <v>3</v>
      </c>
      <c r="E88" s="146" t="s">
        <v>373</v>
      </c>
      <c r="F88" s="132" t="s">
        <v>36</v>
      </c>
      <c r="G88" s="146" t="s">
        <v>2</v>
      </c>
      <c r="H88" s="24" t="s">
        <v>278</v>
      </c>
      <c r="I88" s="153" t="s">
        <v>189</v>
      </c>
      <c r="J88" s="148" t="s">
        <v>408</v>
      </c>
      <c r="K88" s="26" t="s">
        <v>1742</v>
      </c>
      <c r="L88" s="41">
        <v>10</v>
      </c>
      <c r="M88" s="42">
        <v>30</v>
      </c>
      <c r="N88" s="43">
        <v>0</v>
      </c>
      <c r="O88" s="44" t="s">
        <v>191</v>
      </c>
      <c r="P88" s="31" t="s">
        <v>104</v>
      </c>
      <c r="Q88" s="31">
        <v>30</v>
      </c>
      <c r="R88" s="32" t="s">
        <v>28</v>
      </c>
      <c r="S88" s="242">
        <v>2308144000008</v>
      </c>
      <c r="T88" s="335">
        <v>12308144000005</v>
      </c>
      <c r="U88" s="46">
        <v>4630362182609</v>
      </c>
      <c r="V88" s="46">
        <v>14630362182606</v>
      </c>
      <c r="W88" s="254" t="s">
        <v>250</v>
      </c>
      <c r="X88" s="45" t="s">
        <v>251</v>
      </c>
      <c r="Y88" s="45" t="s">
        <v>251</v>
      </c>
      <c r="Z88" s="35">
        <v>1.3</v>
      </c>
      <c r="AA88" s="271">
        <v>0.01</v>
      </c>
      <c r="AB88" s="36">
        <f t="shared" ref="AB88" si="92">Z88+AA88</f>
        <v>1.31</v>
      </c>
      <c r="AC88" s="37">
        <v>383</v>
      </c>
      <c r="AD88" s="38">
        <v>156</v>
      </c>
      <c r="AE88" s="38">
        <v>168</v>
      </c>
      <c r="AF88" s="190">
        <v>2</v>
      </c>
      <c r="AG88" s="117">
        <v>600000030</v>
      </c>
      <c r="AH88" s="103">
        <f>справочники!$C$22</f>
        <v>0.127</v>
      </c>
      <c r="AI88" s="39">
        <f t="shared" si="88"/>
        <v>2.6</v>
      </c>
      <c r="AJ88" s="121">
        <f t="shared" si="89"/>
        <v>2.7469999999999999</v>
      </c>
      <c r="AK88" s="37">
        <v>15</v>
      </c>
      <c r="AL88" s="38">
        <v>9</v>
      </c>
      <c r="AM88" s="40">
        <f t="shared" ref="AM88" si="93">AK88*AL88</f>
        <v>135</v>
      </c>
      <c r="AN88" s="214">
        <f t="shared" ref="AN88" si="94">IF(D88="ШТ",кол_во_инд.__упак_к*итого_г_у,ROUNDDOWN(номин.вес_нетто_г_у__кг*итого_г_у,1))</f>
        <v>351</v>
      </c>
      <c r="AO88" s="204">
        <f t="shared" si="69"/>
        <v>1657</v>
      </c>
      <c r="AP88" s="9"/>
      <c r="AQ88" s="9"/>
      <c r="AR88" s="9"/>
      <c r="AS88" s="9"/>
      <c r="AT88" s="9"/>
      <c r="AU88" s="9"/>
      <c r="AV88" s="9"/>
      <c r="AW88" s="9"/>
      <c r="AX88" s="9"/>
      <c r="AY88" s="9"/>
      <c r="AZ88" s="9"/>
      <c r="BA88" s="9"/>
      <c r="BB88" s="9"/>
    </row>
    <row r="89" spans="1:54" s="22" customFormat="1" ht="114.75" customHeight="1" x14ac:dyDescent="0.2">
      <c r="A89" s="22">
        <f t="shared" si="77"/>
        <v>6989</v>
      </c>
      <c r="B89" s="116">
        <v>1001010506989</v>
      </c>
      <c r="C89" s="25" t="s">
        <v>972</v>
      </c>
      <c r="D89" s="23" t="s">
        <v>3</v>
      </c>
      <c r="E89" s="146" t="s">
        <v>373</v>
      </c>
      <c r="F89" s="132" t="s">
        <v>36</v>
      </c>
      <c r="G89" s="146" t="s">
        <v>5</v>
      </c>
      <c r="H89" s="24" t="s">
        <v>135</v>
      </c>
      <c r="I89" s="153" t="s">
        <v>387</v>
      </c>
      <c r="J89" s="151" t="s">
        <v>639</v>
      </c>
      <c r="K89" s="26" t="s">
        <v>869</v>
      </c>
      <c r="L89" s="27">
        <v>8</v>
      </c>
      <c r="M89" s="28">
        <v>14</v>
      </c>
      <c r="N89" s="28">
        <v>4</v>
      </c>
      <c r="O89" s="29" t="s">
        <v>868</v>
      </c>
      <c r="P89" s="31" t="s">
        <v>104</v>
      </c>
      <c r="Q89" s="31">
        <v>45</v>
      </c>
      <c r="R89" s="32" t="s">
        <v>28</v>
      </c>
      <c r="S89" s="242">
        <v>2343002000004</v>
      </c>
      <c r="T89" s="335">
        <v>12343002000001</v>
      </c>
      <c r="U89" s="46">
        <v>4630362181305</v>
      </c>
      <c r="V89" s="46">
        <v>14630362181302</v>
      </c>
      <c r="W89" s="157">
        <v>330</v>
      </c>
      <c r="X89" s="34">
        <v>100</v>
      </c>
      <c r="Y89" s="34">
        <v>85</v>
      </c>
      <c r="Z89" s="35">
        <v>1.625</v>
      </c>
      <c r="AA89" s="271">
        <v>0.01</v>
      </c>
      <c r="AB89" s="36">
        <f>Z89+AA89</f>
        <v>1.635</v>
      </c>
      <c r="AC89" s="37">
        <v>338</v>
      </c>
      <c r="AD89" s="38">
        <v>188</v>
      </c>
      <c r="AE89" s="38">
        <v>178</v>
      </c>
      <c r="AF89" s="190">
        <v>4</v>
      </c>
      <c r="AG89" s="117">
        <v>600000260</v>
      </c>
      <c r="AH89" s="103">
        <f>справочники!$C$54</f>
        <v>0.17699999999999999</v>
      </c>
      <c r="AI89" s="39">
        <f t="shared" si="88"/>
        <v>6.5</v>
      </c>
      <c r="AJ89" s="121">
        <f t="shared" si="89"/>
        <v>6.7169999999999996</v>
      </c>
      <c r="AK89" s="37">
        <v>12</v>
      </c>
      <c r="AL89" s="38">
        <v>8</v>
      </c>
      <c r="AM89" s="40">
        <f t="shared" ref="AM89:AM97" si="95">AK89*AL89</f>
        <v>96</v>
      </c>
      <c r="AN89" s="214">
        <f t="shared" ref="AN89:AN97" si="96">IF(D89="ШТ",кол_во_инд.__упак_к*итого_г_у,ROUNDDOWN(номин.вес_нетто_г_у__кг*итого_г_у,1))</f>
        <v>624</v>
      </c>
      <c r="AO89" s="204">
        <f t="shared" si="69"/>
        <v>1569</v>
      </c>
    </row>
    <row r="90" spans="1:54" s="57" customFormat="1" ht="242.25" x14ac:dyDescent="0.2">
      <c r="A90" s="22">
        <f t="shared" si="77"/>
        <v>7556</v>
      </c>
      <c r="B90" s="116">
        <v>1001017597556</v>
      </c>
      <c r="C90" s="25" t="s">
        <v>1770</v>
      </c>
      <c r="D90" s="23" t="s">
        <v>3</v>
      </c>
      <c r="E90" s="146" t="s">
        <v>373</v>
      </c>
      <c r="F90" s="132" t="s">
        <v>36</v>
      </c>
      <c r="G90" s="146" t="s">
        <v>2</v>
      </c>
      <c r="H90" s="24" t="s">
        <v>278</v>
      </c>
      <c r="I90" s="153" t="s">
        <v>1566</v>
      </c>
      <c r="J90" s="149" t="s">
        <v>412</v>
      </c>
      <c r="K90" s="26" t="s">
        <v>1436</v>
      </c>
      <c r="L90" s="27">
        <v>9</v>
      </c>
      <c r="M90" s="28">
        <v>13</v>
      </c>
      <c r="N90" s="28">
        <v>4</v>
      </c>
      <c r="O90" s="29" t="s">
        <v>774</v>
      </c>
      <c r="P90" s="31" t="s">
        <v>104</v>
      </c>
      <c r="Q90" s="23">
        <v>30</v>
      </c>
      <c r="R90" s="163" t="s">
        <v>37</v>
      </c>
      <c r="S90" s="242">
        <v>2800542000005</v>
      </c>
      <c r="T90" s="335">
        <v>12800542000002</v>
      </c>
      <c r="U90" s="46">
        <v>4630362182616</v>
      </c>
      <c r="V90" s="46">
        <v>14630362182613</v>
      </c>
      <c r="W90" s="254">
        <v>365</v>
      </c>
      <c r="X90" s="45">
        <v>220</v>
      </c>
      <c r="Y90" s="34">
        <v>110</v>
      </c>
      <c r="Z90" s="35">
        <v>1.5</v>
      </c>
      <c r="AA90" s="271">
        <v>8.0000000000000002E-3</v>
      </c>
      <c r="AB90" s="36">
        <f>Z90+AA90</f>
        <v>1.508</v>
      </c>
      <c r="AC90" s="37">
        <v>292</v>
      </c>
      <c r="AD90" s="38">
        <v>178</v>
      </c>
      <c r="AE90" s="38">
        <v>178</v>
      </c>
      <c r="AF90" s="190">
        <v>2</v>
      </c>
      <c r="AG90" s="117">
        <v>600000029</v>
      </c>
      <c r="AH90" s="103">
        <f>справочники!$C$21</f>
        <v>0.125</v>
      </c>
      <c r="AI90" s="39">
        <f t="shared" si="88"/>
        <v>3</v>
      </c>
      <c r="AJ90" s="121">
        <f t="shared" si="89"/>
        <v>3.141</v>
      </c>
      <c r="AK90" s="37">
        <v>16</v>
      </c>
      <c r="AL90" s="38">
        <v>8</v>
      </c>
      <c r="AM90" s="40">
        <f t="shared" ref="AM90" si="97">AK90*AL90</f>
        <v>128</v>
      </c>
      <c r="AN90" s="214">
        <f t="shared" ref="AN90" si="98">IF(D90="ШТ",кол_во_инд.__упак_к*итого_г_у,ROUNDDOWN(номин.вес_нетто_г_у__кг*итого_г_у,1))</f>
        <v>384</v>
      </c>
      <c r="AO90" s="204">
        <f t="shared" ref="AO90:AO137" si="99">(высота__мм*кол_во_слоев_г_у)+145</f>
        <v>1569</v>
      </c>
    </row>
    <row r="91" spans="1:54" s="57" customFormat="1" ht="107.45" customHeight="1" x14ac:dyDescent="0.2">
      <c r="A91" s="22">
        <f t="shared" si="77"/>
        <v>6797</v>
      </c>
      <c r="B91" s="116">
        <v>1001015026797</v>
      </c>
      <c r="C91" s="48" t="s">
        <v>1417</v>
      </c>
      <c r="D91" s="23" t="s">
        <v>4</v>
      </c>
      <c r="E91" s="146" t="s">
        <v>373</v>
      </c>
      <c r="F91" s="112" t="s">
        <v>36</v>
      </c>
      <c r="G91" s="146" t="s">
        <v>6</v>
      </c>
      <c r="H91" s="58" t="s">
        <v>135</v>
      </c>
      <c r="I91" s="153" t="s">
        <v>387</v>
      </c>
      <c r="J91" s="150" t="s">
        <v>639</v>
      </c>
      <c r="K91" s="26" t="s">
        <v>1734</v>
      </c>
      <c r="L91" s="52">
        <v>11</v>
      </c>
      <c r="M91" s="53">
        <v>14</v>
      </c>
      <c r="N91" s="53">
        <v>4</v>
      </c>
      <c r="O91" s="54" t="s">
        <v>554</v>
      </c>
      <c r="P91" s="31" t="s">
        <v>104</v>
      </c>
      <c r="Q91" s="49">
        <v>60</v>
      </c>
      <c r="R91" s="56" t="s">
        <v>37</v>
      </c>
      <c r="S91" s="189">
        <v>4607958077199</v>
      </c>
      <c r="T91" s="337">
        <v>14607958077196</v>
      </c>
      <c r="U91" s="46">
        <v>4607958077199</v>
      </c>
      <c r="V91" s="46">
        <v>14607958077196</v>
      </c>
      <c r="W91" s="157">
        <v>180</v>
      </c>
      <c r="X91" s="34">
        <v>59</v>
      </c>
      <c r="Y91" s="34">
        <v>59</v>
      </c>
      <c r="Z91" s="35">
        <v>0.4</v>
      </c>
      <c r="AA91" s="271">
        <v>2E-3</v>
      </c>
      <c r="AB91" s="36">
        <f t="shared" ref="AB91:AB92" si="100">Z91+AA91</f>
        <v>0.40200000000000002</v>
      </c>
      <c r="AC91" s="59">
        <v>258</v>
      </c>
      <c r="AD91" s="60">
        <v>193</v>
      </c>
      <c r="AE91" s="60">
        <v>123</v>
      </c>
      <c r="AF91" s="191">
        <v>8</v>
      </c>
      <c r="AG91" s="117">
        <v>600000403</v>
      </c>
      <c r="AH91" s="104">
        <f>справочники!$C$100</f>
        <v>0.104</v>
      </c>
      <c r="AI91" s="39">
        <f t="shared" si="88"/>
        <v>3.2</v>
      </c>
      <c r="AJ91" s="121">
        <f t="shared" si="89"/>
        <v>3.3200000000000003</v>
      </c>
      <c r="AK91" s="37">
        <v>18</v>
      </c>
      <c r="AL91" s="38">
        <v>12</v>
      </c>
      <c r="AM91" s="40">
        <f t="shared" ref="AM91:AM92" si="101">AK91*AL91</f>
        <v>216</v>
      </c>
      <c r="AN91" s="206">
        <f t="shared" ref="AN91:AN92" si="102">IF(D91="ШТ",кол_во_инд.__упак_к*итого_г_у,ROUNDDOWN(номин.вес_нетто_г_у__кг*итого_г_у,1))</f>
        <v>1728</v>
      </c>
      <c r="AO91" s="204">
        <f t="shared" si="99"/>
        <v>1621</v>
      </c>
    </row>
    <row r="92" spans="1:54" ht="115.5" customHeight="1" x14ac:dyDescent="0.2">
      <c r="A92" s="22">
        <f t="shared" si="77"/>
        <v>7481</v>
      </c>
      <c r="B92" s="116">
        <v>1001015027481</v>
      </c>
      <c r="C92" s="25" t="s">
        <v>1560</v>
      </c>
      <c r="D92" s="23" t="s">
        <v>4</v>
      </c>
      <c r="E92" s="146" t="s">
        <v>373</v>
      </c>
      <c r="F92" s="132" t="s">
        <v>36</v>
      </c>
      <c r="G92" s="146" t="s">
        <v>6</v>
      </c>
      <c r="H92" s="24" t="s">
        <v>135</v>
      </c>
      <c r="I92" s="153" t="s">
        <v>387</v>
      </c>
      <c r="J92" s="150" t="s">
        <v>639</v>
      </c>
      <c r="K92" s="26" t="s">
        <v>1418</v>
      </c>
      <c r="L92" s="52">
        <v>11</v>
      </c>
      <c r="M92" s="53">
        <v>14</v>
      </c>
      <c r="N92" s="53">
        <v>4</v>
      </c>
      <c r="O92" s="54" t="s">
        <v>554</v>
      </c>
      <c r="P92" s="31" t="s">
        <v>104</v>
      </c>
      <c r="Q92" s="31">
        <v>60</v>
      </c>
      <c r="R92" s="32" t="s">
        <v>37</v>
      </c>
      <c r="S92" s="233">
        <v>4630362181039</v>
      </c>
      <c r="T92" s="334">
        <v>14630362181036</v>
      </c>
      <c r="U92" s="46">
        <v>4630362181039</v>
      </c>
      <c r="V92" s="46">
        <v>14630362181036</v>
      </c>
      <c r="W92" s="157">
        <v>210</v>
      </c>
      <c r="X92" s="34">
        <v>87</v>
      </c>
      <c r="Y92" s="34">
        <v>87</v>
      </c>
      <c r="Z92" s="35">
        <v>0.8</v>
      </c>
      <c r="AA92" s="271">
        <v>2E-3</v>
      </c>
      <c r="AB92" s="36">
        <f t="shared" si="100"/>
        <v>0.80200000000000005</v>
      </c>
      <c r="AC92" s="59">
        <v>388</v>
      </c>
      <c r="AD92" s="60">
        <v>193</v>
      </c>
      <c r="AE92" s="60">
        <v>108</v>
      </c>
      <c r="AF92" s="191">
        <v>4</v>
      </c>
      <c r="AG92" s="117">
        <v>600000013</v>
      </c>
      <c r="AH92" s="104">
        <f>справочники!$C$5</f>
        <v>0.14099999999999999</v>
      </c>
      <c r="AI92" s="39">
        <f t="shared" si="88"/>
        <v>3.2</v>
      </c>
      <c r="AJ92" s="121">
        <f t="shared" si="89"/>
        <v>3.3490000000000002</v>
      </c>
      <c r="AK92" s="37">
        <v>12</v>
      </c>
      <c r="AL92" s="38">
        <v>14</v>
      </c>
      <c r="AM92" s="40">
        <f t="shared" si="101"/>
        <v>168</v>
      </c>
      <c r="AN92" s="206">
        <f t="shared" si="102"/>
        <v>672</v>
      </c>
      <c r="AO92" s="204">
        <f t="shared" si="99"/>
        <v>1657</v>
      </c>
      <c r="AP92" s="22"/>
      <c r="AQ92" s="22"/>
      <c r="AR92" s="22"/>
      <c r="AS92" s="22"/>
      <c r="AT92" s="22"/>
      <c r="AU92" s="22"/>
      <c r="AV92" s="22"/>
      <c r="AW92" s="22"/>
      <c r="AX92" s="22"/>
      <c r="AY92" s="22"/>
      <c r="AZ92" s="22"/>
      <c r="BA92" s="22"/>
      <c r="BB92" s="22"/>
    </row>
    <row r="93" spans="1:54" s="22" customFormat="1" ht="127.5" customHeight="1" x14ac:dyDescent="0.2">
      <c r="A93" s="22">
        <f t="shared" si="77"/>
        <v>6327</v>
      </c>
      <c r="B93" s="116">
        <v>1001010116327</v>
      </c>
      <c r="C93" s="25" t="s">
        <v>857</v>
      </c>
      <c r="D93" s="23" t="s">
        <v>3</v>
      </c>
      <c r="E93" s="146" t="s">
        <v>373</v>
      </c>
      <c r="F93" s="132" t="s">
        <v>36</v>
      </c>
      <c r="G93" s="146" t="s">
        <v>5</v>
      </c>
      <c r="H93" s="24" t="s">
        <v>135</v>
      </c>
      <c r="I93" s="153" t="s">
        <v>387</v>
      </c>
      <c r="J93" s="150" t="s">
        <v>639</v>
      </c>
      <c r="K93" s="26" t="s">
        <v>858</v>
      </c>
      <c r="L93" s="41">
        <v>8</v>
      </c>
      <c r="M93" s="42">
        <v>14</v>
      </c>
      <c r="N93" s="43"/>
      <c r="O93" s="44" t="s">
        <v>152</v>
      </c>
      <c r="P93" s="31" t="s">
        <v>104</v>
      </c>
      <c r="Q93" s="31">
        <v>60</v>
      </c>
      <c r="R93" s="32" t="s">
        <v>78</v>
      </c>
      <c r="S93" s="242">
        <v>2100408000003</v>
      </c>
      <c r="T93" s="335">
        <v>12100408000000</v>
      </c>
      <c r="U93" s="46">
        <v>4630362181343</v>
      </c>
      <c r="V93" s="46">
        <v>14630362181340</v>
      </c>
      <c r="W93" s="157">
        <v>250</v>
      </c>
      <c r="X93" s="34">
        <v>85</v>
      </c>
      <c r="Y93" s="34">
        <v>85</v>
      </c>
      <c r="Z93" s="35">
        <v>1.35</v>
      </c>
      <c r="AA93" s="271">
        <v>2E-3</v>
      </c>
      <c r="AB93" s="36">
        <f t="shared" si="76"/>
        <v>1.3520000000000001</v>
      </c>
      <c r="AC93" s="37">
        <v>390</v>
      </c>
      <c r="AD93" s="38">
        <v>260</v>
      </c>
      <c r="AE93" s="38">
        <v>190</v>
      </c>
      <c r="AF93" s="190">
        <v>8</v>
      </c>
      <c r="AG93" s="117">
        <v>600000010</v>
      </c>
      <c r="AH93" s="103">
        <f>справочники!$C$2</f>
        <v>0.33900000000000002</v>
      </c>
      <c r="AI93" s="39">
        <f t="shared" si="88"/>
        <v>10.8</v>
      </c>
      <c r="AJ93" s="121">
        <f t="shared" si="89"/>
        <v>11.155000000000001</v>
      </c>
      <c r="AK93" s="37">
        <v>9</v>
      </c>
      <c r="AL93" s="38">
        <v>6</v>
      </c>
      <c r="AM93" s="40">
        <f t="shared" si="95"/>
        <v>54</v>
      </c>
      <c r="AN93" s="214">
        <f t="shared" si="96"/>
        <v>583.20000000000005</v>
      </c>
      <c r="AO93" s="204">
        <f t="shared" si="99"/>
        <v>1285</v>
      </c>
    </row>
    <row r="94" spans="1:54" s="22" customFormat="1" ht="140.25" customHeight="1" x14ac:dyDescent="0.2">
      <c r="A94" s="22">
        <f t="shared" si="77"/>
        <v>7343</v>
      </c>
      <c r="B94" s="116">
        <v>1001016747343</v>
      </c>
      <c r="C94" s="46" t="s">
        <v>1311</v>
      </c>
      <c r="D94" s="23" t="s">
        <v>4</v>
      </c>
      <c r="E94" s="146" t="s">
        <v>373</v>
      </c>
      <c r="F94" s="132" t="s">
        <v>36</v>
      </c>
      <c r="G94" s="146" t="s">
        <v>6</v>
      </c>
      <c r="H94" s="24" t="s">
        <v>135</v>
      </c>
      <c r="I94" s="153" t="s">
        <v>375</v>
      </c>
      <c r="J94" s="148" t="s">
        <v>639</v>
      </c>
      <c r="K94" s="26" t="s">
        <v>1161</v>
      </c>
      <c r="L94" s="27">
        <v>10</v>
      </c>
      <c r="M94" s="28">
        <v>16</v>
      </c>
      <c r="N94" s="29">
        <v>2</v>
      </c>
      <c r="O94" s="30" t="s">
        <v>1218</v>
      </c>
      <c r="P94" s="31" t="s">
        <v>104</v>
      </c>
      <c r="Q94" s="31">
        <v>60</v>
      </c>
      <c r="R94" s="32" t="s">
        <v>78</v>
      </c>
      <c r="S94" s="233">
        <v>4607958079674</v>
      </c>
      <c r="T94" s="334">
        <v>14607958079671</v>
      </c>
      <c r="U94" s="46">
        <v>4607958079674</v>
      </c>
      <c r="V94" s="46">
        <v>14607958079671</v>
      </c>
      <c r="W94" s="157">
        <v>160</v>
      </c>
      <c r="X94" s="34">
        <v>67</v>
      </c>
      <c r="Y94" s="34">
        <v>67</v>
      </c>
      <c r="Z94" s="35">
        <v>0.4</v>
      </c>
      <c r="AA94" s="271">
        <v>2E-3</v>
      </c>
      <c r="AB94" s="36">
        <f t="shared" ref="AB94" si="103">Z94+AA94</f>
        <v>0.40200000000000002</v>
      </c>
      <c r="AC94" s="37">
        <v>318</v>
      </c>
      <c r="AD94" s="38">
        <v>143</v>
      </c>
      <c r="AE94" s="38">
        <v>138</v>
      </c>
      <c r="AF94" s="190">
        <v>8</v>
      </c>
      <c r="AG94" s="117">
        <v>600000407</v>
      </c>
      <c r="AH94" s="103">
        <f>справочники!$C$106</f>
        <v>9.4E-2</v>
      </c>
      <c r="AI94" s="39">
        <f t="shared" si="88"/>
        <v>3.2</v>
      </c>
      <c r="AJ94" s="121">
        <f t="shared" si="89"/>
        <v>3.31</v>
      </c>
      <c r="AK94" s="37">
        <v>19</v>
      </c>
      <c r="AL94" s="38">
        <v>11</v>
      </c>
      <c r="AM94" s="40">
        <f t="shared" ref="AM94" si="104">AK94*AL94</f>
        <v>209</v>
      </c>
      <c r="AN94" s="206">
        <f t="shared" ref="AN94" si="105">IF(D94="ШТ",кол_во_инд.__упак_к*итого_г_у,ROUNDDOWN(номин.вес_нетто_г_у__кг*итого_г_у,1))</f>
        <v>1672</v>
      </c>
      <c r="AO94" s="204">
        <f t="shared" si="99"/>
        <v>1663</v>
      </c>
    </row>
    <row r="95" spans="1:54" s="22" customFormat="1" ht="141" customHeight="1" x14ac:dyDescent="0.2">
      <c r="A95" s="22">
        <f t="shared" si="77"/>
        <v>7341</v>
      </c>
      <c r="B95" s="116">
        <v>1001016747341</v>
      </c>
      <c r="C95" s="46" t="s">
        <v>1312</v>
      </c>
      <c r="D95" s="23" t="s">
        <v>4</v>
      </c>
      <c r="E95" s="146" t="s">
        <v>373</v>
      </c>
      <c r="F95" s="132" t="s">
        <v>36</v>
      </c>
      <c r="G95" s="146" t="s">
        <v>6</v>
      </c>
      <c r="H95" s="24" t="s">
        <v>1006</v>
      </c>
      <c r="I95" s="153" t="s">
        <v>375</v>
      </c>
      <c r="J95" s="148" t="s">
        <v>639</v>
      </c>
      <c r="K95" s="26" t="s">
        <v>1428</v>
      </c>
      <c r="L95" s="27">
        <v>10</v>
      </c>
      <c r="M95" s="28">
        <v>16</v>
      </c>
      <c r="N95" s="29">
        <v>2</v>
      </c>
      <c r="O95" s="30" t="s">
        <v>1218</v>
      </c>
      <c r="P95" s="31" t="s">
        <v>104</v>
      </c>
      <c r="Q95" s="31">
        <v>60</v>
      </c>
      <c r="R95" s="32" t="s">
        <v>78</v>
      </c>
      <c r="S95" s="233">
        <v>4607958079964</v>
      </c>
      <c r="T95" s="334">
        <v>14607958079961</v>
      </c>
      <c r="U95" s="46">
        <v>4607958079964</v>
      </c>
      <c r="V95" s="46">
        <v>14607958079961</v>
      </c>
      <c r="W95" s="157">
        <v>245</v>
      </c>
      <c r="X95" s="34">
        <v>72</v>
      </c>
      <c r="Y95" s="34">
        <v>72</v>
      </c>
      <c r="Z95" s="35">
        <v>0.75</v>
      </c>
      <c r="AA95" s="271">
        <v>2E-3</v>
      </c>
      <c r="AB95" s="36">
        <f t="shared" si="76"/>
        <v>0.752</v>
      </c>
      <c r="AC95" s="37">
        <v>293</v>
      </c>
      <c r="AD95" s="38">
        <v>153</v>
      </c>
      <c r="AE95" s="38">
        <v>224</v>
      </c>
      <c r="AF95" s="190">
        <v>6</v>
      </c>
      <c r="AG95" s="117">
        <v>600000400</v>
      </c>
      <c r="AH95" s="103">
        <f>справочники!$C$95</f>
        <v>0.13500000000000001</v>
      </c>
      <c r="AI95" s="39">
        <f t="shared" si="88"/>
        <v>4.5</v>
      </c>
      <c r="AJ95" s="121">
        <f t="shared" si="89"/>
        <v>4.6470000000000002</v>
      </c>
      <c r="AK95" s="37">
        <v>20</v>
      </c>
      <c r="AL95" s="38">
        <v>7</v>
      </c>
      <c r="AM95" s="40">
        <f t="shared" si="95"/>
        <v>140</v>
      </c>
      <c r="AN95" s="206">
        <f t="shared" si="96"/>
        <v>840</v>
      </c>
      <c r="AO95" s="204">
        <f t="shared" si="99"/>
        <v>1713</v>
      </c>
    </row>
    <row r="96" spans="1:54" s="22" customFormat="1" ht="141" customHeight="1" x14ac:dyDescent="0.2">
      <c r="A96" s="22">
        <f t="shared" si="77"/>
        <v>7342</v>
      </c>
      <c r="B96" s="116">
        <v>1001016747342</v>
      </c>
      <c r="C96" s="46" t="s">
        <v>1313</v>
      </c>
      <c r="D96" s="23" t="s">
        <v>3</v>
      </c>
      <c r="E96" s="146" t="s">
        <v>373</v>
      </c>
      <c r="F96" s="132" t="s">
        <v>36</v>
      </c>
      <c r="G96" s="146" t="s">
        <v>6</v>
      </c>
      <c r="H96" s="24" t="s">
        <v>135</v>
      </c>
      <c r="I96" s="153" t="s">
        <v>387</v>
      </c>
      <c r="J96" s="148" t="s">
        <v>639</v>
      </c>
      <c r="K96" s="26" t="s">
        <v>1428</v>
      </c>
      <c r="L96" s="27">
        <v>10</v>
      </c>
      <c r="M96" s="28">
        <v>16</v>
      </c>
      <c r="N96" s="29">
        <v>2</v>
      </c>
      <c r="O96" s="30" t="s">
        <v>1218</v>
      </c>
      <c r="P96" s="31" t="s">
        <v>104</v>
      </c>
      <c r="Q96" s="31">
        <v>60</v>
      </c>
      <c r="R96" s="32" t="s">
        <v>37</v>
      </c>
      <c r="S96" s="242">
        <v>2800583000002</v>
      </c>
      <c r="T96" s="335">
        <v>12800583000009</v>
      </c>
      <c r="U96" s="46">
        <v>4630362181350</v>
      </c>
      <c r="V96" s="46">
        <v>14630362181357</v>
      </c>
      <c r="W96" s="157">
        <v>250</v>
      </c>
      <c r="X96" s="34">
        <v>90</v>
      </c>
      <c r="Y96" s="34">
        <v>90</v>
      </c>
      <c r="Z96" s="35">
        <v>1.35</v>
      </c>
      <c r="AA96" s="271">
        <v>2E-3</v>
      </c>
      <c r="AB96" s="36">
        <f t="shared" si="76"/>
        <v>1.3520000000000001</v>
      </c>
      <c r="AC96" s="37">
        <v>292</v>
      </c>
      <c r="AD96" s="38">
        <v>178</v>
      </c>
      <c r="AE96" s="38">
        <v>178</v>
      </c>
      <c r="AF96" s="190">
        <v>4</v>
      </c>
      <c r="AG96" s="117">
        <v>600000029</v>
      </c>
      <c r="AH96" s="103">
        <f>справочники!$C$21</f>
        <v>0.125</v>
      </c>
      <c r="AI96" s="39">
        <f t="shared" si="88"/>
        <v>5.4</v>
      </c>
      <c r="AJ96" s="121">
        <f t="shared" si="89"/>
        <v>5.5330000000000004</v>
      </c>
      <c r="AK96" s="37">
        <v>14</v>
      </c>
      <c r="AL96" s="38">
        <v>8</v>
      </c>
      <c r="AM96" s="40">
        <f t="shared" si="95"/>
        <v>112</v>
      </c>
      <c r="AN96" s="214">
        <f t="shared" si="96"/>
        <v>604.79999999999995</v>
      </c>
      <c r="AO96" s="204">
        <f t="shared" si="99"/>
        <v>1569</v>
      </c>
    </row>
    <row r="97" spans="1:41" s="22" customFormat="1" ht="204" x14ac:dyDescent="0.2">
      <c r="A97" s="22">
        <f t="shared" si="77"/>
        <v>7479</v>
      </c>
      <c r="B97" s="116">
        <v>1001010067479</v>
      </c>
      <c r="C97" s="25" t="s">
        <v>1558</v>
      </c>
      <c r="D97" s="23" t="s">
        <v>4</v>
      </c>
      <c r="E97" s="146" t="s">
        <v>373</v>
      </c>
      <c r="F97" s="132" t="s">
        <v>36</v>
      </c>
      <c r="G97" s="146" t="s">
        <v>6</v>
      </c>
      <c r="H97" s="24" t="s">
        <v>194</v>
      </c>
      <c r="I97" s="153" t="s">
        <v>374</v>
      </c>
      <c r="J97" s="148" t="s">
        <v>412</v>
      </c>
      <c r="K97" s="26" t="s">
        <v>1559</v>
      </c>
      <c r="L97" s="27">
        <v>9</v>
      </c>
      <c r="M97" s="28">
        <v>14</v>
      </c>
      <c r="N97" s="29">
        <v>5</v>
      </c>
      <c r="O97" s="30" t="s">
        <v>1443</v>
      </c>
      <c r="P97" s="31" t="s">
        <v>104</v>
      </c>
      <c r="Q97" s="31">
        <v>60</v>
      </c>
      <c r="R97" s="32" t="s">
        <v>37</v>
      </c>
      <c r="S97" s="233">
        <v>4630362180957</v>
      </c>
      <c r="T97" s="334">
        <v>14630362180954</v>
      </c>
      <c r="U97" s="46">
        <v>4630362180957</v>
      </c>
      <c r="V97" s="46">
        <v>14630362180954</v>
      </c>
      <c r="W97" s="157">
        <v>190</v>
      </c>
      <c r="X97" s="34">
        <v>67</v>
      </c>
      <c r="Y97" s="34">
        <v>67</v>
      </c>
      <c r="Z97" s="35">
        <v>0.5</v>
      </c>
      <c r="AA97" s="271">
        <v>2E-3</v>
      </c>
      <c r="AB97" s="36">
        <f t="shared" si="76"/>
        <v>0.502</v>
      </c>
      <c r="AC97" s="37">
        <v>278</v>
      </c>
      <c r="AD97" s="38">
        <v>193</v>
      </c>
      <c r="AE97" s="38">
        <v>138</v>
      </c>
      <c r="AF97" s="190">
        <v>8</v>
      </c>
      <c r="AG97" s="117">
        <v>600000404</v>
      </c>
      <c r="AH97" s="103">
        <f>справочники!$C$101</f>
        <v>0.105</v>
      </c>
      <c r="AI97" s="39">
        <f t="shared" si="88"/>
        <v>4</v>
      </c>
      <c r="AJ97" s="121">
        <f t="shared" si="89"/>
        <v>4.1210000000000004</v>
      </c>
      <c r="AK97" s="37">
        <v>16</v>
      </c>
      <c r="AL97" s="38">
        <v>9</v>
      </c>
      <c r="AM97" s="40">
        <f t="shared" si="95"/>
        <v>144</v>
      </c>
      <c r="AN97" s="206">
        <f t="shared" si="96"/>
        <v>1152</v>
      </c>
      <c r="AO97" s="204">
        <f t="shared" si="99"/>
        <v>1387</v>
      </c>
    </row>
    <row r="98" spans="1:41" s="57" customFormat="1" ht="133.15" customHeight="1" x14ac:dyDescent="0.2">
      <c r="A98" s="22">
        <f t="shared" si="77"/>
        <v>7355</v>
      </c>
      <c r="B98" s="116">
        <v>1001013967355</v>
      </c>
      <c r="C98" s="25" t="s">
        <v>1352</v>
      </c>
      <c r="D98" s="23" t="s">
        <v>4</v>
      </c>
      <c r="E98" s="146" t="s">
        <v>373</v>
      </c>
      <c r="F98" s="132" t="s">
        <v>36</v>
      </c>
      <c r="G98" s="146" t="s">
        <v>6</v>
      </c>
      <c r="H98" s="24" t="s">
        <v>135</v>
      </c>
      <c r="I98" s="153" t="s">
        <v>387</v>
      </c>
      <c r="J98" s="151" t="s">
        <v>639</v>
      </c>
      <c r="K98" s="26" t="s">
        <v>1203</v>
      </c>
      <c r="L98" s="52">
        <v>9</v>
      </c>
      <c r="M98" s="53">
        <v>14</v>
      </c>
      <c r="N98" s="53">
        <v>4</v>
      </c>
      <c r="O98" s="54" t="s">
        <v>704</v>
      </c>
      <c r="P98" s="31" t="s">
        <v>104</v>
      </c>
      <c r="Q98" s="23">
        <v>60</v>
      </c>
      <c r="R98" s="163" t="s">
        <v>78</v>
      </c>
      <c r="S98" s="233">
        <v>4607958071678</v>
      </c>
      <c r="T98" s="334">
        <v>24607958071672</v>
      </c>
      <c r="U98" s="46">
        <v>4607958071678</v>
      </c>
      <c r="V98" s="46">
        <v>24607958071672</v>
      </c>
      <c r="W98" s="157">
        <v>160</v>
      </c>
      <c r="X98" s="34">
        <v>67</v>
      </c>
      <c r="Y98" s="34">
        <v>67</v>
      </c>
      <c r="Z98" s="35">
        <v>0.4</v>
      </c>
      <c r="AA98" s="271">
        <v>2E-3</v>
      </c>
      <c r="AB98" s="36">
        <f t="shared" ref="AB98" si="106">Z98+AA98</f>
        <v>0.40200000000000002</v>
      </c>
      <c r="AC98" s="37">
        <v>378</v>
      </c>
      <c r="AD98" s="38">
        <v>156</v>
      </c>
      <c r="AE98" s="38">
        <v>138</v>
      </c>
      <c r="AF98" s="191">
        <v>10</v>
      </c>
      <c r="AG98" s="117">
        <v>600000019</v>
      </c>
      <c r="AH98" s="104">
        <f>справочники!$C$11</f>
        <v>0.114</v>
      </c>
      <c r="AI98" s="39">
        <f t="shared" si="88"/>
        <v>4</v>
      </c>
      <c r="AJ98" s="121">
        <f t="shared" si="89"/>
        <v>4.1340000000000003</v>
      </c>
      <c r="AK98" s="37">
        <v>15</v>
      </c>
      <c r="AL98" s="38">
        <v>9</v>
      </c>
      <c r="AM98" s="40">
        <f t="shared" ref="AM98" si="107">AK98*AL98</f>
        <v>135</v>
      </c>
      <c r="AN98" s="206">
        <f t="shared" ref="AN98" si="108">IF(D98="ШТ",кол_во_инд.__упак_к*итого_г_у,ROUNDDOWN(номин.вес_нетто_г_у__кг*итого_г_у,1))</f>
        <v>1350</v>
      </c>
      <c r="AO98" s="204">
        <f t="shared" si="99"/>
        <v>1387</v>
      </c>
    </row>
    <row r="99" spans="1:41" s="22" customFormat="1" ht="132.6" customHeight="1" x14ac:dyDescent="0.2">
      <c r="A99" s="22">
        <f t="shared" si="77"/>
        <v>6114</v>
      </c>
      <c r="B99" s="116">
        <v>1001013966114</v>
      </c>
      <c r="C99" s="25" t="s">
        <v>341</v>
      </c>
      <c r="D99" s="23" t="s">
        <v>4</v>
      </c>
      <c r="E99" s="146" t="s">
        <v>373</v>
      </c>
      <c r="F99" s="133" t="s">
        <v>36</v>
      </c>
      <c r="G99" s="146" t="s">
        <v>6</v>
      </c>
      <c r="H99" s="24" t="s">
        <v>135</v>
      </c>
      <c r="I99" s="153" t="s">
        <v>387</v>
      </c>
      <c r="J99" s="151" t="s">
        <v>639</v>
      </c>
      <c r="K99" s="26" t="s">
        <v>1203</v>
      </c>
      <c r="L99" s="84">
        <v>9</v>
      </c>
      <c r="M99" s="85">
        <v>14</v>
      </c>
      <c r="N99" s="91">
        <v>4</v>
      </c>
      <c r="O99" s="54" t="s">
        <v>704</v>
      </c>
      <c r="P99" s="31" t="s">
        <v>104</v>
      </c>
      <c r="Q99" s="31">
        <v>60</v>
      </c>
      <c r="R99" s="32" t="s">
        <v>78</v>
      </c>
      <c r="S99" s="233">
        <v>4607958071678</v>
      </c>
      <c r="T99" s="334">
        <v>14607958071675</v>
      </c>
      <c r="U99" s="46" t="s">
        <v>1874</v>
      </c>
      <c r="V99" s="46" t="s">
        <v>1874</v>
      </c>
      <c r="W99" s="157">
        <v>160</v>
      </c>
      <c r="X99" s="34">
        <v>67</v>
      </c>
      <c r="Y99" s="34">
        <v>67</v>
      </c>
      <c r="Z99" s="35">
        <v>0.4</v>
      </c>
      <c r="AA99" s="271">
        <v>2E-3</v>
      </c>
      <c r="AB99" s="36">
        <f t="shared" si="76"/>
        <v>0.40200000000000002</v>
      </c>
      <c r="AC99" s="37">
        <v>378</v>
      </c>
      <c r="AD99" s="38">
        <v>156</v>
      </c>
      <c r="AE99" s="38">
        <v>138</v>
      </c>
      <c r="AF99" s="190">
        <v>8</v>
      </c>
      <c r="AG99" s="117">
        <v>600000019</v>
      </c>
      <c r="AH99" s="103">
        <f>справочники!$C$11</f>
        <v>0.114</v>
      </c>
      <c r="AI99" s="39">
        <f t="shared" si="88"/>
        <v>3.2</v>
      </c>
      <c r="AJ99" s="121">
        <f t="shared" si="89"/>
        <v>3.33</v>
      </c>
      <c r="AK99" s="37">
        <v>15</v>
      </c>
      <c r="AL99" s="38">
        <v>11</v>
      </c>
      <c r="AM99" s="40">
        <f t="shared" ref="AM99:AM114" si="109">AK99*AL99</f>
        <v>165</v>
      </c>
      <c r="AN99" s="206">
        <f t="shared" ref="AN99:AN132" si="110">IF(D99="ШТ",кол_во_инд.__упак_к*итого_г_у,ROUNDDOWN(номин.вес_нетто_г_у__кг*итого_г_у,1))</f>
        <v>1320</v>
      </c>
      <c r="AO99" s="204">
        <f t="shared" si="99"/>
        <v>1663</v>
      </c>
    </row>
    <row r="100" spans="1:41" s="57" customFormat="1" ht="132" customHeight="1" x14ac:dyDescent="0.2">
      <c r="A100" s="22">
        <f t="shared" si="77"/>
        <v>7420</v>
      </c>
      <c r="B100" s="116">
        <v>1001017097420</v>
      </c>
      <c r="C100" s="48" t="s">
        <v>1427</v>
      </c>
      <c r="D100" s="23" t="s">
        <v>4</v>
      </c>
      <c r="E100" s="146" t="s">
        <v>373</v>
      </c>
      <c r="F100" s="112" t="s">
        <v>36</v>
      </c>
      <c r="G100" s="146" t="s">
        <v>6</v>
      </c>
      <c r="H100" s="58" t="s">
        <v>135</v>
      </c>
      <c r="I100" s="153" t="s">
        <v>387</v>
      </c>
      <c r="J100" s="150" t="s">
        <v>639</v>
      </c>
      <c r="K100" s="26" t="s">
        <v>1428</v>
      </c>
      <c r="L100" s="41">
        <v>10</v>
      </c>
      <c r="M100" s="53">
        <v>16</v>
      </c>
      <c r="N100" s="53">
        <v>2</v>
      </c>
      <c r="O100" s="54" t="s">
        <v>1218</v>
      </c>
      <c r="P100" s="31" t="s">
        <v>104</v>
      </c>
      <c r="Q100" s="49">
        <v>60</v>
      </c>
      <c r="R100" s="56" t="s">
        <v>37</v>
      </c>
      <c r="S100" s="189">
        <v>4630362180667</v>
      </c>
      <c r="T100" s="337">
        <v>14630362180664</v>
      </c>
      <c r="U100" s="46">
        <v>4630362180667</v>
      </c>
      <c r="V100" s="46">
        <v>14630362180664</v>
      </c>
      <c r="W100" s="157">
        <v>190</v>
      </c>
      <c r="X100" s="34">
        <v>67</v>
      </c>
      <c r="Y100" s="34">
        <v>67</v>
      </c>
      <c r="Z100" s="35">
        <v>0.5</v>
      </c>
      <c r="AA100" s="271">
        <v>2E-3</v>
      </c>
      <c r="AB100" s="36">
        <f t="shared" si="76"/>
        <v>0.502</v>
      </c>
      <c r="AC100" s="37">
        <v>278</v>
      </c>
      <c r="AD100" s="38">
        <v>193</v>
      </c>
      <c r="AE100" s="38">
        <v>138</v>
      </c>
      <c r="AF100" s="190">
        <v>8</v>
      </c>
      <c r="AG100" s="117">
        <v>600000404</v>
      </c>
      <c r="AH100" s="103">
        <f>справочники!$C$101</f>
        <v>0.105</v>
      </c>
      <c r="AI100" s="39">
        <f t="shared" si="88"/>
        <v>4</v>
      </c>
      <c r="AJ100" s="121">
        <f t="shared" si="89"/>
        <v>4.1210000000000004</v>
      </c>
      <c r="AK100" s="37">
        <v>16</v>
      </c>
      <c r="AL100" s="38">
        <v>9</v>
      </c>
      <c r="AM100" s="40">
        <f t="shared" si="109"/>
        <v>144</v>
      </c>
      <c r="AN100" s="206">
        <f t="shared" si="110"/>
        <v>1152</v>
      </c>
      <c r="AO100" s="204">
        <f t="shared" si="99"/>
        <v>1387</v>
      </c>
    </row>
    <row r="101" spans="1:41" s="57" customFormat="1" ht="204" x14ac:dyDescent="0.2">
      <c r="A101" s="22">
        <f t="shared" si="77"/>
        <v>6863</v>
      </c>
      <c r="B101" s="116">
        <v>1001015696863</v>
      </c>
      <c r="C101" s="25" t="s">
        <v>860</v>
      </c>
      <c r="D101" s="23" t="s">
        <v>3</v>
      </c>
      <c r="E101" s="146" t="s">
        <v>373</v>
      </c>
      <c r="F101" s="132" t="s">
        <v>36</v>
      </c>
      <c r="G101" s="146" t="s">
        <v>5</v>
      </c>
      <c r="H101" s="24" t="s">
        <v>135</v>
      </c>
      <c r="I101" s="153" t="s">
        <v>387</v>
      </c>
      <c r="J101" s="151" t="s">
        <v>639</v>
      </c>
      <c r="K101" s="26" t="s">
        <v>859</v>
      </c>
      <c r="L101" s="27">
        <v>8</v>
      </c>
      <c r="M101" s="28">
        <v>15</v>
      </c>
      <c r="N101" s="28">
        <v>3</v>
      </c>
      <c r="O101" s="29" t="s">
        <v>75</v>
      </c>
      <c r="P101" s="31" t="s">
        <v>104</v>
      </c>
      <c r="Q101" s="23">
        <v>60</v>
      </c>
      <c r="R101" s="163" t="s">
        <v>78</v>
      </c>
      <c r="S101" s="135">
        <v>2100420000005</v>
      </c>
      <c r="T101" s="333">
        <v>12100420000002</v>
      </c>
      <c r="U101" s="46">
        <v>4630362181367</v>
      </c>
      <c r="V101" s="46">
        <v>14630362181364</v>
      </c>
      <c r="W101" s="157">
        <v>250</v>
      </c>
      <c r="X101" s="34">
        <v>88</v>
      </c>
      <c r="Y101" s="34">
        <v>88</v>
      </c>
      <c r="Z101" s="35">
        <v>1.35</v>
      </c>
      <c r="AA101" s="271">
        <v>2E-3</v>
      </c>
      <c r="AB101" s="36">
        <f>Z101+AA101</f>
        <v>1.3520000000000001</v>
      </c>
      <c r="AC101" s="37">
        <v>390</v>
      </c>
      <c r="AD101" s="38">
        <v>260</v>
      </c>
      <c r="AE101" s="38">
        <v>190</v>
      </c>
      <c r="AF101" s="190">
        <v>8</v>
      </c>
      <c r="AG101" s="117">
        <v>600000010</v>
      </c>
      <c r="AH101" s="103">
        <f>справочники!$C$2</f>
        <v>0.33900000000000002</v>
      </c>
      <c r="AI101" s="39">
        <f t="shared" si="88"/>
        <v>10.8</v>
      </c>
      <c r="AJ101" s="121">
        <f t="shared" si="89"/>
        <v>11.155000000000001</v>
      </c>
      <c r="AK101" s="37">
        <v>9</v>
      </c>
      <c r="AL101" s="38">
        <v>6</v>
      </c>
      <c r="AM101" s="40">
        <f>AK101*AL101</f>
        <v>54</v>
      </c>
      <c r="AN101" s="214">
        <f>IF(D101="ШТ",кол_во_инд.__упак_к*итого_г_у,ROUNDDOWN(номин.вес_нетто_г_у__кг*итого_г_у,1))</f>
        <v>583.20000000000005</v>
      </c>
      <c r="AO101" s="204">
        <f t="shared" si="99"/>
        <v>1285</v>
      </c>
    </row>
    <row r="102" spans="1:41" s="22" customFormat="1" ht="191.25" x14ac:dyDescent="0.2">
      <c r="A102" s="22">
        <f t="shared" si="77"/>
        <v>7185</v>
      </c>
      <c r="B102" s="116">
        <v>1001016427185</v>
      </c>
      <c r="C102" s="25" t="s">
        <v>1147</v>
      </c>
      <c r="D102" s="23" t="s">
        <v>4</v>
      </c>
      <c r="E102" s="146" t="s">
        <v>373</v>
      </c>
      <c r="F102" s="132" t="s">
        <v>36</v>
      </c>
      <c r="G102" s="146" t="s">
        <v>6</v>
      </c>
      <c r="H102" s="115" t="s">
        <v>1</v>
      </c>
      <c r="I102" s="153" t="s">
        <v>387</v>
      </c>
      <c r="J102" s="150" t="s">
        <v>639</v>
      </c>
      <c r="K102" s="26" t="s">
        <v>1146</v>
      </c>
      <c r="L102" s="27">
        <v>9</v>
      </c>
      <c r="M102" s="28">
        <v>14</v>
      </c>
      <c r="N102" s="28"/>
      <c r="O102" s="29" t="s">
        <v>1076</v>
      </c>
      <c r="P102" s="31" t="s">
        <v>104</v>
      </c>
      <c r="Q102" s="31">
        <v>30</v>
      </c>
      <c r="R102" s="32" t="s">
        <v>28</v>
      </c>
      <c r="S102" s="233">
        <v>4607958079186</v>
      </c>
      <c r="T102" s="334">
        <v>14607958079183</v>
      </c>
      <c r="U102" s="46">
        <v>4607958079186</v>
      </c>
      <c r="V102" s="46">
        <v>14607958079183</v>
      </c>
      <c r="W102" s="157">
        <v>215</v>
      </c>
      <c r="X102" s="34">
        <v>100</v>
      </c>
      <c r="Y102" s="34">
        <v>69</v>
      </c>
      <c r="Z102" s="35">
        <v>0.4</v>
      </c>
      <c r="AA102" s="271">
        <v>5.0000000000000001E-3</v>
      </c>
      <c r="AB102" s="36">
        <f>Z102+AA102</f>
        <v>0.40500000000000003</v>
      </c>
      <c r="AC102" s="59">
        <v>318</v>
      </c>
      <c r="AD102" s="60">
        <v>143</v>
      </c>
      <c r="AE102" s="60">
        <v>138</v>
      </c>
      <c r="AF102" s="191">
        <v>6</v>
      </c>
      <c r="AG102" s="117">
        <v>600000407</v>
      </c>
      <c r="AH102" s="104">
        <f>справочники!$C$106</f>
        <v>9.4E-2</v>
      </c>
      <c r="AI102" s="39">
        <f t="shared" si="88"/>
        <v>2.4</v>
      </c>
      <c r="AJ102" s="121">
        <f t="shared" si="89"/>
        <v>2.524</v>
      </c>
      <c r="AK102" s="37">
        <v>19</v>
      </c>
      <c r="AL102" s="38">
        <v>11</v>
      </c>
      <c r="AM102" s="40">
        <f>AK102*AL102</f>
        <v>209</v>
      </c>
      <c r="AN102" s="206">
        <f>IF(D102="ШТ",кол_во_инд.__упак_к*итого_г_у,ROUNDDOWN(номин.вес_нетто_г_у__кг*итого_г_у,1))</f>
        <v>1254</v>
      </c>
      <c r="AO102" s="204">
        <f t="shared" si="99"/>
        <v>1663</v>
      </c>
    </row>
    <row r="103" spans="1:41" s="57" customFormat="1" ht="140.25" x14ac:dyDescent="0.2">
      <c r="A103" s="22">
        <f t="shared" si="77"/>
        <v>7518</v>
      </c>
      <c r="B103" s="116">
        <v>1001017567518</v>
      </c>
      <c r="C103" s="25" t="s">
        <v>1785</v>
      </c>
      <c r="D103" s="23" t="s">
        <v>3</v>
      </c>
      <c r="E103" s="146" t="s">
        <v>373</v>
      </c>
      <c r="F103" s="132" t="s">
        <v>36</v>
      </c>
      <c r="G103" s="146" t="s">
        <v>2</v>
      </c>
      <c r="H103" s="23" t="s">
        <v>278</v>
      </c>
      <c r="I103" s="153" t="s">
        <v>189</v>
      </c>
      <c r="J103" s="149" t="s">
        <v>407</v>
      </c>
      <c r="K103" s="26" t="s">
        <v>1329</v>
      </c>
      <c r="L103" s="27">
        <v>12</v>
      </c>
      <c r="M103" s="28">
        <v>25</v>
      </c>
      <c r="N103" s="28">
        <v>0</v>
      </c>
      <c r="O103" s="29" t="s">
        <v>192</v>
      </c>
      <c r="P103" s="31" t="s">
        <v>104</v>
      </c>
      <c r="Q103" s="23">
        <v>30</v>
      </c>
      <c r="R103" s="163" t="s">
        <v>28</v>
      </c>
      <c r="S103" s="233">
        <v>2308145000007</v>
      </c>
      <c r="T103" s="334">
        <v>12308145000004</v>
      </c>
      <c r="U103" s="46">
        <v>4630362182654</v>
      </c>
      <c r="V103" s="46">
        <v>14630362182651</v>
      </c>
      <c r="W103" s="254" t="s">
        <v>250</v>
      </c>
      <c r="X103" s="45" t="s">
        <v>0</v>
      </c>
      <c r="Y103" s="45" t="s">
        <v>0</v>
      </c>
      <c r="Z103" s="35">
        <v>1.35</v>
      </c>
      <c r="AA103" s="271">
        <v>8.0000000000000002E-3</v>
      </c>
      <c r="AB103" s="36">
        <f t="shared" ref="AB103" si="111">Z103+AA103</f>
        <v>1.3580000000000001</v>
      </c>
      <c r="AC103" s="37">
        <v>383</v>
      </c>
      <c r="AD103" s="38">
        <v>156</v>
      </c>
      <c r="AE103" s="38">
        <v>168</v>
      </c>
      <c r="AF103" s="190">
        <v>2</v>
      </c>
      <c r="AG103" s="117">
        <v>600000030</v>
      </c>
      <c r="AH103" s="103">
        <f>справочники!$C$22</f>
        <v>0.127</v>
      </c>
      <c r="AI103" s="39">
        <f t="shared" si="88"/>
        <v>2.7</v>
      </c>
      <c r="AJ103" s="121">
        <f t="shared" si="89"/>
        <v>2.843</v>
      </c>
      <c r="AK103" s="37">
        <v>15</v>
      </c>
      <c r="AL103" s="38">
        <v>9</v>
      </c>
      <c r="AM103" s="40">
        <f t="shared" ref="AM103" si="112">AK103*AL103</f>
        <v>135</v>
      </c>
      <c r="AN103" s="214">
        <f t="shared" ref="AN103" si="113">IF(D103="ШТ",кол_во_инд.__упак_к*итого_г_у,ROUNDDOWN(номин.вес_нетто_г_у__кг*итого_г_у,1))</f>
        <v>364.5</v>
      </c>
      <c r="AO103" s="204">
        <f t="shared" si="99"/>
        <v>1657</v>
      </c>
    </row>
    <row r="104" spans="1:41" s="57" customFormat="1" ht="229.5" x14ac:dyDescent="0.2">
      <c r="A104" s="22">
        <f t="shared" si="77"/>
        <v>4813</v>
      </c>
      <c r="B104" s="116">
        <v>1001012564813</v>
      </c>
      <c r="C104" s="48" t="s">
        <v>30</v>
      </c>
      <c r="D104" s="49" t="s">
        <v>3</v>
      </c>
      <c r="E104" s="146" t="s">
        <v>373</v>
      </c>
      <c r="F104" s="112" t="s">
        <v>36</v>
      </c>
      <c r="G104" s="146" t="s">
        <v>6</v>
      </c>
      <c r="H104" s="58" t="s">
        <v>135</v>
      </c>
      <c r="I104" s="153" t="s">
        <v>387</v>
      </c>
      <c r="J104" s="150" t="s">
        <v>639</v>
      </c>
      <c r="K104" s="26" t="s">
        <v>1777</v>
      </c>
      <c r="L104" s="52">
        <v>11</v>
      </c>
      <c r="M104" s="53">
        <v>12</v>
      </c>
      <c r="N104" s="53">
        <v>3</v>
      </c>
      <c r="O104" s="54" t="s">
        <v>778</v>
      </c>
      <c r="P104" s="31" t="s">
        <v>104</v>
      </c>
      <c r="Q104" s="49">
        <v>60</v>
      </c>
      <c r="R104" s="56" t="s">
        <v>78</v>
      </c>
      <c r="S104" s="234">
        <v>2411744000009</v>
      </c>
      <c r="T104" s="338">
        <v>12411744000006</v>
      </c>
      <c r="U104" s="46">
        <v>4630362180834</v>
      </c>
      <c r="V104" s="46">
        <v>14630362180831</v>
      </c>
      <c r="W104" s="157">
        <v>250</v>
      </c>
      <c r="X104" s="34">
        <v>90</v>
      </c>
      <c r="Y104" s="34">
        <v>90</v>
      </c>
      <c r="Z104" s="35">
        <v>1.35</v>
      </c>
      <c r="AA104" s="271">
        <v>2E-3</v>
      </c>
      <c r="AB104" s="36">
        <f t="shared" si="76"/>
        <v>1.3520000000000001</v>
      </c>
      <c r="AC104" s="37">
        <v>292</v>
      </c>
      <c r="AD104" s="38">
        <v>178</v>
      </c>
      <c r="AE104" s="38">
        <v>178</v>
      </c>
      <c r="AF104" s="190">
        <v>3</v>
      </c>
      <c r="AG104" s="117">
        <v>600000029</v>
      </c>
      <c r="AH104" s="103">
        <f>справочники!$C$21</f>
        <v>0.125</v>
      </c>
      <c r="AI104" s="39">
        <f t="shared" si="88"/>
        <v>4.05</v>
      </c>
      <c r="AJ104" s="121">
        <f t="shared" si="89"/>
        <v>4.181</v>
      </c>
      <c r="AK104" s="37">
        <v>14</v>
      </c>
      <c r="AL104" s="38">
        <v>8</v>
      </c>
      <c r="AM104" s="40">
        <f t="shared" si="109"/>
        <v>112</v>
      </c>
      <c r="AN104" s="214">
        <f t="shared" si="110"/>
        <v>453.6</v>
      </c>
      <c r="AO104" s="204">
        <f t="shared" si="99"/>
        <v>1569</v>
      </c>
    </row>
    <row r="105" spans="1:41" s="57" customFormat="1" ht="128.25" customHeight="1" x14ac:dyDescent="0.2">
      <c r="A105" s="22">
        <f t="shared" si="77"/>
        <v>6392</v>
      </c>
      <c r="B105" s="116">
        <v>1001012566392</v>
      </c>
      <c r="C105" s="48" t="s">
        <v>652</v>
      </c>
      <c r="D105" s="23" t="s">
        <v>4</v>
      </c>
      <c r="E105" s="146" t="s">
        <v>373</v>
      </c>
      <c r="F105" s="112" t="s">
        <v>36</v>
      </c>
      <c r="G105" s="146" t="s">
        <v>6</v>
      </c>
      <c r="H105" s="58" t="s">
        <v>135</v>
      </c>
      <c r="I105" s="153" t="s">
        <v>387</v>
      </c>
      <c r="J105" s="150" t="s">
        <v>639</v>
      </c>
      <c r="K105" s="26" t="s">
        <v>1777</v>
      </c>
      <c r="L105" s="52">
        <v>11</v>
      </c>
      <c r="M105" s="53">
        <v>12</v>
      </c>
      <c r="N105" s="53">
        <v>3</v>
      </c>
      <c r="O105" s="54" t="s">
        <v>778</v>
      </c>
      <c r="P105" s="31" t="s">
        <v>104</v>
      </c>
      <c r="Q105" s="49">
        <v>60</v>
      </c>
      <c r="R105" s="56" t="s">
        <v>78</v>
      </c>
      <c r="S105" s="189">
        <v>4607958072590</v>
      </c>
      <c r="T105" s="337">
        <v>14607958072597</v>
      </c>
      <c r="U105" s="46">
        <v>4607958072590</v>
      </c>
      <c r="V105" s="46">
        <v>14607958072597</v>
      </c>
      <c r="W105" s="157">
        <v>180</v>
      </c>
      <c r="X105" s="34">
        <v>59</v>
      </c>
      <c r="Y105" s="34">
        <v>59</v>
      </c>
      <c r="Z105" s="35">
        <v>0.4</v>
      </c>
      <c r="AA105" s="271">
        <v>2E-3</v>
      </c>
      <c r="AB105" s="36">
        <f t="shared" ref="AB105:AB139" si="114">Z105+AA105</f>
        <v>0.40200000000000002</v>
      </c>
      <c r="AC105" s="59">
        <v>258</v>
      </c>
      <c r="AD105" s="60">
        <v>193</v>
      </c>
      <c r="AE105" s="60">
        <v>123</v>
      </c>
      <c r="AF105" s="191">
        <v>8</v>
      </c>
      <c r="AG105" s="117">
        <v>600000403</v>
      </c>
      <c r="AH105" s="104">
        <f>справочники!$C$100</f>
        <v>0.104</v>
      </c>
      <c r="AI105" s="39">
        <f t="shared" si="88"/>
        <v>3.2</v>
      </c>
      <c r="AJ105" s="121">
        <f t="shared" si="89"/>
        <v>3.3200000000000003</v>
      </c>
      <c r="AK105" s="37">
        <v>18</v>
      </c>
      <c r="AL105" s="38">
        <v>12</v>
      </c>
      <c r="AM105" s="40">
        <f t="shared" si="109"/>
        <v>216</v>
      </c>
      <c r="AN105" s="206">
        <f t="shared" si="110"/>
        <v>1728</v>
      </c>
      <c r="AO105" s="204">
        <f t="shared" si="99"/>
        <v>1621</v>
      </c>
    </row>
    <row r="106" spans="1:41" s="57" customFormat="1" ht="129" customHeight="1" x14ac:dyDescent="0.2">
      <c r="A106" s="22">
        <f t="shared" si="77"/>
        <v>6345</v>
      </c>
      <c r="B106" s="116">
        <v>1001012566345</v>
      </c>
      <c r="C106" s="48" t="s">
        <v>123</v>
      </c>
      <c r="D106" s="23" t="s">
        <v>4</v>
      </c>
      <c r="E106" s="146" t="s">
        <v>373</v>
      </c>
      <c r="F106" s="112" t="s">
        <v>36</v>
      </c>
      <c r="G106" s="146" t="s">
        <v>6</v>
      </c>
      <c r="H106" s="58" t="s">
        <v>1315</v>
      </c>
      <c r="I106" s="153" t="s">
        <v>387</v>
      </c>
      <c r="J106" s="150" t="s">
        <v>639</v>
      </c>
      <c r="K106" s="26" t="s">
        <v>1777</v>
      </c>
      <c r="L106" s="52">
        <v>11</v>
      </c>
      <c r="M106" s="53">
        <v>12</v>
      </c>
      <c r="N106" s="53">
        <v>3</v>
      </c>
      <c r="O106" s="54" t="s">
        <v>778</v>
      </c>
      <c r="P106" s="31" t="s">
        <v>104</v>
      </c>
      <c r="Q106" s="49">
        <v>60</v>
      </c>
      <c r="R106" s="56" t="s">
        <v>78</v>
      </c>
      <c r="S106" s="189">
        <v>4607958074761</v>
      </c>
      <c r="T106" s="337">
        <v>14607958074768</v>
      </c>
      <c r="U106" s="46">
        <v>4607958074761</v>
      </c>
      <c r="V106" s="46">
        <v>14607958074768</v>
      </c>
      <c r="W106" s="157">
        <v>190</v>
      </c>
      <c r="X106" s="34">
        <v>67</v>
      </c>
      <c r="Y106" s="34">
        <v>67</v>
      </c>
      <c r="Z106" s="35">
        <v>0.5</v>
      </c>
      <c r="AA106" s="271">
        <v>2E-3</v>
      </c>
      <c r="AB106" s="36">
        <f t="shared" si="114"/>
        <v>0.502</v>
      </c>
      <c r="AC106" s="37">
        <v>278</v>
      </c>
      <c r="AD106" s="38">
        <v>193</v>
      </c>
      <c r="AE106" s="38">
        <v>138</v>
      </c>
      <c r="AF106" s="190">
        <v>8</v>
      </c>
      <c r="AG106" s="117">
        <v>600000404</v>
      </c>
      <c r="AH106" s="103">
        <f>справочники!$C$101</f>
        <v>0.105</v>
      </c>
      <c r="AI106" s="39">
        <f t="shared" si="88"/>
        <v>4</v>
      </c>
      <c r="AJ106" s="121">
        <f t="shared" si="89"/>
        <v>4.1210000000000004</v>
      </c>
      <c r="AK106" s="37">
        <v>16</v>
      </c>
      <c r="AL106" s="38">
        <v>9</v>
      </c>
      <c r="AM106" s="40">
        <f t="shared" si="109"/>
        <v>144</v>
      </c>
      <c r="AN106" s="206">
        <f t="shared" si="110"/>
        <v>1152</v>
      </c>
      <c r="AO106" s="204">
        <f t="shared" si="99"/>
        <v>1387</v>
      </c>
    </row>
    <row r="107" spans="1:41" s="57" customFormat="1" ht="126.75" customHeight="1" x14ac:dyDescent="0.2">
      <c r="A107" s="22">
        <f t="shared" si="77"/>
        <v>7522</v>
      </c>
      <c r="B107" s="116">
        <v>1001012567522</v>
      </c>
      <c r="C107" s="48" t="s">
        <v>1628</v>
      </c>
      <c r="D107" s="23" t="s">
        <v>4</v>
      </c>
      <c r="E107" s="146" t="s">
        <v>373</v>
      </c>
      <c r="F107" s="112" t="s">
        <v>36</v>
      </c>
      <c r="G107" s="146" t="s">
        <v>6</v>
      </c>
      <c r="H107" s="58" t="s">
        <v>135</v>
      </c>
      <c r="I107" s="153" t="s">
        <v>387</v>
      </c>
      <c r="J107" s="150" t="s">
        <v>639</v>
      </c>
      <c r="K107" s="26" t="s">
        <v>1777</v>
      </c>
      <c r="L107" s="52">
        <v>11</v>
      </c>
      <c r="M107" s="53">
        <v>12</v>
      </c>
      <c r="N107" s="53">
        <v>3</v>
      </c>
      <c r="O107" s="54" t="s">
        <v>778</v>
      </c>
      <c r="P107" s="31" t="s">
        <v>104</v>
      </c>
      <c r="Q107" s="49">
        <v>60</v>
      </c>
      <c r="R107" s="56" t="s">
        <v>78</v>
      </c>
      <c r="S107" s="189">
        <v>4607958075959</v>
      </c>
      <c r="T107" s="337">
        <v>24607958075953</v>
      </c>
      <c r="U107" s="46">
        <v>4607958075959</v>
      </c>
      <c r="V107" s="46">
        <v>24607958075953</v>
      </c>
      <c r="W107" s="157">
        <v>150</v>
      </c>
      <c r="X107" s="34">
        <v>67</v>
      </c>
      <c r="Y107" s="34">
        <v>67</v>
      </c>
      <c r="Z107" s="35">
        <v>0.45</v>
      </c>
      <c r="AA107" s="271">
        <v>2E-3</v>
      </c>
      <c r="AB107" s="36">
        <f>Z107+AA107</f>
        <v>0.45200000000000001</v>
      </c>
      <c r="AC107" s="59">
        <v>212</v>
      </c>
      <c r="AD107" s="60">
        <v>163</v>
      </c>
      <c r="AE107" s="60">
        <v>138</v>
      </c>
      <c r="AF107" s="191">
        <v>6</v>
      </c>
      <c r="AG107" s="117">
        <v>600000590</v>
      </c>
      <c r="AH107" s="103">
        <f>справочники!$C$189</f>
        <v>0.13</v>
      </c>
      <c r="AI107" s="39">
        <f t="shared" si="88"/>
        <v>2.7</v>
      </c>
      <c r="AJ107" s="121">
        <f t="shared" si="89"/>
        <v>2.8420000000000001</v>
      </c>
      <c r="AK107" s="37">
        <v>26</v>
      </c>
      <c r="AL107" s="38">
        <v>9</v>
      </c>
      <c r="AM107" s="40">
        <f>AK107*AL107</f>
        <v>234</v>
      </c>
      <c r="AN107" s="206">
        <f>IF(D107="ШТ",кол_во_инд.__упак_к*итого_г_у,ROUNDDOWN(номин.вес_нетто_г_у__кг*итого_г_у,1))</f>
        <v>1404</v>
      </c>
      <c r="AO107" s="204">
        <f t="shared" si="99"/>
        <v>1387</v>
      </c>
    </row>
    <row r="108" spans="1:41" s="57" customFormat="1" ht="129.75" customHeight="1" x14ac:dyDescent="0.2">
      <c r="A108" s="22">
        <f t="shared" si="77"/>
        <v>6309</v>
      </c>
      <c r="B108" s="116">
        <v>1001012566309</v>
      </c>
      <c r="C108" s="48" t="s">
        <v>895</v>
      </c>
      <c r="D108" s="49" t="s">
        <v>3</v>
      </c>
      <c r="E108" s="146" t="s">
        <v>373</v>
      </c>
      <c r="F108" s="112" t="s">
        <v>36</v>
      </c>
      <c r="G108" s="146" t="s">
        <v>6</v>
      </c>
      <c r="H108" s="58" t="s">
        <v>135</v>
      </c>
      <c r="I108" s="153" t="s">
        <v>387</v>
      </c>
      <c r="J108" s="150" t="s">
        <v>639</v>
      </c>
      <c r="K108" s="26" t="s">
        <v>1777</v>
      </c>
      <c r="L108" s="52">
        <v>11</v>
      </c>
      <c r="M108" s="53">
        <v>12</v>
      </c>
      <c r="N108" s="53">
        <v>3</v>
      </c>
      <c r="O108" s="54" t="s">
        <v>778</v>
      </c>
      <c r="P108" s="31" t="s">
        <v>104</v>
      </c>
      <c r="Q108" s="49">
        <v>60</v>
      </c>
      <c r="R108" s="56" t="s">
        <v>78</v>
      </c>
      <c r="S108" s="234">
        <v>2355012000004</v>
      </c>
      <c r="T108" s="338">
        <v>12355012000001</v>
      </c>
      <c r="U108" s="46">
        <v>4630362180834</v>
      </c>
      <c r="V108" s="46">
        <v>14630362180831</v>
      </c>
      <c r="W108" s="157">
        <v>250</v>
      </c>
      <c r="X108" s="34">
        <v>90</v>
      </c>
      <c r="Y108" s="34">
        <v>90</v>
      </c>
      <c r="Z108" s="35">
        <v>1.35</v>
      </c>
      <c r="AA108" s="271">
        <v>2E-3</v>
      </c>
      <c r="AB108" s="36">
        <f t="shared" si="114"/>
        <v>1.3520000000000001</v>
      </c>
      <c r="AC108" s="37">
        <v>292</v>
      </c>
      <c r="AD108" s="38">
        <v>178</v>
      </c>
      <c r="AE108" s="38">
        <v>178</v>
      </c>
      <c r="AF108" s="190">
        <v>3</v>
      </c>
      <c r="AG108" s="117">
        <v>600000029</v>
      </c>
      <c r="AH108" s="103">
        <f>справочники!$C$21</f>
        <v>0.125</v>
      </c>
      <c r="AI108" s="39">
        <f t="shared" si="88"/>
        <v>4.05</v>
      </c>
      <c r="AJ108" s="121">
        <f t="shared" si="89"/>
        <v>4.181</v>
      </c>
      <c r="AK108" s="37">
        <v>14</v>
      </c>
      <c r="AL108" s="38">
        <v>8</v>
      </c>
      <c r="AM108" s="40">
        <f t="shared" si="109"/>
        <v>112</v>
      </c>
      <c r="AN108" s="214">
        <f t="shared" si="110"/>
        <v>453.6</v>
      </c>
      <c r="AO108" s="204">
        <f t="shared" si="99"/>
        <v>1569</v>
      </c>
    </row>
    <row r="109" spans="1:41" s="22" customFormat="1" ht="229.5" x14ac:dyDescent="0.2">
      <c r="A109" s="22">
        <f t="shared" si="77"/>
        <v>4211</v>
      </c>
      <c r="B109" s="116">
        <v>1001012564211</v>
      </c>
      <c r="C109" s="48" t="s">
        <v>117</v>
      </c>
      <c r="D109" s="49" t="s">
        <v>3</v>
      </c>
      <c r="E109" s="146" t="s">
        <v>373</v>
      </c>
      <c r="F109" s="112" t="s">
        <v>36</v>
      </c>
      <c r="G109" s="146" t="s">
        <v>6</v>
      </c>
      <c r="H109" s="58" t="s">
        <v>135</v>
      </c>
      <c r="I109" s="153" t="s">
        <v>387</v>
      </c>
      <c r="J109" s="150" t="s">
        <v>639</v>
      </c>
      <c r="K109" s="26" t="s">
        <v>1777</v>
      </c>
      <c r="L109" s="52">
        <v>11</v>
      </c>
      <c r="M109" s="53">
        <v>12</v>
      </c>
      <c r="N109" s="53">
        <v>3</v>
      </c>
      <c r="O109" s="54" t="s">
        <v>778</v>
      </c>
      <c r="P109" s="31" t="s">
        <v>104</v>
      </c>
      <c r="Q109" s="87">
        <v>60</v>
      </c>
      <c r="R109" s="82" t="s">
        <v>78</v>
      </c>
      <c r="S109" s="234">
        <v>2901670000001</v>
      </c>
      <c r="T109" s="338">
        <v>12901670000008</v>
      </c>
      <c r="U109" s="46">
        <v>4630362180834</v>
      </c>
      <c r="V109" s="46">
        <v>14630362180831</v>
      </c>
      <c r="W109" s="157">
        <v>250</v>
      </c>
      <c r="X109" s="34">
        <v>90</v>
      </c>
      <c r="Y109" s="34">
        <v>90</v>
      </c>
      <c r="Z109" s="35">
        <v>1.35</v>
      </c>
      <c r="AA109" s="271">
        <v>2E-3</v>
      </c>
      <c r="AB109" s="36">
        <f t="shared" si="114"/>
        <v>1.3520000000000001</v>
      </c>
      <c r="AC109" s="37">
        <v>292</v>
      </c>
      <c r="AD109" s="38">
        <v>178</v>
      </c>
      <c r="AE109" s="38">
        <v>178</v>
      </c>
      <c r="AF109" s="190">
        <v>3</v>
      </c>
      <c r="AG109" s="117">
        <v>600000029</v>
      </c>
      <c r="AH109" s="103">
        <f>справочники!$C$21</f>
        <v>0.125</v>
      </c>
      <c r="AI109" s="39">
        <f t="shared" si="88"/>
        <v>4.05</v>
      </c>
      <c r="AJ109" s="121">
        <f t="shared" si="89"/>
        <v>4.181</v>
      </c>
      <c r="AK109" s="37">
        <v>14</v>
      </c>
      <c r="AL109" s="38">
        <v>8</v>
      </c>
      <c r="AM109" s="40">
        <f t="shared" si="109"/>
        <v>112</v>
      </c>
      <c r="AN109" s="214">
        <f t="shared" si="110"/>
        <v>453.6</v>
      </c>
      <c r="AO109" s="204">
        <f t="shared" si="99"/>
        <v>1569</v>
      </c>
    </row>
    <row r="110" spans="1:41" s="22" customFormat="1" ht="229.5" x14ac:dyDescent="0.2">
      <c r="A110" s="22">
        <f t="shared" si="77"/>
        <v>4335</v>
      </c>
      <c r="B110" s="116">
        <v>1001012564335</v>
      </c>
      <c r="C110" s="48" t="s">
        <v>215</v>
      </c>
      <c r="D110" s="49" t="s">
        <v>3</v>
      </c>
      <c r="E110" s="146" t="s">
        <v>373</v>
      </c>
      <c r="F110" s="112" t="s">
        <v>36</v>
      </c>
      <c r="G110" s="146" t="s">
        <v>6</v>
      </c>
      <c r="H110" s="58" t="s">
        <v>135</v>
      </c>
      <c r="I110" s="153" t="s">
        <v>387</v>
      </c>
      <c r="J110" s="150" t="s">
        <v>639</v>
      </c>
      <c r="K110" s="26" t="s">
        <v>1777</v>
      </c>
      <c r="L110" s="52">
        <v>11</v>
      </c>
      <c r="M110" s="53">
        <v>12</v>
      </c>
      <c r="N110" s="53">
        <v>3</v>
      </c>
      <c r="O110" s="54" t="s">
        <v>778</v>
      </c>
      <c r="P110" s="31" t="s">
        <v>104</v>
      </c>
      <c r="Q110" s="87">
        <v>60</v>
      </c>
      <c r="R110" s="82" t="s">
        <v>78</v>
      </c>
      <c r="S110" s="234">
        <v>2775990000009</v>
      </c>
      <c r="T110" s="338">
        <v>12775990000006</v>
      </c>
      <c r="U110" s="46">
        <v>4630362180834</v>
      </c>
      <c r="V110" s="46">
        <v>14630362180831</v>
      </c>
      <c r="W110" s="157">
        <v>250</v>
      </c>
      <c r="X110" s="34">
        <v>90</v>
      </c>
      <c r="Y110" s="34">
        <v>90</v>
      </c>
      <c r="Z110" s="35">
        <v>1.35</v>
      </c>
      <c r="AA110" s="271">
        <v>2E-3</v>
      </c>
      <c r="AB110" s="36">
        <f t="shared" si="114"/>
        <v>1.3520000000000001</v>
      </c>
      <c r="AC110" s="37">
        <v>292</v>
      </c>
      <c r="AD110" s="38">
        <v>178</v>
      </c>
      <c r="AE110" s="38">
        <v>178</v>
      </c>
      <c r="AF110" s="190">
        <v>3</v>
      </c>
      <c r="AG110" s="117">
        <v>600000029</v>
      </c>
      <c r="AH110" s="103">
        <f>справочники!$C$21</f>
        <v>0.125</v>
      </c>
      <c r="AI110" s="39">
        <f t="shared" si="88"/>
        <v>4.05</v>
      </c>
      <c r="AJ110" s="121">
        <f t="shared" si="89"/>
        <v>4.181</v>
      </c>
      <c r="AK110" s="37">
        <v>16</v>
      </c>
      <c r="AL110" s="38">
        <v>8</v>
      </c>
      <c r="AM110" s="40">
        <f t="shared" si="109"/>
        <v>128</v>
      </c>
      <c r="AN110" s="214">
        <f t="shared" si="110"/>
        <v>518.4</v>
      </c>
      <c r="AO110" s="204">
        <f t="shared" si="99"/>
        <v>1569</v>
      </c>
    </row>
    <row r="111" spans="1:41" s="22" customFormat="1" ht="229.5" x14ac:dyDescent="0.2">
      <c r="A111" s="22">
        <f t="shared" si="77"/>
        <v>4425</v>
      </c>
      <c r="B111" s="116">
        <v>1001012564425</v>
      </c>
      <c r="C111" s="48" t="s">
        <v>343</v>
      </c>
      <c r="D111" s="49" t="s">
        <v>3</v>
      </c>
      <c r="E111" s="146" t="s">
        <v>373</v>
      </c>
      <c r="F111" s="112" t="s">
        <v>36</v>
      </c>
      <c r="G111" s="146" t="s">
        <v>6</v>
      </c>
      <c r="H111" s="58" t="s">
        <v>135</v>
      </c>
      <c r="I111" s="153" t="s">
        <v>387</v>
      </c>
      <c r="J111" s="150" t="s">
        <v>639</v>
      </c>
      <c r="K111" s="26" t="s">
        <v>1777</v>
      </c>
      <c r="L111" s="52">
        <v>11</v>
      </c>
      <c r="M111" s="53">
        <v>12</v>
      </c>
      <c r="N111" s="53">
        <v>3</v>
      </c>
      <c r="O111" s="54" t="s">
        <v>778</v>
      </c>
      <c r="P111" s="31" t="s">
        <v>104</v>
      </c>
      <c r="Q111" s="87">
        <v>60</v>
      </c>
      <c r="R111" s="82" t="s">
        <v>78</v>
      </c>
      <c r="S111" s="234">
        <v>2800917000005</v>
      </c>
      <c r="T111" s="338">
        <v>12800917000002</v>
      </c>
      <c r="U111" s="46" t="s">
        <v>1874</v>
      </c>
      <c r="V111" s="46" t="s">
        <v>1874</v>
      </c>
      <c r="W111" s="157">
        <v>250</v>
      </c>
      <c r="X111" s="34">
        <v>90</v>
      </c>
      <c r="Y111" s="34">
        <v>90</v>
      </c>
      <c r="Z111" s="35">
        <v>1.35</v>
      </c>
      <c r="AA111" s="271">
        <v>2E-3</v>
      </c>
      <c r="AB111" s="36">
        <f t="shared" si="114"/>
        <v>1.3520000000000001</v>
      </c>
      <c r="AC111" s="37">
        <v>292</v>
      </c>
      <c r="AD111" s="38">
        <v>178</v>
      </c>
      <c r="AE111" s="38">
        <v>178</v>
      </c>
      <c r="AF111" s="190">
        <v>3</v>
      </c>
      <c r="AG111" s="117">
        <v>600000029</v>
      </c>
      <c r="AH111" s="103">
        <f>справочники!$C$21</f>
        <v>0.125</v>
      </c>
      <c r="AI111" s="39">
        <f t="shared" si="88"/>
        <v>4.05</v>
      </c>
      <c r="AJ111" s="121">
        <f t="shared" si="89"/>
        <v>4.181</v>
      </c>
      <c r="AK111" s="37">
        <v>16</v>
      </c>
      <c r="AL111" s="38">
        <v>8</v>
      </c>
      <c r="AM111" s="40">
        <f t="shared" si="109"/>
        <v>128</v>
      </c>
      <c r="AN111" s="214">
        <f t="shared" si="110"/>
        <v>518.4</v>
      </c>
      <c r="AO111" s="204">
        <f t="shared" si="99"/>
        <v>1569</v>
      </c>
    </row>
    <row r="112" spans="1:41" s="22" customFormat="1" ht="229.5" x14ac:dyDescent="0.2">
      <c r="A112" s="22">
        <f t="shared" si="77"/>
        <v>3485</v>
      </c>
      <c r="B112" s="116">
        <v>1001012563485</v>
      </c>
      <c r="C112" s="48" t="s">
        <v>342</v>
      </c>
      <c r="D112" s="49" t="s">
        <v>3</v>
      </c>
      <c r="E112" s="146" t="s">
        <v>373</v>
      </c>
      <c r="F112" s="136" t="s">
        <v>36</v>
      </c>
      <c r="G112" s="146" t="s">
        <v>6</v>
      </c>
      <c r="H112" s="58" t="s">
        <v>135</v>
      </c>
      <c r="I112" s="153" t="s">
        <v>387</v>
      </c>
      <c r="J112" s="150" t="s">
        <v>639</v>
      </c>
      <c r="K112" s="26" t="s">
        <v>1777</v>
      </c>
      <c r="L112" s="52">
        <v>11</v>
      </c>
      <c r="M112" s="53">
        <v>12</v>
      </c>
      <c r="N112" s="53">
        <v>3</v>
      </c>
      <c r="O112" s="54" t="s">
        <v>778</v>
      </c>
      <c r="P112" s="31" t="s">
        <v>104</v>
      </c>
      <c r="Q112" s="87">
        <v>60</v>
      </c>
      <c r="R112" s="82" t="s">
        <v>78</v>
      </c>
      <c r="S112" s="234">
        <v>2800917000005</v>
      </c>
      <c r="T112" s="338">
        <v>12800917000002</v>
      </c>
      <c r="U112" s="46" t="s">
        <v>1874</v>
      </c>
      <c r="V112" s="46" t="s">
        <v>1874</v>
      </c>
      <c r="W112" s="157">
        <v>250</v>
      </c>
      <c r="X112" s="34">
        <v>90</v>
      </c>
      <c r="Y112" s="34">
        <v>90</v>
      </c>
      <c r="Z112" s="35">
        <v>1.35</v>
      </c>
      <c r="AA112" s="271">
        <v>2E-3</v>
      </c>
      <c r="AB112" s="36">
        <f t="shared" si="114"/>
        <v>1.3520000000000001</v>
      </c>
      <c r="AC112" s="37">
        <v>292</v>
      </c>
      <c r="AD112" s="38">
        <v>178</v>
      </c>
      <c r="AE112" s="38">
        <v>178</v>
      </c>
      <c r="AF112" s="190">
        <v>3</v>
      </c>
      <c r="AG112" s="117">
        <v>600000029</v>
      </c>
      <c r="AH112" s="103">
        <f>справочники!$C$21</f>
        <v>0.125</v>
      </c>
      <c r="AI112" s="39">
        <f t="shared" si="88"/>
        <v>4.05</v>
      </c>
      <c r="AJ112" s="121">
        <f t="shared" si="89"/>
        <v>4.181</v>
      </c>
      <c r="AK112" s="37">
        <v>16</v>
      </c>
      <c r="AL112" s="38">
        <v>8</v>
      </c>
      <c r="AM112" s="40">
        <f t="shared" si="109"/>
        <v>128</v>
      </c>
      <c r="AN112" s="214">
        <f t="shared" si="110"/>
        <v>518.4</v>
      </c>
      <c r="AO112" s="204">
        <f t="shared" si="99"/>
        <v>1569</v>
      </c>
    </row>
    <row r="113" spans="1:41" s="22" customFormat="1" ht="204" x14ac:dyDescent="0.2">
      <c r="A113" s="22">
        <f t="shared" si="77"/>
        <v>6502</v>
      </c>
      <c r="B113" s="116">
        <v>1001012486502</v>
      </c>
      <c r="C113" s="25" t="s">
        <v>578</v>
      </c>
      <c r="D113" s="23" t="s">
        <v>4</v>
      </c>
      <c r="E113" s="146" t="s">
        <v>373</v>
      </c>
      <c r="F113" s="132" t="s">
        <v>36</v>
      </c>
      <c r="G113" s="146" t="s">
        <v>6</v>
      </c>
      <c r="H113" s="24" t="s">
        <v>1580</v>
      </c>
      <c r="I113" s="153" t="s">
        <v>1566</v>
      </c>
      <c r="J113" s="149" t="s">
        <v>412</v>
      </c>
      <c r="K113" s="26" t="s">
        <v>1442</v>
      </c>
      <c r="L113" s="27">
        <v>9</v>
      </c>
      <c r="M113" s="28">
        <v>14</v>
      </c>
      <c r="N113" s="29">
        <v>5</v>
      </c>
      <c r="O113" s="30" t="s">
        <v>1443</v>
      </c>
      <c r="P113" s="31" t="s">
        <v>104</v>
      </c>
      <c r="Q113" s="31">
        <v>60</v>
      </c>
      <c r="R113" s="32" t="s">
        <v>37</v>
      </c>
      <c r="S113" s="233">
        <v>4607958074471</v>
      </c>
      <c r="T113" s="334">
        <v>24607958074475</v>
      </c>
      <c r="U113" s="46">
        <v>4607958074471</v>
      </c>
      <c r="V113" s="46">
        <v>24607958074475</v>
      </c>
      <c r="W113" s="157">
        <v>190</v>
      </c>
      <c r="X113" s="34">
        <v>67</v>
      </c>
      <c r="Y113" s="34">
        <v>67</v>
      </c>
      <c r="Z113" s="35">
        <v>0.5</v>
      </c>
      <c r="AA113" s="271">
        <v>2E-3</v>
      </c>
      <c r="AB113" s="36">
        <f t="shared" si="114"/>
        <v>0.502</v>
      </c>
      <c r="AC113" s="37">
        <v>378</v>
      </c>
      <c r="AD113" s="38">
        <v>288</v>
      </c>
      <c r="AE113" s="38">
        <v>138</v>
      </c>
      <c r="AF113" s="190">
        <v>16</v>
      </c>
      <c r="AG113" s="117">
        <v>600000420</v>
      </c>
      <c r="AH113" s="103">
        <f>справочники!$C$93</f>
        <v>0.22900000000000001</v>
      </c>
      <c r="AI113" s="39">
        <f t="shared" si="88"/>
        <v>8</v>
      </c>
      <c r="AJ113" s="121">
        <f t="shared" si="89"/>
        <v>8.2609999999999992</v>
      </c>
      <c r="AK113" s="37">
        <v>8</v>
      </c>
      <c r="AL113" s="38">
        <v>8</v>
      </c>
      <c r="AM113" s="40">
        <f>AK113*AL113</f>
        <v>64</v>
      </c>
      <c r="AN113" s="206">
        <f>IF(D113="ШТ",кол_во_инд.__упак_к*итого_г_у,ROUNDDOWN(номин.вес_нетто_г_у__кг*итого_г_у,1))</f>
        <v>1024</v>
      </c>
      <c r="AO113" s="204">
        <f t="shared" si="99"/>
        <v>1249</v>
      </c>
    </row>
    <row r="114" spans="1:41" s="22" customFormat="1" ht="127.5" customHeight="1" x14ac:dyDescent="0.2">
      <c r="A114" s="22">
        <f t="shared" si="77"/>
        <v>5851</v>
      </c>
      <c r="B114" s="116">
        <v>1001012505851</v>
      </c>
      <c r="C114" s="46" t="s">
        <v>257</v>
      </c>
      <c r="D114" s="23" t="s">
        <v>3</v>
      </c>
      <c r="E114" s="146" t="s">
        <v>373</v>
      </c>
      <c r="F114" s="132" t="s">
        <v>36</v>
      </c>
      <c r="G114" s="146" t="s">
        <v>6</v>
      </c>
      <c r="H114" s="24" t="s">
        <v>194</v>
      </c>
      <c r="I114" s="153" t="s">
        <v>375</v>
      </c>
      <c r="J114" s="151" t="s">
        <v>639</v>
      </c>
      <c r="K114" s="26" t="s">
        <v>1777</v>
      </c>
      <c r="L114" s="41">
        <v>11</v>
      </c>
      <c r="M114" s="53">
        <v>12</v>
      </c>
      <c r="N114" s="53">
        <v>3</v>
      </c>
      <c r="O114" s="54" t="s">
        <v>778</v>
      </c>
      <c r="P114" s="31" t="s">
        <v>104</v>
      </c>
      <c r="Q114" s="31">
        <v>60</v>
      </c>
      <c r="R114" s="32" t="s">
        <v>78</v>
      </c>
      <c r="S114" s="135">
        <v>2101136000006</v>
      </c>
      <c r="T114" s="333">
        <v>12101136000003</v>
      </c>
      <c r="U114" s="46">
        <v>4630362181381</v>
      </c>
      <c r="V114" s="46">
        <v>14630362181388</v>
      </c>
      <c r="W114" s="157">
        <v>250</v>
      </c>
      <c r="X114" s="34">
        <v>90</v>
      </c>
      <c r="Y114" s="34">
        <v>90</v>
      </c>
      <c r="Z114" s="35">
        <v>1.35</v>
      </c>
      <c r="AA114" s="271">
        <v>2E-3</v>
      </c>
      <c r="AB114" s="36">
        <f t="shared" si="114"/>
        <v>1.3520000000000001</v>
      </c>
      <c r="AC114" s="37">
        <v>292</v>
      </c>
      <c r="AD114" s="38">
        <v>178</v>
      </c>
      <c r="AE114" s="38">
        <v>178</v>
      </c>
      <c r="AF114" s="190">
        <v>3</v>
      </c>
      <c r="AG114" s="117">
        <v>600000029</v>
      </c>
      <c r="AH114" s="103">
        <f>справочники!$C$21</f>
        <v>0.125</v>
      </c>
      <c r="AI114" s="39">
        <f t="shared" si="88"/>
        <v>4.05</v>
      </c>
      <c r="AJ114" s="121">
        <f t="shared" si="89"/>
        <v>4.181</v>
      </c>
      <c r="AK114" s="37">
        <v>16</v>
      </c>
      <c r="AL114" s="38">
        <v>8</v>
      </c>
      <c r="AM114" s="40">
        <f t="shared" si="109"/>
        <v>128</v>
      </c>
      <c r="AN114" s="214">
        <f t="shared" si="110"/>
        <v>518.4</v>
      </c>
      <c r="AO114" s="204">
        <f t="shared" si="99"/>
        <v>1569</v>
      </c>
    </row>
    <row r="115" spans="1:41" s="22" customFormat="1" ht="128.25" customHeight="1" x14ac:dyDescent="0.2">
      <c r="A115" s="22">
        <f t="shared" si="77"/>
        <v>7632</v>
      </c>
      <c r="B115" s="116">
        <v>1001012507632</v>
      </c>
      <c r="C115" s="46" t="s">
        <v>1857</v>
      </c>
      <c r="D115" s="23" t="s">
        <v>4</v>
      </c>
      <c r="E115" s="146" t="s">
        <v>373</v>
      </c>
      <c r="F115" s="132" t="s">
        <v>36</v>
      </c>
      <c r="G115" s="146" t="s">
        <v>6</v>
      </c>
      <c r="H115" s="24" t="s">
        <v>194</v>
      </c>
      <c r="I115" s="153" t="s">
        <v>375</v>
      </c>
      <c r="J115" s="151" t="s">
        <v>639</v>
      </c>
      <c r="K115" s="26" t="s">
        <v>1777</v>
      </c>
      <c r="L115" s="41">
        <v>11</v>
      </c>
      <c r="M115" s="53">
        <v>12</v>
      </c>
      <c r="N115" s="53">
        <v>3</v>
      </c>
      <c r="O115" s="54" t="s">
        <v>778</v>
      </c>
      <c r="P115" s="31" t="s">
        <v>104</v>
      </c>
      <c r="Q115" s="31">
        <v>60</v>
      </c>
      <c r="R115" s="32" t="s">
        <v>78</v>
      </c>
      <c r="S115" s="232">
        <v>4607958072392</v>
      </c>
      <c r="T115" s="336">
        <v>14607958072399</v>
      </c>
      <c r="U115" s="46">
        <v>4607958072392</v>
      </c>
      <c r="V115" s="46">
        <v>14607958072399</v>
      </c>
      <c r="W115" s="157">
        <v>180</v>
      </c>
      <c r="X115" s="34">
        <v>59</v>
      </c>
      <c r="Y115" s="34">
        <v>59</v>
      </c>
      <c r="Z115" s="35">
        <v>0.4</v>
      </c>
      <c r="AA115" s="271">
        <v>2E-3</v>
      </c>
      <c r="AB115" s="36">
        <f t="shared" ref="AB115" si="115">Z115+AA115</f>
        <v>0.40200000000000002</v>
      </c>
      <c r="AC115" s="59">
        <v>258</v>
      </c>
      <c r="AD115" s="60">
        <v>193</v>
      </c>
      <c r="AE115" s="60">
        <v>123</v>
      </c>
      <c r="AF115" s="191">
        <v>8</v>
      </c>
      <c r="AG115" s="117">
        <v>600000403</v>
      </c>
      <c r="AH115" s="104">
        <f>справочники!$C$100</f>
        <v>0.104</v>
      </c>
      <c r="AI115" s="39">
        <f t="shared" si="88"/>
        <v>3.2</v>
      </c>
      <c r="AJ115" s="121">
        <f t="shared" si="89"/>
        <v>3.3200000000000003</v>
      </c>
      <c r="AK115" s="37">
        <v>18</v>
      </c>
      <c r="AL115" s="38">
        <v>12</v>
      </c>
      <c r="AM115" s="40">
        <f t="shared" ref="AM115" si="116">AK115*AL115</f>
        <v>216</v>
      </c>
      <c r="AN115" s="206">
        <f t="shared" ref="AN115" si="117">IF(D115="ШТ",кол_во_инд.__упак_к*итого_г_у,ROUNDDOWN(номин.вес_нетто_г_у__кг*итого_г_у,1))</f>
        <v>1728</v>
      </c>
      <c r="AO115" s="204">
        <f t="shared" si="99"/>
        <v>1621</v>
      </c>
    </row>
    <row r="116" spans="1:41" ht="191.25" x14ac:dyDescent="0.2">
      <c r="A116" s="22">
        <f t="shared" si="77"/>
        <v>7502</v>
      </c>
      <c r="B116" s="116">
        <v>1001094517502</v>
      </c>
      <c r="C116" s="48" t="s">
        <v>1585</v>
      </c>
      <c r="D116" s="49" t="s">
        <v>4</v>
      </c>
      <c r="E116" s="146" t="s">
        <v>373</v>
      </c>
      <c r="F116" s="112" t="s">
        <v>77</v>
      </c>
      <c r="G116" s="224" t="s">
        <v>1582</v>
      </c>
      <c r="H116" s="58" t="s">
        <v>278</v>
      </c>
      <c r="I116" s="154" t="s">
        <v>386</v>
      </c>
      <c r="J116" s="151" t="s">
        <v>426</v>
      </c>
      <c r="K116" s="51" t="s">
        <v>1550</v>
      </c>
      <c r="L116" s="52">
        <v>11</v>
      </c>
      <c r="M116" s="53">
        <v>14</v>
      </c>
      <c r="N116" s="53">
        <v>4</v>
      </c>
      <c r="O116" s="54" t="s">
        <v>554</v>
      </c>
      <c r="P116" s="113" t="s">
        <v>104</v>
      </c>
      <c r="Q116" s="49">
        <v>45</v>
      </c>
      <c r="R116" s="56" t="s">
        <v>37</v>
      </c>
      <c r="S116" s="243">
        <v>4630362181497</v>
      </c>
      <c r="T116" s="340">
        <v>14630362181494</v>
      </c>
      <c r="U116" s="46">
        <v>4630362181497</v>
      </c>
      <c r="V116" s="46">
        <v>14630362181494</v>
      </c>
      <c r="W116" s="157">
        <v>215</v>
      </c>
      <c r="X116" s="34">
        <v>100</v>
      </c>
      <c r="Y116" s="34">
        <v>69</v>
      </c>
      <c r="Z116" s="35">
        <v>0.4</v>
      </c>
      <c r="AA116" s="271">
        <v>5.0000000000000001E-3</v>
      </c>
      <c r="AB116" s="66">
        <f t="shared" ref="AB116:AB118" si="118">Z116+AA116</f>
        <v>0.40500000000000003</v>
      </c>
      <c r="AC116" s="59">
        <v>318</v>
      </c>
      <c r="AD116" s="60">
        <v>143</v>
      </c>
      <c r="AE116" s="60">
        <v>138</v>
      </c>
      <c r="AF116" s="191">
        <v>6</v>
      </c>
      <c r="AG116" s="117">
        <v>600000407</v>
      </c>
      <c r="AH116" s="104">
        <f>справочники!$C$106</f>
        <v>9.4E-2</v>
      </c>
      <c r="AI116" s="62">
        <f t="shared" ref="AI116:AI165" si="119">ROUNDDOWN(номин.вес_нетто__кг*кол_во_инд.__упак_к,2)</f>
        <v>2.4</v>
      </c>
      <c r="AJ116" s="122">
        <f t="shared" ref="AJ116:AJ125" si="120">(номин.вес_брутто__кг*кол_во_инд.__упак_к)+вес_короба__кг</f>
        <v>2.524</v>
      </c>
      <c r="AK116" s="37">
        <v>19</v>
      </c>
      <c r="AL116" s="38">
        <v>11</v>
      </c>
      <c r="AM116" s="40">
        <f t="shared" ref="AM116:AM118" si="121">AK116*AL116</f>
        <v>209</v>
      </c>
      <c r="AN116" s="206">
        <f t="shared" ref="AN116:AN118" si="122">IF(D116="ШТ",кол_во_инд.__упак_к*итого_г_у,ROUNDDOWN(номин.вес_нетто_г_у__кг*итого_г_у,1))</f>
        <v>1254</v>
      </c>
      <c r="AO116" s="204">
        <f t="shared" si="99"/>
        <v>1663</v>
      </c>
    </row>
    <row r="117" spans="1:41" ht="103.5" customHeight="1" x14ac:dyDescent="0.2">
      <c r="A117" s="22">
        <f t="shared" si="77"/>
        <v>7593</v>
      </c>
      <c r="B117" s="116">
        <v>1001093637593</v>
      </c>
      <c r="C117" s="48" t="s">
        <v>1771</v>
      </c>
      <c r="D117" s="49" t="s">
        <v>4</v>
      </c>
      <c r="E117" s="146" t="s">
        <v>373</v>
      </c>
      <c r="F117" s="112" t="s">
        <v>77</v>
      </c>
      <c r="G117" s="224" t="s">
        <v>5</v>
      </c>
      <c r="H117" s="58" t="s">
        <v>292</v>
      </c>
      <c r="I117" s="154" t="s">
        <v>2090</v>
      </c>
      <c r="J117" s="151" t="s">
        <v>2091</v>
      </c>
      <c r="K117" s="51" t="s">
        <v>2097</v>
      </c>
      <c r="L117" s="52">
        <v>11</v>
      </c>
      <c r="M117" s="53">
        <v>13</v>
      </c>
      <c r="N117" s="53">
        <v>4</v>
      </c>
      <c r="O117" s="54" t="s">
        <v>798</v>
      </c>
      <c r="P117" s="113" t="s">
        <v>104</v>
      </c>
      <c r="Q117" s="49">
        <v>55</v>
      </c>
      <c r="R117" s="56" t="s">
        <v>37</v>
      </c>
      <c r="S117" s="243">
        <v>4630362182296</v>
      </c>
      <c r="T117" s="340">
        <v>14630362182293</v>
      </c>
      <c r="U117" s="46">
        <v>4630362182296</v>
      </c>
      <c r="V117" s="46">
        <v>14630362182293</v>
      </c>
      <c r="W117" s="93">
        <v>150</v>
      </c>
      <c r="X117" s="60">
        <v>84</v>
      </c>
      <c r="Y117" s="60">
        <v>84</v>
      </c>
      <c r="Z117" s="65">
        <v>0.76</v>
      </c>
      <c r="AA117" s="271">
        <v>5.0000000000000001E-3</v>
      </c>
      <c r="AB117" s="66">
        <f t="shared" si="118"/>
        <v>0.76500000000000001</v>
      </c>
      <c r="AC117" s="59">
        <v>315</v>
      </c>
      <c r="AD117" s="60">
        <v>168</v>
      </c>
      <c r="AE117" s="60">
        <v>188</v>
      </c>
      <c r="AF117" s="191">
        <v>8</v>
      </c>
      <c r="AG117" s="117">
        <v>600000428</v>
      </c>
      <c r="AH117" s="104">
        <f>справочники!$C$114</f>
        <v>0.123</v>
      </c>
      <c r="AI117" s="62">
        <f t="shared" si="119"/>
        <v>6.08</v>
      </c>
      <c r="AJ117" s="122">
        <f t="shared" si="120"/>
        <v>6.2430000000000003</v>
      </c>
      <c r="AK117" s="37">
        <v>17</v>
      </c>
      <c r="AL117" s="38">
        <v>7</v>
      </c>
      <c r="AM117" s="40">
        <f t="shared" si="121"/>
        <v>119</v>
      </c>
      <c r="AN117" s="206">
        <f t="shared" si="122"/>
        <v>952</v>
      </c>
      <c r="AO117" s="204">
        <f t="shared" si="99"/>
        <v>1461</v>
      </c>
    </row>
    <row r="118" spans="1:41" s="22" customFormat="1" ht="191.25" x14ac:dyDescent="0.2">
      <c r="A118" s="22">
        <f t="shared" si="77"/>
        <v>7641</v>
      </c>
      <c r="B118" s="116">
        <v>1001095797641</v>
      </c>
      <c r="C118" s="25" t="s">
        <v>1919</v>
      </c>
      <c r="D118" s="23" t="s">
        <v>4</v>
      </c>
      <c r="E118" s="146" t="s">
        <v>373</v>
      </c>
      <c r="F118" s="112" t="s">
        <v>77</v>
      </c>
      <c r="G118" s="146" t="s">
        <v>935</v>
      </c>
      <c r="H118" s="49" t="s">
        <v>135</v>
      </c>
      <c r="I118" s="153" t="s">
        <v>386</v>
      </c>
      <c r="J118" s="151" t="s">
        <v>1920</v>
      </c>
      <c r="K118" s="26" t="s">
        <v>1921</v>
      </c>
      <c r="L118" s="84">
        <v>10</v>
      </c>
      <c r="M118" s="85">
        <v>10</v>
      </c>
      <c r="N118" s="91">
        <v>4</v>
      </c>
      <c r="O118" s="86" t="s">
        <v>1468</v>
      </c>
      <c r="P118" s="31" t="s">
        <v>104</v>
      </c>
      <c r="Q118" s="31">
        <v>60</v>
      </c>
      <c r="R118" s="82" t="s">
        <v>44</v>
      </c>
      <c r="S118" s="233">
        <v>4630362182708</v>
      </c>
      <c r="T118" s="334">
        <v>14630362182705</v>
      </c>
      <c r="U118" s="46">
        <v>4630362182708</v>
      </c>
      <c r="V118" s="46">
        <v>14630362182705</v>
      </c>
      <c r="W118" s="157">
        <v>145</v>
      </c>
      <c r="X118" s="34">
        <v>95</v>
      </c>
      <c r="Y118" s="34">
        <v>70</v>
      </c>
      <c r="Z118" s="35">
        <v>0.75</v>
      </c>
      <c r="AA118" s="271">
        <v>2E-3</v>
      </c>
      <c r="AB118" s="36">
        <f t="shared" si="118"/>
        <v>0.752</v>
      </c>
      <c r="AC118" s="59">
        <v>318</v>
      </c>
      <c r="AD118" s="60">
        <v>143</v>
      </c>
      <c r="AE118" s="60">
        <v>138</v>
      </c>
      <c r="AF118" s="192">
        <v>6</v>
      </c>
      <c r="AG118" s="117">
        <v>600000407</v>
      </c>
      <c r="AH118" s="104">
        <f>справочники!$C$106</f>
        <v>9.4E-2</v>
      </c>
      <c r="AI118" s="39">
        <f t="shared" si="119"/>
        <v>4.5</v>
      </c>
      <c r="AJ118" s="121">
        <f t="shared" si="120"/>
        <v>4.6060000000000008</v>
      </c>
      <c r="AK118" s="37">
        <v>19</v>
      </c>
      <c r="AL118" s="38">
        <v>7</v>
      </c>
      <c r="AM118" s="40">
        <f t="shared" si="121"/>
        <v>133</v>
      </c>
      <c r="AN118" s="206">
        <f t="shared" si="122"/>
        <v>798</v>
      </c>
      <c r="AO118" s="204">
        <f t="shared" si="99"/>
        <v>1111</v>
      </c>
    </row>
    <row r="119" spans="1:41" s="22" customFormat="1" ht="204" x14ac:dyDescent="0.2">
      <c r="A119" s="22">
        <f t="shared" si="77"/>
        <v>7235</v>
      </c>
      <c r="B119" s="116">
        <v>1001095227235</v>
      </c>
      <c r="C119" s="25" t="s">
        <v>1192</v>
      </c>
      <c r="D119" s="23" t="s">
        <v>4</v>
      </c>
      <c r="E119" s="146" t="s">
        <v>373</v>
      </c>
      <c r="F119" s="112" t="s">
        <v>77</v>
      </c>
      <c r="G119" s="146" t="s">
        <v>6</v>
      </c>
      <c r="H119" s="24" t="s">
        <v>278</v>
      </c>
      <c r="I119" s="153" t="s">
        <v>386</v>
      </c>
      <c r="J119" s="151" t="s">
        <v>427</v>
      </c>
      <c r="K119" s="26" t="s">
        <v>1227</v>
      </c>
      <c r="L119" s="84">
        <v>10</v>
      </c>
      <c r="M119" s="85">
        <v>12</v>
      </c>
      <c r="N119" s="91">
        <v>2</v>
      </c>
      <c r="O119" s="86" t="s">
        <v>1228</v>
      </c>
      <c r="P119" s="31" t="s">
        <v>104</v>
      </c>
      <c r="Q119" s="31">
        <v>60</v>
      </c>
      <c r="R119" s="82" t="s">
        <v>44</v>
      </c>
      <c r="S119" s="233">
        <v>4607958078547</v>
      </c>
      <c r="T119" s="334">
        <v>14607958078544</v>
      </c>
      <c r="U119" s="46">
        <v>4607958078547</v>
      </c>
      <c r="V119" s="46">
        <v>14607958078544</v>
      </c>
      <c r="W119" s="157">
        <v>170</v>
      </c>
      <c r="X119" s="34">
        <v>59</v>
      </c>
      <c r="Y119" s="34">
        <v>59</v>
      </c>
      <c r="Z119" s="35">
        <v>0.35</v>
      </c>
      <c r="AA119" s="271">
        <v>2E-3</v>
      </c>
      <c r="AB119" s="36">
        <f t="shared" ref="AB119" si="123">Z119+AA119</f>
        <v>0.35199999999999998</v>
      </c>
      <c r="AC119" s="59">
        <v>318</v>
      </c>
      <c r="AD119" s="60">
        <v>143</v>
      </c>
      <c r="AE119" s="60">
        <v>138</v>
      </c>
      <c r="AF119" s="190">
        <v>8</v>
      </c>
      <c r="AG119" s="117">
        <v>600000407</v>
      </c>
      <c r="AH119" s="104">
        <f>справочники!$C$106</f>
        <v>9.4E-2</v>
      </c>
      <c r="AI119" s="39">
        <f t="shared" si="119"/>
        <v>2.8</v>
      </c>
      <c r="AJ119" s="121">
        <f t="shared" si="120"/>
        <v>2.9099999999999997</v>
      </c>
      <c r="AK119" s="37">
        <v>19</v>
      </c>
      <c r="AL119" s="38">
        <v>11</v>
      </c>
      <c r="AM119" s="40">
        <f t="shared" ref="AM119" si="124">AK119*AL119</f>
        <v>209</v>
      </c>
      <c r="AN119" s="206">
        <f t="shared" ref="AN119" si="125">IF(D119="ШТ",кол_во_инд.__упак_к*итого_г_у,ROUNDDOWN(номин.вес_нетто_г_у__кг*итого_г_у,1))</f>
        <v>1672</v>
      </c>
      <c r="AO119" s="204">
        <f t="shared" si="99"/>
        <v>1663</v>
      </c>
    </row>
    <row r="120" spans="1:41" ht="102.75" customHeight="1" x14ac:dyDescent="0.2">
      <c r="A120" s="22">
        <f t="shared" si="77"/>
        <v>7353</v>
      </c>
      <c r="B120" s="116">
        <v>1001095227353</v>
      </c>
      <c r="C120" s="48" t="s">
        <v>1350</v>
      </c>
      <c r="D120" s="49" t="s">
        <v>4</v>
      </c>
      <c r="E120" s="146" t="s">
        <v>373</v>
      </c>
      <c r="F120" s="112" t="s">
        <v>77</v>
      </c>
      <c r="G120" s="224" t="s">
        <v>5</v>
      </c>
      <c r="H120" s="58" t="s">
        <v>1317</v>
      </c>
      <c r="I120" s="154" t="s">
        <v>2090</v>
      </c>
      <c r="J120" s="151" t="s">
        <v>2091</v>
      </c>
      <c r="K120" s="51" t="s">
        <v>2097</v>
      </c>
      <c r="L120" s="52">
        <v>10</v>
      </c>
      <c r="M120" s="53">
        <v>13</v>
      </c>
      <c r="N120" s="53">
        <v>4</v>
      </c>
      <c r="O120" s="54" t="s">
        <v>798</v>
      </c>
      <c r="P120" s="113" t="s">
        <v>104</v>
      </c>
      <c r="Q120" s="49">
        <v>55</v>
      </c>
      <c r="R120" s="56" t="s">
        <v>37</v>
      </c>
      <c r="S120" s="243">
        <v>4607958077168</v>
      </c>
      <c r="T120" s="340">
        <v>14607958077165</v>
      </c>
      <c r="U120" s="46">
        <v>4607958077168</v>
      </c>
      <c r="V120" s="46">
        <v>14607958077165</v>
      </c>
      <c r="W120" s="93">
        <v>150</v>
      </c>
      <c r="X120" s="60">
        <v>125</v>
      </c>
      <c r="Y120" s="60">
        <v>83</v>
      </c>
      <c r="Z120" s="65">
        <v>0.6</v>
      </c>
      <c r="AA120" s="271">
        <v>5.0000000000000001E-3</v>
      </c>
      <c r="AB120" s="66">
        <f t="shared" ref="AB120" si="126">Z120+AA120</f>
        <v>0.60499999999999998</v>
      </c>
      <c r="AC120" s="59">
        <v>292</v>
      </c>
      <c r="AD120" s="60">
        <v>178</v>
      </c>
      <c r="AE120" s="60">
        <v>178</v>
      </c>
      <c r="AF120" s="191">
        <v>8</v>
      </c>
      <c r="AG120" s="117">
        <v>600000029</v>
      </c>
      <c r="AH120" s="104">
        <f>справочники!$C$21</f>
        <v>0.125</v>
      </c>
      <c r="AI120" s="62">
        <f t="shared" si="119"/>
        <v>4.8</v>
      </c>
      <c r="AJ120" s="122">
        <f t="shared" si="120"/>
        <v>4.9649999999999999</v>
      </c>
      <c r="AK120" s="37">
        <v>16</v>
      </c>
      <c r="AL120" s="38">
        <v>8</v>
      </c>
      <c r="AM120" s="40">
        <f t="shared" ref="AM120" si="127">AK120*AL120</f>
        <v>128</v>
      </c>
      <c r="AN120" s="206">
        <f t="shared" ref="AN120" si="128">IF(D120="ШТ",кол_во_инд.__упак_к*итого_г_у,ROUNDDOWN(номин.вес_нетто_г_у__кг*итого_г_у,1))</f>
        <v>1024</v>
      </c>
      <c r="AO120" s="204">
        <f t="shared" si="99"/>
        <v>1569</v>
      </c>
    </row>
    <row r="121" spans="1:41" ht="178.5" x14ac:dyDescent="0.2">
      <c r="A121" s="22">
        <f t="shared" si="77"/>
        <v>6925</v>
      </c>
      <c r="B121" s="116">
        <v>1001095226925</v>
      </c>
      <c r="C121" s="48" t="s">
        <v>936</v>
      </c>
      <c r="D121" s="49" t="s">
        <v>4</v>
      </c>
      <c r="E121" s="146" t="s">
        <v>373</v>
      </c>
      <c r="F121" s="112" t="s">
        <v>77</v>
      </c>
      <c r="G121" s="224" t="s">
        <v>935</v>
      </c>
      <c r="H121" s="49" t="s">
        <v>135</v>
      </c>
      <c r="I121" s="154" t="s">
        <v>2090</v>
      </c>
      <c r="J121" s="151" t="s">
        <v>2105</v>
      </c>
      <c r="K121" s="51" t="s">
        <v>2097</v>
      </c>
      <c r="L121" s="52">
        <v>11</v>
      </c>
      <c r="M121" s="53">
        <v>13</v>
      </c>
      <c r="N121" s="53">
        <v>4</v>
      </c>
      <c r="O121" s="54" t="s">
        <v>798</v>
      </c>
      <c r="P121" s="113" t="s">
        <v>104</v>
      </c>
      <c r="Q121" s="49">
        <v>45</v>
      </c>
      <c r="R121" s="56" t="s">
        <v>37</v>
      </c>
      <c r="S121" s="243">
        <v>4607958078080</v>
      </c>
      <c r="T121" s="340">
        <v>14607958078087</v>
      </c>
      <c r="U121" s="46">
        <v>4607958078080</v>
      </c>
      <c r="V121" s="46">
        <v>14607958078087</v>
      </c>
      <c r="W121" s="93">
        <v>150</v>
      </c>
      <c r="X121" s="60">
        <v>125</v>
      </c>
      <c r="Y121" s="60">
        <v>83</v>
      </c>
      <c r="Z121" s="65">
        <v>0.6</v>
      </c>
      <c r="AA121" s="271">
        <v>5.0000000000000001E-3</v>
      </c>
      <c r="AB121" s="66">
        <f t="shared" ref="AB121" si="129">Z121+AA121</f>
        <v>0.60499999999999998</v>
      </c>
      <c r="AC121" s="59">
        <v>292</v>
      </c>
      <c r="AD121" s="60">
        <v>178</v>
      </c>
      <c r="AE121" s="60">
        <v>178</v>
      </c>
      <c r="AF121" s="191">
        <v>8</v>
      </c>
      <c r="AG121" s="117">
        <v>600000029</v>
      </c>
      <c r="AH121" s="104">
        <f>справочники!$C$21</f>
        <v>0.125</v>
      </c>
      <c r="AI121" s="62">
        <f t="shared" si="119"/>
        <v>4.8</v>
      </c>
      <c r="AJ121" s="122">
        <f t="shared" si="120"/>
        <v>4.9649999999999999</v>
      </c>
      <c r="AK121" s="37">
        <v>16</v>
      </c>
      <c r="AL121" s="38">
        <v>8</v>
      </c>
      <c r="AM121" s="40">
        <f t="shared" ref="AM121:AM149" si="130">AK121*AL121</f>
        <v>128</v>
      </c>
      <c r="AN121" s="206">
        <f t="shared" ref="AN121" si="131">IF(D121="ШТ",кол_во_инд.__упак_к*итого_г_у,ROUNDDOWN(номин.вес_нетто_г_у__кг*итого_г_у,1))</f>
        <v>1024</v>
      </c>
      <c r="AO121" s="204">
        <f t="shared" si="99"/>
        <v>1569</v>
      </c>
    </row>
    <row r="122" spans="1:41" ht="178.5" x14ac:dyDescent="0.2">
      <c r="A122" s="22">
        <f t="shared" si="77"/>
        <v>7670</v>
      </c>
      <c r="B122" s="116">
        <v>1001095837670</v>
      </c>
      <c r="C122" s="48" t="s">
        <v>2089</v>
      </c>
      <c r="D122" s="49" t="s">
        <v>4</v>
      </c>
      <c r="E122" s="146" t="s">
        <v>373</v>
      </c>
      <c r="F122" s="112" t="s">
        <v>77</v>
      </c>
      <c r="G122" s="224" t="s">
        <v>5</v>
      </c>
      <c r="H122" s="49" t="s">
        <v>278</v>
      </c>
      <c r="I122" s="154" t="s">
        <v>2090</v>
      </c>
      <c r="J122" s="151" t="s">
        <v>2091</v>
      </c>
      <c r="K122" s="51" t="s">
        <v>2097</v>
      </c>
      <c r="L122" s="52">
        <v>11</v>
      </c>
      <c r="M122" s="53">
        <v>13</v>
      </c>
      <c r="N122" s="53">
        <v>4</v>
      </c>
      <c r="O122" s="54" t="s">
        <v>798</v>
      </c>
      <c r="P122" s="113" t="s">
        <v>104</v>
      </c>
      <c r="Q122" s="49">
        <v>55</v>
      </c>
      <c r="R122" s="56" t="s">
        <v>37</v>
      </c>
      <c r="S122" s="243">
        <v>4630362182982</v>
      </c>
      <c r="T122" s="340">
        <v>14630362182989</v>
      </c>
      <c r="U122" s="46">
        <v>4630362182982</v>
      </c>
      <c r="V122" s="46">
        <v>14630362182989</v>
      </c>
      <c r="W122" s="93">
        <v>150</v>
      </c>
      <c r="X122" s="60">
        <v>125</v>
      </c>
      <c r="Y122" s="60">
        <v>83</v>
      </c>
      <c r="Z122" s="65">
        <v>0.6</v>
      </c>
      <c r="AA122" s="271">
        <v>5.0000000000000001E-3</v>
      </c>
      <c r="AB122" s="66">
        <f t="shared" ref="AB122" si="132">Z122+AA122</f>
        <v>0.60499999999999998</v>
      </c>
      <c r="AC122" s="59">
        <v>292</v>
      </c>
      <c r="AD122" s="60">
        <v>178</v>
      </c>
      <c r="AE122" s="60">
        <v>178</v>
      </c>
      <c r="AF122" s="191">
        <v>8</v>
      </c>
      <c r="AG122" s="117">
        <v>600000029</v>
      </c>
      <c r="AH122" s="104">
        <f>справочники!$C$21</f>
        <v>0.125</v>
      </c>
      <c r="AI122" s="62">
        <f t="shared" si="119"/>
        <v>4.8</v>
      </c>
      <c r="AJ122" s="122">
        <f t="shared" si="120"/>
        <v>4.9649999999999999</v>
      </c>
      <c r="AK122" s="37">
        <v>16</v>
      </c>
      <c r="AL122" s="38">
        <v>8</v>
      </c>
      <c r="AM122" s="40">
        <f t="shared" ref="AM122" si="133">AK122*AL122</f>
        <v>128</v>
      </c>
      <c r="AN122" s="206">
        <f t="shared" ref="AN122" si="134">IF(D122="ШТ",кол_во_инд.__упак_к*итого_г_у,ROUNDDOWN(номин.вес_нетто_г_у__кг*итого_г_у,1))</f>
        <v>1024</v>
      </c>
      <c r="AO122" s="204">
        <f t="shared" si="99"/>
        <v>1569</v>
      </c>
    </row>
    <row r="123" spans="1:41" ht="204" x14ac:dyDescent="0.2">
      <c r="A123" s="22">
        <f t="shared" si="77"/>
        <v>3215</v>
      </c>
      <c r="B123" s="116">
        <v>1001094053215</v>
      </c>
      <c r="C123" s="48" t="s">
        <v>1331</v>
      </c>
      <c r="D123" s="81" t="s">
        <v>4</v>
      </c>
      <c r="E123" s="146" t="s">
        <v>373</v>
      </c>
      <c r="F123" s="112" t="s">
        <v>77</v>
      </c>
      <c r="G123" s="224" t="s">
        <v>6</v>
      </c>
      <c r="H123" s="58" t="s">
        <v>278</v>
      </c>
      <c r="I123" s="154" t="s">
        <v>386</v>
      </c>
      <c r="J123" s="150" t="s">
        <v>427</v>
      </c>
      <c r="K123" s="26" t="s">
        <v>1332</v>
      </c>
      <c r="L123" s="84">
        <v>10</v>
      </c>
      <c r="M123" s="85">
        <v>12</v>
      </c>
      <c r="N123" s="91">
        <v>2</v>
      </c>
      <c r="O123" s="86" t="s">
        <v>1228</v>
      </c>
      <c r="P123" s="113" t="s">
        <v>104</v>
      </c>
      <c r="Q123" s="49">
        <v>60</v>
      </c>
      <c r="R123" s="82" t="s">
        <v>44</v>
      </c>
      <c r="S123" s="243">
        <v>4607958072026</v>
      </c>
      <c r="T123" s="340">
        <v>14607958072023</v>
      </c>
      <c r="U123" s="46">
        <v>4607958072026</v>
      </c>
      <c r="V123" s="46">
        <v>14607958072023</v>
      </c>
      <c r="W123" s="158">
        <v>160</v>
      </c>
      <c r="X123" s="38">
        <v>67</v>
      </c>
      <c r="Y123" s="38">
        <v>67</v>
      </c>
      <c r="Z123" s="35">
        <v>0.4</v>
      </c>
      <c r="AA123" s="271">
        <v>2E-3</v>
      </c>
      <c r="AB123" s="36">
        <f t="shared" si="114"/>
        <v>0.40200000000000002</v>
      </c>
      <c r="AC123" s="59">
        <v>318</v>
      </c>
      <c r="AD123" s="60">
        <v>143</v>
      </c>
      <c r="AE123" s="60">
        <v>138</v>
      </c>
      <c r="AF123" s="190">
        <v>8</v>
      </c>
      <c r="AG123" s="117">
        <v>600000407</v>
      </c>
      <c r="AH123" s="103">
        <f>справочники!$C$106</f>
        <v>9.4E-2</v>
      </c>
      <c r="AI123" s="39">
        <f t="shared" si="119"/>
        <v>3.2</v>
      </c>
      <c r="AJ123" s="121">
        <f t="shared" si="120"/>
        <v>3.31</v>
      </c>
      <c r="AK123" s="37">
        <v>19</v>
      </c>
      <c r="AL123" s="38">
        <v>11</v>
      </c>
      <c r="AM123" s="40">
        <f t="shared" si="130"/>
        <v>209</v>
      </c>
      <c r="AN123" s="206">
        <f t="shared" si="110"/>
        <v>1672</v>
      </c>
      <c r="AO123" s="204">
        <f t="shared" si="99"/>
        <v>1663</v>
      </c>
    </row>
    <row r="124" spans="1:41" ht="204" x14ac:dyDescent="0.2">
      <c r="A124" s="22">
        <f t="shared" si="77"/>
        <v>3281</v>
      </c>
      <c r="B124" s="116">
        <v>1001094053281</v>
      </c>
      <c r="C124" s="48" t="s">
        <v>1435</v>
      </c>
      <c r="D124" s="81" t="s">
        <v>4</v>
      </c>
      <c r="E124" s="146" t="s">
        <v>373</v>
      </c>
      <c r="F124" s="112" t="s">
        <v>77</v>
      </c>
      <c r="G124" s="224" t="s">
        <v>6</v>
      </c>
      <c r="H124" s="58" t="s">
        <v>278</v>
      </c>
      <c r="I124" s="154" t="s">
        <v>386</v>
      </c>
      <c r="J124" s="150" t="s">
        <v>427</v>
      </c>
      <c r="K124" s="26" t="s">
        <v>1332</v>
      </c>
      <c r="L124" s="84">
        <v>10</v>
      </c>
      <c r="M124" s="85">
        <v>12</v>
      </c>
      <c r="N124" s="91">
        <v>2</v>
      </c>
      <c r="O124" s="86" t="s">
        <v>1228</v>
      </c>
      <c r="P124" s="113" t="s">
        <v>104</v>
      </c>
      <c r="Q124" s="49">
        <v>60</v>
      </c>
      <c r="R124" s="82" t="s">
        <v>44</v>
      </c>
      <c r="S124" s="243">
        <v>4607958072026</v>
      </c>
      <c r="T124" s="340">
        <v>14607958072023</v>
      </c>
      <c r="U124" s="46">
        <v>4607958072026</v>
      </c>
      <c r="V124" s="46">
        <v>14607958072023</v>
      </c>
      <c r="W124" s="158">
        <v>160</v>
      </c>
      <c r="X124" s="38">
        <v>67</v>
      </c>
      <c r="Y124" s="38">
        <v>67</v>
      </c>
      <c r="Z124" s="35">
        <v>0.4</v>
      </c>
      <c r="AA124" s="271">
        <v>2E-3</v>
      </c>
      <c r="AB124" s="36">
        <f t="shared" ref="AB124" si="135">Z124+AA124</f>
        <v>0.40200000000000002</v>
      </c>
      <c r="AC124" s="59">
        <v>318</v>
      </c>
      <c r="AD124" s="60">
        <v>143</v>
      </c>
      <c r="AE124" s="60">
        <v>138</v>
      </c>
      <c r="AF124" s="190">
        <v>8</v>
      </c>
      <c r="AG124" s="117">
        <v>600000407</v>
      </c>
      <c r="AH124" s="103">
        <f>справочники!$C$106</f>
        <v>9.4E-2</v>
      </c>
      <c r="AI124" s="39">
        <f t="shared" si="119"/>
        <v>3.2</v>
      </c>
      <c r="AJ124" s="121">
        <f t="shared" si="120"/>
        <v>3.31</v>
      </c>
      <c r="AK124" s="37">
        <v>19</v>
      </c>
      <c r="AL124" s="38">
        <v>11</v>
      </c>
      <c r="AM124" s="40">
        <f t="shared" ref="AM124" si="136">AK124*AL124</f>
        <v>209</v>
      </c>
      <c r="AN124" s="206">
        <f t="shared" ref="AN124" si="137">IF(D124="ШТ",кол_во_инд.__упак_к*итого_г_у,ROUNDDOWN(номин.вес_нетто_г_у__кг*итого_г_у,1))</f>
        <v>1672</v>
      </c>
      <c r="AO124" s="204">
        <f t="shared" si="99"/>
        <v>1663</v>
      </c>
    </row>
    <row r="125" spans="1:41" ht="204" x14ac:dyDescent="0.2">
      <c r="A125" s="22">
        <f t="shared" si="77"/>
        <v>7348</v>
      </c>
      <c r="B125" s="116">
        <v>1001094057348</v>
      </c>
      <c r="C125" s="48" t="s">
        <v>1330</v>
      </c>
      <c r="D125" s="81" t="s">
        <v>4</v>
      </c>
      <c r="E125" s="146" t="s">
        <v>373</v>
      </c>
      <c r="F125" s="112" t="s">
        <v>77</v>
      </c>
      <c r="G125" s="224" t="s">
        <v>6</v>
      </c>
      <c r="H125" s="58" t="s">
        <v>135</v>
      </c>
      <c r="I125" s="154" t="s">
        <v>386</v>
      </c>
      <c r="J125" s="150" t="s">
        <v>427</v>
      </c>
      <c r="K125" s="26" t="s">
        <v>1332</v>
      </c>
      <c r="L125" s="84">
        <v>10</v>
      </c>
      <c r="M125" s="85">
        <v>12</v>
      </c>
      <c r="N125" s="91">
        <v>2</v>
      </c>
      <c r="O125" s="86" t="s">
        <v>1228</v>
      </c>
      <c r="P125" s="113" t="s">
        <v>104</v>
      </c>
      <c r="Q125" s="49">
        <v>60</v>
      </c>
      <c r="R125" s="82" t="s">
        <v>44</v>
      </c>
      <c r="S125" s="243">
        <v>4607958072026</v>
      </c>
      <c r="T125" s="340">
        <v>24607958072020</v>
      </c>
      <c r="U125" s="46">
        <v>4607958072026</v>
      </c>
      <c r="V125" s="46">
        <v>24607958072020</v>
      </c>
      <c r="W125" s="93">
        <v>145</v>
      </c>
      <c r="X125" s="60">
        <v>70</v>
      </c>
      <c r="Y125" s="60">
        <v>55</v>
      </c>
      <c r="Z125" s="35">
        <v>0.4</v>
      </c>
      <c r="AA125" s="271">
        <v>2E-3</v>
      </c>
      <c r="AB125" s="36">
        <f t="shared" ref="AB125" si="138">Z125+AA125</f>
        <v>0.40200000000000002</v>
      </c>
      <c r="AC125" s="59">
        <v>348</v>
      </c>
      <c r="AD125" s="68">
        <v>153</v>
      </c>
      <c r="AE125" s="60">
        <v>108</v>
      </c>
      <c r="AF125" s="191">
        <v>6</v>
      </c>
      <c r="AG125" s="117">
        <v>600000033</v>
      </c>
      <c r="AH125" s="103">
        <f>справочники!$C$25</f>
        <v>0.104</v>
      </c>
      <c r="AI125" s="39">
        <f t="shared" si="119"/>
        <v>2.4</v>
      </c>
      <c r="AJ125" s="121">
        <f t="shared" si="120"/>
        <v>2.516</v>
      </c>
      <c r="AK125" s="37">
        <v>16</v>
      </c>
      <c r="AL125" s="38">
        <v>14</v>
      </c>
      <c r="AM125" s="40">
        <f t="shared" ref="AM125" si="139">AK125*AL125</f>
        <v>224</v>
      </c>
      <c r="AN125" s="206">
        <f t="shared" ref="AN125" si="140">IF(D125="ШТ",кол_во_инд.__упак_к*итого_г_у,ROUNDDOWN(номин.вес_нетто_г_у__кг*итого_г_у,1))</f>
        <v>1344</v>
      </c>
      <c r="AO125" s="204">
        <f t="shared" si="99"/>
        <v>1657</v>
      </c>
    </row>
    <row r="126" spans="1:41" ht="191.25" x14ac:dyDescent="0.2">
      <c r="A126" s="22">
        <f t="shared" si="77"/>
        <v>4584</v>
      </c>
      <c r="B126" s="116">
        <v>1001092674584</v>
      </c>
      <c r="C126" s="48" t="s">
        <v>133</v>
      </c>
      <c r="D126" s="49" t="s">
        <v>3</v>
      </c>
      <c r="E126" s="146" t="s">
        <v>373</v>
      </c>
      <c r="F126" s="112" t="s">
        <v>77</v>
      </c>
      <c r="G126" s="224" t="s">
        <v>6</v>
      </c>
      <c r="H126" s="58" t="s">
        <v>1549</v>
      </c>
      <c r="I126" s="154" t="s">
        <v>2090</v>
      </c>
      <c r="J126" s="151" t="s">
        <v>2103</v>
      </c>
      <c r="K126" s="51" t="s">
        <v>2104</v>
      </c>
      <c r="L126" s="52">
        <v>10</v>
      </c>
      <c r="M126" s="53">
        <v>10</v>
      </c>
      <c r="N126" s="54">
        <v>4</v>
      </c>
      <c r="O126" s="54" t="s">
        <v>1468</v>
      </c>
      <c r="P126" s="113" t="s">
        <v>104</v>
      </c>
      <c r="Q126" s="49">
        <v>60</v>
      </c>
      <c r="R126" s="56" t="s">
        <v>44</v>
      </c>
      <c r="S126" s="243">
        <v>2419717000001</v>
      </c>
      <c r="T126" s="340">
        <v>12419717000008</v>
      </c>
      <c r="U126" s="46">
        <v>4630362181398</v>
      </c>
      <c r="V126" s="46">
        <v>14630362181395</v>
      </c>
      <c r="W126" s="93">
        <v>280</v>
      </c>
      <c r="X126" s="60">
        <v>120</v>
      </c>
      <c r="Y126" s="60">
        <v>120</v>
      </c>
      <c r="Z126" s="65">
        <v>2.5</v>
      </c>
      <c r="AA126" s="271">
        <v>2E-3</v>
      </c>
      <c r="AB126" s="66">
        <f t="shared" si="114"/>
        <v>2.5019999999999998</v>
      </c>
      <c r="AC126" s="67">
        <v>388</v>
      </c>
      <c r="AD126" s="68">
        <v>292</v>
      </c>
      <c r="AE126" s="68">
        <v>148</v>
      </c>
      <c r="AF126" s="191">
        <v>3</v>
      </c>
      <c r="AG126" s="117">
        <v>600000021</v>
      </c>
      <c r="AH126" s="105">
        <f>справочники!$C$13</f>
        <v>0.26800000000000002</v>
      </c>
      <c r="AI126" s="62">
        <f t="shared" si="119"/>
        <v>7.5</v>
      </c>
      <c r="AJ126" s="122">
        <f t="shared" ref="AJ126:AJ157" si="141">(номин.вес_брутто__кг*кол_во_инд.__упак_к)+вес_короба__кг</f>
        <v>7.7739999999999991</v>
      </c>
      <c r="AK126" s="37">
        <v>8</v>
      </c>
      <c r="AL126" s="38">
        <v>10</v>
      </c>
      <c r="AM126" s="40">
        <f t="shared" si="130"/>
        <v>80</v>
      </c>
      <c r="AN126" s="214">
        <f t="shared" si="110"/>
        <v>600</v>
      </c>
      <c r="AO126" s="204">
        <f t="shared" si="99"/>
        <v>1625</v>
      </c>
    </row>
    <row r="127" spans="1:41" ht="191.25" x14ac:dyDescent="0.2">
      <c r="A127" s="22">
        <f t="shared" si="77"/>
        <v>5902</v>
      </c>
      <c r="B127" s="116">
        <v>1001092675902</v>
      </c>
      <c r="C127" s="48" t="s">
        <v>265</v>
      </c>
      <c r="D127" s="49" t="s">
        <v>3</v>
      </c>
      <c r="E127" s="146" t="s">
        <v>373</v>
      </c>
      <c r="F127" s="112" t="s">
        <v>77</v>
      </c>
      <c r="G127" s="224" t="s">
        <v>6</v>
      </c>
      <c r="H127" s="58" t="s">
        <v>1549</v>
      </c>
      <c r="I127" s="154" t="s">
        <v>2090</v>
      </c>
      <c r="J127" s="151" t="s">
        <v>2103</v>
      </c>
      <c r="K127" s="51" t="s">
        <v>2104</v>
      </c>
      <c r="L127" s="52">
        <v>10</v>
      </c>
      <c r="M127" s="53">
        <v>10</v>
      </c>
      <c r="N127" s="54">
        <v>4</v>
      </c>
      <c r="O127" s="54" t="s">
        <v>1468</v>
      </c>
      <c r="P127" s="113" t="s">
        <v>104</v>
      </c>
      <c r="Q127" s="49">
        <v>60</v>
      </c>
      <c r="R127" s="56" t="s">
        <v>44</v>
      </c>
      <c r="S127" s="243">
        <v>2908220000009</v>
      </c>
      <c r="T127" s="340">
        <v>12908220000006</v>
      </c>
      <c r="U127" s="46">
        <v>4630362181398</v>
      </c>
      <c r="V127" s="46">
        <v>14630362181395</v>
      </c>
      <c r="W127" s="93">
        <v>280</v>
      </c>
      <c r="X127" s="60">
        <v>120</v>
      </c>
      <c r="Y127" s="60">
        <v>120</v>
      </c>
      <c r="Z127" s="65">
        <v>2.5</v>
      </c>
      <c r="AA127" s="271">
        <v>2E-3</v>
      </c>
      <c r="AB127" s="66">
        <f t="shared" si="114"/>
        <v>2.5019999999999998</v>
      </c>
      <c r="AC127" s="67">
        <v>388</v>
      </c>
      <c r="AD127" s="68">
        <v>292</v>
      </c>
      <c r="AE127" s="68">
        <v>148</v>
      </c>
      <c r="AF127" s="191">
        <v>3</v>
      </c>
      <c r="AG127" s="117">
        <v>600000021</v>
      </c>
      <c r="AH127" s="105">
        <f>справочники!$C$13</f>
        <v>0.26800000000000002</v>
      </c>
      <c r="AI127" s="62">
        <f t="shared" si="119"/>
        <v>7.5</v>
      </c>
      <c r="AJ127" s="122">
        <f t="shared" si="141"/>
        <v>7.7739999999999991</v>
      </c>
      <c r="AK127" s="37">
        <v>8</v>
      </c>
      <c r="AL127" s="38">
        <v>10</v>
      </c>
      <c r="AM127" s="40">
        <f t="shared" si="130"/>
        <v>80</v>
      </c>
      <c r="AN127" s="214">
        <f t="shared" si="110"/>
        <v>600</v>
      </c>
      <c r="AO127" s="204">
        <f t="shared" si="99"/>
        <v>1625</v>
      </c>
    </row>
    <row r="128" spans="1:41" ht="191.25" x14ac:dyDescent="0.2">
      <c r="A128" s="22">
        <f t="shared" si="77"/>
        <v>5945</v>
      </c>
      <c r="B128" s="116">
        <v>1001092675945</v>
      </c>
      <c r="C128" s="48" t="s">
        <v>787</v>
      </c>
      <c r="D128" s="49" t="s">
        <v>3</v>
      </c>
      <c r="E128" s="146" t="s">
        <v>373</v>
      </c>
      <c r="F128" s="112" t="s">
        <v>77</v>
      </c>
      <c r="G128" s="224" t="s">
        <v>6</v>
      </c>
      <c r="H128" s="58" t="s">
        <v>1549</v>
      </c>
      <c r="I128" s="154" t="s">
        <v>2090</v>
      </c>
      <c r="J128" s="151" t="s">
        <v>2103</v>
      </c>
      <c r="K128" s="51" t="s">
        <v>2104</v>
      </c>
      <c r="L128" s="52">
        <v>10</v>
      </c>
      <c r="M128" s="53">
        <v>10</v>
      </c>
      <c r="N128" s="54">
        <v>4</v>
      </c>
      <c r="O128" s="54" t="s">
        <v>1468</v>
      </c>
      <c r="P128" s="113" t="s">
        <v>104</v>
      </c>
      <c r="Q128" s="49">
        <v>60</v>
      </c>
      <c r="R128" s="56" t="s">
        <v>44</v>
      </c>
      <c r="S128" s="243">
        <v>2419717000001</v>
      </c>
      <c r="T128" s="340">
        <v>12419717000008</v>
      </c>
      <c r="U128" s="46" t="s">
        <v>1874</v>
      </c>
      <c r="V128" s="46" t="s">
        <v>1874</v>
      </c>
      <c r="W128" s="93">
        <v>280</v>
      </c>
      <c r="X128" s="60">
        <v>120</v>
      </c>
      <c r="Y128" s="60">
        <v>120</v>
      </c>
      <c r="Z128" s="65">
        <v>2.5</v>
      </c>
      <c r="AA128" s="271">
        <v>2E-3</v>
      </c>
      <c r="AB128" s="66">
        <f>Z128+AA128</f>
        <v>2.5019999999999998</v>
      </c>
      <c r="AC128" s="67">
        <v>388</v>
      </c>
      <c r="AD128" s="68">
        <v>292</v>
      </c>
      <c r="AE128" s="68">
        <v>148</v>
      </c>
      <c r="AF128" s="191">
        <v>3</v>
      </c>
      <c r="AG128" s="117">
        <v>600000021</v>
      </c>
      <c r="AH128" s="105">
        <f>справочники!$C$13</f>
        <v>0.26800000000000002</v>
      </c>
      <c r="AI128" s="62">
        <f t="shared" si="119"/>
        <v>7.5</v>
      </c>
      <c r="AJ128" s="122">
        <f t="shared" si="141"/>
        <v>7.7739999999999991</v>
      </c>
      <c r="AK128" s="37">
        <v>8</v>
      </c>
      <c r="AL128" s="38">
        <v>10</v>
      </c>
      <c r="AM128" s="40">
        <f t="shared" si="130"/>
        <v>80</v>
      </c>
      <c r="AN128" s="214">
        <f>IF(D128="ШТ",кол_во_инд.__упак_к*итого_г_у,ROUNDDOWN(номин.вес_нетто_г_у__кг*итого_г_у,1))</f>
        <v>600</v>
      </c>
      <c r="AO128" s="204">
        <f t="shared" si="99"/>
        <v>1625</v>
      </c>
    </row>
    <row r="129" spans="1:41" ht="191.25" x14ac:dyDescent="0.2">
      <c r="A129" s="22">
        <f t="shared" si="77"/>
        <v>7543</v>
      </c>
      <c r="B129" s="116">
        <v>1001092677543</v>
      </c>
      <c r="C129" s="48" t="s">
        <v>1692</v>
      </c>
      <c r="D129" s="49" t="s">
        <v>3</v>
      </c>
      <c r="E129" s="146" t="s">
        <v>373</v>
      </c>
      <c r="F129" s="112" t="s">
        <v>77</v>
      </c>
      <c r="G129" s="224" t="s">
        <v>6</v>
      </c>
      <c r="H129" s="49" t="s">
        <v>135</v>
      </c>
      <c r="I129" s="154" t="s">
        <v>2090</v>
      </c>
      <c r="J129" s="151" t="s">
        <v>2103</v>
      </c>
      <c r="K129" s="51" t="s">
        <v>2104</v>
      </c>
      <c r="L129" s="52">
        <v>10</v>
      </c>
      <c r="M129" s="53">
        <v>10</v>
      </c>
      <c r="N129" s="54">
        <v>4</v>
      </c>
      <c r="O129" s="54" t="s">
        <v>1468</v>
      </c>
      <c r="P129" s="113" t="s">
        <v>104</v>
      </c>
      <c r="Q129" s="49">
        <v>60</v>
      </c>
      <c r="R129" s="56" t="s">
        <v>44</v>
      </c>
      <c r="S129" s="243">
        <v>2800705000002</v>
      </c>
      <c r="T129" s="340">
        <v>12800705000009</v>
      </c>
      <c r="U129" s="46">
        <v>4630362181398</v>
      </c>
      <c r="V129" s="46">
        <v>24630362181392</v>
      </c>
      <c r="W129" s="93">
        <v>290</v>
      </c>
      <c r="X129" s="60">
        <v>100</v>
      </c>
      <c r="Y129" s="60">
        <v>100</v>
      </c>
      <c r="Z129" s="65">
        <v>3</v>
      </c>
      <c r="AA129" s="271">
        <v>2E-3</v>
      </c>
      <c r="AB129" s="66">
        <f t="shared" ref="AB129" si="142">Z129+AA129</f>
        <v>3.0019999999999998</v>
      </c>
      <c r="AC129" s="59">
        <v>293</v>
      </c>
      <c r="AD129" s="60">
        <v>153</v>
      </c>
      <c r="AE129" s="60">
        <v>224</v>
      </c>
      <c r="AF129" s="190">
        <v>2</v>
      </c>
      <c r="AG129" s="117">
        <v>600000400</v>
      </c>
      <c r="AH129" s="105">
        <f>справочники!$C$95</f>
        <v>0.13500000000000001</v>
      </c>
      <c r="AI129" s="62">
        <f t="shared" si="119"/>
        <v>6</v>
      </c>
      <c r="AJ129" s="122">
        <f t="shared" si="141"/>
        <v>6.1389999999999993</v>
      </c>
      <c r="AK129" s="37">
        <v>20</v>
      </c>
      <c r="AL129" s="38">
        <v>5</v>
      </c>
      <c r="AM129" s="40">
        <f t="shared" ref="AM129" si="143">AK129*AL129</f>
        <v>100</v>
      </c>
      <c r="AN129" s="214">
        <f t="shared" ref="AN129" si="144">IF(D129="ШТ",кол_во_инд.__упак_к*итого_г_у,ROUNDDOWN(номин.вес_нетто_г_у__кг*итого_г_у,1))</f>
        <v>600</v>
      </c>
      <c r="AO129" s="204">
        <f t="shared" si="99"/>
        <v>1265</v>
      </c>
    </row>
    <row r="130" spans="1:41" ht="204" x14ac:dyDescent="0.2">
      <c r="A130" s="22">
        <f t="shared" si="77"/>
        <v>7266</v>
      </c>
      <c r="B130" s="116">
        <v>1001096667266</v>
      </c>
      <c r="C130" s="48" t="s">
        <v>1536</v>
      </c>
      <c r="D130" s="23" t="s">
        <v>4</v>
      </c>
      <c r="E130" s="146" t="s">
        <v>373</v>
      </c>
      <c r="F130" s="112" t="s">
        <v>77</v>
      </c>
      <c r="G130" s="146" t="s">
        <v>6</v>
      </c>
      <c r="H130" s="24" t="s">
        <v>278</v>
      </c>
      <c r="I130" s="154" t="s">
        <v>386</v>
      </c>
      <c r="J130" s="151" t="s">
        <v>427</v>
      </c>
      <c r="K130" s="26" t="s">
        <v>1227</v>
      </c>
      <c r="L130" s="84">
        <v>10</v>
      </c>
      <c r="M130" s="85">
        <v>12</v>
      </c>
      <c r="N130" s="91">
        <v>2</v>
      </c>
      <c r="O130" s="86" t="s">
        <v>1228</v>
      </c>
      <c r="P130" s="113" t="s">
        <v>104</v>
      </c>
      <c r="Q130" s="49">
        <v>60</v>
      </c>
      <c r="R130" s="56" t="s">
        <v>44</v>
      </c>
      <c r="S130" s="243">
        <v>4607958079483</v>
      </c>
      <c r="T130" s="340">
        <v>14607958079480</v>
      </c>
      <c r="U130" s="46">
        <v>4607958079483</v>
      </c>
      <c r="V130" s="46">
        <v>14607958079480</v>
      </c>
      <c r="W130" s="93">
        <v>170</v>
      </c>
      <c r="X130" s="60">
        <v>59</v>
      </c>
      <c r="Y130" s="60">
        <v>59</v>
      </c>
      <c r="Z130" s="65">
        <v>0.35</v>
      </c>
      <c r="AA130" s="271">
        <v>2E-3</v>
      </c>
      <c r="AB130" s="66">
        <f>Z130+AA130</f>
        <v>0.35199999999999998</v>
      </c>
      <c r="AC130" s="67">
        <v>200</v>
      </c>
      <c r="AD130" s="68">
        <v>150</v>
      </c>
      <c r="AE130" s="68">
        <v>156</v>
      </c>
      <c r="AF130" s="191">
        <v>6</v>
      </c>
      <c r="AG130" s="117">
        <v>600000424</v>
      </c>
      <c r="AH130" s="105">
        <f>справочники!$C$107</f>
        <v>7.3999999999999996E-2</v>
      </c>
      <c r="AI130" s="62">
        <f t="shared" si="119"/>
        <v>2.1</v>
      </c>
      <c r="AJ130" s="122">
        <f t="shared" si="141"/>
        <v>2.1859999999999999</v>
      </c>
      <c r="AK130" s="37">
        <v>30</v>
      </c>
      <c r="AL130" s="38">
        <v>10</v>
      </c>
      <c r="AM130" s="40">
        <f t="shared" si="130"/>
        <v>300</v>
      </c>
      <c r="AN130" s="206">
        <f>IF(D130="ШТ",кол_во_инд.__упак_к*итого_г_у,ROUNDDOWN(номин.вес_нетто_г_у__кг*итого_г_у,1))</f>
        <v>1800</v>
      </c>
      <c r="AO130" s="204">
        <f t="shared" si="99"/>
        <v>1705</v>
      </c>
    </row>
    <row r="131" spans="1:41" ht="103.5" customHeight="1" x14ac:dyDescent="0.2">
      <c r="A131" s="22">
        <f t="shared" si="77"/>
        <v>7245</v>
      </c>
      <c r="B131" s="116">
        <v>1001092687245</v>
      </c>
      <c r="C131" s="48" t="s">
        <v>1197</v>
      </c>
      <c r="D131" s="81" t="s">
        <v>4</v>
      </c>
      <c r="E131" s="146" t="s">
        <v>373</v>
      </c>
      <c r="F131" s="112" t="s">
        <v>77</v>
      </c>
      <c r="G131" s="224" t="s">
        <v>6</v>
      </c>
      <c r="H131" s="49" t="s">
        <v>135</v>
      </c>
      <c r="I131" s="154" t="s">
        <v>1988</v>
      </c>
      <c r="J131" s="151" t="s">
        <v>1471</v>
      </c>
      <c r="K131" s="26" t="s">
        <v>2102</v>
      </c>
      <c r="L131" s="84">
        <v>10</v>
      </c>
      <c r="M131" s="85">
        <v>5</v>
      </c>
      <c r="N131" s="91">
        <v>4</v>
      </c>
      <c r="O131" s="86" t="s">
        <v>1591</v>
      </c>
      <c r="P131" s="113" t="s">
        <v>104</v>
      </c>
      <c r="Q131" s="49">
        <v>60</v>
      </c>
      <c r="R131" s="82" t="s">
        <v>44</v>
      </c>
      <c r="S131" s="243">
        <v>4607958079384</v>
      </c>
      <c r="T131" s="340">
        <v>14607958079381</v>
      </c>
      <c r="U131" s="46">
        <v>4607958079384</v>
      </c>
      <c r="V131" s="46">
        <v>14607958079381</v>
      </c>
      <c r="W131" s="158">
        <v>160</v>
      </c>
      <c r="X131" s="38">
        <v>67</v>
      </c>
      <c r="Y131" s="38">
        <v>67</v>
      </c>
      <c r="Z131" s="35">
        <v>0.4</v>
      </c>
      <c r="AA131" s="271">
        <v>2E-3</v>
      </c>
      <c r="AB131" s="36">
        <f t="shared" ref="AB131" si="145">Z131+AA131</f>
        <v>0.40200000000000002</v>
      </c>
      <c r="AC131" s="59">
        <v>318</v>
      </c>
      <c r="AD131" s="60">
        <v>143</v>
      </c>
      <c r="AE131" s="60">
        <v>138</v>
      </c>
      <c r="AF131" s="190">
        <v>8</v>
      </c>
      <c r="AG131" s="117">
        <v>600000407</v>
      </c>
      <c r="AH131" s="103">
        <f>справочники!$C$106</f>
        <v>9.4E-2</v>
      </c>
      <c r="AI131" s="39">
        <f t="shared" si="119"/>
        <v>3.2</v>
      </c>
      <c r="AJ131" s="121">
        <f t="shared" si="141"/>
        <v>3.31</v>
      </c>
      <c r="AK131" s="37">
        <v>19</v>
      </c>
      <c r="AL131" s="38">
        <v>11</v>
      </c>
      <c r="AM131" s="40">
        <f t="shared" ref="AM131" si="146">AK131*AL131</f>
        <v>209</v>
      </c>
      <c r="AN131" s="206">
        <f t="shared" ref="AN131" si="147">IF(D131="ШТ",кол_во_инд.__упак_к*итого_г_у,ROUNDDOWN(номин.вес_нетто_г_у__кг*итого_г_у,1))</f>
        <v>1672</v>
      </c>
      <c r="AO131" s="204">
        <f t="shared" si="99"/>
        <v>1663</v>
      </c>
    </row>
    <row r="132" spans="1:41" ht="103.5" customHeight="1" x14ac:dyDescent="0.2">
      <c r="A132" s="22">
        <f t="shared" ref="A132:A195" si="148">VALUE(RIGHT(B132,4))</f>
        <v>6025</v>
      </c>
      <c r="B132" s="116">
        <v>1001094966025</v>
      </c>
      <c r="C132" s="48" t="s">
        <v>293</v>
      </c>
      <c r="D132" s="49" t="s">
        <v>3</v>
      </c>
      <c r="E132" s="146" t="s">
        <v>373</v>
      </c>
      <c r="F132" s="112" t="s">
        <v>77</v>
      </c>
      <c r="G132" s="224" t="s">
        <v>6</v>
      </c>
      <c r="H132" s="49" t="s">
        <v>135</v>
      </c>
      <c r="I132" s="154" t="s">
        <v>1988</v>
      </c>
      <c r="J132" s="151" t="s">
        <v>1471</v>
      </c>
      <c r="K132" s="51" t="s">
        <v>2102</v>
      </c>
      <c r="L132" s="52">
        <v>10</v>
      </c>
      <c r="M132" s="53">
        <v>5</v>
      </c>
      <c r="N132" s="54">
        <v>4</v>
      </c>
      <c r="O132" s="54" t="s">
        <v>1591</v>
      </c>
      <c r="P132" s="113" t="s">
        <v>104</v>
      </c>
      <c r="Q132" s="49">
        <v>60</v>
      </c>
      <c r="R132" s="56" t="s">
        <v>44</v>
      </c>
      <c r="S132" s="243">
        <v>2450847000004</v>
      </c>
      <c r="T132" s="340">
        <v>12450847000001</v>
      </c>
      <c r="U132" s="46">
        <v>4630362181121</v>
      </c>
      <c r="V132" s="46">
        <v>14630362181128</v>
      </c>
      <c r="W132" s="93">
        <v>290</v>
      </c>
      <c r="X132" s="60">
        <v>100</v>
      </c>
      <c r="Y132" s="60">
        <v>100</v>
      </c>
      <c r="Z132" s="65">
        <v>3</v>
      </c>
      <c r="AA132" s="271">
        <v>2E-3</v>
      </c>
      <c r="AB132" s="66">
        <f t="shared" si="114"/>
        <v>3.0019999999999998</v>
      </c>
      <c r="AC132" s="59">
        <v>293</v>
      </c>
      <c r="AD132" s="60">
        <v>153</v>
      </c>
      <c r="AE132" s="60">
        <v>224</v>
      </c>
      <c r="AF132" s="190">
        <v>2</v>
      </c>
      <c r="AG132" s="117">
        <v>600000400</v>
      </c>
      <c r="AH132" s="166">
        <f>справочники!$C$95</f>
        <v>0.13500000000000001</v>
      </c>
      <c r="AI132" s="168">
        <f t="shared" si="119"/>
        <v>6</v>
      </c>
      <c r="AJ132" s="121">
        <f t="shared" si="141"/>
        <v>6.1389999999999993</v>
      </c>
      <c r="AK132" s="37">
        <v>20</v>
      </c>
      <c r="AL132" s="38">
        <v>5</v>
      </c>
      <c r="AM132" s="40">
        <f t="shared" si="130"/>
        <v>100</v>
      </c>
      <c r="AN132" s="214">
        <f t="shared" si="110"/>
        <v>600</v>
      </c>
      <c r="AO132" s="204">
        <f t="shared" si="99"/>
        <v>1265</v>
      </c>
    </row>
    <row r="133" spans="1:41" ht="102.75" customHeight="1" x14ac:dyDescent="0.2">
      <c r="A133" s="22">
        <f t="shared" si="148"/>
        <v>6848</v>
      </c>
      <c r="B133" s="116">
        <v>1001094966848</v>
      </c>
      <c r="C133" s="48" t="s">
        <v>832</v>
      </c>
      <c r="D133" s="49" t="s">
        <v>3</v>
      </c>
      <c r="E133" s="146" t="s">
        <v>373</v>
      </c>
      <c r="F133" s="112" t="s">
        <v>77</v>
      </c>
      <c r="G133" s="224" t="s">
        <v>6</v>
      </c>
      <c r="H133" s="49" t="s">
        <v>135</v>
      </c>
      <c r="I133" s="154" t="s">
        <v>1988</v>
      </c>
      <c r="J133" s="151" t="s">
        <v>1471</v>
      </c>
      <c r="K133" s="51" t="s">
        <v>2102</v>
      </c>
      <c r="L133" s="52">
        <v>10</v>
      </c>
      <c r="M133" s="53">
        <v>5</v>
      </c>
      <c r="N133" s="54">
        <v>4</v>
      </c>
      <c r="O133" s="54" t="s">
        <v>1591</v>
      </c>
      <c r="P133" s="113" t="s">
        <v>104</v>
      </c>
      <c r="Q133" s="49">
        <v>60</v>
      </c>
      <c r="R133" s="56" t="s">
        <v>44</v>
      </c>
      <c r="S133" s="243">
        <v>2317603000008</v>
      </c>
      <c r="T133" s="340">
        <v>12317603000005</v>
      </c>
      <c r="U133" s="46">
        <v>4630362181121</v>
      </c>
      <c r="V133" s="46">
        <v>14630362181128</v>
      </c>
      <c r="W133" s="93">
        <v>268</v>
      </c>
      <c r="X133" s="60">
        <v>95</v>
      </c>
      <c r="Y133" s="60">
        <v>60</v>
      </c>
      <c r="Z133" s="65">
        <v>1.5</v>
      </c>
      <c r="AA133" s="271">
        <v>2E-3</v>
      </c>
      <c r="AB133" s="66">
        <f>Z133+AA133</f>
        <v>1.502</v>
      </c>
      <c r="AC133" s="67">
        <v>292</v>
      </c>
      <c r="AD133" s="68">
        <v>178</v>
      </c>
      <c r="AE133" s="68">
        <v>178</v>
      </c>
      <c r="AF133" s="190">
        <v>4</v>
      </c>
      <c r="AG133" s="117">
        <v>600000029</v>
      </c>
      <c r="AH133" s="166">
        <f>справочники!$C$21</f>
        <v>0.125</v>
      </c>
      <c r="AI133" s="168">
        <f t="shared" si="119"/>
        <v>6</v>
      </c>
      <c r="AJ133" s="121">
        <f t="shared" si="141"/>
        <v>6.133</v>
      </c>
      <c r="AK133" s="37">
        <v>16</v>
      </c>
      <c r="AL133" s="38">
        <v>8</v>
      </c>
      <c r="AM133" s="40">
        <f t="shared" si="130"/>
        <v>128</v>
      </c>
      <c r="AN133" s="214">
        <f t="shared" ref="AN133:AN138" si="149">IF(D133="ШТ",кол_во_инд.__упак_к*итого_г_у,ROUNDDOWN(номин.вес_нетто_г_у__кг*итого_г_у,1))</f>
        <v>768</v>
      </c>
      <c r="AO133" s="204">
        <f t="shared" si="99"/>
        <v>1569</v>
      </c>
    </row>
    <row r="134" spans="1:41" s="22" customFormat="1" ht="204" x14ac:dyDescent="0.2">
      <c r="A134" s="22">
        <f t="shared" si="148"/>
        <v>7329</v>
      </c>
      <c r="B134" s="116">
        <v>1001096687329</v>
      </c>
      <c r="C134" s="25" t="s">
        <v>1298</v>
      </c>
      <c r="D134" s="23" t="s">
        <v>4</v>
      </c>
      <c r="E134" s="146" t="s">
        <v>373</v>
      </c>
      <c r="F134" s="112" t="s">
        <v>77</v>
      </c>
      <c r="G134" s="146" t="s">
        <v>6</v>
      </c>
      <c r="H134" s="49" t="s">
        <v>135</v>
      </c>
      <c r="I134" s="153" t="s">
        <v>386</v>
      </c>
      <c r="J134" s="151" t="s">
        <v>427</v>
      </c>
      <c r="K134" s="26" t="s">
        <v>1227</v>
      </c>
      <c r="L134" s="84">
        <v>10</v>
      </c>
      <c r="M134" s="85">
        <v>12</v>
      </c>
      <c r="N134" s="91">
        <v>2</v>
      </c>
      <c r="O134" s="86" t="s">
        <v>1228</v>
      </c>
      <c r="P134" s="31" t="s">
        <v>104</v>
      </c>
      <c r="Q134" s="31">
        <v>60</v>
      </c>
      <c r="R134" s="82" t="s">
        <v>44</v>
      </c>
      <c r="S134" s="233">
        <v>4607958079704</v>
      </c>
      <c r="T134" s="334">
        <v>14607958079701</v>
      </c>
      <c r="U134" s="46">
        <v>4607958079704</v>
      </c>
      <c r="V134" s="46">
        <v>14607958079701</v>
      </c>
      <c r="W134" s="157">
        <v>145</v>
      </c>
      <c r="X134" s="34">
        <v>95</v>
      </c>
      <c r="Y134" s="34">
        <v>70</v>
      </c>
      <c r="Z134" s="35">
        <v>0.75</v>
      </c>
      <c r="AA134" s="271">
        <v>2E-3</v>
      </c>
      <c r="AB134" s="36">
        <f t="shared" ref="AB134" si="150">Z134+AA134</f>
        <v>0.752</v>
      </c>
      <c r="AC134" s="59">
        <v>318</v>
      </c>
      <c r="AD134" s="60">
        <v>143</v>
      </c>
      <c r="AE134" s="60">
        <v>138</v>
      </c>
      <c r="AF134" s="192">
        <v>6</v>
      </c>
      <c r="AG134" s="117">
        <v>600000407</v>
      </c>
      <c r="AH134" s="104">
        <f>справочники!$C$106</f>
        <v>9.4E-2</v>
      </c>
      <c r="AI134" s="39">
        <f t="shared" si="119"/>
        <v>4.5</v>
      </c>
      <c r="AJ134" s="121">
        <f t="shared" si="141"/>
        <v>4.6060000000000008</v>
      </c>
      <c r="AK134" s="37">
        <v>19</v>
      </c>
      <c r="AL134" s="38">
        <v>7</v>
      </c>
      <c r="AM134" s="40">
        <f t="shared" si="130"/>
        <v>133</v>
      </c>
      <c r="AN134" s="206">
        <f t="shared" ref="AN134" si="151">IF(D134="ШТ",кол_во_инд.__упак_к*итого_г_у,ROUNDDOWN(номин.вес_нетто_г_у__кг*итого_г_у,1))</f>
        <v>798</v>
      </c>
      <c r="AO134" s="204">
        <f t="shared" si="99"/>
        <v>1111</v>
      </c>
    </row>
    <row r="135" spans="1:41" s="22" customFormat="1" ht="191.25" x14ac:dyDescent="0.2">
      <c r="A135" s="22">
        <f t="shared" si="148"/>
        <v>7574</v>
      </c>
      <c r="B135" s="116">
        <v>1001096687574</v>
      </c>
      <c r="C135" s="25" t="s">
        <v>1711</v>
      </c>
      <c r="D135" s="23" t="s">
        <v>4</v>
      </c>
      <c r="E135" s="146" t="s">
        <v>373</v>
      </c>
      <c r="F135" s="112" t="s">
        <v>77</v>
      </c>
      <c r="G135" s="146" t="s">
        <v>6</v>
      </c>
      <c r="H135" s="49" t="s">
        <v>135</v>
      </c>
      <c r="I135" s="153" t="s">
        <v>2090</v>
      </c>
      <c r="J135" s="151" t="s">
        <v>2103</v>
      </c>
      <c r="K135" s="26" t="s">
        <v>2104</v>
      </c>
      <c r="L135" s="84">
        <v>10</v>
      </c>
      <c r="M135" s="85">
        <v>10</v>
      </c>
      <c r="N135" s="91">
        <v>4</v>
      </c>
      <c r="O135" s="86" t="s">
        <v>1468</v>
      </c>
      <c r="P135" s="31" t="s">
        <v>104</v>
      </c>
      <c r="Q135" s="31">
        <v>60</v>
      </c>
      <c r="R135" s="82" t="s">
        <v>44</v>
      </c>
      <c r="S135" s="233">
        <v>4607958079704</v>
      </c>
      <c r="T135" s="334">
        <v>24607958079708</v>
      </c>
      <c r="U135" s="46">
        <v>4607958079704</v>
      </c>
      <c r="V135" s="46">
        <v>24607958079708</v>
      </c>
      <c r="W135" s="157">
        <v>145</v>
      </c>
      <c r="X135" s="34">
        <v>95</v>
      </c>
      <c r="Y135" s="34">
        <v>70</v>
      </c>
      <c r="Z135" s="35">
        <v>0.75</v>
      </c>
      <c r="AA135" s="271">
        <v>2E-3</v>
      </c>
      <c r="AB135" s="36">
        <f t="shared" ref="AB135" si="152">Z135+AA135</f>
        <v>0.752</v>
      </c>
      <c r="AC135" s="59">
        <v>293</v>
      </c>
      <c r="AD135" s="60">
        <v>394</v>
      </c>
      <c r="AE135" s="60">
        <v>103</v>
      </c>
      <c r="AF135" s="192">
        <v>12</v>
      </c>
      <c r="AG135" s="117">
        <v>600000606</v>
      </c>
      <c r="AH135" s="104">
        <f>справочники!$C$194</f>
        <v>0.2</v>
      </c>
      <c r="AI135" s="39">
        <f t="shared" si="119"/>
        <v>9</v>
      </c>
      <c r="AJ135" s="121">
        <f t="shared" si="141"/>
        <v>9.2240000000000002</v>
      </c>
      <c r="AK135" s="37">
        <v>8</v>
      </c>
      <c r="AL135" s="38">
        <v>11</v>
      </c>
      <c r="AM135" s="40">
        <f t="shared" ref="AM135" si="153">AK135*AL135</f>
        <v>88</v>
      </c>
      <c r="AN135" s="206">
        <f t="shared" ref="AN135" si="154">IF(D135="ШТ",кол_во_инд.__упак_к*итого_г_у,ROUNDDOWN(номин.вес_нетто_г_у__кг*итого_г_у,1))</f>
        <v>1056</v>
      </c>
      <c r="AO135" s="204">
        <f t="shared" si="99"/>
        <v>1278</v>
      </c>
    </row>
    <row r="136" spans="1:41" s="22" customFormat="1" ht="191.25" x14ac:dyDescent="0.2">
      <c r="A136" s="22">
        <f t="shared" si="148"/>
        <v>6823</v>
      </c>
      <c r="B136" s="116">
        <v>1001092646823</v>
      </c>
      <c r="C136" s="25" t="s">
        <v>1917</v>
      </c>
      <c r="D136" s="23" t="s">
        <v>3</v>
      </c>
      <c r="E136" s="146" t="s">
        <v>373</v>
      </c>
      <c r="F136" s="112" t="s">
        <v>77</v>
      </c>
      <c r="G136" s="146" t="s">
        <v>6</v>
      </c>
      <c r="H136" s="49" t="s">
        <v>135</v>
      </c>
      <c r="I136" s="153" t="s">
        <v>2090</v>
      </c>
      <c r="J136" s="151" t="s">
        <v>2103</v>
      </c>
      <c r="K136" s="26" t="s">
        <v>2104</v>
      </c>
      <c r="L136" s="84">
        <v>10</v>
      </c>
      <c r="M136" s="85">
        <v>10</v>
      </c>
      <c r="N136" s="91">
        <v>4</v>
      </c>
      <c r="O136" s="86" t="s">
        <v>1468</v>
      </c>
      <c r="P136" s="31" t="s">
        <v>104</v>
      </c>
      <c r="Q136" s="31">
        <v>60</v>
      </c>
      <c r="R136" s="82" t="s">
        <v>44</v>
      </c>
      <c r="S136" s="233">
        <v>2800684000000</v>
      </c>
      <c r="T136" s="334">
        <v>12800684000007</v>
      </c>
      <c r="U136" s="46">
        <v>4607958079599</v>
      </c>
      <c r="V136" s="46">
        <v>14607958079596</v>
      </c>
      <c r="W136" s="157">
        <v>268</v>
      </c>
      <c r="X136" s="34">
        <v>95</v>
      </c>
      <c r="Y136" s="34">
        <v>60</v>
      </c>
      <c r="Z136" s="35">
        <v>1.5</v>
      </c>
      <c r="AA136" s="271">
        <v>2E-3</v>
      </c>
      <c r="AB136" s="36">
        <f t="shared" ref="AB136" si="155">Z136+AA136</f>
        <v>1.502</v>
      </c>
      <c r="AC136" s="59">
        <v>292</v>
      </c>
      <c r="AD136" s="60">
        <v>178</v>
      </c>
      <c r="AE136" s="60">
        <v>178</v>
      </c>
      <c r="AF136" s="191">
        <v>4</v>
      </c>
      <c r="AG136" s="117">
        <v>600000029</v>
      </c>
      <c r="AH136" s="104">
        <f>справочники!$C$21</f>
        <v>0.125</v>
      </c>
      <c r="AI136" s="39">
        <f t="shared" si="119"/>
        <v>6</v>
      </c>
      <c r="AJ136" s="121">
        <f t="shared" si="141"/>
        <v>6.133</v>
      </c>
      <c r="AK136" s="37">
        <v>16</v>
      </c>
      <c r="AL136" s="38">
        <v>8</v>
      </c>
      <c r="AM136" s="40">
        <f t="shared" ref="AM136" si="156">AK136*AL136</f>
        <v>128</v>
      </c>
      <c r="AN136" s="272">
        <f t="shared" ref="AN136" si="157">IF(D136="ШТ",кол_во_инд.__упак_к*итого_г_у,ROUNDDOWN(номин.вес_нетто_г_у__кг*итого_г_у,1))</f>
        <v>768</v>
      </c>
      <c r="AO136" s="204">
        <f t="shared" si="99"/>
        <v>1569</v>
      </c>
    </row>
    <row r="137" spans="1:41" ht="191.25" x14ac:dyDescent="0.2">
      <c r="A137" s="22">
        <f t="shared" si="148"/>
        <v>6867</v>
      </c>
      <c r="B137" s="116">
        <v>1001095726867</v>
      </c>
      <c r="C137" s="25" t="s">
        <v>871</v>
      </c>
      <c r="D137" s="23" t="s">
        <v>3</v>
      </c>
      <c r="E137" s="146" t="s">
        <v>373</v>
      </c>
      <c r="F137" s="112" t="s">
        <v>77</v>
      </c>
      <c r="G137" s="146" t="s">
        <v>5</v>
      </c>
      <c r="H137" s="24" t="s">
        <v>135</v>
      </c>
      <c r="I137" s="154" t="s">
        <v>2090</v>
      </c>
      <c r="J137" s="150" t="s">
        <v>2103</v>
      </c>
      <c r="K137" s="26" t="s">
        <v>2104</v>
      </c>
      <c r="L137" s="84">
        <v>10</v>
      </c>
      <c r="M137" s="85">
        <v>10</v>
      </c>
      <c r="N137" s="91">
        <v>4</v>
      </c>
      <c r="O137" s="86" t="s">
        <v>1468</v>
      </c>
      <c r="P137" s="31" t="s">
        <v>104</v>
      </c>
      <c r="Q137" s="23">
        <v>60</v>
      </c>
      <c r="R137" s="56" t="s">
        <v>44</v>
      </c>
      <c r="S137" s="244">
        <v>2800737000001</v>
      </c>
      <c r="T137" s="341">
        <v>12800737000008</v>
      </c>
      <c r="U137" s="46">
        <v>4630362181404</v>
      </c>
      <c r="V137" s="46">
        <v>14630362181401</v>
      </c>
      <c r="W137" s="158">
        <v>350</v>
      </c>
      <c r="X137" s="38">
        <v>97</v>
      </c>
      <c r="Y137" s="38">
        <v>97</v>
      </c>
      <c r="Z137" s="35">
        <v>2</v>
      </c>
      <c r="AA137" s="271">
        <v>5.0000000000000001E-3</v>
      </c>
      <c r="AB137" s="36">
        <f>Z137+AA137</f>
        <v>2.0049999999999999</v>
      </c>
      <c r="AC137" s="33">
        <v>368</v>
      </c>
      <c r="AD137" s="34">
        <v>238</v>
      </c>
      <c r="AE137" s="34">
        <v>128</v>
      </c>
      <c r="AF137" s="190">
        <v>2</v>
      </c>
      <c r="AG137" s="117">
        <v>600000025</v>
      </c>
      <c r="AH137" s="166">
        <f>справочники!$C$17</f>
        <v>0.17499999999999999</v>
      </c>
      <c r="AI137" s="168">
        <f t="shared" si="119"/>
        <v>4</v>
      </c>
      <c r="AJ137" s="121">
        <f t="shared" si="141"/>
        <v>4.1849999999999996</v>
      </c>
      <c r="AK137" s="37">
        <v>10</v>
      </c>
      <c r="AL137" s="38">
        <v>12</v>
      </c>
      <c r="AM137" s="40">
        <f t="shared" si="130"/>
        <v>120</v>
      </c>
      <c r="AN137" s="214">
        <f t="shared" si="149"/>
        <v>480</v>
      </c>
      <c r="AO137" s="204">
        <f t="shared" si="99"/>
        <v>1681</v>
      </c>
    </row>
    <row r="138" spans="1:41" ht="102.75" customHeight="1" x14ac:dyDescent="0.2">
      <c r="A138" s="22">
        <f t="shared" si="148"/>
        <v>6470</v>
      </c>
      <c r="B138" s="116">
        <v>1001092436470</v>
      </c>
      <c r="C138" s="48" t="s">
        <v>570</v>
      </c>
      <c r="D138" s="49" t="s">
        <v>3</v>
      </c>
      <c r="E138" s="146" t="s">
        <v>373</v>
      </c>
      <c r="F138" s="112" t="s">
        <v>77</v>
      </c>
      <c r="G138" s="224" t="s">
        <v>2</v>
      </c>
      <c r="H138" s="49" t="s">
        <v>135</v>
      </c>
      <c r="I138" s="154" t="s">
        <v>2090</v>
      </c>
      <c r="J138" s="150" t="s">
        <v>2091</v>
      </c>
      <c r="K138" s="51" t="s">
        <v>2097</v>
      </c>
      <c r="L138" s="52">
        <v>11</v>
      </c>
      <c r="M138" s="53">
        <v>13</v>
      </c>
      <c r="N138" s="53">
        <v>4</v>
      </c>
      <c r="O138" s="54" t="s">
        <v>798</v>
      </c>
      <c r="P138" s="113" t="s">
        <v>104</v>
      </c>
      <c r="Q138" s="49">
        <v>45</v>
      </c>
      <c r="R138" s="56" t="s">
        <v>37</v>
      </c>
      <c r="S138" s="120">
        <v>2417899000000</v>
      </c>
      <c r="T138" s="342">
        <v>12417899000007</v>
      </c>
      <c r="U138" s="46">
        <v>4630362181411</v>
      </c>
      <c r="V138" s="46">
        <v>14630362181418</v>
      </c>
      <c r="W138" s="93">
        <v>280</v>
      </c>
      <c r="X138" s="60">
        <v>83</v>
      </c>
      <c r="Y138" s="60">
        <v>83</v>
      </c>
      <c r="Z138" s="65">
        <v>1.2</v>
      </c>
      <c r="AA138" s="271">
        <v>8.0000000000000002E-3</v>
      </c>
      <c r="AB138" s="66">
        <f t="shared" si="114"/>
        <v>1.208</v>
      </c>
      <c r="AC138" s="59">
        <v>292</v>
      </c>
      <c r="AD138" s="60">
        <v>178</v>
      </c>
      <c r="AE138" s="60">
        <v>178</v>
      </c>
      <c r="AF138" s="191">
        <v>4</v>
      </c>
      <c r="AG138" s="117">
        <v>600000029</v>
      </c>
      <c r="AH138" s="104">
        <f>справочники!$C$21</f>
        <v>0.125</v>
      </c>
      <c r="AI138" s="62">
        <f t="shared" si="119"/>
        <v>4.8</v>
      </c>
      <c r="AJ138" s="122">
        <f t="shared" si="141"/>
        <v>4.9569999999999999</v>
      </c>
      <c r="AK138" s="37">
        <v>14</v>
      </c>
      <c r="AL138" s="38">
        <v>8</v>
      </c>
      <c r="AM138" s="40">
        <f t="shared" si="130"/>
        <v>112</v>
      </c>
      <c r="AN138" s="214">
        <f t="shared" si="149"/>
        <v>537.6</v>
      </c>
      <c r="AO138" s="204">
        <f t="shared" ref="AO138:AO194" si="158">(высота__мм*кол_во_слоев_г_у)+145</f>
        <v>1569</v>
      </c>
    </row>
    <row r="139" spans="1:41" ht="204" x14ac:dyDescent="0.2">
      <c r="A139" s="22">
        <f t="shared" si="148"/>
        <v>5452</v>
      </c>
      <c r="B139" s="116">
        <v>1001092485452</v>
      </c>
      <c r="C139" s="48" t="s">
        <v>203</v>
      </c>
      <c r="D139" s="49" t="s">
        <v>3</v>
      </c>
      <c r="E139" s="146" t="s">
        <v>373</v>
      </c>
      <c r="F139" s="112" t="s">
        <v>77</v>
      </c>
      <c r="G139" s="224" t="s">
        <v>6</v>
      </c>
      <c r="H139" s="49" t="s">
        <v>278</v>
      </c>
      <c r="I139" s="154" t="s">
        <v>386</v>
      </c>
      <c r="J139" s="150" t="s">
        <v>427</v>
      </c>
      <c r="K139" s="26" t="s">
        <v>1332</v>
      </c>
      <c r="L139" s="84">
        <v>10</v>
      </c>
      <c r="M139" s="85">
        <v>12</v>
      </c>
      <c r="N139" s="91">
        <v>2</v>
      </c>
      <c r="O139" s="86" t="s">
        <v>1247</v>
      </c>
      <c r="P139" s="113" t="s">
        <v>104</v>
      </c>
      <c r="Q139" s="49">
        <v>60</v>
      </c>
      <c r="R139" s="56" t="s">
        <v>44</v>
      </c>
      <c r="S139" s="243">
        <v>2399730000007</v>
      </c>
      <c r="T139" s="340">
        <v>12399730000004</v>
      </c>
      <c r="U139" s="46">
        <v>4630362181428</v>
      </c>
      <c r="V139" s="46">
        <v>14630362181425</v>
      </c>
      <c r="W139" s="93">
        <v>280</v>
      </c>
      <c r="X139" s="60">
        <v>92</v>
      </c>
      <c r="Y139" s="60">
        <v>92</v>
      </c>
      <c r="Z139" s="65">
        <v>1.35</v>
      </c>
      <c r="AA139" s="271">
        <v>2E-3</v>
      </c>
      <c r="AB139" s="66">
        <f t="shared" si="114"/>
        <v>1.3520000000000001</v>
      </c>
      <c r="AC139" s="59">
        <v>292</v>
      </c>
      <c r="AD139" s="60">
        <v>178</v>
      </c>
      <c r="AE139" s="60">
        <v>178</v>
      </c>
      <c r="AF139" s="191">
        <v>3</v>
      </c>
      <c r="AG139" s="117">
        <v>600000029</v>
      </c>
      <c r="AH139" s="104">
        <f>справочники!$C$21</f>
        <v>0.125</v>
      </c>
      <c r="AI139" s="62">
        <f t="shared" si="119"/>
        <v>4.05</v>
      </c>
      <c r="AJ139" s="122">
        <f t="shared" si="141"/>
        <v>4.181</v>
      </c>
      <c r="AK139" s="37">
        <v>16</v>
      </c>
      <c r="AL139" s="38">
        <v>8</v>
      </c>
      <c r="AM139" s="40">
        <f t="shared" si="130"/>
        <v>128</v>
      </c>
      <c r="AN139" s="214">
        <f t="shared" ref="AN139:AN168" si="159">IF(D139="ШТ",кол_во_инд.__упак_к*итого_г_у,ROUNDDOWN(номин.вес_нетто_г_у__кг*итого_г_у,1))</f>
        <v>518.4</v>
      </c>
      <c r="AO139" s="204">
        <f t="shared" si="158"/>
        <v>1569</v>
      </c>
    </row>
    <row r="140" spans="1:41" ht="191.25" x14ac:dyDescent="0.2">
      <c r="A140" s="22">
        <f t="shared" si="148"/>
        <v>6866</v>
      </c>
      <c r="B140" s="116">
        <v>1001095716866</v>
      </c>
      <c r="C140" s="48" t="s">
        <v>870</v>
      </c>
      <c r="D140" s="49" t="s">
        <v>3</v>
      </c>
      <c r="E140" s="146" t="s">
        <v>373</v>
      </c>
      <c r="F140" s="112" t="s">
        <v>77</v>
      </c>
      <c r="G140" s="224" t="s">
        <v>5</v>
      </c>
      <c r="H140" s="49" t="s">
        <v>135</v>
      </c>
      <c r="I140" s="154" t="s">
        <v>386</v>
      </c>
      <c r="J140" s="150" t="s">
        <v>427</v>
      </c>
      <c r="K140" s="51" t="s">
        <v>800</v>
      </c>
      <c r="L140" s="52">
        <v>10</v>
      </c>
      <c r="M140" s="53">
        <v>9</v>
      </c>
      <c r="N140" s="54">
        <v>3</v>
      </c>
      <c r="O140" s="54" t="s">
        <v>801</v>
      </c>
      <c r="P140" s="113" t="s">
        <v>104</v>
      </c>
      <c r="Q140" s="49">
        <v>60</v>
      </c>
      <c r="R140" s="56" t="s">
        <v>44</v>
      </c>
      <c r="S140" s="120">
        <v>2100344000006</v>
      </c>
      <c r="T140" s="342">
        <v>12100344000003</v>
      </c>
      <c r="U140" s="46">
        <v>4630362181435</v>
      </c>
      <c r="V140" s="46">
        <v>14630362181432</v>
      </c>
      <c r="W140" s="93">
        <v>268</v>
      </c>
      <c r="X140" s="60">
        <v>95</v>
      </c>
      <c r="Y140" s="60">
        <v>60</v>
      </c>
      <c r="Z140" s="65">
        <v>1.5</v>
      </c>
      <c r="AA140" s="271">
        <v>2E-3</v>
      </c>
      <c r="AB140" s="66">
        <f t="shared" ref="AB140:AB184" si="160">Z140+AA140</f>
        <v>1.502</v>
      </c>
      <c r="AC140" s="67">
        <v>292</v>
      </c>
      <c r="AD140" s="68">
        <v>178</v>
      </c>
      <c r="AE140" s="68">
        <v>178</v>
      </c>
      <c r="AF140" s="191">
        <v>4</v>
      </c>
      <c r="AG140" s="117">
        <v>600000029</v>
      </c>
      <c r="AH140" s="105">
        <f>справочники!$C$21</f>
        <v>0.125</v>
      </c>
      <c r="AI140" s="62">
        <f t="shared" si="119"/>
        <v>6</v>
      </c>
      <c r="AJ140" s="122">
        <f t="shared" si="141"/>
        <v>6.133</v>
      </c>
      <c r="AK140" s="37">
        <v>16</v>
      </c>
      <c r="AL140" s="38">
        <v>8</v>
      </c>
      <c r="AM140" s="40">
        <f t="shared" si="130"/>
        <v>128</v>
      </c>
      <c r="AN140" s="214">
        <f>IF(D140="ШТ",кол_во_инд.__упак_к*итого_г_у,ROUNDDOWN(номин.вес_нетто_г_у__кг*итого_г_у,1))</f>
        <v>768</v>
      </c>
      <c r="AO140" s="204">
        <f t="shared" si="158"/>
        <v>1569</v>
      </c>
    </row>
    <row r="141" spans="1:41" ht="191.25" x14ac:dyDescent="0.2">
      <c r="A141" s="22">
        <f t="shared" si="148"/>
        <v>7142</v>
      </c>
      <c r="B141" s="116">
        <v>1001095717142</v>
      </c>
      <c r="C141" s="48" t="s">
        <v>1112</v>
      </c>
      <c r="D141" s="49" t="s">
        <v>3</v>
      </c>
      <c r="E141" s="146" t="s">
        <v>373</v>
      </c>
      <c r="F141" s="112" t="s">
        <v>77</v>
      </c>
      <c r="G141" s="224" t="s">
        <v>5</v>
      </c>
      <c r="H141" s="49" t="s">
        <v>135</v>
      </c>
      <c r="I141" s="154" t="s">
        <v>2090</v>
      </c>
      <c r="J141" s="150" t="s">
        <v>2103</v>
      </c>
      <c r="K141" s="51" t="s">
        <v>2104</v>
      </c>
      <c r="L141" s="52">
        <v>10</v>
      </c>
      <c r="M141" s="53">
        <v>10</v>
      </c>
      <c r="N141" s="54">
        <v>4</v>
      </c>
      <c r="O141" s="54" t="s">
        <v>1468</v>
      </c>
      <c r="P141" s="113" t="s">
        <v>104</v>
      </c>
      <c r="Q141" s="49">
        <v>60</v>
      </c>
      <c r="R141" s="56" t="s">
        <v>44</v>
      </c>
      <c r="S141" s="120">
        <v>2400167000000</v>
      </c>
      <c r="T141" s="342">
        <v>12400167000007</v>
      </c>
      <c r="U141" s="46">
        <v>4630362181435</v>
      </c>
      <c r="V141" s="46">
        <v>14630362181432</v>
      </c>
      <c r="W141" s="93">
        <v>268</v>
      </c>
      <c r="X141" s="60">
        <v>95</v>
      </c>
      <c r="Y141" s="60">
        <v>60</v>
      </c>
      <c r="Z141" s="65">
        <v>1.5</v>
      </c>
      <c r="AA141" s="271">
        <v>2E-3</v>
      </c>
      <c r="AB141" s="66">
        <f t="shared" ref="AB141" si="161">Z141+AA141</f>
        <v>1.502</v>
      </c>
      <c r="AC141" s="67">
        <v>292</v>
      </c>
      <c r="AD141" s="68">
        <v>178</v>
      </c>
      <c r="AE141" s="68">
        <v>178</v>
      </c>
      <c r="AF141" s="191">
        <v>4</v>
      </c>
      <c r="AG141" s="117">
        <v>600000029</v>
      </c>
      <c r="AH141" s="105">
        <f>справочники!$C$21</f>
        <v>0.125</v>
      </c>
      <c r="AI141" s="62">
        <f t="shared" si="119"/>
        <v>6</v>
      </c>
      <c r="AJ141" s="122">
        <f t="shared" si="141"/>
        <v>6.133</v>
      </c>
      <c r="AK141" s="37">
        <v>16</v>
      </c>
      <c r="AL141" s="38">
        <v>8</v>
      </c>
      <c r="AM141" s="40">
        <f t="shared" ref="AM141" si="162">AK141*AL141</f>
        <v>128</v>
      </c>
      <c r="AN141" s="214">
        <f>IF(D141="ШТ",кол_во_инд.__упак_к*итого_г_у,ROUNDDOWN(номин.вес_нетто_г_у__кг*итого_г_у,1))</f>
        <v>768</v>
      </c>
      <c r="AO141" s="204">
        <f t="shared" si="158"/>
        <v>1569</v>
      </c>
    </row>
    <row r="142" spans="1:41" ht="191.25" x14ac:dyDescent="0.2">
      <c r="A142" s="22">
        <f t="shared" si="148"/>
        <v>6907</v>
      </c>
      <c r="B142" s="116">
        <v>1001095716907</v>
      </c>
      <c r="C142" s="48" t="s">
        <v>892</v>
      </c>
      <c r="D142" s="49" t="s">
        <v>3</v>
      </c>
      <c r="E142" s="146" t="s">
        <v>373</v>
      </c>
      <c r="F142" s="112" t="s">
        <v>77</v>
      </c>
      <c r="G142" s="224" t="s">
        <v>5</v>
      </c>
      <c r="H142" s="49" t="s">
        <v>135</v>
      </c>
      <c r="I142" s="154" t="s">
        <v>2090</v>
      </c>
      <c r="J142" s="150" t="s">
        <v>2103</v>
      </c>
      <c r="K142" s="51" t="s">
        <v>2104</v>
      </c>
      <c r="L142" s="52">
        <v>10</v>
      </c>
      <c r="M142" s="53">
        <v>10</v>
      </c>
      <c r="N142" s="54">
        <v>4</v>
      </c>
      <c r="O142" s="54" t="s">
        <v>1468</v>
      </c>
      <c r="P142" s="113" t="s">
        <v>104</v>
      </c>
      <c r="Q142" s="49">
        <v>60</v>
      </c>
      <c r="R142" s="56" t="s">
        <v>44</v>
      </c>
      <c r="S142" s="120">
        <v>2664566000003</v>
      </c>
      <c r="T142" s="342">
        <v>12664566000000</v>
      </c>
      <c r="U142" s="46" t="s">
        <v>1874</v>
      </c>
      <c r="V142" s="46" t="s">
        <v>1874</v>
      </c>
      <c r="W142" s="93">
        <v>268</v>
      </c>
      <c r="X142" s="60">
        <v>95</v>
      </c>
      <c r="Y142" s="60">
        <v>60</v>
      </c>
      <c r="Z142" s="65">
        <v>1.5</v>
      </c>
      <c r="AA142" s="271">
        <v>2E-3</v>
      </c>
      <c r="AB142" s="66">
        <f t="shared" si="160"/>
        <v>1.502</v>
      </c>
      <c r="AC142" s="67">
        <v>292</v>
      </c>
      <c r="AD142" s="68">
        <v>178</v>
      </c>
      <c r="AE142" s="68">
        <v>178</v>
      </c>
      <c r="AF142" s="191">
        <v>4</v>
      </c>
      <c r="AG142" s="117">
        <v>600000029</v>
      </c>
      <c r="AH142" s="105">
        <f>справочники!$C$21</f>
        <v>0.125</v>
      </c>
      <c r="AI142" s="62">
        <f t="shared" si="119"/>
        <v>6</v>
      </c>
      <c r="AJ142" s="122">
        <f t="shared" si="141"/>
        <v>6.133</v>
      </c>
      <c r="AK142" s="37">
        <v>16</v>
      </c>
      <c r="AL142" s="38">
        <v>8</v>
      </c>
      <c r="AM142" s="40">
        <f t="shared" si="130"/>
        <v>128</v>
      </c>
      <c r="AN142" s="214">
        <f>IF(D142="ШТ",кол_во_инд.__упак_к*итого_г_у,ROUNDDOWN(номин.вес_нетто_г_у__кг*итого_г_у,1))</f>
        <v>768</v>
      </c>
      <c r="AO142" s="204">
        <f t="shared" si="158"/>
        <v>1569</v>
      </c>
    </row>
    <row r="143" spans="1:41" ht="105.75" customHeight="1" x14ac:dyDescent="0.2">
      <c r="A143" s="22">
        <f t="shared" si="148"/>
        <v>5495</v>
      </c>
      <c r="B143" s="116">
        <v>1001093345495</v>
      </c>
      <c r="C143" s="48" t="s">
        <v>209</v>
      </c>
      <c r="D143" s="49" t="s">
        <v>4</v>
      </c>
      <c r="E143" s="146" t="s">
        <v>373</v>
      </c>
      <c r="F143" s="112" t="s">
        <v>77</v>
      </c>
      <c r="G143" s="224" t="s">
        <v>6</v>
      </c>
      <c r="H143" s="49" t="s">
        <v>135</v>
      </c>
      <c r="I143" s="154" t="s">
        <v>1988</v>
      </c>
      <c r="J143" s="151" t="s">
        <v>1695</v>
      </c>
      <c r="K143" s="51" t="s">
        <v>2102</v>
      </c>
      <c r="L143" s="52">
        <v>10</v>
      </c>
      <c r="M143" s="53">
        <v>5</v>
      </c>
      <c r="N143" s="53">
        <v>4</v>
      </c>
      <c r="O143" s="54" t="s">
        <v>1591</v>
      </c>
      <c r="P143" s="113" t="s">
        <v>104</v>
      </c>
      <c r="Q143" s="49">
        <v>60</v>
      </c>
      <c r="R143" s="56" t="s">
        <v>44</v>
      </c>
      <c r="S143" s="243">
        <v>4607958070947</v>
      </c>
      <c r="T143" s="340">
        <v>24607958070941</v>
      </c>
      <c r="U143" s="46">
        <v>4607958070947</v>
      </c>
      <c r="V143" s="46">
        <v>24607958070941</v>
      </c>
      <c r="W143" s="93">
        <v>145</v>
      </c>
      <c r="X143" s="60">
        <v>70</v>
      </c>
      <c r="Y143" s="60">
        <v>55</v>
      </c>
      <c r="Z143" s="65">
        <v>0.4</v>
      </c>
      <c r="AA143" s="271">
        <v>2E-3</v>
      </c>
      <c r="AB143" s="66">
        <f t="shared" si="160"/>
        <v>0.40200000000000002</v>
      </c>
      <c r="AC143" s="59">
        <v>200</v>
      </c>
      <c r="AD143" s="60">
        <v>150</v>
      </c>
      <c r="AE143" s="60">
        <v>156</v>
      </c>
      <c r="AF143" s="191">
        <v>6</v>
      </c>
      <c r="AG143" s="117">
        <v>600000424</v>
      </c>
      <c r="AH143" s="104">
        <f>справочники!$C$107</f>
        <v>7.3999999999999996E-2</v>
      </c>
      <c r="AI143" s="62">
        <f t="shared" si="119"/>
        <v>2.4</v>
      </c>
      <c r="AJ143" s="122">
        <f t="shared" si="141"/>
        <v>2.4859999999999998</v>
      </c>
      <c r="AK143" s="37">
        <v>30</v>
      </c>
      <c r="AL143" s="38">
        <v>9</v>
      </c>
      <c r="AM143" s="40">
        <f t="shared" si="130"/>
        <v>270</v>
      </c>
      <c r="AN143" s="206">
        <f t="shared" si="159"/>
        <v>1620</v>
      </c>
      <c r="AO143" s="204">
        <f t="shared" si="158"/>
        <v>1549</v>
      </c>
    </row>
    <row r="144" spans="1:41" ht="103.5" customHeight="1" x14ac:dyDescent="0.2">
      <c r="A144" s="22">
        <f t="shared" si="148"/>
        <v>7637</v>
      </c>
      <c r="B144" s="116">
        <v>1001097637637</v>
      </c>
      <c r="C144" s="48" t="s">
        <v>1865</v>
      </c>
      <c r="D144" s="49" t="s">
        <v>4</v>
      </c>
      <c r="E144" s="146" t="s">
        <v>373</v>
      </c>
      <c r="F144" s="112" t="s">
        <v>77</v>
      </c>
      <c r="G144" s="224" t="s">
        <v>6</v>
      </c>
      <c r="H144" s="49" t="s">
        <v>135</v>
      </c>
      <c r="I144" s="154" t="s">
        <v>1988</v>
      </c>
      <c r="J144" s="151" t="s">
        <v>1695</v>
      </c>
      <c r="K144" s="51" t="s">
        <v>2102</v>
      </c>
      <c r="L144" s="52">
        <v>10</v>
      </c>
      <c r="M144" s="53">
        <v>5</v>
      </c>
      <c r="N144" s="53">
        <v>4</v>
      </c>
      <c r="O144" s="54" t="s">
        <v>1591</v>
      </c>
      <c r="P144" s="113" t="s">
        <v>104</v>
      </c>
      <c r="Q144" s="49">
        <v>60</v>
      </c>
      <c r="R144" s="56" t="s">
        <v>44</v>
      </c>
      <c r="S144" s="243">
        <v>4607958070947</v>
      </c>
      <c r="T144" s="340">
        <v>34607958070948</v>
      </c>
      <c r="U144" s="46">
        <v>4607958070947</v>
      </c>
      <c r="V144" s="46">
        <v>34607958070948</v>
      </c>
      <c r="W144" s="93">
        <v>145</v>
      </c>
      <c r="X144" s="60">
        <v>70</v>
      </c>
      <c r="Y144" s="60">
        <v>55</v>
      </c>
      <c r="Z144" s="65">
        <v>0.4</v>
      </c>
      <c r="AA144" s="271">
        <v>2E-3</v>
      </c>
      <c r="AB144" s="66">
        <f t="shared" ref="AB144" si="163">Z144+AA144</f>
        <v>0.40200000000000002</v>
      </c>
      <c r="AC144" s="59">
        <v>346</v>
      </c>
      <c r="AD144" s="68">
        <v>146</v>
      </c>
      <c r="AE144" s="60">
        <v>130</v>
      </c>
      <c r="AF144" s="191">
        <v>12</v>
      </c>
      <c r="AG144" s="117">
        <v>600000619</v>
      </c>
      <c r="AH144" s="104">
        <f>справочники!$C$215</f>
        <v>0.17499999999999999</v>
      </c>
      <c r="AI144" s="62">
        <f t="shared" si="119"/>
        <v>4.8</v>
      </c>
      <c r="AJ144" s="122">
        <f t="shared" si="141"/>
        <v>4.9989999999999997</v>
      </c>
      <c r="AK144" s="37">
        <v>18</v>
      </c>
      <c r="AL144" s="38">
        <v>7</v>
      </c>
      <c r="AM144" s="40">
        <f t="shared" ref="AM144" si="164">AK144*AL144</f>
        <v>126</v>
      </c>
      <c r="AN144" s="206">
        <f t="shared" ref="AN144" si="165">IF(D144="ШТ",кол_во_инд.__упак_к*итого_г_у,ROUNDDOWN(номин.вес_нетто_г_у__кг*итого_г_у,1))</f>
        <v>1512</v>
      </c>
      <c r="AO144" s="204">
        <f t="shared" si="158"/>
        <v>1055</v>
      </c>
    </row>
    <row r="145" spans="1:41" ht="103.5" customHeight="1" x14ac:dyDescent="0.2">
      <c r="A145" s="22">
        <f t="shared" si="148"/>
        <v>7377</v>
      </c>
      <c r="B145" s="116">
        <v>1001095027377</v>
      </c>
      <c r="C145" s="48" t="s">
        <v>1390</v>
      </c>
      <c r="D145" s="49" t="s">
        <v>4</v>
      </c>
      <c r="E145" s="146" t="s">
        <v>373</v>
      </c>
      <c r="F145" s="112" t="s">
        <v>77</v>
      </c>
      <c r="G145" s="224" t="s">
        <v>6</v>
      </c>
      <c r="H145" s="49" t="s">
        <v>135</v>
      </c>
      <c r="I145" s="154" t="s">
        <v>1988</v>
      </c>
      <c r="J145" s="151" t="s">
        <v>1695</v>
      </c>
      <c r="K145" s="51" t="s">
        <v>2102</v>
      </c>
      <c r="L145" s="52">
        <v>10</v>
      </c>
      <c r="M145" s="53">
        <v>5</v>
      </c>
      <c r="N145" s="53">
        <v>4</v>
      </c>
      <c r="O145" s="54" t="s">
        <v>1591</v>
      </c>
      <c r="P145" s="113" t="s">
        <v>104</v>
      </c>
      <c r="Q145" s="49">
        <v>45</v>
      </c>
      <c r="R145" s="56" t="s">
        <v>37</v>
      </c>
      <c r="S145" s="243">
        <v>4630362180261</v>
      </c>
      <c r="T145" s="340">
        <v>14630362180268</v>
      </c>
      <c r="U145" s="46">
        <v>4630362180261</v>
      </c>
      <c r="V145" s="46">
        <v>14630362180268</v>
      </c>
      <c r="W145" s="93">
        <v>150</v>
      </c>
      <c r="X145" s="60">
        <v>125</v>
      </c>
      <c r="Y145" s="60">
        <v>40</v>
      </c>
      <c r="Z145" s="65">
        <v>0.3</v>
      </c>
      <c r="AA145" s="271">
        <v>5.0000000000000001E-3</v>
      </c>
      <c r="AB145" s="66">
        <f t="shared" ref="AB145" si="166">Z145+AA145</f>
        <v>0.30499999999999999</v>
      </c>
      <c r="AC145" s="59">
        <v>200</v>
      </c>
      <c r="AD145" s="60">
        <v>150</v>
      </c>
      <c r="AE145" s="60">
        <v>156</v>
      </c>
      <c r="AF145" s="191">
        <v>6</v>
      </c>
      <c r="AG145" s="117">
        <v>600000424</v>
      </c>
      <c r="AH145" s="104">
        <f>справочники!$C$107</f>
        <v>7.3999999999999996E-2</v>
      </c>
      <c r="AI145" s="62">
        <f t="shared" si="119"/>
        <v>1.8</v>
      </c>
      <c r="AJ145" s="122">
        <f t="shared" si="141"/>
        <v>1.9040000000000001</v>
      </c>
      <c r="AK145" s="37">
        <v>30</v>
      </c>
      <c r="AL145" s="38">
        <v>10</v>
      </c>
      <c r="AM145" s="40">
        <f t="shared" ref="AM145" si="167">AK145*AL145</f>
        <v>300</v>
      </c>
      <c r="AN145" s="206">
        <f t="shared" ref="AN145" si="168">IF(D145="ШТ",кол_во_инд.__упак_к*итого_г_у,ROUNDDOWN(номин.вес_нетто_г_у__кг*итого_г_у,1))</f>
        <v>1800</v>
      </c>
      <c r="AO145" s="204">
        <f t="shared" si="158"/>
        <v>1705</v>
      </c>
    </row>
    <row r="146" spans="1:41" ht="103.5" customHeight="1" x14ac:dyDescent="0.2">
      <c r="A146" s="22">
        <f t="shared" si="148"/>
        <v>7482</v>
      </c>
      <c r="B146" s="116">
        <v>1001095027482</v>
      </c>
      <c r="C146" s="48" t="s">
        <v>1548</v>
      </c>
      <c r="D146" s="49" t="s">
        <v>4</v>
      </c>
      <c r="E146" s="146" t="s">
        <v>373</v>
      </c>
      <c r="F146" s="112" t="s">
        <v>77</v>
      </c>
      <c r="G146" s="224" t="s">
        <v>6</v>
      </c>
      <c r="H146" s="49" t="s">
        <v>135</v>
      </c>
      <c r="I146" s="154" t="s">
        <v>1988</v>
      </c>
      <c r="J146" s="151" t="s">
        <v>1695</v>
      </c>
      <c r="K146" s="51" t="s">
        <v>2102</v>
      </c>
      <c r="L146" s="52">
        <v>10</v>
      </c>
      <c r="M146" s="53">
        <v>5</v>
      </c>
      <c r="N146" s="53">
        <v>4</v>
      </c>
      <c r="O146" s="54" t="s">
        <v>1591</v>
      </c>
      <c r="P146" s="113" t="s">
        <v>104</v>
      </c>
      <c r="Q146" s="49">
        <v>7</v>
      </c>
      <c r="R146" s="56" t="s">
        <v>37</v>
      </c>
      <c r="S146" s="243">
        <v>4630362180261</v>
      </c>
      <c r="T146" s="340">
        <v>14630362180268</v>
      </c>
      <c r="U146" s="46" t="s">
        <v>1874</v>
      </c>
      <c r="V146" s="46" t="s">
        <v>1874</v>
      </c>
      <c r="W146" s="93">
        <v>150</v>
      </c>
      <c r="X146" s="60">
        <v>125</v>
      </c>
      <c r="Y146" s="60">
        <v>40</v>
      </c>
      <c r="Z146" s="65">
        <v>0.3</v>
      </c>
      <c r="AA146" s="271">
        <v>5.0000000000000001E-3</v>
      </c>
      <c r="AB146" s="66">
        <f t="shared" ref="AB146" si="169">Z146+AA146</f>
        <v>0.30499999999999999</v>
      </c>
      <c r="AC146" s="59">
        <v>200</v>
      </c>
      <c r="AD146" s="60">
        <v>150</v>
      </c>
      <c r="AE146" s="60">
        <v>156</v>
      </c>
      <c r="AF146" s="191">
        <v>6</v>
      </c>
      <c r="AG146" s="117">
        <v>600000424</v>
      </c>
      <c r="AH146" s="104">
        <f>справочники!$C$107</f>
        <v>7.3999999999999996E-2</v>
      </c>
      <c r="AI146" s="62">
        <f t="shared" si="119"/>
        <v>1.8</v>
      </c>
      <c r="AJ146" s="122">
        <f t="shared" si="141"/>
        <v>1.9040000000000001</v>
      </c>
      <c r="AK146" s="37">
        <v>30</v>
      </c>
      <c r="AL146" s="38">
        <v>10</v>
      </c>
      <c r="AM146" s="40">
        <f t="shared" ref="AM146" si="170">AK146*AL146</f>
        <v>300</v>
      </c>
      <c r="AN146" s="206">
        <f t="shared" ref="AN146" si="171">IF(D146="ШТ",кол_во_инд.__упак_к*итого_г_у,ROUNDDOWN(номин.вес_нетто_г_у__кг*итого_г_у,1))</f>
        <v>1800</v>
      </c>
      <c r="AO146" s="204">
        <f t="shared" si="158"/>
        <v>1705</v>
      </c>
    </row>
    <row r="147" spans="1:41" ht="103.5" customHeight="1" x14ac:dyDescent="0.2">
      <c r="A147" s="22">
        <f t="shared" si="148"/>
        <v>6495</v>
      </c>
      <c r="B147" s="116">
        <v>1001092436495</v>
      </c>
      <c r="C147" s="48" t="s">
        <v>592</v>
      </c>
      <c r="D147" s="49" t="s">
        <v>4</v>
      </c>
      <c r="E147" s="146" t="s">
        <v>373</v>
      </c>
      <c r="F147" s="112" t="s">
        <v>77</v>
      </c>
      <c r="G147" s="224" t="s">
        <v>2</v>
      </c>
      <c r="H147" s="49" t="s">
        <v>135</v>
      </c>
      <c r="I147" s="154" t="s">
        <v>2090</v>
      </c>
      <c r="J147" s="151" t="s">
        <v>2091</v>
      </c>
      <c r="K147" s="51" t="s">
        <v>2097</v>
      </c>
      <c r="L147" s="52">
        <v>11</v>
      </c>
      <c r="M147" s="53">
        <v>13</v>
      </c>
      <c r="N147" s="53">
        <v>4</v>
      </c>
      <c r="O147" s="54" t="s">
        <v>798</v>
      </c>
      <c r="P147" s="113" t="s">
        <v>104</v>
      </c>
      <c r="Q147" s="49">
        <v>45</v>
      </c>
      <c r="R147" s="56" t="s">
        <v>37</v>
      </c>
      <c r="S147" s="243">
        <v>4607958074952</v>
      </c>
      <c r="T147" s="340">
        <v>14607958074959</v>
      </c>
      <c r="U147" s="46">
        <v>4607958074952</v>
      </c>
      <c r="V147" s="46">
        <v>14607958074959</v>
      </c>
      <c r="W147" s="93">
        <v>150</v>
      </c>
      <c r="X147" s="60">
        <v>125</v>
      </c>
      <c r="Y147" s="60">
        <v>40</v>
      </c>
      <c r="Z147" s="65">
        <v>0.3</v>
      </c>
      <c r="AA147" s="271">
        <v>5.0000000000000001E-3</v>
      </c>
      <c r="AB147" s="66">
        <f t="shared" si="160"/>
        <v>0.30499999999999999</v>
      </c>
      <c r="AC147" s="59">
        <v>200</v>
      </c>
      <c r="AD147" s="60">
        <v>150</v>
      </c>
      <c r="AE147" s="60">
        <v>156</v>
      </c>
      <c r="AF147" s="191">
        <v>6</v>
      </c>
      <c r="AG147" s="117">
        <v>600000424</v>
      </c>
      <c r="AH147" s="104">
        <f>справочники!$C$107</f>
        <v>7.3999999999999996E-2</v>
      </c>
      <c r="AI147" s="62">
        <f t="shared" si="119"/>
        <v>1.8</v>
      </c>
      <c r="AJ147" s="122">
        <f t="shared" si="141"/>
        <v>1.9040000000000001</v>
      </c>
      <c r="AK147" s="37">
        <v>30</v>
      </c>
      <c r="AL147" s="38">
        <v>10</v>
      </c>
      <c r="AM147" s="40">
        <f t="shared" si="130"/>
        <v>300</v>
      </c>
      <c r="AN147" s="206">
        <f>IF(D147="ШТ",кол_во_инд.__упак_к*итого_г_у,ROUNDDOWN(номин.вес_нетто_г_у__кг*итого_г_у,1))</f>
        <v>1800</v>
      </c>
      <c r="AO147" s="204">
        <f t="shared" si="158"/>
        <v>1705</v>
      </c>
    </row>
    <row r="148" spans="1:41" ht="104.25" customHeight="1" x14ac:dyDescent="0.2">
      <c r="A148" s="22">
        <f t="shared" si="148"/>
        <v>7354</v>
      </c>
      <c r="B148" s="116">
        <v>1001092437354</v>
      </c>
      <c r="C148" s="48" t="s">
        <v>1351</v>
      </c>
      <c r="D148" s="49" t="s">
        <v>4</v>
      </c>
      <c r="E148" s="146" t="s">
        <v>373</v>
      </c>
      <c r="F148" s="112" t="s">
        <v>77</v>
      </c>
      <c r="G148" s="224" t="s">
        <v>5</v>
      </c>
      <c r="H148" s="58" t="s">
        <v>1549</v>
      </c>
      <c r="I148" s="154" t="s">
        <v>2090</v>
      </c>
      <c r="J148" s="151" t="s">
        <v>2091</v>
      </c>
      <c r="K148" s="51" t="s">
        <v>2097</v>
      </c>
      <c r="L148" s="52">
        <v>11</v>
      </c>
      <c r="M148" s="53">
        <v>13</v>
      </c>
      <c r="N148" s="53">
        <v>4</v>
      </c>
      <c r="O148" s="54" t="s">
        <v>798</v>
      </c>
      <c r="P148" s="113" t="s">
        <v>104</v>
      </c>
      <c r="Q148" s="49">
        <v>55</v>
      </c>
      <c r="R148" s="56" t="s">
        <v>37</v>
      </c>
      <c r="S148" s="243">
        <v>4630362180032</v>
      </c>
      <c r="T148" s="340">
        <v>14630362180039</v>
      </c>
      <c r="U148" s="46">
        <v>4630362180032</v>
      </c>
      <c r="V148" s="46">
        <v>14630362180039</v>
      </c>
      <c r="W148" s="93">
        <v>150</v>
      </c>
      <c r="X148" s="60">
        <v>125</v>
      </c>
      <c r="Y148" s="60">
        <v>83</v>
      </c>
      <c r="Z148" s="65">
        <v>0.6</v>
      </c>
      <c r="AA148" s="271">
        <v>5.0000000000000001E-3</v>
      </c>
      <c r="AB148" s="66">
        <f t="shared" ref="AB148" si="172">Z148+AA148</f>
        <v>0.60499999999999998</v>
      </c>
      <c r="AC148" s="59">
        <v>292</v>
      </c>
      <c r="AD148" s="60">
        <v>178</v>
      </c>
      <c r="AE148" s="60">
        <v>178</v>
      </c>
      <c r="AF148" s="191">
        <v>8</v>
      </c>
      <c r="AG148" s="117">
        <v>600000029</v>
      </c>
      <c r="AH148" s="104">
        <f>справочники!$C$21</f>
        <v>0.125</v>
      </c>
      <c r="AI148" s="62">
        <f t="shared" si="119"/>
        <v>4.8</v>
      </c>
      <c r="AJ148" s="122">
        <f t="shared" si="141"/>
        <v>4.9649999999999999</v>
      </c>
      <c r="AK148" s="37">
        <v>16</v>
      </c>
      <c r="AL148" s="38">
        <v>8</v>
      </c>
      <c r="AM148" s="40">
        <f t="shared" ref="AM148" si="173">AK148*AL148</f>
        <v>128</v>
      </c>
      <c r="AN148" s="206">
        <f t="shared" ref="AN148" si="174">IF(D148="ШТ",кол_во_инд.__упак_к*итого_г_у,ROUNDDOWN(номин.вес_нетто_г_у__кг*итого_г_у,1))</f>
        <v>1024</v>
      </c>
      <c r="AO148" s="204">
        <f t="shared" si="158"/>
        <v>1569</v>
      </c>
    </row>
    <row r="149" spans="1:41" ht="102.75" customHeight="1" x14ac:dyDescent="0.2">
      <c r="A149" s="22">
        <f t="shared" si="148"/>
        <v>6411</v>
      </c>
      <c r="B149" s="116">
        <v>1001093316411</v>
      </c>
      <c r="C149" s="48" t="s">
        <v>356</v>
      </c>
      <c r="D149" s="49" t="s">
        <v>4</v>
      </c>
      <c r="E149" s="146" t="s">
        <v>373</v>
      </c>
      <c r="F149" s="112" t="s">
        <v>77</v>
      </c>
      <c r="G149" s="224" t="s">
        <v>6</v>
      </c>
      <c r="H149" s="58" t="s">
        <v>1549</v>
      </c>
      <c r="I149" s="154" t="s">
        <v>2090</v>
      </c>
      <c r="J149" s="151" t="s">
        <v>2091</v>
      </c>
      <c r="K149" s="51" t="s">
        <v>2097</v>
      </c>
      <c r="L149" s="52">
        <v>11</v>
      </c>
      <c r="M149" s="53">
        <v>13</v>
      </c>
      <c r="N149" s="53">
        <v>4</v>
      </c>
      <c r="O149" s="54" t="s">
        <v>798</v>
      </c>
      <c r="P149" s="113" t="s">
        <v>104</v>
      </c>
      <c r="Q149" s="49">
        <v>45</v>
      </c>
      <c r="R149" s="56" t="s">
        <v>37</v>
      </c>
      <c r="S149" s="243">
        <v>4607958074990</v>
      </c>
      <c r="T149" s="340">
        <v>14607958074997</v>
      </c>
      <c r="U149" s="46">
        <v>4607958074990</v>
      </c>
      <c r="V149" s="46">
        <v>14607958074997</v>
      </c>
      <c r="W149" s="93">
        <v>150</v>
      </c>
      <c r="X149" s="60">
        <v>125</v>
      </c>
      <c r="Y149" s="60">
        <v>40</v>
      </c>
      <c r="Z149" s="65">
        <v>0.3</v>
      </c>
      <c r="AA149" s="271">
        <v>5.0000000000000001E-3</v>
      </c>
      <c r="AB149" s="66">
        <f t="shared" si="160"/>
        <v>0.30499999999999999</v>
      </c>
      <c r="AC149" s="59">
        <v>200</v>
      </c>
      <c r="AD149" s="60">
        <v>150</v>
      </c>
      <c r="AE149" s="60">
        <v>156</v>
      </c>
      <c r="AF149" s="191">
        <v>6</v>
      </c>
      <c r="AG149" s="117">
        <v>600000424</v>
      </c>
      <c r="AH149" s="104">
        <f>справочники!$C$107</f>
        <v>7.3999999999999996E-2</v>
      </c>
      <c r="AI149" s="62">
        <f t="shared" si="119"/>
        <v>1.8</v>
      </c>
      <c r="AJ149" s="122">
        <f t="shared" si="141"/>
        <v>1.9040000000000001</v>
      </c>
      <c r="AK149" s="37">
        <v>30</v>
      </c>
      <c r="AL149" s="38">
        <v>10</v>
      </c>
      <c r="AM149" s="40">
        <f t="shared" si="130"/>
        <v>300</v>
      </c>
      <c r="AN149" s="206">
        <f t="shared" si="159"/>
        <v>1800</v>
      </c>
      <c r="AO149" s="204">
        <f t="shared" si="158"/>
        <v>1705</v>
      </c>
    </row>
    <row r="150" spans="1:41" ht="102.75" customHeight="1" x14ac:dyDescent="0.2">
      <c r="A150" s="22">
        <f t="shared" si="148"/>
        <v>6511</v>
      </c>
      <c r="B150" s="116">
        <v>1001093316511</v>
      </c>
      <c r="C150" s="48" t="s">
        <v>590</v>
      </c>
      <c r="D150" s="49" t="s">
        <v>4</v>
      </c>
      <c r="E150" s="146" t="s">
        <v>373</v>
      </c>
      <c r="F150" s="112" t="s">
        <v>77</v>
      </c>
      <c r="G150" s="224" t="s">
        <v>6</v>
      </c>
      <c r="H150" s="49" t="s">
        <v>135</v>
      </c>
      <c r="I150" s="154" t="s">
        <v>2090</v>
      </c>
      <c r="J150" s="151" t="s">
        <v>2091</v>
      </c>
      <c r="K150" s="51" t="s">
        <v>2097</v>
      </c>
      <c r="L150" s="52">
        <v>11</v>
      </c>
      <c r="M150" s="53">
        <v>13</v>
      </c>
      <c r="N150" s="53">
        <v>4</v>
      </c>
      <c r="O150" s="54" t="s">
        <v>798</v>
      </c>
      <c r="P150" s="113" t="s">
        <v>104</v>
      </c>
      <c r="Q150" s="49">
        <v>10</v>
      </c>
      <c r="R150" s="56" t="s">
        <v>37</v>
      </c>
      <c r="S150" s="243">
        <v>4607958074990</v>
      </c>
      <c r="T150" s="340">
        <v>14607958074997</v>
      </c>
      <c r="U150" s="46" t="s">
        <v>1874</v>
      </c>
      <c r="V150" s="46" t="s">
        <v>1874</v>
      </c>
      <c r="W150" s="93">
        <v>150</v>
      </c>
      <c r="X150" s="60">
        <v>125</v>
      </c>
      <c r="Y150" s="60">
        <v>40</v>
      </c>
      <c r="Z150" s="65">
        <v>0.3</v>
      </c>
      <c r="AA150" s="271">
        <v>5.0000000000000001E-3</v>
      </c>
      <c r="AB150" s="66">
        <f t="shared" si="160"/>
        <v>0.30499999999999999</v>
      </c>
      <c r="AC150" s="59">
        <v>200</v>
      </c>
      <c r="AD150" s="60">
        <v>150</v>
      </c>
      <c r="AE150" s="60">
        <v>156</v>
      </c>
      <c r="AF150" s="191">
        <v>6</v>
      </c>
      <c r="AG150" s="117">
        <v>600000424</v>
      </c>
      <c r="AH150" s="104">
        <f>справочники!$C$107</f>
        <v>7.3999999999999996E-2</v>
      </c>
      <c r="AI150" s="62">
        <f t="shared" si="119"/>
        <v>1.8</v>
      </c>
      <c r="AJ150" s="122">
        <f t="shared" si="141"/>
        <v>1.9040000000000001</v>
      </c>
      <c r="AK150" s="37">
        <v>30</v>
      </c>
      <c r="AL150" s="38">
        <v>10</v>
      </c>
      <c r="AM150" s="40">
        <f t="shared" ref="AM150:AM184" si="175">AK150*AL150</f>
        <v>300</v>
      </c>
      <c r="AN150" s="206">
        <f>IF(D150="ШТ",кол_во_инд.__упак_к*итого_г_у,ROUNDDOWN(номин.вес_нетто_г_у__кг*итого_г_у,1))</f>
        <v>1800</v>
      </c>
      <c r="AO150" s="204">
        <f t="shared" si="158"/>
        <v>1705</v>
      </c>
    </row>
    <row r="151" spans="1:41" ht="102" customHeight="1" x14ac:dyDescent="0.2">
      <c r="A151" s="22">
        <f t="shared" si="148"/>
        <v>7480</v>
      </c>
      <c r="B151" s="116">
        <v>1001093317480</v>
      </c>
      <c r="C151" s="48" t="s">
        <v>1757</v>
      </c>
      <c r="D151" s="49" t="s">
        <v>4</v>
      </c>
      <c r="E151" s="146" t="s">
        <v>373</v>
      </c>
      <c r="F151" s="112" t="s">
        <v>77</v>
      </c>
      <c r="G151" s="224" t="s">
        <v>6</v>
      </c>
      <c r="H151" s="58" t="s">
        <v>1549</v>
      </c>
      <c r="I151" s="154" t="s">
        <v>2090</v>
      </c>
      <c r="J151" s="151" t="s">
        <v>2091</v>
      </c>
      <c r="K151" s="51" t="s">
        <v>2097</v>
      </c>
      <c r="L151" s="52">
        <v>11</v>
      </c>
      <c r="M151" s="53">
        <v>13</v>
      </c>
      <c r="N151" s="53">
        <v>4</v>
      </c>
      <c r="O151" s="54" t="s">
        <v>798</v>
      </c>
      <c r="P151" s="113" t="s">
        <v>104</v>
      </c>
      <c r="Q151" s="49">
        <v>45</v>
      </c>
      <c r="R151" s="56" t="s">
        <v>37</v>
      </c>
      <c r="S151" s="243">
        <v>4630362180964</v>
      </c>
      <c r="T151" s="340">
        <v>14630362180961</v>
      </c>
      <c r="U151" s="46">
        <v>4630362180964</v>
      </c>
      <c r="V151" s="46">
        <v>14630362180961</v>
      </c>
      <c r="W151" s="93">
        <v>150</v>
      </c>
      <c r="X151" s="60">
        <v>125</v>
      </c>
      <c r="Y151" s="60">
        <v>83</v>
      </c>
      <c r="Z151" s="65">
        <v>0.6</v>
      </c>
      <c r="AA151" s="271">
        <v>5.0000000000000001E-3</v>
      </c>
      <c r="AB151" s="66">
        <f t="shared" ref="AB151:AB153" si="176">Z151+AA151</f>
        <v>0.60499999999999998</v>
      </c>
      <c r="AC151" s="59">
        <v>292</v>
      </c>
      <c r="AD151" s="60">
        <v>178</v>
      </c>
      <c r="AE151" s="60">
        <v>178</v>
      </c>
      <c r="AF151" s="191">
        <v>8</v>
      </c>
      <c r="AG151" s="117">
        <v>600000029</v>
      </c>
      <c r="AH151" s="104">
        <f>справочники!$C$21</f>
        <v>0.125</v>
      </c>
      <c r="AI151" s="62">
        <f t="shared" si="119"/>
        <v>4.8</v>
      </c>
      <c r="AJ151" s="122">
        <f t="shared" si="141"/>
        <v>4.9649999999999999</v>
      </c>
      <c r="AK151" s="37">
        <v>16</v>
      </c>
      <c r="AL151" s="38">
        <v>8</v>
      </c>
      <c r="AM151" s="40">
        <f t="shared" si="175"/>
        <v>128</v>
      </c>
      <c r="AN151" s="206">
        <f t="shared" ref="AN151:AN153" si="177">IF(D151="ШТ",кол_во_инд.__упак_к*итого_г_у,ROUNDDOWN(номин.вес_нетто_г_у__кг*итого_г_у,1))</f>
        <v>1024</v>
      </c>
      <c r="AO151" s="204">
        <f t="shared" si="158"/>
        <v>1569</v>
      </c>
    </row>
    <row r="152" spans="1:41" ht="93" customHeight="1" x14ac:dyDescent="0.2">
      <c r="A152" s="22">
        <f t="shared" si="148"/>
        <v>7648</v>
      </c>
      <c r="B152" s="116">
        <v>1001097707648</v>
      </c>
      <c r="C152" s="48" t="s">
        <v>1918</v>
      </c>
      <c r="D152" s="49" t="s">
        <v>4</v>
      </c>
      <c r="E152" s="146" t="s">
        <v>373</v>
      </c>
      <c r="F152" s="112" t="s">
        <v>77</v>
      </c>
      <c r="G152" s="224" t="s">
        <v>2</v>
      </c>
      <c r="H152" s="58" t="s">
        <v>136</v>
      </c>
      <c r="I152" s="154" t="s">
        <v>386</v>
      </c>
      <c r="J152" s="151" t="s">
        <v>1901</v>
      </c>
      <c r="K152" s="51" t="s">
        <v>1902</v>
      </c>
      <c r="L152" s="84">
        <v>15</v>
      </c>
      <c r="M152" s="85">
        <v>3</v>
      </c>
      <c r="N152" s="91">
        <v>3</v>
      </c>
      <c r="O152" s="91" t="s">
        <v>1903</v>
      </c>
      <c r="P152" s="113" t="s">
        <v>104</v>
      </c>
      <c r="Q152" s="87">
        <v>30</v>
      </c>
      <c r="R152" s="56" t="s">
        <v>29</v>
      </c>
      <c r="S152" s="237">
        <v>4630362182876</v>
      </c>
      <c r="T152" s="332">
        <v>24630362182870</v>
      </c>
      <c r="U152" s="237">
        <v>4630362182876</v>
      </c>
      <c r="V152" s="243">
        <v>24630362182870</v>
      </c>
      <c r="W152" s="258">
        <v>195</v>
      </c>
      <c r="X152" s="68">
        <v>137</v>
      </c>
      <c r="Y152" s="68">
        <v>23</v>
      </c>
      <c r="Z152" s="65">
        <v>0.09</v>
      </c>
      <c r="AA152" s="271">
        <v>8.9999999999999993E-3</v>
      </c>
      <c r="AB152" s="66">
        <f t="shared" ref="AB152" si="178">Z152+AA152</f>
        <v>9.8999999999999991E-2</v>
      </c>
      <c r="AC152" s="59">
        <v>204</v>
      </c>
      <c r="AD152" s="60">
        <v>147</v>
      </c>
      <c r="AE152" s="60">
        <v>200</v>
      </c>
      <c r="AF152" s="191">
        <v>8</v>
      </c>
      <c r="AG152" s="117">
        <v>600000603</v>
      </c>
      <c r="AH152" s="104">
        <f>справочники!$C$193</f>
        <v>0.11</v>
      </c>
      <c r="AI152" s="62">
        <f t="shared" si="119"/>
        <v>0.72</v>
      </c>
      <c r="AJ152" s="122">
        <f t="shared" si="141"/>
        <v>0.90199999999999991</v>
      </c>
      <c r="AK152" s="37">
        <v>30</v>
      </c>
      <c r="AL152" s="38">
        <v>8</v>
      </c>
      <c r="AM152" s="40">
        <f t="shared" ref="AM152" si="179">AK152*AL152</f>
        <v>240</v>
      </c>
      <c r="AN152" s="206">
        <f t="shared" ref="AN152" si="180">IF(D152="ШТ",кол_во_инд.__упак_к*итого_г_у,ROUNDDOWN(номин.вес_нетто_г_у__кг*итого_г_у,1))</f>
        <v>1920</v>
      </c>
      <c r="AO152" s="204">
        <f t="shared" si="158"/>
        <v>1745</v>
      </c>
    </row>
    <row r="153" spans="1:41" ht="93" customHeight="1" x14ac:dyDescent="0.2">
      <c r="A153" s="22">
        <f t="shared" si="148"/>
        <v>7647</v>
      </c>
      <c r="B153" s="116">
        <v>1001097747647</v>
      </c>
      <c r="C153" s="48" t="s">
        <v>2063</v>
      </c>
      <c r="D153" s="49" t="s">
        <v>4</v>
      </c>
      <c r="E153" s="146" t="s">
        <v>373</v>
      </c>
      <c r="F153" s="112" t="s">
        <v>77</v>
      </c>
      <c r="G153" s="224" t="s">
        <v>6</v>
      </c>
      <c r="H153" s="58" t="s">
        <v>136</v>
      </c>
      <c r="I153" s="154" t="s">
        <v>386</v>
      </c>
      <c r="J153" s="151" t="s">
        <v>1901</v>
      </c>
      <c r="K153" s="51" t="s">
        <v>1902</v>
      </c>
      <c r="L153" s="84">
        <v>15</v>
      </c>
      <c r="M153" s="85">
        <v>3</v>
      </c>
      <c r="N153" s="91">
        <v>3</v>
      </c>
      <c r="O153" s="91" t="s">
        <v>1903</v>
      </c>
      <c r="P153" s="113" t="s">
        <v>104</v>
      </c>
      <c r="Q153" s="87">
        <v>30</v>
      </c>
      <c r="R153" s="56" t="s">
        <v>29</v>
      </c>
      <c r="S153" s="237">
        <v>4630362182777</v>
      </c>
      <c r="T153" s="332">
        <v>24630362182771</v>
      </c>
      <c r="U153" s="237">
        <v>4630362182777</v>
      </c>
      <c r="V153" s="243">
        <v>24630362182771</v>
      </c>
      <c r="W153" s="258">
        <v>195</v>
      </c>
      <c r="X153" s="68">
        <v>137</v>
      </c>
      <c r="Y153" s="68">
        <v>15</v>
      </c>
      <c r="Z153" s="65">
        <v>0.1</v>
      </c>
      <c r="AA153" s="271">
        <v>1.2999999999999999E-2</v>
      </c>
      <c r="AB153" s="66">
        <f t="shared" si="176"/>
        <v>0.113</v>
      </c>
      <c r="AC153" s="59">
        <v>204</v>
      </c>
      <c r="AD153" s="60">
        <v>147</v>
      </c>
      <c r="AE153" s="60">
        <v>150</v>
      </c>
      <c r="AF153" s="191">
        <v>8</v>
      </c>
      <c r="AG153" s="117">
        <v>600000624</v>
      </c>
      <c r="AH153" s="104">
        <f>справочники!$C$219</f>
        <v>8.5000000000000006E-2</v>
      </c>
      <c r="AI153" s="62">
        <f t="shared" si="119"/>
        <v>0.8</v>
      </c>
      <c r="AJ153" s="122">
        <f t="shared" si="141"/>
        <v>0.98899999999999999</v>
      </c>
      <c r="AK153" s="37">
        <v>30</v>
      </c>
      <c r="AL153" s="38">
        <v>11</v>
      </c>
      <c r="AM153" s="40">
        <f t="shared" si="175"/>
        <v>330</v>
      </c>
      <c r="AN153" s="206">
        <f t="shared" si="177"/>
        <v>2640</v>
      </c>
      <c r="AO153" s="204">
        <f t="shared" si="158"/>
        <v>1795</v>
      </c>
    </row>
    <row r="154" spans="1:41" ht="165.75" x14ac:dyDescent="0.2">
      <c r="A154" s="22">
        <f t="shared" si="148"/>
        <v>7649</v>
      </c>
      <c r="B154" s="116">
        <v>1001097717649</v>
      </c>
      <c r="C154" s="48" t="s">
        <v>1905</v>
      </c>
      <c r="D154" s="49" t="s">
        <v>4</v>
      </c>
      <c r="E154" s="146" t="s">
        <v>373</v>
      </c>
      <c r="F154" s="112" t="s">
        <v>77</v>
      </c>
      <c r="G154" s="224" t="s">
        <v>2</v>
      </c>
      <c r="H154" s="58" t="s">
        <v>136</v>
      </c>
      <c r="I154" s="154" t="s">
        <v>386</v>
      </c>
      <c r="J154" s="151" t="s">
        <v>1901</v>
      </c>
      <c r="K154" s="51" t="s">
        <v>1906</v>
      </c>
      <c r="L154" s="84">
        <v>13</v>
      </c>
      <c r="M154" s="85">
        <v>14</v>
      </c>
      <c r="N154" s="91">
        <v>4</v>
      </c>
      <c r="O154" s="91" t="s">
        <v>1907</v>
      </c>
      <c r="P154" s="113" t="s">
        <v>104</v>
      </c>
      <c r="Q154" s="87">
        <v>30</v>
      </c>
      <c r="R154" s="56" t="s">
        <v>29</v>
      </c>
      <c r="S154" s="237">
        <v>4630362182883</v>
      </c>
      <c r="T154" s="332">
        <v>24630362182887</v>
      </c>
      <c r="U154" s="237">
        <v>4630362182883</v>
      </c>
      <c r="V154" s="243">
        <v>24630362182887</v>
      </c>
      <c r="W154" s="258">
        <v>195</v>
      </c>
      <c r="X154" s="68">
        <v>137</v>
      </c>
      <c r="Y154" s="68">
        <v>18</v>
      </c>
      <c r="Z154" s="65">
        <v>0.1</v>
      </c>
      <c r="AA154" s="271">
        <v>1.2999999999999999E-2</v>
      </c>
      <c r="AB154" s="66">
        <f t="shared" ref="AB154" si="181">Z154+AA154</f>
        <v>0.113</v>
      </c>
      <c r="AC154" s="59">
        <v>204</v>
      </c>
      <c r="AD154" s="60">
        <v>147</v>
      </c>
      <c r="AE154" s="60">
        <v>150</v>
      </c>
      <c r="AF154" s="191">
        <v>8</v>
      </c>
      <c r="AG154" s="117">
        <v>600000602</v>
      </c>
      <c r="AH154" s="104">
        <f>справочники!$C$192</f>
        <v>8.5000000000000006E-2</v>
      </c>
      <c r="AI154" s="62">
        <f t="shared" si="119"/>
        <v>0.8</v>
      </c>
      <c r="AJ154" s="122">
        <f t="shared" si="141"/>
        <v>0.98899999999999999</v>
      </c>
      <c r="AK154" s="37">
        <v>30</v>
      </c>
      <c r="AL154" s="38">
        <v>11</v>
      </c>
      <c r="AM154" s="40">
        <f t="shared" ref="AM154" si="182">AK154*AL154</f>
        <v>330</v>
      </c>
      <c r="AN154" s="206">
        <f t="shared" ref="AN154" si="183">IF(D154="ШТ",кол_во_инд.__упак_к*итого_г_у,ROUNDDOWN(номин.вес_нетто_г_у__кг*итого_г_у,1))</f>
        <v>2640</v>
      </c>
      <c r="AO154" s="204">
        <f t="shared" si="158"/>
        <v>1795</v>
      </c>
    </row>
    <row r="155" spans="1:41" ht="191.25" x14ac:dyDescent="0.2">
      <c r="A155" s="22">
        <f t="shared" si="148"/>
        <v>7650</v>
      </c>
      <c r="B155" s="116">
        <v>1001097757650</v>
      </c>
      <c r="C155" s="48" t="s">
        <v>1908</v>
      </c>
      <c r="D155" s="49" t="s">
        <v>4</v>
      </c>
      <c r="E155" s="146" t="s">
        <v>373</v>
      </c>
      <c r="F155" s="112" t="s">
        <v>77</v>
      </c>
      <c r="G155" s="224" t="s">
        <v>6</v>
      </c>
      <c r="H155" s="58" t="s">
        <v>136</v>
      </c>
      <c r="I155" s="154" t="s">
        <v>917</v>
      </c>
      <c r="J155" s="151" t="s">
        <v>1471</v>
      </c>
      <c r="K155" s="51" t="s">
        <v>1909</v>
      </c>
      <c r="L155" s="84">
        <v>15</v>
      </c>
      <c r="M155" s="85">
        <v>7</v>
      </c>
      <c r="N155" s="91">
        <v>4</v>
      </c>
      <c r="O155" s="91" t="s">
        <v>1910</v>
      </c>
      <c r="P155" s="113" t="s">
        <v>104</v>
      </c>
      <c r="Q155" s="87">
        <v>30</v>
      </c>
      <c r="R155" s="56" t="s">
        <v>29</v>
      </c>
      <c r="S155" s="237">
        <v>4630362182890</v>
      </c>
      <c r="T155" s="332">
        <v>24630362182894</v>
      </c>
      <c r="U155" s="237">
        <v>4630362182890</v>
      </c>
      <c r="V155" s="243">
        <v>24630362182894</v>
      </c>
      <c r="W155" s="258">
        <v>195</v>
      </c>
      <c r="X155" s="68">
        <v>137</v>
      </c>
      <c r="Y155" s="68">
        <v>18</v>
      </c>
      <c r="Z155" s="65">
        <v>0.1</v>
      </c>
      <c r="AA155" s="271">
        <v>1.2999999999999999E-2</v>
      </c>
      <c r="AB155" s="66">
        <f t="shared" ref="AB155:AB156" si="184">Z155+AA155</f>
        <v>0.113</v>
      </c>
      <c r="AC155" s="59">
        <v>204</v>
      </c>
      <c r="AD155" s="60">
        <v>147</v>
      </c>
      <c r="AE155" s="60">
        <v>150</v>
      </c>
      <c r="AF155" s="191">
        <v>8</v>
      </c>
      <c r="AG155" s="117">
        <v>600000624</v>
      </c>
      <c r="AH155" s="104">
        <f>справочники!$C$219</f>
        <v>8.5000000000000006E-2</v>
      </c>
      <c r="AI155" s="62">
        <f t="shared" si="119"/>
        <v>0.8</v>
      </c>
      <c r="AJ155" s="122">
        <f t="shared" si="141"/>
        <v>0.98899999999999999</v>
      </c>
      <c r="AK155" s="37">
        <v>30</v>
      </c>
      <c r="AL155" s="38">
        <v>11</v>
      </c>
      <c r="AM155" s="40">
        <f t="shared" ref="AM155:AM156" si="185">AK155*AL155</f>
        <v>330</v>
      </c>
      <c r="AN155" s="206">
        <f t="shared" ref="AN155:AN156" si="186">IF(D155="ШТ",кол_во_инд.__упак_к*итого_г_у,ROUNDDOWN(номин.вес_нетто_г_у__кг*итого_г_у,1))</f>
        <v>2640</v>
      </c>
      <c r="AO155" s="204">
        <f t="shared" si="158"/>
        <v>1795</v>
      </c>
    </row>
    <row r="156" spans="1:41" ht="165.75" x14ac:dyDescent="0.2">
      <c r="A156" s="22">
        <f t="shared" si="148"/>
        <v>7651</v>
      </c>
      <c r="B156" s="116">
        <v>1001097767651</v>
      </c>
      <c r="C156" s="48" t="s">
        <v>1911</v>
      </c>
      <c r="D156" s="49" t="s">
        <v>4</v>
      </c>
      <c r="E156" s="146" t="s">
        <v>373</v>
      </c>
      <c r="F156" s="112" t="s">
        <v>77</v>
      </c>
      <c r="G156" s="224" t="s">
        <v>6</v>
      </c>
      <c r="H156" s="58" t="s">
        <v>136</v>
      </c>
      <c r="I156" s="154" t="s">
        <v>386</v>
      </c>
      <c r="J156" s="151" t="s">
        <v>1901</v>
      </c>
      <c r="K156" s="51" t="s">
        <v>1906</v>
      </c>
      <c r="L156" s="84">
        <v>13</v>
      </c>
      <c r="M156" s="85">
        <v>14</v>
      </c>
      <c r="N156" s="91">
        <v>4</v>
      </c>
      <c r="O156" s="91" t="s">
        <v>1907</v>
      </c>
      <c r="P156" s="113" t="s">
        <v>104</v>
      </c>
      <c r="Q156" s="87">
        <v>30</v>
      </c>
      <c r="R156" s="56" t="s">
        <v>29</v>
      </c>
      <c r="S156" s="237">
        <v>4630362182869</v>
      </c>
      <c r="T156" s="332">
        <v>24630362182863</v>
      </c>
      <c r="U156" s="237">
        <v>4630362182869</v>
      </c>
      <c r="V156" s="243">
        <v>24630362182863</v>
      </c>
      <c r="W156" s="258">
        <v>195</v>
      </c>
      <c r="X156" s="68">
        <v>137</v>
      </c>
      <c r="Y156" s="68">
        <v>15</v>
      </c>
      <c r="Z156" s="65">
        <v>0.1</v>
      </c>
      <c r="AA156" s="271">
        <v>1.2999999999999999E-2</v>
      </c>
      <c r="AB156" s="66">
        <f t="shared" si="184"/>
        <v>0.113</v>
      </c>
      <c r="AC156" s="59">
        <v>204</v>
      </c>
      <c r="AD156" s="60">
        <v>147</v>
      </c>
      <c r="AE156" s="60">
        <v>150</v>
      </c>
      <c r="AF156" s="191">
        <v>8</v>
      </c>
      <c r="AG156" s="117">
        <v>600000624</v>
      </c>
      <c r="AH156" s="104">
        <f>справочники!$C$219</f>
        <v>8.5000000000000006E-2</v>
      </c>
      <c r="AI156" s="62">
        <f t="shared" si="119"/>
        <v>0.8</v>
      </c>
      <c r="AJ156" s="122">
        <f t="shared" si="141"/>
        <v>0.98899999999999999</v>
      </c>
      <c r="AK156" s="37">
        <v>30</v>
      </c>
      <c r="AL156" s="38">
        <v>11</v>
      </c>
      <c r="AM156" s="40">
        <f t="shared" si="185"/>
        <v>330</v>
      </c>
      <c r="AN156" s="206">
        <f t="shared" si="186"/>
        <v>2640</v>
      </c>
      <c r="AO156" s="204">
        <f t="shared" si="158"/>
        <v>1795</v>
      </c>
    </row>
    <row r="157" spans="1:41" s="22" customFormat="1" ht="191.25" x14ac:dyDescent="0.2">
      <c r="A157" s="22">
        <f t="shared" si="148"/>
        <v>7444</v>
      </c>
      <c r="B157" s="116">
        <v>1001097057444</v>
      </c>
      <c r="C157" s="25" t="s">
        <v>1469</v>
      </c>
      <c r="D157" s="23" t="s">
        <v>4</v>
      </c>
      <c r="E157" s="146" t="s">
        <v>373</v>
      </c>
      <c r="F157" s="132" t="s">
        <v>77</v>
      </c>
      <c r="G157" s="146" t="s">
        <v>1453</v>
      </c>
      <c r="H157" s="24" t="s">
        <v>1454</v>
      </c>
      <c r="I157" s="153" t="s">
        <v>1470</v>
      </c>
      <c r="J157" s="151" t="s">
        <v>1471</v>
      </c>
      <c r="K157" s="26" t="s">
        <v>1472</v>
      </c>
      <c r="L157" s="41">
        <v>12</v>
      </c>
      <c r="M157" s="42">
        <v>6</v>
      </c>
      <c r="N157" s="43">
        <v>5</v>
      </c>
      <c r="O157" s="44" t="s">
        <v>1473</v>
      </c>
      <c r="P157" s="31" t="s">
        <v>104</v>
      </c>
      <c r="Q157" s="31">
        <v>45</v>
      </c>
      <c r="R157" s="32" t="s">
        <v>44</v>
      </c>
      <c r="S157" s="242">
        <v>4630362180575</v>
      </c>
      <c r="T157" s="335">
        <v>14630362180572</v>
      </c>
      <c r="U157" s="46">
        <v>4630362180575</v>
      </c>
      <c r="V157" s="46">
        <v>14630362180572</v>
      </c>
      <c r="W157" s="157">
        <v>190</v>
      </c>
      <c r="X157" s="34">
        <v>67</v>
      </c>
      <c r="Y157" s="34">
        <v>67</v>
      </c>
      <c r="Z157" s="35">
        <v>0.5</v>
      </c>
      <c r="AA157" s="271">
        <v>6.0000000000000001E-3</v>
      </c>
      <c r="AB157" s="36">
        <f t="shared" si="160"/>
        <v>0.50600000000000001</v>
      </c>
      <c r="AC157" s="37">
        <v>278</v>
      </c>
      <c r="AD157" s="38">
        <v>193</v>
      </c>
      <c r="AE157" s="38">
        <v>138</v>
      </c>
      <c r="AF157" s="190">
        <v>8</v>
      </c>
      <c r="AG157" s="117">
        <v>600000404</v>
      </c>
      <c r="AH157" s="103">
        <f>справочники!$C$179</f>
        <v>0.13800000000000001</v>
      </c>
      <c r="AI157" s="39">
        <f t="shared" si="119"/>
        <v>4</v>
      </c>
      <c r="AJ157" s="121">
        <f t="shared" si="141"/>
        <v>4.1859999999999999</v>
      </c>
      <c r="AK157" s="37">
        <v>16</v>
      </c>
      <c r="AL157" s="38">
        <v>9</v>
      </c>
      <c r="AM157" s="40">
        <f t="shared" si="175"/>
        <v>144</v>
      </c>
      <c r="AN157" s="206">
        <f t="shared" ref="AN157" si="187">IF(D157="ШТ",кол_во_инд.__упак_к*итого_г_у,ROUNDDOWN(номин.вес_нетто_г_у__кг*итого_г_у,1))</f>
        <v>1152</v>
      </c>
      <c r="AO157" s="204">
        <f t="shared" si="158"/>
        <v>1387</v>
      </c>
    </row>
    <row r="158" spans="1:41" ht="38.25" x14ac:dyDescent="0.2">
      <c r="A158" s="22">
        <f t="shared" si="148"/>
        <v>7344</v>
      </c>
      <c r="B158" s="159">
        <v>1001122287344</v>
      </c>
      <c r="C158" s="46" t="s">
        <v>1318</v>
      </c>
      <c r="D158" s="49" t="s">
        <v>4</v>
      </c>
      <c r="E158" s="146" t="s">
        <v>373</v>
      </c>
      <c r="F158" s="64" t="s">
        <v>1935</v>
      </c>
      <c r="G158" s="224" t="s">
        <v>2</v>
      </c>
      <c r="H158" s="24" t="s">
        <v>245</v>
      </c>
      <c r="I158" s="153" t="s">
        <v>379</v>
      </c>
      <c r="J158" s="148" t="s">
        <v>404</v>
      </c>
      <c r="K158" s="26" t="s">
        <v>181</v>
      </c>
      <c r="L158" s="27">
        <v>15</v>
      </c>
      <c r="M158" s="28">
        <v>17</v>
      </c>
      <c r="N158" s="53"/>
      <c r="O158" s="29" t="s">
        <v>1319</v>
      </c>
      <c r="P158" s="31" t="s">
        <v>468</v>
      </c>
      <c r="Q158" s="23" t="s">
        <v>1288</v>
      </c>
      <c r="R158" s="163" t="s">
        <v>29</v>
      </c>
      <c r="S158" s="235">
        <v>4670107042324</v>
      </c>
      <c r="T158" s="343">
        <v>14670107042321</v>
      </c>
      <c r="U158" s="46">
        <v>4670107042324</v>
      </c>
      <c r="V158" s="46">
        <v>14670107042321</v>
      </c>
      <c r="W158" s="158">
        <v>75</v>
      </c>
      <c r="X158" s="38">
        <v>75</v>
      </c>
      <c r="Y158" s="38">
        <v>95</v>
      </c>
      <c r="Z158" s="35">
        <v>0.33800000000000002</v>
      </c>
      <c r="AA158" s="271">
        <v>0.04</v>
      </c>
      <c r="AB158" s="36">
        <f t="shared" ref="AB158" si="188">Z158+AA158</f>
        <v>0.378</v>
      </c>
      <c r="AC158" s="33">
        <v>303</v>
      </c>
      <c r="AD158" s="34">
        <v>228</v>
      </c>
      <c r="AE158" s="34">
        <v>97</v>
      </c>
      <c r="AF158" s="193">
        <v>12</v>
      </c>
      <c r="AG158" s="117">
        <v>600000191</v>
      </c>
      <c r="AH158" s="105">
        <f>справочники!$C$46</f>
        <v>0.152</v>
      </c>
      <c r="AI158" s="61">
        <f t="shared" si="119"/>
        <v>4.05</v>
      </c>
      <c r="AJ158" s="123">
        <f>(номин.вес_брутто__кг*кол_во_инд.__упак_к)+вес_короба__кг</f>
        <v>4.6879999999999997</v>
      </c>
      <c r="AK158" s="33">
        <v>13</v>
      </c>
      <c r="AL158" s="34">
        <v>10</v>
      </c>
      <c r="AM158" s="40">
        <f t="shared" ref="AM158" si="189">AK158*AL158</f>
        <v>130</v>
      </c>
      <c r="AN158" s="206">
        <f t="shared" ref="AN158" si="190">IF(D158="ШТ",кол_во_инд.__упак_к*итого_г_у,ROUNDDOWN(номин.вес_нетто_г_у__кг*итого_г_у,1))</f>
        <v>1560</v>
      </c>
      <c r="AO158" s="204">
        <f t="shared" si="158"/>
        <v>1115</v>
      </c>
    </row>
    <row r="159" spans="1:41" ht="38.25" x14ac:dyDescent="0.2">
      <c r="A159" s="22">
        <f t="shared" si="148"/>
        <v>7345</v>
      </c>
      <c r="B159" s="159">
        <v>1001123677345</v>
      </c>
      <c r="C159" s="46" t="s">
        <v>1320</v>
      </c>
      <c r="D159" s="49" t="s">
        <v>4</v>
      </c>
      <c r="E159" s="146" t="s">
        <v>373</v>
      </c>
      <c r="F159" s="64" t="s">
        <v>1935</v>
      </c>
      <c r="G159" s="224" t="s">
        <v>2</v>
      </c>
      <c r="H159" s="24" t="s">
        <v>245</v>
      </c>
      <c r="I159" s="153" t="s">
        <v>379</v>
      </c>
      <c r="J159" s="148" t="s">
        <v>404</v>
      </c>
      <c r="K159" s="26" t="s">
        <v>183</v>
      </c>
      <c r="L159" s="27">
        <v>16</v>
      </c>
      <c r="M159" s="28">
        <v>18</v>
      </c>
      <c r="N159" s="53"/>
      <c r="O159" s="29" t="s">
        <v>1321</v>
      </c>
      <c r="P159" s="31" t="s">
        <v>468</v>
      </c>
      <c r="Q159" s="23" t="s">
        <v>1288</v>
      </c>
      <c r="R159" s="163" t="s">
        <v>29</v>
      </c>
      <c r="S159" s="235">
        <v>4670107042348</v>
      </c>
      <c r="T159" s="343">
        <v>14670107042345</v>
      </c>
      <c r="U159" s="46">
        <v>4670107042348</v>
      </c>
      <c r="V159" s="46">
        <v>14670107042345</v>
      </c>
      <c r="W159" s="158">
        <v>100</v>
      </c>
      <c r="X159" s="38">
        <v>100</v>
      </c>
      <c r="Y159" s="38">
        <v>53</v>
      </c>
      <c r="Z159" s="35">
        <v>0.32500000000000001</v>
      </c>
      <c r="AA159" s="271">
        <v>0.04</v>
      </c>
      <c r="AB159" s="36">
        <f t="shared" ref="AB159" si="191">Z159+AA159</f>
        <v>0.36499999999999999</v>
      </c>
      <c r="AC159" s="37">
        <v>306</v>
      </c>
      <c r="AD159" s="38">
        <v>231</v>
      </c>
      <c r="AE159" s="38">
        <v>101</v>
      </c>
      <c r="AF159" s="190">
        <v>18</v>
      </c>
      <c r="AG159" s="117">
        <v>600000340</v>
      </c>
      <c r="AH159" s="104">
        <f>справочники!$C$72</f>
        <v>0.13</v>
      </c>
      <c r="AI159" s="62">
        <f t="shared" si="119"/>
        <v>5.85</v>
      </c>
      <c r="AJ159" s="122">
        <f>(номин.вес_брутто__кг*кол_во_инд.__упак_к)+вес_короба__кг</f>
        <v>6.7</v>
      </c>
      <c r="AK159" s="37">
        <v>14</v>
      </c>
      <c r="AL159" s="38">
        <v>7</v>
      </c>
      <c r="AM159" s="40">
        <f t="shared" ref="AM159" si="192">AK159*AL159</f>
        <v>98</v>
      </c>
      <c r="AN159" s="206">
        <f t="shared" ref="AN159" si="193">IF(D159="ШТ",кол_во_инд.__упак_к*итого_г_у,ROUNDDOWN(номин.вес_нетто_г_у__кг*итого_г_у,1))</f>
        <v>1764</v>
      </c>
      <c r="AO159" s="204">
        <f t="shared" si="158"/>
        <v>852</v>
      </c>
    </row>
    <row r="160" spans="1:41" ht="33.75" x14ac:dyDescent="0.2">
      <c r="A160" s="22">
        <f t="shared" si="148"/>
        <v>8154</v>
      </c>
      <c r="B160" s="116">
        <v>1001080238154</v>
      </c>
      <c r="C160" s="48" t="s">
        <v>153</v>
      </c>
      <c r="D160" s="49" t="s">
        <v>3</v>
      </c>
      <c r="E160" s="146" t="s">
        <v>373</v>
      </c>
      <c r="F160" s="112" t="s">
        <v>1230</v>
      </c>
      <c r="G160" s="224" t="s">
        <v>2</v>
      </c>
      <c r="H160" s="49" t="s">
        <v>1</v>
      </c>
      <c r="I160" s="154" t="s">
        <v>63</v>
      </c>
      <c r="J160" s="151" t="s">
        <v>466</v>
      </c>
      <c r="K160" s="51" t="s">
        <v>163</v>
      </c>
      <c r="L160" s="52">
        <v>19</v>
      </c>
      <c r="M160" s="53">
        <v>30</v>
      </c>
      <c r="N160" s="53"/>
      <c r="O160" s="54" t="s">
        <v>64</v>
      </c>
      <c r="P160" s="113" t="s">
        <v>104</v>
      </c>
      <c r="Q160" s="49">
        <v>10</v>
      </c>
      <c r="R160" s="56" t="s">
        <v>29</v>
      </c>
      <c r="S160" s="120">
        <v>2543453000008</v>
      </c>
      <c r="T160" s="342">
        <v>12543453000005</v>
      </c>
      <c r="U160" s="46">
        <v>4630362181459</v>
      </c>
      <c r="V160" s="46">
        <v>14630362181456</v>
      </c>
      <c r="W160" s="255" t="s">
        <v>65</v>
      </c>
      <c r="X160" s="97">
        <v>180</v>
      </c>
      <c r="Y160" s="97" t="s">
        <v>66</v>
      </c>
      <c r="Z160" s="65">
        <v>1.85</v>
      </c>
      <c r="AA160" s="271">
        <v>8.9999999999999993E-3</v>
      </c>
      <c r="AB160" s="66">
        <f t="shared" si="160"/>
        <v>1.859</v>
      </c>
      <c r="AC160" s="59">
        <v>292</v>
      </c>
      <c r="AD160" s="60">
        <v>193</v>
      </c>
      <c r="AE160" s="60">
        <v>188</v>
      </c>
      <c r="AF160" s="191">
        <v>2</v>
      </c>
      <c r="AG160" s="117">
        <v>600000031</v>
      </c>
      <c r="AH160" s="104">
        <f>справочники!$C$23</f>
        <v>0.17199999999999999</v>
      </c>
      <c r="AI160" s="62">
        <f t="shared" si="119"/>
        <v>3.7</v>
      </c>
      <c r="AJ160" s="122">
        <f t="shared" ref="AJ160:AJ172" si="194">(номин.вес_брутто__кг*кол_во_инд.__упак_к)+вес_короба__кг</f>
        <v>3.89</v>
      </c>
      <c r="AK160" s="37">
        <v>16</v>
      </c>
      <c r="AL160" s="38">
        <v>8</v>
      </c>
      <c r="AM160" s="40">
        <f t="shared" si="175"/>
        <v>128</v>
      </c>
      <c r="AN160" s="214">
        <f t="shared" si="159"/>
        <v>473.6</v>
      </c>
      <c r="AO160" s="204">
        <f t="shared" si="158"/>
        <v>1649</v>
      </c>
    </row>
    <row r="161" spans="1:41" ht="93.6" customHeight="1" x14ac:dyDescent="0.2">
      <c r="A161" s="22">
        <f t="shared" si="148"/>
        <v>6843</v>
      </c>
      <c r="B161" s="116">
        <v>1001080226843</v>
      </c>
      <c r="C161" s="48" t="s">
        <v>852</v>
      </c>
      <c r="D161" s="49" t="s">
        <v>3</v>
      </c>
      <c r="E161" s="146" t="s">
        <v>373</v>
      </c>
      <c r="F161" s="112" t="s">
        <v>1230</v>
      </c>
      <c r="G161" s="224" t="s">
        <v>6</v>
      </c>
      <c r="H161" s="49" t="s">
        <v>1</v>
      </c>
      <c r="I161" s="154" t="s">
        <v>1939</v>
      </c>
      <c r="J161" s="151" t="s">
        <v>1942</v>
      </c>
      <c r="K161" s="51" t="s">
        <v>1943</v>
      </c>
      <c r="L161" s="52">
        <v>15</v>
      </c>
      <c r="M161" s="53">
        <v>5</v>
      </c>
      <c r="N161" s="53">
        <v>4</v>
      </c>
      <c r="O161" s="54" t="s">
        <v>1150</v>
      </c>
      <c r="P161" s="113" t="s">
        <v>104</v>
      </c>
      <c r="Q161" s="49">
        <v>30</v>
      </c>
      <c r="R161" s="56" t="s">
        <v>37</v>
      </c>
      <c r="S161" s="120">
        <v>2800850000001</v>
      </c>
      <c r="T161" s="342">
        <v>12800850000008</v>
      </c>
      <c r="U161" s="46">
        <v>4607958079780</v>
      </c>
      <c r="V161" s="46">
        <v>14607958079787</v>
      </c>
      <c r="W161" s="93">
        <v>225</v>
      </c>
      <c r="X161" s="60">
        <v>130</v>
      </c>
      <c r="Y161" s="60">
        <v>100</v>
      </c>
      <c r="Z161" s="65">
        <v>1.45</v>
      </c>
      <c r="AA161" s="271">
        <v>8.9999999999999993E-3</v>
      </c>
      <c r="AB161" s="66">
        <f t="shared" si="160"/>
        <v>1.4589999999999999</v>
      </c>
      <c r="AC161" s="59">
        <v>378</v>
      </c>
      <c r="AD161" s="60">
        <v>156</v>
      </c>
      <c r="AE161" s="60">
        <v>138</v>
      </c>
      <c r="AF161" s="191">
        <v>4</v>
      </c>
      <c r="AG161" s="117">
        <v>600000019</v>
      </c>
      <c r="AH161" s="104">
        <f>справочники!$C$11</f>
        <v>0.114</v>
      </c>
      <c r="AI161" s="62">
        <f t="shared" si="119"/>
        <v>5.8</v>
      </c>
      <c r="AJ161" s="122">
        <f t="shared" si="194"/>
        <v>5.9499999999999993</v>
      </c>
      <c r="AK161" s="37">
        <v>15</v>
      </c>
      <c r="AL161" s="38">
        <v>7</v>
      </c>
      <c r="AM161" s="40">
        <f t="shared" si="175"/>
        <v>105</v>
      </c>
      <c r="AN161" s="214">
        <f>IF(D161="ШТ",кол_во_инд.__упак_к*итого_г_у,ROUNDDOWN(номин.вес_нетто_г_у__кг*итого_г_у,1))</f>
        <v>609</v>
      </c>
      <c r="AO161" s="204">
        <f t="shared" si="158"/>
        <v>1111</v>
      </c>
    </row>
    <row r="162" spans="1:41" ht="94.15" customHeight="1" x14ac:dyDescent="0.2">
      <c r="A162" s="22">
        <f t="shared" si="148"/>
        <v>6932</v>
      </c>
      <c r="B162" s="116">
        <v>1001080226932</v>
      </c>
      <c r="C162" s="48" t="s">
        <v>925</v>
      </c>
      <c r="D162" s="49" t="s">
        <v>3</v>
      </c>
      <c r="E162" s="146" t="s">
        <v>373</v>
      </c>
      <c r="F162" s="112" t="s">
        <v>1230</v>
      </c>
      <c r="G162" s="224" t="s">
        <v>6</v>
      </c>
      <c r="H162" s="49" t="s">
        <v>1</v>
      </c>
      <c r="I162" s="154" t="s">
        <v>1939</v>
      </c>
      <c r="J162" s="151" t="s">
        <v>1942</v>
      </c>
      <c r="K162" s="51" t="s">
        <v>1943</v>
      </c>
      <c r="L162" s="52">
        <v>15</v>
      </c>
      <c r="M162" s="53">
        <v>5</v>
      </c>
      <c r="N162" s="53">
        <v>4</v>
      </c>
      <c r="O162" s="54" t="s">
        <v>1150</v>
      </c>
      <c r="P162" s="113" t="s">
        <v>104</v>
      </c>
      <c r="Q162" s="49">
        <v>30</v>
      </c>
      <c r="R162" s="56" t="s">
        <v>37</v>
      </c>
      <c r="S162" s="120">
        <v>2912160000005</v>
      </c>
      <c r="T162" s="342">
        <v>12912160000002</v>
      </c>
      <c r="U162" s="46">
        <v>4607958079780</v>
      </c>
      <c r="V162" s="46">
        <v>14607958079787</v>
      </c>
      <c r="W162" s="93">
        <v>225</v>
      </c>
      <c r="X162" s="60">
        <v>130</v>
      </c>
      <c r="Y162" s="60">
        <v>100</v>
      </c>
      <c r="Z162" s="65">
        <v>1.425</v>
      </c>
      <c r="AA162" s="271">
        <v>8.9999999999999993E-3</v>
      </c>
      <c r="AB162" s="66">
        <f t="shared" si="160"/>
        <v>1.4339999999999999</v>
      </c>
      <c r="AC162" s="59">
        <v>378</v>
      </c>
      <c r="AD162" s="60">
        <v>156</v>
      </c>
      <c r="AE162" s="60">
        <v>138</v>
      </c>
      <c r="AF162" s="191">
        <v>4</v>
      </c>
      <c r="AG162" s="117">
        <v>600000019</v>
      </c>
      <c r="AH162" s="104">
        <f>справочники!$C$11</f>
        <v>0.114</v>
      </c>
      <c r="AI162" s="62">
        <f t="shared" si="119"/>
        <v>5.7</v>
      </c>
      <c r="AJ162" s="122">
        <f t="shared" si="194"/>
        <v>5.85</v>
      </c>
      <c r="AK162" s="37">
        <v>15</v>
      </c>
      <c r="AL162" s="38">
        <v>7</v>
      </c>
      <c r="AM162" s="40">
        <f t="shared" si="175"/>
        <v>105</v>
      </c>
      <c r="AN162" s="214">
        <f>IF(D162="ШТ",кол_во_инд.__упак_к*итого_г_у,ROUNDDOWN(номин.вес_нетто_г_у__кг*итого_г_у,1))</f>
        <v>598.5</v>
      </c>
      <c r="AO162" s="204">
        <f t="shared" si="158"/>
        <v>1111</v>
      </c>
    </row>
    <row r="163" spans="1:41" ht="114.75" x14ac:dyDescent="0.2">
      <c r="A163" s="22">
        <f t="shared" si="148"/>
        <v>6933</v>
      </c>
      <c r="B163" s="116">
        <v>1001085476933</v>
      </c>
      <c r="C163" s="48" t="s">
        <v>926</v>
      </c>
      <c r="D163" s="49" t="s">
        <v>3</v>
      </c>
      <c r="E163" s="146" t="s">
        <v>373</v>
      </c>
      <c r="F163" s="112" t="s">
        <v>1230</v>
      </c>
      <c r="G163" s="224" t="s">
        <v>6</v>
      </c>
      <c r="H163" s="49" t="s">
        <v>1</v>
      </c>
      <c r="I163" s="154" t="s">
        <v>1939</v>
      </c>
      <c r="J163" s="151" t="s">
        <v>1942</v>
      </c>
      <c r="K163" s="51" t="s">
        <v>1945</v>
      </c>
      <c r="L163" s="52">
        <v>15</v>
      </c>
      <c r="M163" s="53">
        <v>6</v>
      </c>
      <c r="N163" s="53">
        <v>1</v>
      </c>
      <c r="O163" s="54" t="s">
        <v>1944</v>
      </c>
      <c r="P163" s="113" t="s">
        <v>104</v>
      </c>
      <c r="Q163" s="49">
        <v>45</v>
      </c>
      <c r="R163" s="56" t="s">
        <v>37</v>
      </c>
      <c r="S163" s="120">
        <v>2776000000002</v>
      </c>
      <c r="T163" s="342">
        <v>12776000000009</v>
      </c>
      <c r="U163" s="46">
        <v>4630362181473</v>
      </c>
      <c r="V163" s="46">
        <v>14630362181470</v>
      </c>
      <c r="W163" s="255" t="s">
        <v>69</v>
      </c>
      <c r="X163" s="97" t="s">
        <v>70</v>
      </c>
      <c r="Y163" s="97">
        <v>65</v>
      </c>
      <c r="Z163" s="65">
        <v>1.375</v>
      </c>
      <c r="AA163" s="271">
        <v>0.01</v>
      </c>
      <c r="AB163" s="66">
        <f t="shared" si="160"/>
        <v>1.385</v>
      </c>
      <c r="AC163" s="59">
        <v>388</v>
      </c>
      <c r="AD163" s="60">
        <v>193</v>
      </c>
      <c r="AE163" s="60">
        <v>158</v>
      </c>
      <c r="AF163" s="191">
        <v>4</v>
      </c>
      <c r="AG163" s="117">
        <v>600000018</v>
      </c>
      <c r="AH163" s="104">
        <f>справочники!$C$10</f>
        <v>0.161</v>
      </c>
      <c r="AI163" s="62">
        <f t="shared" si="119"/>
        <v>5.5</v>
      </c>
      <c r="AJ163" s="122">
        <f t="shared" si="194"/>
        <v>5.7009999999999996</v>
      </c>
      <c r="AK163" s="37">
        <v>12</v>
      </c>
      <c r="AL163" s="38">
        <v>9</v>
      </c>
      <c r="AM163" s="40">
        <f t="shared" si="175"/>
        <v>108</v>
      </c>
      <c r="AN163" s="214">
        <f>IF(D163="ШТ",кол_во_инд.__упак_к*итого_г_у,ROUNDDOWN(номин.вес_нетто_г_у__кг*итого_г_у,1))</f>
        <v>594</v>
      </c>
      <c r="AO163" s="204">
        <f t="shared" si="158"/>
        <v>1567</v>
      </c>
    </row>
    <row r="164" spans="1:41" ht="114.75" x14ac:dyDescent="0.2">
      <c r="A164" s="22">
        <f t="shared" si="148"/>
        <v>6929</v>
      </c>
      <c r="B164" s="116">
        <v>1001085476929</v>
      </c>
      <c r="C164" s="48" t="s">
        <v>923</v>
      </c>
      <c r="D164" s="49" t="s">
        <v>3</v>
      </c>
      <c r="E164" s="146" t="s">
        <v>373</v>
      </c>
      <c r="F164" s="112" t="s">
        <v>1230</v>
      </c>
      <c r="G164" s="224" t="s">
        <v>6</v>
      </c>
      <c r="H164" s="49" t="s">
        <v>1</v>
      </c>
      <c r="I164" s="154" t="s">
        <v>1939</v>
      </c>
      <c r="J164" s="151" t="s">
        <v>1942</v>
      </c>
      <c r="K164" s="51" t="s">
        <v>1945</v>
      </c>
      <c r="L164" s="52">
        <v>15</v>
      </c>
      <c r="M164" s="53">
        <v>6</v>
      </c>
      <c r="N164" s="53">
        <v>1</v>
      </c>
      <c r="O164" s="54" t="s">
        <v>1944</v>
      </c>
      <c r="P164" s="113" t="s">
        <v>104</v>
      </c>
      <c r="Q164" s="49">
        <v>45</v>
      </c>
      <c r="R164" s="56" t="s">
        <v>37</v>
      </c>
      <c r="S164" s="120">
        <v>2446866000002</v>
      </c>
      <c r="T164" s="342">
        <v>12446866000009</v>
      </c>
      <c r="U164" s="46">
        <v>4630362181473</v>
      </c>
      <c r="V164" s="46">
        <v>14630362181470</v>
      </c>
      <c r="W164" s="255" t="s">
        <v>69</v>
      </c>
      <c r="X164" s="97" t="s">
        <v>70</v>
      </c>
      <c r="Y164" s="97">
        <v>65</v>
      </c>
      <c r="Z164" s="65">
        <v>1.375</v>
      </c>
      <c r="AA164" s="271">
        <v>0.01</v>
      </c>
      <c r="AB164" s="66">
        <f t="shared" si="160"/>
        <v>1.385</v>
      </c>
      <c r="AC164" s="59">
        <v>388</v>
      </c>
      <c r="AD164" s="60">
        <v>193</v>
      </c>
      <c r="AE164" s="60">
        <v>158</v>
      </c>
      <c r="AF164" s="191">
        <v>4</v>
      </c>
      <c r="AG164" s="117">
        <v>600000018</v>
      </c>
      <c r="AH164" s="104">
        <f>справочники!$C$10</f>
        <v>0.161</v>
      </c>
      <c r="AI164" s="62">
        <f t="shared" si="119"/>
        <v>5.5</v>
      </c>
      <c r="AJ164" s="122">
        <f t="shared" si="194"/>
        <v>5.7009999999999996</v>
      </c>
      <c r="AK164" s="37">
        <v>12</v>
      </c>
      <c r="AL164" s="38">
        <v>9</v>
      </c>
      <c r="AM164" s="40">
        <f t="shared" si="175"/>
        <v>108</v>
      </c>
      <c r="AN164" s="214">
        <f t="shared" si="159"/>
        <v>594</v>
      </c>
      <c r="AO164" s="204">
        <f t="shared" si="158"/>
        <v>1567</v>
      </c>
    </row>
    <row r="165" spans="1:41" ht="79.150000000000006" customHeight="1" x14ac:dyDescent="0.2">
      <c r="A165" s="22">
        <f t="shared" si="148"/>
        <v>6930</v>
      </c>
      <c r="B165" s="116">
        <v>1001085476930</v>
      </c>
      <c r="C165" s="55" t="s">
        <v>924</v>
      </c>
      <c r="D165" s="49" t="s">
        <v>3</v>
      </c>
      <c r="E165" s="146" t="s">
        <v>373</v>
      </c>
      <c r="F165" s="112" t="s">
        <v>1230</v>
      </c>
      <c r="G165" s="224" t="s">
        <v>6</v>
      </c>
      <c r="H165" s="49" t="s">
        <v>1</v>
      </c>
      <c r="I165" s="154" t="s">
        <v>1939</v>
      </c>
      <c r="J165" s="151" t="s">
        <v>1942</v>
      </c>
      <c r="K165" s="51" t="s">
        <v>1945</v>
      </c>
      <c r="L165" s="52">
        <v>15</v>
      </c>
      <c r="M165" s="53">
        <v>6</v>
      </c>
      <c r="N165" s="53">
        <v>1</v>
      </c>
      <c r="O165" s="54" t="s">
        <v>1944</v>
      </c>
      <c r="P165" s="113" t="s">
        <v>104</v>
      </c>
      <c r="Q165" s="49">
        <v>45</v>
      </c>
      <c r="R165" s="56" t="s">
        <v>37</v>
      </c>
      <c r="S165" s="120">
        <v>2525937000001</v>
      </c>
      <c r="T165" s="342">
        <v>12525937000008</v>
      </c>
      <c r="U165" s="46">
        <v>4630362181473</v>
      </c>
      <c r="V165" s="46">
        <v>14630362181470</v>
      </c>
      <c r="W165" s="255" t="s">
        <v>69</v>
      </c>
      <c r="X165" s="97" t="s">
        <v>70</v>
      </c>
      <c r="Y165" s="97">
        <v>65</v>
      </c>
      <c r="Z165" s="65">
        <v>1.4</v>
      </c>
      <c r="AA165" s="271">
        <v>0.01</v>
      </c>
      <c r="AB165" s="66">
        <f t="shared" si="160"/>
        <v>1.41</v>
      </c>
      <c r="AC165" s="59">
        <v>388</v>
      </c>
      <c r="AD165" s="68">
        <v>193</v>
      </c>
      <c r="AE165" s="60">
        <v>158</v>
      </c>
      <c r="AF165" s="191">
        <v>4</v>
      </c>
      <c r="AG165" s="117">
        <v>600000018</v>
      </c>
      <c r="AH165" s="104">
        <f>справочники!$C$10</f>
        <v>0.161</v>
      </c>
      <c r="AI165" s="62">
        <f t="shared" si="119"/>
        <v>5.6</v>
      </c>
      <c r="AJ165" s="122">
        <f t="shared" si="194"/>
        <v>5.8009999999999993</v>
      </c>
      <c r="AK165" s="37">
        <v>12</v>
      </c>
      <c r="AL165" s="38">
        <v>9</v>
      </c>
      <c r="AM165" s="40">
        <f t="shared" si="175"/>
        <v>108</v>
      </c>
      <c r="AN165" s="214">
        <f>IF(D165="ШТ",кол_во_инд.__упак_к*итого_г_у,ROUNDDOWN(номин.вес_нетто_г_у__кг*итого_г_у,1))</f>
        <v>604.79999999999995</v>
      </c>
      <c r="AO165" s="204">
        <f t="shared" si="158"/>
        <v>1567</v>
      </c>
    </row>
    <row r="166" spans="1:41" ht="63.75" x14ac:dyDescent="0.2">
      <c r="A166" s="22">
        <f t="shared" si="148"/>
        <v>6620</v>
      </c>
      <c r="B166" s="116">
        <v>1001081596620</v>
      </c>
      <c r="C166" s="48" t="s">
        <v>627</v>
      </c>
      <c r="D166" s="49" t="s">
        <v>3</v>
      </c>
      <c r="E166" s="146" t="s">
        <v>373</v>
      </c>
      <c r="F166" s="112" t="s">
        <v>1230</v>
      </c>
      <c r="G166" s="224" t="s">
        <v>6</v>
      </c>
      <c r="H166" s="49" t="s">
        <v>1</v>
      </c>
      <c r="I166" s="154" t="s">
        <v>1939</v>
      </c>
      <c r="J166" s="150" t="s">
        <v>1946</v>
      </c>
      <c r="K166" s="51" t="s">
        <v>1948</v>
      </c>
      <c r="L166" s="52">
        <v>17</v>
      </c>
      <c r="M166" s="53">
        <v>27</v>
      </c>
      <c r="N166" s="53">
        <v>1</v>
      </c>
      <c r="O166" s="54" t="s">
        <v>1947</v>
      </c>
      <c r="P166" s="113" t="s">
        <v>104</v>
      </c>
      <c r="Q166" s="49">
        <v>30</v>
      </c>
      <c r="R166" s="56" t="s">
        <v>37</v>
      </c>
      <c r="S166" s="243">
        <v>2800254000003</v>
      </c>
      <c r="T166" s="340">
        <v>12800254000000</v>
      </c>
      <c r="U166" s="46">
        <v>4607958078158</v>
      </c>
      <c r="V166" s="46">
        <v>14607958078155</v>
      </c>
      <c r="W166" s="256" t="s">
        <v>305</v>
      </c>
      <c r="X166" s="165" t="s">
        <v>306</v>
      </c>
      <c r="Y166" s="165" t="s">
        <v>68</v>
      </c>
      <c r="Z166" s="65">
        <v>1.05</v>
      </c>
      <c r="AA166" s="271">
        <v>2.1999999999999999E-2</v>
      </c>
      <c r="AB166" s="66">
        <f t="shared" si="160"/>
        <v>1.0720000000000001</v>
      </c>
      <c r="AC166" s="59">
        <v>292</v>
      </c>
      <c r="AD166" s="60">
        <v>193</v>
      </c>
      <c r="AE166" s="60">
        <v>188</v>
      </c>
      <c r="AF166" s="191">
        <v>3</v>
      </c>
      <c r="AG166" s="117">
        <v>600000031</v>
      </c>
      <c r="AH166" s="104">
        <f>справочники!$C$23</f>
        <v>0.17199999999999999</v>
      </c>
      <c r="AI166" s="62">
        <f t="shared" ref="AI166:AI236" si="195">ROUNDDOWN(номин.вес_нетто__кг*кол_во_инд.__упак_к,2)</f>
        <v>3.15</v>
      </c>
      <c r="AJ166" s="122">
        <f t="shared" si="194"/>
        <v>3.3880000000000003</v>
      </c>
      <c r="AK166" s="37">
        <v>16</v>
      </c>
      <c r="AL166" s="38">
        <v>8</v>
      </c>
      <c r="AM166" s="40">
        <f t="shared" si="175"/>
        <v>128</v>
      </c>
      <c r="AN166" s="214">
        <f>IF(D166="ШТ",кол_во_инд.__упак_к*итого_г_у,ROUNDDOWN(номин.вес_нетто_г_у__кг*итого_г_у,1))</f>
        <v>403.2</v>
      </c>
      <c r="AO166" s="204">
        <f t="shared" si="158"/>
        <v>1649</v>
      </c>
    </row>
    <row r="167" spans="1:41" ht="51" x14ac:dyDescent="0.2">
      <c r="A167" s="22">
        <f t="shared" si="148"/>
        <v>6189</v>
      </c>
      <c r="B167" s="116">
        <v>1001084856189</v>
      </c>
      <c r="C167" s="48" t="s">
        <v>314</v>
      </c>
      <c r="D167" s="49" t="s">
        <v>3</v>
      </c>
      <c r="E167" s="146" t="s">
        <v>373</v>
      </c>
      <c r="F167" s="112" t="s">
        <v>1230</v>
      </c>
      <c r="G167" s="224" t="s">
        <v>6</v>
      </c>
      <c r="H167" s="49" t="s">
        <v>1</v>
      </c>
      <c r="I167" s="154" t="s">
        <v>1950</v>
      </c>
      <c r="J167" s="150" t="s">
        <v>1949</v>
      </c>
      <c r="K167" s="98" t="s">
        <v>1951</v>
      </c>
      <c r="L167" s="52">
        <v>12</v>
      </c>
      <c r="M167" s="53">
        <v>40</v>
      </c>
      <c r="N167" s="53">
        <v>1</v>
      </c>
      <c r="O167" s="54" t="s">
        <v>1952</v>
      </c>
      <c r="P167" s="113" t="s">
        <v>104</v>
      </c>
      <c r="Q167" s="49">
        <v>40</v>
      </c>
      <c r="R167" s="56" t="s">
        <v>37</v>
      </c>
      <c r="S167" s="243">
        <v>2776820000008</v>
      </c>
      <c r="T167" s="340">
        <v>12776820000005</v>
      </c>
      <c r="U167" s="46">
        <v>4607958078103</v>
      </c>
      <c r="V167" s="46">
        <v>14607958078100</v>
      </c>
      <c r="W167" s="255" t="s">
        <v>285</v>
      </c>
      <c r="X167" s="97" t="s">
        <v>70</v>
      </c>
      <c r="Y167" s="97" t="s">
        <v>286</v>
      </c>
      <c r="Z167" s="65">
        <v>0.29199999999999998</v>
      </c>
      <c r="AA167" s="271">
        <v>5.0000000000000001E-3</v>
      </c>
      <c r="AB167" s="66">
        <f t="shared" si="160"/>
        <v>0.29699999999999999</v>
      </c>
      <c r="AC167" s="59">
        <v>218</v>
      </c>
      <c r="AD167" s="60">
        <v>193</v>
      </c>
      <c r="AE167" s="60">
        <v>108</v>
      </c>
      <c r="AF167" s="191">
        <v>6</v>
      </c>
      <c r="AG167" s="117">
        <v>600000150</v>
      </c>
      <c r="AH167" s="104">
        <f>справочники!$C$43</f>
        <v>8.5999999999999993E-2</v>
      </c>
      <c r="AI167" s="62">
        <f t="shared" si="195"/>
        <v>1.75</v>
      </c>
      <c r="AJ167" s="122">
        <f t="shared" si="194"/>
        <v>1.8680000000000001</v>
      </c>
      <c r="AK167" s="37">
        <v>20</v>
      </c>
      <c r="AL167" s="38">
        <v>14</v>
      </c>
      <c r="AM167" s="40">
        <f t="shared" si="175"/>
        <v>280</v>
      </c>
      <c r="AN167" s="214">
        <f t="shared" si="159"/>
        <v>490</v>
      </c>
      <c r="AO167" s="204">
        <f t="shared" si="158"/>
        <v>1657</v>
      </c>
    </row>
    <row r="168" spans="1:41" ht="51" x14ac:dyDescent="0.2">
      <c r="A168" s="22">
        <f t="shared" si="148"/>
        <v>6008</v>
      </c>
      <c r="B168" s="116">
        <v>1001084856008</v>
      </c>
      <c r="C168" s="48" t="s">
        <v>284</v>
      </c>
      <c r="D168" s="49" t="s">
        <v>3</v>
      </c>
      <c r="E168" s="146" t="s">
        <v>373</v>
      </c>
      <c r="F168" s="112" t="s">
        <v>1230</v>
      </c>
      <c r="G168" s="224" t="s">
        <v>6</v>
      </c>
      <c r="H168" s="49" t="s">
        <v>1</v>
      </c>
      <c r="I168" s="154" t="s">
        <v>1950</v>
      </c>
      <c r="J168" s="150" t="s">
        <v>1949</v>
      </c>
      <c r="K168" s="98" t="s">
        <v>1951</v>
      </c>
      <c r="L168" s="52">
        <v>12</v>
      </c>
      <c r="M168" s="53">
        <v>40</v>
      </c>
      <c r="N168" s="53">
        <v>1</v>
      </c>
      <c r="O168" s="54" t="s">
        <v>1952</v>
      </c>
      <c r="P168" s="113" t="s">
        <v>104</v>
      </c>
      <c r="Q168" s="49">
        <v>40</v>
      </c>
      <c r="R168" s="56" t="s">
        <v>37</v>
      </c>
      <c r="S168" s="243">
        <v>2909186000003</v>
      </c>
      <c r="T168" s="340">
        <v>12909186000000</v>
      </c>
      <c r="U168" s="46">
        <v>4607958078103</v>
      </c>
      <c r="V168" s="46">
        <v>14607958078100</v>
      </c>
      <c r="W168" s="255" t="s">
        <v>285</v>
      </c>
      <c r="X168" s="97" t="s">
        <v>70</v>
      </c>
      <c r="Y168" s="97" t="s">
        <v>286</v>
      </c>
      <c r="Z168" s="65">
        <v>0.3</v>
      </c>
      <c r="AA168" s="271">
        <v>5.0000000000000001E-3</v>
      </c>
      <c r="AB168" s="66">
        <f t="shared" si="160"/>
        <v>0.30499999999999999</v>
      </c>
      <c r="AC168" s="59">
        <v>218</v>
      </c>
      <c r="AD168" s="60">
        <v>193</v>
      </c>
      <c r="AE168" s="60">
        <v>108</v>
      </c>
      <c r="AF168" s="191">
        <v>6</v>
      </c>
      <c r="AG168" s="117">
        <v>600000150</v>
      </c>
      <c r="AH168" s="104">
        <f>справочники!$C$43</f>
        <v>8.5999999999999993E-2</v>
      </c>
      <c r="AI168" s="62">
        <f t="shared" si="195"/>
        <v>1.8</v>
      </c>
      <c r="AJ168" s="122">
        <f t="shared" si="194"/>
        <v>1.9160000000000001</v>
      </c>
      <c r="AK168" s="37">
        <v>20</v>
      </c>
      <c r="AL168" s="38">
        <v>14</v>
      </c>
      <c r="AM168" s="40">
        <f t="shared" si="175"/>
        <v>280</v>
      </c>
      <c r="AN168" s="214">
        <f t="shared" si="159"/>
        <v>504</v>
      </c>
      <c r="AO168" s="204">
        <f t="shared" si="158"/>
        <v>1657</v>
      </c>
    </row>
    <row r="169" spans="1:41" ht="51" x14ac:dyDescent="0.2">
      <c r="A169" s="22">
        <f t="shared" si="148"/>
        <v>7510</v>
      </c>
      <c r="B169" s="116">
        <v>1001454857510</v>
      </c>
      <c r="C169" s="48" t="s">
        <v>1623</v>
      </c>
      <c r="D169" s="49" t="s">
        <v>3</v>
      </c>
      <c r="E169" s="146" t="s">
        <v>373</v>
      </c>
      <c r="F169" s="112" t="s">
        <v>1230</v>
      </c>
      <c r="G169" s="224" t="s">
        <v>6</v>
      </c>
      <c r="H169" s="49" t="s">
        <v>1</v>
      </c>
      <c r="I169" s="154" t="s">
        <v>1950</v>
      </c>
      <c r="J169" s="150" t="s">
        <v>1949</v>
      </c>
      <c r="K169" s="98" t="s">
        <v>1951</v>
      </c>
      <c r="L169" s="52">
        <v>12</v>
      </c>
      <c r="M169" s="53">
        <v>40</v>
      </c>
      <c r="N169" s="53">
        <v>1</v>
      </c>
      <c r="O169" s="54" t="s">
        <v>1952</v>
      </c>
      <c r="P169" s="113" t="s">
        <v>104</v>
      </c>
      <c r="Q169" s="49">
        <v>40</v>
      </c>
      <c r="R169" s="56" t="s">
        <v>37</v>
      </c>
      <c r="S169" s="243">
        <v>2325182000005</v>
      </c>
      <c r="T169" s="340">
        <v>12325182000002</v>
      </c>
      <c r="U169" s="46">
        <v>4607958078103</v>
      </c>
      <c r="V169" s="46">
        <v>14607958078100</v>
      </c>
      <c r="W169" s="255" t="s">
        <v>285</v>
      </c>
      <c r="X169" s="97" t="s">
        <v>70</v>
      </c>
      <c r="Y169" s="97" t="s">
        <v>286</v>
      </c>
      <c r="Z169" s="65">
        <v>0.3</v>
      </c>
      <c r="AA169" s="271">
        <v>5.0000000000000001E-3</v>
      </c>
      <c r="AB169" s="66">
        <f t="shared" ref="AB169" si="196">Z169+AA169</f>
        <v>0.30499999999999999</v>
      </c>
      <c r="AC169" s="59">
        <v>218</v>
      </c>
      <c r="AD169" s="60">
        <v>193</v>
      </c>
      <c r="AE169" s="60">
        <v>108</v>
      </c>
      <c r="AF169" s="191">
        <v>6</v>
      </c>
      <c r="AG169" s="117">
        <v>600000150</v>
      </c>
      <c r="AH169" s="104">
        <f>справочники!$C$43</f>
        <v>8.5999999999999993E-2</v>
      </c>
      <c r="AI169" s="62">
        <f t="shared" si="195"/>
        <v>1.8</v>
      </c>
      <c r="AJ169" s="122">
        <f t="shared" si="194"/>
        <v>1.9160000000000001</v>
      </c>
      <c r="AK169" s="37">
        <v>20</v>
      </c>
      <c r="AL169" s="38">
        <v>14</v>
      </c>
      <c r="AM169" s="40">
        <f t="shared" ref="AM169" si="197">AK169*AL169</f>
        <v>280</v>
      </c>
      <c r="AN169" s="214">
        <f t="shared" ref="AN169" si="198">IF(D169="ШТ",кол_во_инд.__упак_к*итого_г_у,ROUNDDOWN(номин.вес_нетто_г_у__кг*итого_г_у,1))</f>
        <v>504</v>
      </c>
      <c r="AO169" s="204">
        <f t="shared" si="158"/>
        <v>1657</v>
      </c>
    </row>
    <row r="170" spans="1:41" ht="127.5" x14ac:dyDescent="0.2">
      <c r="A170" s="22">
        <f t="shared" si="148"/>
        <v>6210</v>
      </c>
      <c r="B170" s="116">
        <v>1001083426210</v>
      </c>
      <c r="C170" s="48" t="s">
        <v>849</v>
      </c>
      <c r="D170" s="49" t="s">
        <v>3</v>
      </c>
      <c r="E170" s="146" t="s">
        <v>373</v>
      </c>
      <c r="F170" s="112" t="s">
        <v>1230</v>
      </c>
      <c r="G170" s="224" t="s">
        <v>6</v>
      </c>
      <c r="H170" s="49" t="s">
        <v>1</v>
      </c>
      <c r="I170" s="154" t="s">
        <v>1939</v>
      </c>
      <c r="J170" s="151" t="s">
        <v>1942</v>
      </c>
      <c r="K170" s="51" t="s">
        <v>1953</v>
      </c>
      <c r="L170" s="52">
        <v>12</v>
      </c>
      <c r="M170" s="53">
        <v>10</v>
      </c>
      <c r="N170" s="53">
        <v>3</v>
      </c>
      <c r="O170" s="54" t="s">
        <v>1954</v>
      </c>
      <c r="P170" s="113" t="s">
        <v>104</v>
      </c>
      <c r="Q170" s="49">
        <v>45</v>
      </c>
      <c r="R170" s="56" t="s">
        <v>37</v>
      </c>
      <c r="S170" s="243">
        <v>2353803000004</v>
      </c>
      <c r="T170" s="340">
        <v>12353803000001</v>
      </c>
      <c r="U170" s="46">
        <v>4630362181503</v>
      </c>
      <c r="V170" s="46">
        <v>14630362181500</v>
      </c>
      <c r="W170" s="256" t="s">
        <v>76</v>
      </c>
      <c r="X170" s="165" t="s">
        <v>71</v>
      </c>
      <c r="Y170" s="165" t="s">
        <v>73</v>
      </c>
      <c r="Z170" s="65">
        <v>1.3339999999999999</v>
      </c>
      <c r="AA170" s="271">
        <v>0.02</v>
      </c>
      <c r="AB170" s="66">
        <f t="shared" si="160"/>
        <v>1.3539999999999999</v>
      </c>
      <c r="AC170" s="59">
        <v>388</v>
      </c>
      <c r="AD170" s="60">
        <v>193</v>
      </c>
      <c r="AE170" s="60">
        <v>158</v>
      </c>
      <c r="AF170" s="191">
        <v>3</v>
      </c>
      <c r="AG170" s="117">
        <v>600000018</v>
      </c>
      <c r="AH170" s="104">
        <f>справочники!$C$10</f>
        <v>0.161</v>
      </c>
      <c r="AI170" s="62">
        <f t="shared" si="195"/>
        <v>4</v>
      </c>
      <c r="AJ170" s="122">
        <f t="shared" si="194"/>
        <v>4.222999999999999</v>
      </c>
      <c r="AK170" s="37">
        <v>12</v>
      </c>
      <c r="AL170" s="38">
        <v>9</v>
      </c>
      <c r="AM170" s="40">
        <f t="shared" si="175"/>
        <v>108</v>
      </c>
      <c r="AN170" s="214">
        <f t="shared" ref="AN170:AN184" si="199">IF(D170="ШТ",кол_во_инд.__упак_к*итого_г_у,ROUNDDOWN(номин.вес_нетто_г_у__кг*итого_г_у,1))</f>
        <v>432</v>
      </c>
      <c r="AO170" s="204">
        <f t="shared" si="158"/>
        <v>1567</v>
      </c>
    </row>
    <row r="171" spans="1:41" ht="127.5" x14ac:dyDescent="0.2">
      <c r="A171" s="22">
        <f t="shared" si="148"/>
        <v>6211</v>
      </c>
      <c r="B171" s="116">
        <v>1001083426211</v>
      </c>
      <c r="C171" s="48" t="s">
        <v>916</v>
      </c>
      <c r="D171" s="49" t="s">
        <v>3</v>
      </c>
      <c r="E171" s="146" t="s">
        <v>373</v>
      </c>
      <c r="F171" s="112" t="s">
        <v>1230</v>
      </c>
      <c r="G171" s="224" t="s">
        <v>6</v>
      </c>
      <c r="H171" s="49" t="s">
        <v>1</v>
      </c>
      <c r="I171" s="154" t="s">
        <v>1939</v>
      </c>
      <c r="J171" s="151" t="s">
        <v>1942</v>
      </c>
      <c r="K171" s="51" t="s">
        <v>1953</v>
      </c>
      <c r="L171" s="52">
        <v>12</v>
      </c>
      <c r="M171" s="53">
        <v>10</v>
      </c>
      <c r="N171" s="53">
        <v>3</v>
      </c>
      <c r="O171" s="54" t="s">
        <v>1954</v>
      </c>
      <c r="P171" s="113" t="s">
        <v>104</v>
      </c>
      <c r="Q171" s="49">
        <v>45</v>
      </c>
      <c r="R171" s="56" t="s">
        <v>37</v>
      </c>
      <c r="S171" s="243">
        <v>2959360000008</v>
      </c>
      <c r="T171" s="340">
        <v>12959360000005</v>
      </c>
      <c r="U171" s="46">
        <v>4630362181503</v>
      </c>
      <c r="V171" s="46">
        <v>14630362181500</v>
      </c>
      <c r="W171" s="256" t="s">
        <v>76</v>
      </c>
      <c r="X171" s="165" t="s">
        <v>71</v>
      </c>
      <c r="Y171" s="165" t="s">
        <v>73</v>
      </c>
      <c r="Z171" s="65">
        <v>1.3</v>
      </c>
      <c r="AA171" s="271">
        <v>0.02</v>
      </c>
      <c r="AB171" s="66">
        <f t="shared" si="160"/>
        <v>1.32</v>
      </c>
      <c r="AC171" s="59">
        <v>388</v>
      </c>
      <c r="AD171" s="60">
        <v>193</v>
      </c>
      <c r="AE171" s="60">
        <v>158</v>
      </c>
      <c r="AF171" s="191">
        <v>3</v>
      </c>
      <c r="AG171" s="117">
        <v>600000018</v>
      </c>
      <c r="AH171" s="104">
        <f>справочники!$C$10</f>
        <v>0.161</v>
      </c>
      <c r="AI171" s="62">
        <f t="shared" si="195"/>
        <v>3.9</v>
      </c>
      <c r="AJ171" s="122">
        <f t="shared" si="194"/>
        <v>4.1209999999999996</v>
      </c>
      <c r="AK171" s="37">
        <v>12</v>
      </c>
      <c r="AL171" s="38">
        <v>9</v>
      </c>
      <c r="AM171" s="40">
        <f t="shared" si="175"/>
        <v>108</v>
      </c>
      <c r="AN171" s="214">
        <f t="shared" si="199"/>
        <v>421.2</v>
      </c>
      <c r="AO171" s="204">
        <f t="shared" si="158"/>
        <v>1567</v>
      </c>
    </row>
    <row r="172" spans="1:41" ht="127.5" x14ac:dyDescent="0.2">
      <c r="A172" s="22">
        <f t="shared" si="148"/>
        <v>6235</v>
      </c>
      <c r="B172" s="116">
        <v>1001083426235</v>
      </c>
      <c r="C172" s="48" t="s">
        <v>848</v>
      </c>
      <c r="D172" s="49" t="s">
        <v>3</v>
      </c>
      <c r="E172" s="146" t="s">
        <v>373</v>
      </c>
      <c r="F172" s="112" t="s">
        <v>1230</v>
      </c>
      <c r="G172" s="224" t="s">
        <v>6</v>
      </c>
      <c r="H172" s="49" t="s">
        <v>1</v>
      </c>
      <c r="I172" s="154" t="s">
        <v>1939</v>
      </c>
      <c r="J172" s="151" t="s">
        <v>1942</v>
      </c>
      <c r="K172" s="51" t="s">
        <v>1953</v>
      </c>
      <c r="L172" s="52">
        <v>12</v>
      </c>
      <c r="M172" s="53">
        <v>10</v>
      </c>
      <c r="N172" s="53">
        <v>3</v>
      </c>
      <c r="O172" s="54" t="s">
        <v>1954</v>
      </c>
      <c r="P172" s="113" t="s">
        <v>104</v>
      </c>
      <c r="Q172" s="49">
        <v>45</v>
      </c>
      <c r="R172" s="56" t="s">
        <v>37</v>
      </c>
      <c r="S172" s="243">
        <v>2318239000004</v>
      </c>
      <c r="T172" s="340">
        <v>12318239000001</v>
      </c>
      <c r="U172" s="46">
        <v>4630362181503</v>
      </c>
      <c r="V172" s="46">
        <v>14630362181500</v>
      </c>
      <c r="W172" s="256" t="s">
        <v>76</v>
      </c>
      <c r="X172" s="165" t="s">
        <v>71</v>
      </c>
      <c r="Y172" s="165" t="s">
        <v>73</v>
      </c>
      <c r="Z172" s="65">
        <v>1.2</v>
      </c>
      <c r="AA172" s="271">
        <v>0.02</v>
      </c>
      <c r="AB172" s="66">
        <f t="shared" si="160"/>
        <v>1.22</v>
      </c>
      <c r="AC172" s="59">
        <v>388</v>
      </c>
      <c r="AD172" s="68">
        <v>193</v>
      </c>
      <c r="AE172" s="60">
        <v>158</v>
      </c>
      <c r="AF172" s="191">
        <v>3</v>
      </c>
      <c r="AG172" s="117">
        <v>600000018</v>
      </c>
      <c r="AH172" s="104">
        <f>справочники!$C$10</f>
        <v>0.161</v>
      </c>
      <c r="AI172" s="61">
        <f t="shared" si="195"/>
        <v>3.6</v>
      </c>
      <c r="AJ172" s="123">
        <f t="shared" si="194"/>
        <v>3.8210000000000002</v>
      </c>
      <c r="AK172" s="37">
        <v>12</v>
      </c>
      <c r="AL172" s="38">
        <v>9</v>
      </c>
      <c r="AM172" s="40">
        <f t="shared" si="175"/>
        <v>108</v>
      </c>
      <c r="AN172" s="214">
        <f t="shared" si="199"/>
        <v>388.8</v>
      </c>
      <c r="AO172" s="204">
        <f t="shared" si="158"/>
        <v>1567</v>
      </c>
    </row>
    <row r="173" spans="1:41" ht="102" x14ac:dyDescent="0.2">
      <c r="A173" s="22">
        <f t="shared" si="148"/>
        <v>6945</v>
      </c>
      <c r="B173" s="116">
        <v>1001085206945</v>
      </c>
      <c r="C173" s="48" t="s">
        <v>949</v>
      </c>
      <c r="D173" s="49" t="s">
        <v>3</v>
      </c>
      <c r="E173" s="146" t="s">
        <v>373</v>
      </c>
      <c r="F173" s="112" t="s">
        <v>1230</v>
      </c>
      <c r="G173" s="224" t="s">
        <v>2</v>
      </c>
      <c r="H173" s="58" t="s">
        <v>278</v>
      </c>
      <c r="I173" s="154" t="s">
        <v>682</v>
      </c>
      <c r="J173" s="150" t="s">
        <v>683</v>
      </c>
      <c r="K173" s="71" t="s">
        <v>2057</v>
      </c>
      <c r="L173" s="52">
        <v>25</v>
      </c>
      <c r="M173" s="53">
        <v>3</v>
      </c>
      <c r="N173" s="53">
        <v>1</v>
      </c>
      <c r="O173" s="54" t="s">
        <v>2056</v>
      </c>
      <c r="P173" s="31" t="s">
        <v>104</v>
      </c>
      <c r="Q173" s="49">
        <v>50</v>
      </c>
      <c r="R173" s="56" t="s">
        <v>51</v>
      </c>
      <c r="S173" s="120">
        <v>2800644000002</v>
      </c>
      <c r="T173" s="342">
        <v>12800644000009</v>
      </c>
      <c r="U173" s="46" t="s">
        <v>1874</v>
      </c>
      <c r="V173" s="46" t="s">
        <v>1874</v>
      </c>
      <c r="W173" s="93"/>
      <c r="X173" s="60"/>
      <c r="Y173" s="60"/>
      <c r="Z173" s="77">
        <v>2.7</v>
      </c>
      <c r="AA173" s="271">
        <v>2.5000000000000001E-2</v>
      </c>
      <c r="AB173" s="66">
        <f t="shared" si="160"/>
        <v>2.7250000000000001</v>
      </c>
      <c r="AC173" s="67">
        <v>938</v>
      </c>
      <c r="AD173" s="68">
        <v>178</v>
      </c>
      <c r="AE173" s="68">
        <v>178</v>
      </c>
      <c r="AF173" s="194">
        <v>4</v>
      </c>
      <c r="AG173" s="117">
        <v>600000313</v>
      </c>
      <c r="AH173" s="105">
        <f>справочники!$C$62</f>
        <v>0.53100000000000003</v>
      </c>
      <c r="AI173" s="61">
        <f t="shared" si="195"/>
        <v>10.8</v>
      </c>
      <c r="AJ173" s="123">
        <f t="shared" ref="AJ173:AJ236" si="200">(номин.вес_брутто__кг*кол_во_инд.__упак_к)+вес_короба__кг</f>
        <v>11.431000000000001</v>
      </c>
      <c r="AK173" s="33">
        <v>4</v>
      </c>
      <c r="AL173" s="34">
        <v>6</v>
      </c>
      <c r="AM173" s="40">
        <f t="shared" si="175"/>
        <v>24</v>
      </c>
      <c r="AN173" s="214">
        <f t="shared" si="199"/>
        <v>259.2</v>
      </c>
      <c r="AO173" s="204">
        <f t="shared" si="158"/>
        <v>1213</v>
      </c>
    </row>
    <row r="174" spans="1:41" ht="114.75" x14ac:dyDescent="0.2">
      <c r="A174" s="22">
        <f t="shared" si="148"/>
        <v>7598</v>
      </c>
      <c r="B174" s="116">
        <v>1001457507598</v>
      </c>
      <c r="C174" s="48" t="s">
        <v>1731</v>
      </c>
      <c r="D174" s="49" t="s">
        <v>3</v>
      </c>
      <c r="E174" s="146" t="s">
        <v>373</v>
      </c>
      <c r="F174" s="112" t="s">
        <v>1230</v>
      </c>
      <c r="G174" s="224" t="s">
        <v>2</v>
      </c>
      <c r="H174" s="58" t="s">
        <v>278</v>
      </c>
      <c r="I174" s="154" t="s">
        <v>1693</v>
      </c>
      <c r="J174" s="151" t="s">
        <v>1694</v>
      </c>
      <c r="K174" s="83" t="s">
        <v>2058</v>
      </c>
      <c r="L174" s="286">
        <v>25</v>
      </c>
      <c r="M174" s="287">
        <v>4</v>
      </c>
      <c r="N174" s="91">
        <v>1</v>
      </c>
      <c r="O174" s="162" t="s">
        <v>1984</v>
      </c>
      <c r="P174" s="31" t="s">
        <v>104</v>
      </c>
      <c r="Q174" s="49">
        <v>7</v>
      </c>
      <c r="R174" s="56"/>
      <c r="S174" s="120">
        <v>2800933000003</v>
      </c>
      <c r="T174" s="342">
        <v>12800933000000</v>
      </c>
      <c r="U174" s="46" t="s">
        <v>1874</v>
      </c>
      <c r="V174" s="46" t="s">
        <v>1874</v>
      </c>
      <c r="W174" s="93"/>
      <c r="X174" s="60"/>
      <c r="Y174" s="60"/>
      <c r="Z174" s="77">
        <v>2.7</v>
      </c>
      <c r="AA174" s="271">
        <v>2.5000000000000001E-2</v>
      </c>
      <c r="AB174" s="66">
        <f t="shared" ref="AB174" si="201">Z174+AA174</f>
        <v>2.7250000000000001</v>
      </c>
      <c r="AC174" s="67">
        <v>938</v>
      </c>
      <c r="AD174" s="68">
        <v>178</v>
      </c>
      <c r="AE174" s="68">
        <v>178</v>
      </c>
      <c r="AF174" s="194">
        <v>4</v>
      </c>
      <c r="AG174" s="117">
        <v>600000313</v>
      </c>
      <c r="AH174" s="105">
        <f>справочники!$C$62</f>
        <v>0.53100000000000003</v>
      </c>
      <c r="AI174" s="61">
        <f t="shared" si="195"/>
        <v>10.8</v>
      </c>
      <c r="AJ174" s="123">
        <f t="shared" si="200"/>
        <v>11.431000000000001</v>
      </c>
      <c r="AK174" s="33">
        <v>4</v>
      </c>
      <c r="AL174" s="34">
        <v>6</v>
      </c>
      <c r="AM174" s="40">
        <f t="shared" ref="AM174" si="202">AK174*AL174</f>
        <v>24</v>
      </c>
      <c r="AN174" s="214">
        <f t="shared" ref="AN174" si="203">IF(D174="ШТ",кол_во_инд.__упак_к*итого_г_у,ROUNDDOWN(номин.вес_нетто_г_у__кг*итого_г_у,1))</f>
        <v>259.2</v>
      </c>
      <c r="AO174" s="204">
        <f t="shared" si="158"/>
        <v>1213</v>
      </c>
    </row>
    <row r="175" spans="1:41" ht="114.75" x14ac:dyDescent="0.2">
      <c r="A175" s="22">
        <f t="shared" si="148"/>
        <v>6944</v>
      </c>
      <c r="B175" s="116">
        <v>1001081736944</v>
      </c>
      <c r="C175" s="48" t="s">
        <v>950</v>
      </c>
      <c r="D175" s="49" t="s">
        <v>3</v>
      </c>
      <c r="E175" s="146" t="s">
        <v>373</v>
      </c>
      <c r="F175" s="112" t="s">
        <v>1230</v>
      </c>
      <c r="G175" s="224" t="s">
        <v>2</v>
      </c>
      <c r="H175" s="58" t="s">
        <v>278</v>
      </c>
      <c r="I175" s="154" t="s">
        <v>682</v>
      </c>
      <c r="J175" s="150" t="s">
        <v>683</v>
      </c>
      <c r="K175" s="71" t="s">
        <v>2059</v>
      </c>
      <c r="L175" s="52">
        <v>18</v>
      </c>
      <c r="M175" s="53">
        <v>17</v>
      </c>
      <c r="N175" s="53">
        <v>2</v>
      </c>
      <c r="O175" s="54" t="s">
        <v>555</v>
      </c>
      <c r="P175" s="31" t="s">
        <v>104</v>
      </c>
      <c r="Q175" s="49">
        <v>50</v>
      </c>
      <c r="R175" s="56" t="s">
        <v>51</v>
      </c>
      <c r="S175" s="120">
        <v>2800646000000</v>
      </c>
      <c r="T175" s="342">
        <v>12800646000007</v>
      </c>
      <c r="U175" s="46" t="s">
        <v>1874</v>
      </c>
      <c r="V175" s="46" t="s">
        <v>1874</v>
      </c>
      <c r="W175" s="93"/>
      <c r="X175" s="60"/>
      <c r="Y175" s="60"/>
      <c r="Z175" s="77">
        <v>2.7</v>
      </c>
      <c r="AA175" s="271">
        <v>2.5000000000000001E-2</v>
      </c>
      <c r="AB175" s="66">
        <f t="shared" si="160"/>
        <v>2.7250000000000001</v>
      </c>
      <c r="AC175" s="67">
        <v>938</v>
      </c>
      <c r="AD175" s="68">
        <v>178</v>
      </c>
      <c r="AE175" s="68">
        <v>178</v>
      </c>
      <c r="AF175" s="194">
        <v>4</v>
      </c>
      <c r="AG175" s="117">
        <v>600000313</v>
      </c>
      <c r="AH175" s="105">
        <f>справочники!$C$62</f>
        <v>0.53100000000000003</v>
      </c>
      <c r="AI175" s="61">
        <f t="shared" si="195"/>
        <v>10.8</v>
      </c>
      <c r="AJ175" s="123">
        <f t="shared" si="200"/>
        <v>11.431000000000001</v>
      </c>
      <c r="AK175" s="33">
        <v>4</v>
      </c>
      <c r="AL175" s="34">
        <v>6</v>
      </c>
      <c r="AM175" s="40">
        <f t="shared" si="175"/>
        <v>24</v>
      </c>
      <c r="AN175" s="214">
        <f t="shared" si="199"/>
        <v>259.2</v>
      </c>
      <c r="AO175" s="204">
        <f t="shared" si="158"/>
        <v>1213</v>
      </c>
    </row>
    <row r="176" spans="1:41" ht="102" x14ac:dyDescent="0.2">
      <c r="A176" s="22">
        <f t="shared" si="148"/>
        <v>7495</v>
      </c>
      <c r="B176" s="116">
        <v>1001453907495</v>
      </c>
      <c r="C176" s="48" t="s">
        <v>1673</v>
      </c>
      <c r="D176" s="49" t="s">
        <v>3</v>
      </c>
      <c r="E176" s="146" t="s">
        <v>373</v>
      </c>
      <c r="F176" s="112" t="s">
        <v>1230</v>
      </c>
      <c r="G176" s="224" t="s">
        <v>2</v>
      </c>
      <c r="H176" s="49" t="s">
        <v>1</v>
      </c>
      <c r="I176" s="154" t="s">
        <v>1941</v>
      </c>
      <c r="J176" s="151" t="s">
        <v>1955</v>
      </c>
      <c r="K176" s="98" t="s">
        <v>1956</v>
      </c>
      <c r="L176" s="84">
        <v>21</v>
      </c>
      <c r="M176" s="53">
        <v>4</v>
      </c>
      <c r="N176" s="90">
        <v>1</v>
      </c>
      <c r="O176" s="86" t="s">
        <v>1957</v>
      </c>
      <c r="P176" s="113" t="s">
        <v>104</v>
      </c>
      <c r="Q176" s="49">
        <v>60</v>
      </c>
      <c r="R176" s="82" t="s">
        <v>51</v>
      </c>
      <c r="S176" s="237">
        <v>2325725000004</v>
      </c>
      <c r="T176" s="332">
        <v>12325725000001</v>
      </c>
      <c r="U176" s="46">
        <v>4630362182456</v>
      </c>
      <c r="V176" s="46">
        <v>14630362182453</v>
      </c>
      <c r="W176" s="255" t="s">
        <v>1674</v>
      </c>
      <c r="X176" s="97">
        <v>90</v>
      </c>
      <c r="Y176" s="97">
        <v>90</v>
      </c>
      <c r="Z176" s="65">
        <v>0.8</v>
      </c>
      <c r="AA176" s="271">
        <v>0.01</v>
      </c>
      <c r="AB176" s="66">
        <f t="shared" si="160"/>
        <v>0.81</v>
      </c>
      <c r="AC176" s="59">
        <v>388</v>
      </c>
      <c r="AD176" s="60">
        <v>193</v>
      </c>
      <c r="AE176" s="60">
        <v>108</v>
      </c>
      <c r="AF176" s="191">
        <v>4</v>
      </c>
      <c r="AG176" s="117">
        <v>600000013</v>
      </c>
      <c r="AH176" s="104">
        <f>справочники!$C$5</f>
        <v>0.14099999999999999</v>
      </c>
      <c r="AI176" s="61">
        <f t="shared" ref="AI176:AI379" si="204">ROUNDDOWN(номин.вес_нетто__кг*кол_во_инд.__упак_к,2)</f>
        <v>3.2</v>
      </c>
      <c r="AJ176" s="122">
        <f t="shared" ref="AJ176:AJ379" si="205">(номин.вес_брутто__кг*кол_во_инд.__упак_к)+вес_короба__кг</f>
        <v>3.3810000000000002</v>
      </c>
      <c r="AK176" s="37">
        <v>12</v>
      </c>
      <c r="AL176" s="38">
        <v>14</v>
      </c>
      <c r="AM176" s="40">
        <f t="shared" si="175"/>
        <v>168</v>
      </c>
      <c r="AN176" s="272">
        <f t="shared" si="199"/>
        <v>537.6</v>
      </c>
      <c r="AO176" s="204">
        <f t="shared" ref="AO176:AO466" si="206">(высота__мм*кол_во_слоев_г_у)+145</f>
        <v>1657</v>
      </c>
    </row>
    <row r="177" spans="1:41" ht="102" x14ac:dyDescent="0.2">
      <c r="A177" s="22">
        <f t="shared" si="148"/>
        <v>7188</v>
      </c>
      <c r="B177" s="116">
        <v>1001083907188</v>
      </c>
      <c r="C177" s="48" t="s">
        <v>1149</v>
      </c>
      <c r="D177" s="49" t="s">
        <v>4</v>
      </c>
      <c r="E177" s="146" t="s">
        <v>373</v>
      </c>
      <c r="F177" s="112" t="s">
        <v>1230</v>
      </c>
      <c r="G177" s="224" t="s">
        <v>2</v>
      </c>
      <c r="H177" s="49" t="s">
        <v>1</v>
      </c>
      <c r="I177" s="154" t="s">
        <v>1941</v>
      </c>
      <c r="J177" s="151" t="s">
        <v>1955</v>
      </c>
      <c r="K177" s="98" t="s">
        <v>1956</v>
      </c>
      <c r="L177" s="84">
        <v>21</v>
      </c>
      <c r="M177" s="53">
        <v>4</v>
      </c>
      <c r="N177" s="90">
        <v>1</v>
      </c>
      <c r="O177" s="86" t="s">
        <v>1957</v>
      </c>
      <c r="P177" s="113" t="s">
        <v>104</v>
      </c>
      <c r="Q177" s="49">
        <v>60</v>
      </c>
      <c r="R177" s="82" t="s">
        <v>51</v>
      </c>
      <c r="S177" s="237">
        <v>4607958079254</v>
      </c>
      <c r="T177" s="332">
        <v>14607958079251</v>
      </c>
      <c r="U177" s="46">
        <v>4607958079254</v>
      </c>
      <c r="V177" s="46">
        <v>14607958079251</v>
      </c>
      <c r="W177" s="255" t="s">
        <v>1151</v>
      </c>
      <c r="X177" s="97" t="s">
        <v>1152</v>
      </c>
      <c r="Y177" s="97" t="s">
        <v>1153</v>
      </c>
      <c r="Z177" s="65">
        <v>0.25</v>
      </c>
      <c r="AA177" s="271">
        <v>6.0000000000000001E-3</v>
      </c>
      <c r="AB177" s="66">
        <f t="shared" ref="AB177:AB178" si="207">Z177+AA177</f>
        <v>0.25600000000000001</v>
      </c>
      <c r="AC177" s="59">
        <v>200</v>
      </c>
      <c r="AD177" s="60">
        <v>150</v>
      </c>
      <c r="AE177" s="60">
        <v>156</v>
      </c>
      <c r="AF177" s="191">
        <v>6</v>
      </c>
      <c r="AG177" s="117">
        <v>600000424</v>
      </c>
      <c r="AH177" s="104">
        <f>справочники!$C$107</f>
        <v>7.3999999999999996E-2</v>
      </c>
      <c r="AI177" s="61">
        <f t="shared" si="204"/>
        <v>1.5</v>
      </c>
      <c r="AJ177" s="122">
        <f t="shared" si="205"/>
        <v>1.61</v>
      </c>
      <c r="AK177" s="37">
        <v>30</v>
      </c>
      <c r="AL177" s="38">
        <v>9</v>
      </c>
      <c r="AM177" s="40">
        <f t="shared" ref="AM177:AM178" si="208">AK177*AL177</f>
        <v>270</v>
      </c>
      <c r="AN177" s="206">
        <f t="shared" ref="AN177:AN178" si="209">IF(D177="ШТ",кол_во_инд.__упак_к*итого_г_у,ROUNDDOWN(номин.вес_нетто_г_у__кг*итого_г_у,1))</f>
        <v>1620</v>
      </c>
      <c r="AO177" s="204">
        <f t="shared" si="206"/>
        <v>1549</v>
      </c>
    </row>
    <row r="178" spans="1:41" ht="89.25" x14ac:dyDescent="0.2">
      <c r="A178" s="22">
        <f t="shared" si="148"/>
        <v>7380</v>
      </c>
      <c r="B178" s="116">
        <v>1001456957380</v>
      </c>
      <c r="C178" s="48" t="s">
        <v>1396</v>
      </c>
      <c r="D178" s="49" t="s">
        <v>4</v>
      </c>
      <c r="E178" s="146" t="s">
        <v>373</v>
      </c>
      <c r="F178" s="112" t="s">
        <v>1230</v>
      </c>
      <c r="G178" s="224" t="s">
        <v>2</v>
      </c>
      <c r="H178" s="49" t="s">
        <v>1</v>
      </c>
      <c r="I178" s="154" t="s">
        <v>1939</v>
      </c>
      <c r="J178" s="151" t="s">
        <v>1397</v>
      </c>
      <c r="K178" s="51" t="s">
        <v>1958</v>
      </c>
      <c r="L178" s="52">
        <v>18</v>
      </c>
      <c r="M178" s="53">
        <v>13</v>
      </c>
      <c r="N178" s="53">
        <v>1</v>
      </c>
      <c r="O178" s="54" t="s">
        <v>287</v>
      </c>
      <c r="P178" s="113" t="s">
        <v>104</v>
      </c>
      <c r="Q178" s="49">
        <v>30</v>
      </c>
      <c r="R178" s="56" t="s">
        <v>29</v>
      </c>
      <c r="S178" s="243">
        <v>4630362180476</v>
      </c>
      <c r="T178" s="340">
        <v>14630362180473</v>
      </c>
      <c r="U178" s="46">
        <v>4630362180476</v>
      </c>
      <c r="V178" s="46">
        <v>14630362180473</v>
      </c>
      <c r="W178" s="255">
        <v>224</v>
      </c>
      <c r="X178" s="97">
        <v>80</v>
      </c>
      <c r="Y178" s="97">
        <v>30</v>
      </c>
      <c r="Z178" s="65">
        <v>0.25</v>
      </c>
      <c r="AA178" s="271">
        <v>6.0000000000000001E-3</v>
      </c>
      <c r="AB178" s="66">
        <f t="shared" si="207"/>
        <v>0.25600000000000001</v>
      </c>
      <c r="AC178" s="59">
        <v>218</v>
      </c>
      <c r="AD178" s="68">
        <v>193</v>
      </c>
      <c r="AE178" s="60">
        <v>108</v>
      </c>
      <c r="AF178" s="191">
        <v>6</v>
      </c>
      <c r="AG178" s="117">
        <v>600000150</v>
      </c>
      <c r="AH178" s="104">
        <f>справочники!$C$43</f>
        <v>8.5999999999999993E-2</v>
      </c>
      <c r="AI178" s="62">
        <f t="shared" si="195"/>
        <v>1.5</v>
      </c>
      <c r="AJ178" s="122">
        <f t="shared" si="200"/>
        <v>1.6220000000000001</v>
      </c>
      <c r="AK178" s="37">
        <v>20</v>
      </c>
      <c r="AL178" s="38">
        <v>14</v>
      </c>
      <c r="AM178" s="40">
        <f t="shared" si="208"/>
        <v>280</v>
      </c>
      <c r="AN178" s="206">
        <f t="shared" si="209"/>
        <v>1680</v>
      </c>
      <c r="AO178" s="204">
        <f t="shared" si="158"/>
        <v>1657</v>
      </c>
    </row>
    <row r="179" spans="1:41" ht="178.5" x14ac:dyDescent="0.2">
      <c r="A179" s="22">
        <f t="shared" si="148"/>
        <v>7094</v>
      </c>
      <c r="B179" s="116">
        <v>1001084267094</v>
      </c>
      <c r="C179" s="48" t="s">
        <v>1071</v>
      </c>
      <c r="D179" s="49" t="s">
        <v>4</v>
      </c>
      <c r="E179" s="146" t="s">
        <v>373</v>
      </c>
      <c r="F179" s="112" t="s">
        <v>1230</v>
      </c>
      <c r="G179" s="224" t="s">
        <v>6</v>
      </c>
      <c r="H179" s="49" t="s">
        <v>1</v>
      </c>
      <c r="I179" s="154" t="s">
        <v>1939</v>
      </c>
      <c r="J179" s="151" t="s">
        <v>1946</v>
      </c>
      <c r="K179" s="51" t="s">
        <v>1959</v>
      </c>
      <c r="L179" s="52">
        <v>14</v>
      </c>
      <c r="M179" s="53">
        <v>25</v>
      </c>
      <c r="N179" s="53">
        <v>4</v>
      </c>
      <c r="O179" s="54" t="s">
        <v>1791</v>
      </c>
      <c r="P179" s="113" t="s">
        <v>104</v>
      </c>
      <c r="Q179" s="49">
        <v>50</v>
      </c>
      <c r="R179" s="56" t="s">
        <v>37</v>
      </c>
      <c r="S179" s="243">
        <v>4607958072439</v>
      </c>
      <c r="T179" s="340">
        <v>14607958072436</v>
      </c>
      <c r="U179" s="46">
        <v>4607958072439</v>
      </c>
      <c r="V179" s="46">
        <v>14607958072436</v>
      </c>
      <c r="W179" s="255">
        <v>224</v>
      </c>
      <c r="X179" s="97">
        <v>80</v>
      </c>
      <c r="Y179" s="97">
        <v>30</v>
      </c>
      <c r="Z179" s="65">
        <v>0.3</v>
      </c>
      <c r="AA179" s="271">
        <v>5.0000000000000001E-3</v>
      </c>
      <c r="AB179" s="66">
        <f t="shared" ref="AB179" si="210">Z179+AA179</f>
        <v>0.30499999999999999</v>
      </c>
      <c r="AC179" s="59">
        <v>218</v>
      </c>
      <c r="AD179" s="68">
        <v>193</v>
      </c>
      <c r="AE179" s="60">
        <v>108</v>
      </c>
      <c r="AF179" s="191">
        <v>6</v>
      </c>
      <c r="AG179" s="117">
        <v>600000150</v>
      </c>
      <c r="AH179" s="104">
        <f>справочники!$C$43</f>
        <v>8.5999999999999993E-2</v>
      </c>
      <c r="AI179" s="62">
        <f t="shared" si="195"/>
        <v>1.8</v>
      </c>
      <c r="AJ179" s="122">
        <f t="shared" si="200"/>
        <v>1.9160000000000001</v>
      </c>
      <c r="AK179" s="37">
        <v>20</v>
      </c>
      <c r="AL179" s="38">
        <v>14</v>
      </c>
      <c r="AM179" s="40">
        <f t="shared" ref="AM179" si="211">AK179*AL179</f>
        <v>280</v>
      </c>
      <c r="AN179" s="206">
        <f t="shared" ref="AN179" si="212">IF(D179="ШТ",кол_во_инд.__упак_к*итого_г_у,ROUNDDOWN(номин.вес_нетто_г_у__кг*итого_г_у,1))</f>
        <v>1680</v>
      </c>
      <c r="AO179" s="204">
        <f t="shared" si="158"/>
        <v>1657</v>
      </c>
    </row>
    <row r="180" spans="1:41" ht="178.5" x14ac:dyDescent="0.2">
      <c r="A180" s="22">
        <f t="shared" si="148"/>
        <v>7187</v>
      </c>
      <c r="B180" s="116">
        <v>1001085637187</v>
      </c>
      <c r="C180" s="48" t="s">
        <v>1148</v>
      </c>
      <c r="D180" s="49" t="s">
        <v>4</v>
      </c>
      <c r="E180" s="146" t="s">
        <v>373</v>
      </c>
      <c r="F180" s="112" t="s">
        <v>1230</v>
      </c>
      <c r="G180" s="224" t="s">
        <v>2</v>
      </c>
      <c r="H180" s="49" t="s">
        <v>1</v>
      </c>
      <c r="I180" s="154" t="s">
        <v>1939</v>
      </c>
      <c r="J180" s="151" t="s">
        <v>1946</v>
      </c>
      <c r="K180" s="51" t="s">
        <v>2061</v>
      </c>
      <c r="L180" s="52">
        <v>14</v>
      </c>
      <c r="M180" s="53">
        <v>25</v>
      </c>
      <c r="N180" s="53">
        <v>4</v>
      </c>
      <c r="O180" s="54" t="s">
        <v>1791</v>
      </c>
      <c r="P180" s="113" t="s">
        <v>104</v>
      </c>
      <c r="Q180" s="49">
        <v>50</v>
      </c>
      <c r="R180" s="56" t="s">
        <v>37</v>
      </c>
      <c r="S180" s="243">
        <v>4607958077649</v>
      </c>
      <c r="T180" s="340">
        <v>14607958077646</v>
      </c>
      <c r="U180" s="46">
        <v>4607958077649</v>
      </c>
      <c r="V180" s="46">
        <v>14607958077646</v>
      </c>
      <c r="W180" s="255">
        <v>224</v>
      </c>
      <c r="X180" s="97">
        <v>80</v>
      </c>
      <c r="Y180" s="97">
        <v>30</v>
      </c>
      <c r="Z180" s="65">
        <v>0.3</v>
      </c>
      <c r="AA180" s="271">
        <v>5.0000000000000001E-3</v>
      </c>
      <c r="AB180" s="66">
        <f t="shared" ref="AB180" si="213">Z180+AA180</f>
        <v>0.30499999999999999</v>
      </c>
      <c r="AC180" s="59">
        <v>218</v>
      </c>
      <c r="AD180" s="68">
        <v>193</v>
      </c>
      <c r="AE180" s="60">
        <v>108</v>
      </c>
      <c r="AF180" s="191">
        <v>6</v>
      </c>
      <c r="AG180" s="117">
        <v>600000150</v>
      </c>
      <c r="AH180" s="104">
        <f>справочники!$C$43</f>
        <v>8.5999999999999993E-2</v>
      </c>
      <c r="AI180" s="62">
        <f t="shared" si="195"/>
        <v>1.8</v>
      </c>
      <c r="AJ180" s="122">
        <f t="shared" si="200"/>
        <v>1.9160000000000001</v>
      </c>
      <c r="AK180" s="37">
        <v>20</v>
      </c>
      <c r="AL180" s="38">
        <v>14</v>
      </c>
      <c r="AM180" s="40">
        <f t="shared" ref="AM180" si="214">AK180*AL180</f>
        <v>280</v>
      </c>
      <c r="AN180" s="206">
        <f t="shared" ref="AN180" si="215">IF(D180="ШТ",кол_во_инд.__упак_к*итого_г_у,ROUNDDOWN(номин.вес_нетто_г_у__кг*итого_г_у,1))</f>
        <v>1680</v>
      </c>
      <c r="AO180" s="204">
        <f t="shared" si="158"/>
        <v>1657</v>
      </c>
    </row>
    <row r="181" spans="1:41" ht="178.5" x14ac:dyDescent="0.2">
      <c r="A181" s="22">
        <f t="shared" si="148"/>
        <v>7483</v>
      </c>
      <c r="B181" s="116">
        <v>1001455637483</v>
      </c>
      <c r="C181" s="48" t="s">
        <v>1656</v>
      </c>
      <c r="D181" s="49" t="s">
        <v>3</v>
      </c>
      <c r="E181" s="146" t="s">
        <v>373</v>
      </c>
      <c r="F181" s="112" t="s">
        <v>1230</v>
      </c>
      <c r="G181" s="224" t="s">
        <v>2</v>
      </c>
      <c r="H181" s="49" t="s">
        <v>1</v>
      </c>
      <c r="I181" s="154" t="s">
        <v>1939</v>
      </c>
      <c r="J181" s="151" t="s">
        <v>1946</v>
      </c>
      <c r="K181" s="51" t="s">
        <v>2061</v>
      </c>
      <c r="L181" s="52">
        <v>14</v>
      </c>
      <c r="M181" s="53">
        <v>25</v>
      </c>
      <c r="N181" s="53">
        <v>4</v>
      </c>
      <c r="O181" s="54" t="s">
        <v>1791</v>
      </c>
      <c r="P181" s="113" t="s">
        <v>104</v>
      </c>
      <c r="Q181" s="49">
        <v>50</v>
      </c>
      <c r="R181" s="56" t="s">
        <v>37</v>
      </c>
      <c r="S181" s="243">
        <v>2800812000001</v>
      </c>
      <c r="T181" s="340">
        <v>12800812000008</v>
      </c>
      <c r="U181" s="46">
        <v>4630362182487</v>
      </c>
      <c r="V181" s="46">
        <v>14630362182484</v>
      </c>
      <c r="W181" s="255">
        <v>224</v>
      </c>
      <c r="X181" s="97">
        <v>80</v>
      </c>
      <c r="Y181" s="97">
        <v>30</v>
      </c>
      <c r="Z181" s="65">
        <v>0.3</v>
      </c>
      <c r="AA181" s="271">
        <v>5.0000000000000001E-3</v>
      </c>
      <c r="AB181" s="66">
        <f t="shared" ref="AB181" si="216">Z181+AA181</f>
        <v>0.30499999999999999</v>
      </c>
      <c r="AC181" s="59">
        <v>218</v>
      </c>
      <c r="AD181" s="68">
        <v>193</v>
      </c>
      <c r="AE181" s="60">
        <v>108</v>
      </c>
      <c r="AF181" s="191">
        <v>6</v>
      </c>
      <c r="AG181" s="117">
        <v>600000150</v>
      </c>
      <c r="AH181" s="104">
        <f>справочники!$C$43</f>
        <v>8.5999999999999993E-2</v>
      </c>
      <c r="AI181" s="62">
        <f t="shared" si="195"/>
        <v>1.8</v>
      </c>
      <c r="AJ181" s="122">
        <f t="shared" si="200"/>
        <v>1.9160000000000001</v>
      </c>
      <c r="AK181" s="37">
        <v>20</v>
      </c>
      <c r="AL181" s="38">
        <v>14</v>
      </c>
      <c r="AM181" s="40">
        <f t="shared" ref="AM181" si="217">AK181*AL181</f>
        <v>280</v>
      </c>
      <c r="AN181" s="272">
        <f t="shared" ref="AN181" si="218">IF(D181="ШТ",кол_во_инд.__упак_к*итого_г_у,ROUNDDOWN(номин.вес_нетто_г_у__кг*итого_г_у,1))</f>
        <v>504</v>
      </c>
      <c r="AO181" s="204">
        <f t="shared" si="158"/>
        <v>1657</v>
      </c>
    </row>
    <row r="182" spans="1:41" ht="178.5" x14ac:dyDescent="0.2">
      <c r="A182" s="22">
        <f t="shared" si="148"/>
        <v>6711</v>
      </c>
      <c r="B182" s="116">
        <v>1001085956711</v>
      </c>
      <c r="C182" s="48" t="s">
        <v>1018</v>
      </c>
      <c r="D182" s="49" t="s">
        <v>4</v>
      </c>
      <c r="E182" s="146" t="s">
        <v>373</v>
      </c>
      <c r="F182" s="112" t="s">
        <v>1230</v>
      </c>
      <c r="G182" s="224" t="s">
        <v>6</v>
      </c>
      <c r="H182" s="49" t="s">
        <v>1</v>
      </c>
      <c r="I182" s="154" t="s">
        <v>1939</v>
      </c>
      <c r="J182" s="151" t="s">
        <v>1946</v>
      </c>
      <c r="K182" s="51" t="s">
        <v>1959</v>
      </c>
      <c r="L182" s="52">
        <v>14</v>
      </c>
      <c r="M182" s="53">
        <v>25</v>
      </c>
      <c r="N182" s="53">
        <v>4</v>
      </c>
      <c r="O182" s="54" t="s">
        <v>1791</v>
      </c>
      <c r="P182" s="113" t="s">
        <v>104</v>
      </c>
      <c r="Q182" s="49">
        <v>45</v>
      </c>
      <c r="R182" s="56" t="s">
        <v>37</v>
      </c>
      <c r="S182" s="243">
        <v>4607958078769</v>
      </c>
      <c r="T182" s="340">
        <v>14607958078766</v>
      </c>
      <c r="U182" s="46">
        <v>4607958078769</v>
      </c>
      <c r="V182" s="46">
        <v>14607958078766</v>
      </c>
      <c r="W182" s="255">
        <v>224</v>
      </c>
      <c r="X182" s="97">
        <v>80</v>
      </c>
      <c r="Y182" s="97">
        <v>30</v>
      </c>
      <c r="Z182" s="65">
        <v>0.3</v>
      </c>
      <c r="AA182" s="271">
        <v>5.0000000000000001E-3</v>
      </c>
      <c r="AB182" s="66">
        <f t="shared" si="160"/>
        <v>0.30499999999999999</v>
      </c>
      <c r="AC182" s="59">
        <v>218</v>
      </c>
      <c r="AD182" s="68">
        <v>193</v>
      </c>
      <c r="AE182" s="60">
        <v>108</v>
      </c>
      <c r="AF182" s="191">
        <v>6</v>
      </c>
      <c r="AG182" s="117">
        <v>600000150</v>
      </c>
      <c r="AH182" s="104">
        <f>справочники!$C$43</f>
        <v>8.5999999999999993E-2</v>
      </c>
      <c r="AI182" s="62">
        <f t="shared" si="195"/>
        <v>1.8</v>
      </c>
      <c r="AJ182" s="122">
        <f t="shared" si="200"/>
        <v>1.9160000000000001</v>
      </c>
      <c r="AK182" s="37">
        <v>20</v>
      </c>
      <c r="AL182" s="38">
        <v>14</v>
      </c>
      <c r="AM182" s="40">
        <f t="shared" si="175"/>
        <v>280</v>
      </c>
      <c r="AN182" s="206">
        <f t="shared" si="199"/>
        <v>1680</v>
      </c>
      <c r="AO182" s="204">
        <f t="shared" si="158"/>
        <v>1657</v>
      </c>
    </row>
    <row r="183" spans="1:41" ht="178.5" x14ac:dyDescent="0.2">
      <c r="A183" s="22">
        <f t="shared" si="148"/>
        <v>6842</v>
      </c>
      <c r="B183" s="116">
        <v>1001080216842</v>
      </c>
      <c r="C183" s="48" t="s">
        <v>850</v>
      </c>
      <c r="D183" s="49" t="s">
        <v>4</v>
      </c>
      <c r="E183" s="146" t="s">
        <v>373</v>
      </c>
      <c r="F183" s="112" t="s">
        <v>1230</v>
      </c>
      <c r="G183" s="224" t="s">
        <v>6</v>
      </c>
      <c r="H183" s="49" t="s">
        <v>1</v>
      </c>
      <c r="I183" s="154" t="s">
        <v>1939</v>
      </c>
      <c r="J183" s="151" t="s">
        <v>1942</v>
      </c>
      <c r="K183" s="51" t="s">
        <v>1961</v>
      </c>
      <c r="L183" s="52">
        <v>14</v>
      </c>
      <c r="M183" s="53">
        <v>4</v>
      </c>
      <c r="N183" s="53">
        <v>4</v>
      </c>
      <c r="O183" s="54" t="s">
        <v>161</v>
      </c>
      <c r="P183" s="113" t="s">
        <v>104</v>
      </c>
      <c r="Q183" s="49">
        <v>30</v>
      </c>
      <c r="R183" s="56" t="s">
        <v>37</v>
      </c>
      <c r="S183" s="243">
        <v>4607958077724</v>
      </c>
      <c r="T183" s="340">
        <v>14607958077721</v>
      </c>
      <c r="U183" s="46">
        <v>4607958077724</v>
      </c>
      <c r="V183" s="46">
        <v>14607958077721</v>
      </c>
      <c r="W183" s="93">
        <v>130</v>
      </c>
      <c r="X183" s="60">
        <v>60</v>
      </c>
      <c r="Y183" s="60">
        <v>100</v>
      </c>
      <c r="Z183" s="65">
        <v>0.3</v>
      </c>
      <c r="AA183" s="271">
        <v>5.0000000000000001E-3</v>
      </c>
      <c r="AB183" s="66">
        <f t="shared" si="160"/>
        <v>0.30499999999999999</v>
      </c>
      <c r="AC183" s="59">
        <v>218</v>
      </c>
      <c r="AD183" s="68">
        <v>193</v>
      </c>
      <c r="AE183" s="60">
        <v>108</v>
      </c>
      <c r="AF183" s="191">
        <v>6</v>
      </c>
      <c r="AG183" s="117">
        <v>600000150</v>
      </c>
      <c r="AH183" s="104">
        <f>справочники!$C$43</f>
        <v>8.5999999999999993E-2</v>
      </c>
      <c r="AI183" s="62">
        <f t="shared" si="195"/>
        <v>1.8</v>
      </c>
      <c r="AJ183" s="122">
        <f t="shared" si="200"/>
        <v>1.9160000000000001</v>
      </c>
      <c r="AK183" s="37">
        <v>20</v>
      </c>
      <c r="AL183" s="38">
        <v>14</v>
      </c>
      <c r="AM183" s="40">
        <f t="shared" si="175"/>
        <v>280</v>
      </c>
      <c r="AN183" s="206">
        <f t="shared" si="199"/>
        <v>1680</v>
      </c>
      <c r="AO183" s="204">
        <f t="shared" si="158"/>
        <v>1657</v>
      </c>
    </row>
    <row r="184" spans="1:41" ht="114.75" x14ac:dyDescent="0.2">
      <c r="A184" s="22">
        <f t="shared" si="148"/>
        <v>6928</v>
      </c>
      <c r="B184" s="116">
        <v>1001085476928</v>
      </c>
      <c r="C184" s="48" t="s">
        <v>921</v>
      </c>
      <c r="D184" s="49" t="s">
        <v>4</v>
      </c>
      <c r="E184" s="146" t="s">
        <v>373</v>
      </c>
      <c r="F184" s="112" t="s">
        <v>1230</v>
      </c>
      <c r="G184" s="224" t="s">
        <v>6</v>
      </c>
      <c r="H184" s="49" t="s">
        <v>1</v>
      </c>
      <c r="I184" s="154" t="s">
        <v>1939</v>
      </c>
      <c r="J184" s="151" t="s">
        <v>1942</v>
      </c>
      <c r="K184" s="51" t="s">
        <v>1945</v>
      </c>
      <c r="L184" s="52">
        <v>15</v>
      </c>
      <c r="M184" s="53">
        <v>6</v>
      </c>
      <c r="N184" s="53">
        <v>1</v>
      </c>
      <c r="O184" s="54" t="s">
        <v>1944</v>
      </c>
      <c r="P184" s="113" t="s">
        <v>104</v>
      </c>
      <c r="Q184" s="49">
        <v>45</v>
      </c>
      <c r="R184" s="56" t="s">
        <v>37</v>
      </c>
      <c r="S184" s="243">
        <v>4607958078127</v>
      </c>
      <c r="T184" s="340">
        <v>14607958078124</v>
      </c>
      <c r="U184" s="46">
        <v>4607958078127</v>
      </c>
      <c r="V184" s="46">
        <v>14607958078124</v>
      </c>
      <c r="W184" s="255" t="s">
        <v>71</v>
      </c>
      <c r="X184" s="97" t="s">
        <v>67</v>
      </c>
      <c r="Y184" s="97" t="s">
        <v>68</v>
      </c>
      <c r="Z184" s="65">
        <v>0.3</v>
      </c>
      <c r="AA184" s="271">
        <v>5.0000000000000001E-3</v>
      </c>
      <c r="AB184" s="66">
        <f t="shared" si="160"/>
        <v>0.30499999999999999</v>
      </c>
      <c r="AC184" s="59">
        <v>218</v>
      </c>
      <c r="AD184" s="68">
        <v>193</v>
      </c>
      <c r="AE184" s="60">
        <v>108</v>
      </c>
      <c r="AF184" s="191">
        <v>6</v>
      </c>
      <c r="AG184" s="117">
        <v>600000150</v>
      </c>
      <c r="AH184" s="104">
        <f>справочники!$C$43</f>
        <v>8.5999999999999993E-2</v>
      </c>
      <c r="AI184" s="62">
        <f t="shared" si="195"/>
        <v>1.8</v>
      </c>
      <c r="AJ184" s="122">
        <f t="shared" si="200"/>
        <v>1.9160000000000001</v>
      </c>
      <c r="AK184" s="37">
        <v>20</v>
      </c>
      <c r="AL184" s="38">
        <v>14</v>
      </c>
      <c r="AM184" s="40">
        <f t="shared" si="175"/>
        <v>280</v>
      </c>
      <c r="AN184" s="206">
        <f t="shared" si="199"/>
        <v>1680</v>
      </c>
      <c r="AO184" s="204">
        <f t="shared" si="158"/>
        <v>1657</v>
      </c>
    </row>
    <row r="185" spans="1:41" ht="89.25" x14ac:dyDescent="0.2">
      <c r="A185" s="22">
        <f t="shared" si="148"/>
        <v>6961</v>
      </c>
      <c r="B185" s="116">
        <v>1001085966961</v>
      </c>
      <c r="C185" s="48" t="s">
        <v>1028</v>
      </c>
      <c r="D185" s="49" t="s">
        <v>4</v>
      </c>
      <c r="E185" s="146" t="s">
        <v>373</v>
      </c>
      <c r="F185" s="112" t="s">
        <v>1230</v>
      </c>
      <c r="G185" s="224" t="s">
        <v>6</v>
      </c>
      <c r="H185" s="49" t="s">
        <v>1</v>
      </c>
      <c r="I185" s="154" t="s">
        <v>1939</v>
      </c>
      <c r="J185" s="150" t="s">
        <v>1942</v>
      </c>
      <c r="K185" s="51" t="s">
        <v>1962</v>
      </c>
      <c r="L185" s="52">
        <v>18</v>
      </c>
      <c r="M185" s="53">
        <v>6</v>
      </c>
      <c r="N185" s="53">
        <v>1</v>
      </c>
      <c r="O185" s="54" t="s">
        <v>1879</v>
      </c>
      <c r="P185" s="113" t="s">
        <v>104</v>
      </c>
      <c r="Q185" s="49">
        <v>45</v>
      </c>
      <c r="R185" s="56" t="s">
        <v>37</v>
      </c>
      <c r="S185" s="243">
        <v>4607958078820</v>
      </c>
      <c r="T185" s="340">
        <v>14607958078827</v>
      </c>
      <c r="U185" s="46">
        <v>4607958078820</v>
      </c>
      <c r="V185" s="46">
        <v>14607958078827</v>
      </c>
      <c r="W185" s="255" t="s">
        <v>878</v>
      </c>
      <c r="X185" s="97" t="s">
        <v>879</v>
      </c>
      <c r="Y185" s="97" t="s">
        <v>880</v>
      </c>
      <c r="Z185" s="65">
        <v>0.3</v>
      </c>
      <c r="AA185" s="271">
        <v>5.0000000000000001E-3</v>
      </c>
      <c r="AB185" s="66">
        <f>Z185+AA185</f>
        <v>0.30499999999999999</v>
      </c>
      <c r="AC185" s="59">
        <v>218</v>
      </c>
      <c r="AD185" s="68">
        <v>193</v>
      </c>
      <c r="AE185" s="60">
        <v>108</v>
      </c>
      <c r="AF185" s="191">
        <v>6</v>
      </c>
      <c r="AG185" s="117">
        <v>600000150</v>
      </c>
      <c r="AH185" s="104">
        <f>справочники!$C$43</f>
        <v>8.5999999999999993E-2</v>
      </c>
      <c r="AI185" s="62">
        <f t="shared" si="195"/>
        <v>1.8</v>
      </c>
      <c r="AJ185" s="122">
        <f t="shared" si="200"/>
        <v>1.9160000000000001</v>
      </c>
      <c r="AK185" s="37">
        <v>20</v>
      </c>
      <c r="AL185" s="38">
        <v>14</v>
      </c>
      <c r="AM185" s="40">
        <f>AK185*AL185</f>
        <v>280</v>
      </c>
      <c r="AN185" s="206">
        <f>IF(D185="ШТ",кол_во_инд.__упак_к*итого_г_у,ROUNDDOWN(номин.вес_нетто_г_у__кг*итого_г_у,1))</f>
        <v>1680</v>
      </c>
      <c r="AO185" s="204">
        <f t="shared" si="158"/>
        <v>1657</v>
      </c>
    </row>
    <row r="186" spans="1:41" ht="89.25" x14ac:dyDescent="0.2">
      <c r="A186" s="22">
        <f t="shared" si="148"/>
        <v>7623</v>
      </c>
      <c r="B186" s="116">
        <v>1001455967623</v>
      </c>
      <c r="C186" s="48" t="s">
        <v>1856</v>
      </c>
      <c r="D186" s="49" t="s">
        <v>3</v>
      </c>
      <c r="E186" s="146" t="s">
        <v>373</v>
      </c>
      <c r="F186" s="112" t="s">
        <v>1230</v>
      </c>
      <c r="G186" s="224" t="s">
        <v>6</v>
      </c>
      <c r="H186" s="49" t="s">
        <v>1</v>
      </c>
      <c r="I186" s="154" t="s">
        <v>1939</v>
      </c>
      <c r="J186" s="150" t="s">
        <v>1942</v>
      </c>
      <c r="K186" s="51" t="s">
        <v>1962</v>
      </c>
      <c r="L186" s="52">
        <v>18</v>
      </c>
      <c r="M186" s="53">
        <v>6</v>
      </c>
      <c r="N186" s="53">
        <v>1</v>
      </c>
      <c r="O186" s="54" t="s">
        <v>1879</v>
      </c>
      <c r="P186" s="113" t="s">
        <v>104</v>
      </c>
      <c r="Q186" s="49">
        <v>45</v>
      </c>
      <c r="R186" s="56" t="s">
        <v>37</v>
      </c>
      <c r="S186" s="243">
        <v>2800652000001</v>
      </c>
      <c r="T186" s="340">
        <v>12800652000008</v>
      </c>
      <c r="U186" s="46">
        <v>4630362182685</v>
      </c>
      <c r="V186" s="46">
        <v>14630362182682</v>
      </c>
      <c r="W186" s="255" t="s">
        <v>878</v>
      </c>
      <c r="X186" s="97" t="s">
        <v>879</v>
      </c>
      <c r="Y186" s="97" t="s">
        <v>880</v>
      </c>
      <c r="Z186" s="65">
        <v>0.3</v>
      </c>
      <c r="AA186" s="271">
        <v>5.0000000000000001E-3</v>
      </c>
      <c r="AB186" s="66">
        <f>Z186+AA186</f>
        <v>0.30499999999999999</v>
      </c>
      <c r="AC186" s="59">
        <v>218</v>
      </c>
      <c r="AD186" s="68">
        <v>193</v>
      </c>
      <c r="AE186" s="60">
        <v>108</v>
      </c>
      <c r="AF186" s="191">
        <v>6</v>
      </c>
      <c r="AG186" s="117">
        <v>600000150</v>
      </c>
      <c r="AH186" s="104">
        <f>справочники!$C$43</f>
        <v>8.5999999999999993E-2</v>
      </c>
      <c r="AI186" s="62">
        <f t="shared" si="195"/>
        <v>1.8</v>
      </c>
      <c r="AJ186" s="122">
        <f t="shared" si="200"/>
        <v>1.9160000000000001</v>
      </c>
      <c r="AK186" s="37">
        <v>20</v>
      </c>
      <c r="AL186" s="38">
        <v>14</v>
      </c>
      <c r="AM186" s="40">
        <f>AK186*AL186</f>
        <v>280</v>
      </c>
      <c r="AN186" s="206">
        <f>IF(D186="ШТ",кол_во_инд.__упак_к*итого_г_у,ROUNDDOWN(номин.вес_нетто_г_у__кг*итого_г_у,1))</f>
        <v>504</v>
      </c>
      <c r="AO186" s="204">
        <f t="shared" si="158"/>
        <v>1657</v>
      </c>
    </row>
    <row r="187" spans="1:41" ht="54.6" customHeight="1" x14ac:dyDescent="0.2">
      <c r="A187" s="22">
        <f t="shared" si="148"/>
        <v>6881</v>
      </c>
      <c r="B187" s="116">
        <v>1001085756881</v>
      </c>
      <c r="C187" s="48" t="s">
        <v>875</v>
      </c>
      <c r="D187" s="49" t="s">
        <v>4</v>
      </c>
      <c r="E187" s="146" t="s">
        <v>373</v>
      </c>
      <c r="F187" s="112" t="s">
        <v>1230</v>
      </c>
      <c r="G187" s="224" t="s">
        <v>6</v>
      </c>
      <c r="H187" s="49" t="s">
        <v>1</v>
      </c>
      <c r="I187" s="154" t="s">
        <v>1939</v>
      </c>
      <c r="J187" s="150" t="s">
        <v>1942</v>
      </c>
      <c r="K187" s="51" t="s">
        <v>1963</v>
      </c>
      <c r="L187" s="52">
        <v>18</v>
      </c>
      <c r="M187" s="53">
        <v>6</v>
      </c>
      <c r="N187" s="53">
        <v>1</v>
      </c>
      <c r="O187" s="54" t="s">
        <v>1879</v>
      </c>
      <c r="P187" s="113" t="s">
        <v>104</v>
      </c>
      <c r="Q187" s="49">
        <v>45</v>
      </c>
      <c r="R187" s="56" t="s">
        <v>37</v>
      </c>
      <c r="S187" s="243">
        <v>4607958077885</v>
      </c>
      <c r="T187" s="340">
        <v>14607958077882</v>
      </c>
      <c r="U187" s="46">
        <v>4607958077885</v>
      </c>
      <c r="V187" s="46">
        <v>14607958077882</v>
      </c>
      <c r="W187" s="255" t="s">
        <v>878</v>
      </c>
      <c r="X187" s="97" t="s">
        <v>879</v>
      </c>
      <c r="Y187" s="97" t="s">
        <v>880</v>
      </c>
      <c r="Z187" s="65">
        <v>0.3</v>
      </c>
      <c r="AA187" s="271">
        <v>5.0000000000000001E-3</v>
      </c>
      <c r="AB187" s="66">
        <f t="shared" ref="AB187:AB190" si="219">Z187+AA187</f>
        <v>0.30499999999999999</v>
      </c>
      <c r="AC187" s="59">
        <v>298</v>
      </c>
      <c r="AD187" s="68">
        <v>198</v>
      </c>
      <c r="AE187" s="60">
        <v>139</v>
      </c>
      <c r="AF187" s="191">
        <v>12</v>
      </c>
      <c r="AG187" s="117">
        <v>600000444</v>
      </c>
      <c r="AH187" s="104">
        <f>справочники!$C$128</f>
        <v>0.13700000000000001</v>
      </c>
      <c r="AI187" s="62">
        <f t="shared" si="195"/>
        <v>3.6</v>
      </c>
      <c r="AJ187" s="122">
        <f t="shared" si="200"/>
        <v>3.7970000000000002</v>
      </c>
      <c r="AK187" s="37">
        <v>16</v>
      </c>
      <c r="AL187" s="38">
        <v>7</v>
      </c>
      <c r="AM187" s="40">
        <f t="shared" ref="AM187:AM190" si="220">AK187*AL187</f>
        <v>112</v>
      </c>
      <c r="AN187" s="206">
        <f t="shared" ref="AN187:AN190" si="221">IF(D187="ШТ",кол_во_инд.__упак_к*итого_г_у,ROUNDDOWN(номин.вес_нетто_г_у__кг*итого_г_у,1))</f>
        <v>1344</v>
      </c>
      <c r="AO187" s="204">
        <f t="shared" si="158"/>
        <v>1118</v>
      </c>
    </row>
    <row r="188" spans="1:41" ht="153" x14ac:dyDescent="0.2">
      <c r="A188" s="22">
        <f t="shared" si="148"/>
        <v>4819</v>
      </c>
      <c r="B188" s="116">
        <v>1001083444819</v>
      </c>
      <c r="C188" s="70" t="s">
        <v>847</v>
      </c>
      <c r="D188" s="49" t="s">
        <v>4</v>
      </c>
      <c r="E188" s="146" t="s">
        <v>373</v>
      </c>
      <c r="F188" s="112" t="s">
        <v>1230</v>
      </c>
      <c r="G188" s="224" t="s">
        <v>6</v>
      </c>
      <c r="H188" s="49" t="s">
        <v>1</v>
      </c>
      <c r="I188" s="154" t="s">
        <v>1939</v>
      </c>
      <c r="J188" s="150" t="s">
        <v>1942</v>
      </c>
      <c r="K188" s="51" t="s">
        <v>1964</v>
      </c>
      <c r="L188" s="52">
        <v>14</v>
      </c>
      <c r="M188" s="53">
        <v>4</v>
      </c>
      <c r="N188" s="53">
        <v>3</v>
      </c>
      <c r="O188" s="54" t="s">
        <v>1506</v>
      </c>
      <c r="P188" s="113" t="s">
        <v>104</v>
      </c>
      <c r="Q188" s="49">
        <v>45</v>
      </c>
      <c r="R188" s="56" t="s">
        <v>37</v>
      </c>
      <c r="S188" s="243">
        <v>4607958070732</v>
      </c>
      <c r="T188" s="340">
        <v>14607958070739</v>
      </c>
      <c r="U188" s="46">
        <v>4607958070732</v>
      </c>
      <c r="V188" s="46">
        <v>14607958070739</v>
      </c>
      <c r="W188" s="255">
        <v>224</v>
      </c>
      <c r="X188" s="97">
        <v>80</v>
      </c>
      <c r="Y188" s="97">
        <v>30</v>
      </c>
      <c r="Z188" s="65">
        <v>0.3</v>
      </c>
      <c r="AA188" s="271">
        <v>5.0000000000000001E-3</v>
      </c>
      <c r="AB188" s="66">
        <f t="shared" si="219"/>
        <v>0.30499999999999999</v>
      </c>
      <c r="AC188" s="59">
        <v>218</v>
      </c>
      <c r="AD188" s="68">
        <v>193</v>
      </c>
      <c r="AE188" s="60">
        <v>108</v>
      </c>
      <c r="AF188" s="191">
        <v>6</v>
      </c>
      <c r="AG188" s="117">
        <v>600000150</v>
      </c>
      <c r="AH188" s="104">
        <f>справочники!$C$43</f>
        <v>8.5999999999999993E-2</v>
      </c>
      <c r="AI188" s="62">
        <f t="shared" si="195"/>
        <v>1.8</v>
      </c>
      <c r="AJ188" s="122">
        <f t="shared" si="200"/>
        <v>1.9160000000000001</v>
      </c>
      <c r="AK188" s="37">
        <v>20</v>
      </c>
      <c r="AL188" s="38">
        <v>14</v>
      </c>
      <c r="AM188" s="40">
        <f t="shared" si="220"/>
        <v>280</v>
      </c>
      <c r="AN188" s="206">
        <f t="shared" si="221"/>
        <v>1680</v>
      </c>
      <c r="AO188" s="204">
        <f t="shared" si="158"/>
        <v>1657</v>
      </c>
    </row>
    <row r="189" spans="1:41" ht="153" x14ac:dyDescent="0.2">
      <c r="A189" s="22">
        <f t="shared" si="148"/>
        <v>6207</v>
      </c>
      <c r="B189" s="116">
        <v>1001083446207</v>
      </c>
      <c r="C189" s="70" t="s">
        <v>846</v>
      </c>
      <c r="D189" s="49" t="s">
        <v>4</v>
      </c>
      <c r="E189" s="146" t="s">
        <v>373</v>
      </c>
      <c r="F189" s="112" t="s">
        <v>1230</v>
      </c>
      <c r="G189" s="224" t="s">
        <v>6</v>
      </c>
      <c r="H189" s="49" t="s">
        <v>1</v>
      </c>
      <c r="I189" s="154" t="s">
        <v>1939</v>
      </c>
      <c r="J189" s="150" t="s">
        <v>1942</v>
      </c>
      <c r="K189" s="51" t="s">
        <v>1964</v>
      </c>
      <c r="L189" s="52">
        <v>14</v>
      </c>
      <c r="M189" s="53">
        <v>4</v>
      </c>
      <c r="N189" s="53">
        <v>3</v>
      </c>
      <c r="O189" s="54" t="s">
        <v>1506</v>
      </c>
      <c r="P189" s="113" t="s">
        <v>104</v>
      </c>
      <c r="Q189" s="49">
        <v>45</v>
      </c>
      <c r="R189" s="56" t="s">
        <v>37</v>
      </c>
      <c r="S189" s="243">
        <v>4607958070732</v>
      </c>
      <c r="T189" s="340">
        <v>14607958070739</v>
      </c>
      <c r="U189" s="46">
        <v>4607958070732</v>
      </c>
      <c r="V189" s="46">
        <v>14607958070739</v>
      </c>
      <c r="W189" s="255">
        <v>224</v>
      </c>
      <c r="X189" s="97">
        <v>80</v>
      </c>
      <c r="Y189" s="97">
        <v>30</v>
      </c>
      <c r="Z189" s="65">
        <v>0.3</v>
      </c>
      <c r="AA189" s="271">
        <v>5.0000000000000001E-3</v>
      </c>
      <c r="AB189" s="66">
        <f t="shared" si="219"/>
        <v>0.30499999999999999</v>
      </c>
      <c r="AC189" s="59">
        <v>218</v>
      </c>
      <c r="AD189" s="68">
        <v>193</v>
      </c>
      <c r="AE189" s="60">
        <v>108</v>
      </c>
      <c r="AF189" s="191">
        <v>6</v>
      </c>
      <c r="AG189" s="117">
        <v>600000150</v>
      </c>
      <c r="AH189" s="104">
        <f>справочники!$C$43</f>
        <v>8.5999999999999993E-2</v>
      </c>
      <c r="AI189" s="62">
        <f t="shared" si="195"/>
        <v>1.8</v>
      </c>
      <c r="AJ189" s="122">
        <f t="shared" si="200"/>
        <v>1.9160000000000001</v>
      </c>
      <c r="AK189" s="37">
        <v>20</v>
      </c>
      <c r="AL189" s="38">
        <v>14</v>
      </c>
      <c r="AM189" s="40">
        <f t="shared" si="220"/>
        <v>280</v>
      </c>
      <c r="AN189" s="206">
        <f t="shared" si="221"/>
        <v>1680</v>
      </c>
      <c r="AO189" s="204">
        <f t="shared" si="158"/>
        <v>1657</v>
      </c>
    </row>
    <row r="190" spans="1:41" ht="165.75" x14ac:dyDescent="0.2">
      <c r="A190" s="22">
        <f t="shared" si="148"/>
        <v>7655</v>
      </c>
      <c r="B190" s="116">
        <v>1001457777655</v>
      </c>
      <c r="C190" s="48" t="s">
        <v>2088</v>
      </c>
      <c r="D190" s="49" t="s">
        <v>4</v>
      </c>
      <c r="E190" s="146" t="s">
        <v>373</v>
      </c>
      <c r="F190" s="112" t="s">
        <v>1230</v>
      </c>
      <c r="G190" s="224" t="s">
        <v>935</v>
      </c>
      <c r="H190" s="49" t="s">
        <v>1</v>
      </c>
      <c r="I190" s="154" t="s">
        <v>1939</v>
      </c>
      <c r="J190" s="150" t="s">
        <v>462</v>
      </c>
      <c r="K190" s="51" t="s">
        <v>1966</v>
      </c>
      <c r="L190" s="52">
        <v>13</v>
      </c>
      <c r="M190" s="53">
        <v>15</v>
      </c>
      <c r="N190" s="53">
        <v>3</v>
      </c>
      <c r="O190" s="53" t="s">
        <v>1641</v>
      </c>
      <c r="P190" s="113" t="s">
        <v>104</v>
      </c>
      <c r="Q190" s="49">
        <v>55</v>
      </c>
      <c r="R190" s="56" t="s">
        <v>37</v>
      </c>
      <c r="S190" s="243">
        <v>4630362182975</v>
      </c>
      <c r="T190" s="340">
        <v>14630362182972</v>
      </c>
      <c r="U190" s="46">
        <v>4630362182975</v>
      </c>
      <c r="V190" s="46">
        <v>14630362182972</v>
      </c>
      <c r="W190" s="255">
        <v>224</v>
      </c>
      <c r="X190" s="97">
        <v>80</v>
      </c>
      <c r="Y190" s="97">
        <v>30</v>
      </c>
      <c r="Z190" s="65">
        <v>0.4</v>
      </c>
      <c r="AA190" s="271">
        <v>5.0000000000000001E-3</v>
      </c>
      <c r="AB190" s="66">
        <f t="shared" si="219"/>
        <v>0.40500000000000003</v>
      </c>
      <c r="AC190" s="67">
        <v>218</v>
      </c>
      <c r="AD190" s="68">
        <v>193</v>
      </c>
      <c r="AE190" s="68">
        <v>108</v>
      </c>
      <c r="AF190" s="191">
        <v>6</v>
      </c>
      <c r="AG190" s="117">
        <v>600000150</v>
      </c>
      <c r="AH190" s="105">
        <f>справочники!$C$43</f>
        <v>8.5999999999999993E-2</v>
      </c>
      <c r="AI190" s="61">
        <f t="shared" si="195"/>
        <v>2.4</v>
      </c>
      <c r="AJ190" s="123">
        <f t="shared" si="200"/>
        <v>2.516</v>
      </c>
      <c r="AK190" s="37">
        <v>20</v>
      </c>
      <c r="AL190" s="38">
        <v>14</v>
      </c>
      <c r="AM190" s="40">
        <f t="shared" si="220"/>
        <v>280</v>
      </c>
      <c r="AN190" s="206">
        <f t="shared" si="221"/>
        <v>1680</v>
      </c>
      <c r="AO190" s="204">
        <f t="shared" si="158"/>
        <v>1657</v>
      </c>
    </row>
    <row r="191" spans="1:41" ht="165.75" x14ac:dyDescent="0.2">
      <c r="A191" s="22">
        <f t="shared" si="148"/>
        <v>7089</v>
      </c>
      <c r="B191" s="116">
        <v>1001084217089</v>
      </c>
      <c r="C191" s="48" t="s">
        <v>1070</v>
      </c>
      <c r="D191" s="49" t="s">
        <v>4</v>
      </c>
      <c r="E191" s="146" t="s">
        <v>373</v>
      </c>
      <c r="F191" s="112" t="s">
        <v>1230</v>
      </c>
      <c r="G191" s="224" t="s">
        <v>6</v>
      </c>
      <c r="H191" s="49" t="s">
        <v>1</v>
      </c>
      <c r="I191" s="154" t="s">
        <v>1939</v>
      </c>
      <c r="J191" s="150" t="s">
        <v>1942</v>
      </c>
      <c r="K191" s="51" t="s">
        <v>1966</v>
      </c>
      <c r="L191" s="52">
        <v>13</v>
      </c>
      <c r="M191" s="53">
        <v>15</v>
      </c>
      <c r="N191" s="53">
        <v>3</v>
      </c>
      <c r="O191" s="53" t="s">
        <v>1641</v>
      </c>
      <c r="P191" s="113" t="s">
        <v>104</v>
      </c>
      <c r="Q191" s="49">
        <v>50</v>
      </c>
      <c r="R191" s="56" t="s">
        <v>37</v>
      </c>
      <c r="S191" s="243">
        <v>4607958077663</v>
      </c>
      <c r="T191" s="340">
        <v>14607958077660</v>
      </c>
      <c r="U191" s="46">
        <v>4607958077663</v>
      </c>
      <c r="V191" s="46">
        <v>14607958077660</v>
      </c>
      <c r="W191" s="255">
        <v>224</v>
      </c>
      <c r="X191" s="97">
        <v>80</v>
      </c>
      <c r="Y191" s="97">
        <v>30</v>
      </c>
      <c r="Z191" s="65">
        <v>0.3</v>
      </c>
      <c r="AA191" s="271">
        <v>5.0000000000000001E-3</v>
      </c>
      <c r="AB191" s="66">
        <f t="shared" ref="AB191" si="222">Z191+AA191</f>
        <v>0.30499999999999999</v>
      </c>
      <c r="AC191" s="59">
        <v>218</v>
      </c>
      <c r="AD191" s="60">
        <v>193</v>
      </c>
      <c r="AE191" s="60">
        <v>108</v>
      </c>
      <c r="AF191" s="191">
        <v>6</v>
      </c>
      <c r="AG191" s="117">
        <v>600000150</v>
      </c>
      <c r="AH191" s="104">
        <f>справочники!$C$43</f>
        <v>8.5999999999999993E-2</v>
      </c>
      <c r="AI191" s="62">
        <f t="shared" si="195"/>
        <v>1.8</v>
      </c>
      <c r="AJ191" s="122">
        <f t="shared" si="200"/>
        <v>1.9160000000000001</v>
      </c>
      <c r="AK191" s="37">
        <v>20</v>
      </c>
      <c r="AL191" s="38">
        <v>14</v>
      </c>
      <c r="AM191" s="40">
        <f t="shared" ref="AM191" si="223">AK191*AL191</f>
        <v>280</v>
      </c>
      <c r="AN191" s="206">
        <f t="shared" ref="AN191" si="224">IF(D191="ШТ",кол_во_инд.__упак_к*итого_г_у,ROUNDDOWN(номин.вес_нетто_г_у__кг*итого_г_у,1))</f>
        <v>1680</v>
      </c>
      <c r="AO191" s="204">
        <f t="shared" si="158"/>
        <v>1657</v>
      </c>
    </row>
    <row r="192" spans="1:41" ht="165.75" x14ac:dyDescent="0.2">
      <c r="A192" s="22">
        <f t="shared" si="148"/>
        <v>7090</v>
      </c>
      <c r="B192" s="116">
        <v>1001084217090</v>
      </c>
      <c r="C192" s="48" t="s">
        <v>1069</v>
      </c>
      <c r="D192" s="49" t="s">
        <v>4</v>
      </c>
      <c r="E192" s="146" t="s">
        <v>373</v>
      </c>
      <c r="F192" s="112" t="s">
        <v>1230</v>
      </c>
      <c r="G192" s="224" t="s">
        <v>6</v>
      </c>
      <c r="H192" s="49" t="s">
        <v>1</v>
      </c>
      <c r="I192" s="154" t="s">
        <v>1939</v>
      </c>
      <c r="J192" s="150" t="s">
        <v>1942</v>
      </c>
      <c r="K192" s="51" t="s">
        <v>1966</v>
      </c>
      <c r="L192" s="52">
        <v>13</v>
      </c>
      <c r="M192" s="53">
        <v>15</v>
      </c>
      <c r="N192" s="53">
        <v>3</v>
      </c>
      <c r="O192" s="53" t="s">
        <v>1641</v>
      </c>
      <c r="P192" s="113" t="s">
        <v>104</v>
      </c>
      <c r="Q192" s="49">
        <v>50</v>
      </c>
      <c r="R192" s="56" t="s">
        <v>37</v>
      </c>
      <c r="S192" s="243">
        <v>4607958077663</v>
      </c>
      <c r="T192" s="340">
        <v>14607958077660</v>
      </c>
      <c r="U192" s="46">
        <v>4607958077663</v>
      </c>
      <c r="V192" s="46">
        <v>14607958077660</v>
      </c>
      <c r="W192" s="255">
        <v>224</v>
      </c>
      <c r="X192" s="97">
        <v>80</v>
      </c>
      <c r="Y192" s="97">
        <v>30</v>
      </c>
      <c r="Z192" s="65">
        <v>0.3</v>
      </c>
      <c r="AA192" s="271">
        <v>5.0000000000000001E-3</v>
      </c>
      <c r="AB192" s="66">
        <f t="shared" ref="AB192:AB193" si="225">Z192+AA192</f>
        <v>0.30499999999999999</v>
      </c>
      <c r="AC192" s="67">
        <v>218</v>
      </c>
      <c r="AD192" s="68">
        <v>193</v>
      </c>
      <c r="AE192" s="68">
        <v>108</v>
      </c>
      <c r="AF192" s="191">
        <v>6</v>
      </c>
      <c r="AG192" s="117">
        <v>600000150</v>
      </c>
      <c r="AH192" s="105">
        <f>справочники!$C$43</f>
        <v>8.5999999999999993E-2</v>
      </c>
      <c r="AI192" s="61">
        <f t="shared" si="195"/>
        <v>1.8</v>
      </c>
      <c r="AJ192" s="123">
        <f t="shared" si="200"/>
        <v>1.9160000000000001</v>
      </c>
      <c r="AK192" s="37">
        <v>20</v>
      </c>
      <c r="AL192" s="38">
        <v>14</v>
      </c>
      <c r="AM192" s="40">
        <f t="shared" ref="AM192:AM193" si="226">AK192*AL192</f>
        <v>280</v>
      </c>
      <c r="AN192" s="206">
        <f t="shared" ref="AN192:AN193" si="227">IF(D192="ШТ",кол_во_инд.__упак_к*итого_г_у,ROUNDDOWN(номин.вес_нетто_г_у__кг*итого_г_у,1))</f>
        <v>1680</v>
      </c>
      <c r="AO192" s="204">
        <f t="shared" si="158"/>
        <v>1657</v>
      </c>
    </row>
    <row r="193" spans="1:41" ht="114.75" x14ac:dyDescent="0.2">
      <c r="A193" s="22">
        <f t="shared" si="148"/>
        <v>7656</v>
      </c>
      <c r="B193" s="116">
        <v>1001453547656</v>
      </c>
      <c r="C193" s="48" t="s">
        <v>2072</v>
      </c>
      <c r="D193" s="49" t="s">
        <v>4</v>
      </c>
      <c r="E193" s="146" t="s">
        <v>373</v>
      </c>
      <c r="F193" s="112" t="s">
        <v>1230</v>
      </c>
      <c r="G193" s="224" t="s">
        <v>935</v>
      </c>
      <c r="H193" s="49" t="s">
        <v>1</v>
      </c>
      <c r="I193" s="154" t="s">
        <v>1941</v>
      </c>
      <c r="J193" s="150" t="s">
        <v>1955</v>
      </c>
      <c r="K193" s="51" t="s">
        <v>1995</v>
      </c>
      <c r="L193" s="52">
        <v>16</v>
      </c>
      <c r="M193" s="53">
        <v>14</v>
      </c>
      <c r="N193" s="53">
        <v>2</v>
      </c>
      <c r="O193" s="53" t="s">
        <v>1272</v>
      </c>
      <c r="P193" s="113" t="s">
        <v>104</v>
      </c>
      <c r="Q193" s="49">
        <v>55</v>
      </c>
      <c r="R193" s="56" t="s">
        <v>37</v>
      </c>
      <c r="S193" s="243">
        <v>4630362182999</v>
      </c>
      <c r="T193" s="340">
        <v>14630362182996</v>
      </c>
      <c r="U193" s="46">
        <v>4630362182999</v>
      </c>
      <c r="V193" s="46">
        <v>14630362182996</v>
      </c>
      <c r="W193" s="255">
        <v>224</v>
      </c>
      <c r="X193" s="97">
        <v>80</v>
      </c>
      <c r="Y193" s="97">
        <v>30</v>
      </c>
      <c r="Z193" s="65">
        <v>0.3</v>
      </c>
      <c r="AA193" s="271">
        <v>5.0000000000000001E-3</v>
      </c>
      <c r="AB193" s="66">
        <f t="shared" si="225"/>
        <v>0.30499999999999999</v>
      </c>
      <c r="AC193" s="59">
        <v>218</v>
      </c>
      <c r="AD193" s="60">
        <v>193</v>
      </c>
      <c r="AE193" s="60">
        <v>108</v>
      </c>
      <c r="AF193" s="191">
        <v>6</v>
      </c>
      <c r="AG193" s="117">
        <v>600000150</v>
      </c>
      <c r="AH193" s="104">
        <f>справочники!$C$43</f>
        <v>8.5999999999999993E-2</v>
      </c>
      <c r="AI193" s="62">
        <f t="shared" si="195"/>
        <v>1.8</v>
      </c>
      <c r="AJ193" s="122">
        <f t="shared" si="200"/>
        <v>1.9160000000000001</v>
      </c>
      <c r="AK193" s="37">
        <v>20</v>
      </c>
      <c r="AL193" s="38">
        <v>14</v>
      </c>
      <c r="AM193" s="40">
        <f t="shared" si="226"/>
        <v>280</v>
      </c>
      <c r="AN193" s="206">
        <f t="shared" si="227"/>
        <v>1680</v>
      </c>
      <c r="AO193" s="204">
        <f t="shared" si="158"/>
        <v>1657</v>
      </c>
    </row>
    <row r="194" spans="1:41" ht="114.75" x14ac:dyDescent="0.2">
      <c r="A194" s="22">
        <f t="shared" si="148"/>
        <v>7087</v>
      </c>
      <c r="B194" s="116">
        <v>1001084227087</v>
      </c>
      <c r="C194" s="48" t="s">
        <v>1068</v>
      </c>
      <c r="D194" s="49" t="s">
        <v>4</v>
      </c>
      <c r="E194" s="146" t="s">
        <v>373</v>
      </c>
      <c r="F194" s="112" t="s">
        <v>1230</v>
      </c>
      <c r="G194" s="224" t="s">
        <v>6</v>
      </c>
      <c r="H194" s="49" t="s">
        <v>1</v>
      </c>
      <c r="I194" s="154" t="s">
        <v>1939</v>
      </c>
      <c r="J194" s="150" t="s">
        <v>1946</v>
      </c>
      <c r="K194" s="51" t="s">
        <v>1968</v>
      </c>
      <c r="L194" s="52">
        <v>13</v>
      </c>
      <c r="M194" s="53">
        <v>27</v>
      </c>
      <c r="N194" s="53">
        <v>3</v>
      </c>
      <c r="O194" s="54" t="s">
        <v>1967</v>
      </c>
      <c r="P194" s="113" t="s">
        <v>104</v>
      </c>
      <c r="Q194" s="49">
        <v>50</v>
      </c>
      <c r="R194" s="56" t="s">
        <v>37</v>
      </c>
      <c r="S194" s="243">
        <v>4607958072385</v>
      </c>
      <c r="T194" s="340">
        <v>14607958072382</v>
      </c>
      <c r="U194" s="46">
        <v>4607958072385</v>
      </c>
      <c r="V194" s="46">
        <v>14607958072382</v>
      </c>
      <c r="W194" s="255">
        <v>120</v>
      </c>
      <c r="X194" s="97">
        <v>70</v>
      </c>
      <c r="Y194" s="97">
        <v>40</v>
      </c>
      <c r="Z194" s="65">
        <v>0.3</v>
      </c>
      <c r="AA194" s="271">
        <v>5.0000000000000001E-3</v>
      </c>
      <c r="AB194" s="66">
        <f t="shared" ref="AB194" si="228">Z194+AA194</f>
        <v>0.30499999999999999</v>
      </c>
      <c r="AC194" s="67">
        <v>218</v>
      </c>
      <c r="AD194" s="68">
        <v>193</v>
      </c>
      <c r="AE194" s="68">
        <v>108</v>
      </c>
      <c r="AF194" s="194">
        <v>6</v>
      </c>
      <c r="AG194" s="117">
        <v>600000150</v>
      </c>
      <c r="AH194" s="105">
        <f>справочники!$C$43</f>
        <v>8.5999999999999993E-2</v>
      </c>
      <c r="AI194" s="61">
        <f t="shared" si="195"/>
        <v>1.8</v>
      </c>
      <c r="AJ194" s="123">
        <f t="shared" si="200"/>
        <v>1.9160000000000001</v>
      </c>
      <c r="AK194" s="33">
        <v>20</v>
      </c>
      <c r="AL194" s="34">
        <v>14</v>
      </c>
      <c r="AM194" s="40">
        <f t="shared" ref="AM194" si="229">AK194*AL194</f>
        <v>280</v>
      </c>
      <c r="AN194" s="206">
        <f t="shared" ref="AN194" si="230">IF(D194="ШТ",кол_во_инд.__упак_к*итого_г_у,ROUNDDOWN(номин.вес_нетто_г_у__кг*итого_г_у,1))</f>
        <v>1680</v>
      </c>
      <c r="AO194" s="204">
        <f t="shared" si="158"/>
        <v>1657</v>
      </c>
    </row>
    <row r="195" spans="1:41" ht="216.75" x14ac:dyDescent="0.2">
      <c r="A195" s="22">
        <f t="shared" si="148"/>
        <v>6505</v>
      </c>
      <c r="B195" s="116">
        <v>1001305066505</v>
      </c>
      <c r="C195" s="70" t="s">
        <v>580</v>
      </c>
      <c r="D195" s="50" t="s">
        <v>4</v>
      </c>
      <c r="E195" s="146" t="s">
        <v>373</v>
      </c>
      <c r="F195" s="112" t="s">
        <v>348</v>
      </c>
      <c r="G195" s="224" t="s">
        <v>6</v>
      </c>
      <c r="H195" s="49" t="s">
        <v>38</v>
      </c>
      <c r="I195" s="154" t="s">
        <v>376</v>
      </c>
      <c r="J195" s="151" t="s">
        <v>403</v>
      </c>
      <c r="K195" s="51" t="s">
        <v>1863</v>
      </c>
      <c r="L195" s="52">
        <v>13</v>
      </c>
      <c r="M195" s="53">
        <v>17</v>
      </c>
      <c r="N195" s="53">
        <v>5</v>
      </c>
      <c r="O195" s="54" t="s">
        <v>1634</v>
      </c>
      <c r="P195" s="31" t="s">
        <v>104</v>
      </c>
      <c r="Q195" s="49">
        <v>45</v>
      </c>
      <c r="R195" s="56" t="s">
        <v>51</v>
      </c>
      <c r="S195" s="243">
        <v>4607958074594</v>
      </c>
      <c r="T195" s="340">
        <v>24607958074598</v>
      </c>
      <c r="U195" s="46">
        <v>4607958074594</v>
      </c>
      <c r="V195" s="46">
        <v>24607958074598</v>
      </c>
      <c r="W195" s="93">
        <v>220</v>
      </c>
      <c r="X195" s="60">
        <v>80</v>
      </c>
      <c r="Y195" s="60">
        <v>66</v>
      </c>
      <c r="Z195" s="77">
        <v>0.42</v>
      </c>
      <c r="AA195" s="271">
        <v>5.0000000000000001E-3</v>
      </c>
      <c r="AB195" s="66">
        <f t="shared" ref="AB195:AB213" si="231">Z195+AA195</f>
        <v>0.42499999999999999</v>
      </c>
      <c r="AC195" s="108">
        <v>378</v>
      </c>
      <c r="AD195" s="109">
        <v>288</v>
      </c>
      <c r="AE195" s="109">
        <v>138</v>
      </c>
      <c r="AF195" s="195">
        <v>16</v>
      </c>
      <c r="AG195" s="117">
        <v>600000420</v>
      </c>
      <c r="AH195" s="105">
        <f>справочники!$C$93</f>
        <v>0.22900000000000001</v>
      </c>
      <c r="AI195" s="126">
        <f t="shared" si="195"/>
        <v>6.72</v>
      </c>
      <c r="AJ195" s="169">
        <f t="shared" si="200"/>
        <v>7.0289999999999999</v>
      </c>
      <c r="AK195" s="33">
        <v>8</v>
      </c>
      <c r="AL195" s="34">
        <v>9</v>
      </c>
      <c r="AM195" s="40">
        <f t="shared" ref="AM195:AM213" si="232">AK195*AL195</f>
        <v>72</v>
      </c>
      <c r="AN195" s="206">
        <f t="shared" ref="AN195:AN228" si="233">IF(D195="ШТ",кол_во_инд.__упак_к*итого_г_у,ROUNDDOWN(номин.вес_нетто_г_у__кг*итого_г_у,1))</f>
        <v>1152</v>
      </c>
      <c r="AO195" s="204">
        <f t="shared" ref="AO195:AO253" si="234">(высота__мм*кол_во_слоев_г_у)+145</f>
        <v>1387</v>
      </c>
    </row>
    <row r="196" spans="1:41" ht="191.25" x14ac:dyDescent="0.2">
      <c r="A196" s="22">
        <f t="shared" ref="A196:A259" si="235">VALUE(RIGHT(B196,4))</f>
        <v>7506</v>
      </c>
      <c r="B196" s="116">
        <v>1001303637506</v>
      </c>
      <c r="C196" s="70" t="s">
        <v>1703</v>
      </c>
      <c r="D196" s="50" t="s">
        <v>4</v>
      </c>
      <c r="E196" s="146" t="s">
        <v>373</v>
      </c>
      <c r="F196" s="112" t="s">
        <v>348</v>
      </c>
      <c r="G196" s="224" t="s">
        <v>1582</v>
      </c>
      <c r="H196" s="49" t="s">
        <v>38</v>
      </c>
      <c r="I196" s="154" t="s">
        <v>393</v>
      </c>
      <c r="J196" s="150" t="s">
        <v>402</v>
      </c>
      <c r="K196" s="51" t="s">
        <v>1704</v>
      </c>
      <c r="L196" s="52">
        <v>15</v>
      </c>
      <c r="M196" s="53">
        <v>16</v>
      </c>
      <c r="N196" s="53">
        <v>5</v>
      </c>
      <c r="O196" s="54" t="s">
        <v>1302</v>
      </c>
      <c r="P196" s="31" t="s">
        <v>104</v>
      </c>
      <c r="Q196" s="49">
        <v>50</v>
      </c>
      <c r="R196" s="56" t="s">
        <v>51</v>
      </c>
      <c r="S196" s="243">
        <v>4630362182173</v>
      </c>
      <c r="T196" s="340">
        <v>14630362182170</v>
      </c>
      <c r="U196" s="46">
        <v>4630362182173</v>
      </c>
      <c r="V196" s="46">
        <v>14630362182170</v>
      </c>
      <c r="W196" s="93">
        <v>220</v>
      </c>
      <c r="X196" s="60">
        <v>80</v>
      </c>
      <c r="Y196" s="60">
        <v>54</v>
      </c>
      <c r="Z196" s="77">
        <v>0.28000000000000003</v>
      </c>
      <c r="AA196" s="271">
        <v>5.0000000000000001E-3</v>
      </c>
      <c r="AB196" s="66">
        <f t="shared" si="231"/>
        <v>0.28500000000000003</v>
      </c>
      <c r="AC196" s="59">
        <v>318</v>
      </c>
      <c r="AD196" s="60">
        <v>143</v>
      </c>
      <c r="AE196" s="60">
        <v>138</v>
      </c>
      <c r="AF196" s="191">
        <v>8</v>
      </c>
      <c r="AG196" s="117">
        <v>600000407</v>
      </c>
      <c r="AH196" s="207">
        <f>справочники!$C$106</f>
        <v>9.4E-2</v>
      </c>
      <c r="AI196" s="79">
        <f t="shared" si="195"/>
        <v>2.2400000000000002</v>
      </c>
      <c r="AJ196" s="124">
        <f t="shared" si="200"/>
        <v>2.3740000000000001</v>
      </c>
      <c r="AK196" s="37">
        <v>19</v>
      </c>
      <c r="AL196" s="38">
        <v>11</v>
      </c>
      <c r="AM196" s="40">
        <f t="shared" si="232"/>
        <v>209</v>
      </c>
      <c r="AN196" s="206">
        <f t="shared" si="233"/>
        <v>1672</v>
      </c>
      <c r="AO196" s="204">
        <f t="shared" si="234"/>
        <v>1663</v>
      </c>
    </row>
    <row r="197" spans="1:41" ht="165.75" x14ac:dyDescent="0.2">
      <c r="A197" s="22">
        <f t="shared" si="235"/>
        <v>7603</v>
      </c>
      <c r="B197" s="116">
        <v>1001303637603</v>
      </c>
      <c r="C197" s="70" t="s">
        <v>1768</v>
      </c>
      <c r="D197" s="50" t="s">
        <v>4</v>
      </c>
      <c r="E197" s="146" t="s">
        <v>373</v>
      </c>
      <c r="F197" s="112" t="s">
        <v>348</v>
      </c>
      <c r="G197" s="225" t="s">
        <v>2</v>
      </c>
      <c r="H197" s="49" t="s">
        <v>38</v>
      </c>
      <c r="I197" s="154" t="s">
        <v>389</v>
      </c>
      <c r="J197" s="150" t="s">
        <v>451</v>
      </c>
      <c r="K197" s="51" t="s">
        <v>1747</v>
      </c>
      <c r="L197" s="52">
        <v>15</v>
      </c>
      <c r="M197" s="53">
        <v>17</v>
      </c>
      <c r="N197" s="53">
        <v>1</v>
      </c>
      <c r="O197" s="54" t="s">
        <v>1748</v>
      </c>
      <c r="P197" s="31" t="s">
        <v>104</v>
      </c>
      <c r="Q197" s="49">
        <v>45</v>
      </c>
      <c r="R197" s="56" t="s">
        <v>44</v>
      </c>
      <c r="S197" s="243">
        <v>4607958077366</v>
      </c>
      <c r="T197" s="340">
        <v>14607958077363</v>
      </c>
      <c r="U197" s="46">
        <v>4607958077366</v>
      </c>
      <c r="V197" s="46">
        <v>14607958077363</v>
      </c>
      <c r="W197" s="258">
        <v>220</v>
      </c>
      <c r="X197" s="68">
        <v>80</v>
      </c>
      <c r="Y197" s="68">
        <v>58</v>
      </c>
      <c r="Z197" s="65">
        <v>0.33</v>
      </c>
      <c r="AA197" s="271">
        <v>5.0000000000000001E-3</v>
      </c>
      <c r="AB197" s="66">
        <f t="shared" ref="AB197" si="236">Z197+AA197</f>
        <v>0.33500000000000002</v>
      </c>
      <c r="AC197" s="59">
        <v>318</v>
      </c>
      <c r="AD197" s="60">
        <v>143</v>
      </c>
      <c r="AE197" s="60">
        <v>138</v>
      </c>
      <c r="AF197" s="191">
        <v>8</v>
      </c>
      <c r="AG197" s="117">
        <v>600000407</v>
      </c>
      <c r="AH197" s="104">
        <f>справочники!$C$106</f>
        <v>9.4E-2</v>
      </c>
      <c r="AI197" s="79">
        <f t="shared" si="195"/>
        <v>2.64</v>
      </c>
      <c r="AJ197" s="124">
        <f t="shared" si="200"/>
        <v>2.774</v>
      </c>
      <c r="AK197" s="37">
        <v>19</v>
      </c>
      <c r="AL197" s="38">
        <v>11</v>
      </c>
      <c r="AM197" s="40">
        <f t="shared" ref="AM197" si="237">AK197*AL197</f>
        <v>209</v>
      </c>
      <c r="AN197" s="206">
        <f t="shared" ref="AN197" si="238">IF(D197="ШТ",кол_во_инд.__упак_к*итого_г_у,ROUNDDOWN(номин.вес_нетто_г_у__кг*итого_г_у,1))</f>
        <v>1672</v>
      </c>
      <c r="AO197" s="204">
        <f t="shared" si="234"/>
        <v>1663</v>
      </c>
    </row>
    <row r="198" spans="1:41" ht="165.75" x14ac:dyDescent="0.2">
      <c r="A198" s="22">
        <f t="shared" si="235"/>
        <v>7564</v>
      </c>
      <c r="B198" s="116">
        <v>1001303637564</v>
      </c>
      <c r="C198" s="70" t="s">
        <v>1746</v>
      </c>
      <c r="D198" s="50" t="s">
        <v>3</v>
      </c>
      <c r="E198" s="146" t="s">
        <v>373</v>
      </c>
      <c r="F198" s="112" t="s">
        <v>348</v>
      </c>
      <c r="G198" s="225" t="s">
        <v>2</v>
      </c>
      <c r="H198" s="49" t="s">
        <v>38</v>
      </c>
      <c r="I198" s="154" t="s">
        <v>389</v>
      </c>
      <c r="J198" s="150" t="s">
        <v>451</v>
      </c>
      <c r="K198" s="51" t="s">
        <v>1747</v>
      </c>
      <c r="L198" s="52">
        <v>15</v>
      </c>
      <c r="M198" s="53">
        <v>17</v>
      </c>
      <c r="N198" s="53">
        <v>1</v>
      </c>
      <c r="O198" s="54" t="s">
        <v>1748</v>
      </c>
      <c r="P198" s="31" t="s">
        <v>104</v>
      </c>
      <c r="Q198" s="49">
        <v>45</v>
      </c>
      <c r="R198" s="56" t="s">
        <v>44</v>
      </c>
      <c r="S198" s="243">
        <v>2800308000003</v>
      </c>
      <c r="T198" s="340">
        <v>12800308000000</v>
      </c>
      <c r="U198" s="46">
        <v>4630362181510</v>
      </c>
      <c r="V198" s="46">
        <v>14630362181517</v>
      </c>
      <c r="W198" s="258">
        <v>300</v>
      </c>
      <c r="X198" s="68">
        <v>79</v>
      </c>
      <c r="Y198" s="68">
        <v>66</v>
      </c>
      <c r="Z198" s="65">
        <v>0.84</v>
      </c>
      <c r="AA198" s="271">
        <v>8.0000000000000002E-3</v>
      </c>
      <c r="AB198" s="66">
        <f t="shared" ref="AB198" si="239">Z198+AA198</f>
        <v>0.84799999999999998</v>
      </c>
      <c r="AC198" s="59">
        <v>292</v>
      </c>
      <c r="AD198" s="60">
        <v>178</v>
      </c>
      <c r="AE198" s="60">
        <v>178</v>
      </c>
      <c r="AF198" s="191">
        <v>6</v>
      </c>
      <c r="AG198" s="117">
        <v>600000029</v>
      </c>
      <c r="AH198" s="104">
        <f>справочники!$C$21</f>
        <v>0.125</v>
      </c>
      <c r="AI198" s="61">
        <f t="shared" si="195"/>
        <v>5.04</v>
      </c>
      <c r="AJ198" s="122">
        <f t="shared" si="200"/>
        <v>5.2130000000000001</v>
      </c>
      <c r="AK198" s="37">
        <v>16</v>
      </c>
      <c r="AL198" s="38">
        <v>8</v>
      </c>
      <c r="AM198" s="40">
        <f t="shared" ref="AM198" si="240">AK198*AL198</f>
        <v>128</v>
      </c>
      <c r="AN198" s="272">
        <f t="shared" ref="AN198" si="241">IF(D198="ШТ",кол_во_инд.__упак_к*итого_г_у,ROUNDDOWN(номин.вес_нетто_г_у__кг*итого_г_у,1))</f>
        <v>645.1</v>
      </c>
      <c r="AO198" s="204">
        <f t="shared" si="234"/>
        <v>1569</v>
      </c>
    </row>
    <row r="199" spans="1:41" ht="165.75" x14ac:dyDescent="0.2">
      <c r="A199" s="22">
        <f t="shared" si="235"/>
        <v>5226</v>
      </c>
      <c r="B199" s="116">
        <v>1001043635226</v>
      </c>
      <c r="C199" s="70" t="s">
        <v>1700</v>
      </c>
      <c r="D199" s="50" t="s">
        <v>3</v>
      </c>
      <c r="E199" s="146" t="s">
        <v>373</v>
      </c>
      <c r="F199" s="112" t="s">
        <v>348</v>
      </c>
      <c r="G199" s="224" t="s">
        <v>6</v>
      </c>
      <c r="H199" s="49" t="s">
        <v>38</v>
      </c>
      <c r="I199" s="154" t="s">
        <v>393</v>
      </c>
      <c r="J199" s="150" t="s">
        <v>402</v>
      </c>
      <c r="K199" s="51" t="s">
        <v>1701</v>
      </c>
      <c r="L199" s="52">
        <v>15</v>
      </c>
      <c r="M199" s="53">
        <v>14</v>
      </c>
      <c r="N199" s="53">
        <v>5</v>
      </c>
      <c r="O199" s="54" t="s">
        <v>1702</v>
      </c>
      <c r="P199" s="31" t="s">
        <v>104</v>
      </c>
      <c r="Q199" s="49">
        <v>45</v>
      </c>
      <c r="R199" s="56" t="s">
        <v>51</v>
      </c>
      <c r="S199" s="243">
        <v>2800985000006</v>
      </c>
      <c r="T199" s="340">
        <v>12800985000003</v>
      </c>
      <c r="U199" s="46">
        <v>4630362182463</v>
      </c>
      <c r="V199" s="46">
        <v>14630362182460</v>
      </c>
      <c r="W199" s="93">
        <v>300</v>
      </c>
      <c r="X199" s="60">
        <v>79</v>
      </c>
      <c r="Y199" s="60">
        <v>66</v>
      </c>
      <c r="Z199" s="77">
        <v>0.84</v>
      </c>
      <c r="AA199" s="271">
        <v>8.0000000000000002E-3</v>
      </c>
      <c r="AB199" s="66">
        <f>Z199+AA199</f>
        <v>0.84799999999999998</v>
      </c>
      <c r="AC199" s="59">
        <v>292</v>
      </c>
      <c r="AD199" s="60">
        <v>178</v>
      </c>
      <c r="AE199" s="60">
        <v>178</v>
      </c>
      <c r="AF199" s="191">
        <v>6</v>
      </c>
      <c r="AG199" s="117">
        <v>600000029</v>
      </c>
      <c r="AH199" s="104">
        <f>справочники!$C$21</f>
        <v>0.125</v>
      </c>
      <c r="AI199" s="79">
        <f t="shared" si="195"/>
        <v>5.04</v>
      </c>
      <c r="AJ199" s="124">
        <f t="shared" si="200"/>
        <v>5.2130000000000001</v>
      </c>
      <c r="AK199" s="37">
        <v>16</v>
      </c>
      <c r="AL199" s="38">
        <v>8</v>
      </c>
      <c r="AM199" s="40">
        <f>AK199*AL199</f>
        <v>128</v>
      </c>
      <c r="AN199" s="272">
        <f>IF(D199="ШТ",кол_во_инд.__упак_к*итого_г_у,ROUNDDOWN(номин.вес_нетто_г_у__кг*итого_г_у,1))</f>
        <v>645.1</v>
      </c>
      <c r="AO199" s="205">
        <f t="shared" si="234"/>
        <v>1569</v>
      </c>
    </row>
    <row r="200" spans="1:41" ht="165.75" x14ac:dyDescent="0.2">
      <c r="A200" s="22">
        <f t="shared" si="235"/>
        <v>7233</v>
      </c>
      <c r="B200" s="116">
        <v>1001303637233</v>
      </c>
      <c r="C200" s="70" t="s">
        <v>1187</v>
      </c>
      <c r="D200" s="50" t="s">
        <v>4</v>
      </c>
      <c r="E200" s="146" t="s">
        <v>373</v>
      </c>
      <c r="F200" s="112" t="s">
        <v>348</v>
      </c>
      <c r="G200" s="224" t="s">
        <v>6</v>
      </c>
      <c r="H200" s="49" t="s">
        <v>38</v>
      </c>
      <c r="I200" s="154" t="s">
        <v>393</v>
      </c>
      <c r="J200" s="150" t="s">
        <v>402</v>
      </c>
      <c r="K200" s="51" t="s">
        <v>1701</v>
      </c>
      <c r="L200" s="52">
        <v>15</v>
      </c>
      <c r="M200" s="53">
        <v>14</v>
      </c>
      <c r="N200" s="53">
        <v>5</v>
      </c>
      <c r="O200" s="54" t="s">
        <v>1702</v>
      </c>
      <c r="P200" s="31" t="s">
        <v>104</v>
      </c>
      <c r="Q200" s="49">
        <v>45</v>
      </c>
      <c r="R200" s="56" t="s">
        <v>51</v>
      </c>
      <c r="S200" s="243">
        <v>4607958071616</v>
      </c>
      <c r="T200" s="340">
        <v>14607958071613</v>
      </c>
      <c r="U200" s="46">
        <v>4607958071616</v>
      </c>
      <c r="V200" s="46">
        <v>14607958071613</v>
      </c>
      <c r="W200" s="93">
        <v>220</v>
      </c>
      <c r="X200" s="60">
        <v>80</v>
      </c>
      <c r="Y200" s="60">
        <v>58</v>
      </c>
      <c r="Z200" s="77">
        <v>0.31</v>
      </c>
      <c r="AA200" s="271">
        <v>5.0000000000000001E-3</v>
      </c>
      <c r="AB200" s="66">
        <f t="shared" ref="AB200:AB201" si="242">Z200+AA200</f>
        <v>0.315</v>
      </c>
      <c r="AC200" s="59">
        <v>318</v>
      </c>
      <c r="AD200" s="60">
        <v>143</v>
      </c>
      <c r="AE200" s="60">
        <v>138</v>
      </c>
      <c r="AF200" s="191">
        <v>8</v>
      </c>
      <c r="AG200" s="117">
        <v>600000407</v>
      </c>
      <c r="AH200" s="207">
        <f>справочники!$C$106</f>
        <v>9.4E-2</v>
      </c>
      <c r="AI200" s="79">
        <f t="shared" si="195"/>
        <v>2.48</v>
      </c>
      <c r="AJ200" s="124">
        <f t="shared" si="200"/>
        <v>2.6139999999999999</v>
      </c>
      <c r="AK200" s="37">
        <v>19</v>
      </c>
      <c r="AL200" s="38">
        <v>11</v>
      </c>
      <c r="AM200" s="40">
        <f t="shared" ref="AM200:AM201" si="243">AK200*AL200</f>
        <v>209</v>
      </c>
      <c r="AN200" s="206">
        <f t="shared" ref="AN200:AN201" si="244">IF(D200="ШТ",кол_во_инд.__упак_к*итого_г_у,ROUNDDOWN(номин.вес_нетто_г_у__кг*итого_г_у,1))</f>
        <v>1672</v>
      </c>
      <c r="AO200" s="204">
        <f t="shared" si="234"/>
        <v>1663</v>
      </c>
    </row>
    <row r="201" spans="1:41" ht="165.75" x14ac:dyDescent="0.2">
      <c r="A201" s="22">
        <f t="shared" si="235"/>
        <v>7340</v>
      </c>
      <c r="B201" s="116">
        <v>1001303637340</v>
      </c>
      <c r="C201" s="70" t="s">
        <v>1508</v>
      </c>
      <c r="D201" s="50" t="s">
        <v>4</v>
      </c>
      <c r="E201" s="146" t="s">
        <v>373</v>
      </c>
      <c r="F201" s="112" t="s">
        <v>348</v>
      </c>
      <c r="G201" s="224" t="s">
        <v>5</v>
      </c>
      <c r="H201" s="49" t="s">
        <v>38</v>
      </c>
      <c r="I201" s="154" t="s">
        <v>393</v>
      </c>
      <c r="J201" s="150" t="s">
        <v>517</v>
      </c>
      <c r="K201" s="51" t="s">
        <v>1860</v>
      </c>
      <c r="L201" s="52">
        <v>15</v>
      </c>
      <c r="M201" s="53">
        <v>14</v>
      </c>
      <c r="N201" s="53">
        <v>5</v>
      </c>
      <c r="O201" s="54" t="s">
        <v>1702</v>
      </c>
      <c r="P201" s="31" t="s">
        <v>104</v>
      </c>
      <c r="Q201" s="49">
        <v>50</v>
      </c>
      <c r="R201" s="56" t="s">
        <v>51</v>
      </c>
      <c r="S201" s="243">
        <v>4607958079971</v>
      </c>
      <c r="T201" s="340">
        <v>14607958079978</v>
      </c>
      <c r="U201" s="46">
        <v>4607958079971</v>
      </c>
      <c r="V201" s="46">
        <v>14607958079978</v>
      </c>
      <c r="W201" s="93">
        <v>300</v>
      </c>
      <c r="X201" s="60">
        <v>79</v>
      </c>
      <c r="Y201" s="60">
        <v>66</v>
      </c>
      <c r="Z201" s="77">
        <v>0.76</v>
      </c>
      <c r="AA201" s="271">
        <v>8.0000000000000002E-3</v>
      </c>
      <c r="AB201" s="66">
        <f t="shared" si="242"/>
        <v>0.76800000000000002</v>
      </c>
      <c r="AC201" s="59">
        <v>292</v>
      </c>
      <c r="AD201" s="60">
        <v>178</v>
      </c>
      <c r="AE201" s="60">
        <v>178</v>
      </c>
      <c r="AF201" s="191">
        <v>6</v>
      </c>
      <c r="AG201" s="117">
        <v>600000029</v>
      </c>
      <c r="AH201" s="104">
        <f>справочники!$C$21</f>
        <v>0.125</v>
      </c>
      <c r="AI201" s="79">
        <f t="shared" si="195"/>
        <v>4.5599999999999996</v>
      </c>
      <c r="AJ201" s="124">
        <f t="shared" si="200"/>
        <v>4.7330000000000005</v>
      </c>
      <c r="AK201" s="37">
        <v>16</v>
      </c>
      <c r="AL201" s="38">
        <v>8</v>
      </c>
      <c r="AM201" s="40">
        <f t="shared" si="243"/>
        <v>128</v>
      </c>
      <c r="AN201" s="206">
        <f t="shared" si="244"/>
        <v>768</v>
      </c>
      <c r="AO201" s="205">
        <f t="shared" si="234"/>
        <v>1569</v>
      </c>
    </row>
    <row r="202" spans="1:41" ht="165.75" x14ac:dyDescent="0.2">
      <c r="A202" s="22">
        <f t="shared" si="235"/>
        <v>7149</v>
      </c>
      <c r="B202" s="116">
        <v>1001303637149</v>
      </c>
      <c r="C202" s="70" t="s">
        <v>1123</v>
      </c>
      <c r="D202" s="50" t="s">
        <v>4</v>
      </c>
      <c r="E202" s="146" t="s">
        <v>373</v>
      </c>
      <c r="F202" s="112" t="s">
        <v>348</v>
      </c>
      <c r="G202" s="224" t="s">
        <v>5</v>
      </c>
      <c r="H202" s="49" t="s">
        <v>38</v>
      </c>
      <c r="I202" s="154" t="s">
        <v>393</v>
      </c>
      <c r="J202" s="150" t="s">
        <v>517</v>
      </c>
      <c r="K202" s="51" t="s">
        <v>1860</v>
      </c>
      <c r="L202" s="52">
        <v>15</v>
      </c>
      <c r="M202" s="53">
        <v>14</v>
      </c>
      <c r="N202" s="53">
        <v>5</v>
      </c>
      <c r="O202" s="54" t="s">
        <v>1702</v>
      </c>
      <c r="P202" s="31" t="s">
        <v>104</v>
      </c>
      <c r="Q202" s="49">
        <v>50</v>
      </c>
      <c r="R202" s="56" t="s">
        <v>51</v>
      </c>
      <c r="S202" s="243">
        <v>4607958075256</v>
      </c>
      <c r="T202" s="340">
        <v>14607958075253</v>
      </c>
      <c r="U202" s="46">
        <v>4607958075256</v>
      </c>
      <c r="V202" s="46">
        <v>14607958075253</v>
      </c>
      <c r="W202" s="93">
        <v>300</v>
      </c>
      <c r="X202" s="60">
        <v>79</v>
      </c>
      <c r="Y202" s="60">
        <v>66</v>
      </c>
      <c r="Z202" s="77">
        <v>0.84</v>
      </c>
      <c r="AA202" s="271">
        <v>8.0000000000000002E-3</v>
      </c>
      <c r="AB202" s="66">
        <f t="shared" ref="AB202" si="245">Z202+AA202</f>
        <v>0.84799999999999998</v>
      </c>
      <c r="AC202" s="59">
        <v>292</v>
      </c>
      <c r="AD202" s="60">
        <v>178</v>
      </c>
      <c r="AE202" s="60">
        <v>178</v>
      </c>
      <c r="AF202" s="191">
        <v>6</v>
      </c>
      <c r="AG202" s="117">
        <v>600000029</v>
      </c>
      <c r="AH202" s="104">
        <f>справочники!$C$21</f>
        <v>0.125</v>
      </c>
      <c r="AI202" s="79">
        <f t="shared" si="195"/>
        <v>5.04</v>
      </c>
      <c r="AJ202" s="124">
        <f t="shared" si="200"/>
        <v>5.2130000000000001</v>
      </c>
      <c r="AK202" s="37">
        <v>16</v>
      </c>
      <c r="AL202" s="38">
        <v>8</v>
      </c>
      <c r="AM202" s="40">
        <f t="shared" ref="AM202" si="246">AK202*AL202</f>
        <v>128</v>
      </c>
      <c r="AN202" s="206">
        <f t="shared" ref="AN202" si="247">IF(D202="ШТ",кол_во_инд.__упак_к*итого_г_у,ROUNDDOWN(номин.вес_нетто_г_у__кг*итого_г_у,1))</f>
        <v>768</v>
      </c>
      <c r="AO202" s="205">
        <f t="shared" si="234"/>
        <v>1569</v>
      </c>
    </row>
    <row r="203" spans="1:41" ht="128.25" customHeight="1" x14ac:dyDescent="0.2">
      <c r="A203" s="22">
        <f t="shared" si="235"/>
        <v>6579</v>
      </c>
      <c r="B203" s="116">
        <v>1001303636579</v>
      </c>
      <c r="C203" s="70" t="s">
        <v>810</v>
      </c>
      <c r="D203" s="50" t="s">
        <v>4</v>
      </c>
      <c r="E203" s="146" t="s">
        <v>373</v>
      </c>
      <c r="F203" s="112" t="s">
        <v>348</v>
      </c>
      <c r="G203" s="224" t="s">
        <v>520</v>
      </c>
      <c r="H203" s="49" t="s">
        <v>38</v>
      </c>
      <c r="I203" s="154" t="s">
        <v>393</v>
      </c>
      <c r="J203" s="150" t="s">
        <v>517</v>
      </c>
      <c r="K203" s="51" t="s">
        <v>811</v>
      </c>
      <c r="L203" s="52">
        <v>14</v>
      </c>
      <c r="M203" s="53">
        <v>17</v>
      </c>
      <c r="N203" s="53">
        <v>3</v>
      </c>
      <c r="O203" s="54" t="s">
        <v>266</v>
      </c>
      <c r="P203" s="31" t="s">
        <v>104</v>
      </c>
      <c r="Q203" s="49">
        <v>45</v>
      </c>
      <c r="R203" s="56" t="s">
        <v>51</v>
      </c>
      <c r="S203" s="243">
        <v>4607958077557</v>
      </c>
      <c r="T203" s="340">
        <v>14607958077554</v>
      </c>
      <c r="U203" s="46">
        <v>4607958077557</v>
      </c>
      <c r="V203" s="46">
        <v>14607958077554</v>
      </c>
      <c r="W203" s="93">
        <v>300</v>
      </c>
      <c r="X203" s="60">
        <v>79</v>
      </c>
      <c r="Y203" s="60">
        <v>66</v>
      </c>
      <c r="Z203" s="77">
        <v>0.84</v>
      </c>
      <c r="AA203" s="271">
        <v>8.0000000000000002E-3</v>
      </c>
      <c r="AB203" s="66">
        <f t="shared" si="231"/>
        <v>0.84799999999999998</v>
      </c>
      <c r="AC203" s="59">
        <v>292</v>
      </c>
      <c r="AD203" s="60">
        <v>178</v>
      </c>
      <c r="AE203" s="60">
        <v>178</v>
      </c>
      <c r="AF203" s="191">
        <v>6</v>
      </c>
      <c r="AG203" s="117">
        <v>600000029</v>
      </c>
      <c r="AH203" s="104">
        <f>справочники!$C$21</f>
        <v>0.125</v>
      </c>
      <c r="AI203" s="79">
        <f t="shared" si="195"/>
        <v>5.04</v>
      </c>
      <c r="AJ203" s="124">
        <f t="shared" si="200"/>
        <v>5.2130000000000001</v>
      </c>
      <c r="AK203" s="37">
        <v>16</v>
      </c>
      <c r="AL203" s="38">
        <v>8</v>
      </c>
      <c r="AM203" s="40">
        <f t="shared" si="232"/>
        <v>128</v>
      </c>
      <c r="AN203" s="206">
        <f t="shared" si="233"/>
        <v>768</v>
      </c>
      <c r="AO203" s="205">
        <f t="shared" si="234"/>
        <v>1569</v>
      </c>
    </row>
    <row r="204" spans="1:41" ht="128.25" customHeight="1" x14ac:dyDescent="0.2">
      <c r="A204" s="22">
        <f t="shared" si="235"/>
        <v>7591</v>
      </c>
      <c r="B204" s="116">
        <v>1001303637591</v>
      </c>
      <c r="C204" s="70" t="s">
        <v>1730</v>
      </c>
      <c r="D204" s="50" t="s">
        <v>4</v>
      </c>
      <c r="E204" s="146" t="s">
        <v>373</v>
      </c>
      <c r="F204" s="112" t="s">
        <v>348</v>
      </c>
      <c r="G204" s="224" t="s">
        <v>520</v>
      </c>
      <c r="H204" s="49" t="s">
        <v>38</v>
      </c>
      <c r="I204" s="154" t="s">
        <v>393</v>
      </c>
      <c r="J204" s="150" t="s">
        <v>517</v>
      </c>
      <c r="K204" s="51" t="s">
        <v>811</v>
      </c>
      <c r="L204" s="52">
        <v>14</v>
      </c>
      <c r="M204" s="53">
        <v>17</v>
      </c>
      <c r="N204" s="53">
        <v>3</v>
      </c>
      <c r="O204" s="54" t="s">
        <v>266</v>
      </c>
      <c r="P204" s="31" t="s">
        <v>104</v>
      </c>
      <c r="Q204" s="49">
        <v>45</v>
      </c>
      <c r="R204" s="56" t="s">
        <v>51</v>
      </c>
      <c r="S204" s="243">
        <v>4607958077557</v>
      </c>
      <c r="T204" s="340">
        <v>24607958077551</v>
      </c>
      <c r="U204" s="46">
        <v>4607958077557</v>
      </c>
      <c r="V204" s="46">
        <v>24607958077551</v>
      </c>
      <c r="W204" s="93">
        <v>300</v>
      </c>
      <c r="X204" s="60">
        <v>79</v>
      </c>
      <c r="Y204" s="60">
        <v>66</v>
      </c>
      <c r="Z204" s="77">
        <v>0.84</v>
      </c>
      <c r="AA204" s="271">
        <v>8.0000000000000002E-3</v>
      </c>
      <c r="AB204" s="66">
        <f t="shared" ref="AB204" si="248">Z204+AA204</f>
        <v>0.84799999999999998</v>
      </c>
      <c r="AC204" s="59">
        <v>265</v>
      </c>
      <c r="AD204" s="60">
        <v>394</v>
      </c>
      <c r="AE204" s="60">
        <v>135</v>
      </c>
      <c r="AF204" s="191">
        <v>10</v>
      </c>
      <c r="AG204" s="117">
        <v>600000608</v>
      </c>
      <c r="AH204" s="104">
        <f>справочники!$C$196</f>
        <v>0.19</v>
      </c>
      <c r="AI204" s="79">
        <f t="shared" si="195"/>
        <v>8.4</v>
      </c>
      <c r="AJ204" s="124">
        <f t="shared" si="200"/>
        <v>8.67</v>
      </c>
      <c r="AK204" s="37">
        <v>9</v>
      </c>
      <c r="AL204" s="38">
        <v>10</v>
      </c>
      <c r="AM204" s="40">
        <f t="shared" ref="AM204" si="249">AK204*AL204</f>
        <v>90</v>
      </c>
      <c r="AN204" s="206">
        <f t="shared" ref="AN204" si="250">IF(D204="ШТ",кол_во_инд.__упак_к*итого_г_у,ROUNDDOWN(номин.вес_нетто_г_у__кг*итого_г_у,1))</f>
        <v>900</v>
      </c>
      <c r="AO204" s="205">
        <f t="shared" si="234"/>
        <v>1495</v>
      </c>
    </row>
    <row r="205" spans="1:41" ht="191.25" x14ac:dyDescent="0.2">
      <c r="A205" s="22">
        <f t="shared" si="235"/>
        <v>7175</v>
      </c>
      <c r="B205" s="116">
        <v>1001302277175</v>
      </c>
      <c r="C205" s="48" t="s">
        <v>1140</v>
      </c>
      <c r="D205" s="49" t="s">
        <v>4</v>
      </c>
      <c r="E205" s="146" t="s">
        <v>373</v>
      </c>
      <c r="F205" s="112" t="s">
        <v>348</v>
      </c>
      <c r="G205" s="224" t="s">
        <v>6</v>
      </c>
      <c r="H205" s="49" t="s">
        <v>38</v>
      </c>
      <c r="I205" s="154" t="s">
        <v>393</v>
      </c>
      <c r="J205" s="150" t="s">
        <v>402</v>
      </c>
      <c r="K205" s="51" t="s">
        <v>1271</v>
      </c>
      <c r="L205" s="52">
        <v>14</v>
      </c>
      <c r="M205" s="161">
        <v>14</v>
      </c>
      <c r="N205" s="53">
        <v>3</v>
      </c>
      <c r="O205" s="188" t="s">
        <v>1272</v>
      </c>
      <c r="P205" s="31" t="s">
        <v>104</v>
      </c>
      <c r="Q205" s="49">
        <v>50</v>
      </c>
      <c r="R205" s="82" t="s">
        <v>51</v>
      </c>
      <c r="S205" s="243">
        <v>4607958076208</v>
      </c>
      <c r="T205" s="340">
        <v>14607958076205</v>
      </c>
      <c r="U205" s="46">
        <v>4607958076208</v>
      </c>
      <c r="V205" s="46">
        <v>14607958076205</v>
      </c>
      <c r="W205" s="93">
        <v>220</v>
      </c>
      <c r="X205" s="60">
        <v>80</v>
      </c>
      <c r="Y205" s="60">
        <v>66</v>
      </c>
      <c r="Z205" s="77">
        <v>0.42</v>
      </c>
      <c r="AA205" s="271">
        <v>5.0000000000000001E-3</v>
      </c>
      <c r="AB205" s="66">
        <f t="shared" ref="AB205" si="251">Z205+AA205</f>
        <v>0.42499999999999999</v>
      </c>
      <c r="AC205" s="108">
        <v>278</v>
      </c>
      <c r="AD205" s="109">
        <v>193</v>
      </c>
      <c r="AE205" s="109">
        <v>138</v>
      </c>
      <c r="AF205" s="192">
        <v>8</v>
      </c>
      <c r="AG205" s="117">
        <v>600000404</v>
      </c>
      <c r="AH205" s="105">
        <f>справочники!$C$101</f>
        <v>0.105</v>
      </c>
      <c r="AI205" s="79">
        <f t="shared" si="195"/>
        <v>3.36</v>
      </c>
      <c r="AJ205" s="124">
        <f t="shared" si="200"/>
        <v>3.5049999999999999</v>
      </c>
      <c r="AK205" s="37">
        <v>16</v>
      </c>
      <c r="AL205" s="38">
        <v>11</v>
      </c>
      <c r="AM205" s="40">
        <f t="shared" ref="AM205" si="252">AK205*AL205</f>
        <v>176</v>
      </c>
      <c r="AN205" s="206">
        <f t="shared" ref="AN205" si="253">IF(D205="ШТ",кол_во_инд.__упак_к*итого_г_у,ROUNDDOWN(номин.вес_нетто_г_у__кг*итого_г_у,1))</f>
        <v>1408</v>
      </c>
      <c r="AO205" s="204">
        <f t="shared" si="234"/>
        <v>1663</v>
      </c>
    </row>
    <row r="206" spans="1:41" ht="165.75" x14ac:dyDescent="0.2">
      <c r="A206" s="22">
        <f t="shared" si="235"/>
        <v>7232</v>
      </c>
      <c r="B206" s="116">
        <v>1001302277232</v>
      </c>
      <c r="C206" s="48" t="s">
        <v>1186</v>
      </c>
      <c r="D206" s="49" t="s">
        <v>4</v>
      </c>
      <c r="E206" s="146" t="s">
        <v>373</v>
      </c>
      <c r="F206" s="112" t="s">
        <v>348</v>
      </c>
      <c r="G206" s="224" t="s">
        <v>6</v>
      </c>
      <c r="H206" s="49" t="s">
        <v>38</v>
      </c>
      <c r="I206" s="154" t="s">
        <v>393</v>
      </c>
      <c r="J206" s="150" t="s">
        <v>402</v>
      </c>
      <c r="K206" s="51" t="s">
        <v>1701</v>
      </c>
      <c r="L206" s="52">
        <v>15</v>
      </c>
      <c r="M206" s="161">
        <v>14</v>
      </c>
      <c r="N206" s="53">
        <v>5</v>
      </c>
      <c r="O206" s="188" t="s">
        <v>1702</v>
      </c>
      <c r="P206" s="31" t="s">
        <v>104</v>
      </c>
      <c r="Q206" s="49">
        <v>50</v>
      </c>
      <c r="R206" s="82" t="s">
        <v>51</v>
      </c>
      <c r="S206" s="243">
        <v>4607958073610</v>
      </c>
      <c r="T206" s="340">
        <v>14607958073617</v>
      </c>
      <c r="U206" s="46">
        <v>4607958073610</v>
      </c>
      <c r="V206" s="46">
        <v>14607958073617</v>
      </c>
      <c r="W206" s="93">
        <v>220</v>
      </c>
      <c r="X206" s="60">
        <v>80</v>
      </c>
      <c r="Y206" s="60">
        <v>54</v>
      </c>
      <c r="Z206" s="77">
        <v>0.28000000000000003</v>
      </c>
      <c r="AA206" s="271">
        <v>5.0000000000000001E-3</v>
      </c>
      <c r="AB206" s="66">
        <f t="shared" ref="AB206" si="254">Z206+AA206</f>
        <v>0.28500000000000003</v>
      </c>
      <c r="AC206" s="59">
        <v>318</v>
      </c>
      <c r="AD206" s="60">
        <v>143</v>
      </c>
      <c r="AE206" s="60">
        <v>138</v>
      </c>
      <c r="AF206" s="191">
        <v>8</v>
      </c>
      <c r="AG206" s="117">
        <v>600000407</v>
      </c>
      <c r="AH206" s="106">
        <f>справочники!$C$106</f>
        <v>9.4E-2</v>
      </c>
      <c r="AI206" s="126">
        <f t="shared" si="195"/>
        <v>2.2400000000000002</v>
      </c>
      <c r="AJ206" s="124">
        <f t="shared" si="200"/>
        <v>2.3740000000000001</v>
      </c>
      <c r="AK206" s="37">
        <v>19</v>
      </c>
      <c r="AL206" s="38">
        <v>10</v>
      </c>
      <c r="AM206" s="40">
        <f t="shared" ref="AM206" si="255">AK206*AL206</f>
        <v>190</v>
      </c>
      <c r="AN206" s="206">
        <f t="shared" ref="AN206" si="256">IF(D206="ШТ",кол_во_инд.__упак_к*итого_г_у,ROUNDDOWN(номин.вес_нетто_г_у__кг*итого_г_у,1))</f>
        <v>1520</v>
      </c>
      <c r="AO206" s="204">
        <f t="shared" si="234"/>
        <v>1525</v>
      </c>
    </row>
    <row r="207" spans="1:41" ht="165.75" x14ac:dyDescent="0.2">
      <c r="A207" s="22">
        <f t="shared" si="235"/>
        <v>7332</v>
      </c>
      <c r="B207" s="116">
        <v>1001301777332</v>
      </c>
      <c r="C207" s="48" t="s">
        <v>1307</v>
      </c>
      <c r="D207" s="49" t="s">
        <v>4</v>
      </c>
      <c r="E207" s="146" t="s">
        <v>373</v>
      </c>
      <c r="F207" s="112" t="s">
        <v>348</v>
      </c>
      <c r="G207" s="224" t="s">
        <v>6</v>
      </c>
      <c r="H207" s="49" t="s">
        <v>38</v>
      </c>
      <c r="I207" s="154" t="s">
        <v>393</v>
      </c>
      <c r="J207" s="150" t="s">
        <v>402</v>
      </c>
      <c r="K207" s="51" t="s">
        <v>1701</v>
      </c>
      <c r="L207" s="52">
        <v>15</v>
      </c>
      <c r="M207" s="161">
        <v>14</v>
      </c>
      <c r="N207" s="53">
        <v>5</v>
      </c>
      <c r="O207" s="188" t="s">
        <v>1702</v>
      </c>
      <c r="P207" s="31" t="s">
        <v>104</v>
      </c>
      <c r="Q207" s="49">
        <v>50</v>
      </c>
      <c r="R207" s="82" t="s">
        <v>51</v>
      </c>
      <c r="S207" s="243">
        <v>4607958079902</v>
      </c>
      <c r="T207" s="340">
        <v>14607958079909</v>
      </c>
      <c r="U207" s="46">
        <v>4607958079902</v>
      </c>
      <c r="V207" s="46">
        <v>14607958079909</v>
      </c>
      <c r="W207" s="93">
        <v>220</v>
      </c>
      <c r="X207" s="60">
        <v>80</v>
      </c>
      <c r="Y207" s="60">
        <v>54</v>
      </c>
      <c r="Z207" s="77">
        <v>0.28000000000000003</v>
      </c>
      <c r="AA207" s="271">
        <v>5.0000000000000001E-3</v>
      </c>
      <c r="AB207" s="66">
        <f t="shared" ref="AB207" si="257">Z207+AA207</f>
        <v>0.28500000000000003</v>
      </c>
      <c r="AC207" s="59">
        <v>318</v>
      </c>
      <c r="AD207" s="60">
        <v>143</v>
      </c>
      <c r="AE207" s="60">
        <v>138</v>
      </c>
      <c r="AF207" s="191">
        <v>8</v>
      </c>
      <c r="AG207" s="117">
        <v>600000407</v>
      </c>
      <c r="AH207" s="106">
        <f>справочники!$C$106</f>
        <v>9.4E-2</v>
      </c>
      <c r="AI207" s="126">
        <f t="shared" si="195"/>
        <v>2.2400000000000002</v>
      </c>
      <c r="AJ207" s="124">
        <f t="shared" si="200"/>
        <v>2.3740000000000001</v>
      </c>
      <c r="AK207" s="37">
        <v>19</v>
      </c>
      <c r="AL207" s="38">
        <v>11</v>
      </c>
      <c r="AM207" s="40">
        <v>209</v>
      </c>
      <c r="AN207" s="206">
        <f t="shared" ref="AN207" si="258">IF(D207="ШТ",кол_во_инд.__упак_к*итого_г_у,ROUNDDOWN(номин.вес_нетто_г_у__кг*итого_г_у,1))</f>
        <v>1672</v>
      </c>
      <c r="AO207" s="204">
        <f t="shared" si="234"/>
        <v>1663</v>
      </c>
    </row>
    <row r="208" spans="1:41" ht="121.15" customHeight="1" x14ac:dyDescent="0.2">
      <c r="A208" s="22">
        <f t="shared" si="235"/>
        <v>6785</v>
      </c>
      <c r="B208" s="116">
        <v>1001300516785</v>
      </c>
      <c r="C208" s="70" t="s">
        <v>791</v>
      </c>
      <c r="D208" s="50" t="s">
        <v>4</v>
      </c>
      <c r="E208" s="146" t="s">
        <v>373</v>
      </c>
      <c r="F208" s="112" t="s">
        <v>348</v>
      </c>
      <c r="G208" s="224" t="s">
        <v>2</v>
      </c>
      <c r="H208" s="49" t="s">
        <v>38</v>
      </c>
      <c r="I208" s="154" t="s">
        <v>393</v>
      </c>
      <c r="J208" s="150" t="s">
        <v>402</v>
      </c>
      <c r="K208" s="51" t="s">
        <v>1820</v>
      </c>
      <c r="L208" s="52">
        <v>14</v>
      </c>
      <c r="M208" s="53">
        <v>25</v>
      </c>
      <c r="N208" s="53">
        <v>3</v>
      </c>
      <c r="O208" s="88" t="s">
        <v>1821</v>
      </c>
      <c r="P208" s="31" t="s">
        <v>104</v>
      </c>
      <c r="Q208" s="49">
        <v>45</v>
      </c>
      <c r="R208" s="82" t="s">
        <v>51</v>
      </c>
      <c r="S208" s="243">
        <v>4607958077410</v>
      </c>
      <c r="T208" s="340">
        <v>14607958077417</v>
      </c>
      <c r="U208" s="46">
        <v>4607958077410</v>
      </c>
      <c r="V208" s="46">
        <v>14607958077417</v>
      </c>
      <c r="W208" s="93">
        <v>220</v>
      </c>
      <c r="X208" s="60">
        <v>80</v>
      </c>
      <c r="Y208" s="60">
        <v>58</v>
      </c>
      <c r="Z208" s="77">
        <v>0.33</v>
      </c>
      <c r="AA208" s="271">
        <v>5.0000000000000001E-3</v>
      </c>
      <c r="AB208" s="66">
        <f t="shared" si="231"/>
        <v>0.33500000000000002</v>
      </c>
      <c r="AC208" s="59">
        <v>318</v>
      </c>
      <c r="AD208" s="60">
        <v>143</v>
      </c>
      <c r="AE208" s="60">
        <v>138</v>
      </c>
      <c r="AF208" s="191">
        <v>8</v>
      </c>
      <c r="AG208" s="117">
        <v>600000407</v>
      </c>
      <c r="AH208" s="104">
        <f>справочники!$C$106</f>
        <v>9.4E-2</v>
      </c>
      <c r="AI208" s="126">
        <f t="shared" si="195"/>
        <v>2.64</v>
      </c>
      <c r="AJ208" s="124">
        <f t="shared" si="200"/>
        <v>2.774</v>
      </c>
      <c r="AK208" s="37">
        <v>19</v>
      </c>
      <c r="AL208" s="38">
        <v>11</v>
      </c>
      <c r="AM208" s="40">
        <f t="shared" si="232"/>
        <v>209</v>
      </c>
      <c r="AN208" s="206">
        <f t="shared" si="233"/>
        <v>1672</v>
      </c>
      <c r="AO208" s="204">
        <f t="shared" si="234"/>
        <v>1663</v>
      </c>
    </row>
    <row r="209" spans="1:41" ht="178.5" x14ac:dyDescent="0.2">
      <c r="A209" s="22">
        <f t="shared" si="235"/>
        <v>6803</v>
      </c>
      <c r="B209" s="116">
        <v>1001300516803</v>
      </c>
      <c r="C209" s="48" t="s">
        <v>792</v>
      </c>
      <c r="D209" s="50" t="s">
        <v>4</v>
      </c>
      <c r="E209" s="146" t="s">
        <v>373</v>
      </c>
      <c r="F209" s="112" t="s">
        <v>348</v>
      </c>
      <c r="G209" s="224" t="s">
        <v>2</v>
      </c>
      <c r="H209" s="49" t="s">
        <v>38</v>
      </c>
      <c r="I209" s="154" t="s">
        <v>393</v>
      </c>
      <c r="J209" s="150" t="s">
        <v>402</v>
      </c>
      <c r="K209" s="51" t="s">
        <v>1125</v>
      </c>
      <c r="L209" s="52">
        <v>14</v>
      </c>
      <c r="M209" s="53">
        <v>25</v>
      </c>
      <c r="N209" s="53">
        <v>2</v>
      </c>
      <c r="O209" s="88" t="s">
        <v>938</v>
      </c>
      <c r="P209" s="31" t="s">
        <v>104</v>
      </c>
      <c r="Q209" s="49">
        <v>45</v>
      </c>
      <c r="R209" s="82" t="s">
        <v>51</v>
      </c>
      <c r="S209" s="120">
        <v>4607958077519</v>
      </c>
      <c r="T209" s="342">
        <v>14607958077516</v>
      </c>
      <c r="U209" s="46">
        <v>4607958077519</v>
      </c>
      <c r="V209" s="46">
        <v>14607958077516</v>
      </c>
      <c r="W209" s="93">
        <v>300</v>
      </c>
      <c r="X209" s="60">
        <v>79</v>
      </c>
      <c r="Y209" s="60">
        <v>58</v>
      </c>
      <c r="Z209" s="65">
        <v>0.66</v>
      </c>
      <c r="AA209" s="271">
        <v>8.0000000000000002E-3</v>
      </c>
      <c r="AB209" s="66">
        <f t="shared" si="231"/>
        <v>0.66800000000000004</v>
      </c>
      <c r="AC209" s="59">
        <v>292</v>
      </c>
      <c r="AD209" s="60">
        <v>178</v>
      </c>
      <c r="AE209" s="60">
        <v>178</v>
      </c>
      <c r="AF209" s="191">
        <v>8</v>
      </c>
      <c r="AG209" s="117">
        <v>600000029</v>
      </c>
      <c r="AH209" s="104">
        <f>справочники!$C$21</f>
        <v>0.125</v>
      </c>
      <c r="AI209" s="61">
        <f t="shared" si="195"/>
        <v>5.28</v>
      </c>
      <c r="AJ209" s="122">
        <f t="shared" si="200"/>
        <v>5.4690000000000003</v>
      </c>
      <c r="AK209" s="37">
        <v>16</v>
      </c>
      <c r="AL209" s="38">
        <v>8</v>
      </c>
      <c r="AM209" s="40">
        <f t="shared" si="232"/>
        <v>128</v>
      </c>
      <c r="AN209" s="206">
        <f t="shared" si="233"/>
        <v>1024</v>
      </c>
      <c r="AO209" s="204">
        <f t="shared" si="234"/>
        <v>1569</v>
      </c>
    </row>
    <row r="210" spans="1:41" ht="178.5" x14ac:dyDescent="0.2">
      <c r="A210" s="22">
        <f t="shared" si="235"/>
        <v>7132</v>
      </c>
      <c r="B210" s="116">
        <v>1001300517132</v>
      </c>
      <c r="C210" s="48" t="s">
        <v>1108</v>
      </c>
      <c r="D210" s="49" t="s">
        <v>3</v>
      </c>
      <c r="E210" s="146" t="s">
        <v>373</v>
      </c>
      <c r="F210" s="112" t="s">
        <v>348</v>
      </c>
      <c r="G210" s="224" t="s">
        <v>2</v>
      </c>
      <c r="H210" s="49" t="s">
        <v>38</v>
      </c>
      <c r="I210" s="154" t="s">
        <v>393</v>
      </c>
      <c r="J210" s="150" t="s">
        <v>402</v>
      </c>
      <c r="K210" s="51" t="s">
        <v>1125</v>
      </c>
      <c r="L210" s="52">
        <v>14</v>
      </c>
      <c r="M210" s="53">
        <v>25</v>
      </c>
      <c r="N210" s="53">
        <v>2</v>
      </c>
      <c r="O210" s="88" t="s">
        <v>938</v>
      </c>
      <c r="P210" s="31" t="s">
        <v>104</v>
      </c>
      <c r="Q210" s="49">
        <v>45</v>
      </c>
      <c r="R210" s="82" t="s">
        <v>51</v>
      </c>
      <c r="S210" s="120">
        <v>2700037000001</v>
      </c>
      <c r="T210" s="342">
        <v>12700037000008</v>
      </c>
      <c r="U210" s="46">
        <v>4630362181527</v>
      </c>
      <c r="V210" s="46">
        <v>14630362181524</v>
      </c>
      <c r="W210" s="93">
        <v>300</v>
      </c>
      <c r="X210" s="60">
        <v>79</v>
      </c>
      <c r="Y210" s="60">
        <v>66</v>
      </c>
      <c r="Z210" s="65">
        <v>0.84</v>
      </c>
      <c r="AA210" s="271">
        <v>8.0000000000000002E-3</v>
      </c>
      <c r="AB210" s="66">
        <f t="shared" ref="AB210" si="259">Z210+AA210</f>
        <v>0.84799999999999998</v>
      </c>
      <c r="AC210" s="59">
        <v>292</v>
      </c>
      <c r="AD210" s="60">
        <v>178</v>
      </c>
      <c r="AE210" s="60">
        <v>178</v>
      </c>
      <c r="AF210" s="191">
        <v>6</v>
      </c>
      <c r="AG210" s="117">
        <v>600000029</v>
      </c>
      <c r="AH210" s="104">
        <f>справочники!$C$21</f>
        <v>0.125</v>
      </c>
      <c r="AI210" s="61">
        <f t="shared" si="195"/>
        <v>5.04</v>
      </c>
      <c r="AJ210" s="122">
        <f t="shared" si="200"/>
        <v>5.2130000000000001</v>
      </c>
      <c r="AK210" s="37">
        <v>16</v>
      </c>
      <c r="AL210" s="38">
        <v>8</v>
      </c>
      <c r="AM210" s="40">
        <f t="shared" ref="AM210" si="260">AK210*AL210</f>
        <v>128</v>
      </c>
      <c r="AN210" s="214">
        <f t="shared" ref="AN210" si="261">IF(D210="ШТ",кол_во_инд.__упак_к*итого_г_у,ROUNDDOWN(номин.вес_нетто_г_у__кг*итого_г_у,1))</f>
        <v>645.1</v>
      </c>
      <c r="AO210" s="204">
        <f t="shared" si="234"/>
        <v>1569</v>
      </c>
    </row>
    <row r="211" spans="1:41" ht="102.75" customHeight="1" x14ac:dyDescent="0.2">
      <c r="A211" s="22">
        <f t="shared" si="235"/>
        <v>6825</v>
      </c>
      <c r="B211" s="116">
        <v>1001305646825</v>
      </c>
      <c r="C211" s="48" t="s">
        <v>818</v>
      </c>
      <c r="D211" s="49" t="s">
        <v>4</v>
      </c>
      <c r="E211" s="146" t="s">
        <v>373</v>
      </c>
      <c r="F211" s="112" t="s">
        <v>348</v>
      </c>
      <c r="G211" s="224" t="s">
        <v>6</v>
      </c>
      <c r="H211" s="49" t="s">
        <v>38</v>
      </c>
      <c r="I211" s="154" t="s">
        <v>234</v>
      </c>
      <c r="J211" s="150" t="s">
        <v>819</v>
      </c>
      <c r="K211" s="51" t="s">
        <v>820</v>
      </c>
      <c r="L211" s="52">
        <v>13</v>
      </c>
      <c r="M211" s="53">
        <v>22</v>
      </c>
      <c r="N211" s="53">
        <v>3</v>
      </c>
      <c r="O211" s="88" t="s">
        <v>185</v>
      </c>
      <c r="P211" s="31" t="s">
        <v>104</v>
      </c>
      <c r="Q211" s="49">
        <v>45</v>
      </c>
      <c r="R211" s="82" t="s">
        <v>78</v>
      </c>
      <c r="S211" s="243">
        <v>4607958077618</v>
      </c>
      <c r="T211" s="340">
        <v>14607958077615</v>
      </c>
      <c r="U211" s="46">
        <v>4607958077618</v>
      </c>
      <c r="V211" s="46">
        <v>14607958077615</v>
      </c>
      <c r="W211" s="93">
        <v>185</v>
      </c>
      <c r="X211" s="60">
        <v>145</v>
      </c>
      <c r="Y211" s="60">
        <v>35</v>
      </c>
      <c r="Z211" s="65">
        <v>0.33</v>
      </c>
      <c r="AA211" s="271">
        <v>8.0000000000000002E-3</v>
      </c>
      <c r="AB211" s="66">
        <f t="shared" si="231"/>
        <v>0.33800000000000002</v>
      </c>
      <c r="AC211" s="59">
        <v>388</v>
      </c>
      <c r="AD211" s="60">
        <v>193</v>
      </c>
      <c r="AE211" s="60">
        <v>108</v>
      </c>
      <c r="AF211" s="191">
        <v>9</v>
      </c>
      <c r="AG211" s="117">
        <v>600000013</v>
      </c>
      <c r="AH211" s="104">
        <f>справочники!$C$5</f>
        <v>0.14099999999999999</v>
      </c>
      <c r="AI211" s="61">
        <f t="shared" si="195"/>
        <v>2.97</v>
      </c>
      <c r="AJ211" s="122">
        <f t="shared" si="200"/>
        <v>3.1830000000000003</v>
      </c>
      <c r="AK211" s="37">
        <v>12</v>
      </c>
      <c r="AL211" s="38">
        <v>14</v>
      </c>
      <c r="AM211" s="40">
        <f t="shared" si="232"/>
        <v>168</v>
      </c>
      <c r="AN211" s="206">
        <f t="shared" si="233"/>
        <v>1512</v>
      </c>
      <c r="AO211" s="204">
        <f t="shared" si="234"/>
        <v>1657</v>
      </c>
    </row>
    <row r="212" spans="1:41" ht="102" customHeight="1" x14ac:dyDescent="0.2">
      <c r="A212" s="22">
        <f t="shared" si="235"/>
        <v>7638</v>
      </c>
      <c r="B212" s="116">
        <v>1001307687638</v>
      </c>
      <c r="C212" s="48" t="s">
        <v>1828</v>
      </c>
      <c r="D212" s="49" t="s">
        <v>4</v>
      </c>
      <c r="E212" s="146" t="s">
        <v>373</v>
      </c>
      <c r="F212" s="112" t="s">
        <v>348</v>
      </c>
      <c r="G212" s="224" t="s">
        <v>1453</v>
      </c>
      <c r="H212" s="58" t="s">
        <v>1454</v>
      </c>
      <c r="I212" s="154" t="s">
        <v>1475</v>
      </c>
      <c r="J212" s="150" t="s">
        <v>819</v>
      </c>
      <c r="K212" s="51" t="s">
        <v>1830</v>
      </c>
      <c r="L212" s="52">
        <v>15</v>
      </c>
      <c r="M212" s="161">
        <v>24</v>
      </c>
      <c r="N212" s="53">
        <v>3</v>
      </c>
      <c r="O212" s="188" t="s">
        <v>1078</v>
      </c>
      <c r="P212" s="31" t="s">
        <v>104</v>
      </c>
      <c r="Q212" s="49">
        <v>45</v>
      </c>
      <c r="R212" s="82" t="s">
        <v>51</v>
      </c>
      <c r="S212" s="243">
        <v>4630362182449</v>
      </c>
      <c r="T212" s="340">
        <v>14630362182446</v>
      </c>
      <c r="U212" s="46">
        <v>4630362182449</v>
      </c>
      <c r="V212" s="46">
        <v>14630362182446</v>
      </c>
      <c r="W212" s="93">
        <v>220</v>
      </c>
      <c r="X212" s="60">
        <v>80</v>
      </c>
      <c r="Y212" s="60">
        <v>54</v>
      </c>
      <c r="Z212" s="77">
        <v>0.28999999999999998</v>
      </c>
      <c r="AA212" s="271">
        <v>8.9999999999999993E-3</v>
      </c>
      <c r="AB212" s="66">
        <f t="shared" si="231"/>
        <v>0.29899999999999999</v>
      </c>
      <c r="AC212" s="59">
        <v>318</v>
      </c>
      <c r="AD212" s="60">
        <v>143</v>
      </c>
      <c r="AE212" s="60">
        <v>138</v>
      </c>
      <c r="AF212" s="191">
        <v>8</v>
      </c>
      <c r="AG212" s="117">
        <v>600000572</v>
      </c>
      <c r="AH212" s="106">
        <f>справочники!$C$182</f>
        <v>0.106</v>
      </c>
      <c r="AI212" s="126">
        <f t="shared" si="195"/>
        <v>2.3199999999999998</v>
      </c>
      <c r="AJ212" s="124">
        <f t="shared" si="200"/>
        <v>2.4979999999999998</v>
      </c>
      <c r="AK212" s="37">
        <v>19</v>
      </c>
      <c r="AL212" s="38">
        <v>11</v>
      </c>
      <c r="AM212" s="40">
        <f t="shared" si="232"/>
        <v>209</v>
      </c>
      <c r="AN212" s="206">
        <f t="shared" si="233"/>
        <v>1672</v>
      </c>
      <c r="AO212" s="204">
        <f t="shared" si="234"/>
        <v>1663</v>
      </c>
    </row>
    <row r="213" spans="1:41" ht="102" customHeight="1" x14ac:dyDescent="0.2">
      <c r="A213" s="22">
        <f t="shared" si="235"/>
        <v>7639</v>
      </c>
      <c r="B213" s="116">
        <v>1001307687639</v>
      </c>
      <c r="C213" s="48" t="s">
        <v>1829</v>
      </c>
      <c r="D213" s="49" t="s">
        <v>4</v>
      </c>
      <c r="E213" s="146" t="s">
        <v>373</v>
      </c>
      <c r="F213" s="112" t="s">
        <v>348</v>
      </c>
      <c r="G213" s="224" t="s">
        <v>1453</v>
      </c>
      <c r="H213" s="58" t="s">
        <v>1454</v>
      </c>
      <c r="I213" s="154" t="s">
        <v>1475</v>
      </c>
      <c r="J213" s="150" t="s">
        <v>819</v>
      </c>
      <c r="K213" s="51" t="s">
        <v>1830</v>
      </c>
      <c r="L213" s="52">
        <v>15</v>
      </c>
      <c r="M213" s="161">
        <v>24</v>
      </c>
      <c r="N213" s="53">
        <v>3</v>
      </c>
      <c r="O213" s="188" t="s">
        <v>1078</v>
      </c>
      <c r="P213" s="31" t="s">
        <v>104</v>
      </c>
      <c r="Q213" s="49">
        <v>45</v>
      </c>
      <c r="R213" s="82" t="s">
        <v>51</v>
      </c>
      <c r="S213" s="243">
        <v>4630362182432</v>
      </c>
      <c r="T213" s="340">
        <v>14630362182439</v>
      </c>
      <c r="U213" s="46">
        <v>4630362182432</v>
      </c>
      <c r="V213" s="46">
        <v>14630362182439</v>
      </c>
      <c r="W213" s="93">
        <v>300</v>
      </c>
      <c r="X213" s="60">
        <v>79</v>
      </c>
      <c r="Y213" s="60">
        <v>66</v>
      </c>
      <c r="Z213" s="77">
        <v>0.82</v>
      </c>
      <c r="AA213" s="271">
        <v>8.9999999999999993E-3</v>
      </c>
      <c r="AB213" s="66">
        <f t="shared" si="231"/>
        <v>0.82899999999999996</v>
      </c>
      <c r="AC213" s="59">
        <v>292</v>
      </c>
      <c r="AD213" s="60">
        <v>178</v>
      </c>
      <c r="AE213" s="60">
        <v>178</v>
      </c>
      <c r="AF213" s="191">
        <v>6</v>
      </c>
      <c r="AG213" s="117">
        <v>600000573</v>
      </c>
      <c r="AH213" s="106">
        <f>справочники!$C$183</f>
        <v>0.15</v>
      </c>
      <c r="AI213" s="126">
        <f t="shared" si="195"/>
        <v>4.92</v>
      </c>
      <c r="AJ213" s="124">
        <f t="shared" si="200"/>
        <v>5.1240000000000006</v>
      </c>
      <c r="AK213" s="37">
        <v>16</v>
      </c>
      <c r="AL213" s="38">
        <v>8</v>
      </c>
      <c r="AM213" s="40">
        <f t="shared" si="232"/>
        <v>128</v>
      </c>
      <c r="AN213" s="206">
        <f t="shared" si="233"/>
        <v>768</v>
      </c>
      <c r="AO213" s="204">
        <f t="shared" si="234"/>
        <v>1569</v>
      </c>
    </row>
    <row r="214" spans="1:41" ht="204" x14ac:dyDescent="0.2">
      <c r="A214" s="22">
        <f t="shared" si="235"/>
        <v>7314</v>
      </c>
      <c r="B214" s="116">
        <v>1001305427314</v>
      </c>
      <c r="C214" s="70" t="s">
        <v>1287</v>
      </c>
      <c r="D214" s="50" t="s">
        <v>4</v>
      </c>
      <c r="E214" s="146" t="s">
        <v>373</v>
      </c>
      <c r="F214" s="112" t="s">
        <v>348</v>
      </c>
      <c r="G214" s="224" t="s">
        <v>5</v>
      </c>
      <c r="H214" s="49" t="s">
        <v>38</v>
      </c>
      <c r="I214" s="154" t="s">
        <v>393</v>
      </c>
      <c r="J214" s="150" t="s">
        <v>517</v>
      </c>
      <c r="K214" s="51" t="s">
        <v>1255</v>
      </c>
      <c r="L214" s="52">
        <v>14</v>
      </c>
      <c r="M214" s="53">
        <v>16</v>
      </c>
      <c r="N214" s="53">
        <v>3</v>
      </c>
      <c r="O214" s="54" t="s">
        <v>1256</v>
      </c>
      <c r="P214" s="31" t="s">
        <v>104</v>
      </c>
      <c r="Q214" s="49">
        <v>60</v>
      </c>
      <c r="R214" s="82" t="s">
        <v>51</v>
      </c>
      <c r="S214" s="243">
        <v>4607958076826</v>
      </c>
      <c r="T214" s="340">
        <v>14607958076823</v>
      </c>
      <c r="U214" s="46">
        <v>4607958076826</v>
      </c>
      <c r="V214" s="46">
        <v>14607958076823</v>
      </c>
      <c r="W214" s="93">
        <v>300</v>
      </c>
      <c r="X214" s="60">
        <v>79</v>
      </c>
      <c r="Y214" s="60">
        <v>66</v>
      </c>
      <c r="Z214" s="77">
        <v>0.84</v>
      </c>
      <c r="AA214" s="271">
        <v>8.0000000000000002E-3</v>
      </c>
      <c r="AB214" s="66">
        <f t="shared" ref="AB214:AB222" si="262">Z214+AA214</f>
        <v>0.84799999999999998</v>
      </c>
      <c r="AC214" s="59">
        <v>292</v>
      </c>
      <c r="AD214" s="60">
        <v>178</v>
      </c>
      <c r="AE214" s="60">
        <v>178</v>
      </c>
      <c r="AF214" s="191">
        <v>6</v>
      </c>
      <c r="AG214" s="117">
        <v>600000029</v>
      </c>
      <c r="AH214" s="104">
        <f>справочники!$C$21</f>
        <v>0.125</v>
      </c>
      <c r="AI214" s="79">
        <f t="shared" si="195"/>
        <v>5.04</v>
      </c>
      <c r="AJ214" s="124">
        <f t="shared" si="200"/>
        <v>5.2130000000000001</v>
      </c>
      <c r="AK214" s="37">
        <v>16</v>
      </c>
      <c r="AL214" s="38">
        <v>8</v>
      </c>
      <c r="AM214" s="40">
        <f t="shared" ref="AM214:AM221" si="263">AK214*AL214</f>
        <v>128</v>
      </c>
      <c r="AN214" s="206">
        <f t="shared" ref="AN214:AN222" si="264">IF(D214="ШТ",кол_во_инд.__упак_к*итого_г_у,ROUNDDOWN(номин.вес_нетто_г_у__кг*итого_г_у,1))</f>
        <v>768</v>
      </c>
      <c r="AO214" s="205">
        <f t="shared" si="234"/>
        <v>1569</v>
      </c>
    </row>
    <row r="215" spans="1:41" ht="102" customHeight="1" x14ac:dyDescent="0.2">
      <c r="A215" s="22">
        <f t="shared" si="235"/>
        <v>7397</v>
      </c>
      <c r="B215" s="116">
        <v>1001307027397</v>
      </c>
      <c r="C215" s="48" t="s">
        <v>1474</v>
      </c>
      <c r="D215" s="49" t="s">
        <v>4</v>
      </c>
      <c r="E215" s="146" t="s">
        <v>373</v>
      </c>
      <c r="F215" s="112" t="s">
        <v>348</v>
      </c>
      <c r="G215" s="224" t="s">
        <v>1453</v>
      </c>
      <c r="H215" s="58" t="s">
        <v>1454</v>
      </c>
      <c r="I215" s="154" t="s">
        <v>1475</v>
      </c>
      <c r="J215" s="150" t="s">
        <v>819</v>
      </c>
      <c r="K215" s="51" t="s">
        <v>1476</v>
      </c>
      <c r="L215" s="52">
        <v>14</v>
      </c>
      <c r="M215" s="161">
        <v>25</v>
      </c>
      <c r="N215" s="53">
        <v>3</v>
      </c>
      <c r="O215" s="188" t="s">
        <v>1477</v>
      </c>
      <c r="P215" s="31" t="s">
        <v>104</v>
      </c>
      <c r="Q215" s="49">
        <v>45</v>
      </c>
      <c r="R215" s="82" t="s">
        <v>51</v>
      </c>
      <c r="S215" s="243">
        <v>4630362180490</v>
      </c>
      <c r="T215" s="340">
        <v>14630362180497</v>
      </c>
      <c r="U215" s="46">
        <v>4630362180490</v>
      </c>
      <c r="V215" s="46">
        <v>14630362180497</v>
      </c>
      <c r="W215" s="93">
        <v>220</v>
      </c>
      <c r="X215" s="60">
        <v>80</v>
      </c>
      <c r="Y215" s="60">
        <v>54</v>
      </c>
      <c r="Z215" s="77">
        <v>0.28999999999999998</v>
      </c>
      <c r="AA215" s="271">
        <v>8.9999999999999993E-3</v>
      </c>
      <c r="AB215" s="66">
        <f t="shared" ref="AB215" si="265">Z215+AA215</f>
        <v>0.29899999999999999</v>
      </c>
      <c r="AC215" s="59">
        <v>318</v>
      </c>
      <c r="AD215" s="60">
        <v>143</v>
      </c>
      <c r="AE215" s="60">
        <v>138</v>
      </c>
      <c r="AF215" s="191">
        <v>8</v>
      </c>
      <c r="AG215" s="117">
        <v>600000572</v>
      </c>
      <c r="AH215" s="106">
        <f>справочники!$C$182</f>
        <v>0.106</v>
      </c>
      <c r="AI215" s="126">
        <f t="shared" si="195"/>
        <v>2.3199999999999998</v>
      </c>
      <c r="AJ215" s="124">
        <f t="shared" si="200"/>
        <v>2.4979999999999998</v>
      </c>
      <c r="AK215" s="37">
        <v>19</v>
      </c>
      <c r="AL215" s="38">
        <v>11</v>
      </c>
      <c r="AM215" s="40">
        <f t="shared" ref="AM215" si="266">AK215*AL215</f>
        <v>209</v>
      </c>
      <c r="AN215" s="206">
        <f t="shared" ref="AN215" si="267">IF(D215="ШТ",кол_во_инд.__упак_к*итого_г_у,ROUNDDOWN(номин.вес_нетто_г_у__кг*итого_г_у,1))</f>
        <v>1672</v>
      </c>
      <c r="AO215" s="204">
        <f t="shared" si="234"/>
        <v>1663</v>
      </c>
    </row>
    <row r="216" spans="1:41" ht="102" customHeight="1" x14ac:dyDescent="0.2">
      <c r="A216" s="22">
        <f t="shared" si="235"/>
        <v>7400</v>
      </c>
      <c r="B216" s="116">
        <v>1001307027400</v>
      </c>
      <c r="C216" s="48" t="s">
        <v>1478</v>
      </c>
      <c r="D216" s="49" t="s">
        <v>4</v>
      </c>
      <c r="E216" s="146" t="s">
        <v>373</v>
      </c>
      <c r="F216" s="112" t="s">
        <v>348</v>
      </c>
      <c r="G216" s="224" t="s">
        <v>1453</v>
      </c>
      <c r="H216" s="58" t="s">
        <v>1454</v>
      </c>
      <c r="I216" s="154" t="s">
        <v>1475</v>
      </c>
      <c r="J216" s="150" t="s">
        <v>819</v>
      </c>
      <c r="K216" s="51" t="s">
        <v>1476</v>
      </c>
      <c r="L216" s="52">
        <v>14</v>
      </c>
      <c r="M216" s="161">
        <v>25</v>
      </c>
      <c r="N216" s="53">
        <v>3</v>
      </c>
      <c r="O216" s="188" t="s">
        <v>1477</v>
      </c>
      <c r="P216" s="31" t="s">
        <v>104</v>
      </c>
      <c r="Q216" s="49">
        <v>45</v>
      </c>
      <c r="R216" s="82" t="s">
        <v>51</v>
      </c>
      <c r="S216" s="243">
        <v>4630362180445</v>
      </c>
      <c r="T216" s="340">
        <v>14630362180442</v>
      </c>
      <c r="U216" s="46">
        <v>4630362180445</v>
      </c>
      <c r="V216" s="46">
        <v>14630362180442</v>
      </c>
      <c r="W216" s="93">
        <v>300</v>
      </c>
      <c r="X216" s="60">
        <v>79</v>
      </c>
      <c r="Y216" s="60">
        <v>66</v>
      </c>
      <c r="Z216" s="77">
        <v>0.82</v>
      </c>
      <c r="AA216" s="271">
        <v>8.9999999999999993E-3</v>
      </c>
      <c r="AB216" s="66">
        <f t="shared" ref="AB216:AB217" si="268">Z216+AA216</f>
        <v>0.82899999999999996</v>
      </c>
      <c r="AC216" s="59">
        <v>292</v>
      </c>
      <c r="AD216" s="60">
        <v>178</v>
      </c>
      <c r="AE216" s="60">
        <v>178</v>
      </c>
      <c r="AF216" s="191">
        <v>6</v>
      </c>
      <c r="AG216" s="117">
        <v>600000573</v>
      </c>
      <c r="AH216" s="106">
        <f>справочники!$C$183</f>
        <v>0.15</v>
      </c>
      <c r="AI216" s="126">
        <f t="shared" si="195"/>
        <v>4.92</v>
      </c>
      <c r="AJ216" s="124">
        <f t="shared" si="200"/>
        <v>5.1240000000000006</v>
      </c>
      <c r="AK216" s="37">
        <v>16</v>
      </c>
      <c r="AL216" s="38">
        <v>8</v>
      </c>
      <c r="AM216" s="40">
        <f t="shared" ref="AM216:AM217" si="269">AK216*AL216</f>
        <v>128</v>
      </c>
      <c r="AN216" s="206">
        <f t="shared" ref="AN216:AN217" si="270">IF(D216="ШТ",кол_во_инд.__упак_к*итого_г_у,ROUNDDOWN(номин.вес_нетто_г_у__кг*итого_г_у,1))</f>
        <v>768</v>
      </c>
      <c r="AO216" s="204">
        <f t="shared" si="234"/>
        <v>1569</v>
      </c>
    </row>
    <row r="217" spans="1:41" ht="102" customHeight="1" x14ac:dyDescent="0.2">
      <c r="A217" s="22">
        <f t="shared" si="235"/>
        <v>7398</v>
      </c>
      <c r="B217" s="116">
        <v>1001057037398</v>
      </c>
      <c r="C217" s="48" t="s">
        <v>1479</v>
      </c>
      <c r="D217" s="49" t="s">
        <v>4</v>
      </c>
      <c r="E217" s="146" t="s">
        <v>373</v>
      </c>
      <c r="F217" s="112" t="s">
        <v>348</v>
      </c>
      <c r="G217" s="224" t="s">
        <v>1453</v>
      </c>
      <c r="H217" s="58" t="s">
        <v>1454</v>
      </c>
      <c r="I217" s="154" t="s">
        <v>1475</v>
      </c>
      <c r="J217" s="150" t="s">
        <v>1481</v>
      </c>
      <c r="K217" s="51" t="s">
        <v>1482</v>
      </c>
      <c r="L217" s="52">
        <v>16</v>
      </c>
      <c r="M217" s="161">
        <v>24</v>
      </c>
      <c r="N217" s="53">
        <v>3</v>
      </c>
      <c r="O217" s="188" t="s">
        <v>1483</v>
      </c>
      <c r="P217" s="31" t="s">
        <v>104</v>
      </c>
      <c r="Q217" s="49">
        <v>45</v>
      </c>
      <c r="R217" s="82" t="s">
        <v>51</v>
      </c>
      <c r="S217" s="243">
        <v>4630362180544</v>
      </c>
      <c r="T217" s="340">
        <v>14630362180541</v>
      </c>
      <c r="U217" s="46">
        <v>4630362180544</v>
      </c>
      <c r="V217" s="46">
        <v>14630362180541</v>
      </c>
      <c r="W217" s="93">
        <v>220</v>
      </c>
      <c r="X217" s="60">
        <v>80</v>
      </c>
      <c r="Y217" s="60">
        <v>54</v>
      </c>
      <c r="Z217" s="77">
        <v>0.28999999999999998</v>
      </c>
      <c r="AA217" s="271">
        <v>8.9999999999999993E-3</v>
      </c>
      <c r="AB217" s="66">
        <f t="shared" si="268"/>
        <v>0.29899999999999999</v>
      </c>
      <c r="AC217" s="59">
        <v>318</v>
      </c>
      <c r="AD217" s="60">
        <v>143</v>
      </c>
      <c r="AE217" s="60">
        <v>138</v>
      </c>
      <c r="AF217" s="191">
        <v>8</v>
      </c>
      <c r="AG217" s="117">
        <v>600000572</v>
      </c>
      <c r="AH217" s="106">
        <f>справочники!$C$182</f>
        <v>0.106</v>
      </c>
      <c r="AI217" s="126">
        <f t="shared" si="195"/>
        <v>2.3199999999999998</v>
      </c>
      <c r="AJ217" s="124">
        <f t="shared" si="200"/>
        <v>2.4979999999999998</v>
      </c>
      <c r="AK217" s="37">
        <v>19</v>
      </c>
      <c r="AL217" s="38">
        <v>11</v>
      </c>
      <c r="AM217" s="40">
        <f t="shared" si="269"/>
        <v>209</v>
      </c>
      <c r="AN217" s="206">
        <f t="shared" si="270"/>
        <v>1672</v>
      </c>
      <c r="AO217" s="204">
        <f t="shared" si="234"/>
        <v>1663</v>
      </c>
    </row>
    <row r="218" spans="1:41" ht="102" customHeight="1" x14ac:dyDescent="0.2">
      <c r="A218" s="22">
        <f t="shared" si="235"/>
        <v>7399</v>
      </c>
      <c r="B218" s="116">
        <v>1001057037399</v>
      </c>
      <c r="C218" s="48" t="s">
        <v>1480</v>
      </c>
      <c r="D218" s="49" t="s">
        <v>4</v>
      </c>
      <c r="E218" s="146" t="s">
        <v>373</v>
      </c>
      <c r="F218" s="112" t="s">
        <v>348</v>
      </c>
      <c r="G218" s="224" t="s">
        <v>1453</v>
      </c>
      <c r="H218" s="58" t="s">
        <v>1454</v>
      </c>
      <c r="I218" s="154" t="s">
        <v>1475</v>
      </c>
      <c r="J218" s="150" t="s">
        <v>1481</v>
      </c>
      <c r="K218" s="51" t="s">
        <v>1482</v>
      </c>
      <c r="L218" s="52">
        <v>16</v>
      </c>
      <c r="M218" s="161">
        <v>24</v>
      </c>
      <c r="N218" s="53">
        <v>3</v>
      </c>
      <c r="O218" s="188" t="s">
        <v>1483</v>
      </c>
      <c r="P218" s="31" t="s">
        <v>104</v>
      </c>
      <c r="Q218" s="49">
        <v>45</v>
      </c>
      <c r="R218" s="82" t="s">
        <v>51</v>
      </c>
      <c r="S218" s="243">
        <v>4630362180469</v>
      </c>
      <c r="T218" s="340">
        <v>14630362180466</v>
      </c>
      <c r="U218" s="46">
        <v>4630362180469</v>
      </c>
      <c r="V218" s="46">
        <v>14630362180466</v>
      </c>
      <c r="W218" s="93">
        <v>300</v>
      </c>
      <c r="X218" s="60">
        <v>79</v>
      </c>
      <c r="Y218" s="60">
        <v>66</v>
      </c>
      <c r="Z218" s="77">
        <v>0.82</v>
      </c>
      <c r="AA218" s="271">
        <v>8.9999999999999993E-3</v>
      </c>
      <c r="AB218" s="66">
        <f t="shared" ref="AB218:AB219" si="271">Z218+AA218</f>
        <v>0.82899999999999996</v>
      </c>
      <c r="AC218" s="59">
        <v>292</v>
      </c>
      <c r="AD218" s="60">
        <v>178</v>
      </c>
      <c r="AE218" s="60">
        <v>178</v>
      </c>
      <c r="AF218" s="191">
        <v>6</v>
      </c>
      <c r="AG218" s="117">
        <v>600000573</v>
      </c>
      <c r="AH218" s="106">
        <f>справочники!$C$183</f>
        <v>0.15</v>
      </c>
      <c r="AI218" s="126">
        <f t="shared" si="195"/>
        <v>4.92</v>
      </c>
      <c r="AJ218" s="124">
        <f t="shared" si="200"/>
        <v>5.1240000000000006</v>
      </c>
      <c r="AK218" s="37">
        <v>16</v>
      </c>
      <c r="AL218" s="38">
        <v>8</v>
      </c>
      <c r="AM218" s="40">
        <f t="shared" ref="AM218:AM219" si="272">AK218*AL218</f>
        <v>128</v>
      </c>
      <c r="AN218" s="206">
        <f t="shared" ref="AN218:AN219" si="273">IF(D218="ШТ",кол_во_инд.__упак_к*итого_г_у,ROUNDDOWN(номин.вес_нетто_г_у__кг*итого_г_у,1))</f>
        <v>768</v>
      </c>
      <c r="AO218" s="204">
        <f t="shared" si="234"/>
        <v>1569</v>
      </c>
    </row>
    <row r="219" spans="1:41" ht="102" customHeight="1" x14ac:dyDescent="0.2">
      <c r="A219" s="22">
        <f t="shared" si="235"/>
        <v>7402</v>
      </c>
      <c r="B219" s="116">
        <v>1001057047402</v>
      </c>
      <c r="C219" s="48" t="s">
        <v>1484</v>
      </c>
      <c r="D219" s="49" t="s">
        <v>4</v>
      </c>
      <c r="E219" s="146" t="s">
        <v>373</v>
      </c>
      <c r="F219" s="112" t="s">
        <v>348</v>
      </c>
      <c r="G219" s="224" t="s">
        <v>1453</v>
      </c>
      <c r="H219" s="58" t="s">
        <v>1454</v>
      </c>
      <c r="I219" s="154" t="s">
        <v>1475</v>
      </c>
      <c r="J219" s="150" t="s">
        <v>1481</v>
      </c>
      <c r="K219" s="51" t="s">
        <v>1486</v>
      </c>
      <c r="L219" s="52">
        <v>15</v>
      </c>
      <c r="M219" s="161">
        <v>24</v>
      </c>
      <c r="N219" s="53">
        <v>3</v>
      </c>
      <c r="O219" s="188" t="s">
        <v>1078</v>
      </c>
      <c r="P219" s="31" t="s">
        <v>104</v>
      </c>
      <c r="Q219" s="49">
        <v>45</v>
      </c>
      <c r="R219" s="82" t="s">
        <v>51</v>
      </c>
      <c r="S219" s="243">
        <v>4630362180537</v>
      </c>
      <c r="T219" s="340">
        <v>14630362180534</v>
      </c>
      <c r="U219" s="46">
        <v>4630362180537</v>
      </c>
      <c r="V219" s="46">
        <v>14630362180534</v>
      </c>
      <c r="W219" s="93">
        <v>220</v>
      </c>
      <c r="X219" s="60">
        <v>80</v>
      </c>
      <c r="Y219" s="60">
        <v>54</v>
      </c>
      <c r="Z219" s="77">
        <v>0.28999999999999998</v>
      </c>
      <c r="AA219" s="271">
        <v>8.9999999999999993E-3</v>
      </c>
      <c r="AB219" s="66">
        <f t="shared" si="271"/>
        <v>0.29899999999999999</v>
      </c>
      <c r="AC219" s="59">
        <v>318</v>
      </c>
      <c r="AD219" s="60">
        <v>143</v>
      </c>
      <c r="AE219" s="60">
        <v>138</v>
      </c>
      <c r="AF219" s="191">
        <v>8</v>
      </c>
      <c r="AG219" s="117">
        <v>600000572</v>
      </c>
      <c r="AH219" s="106">
        <f>справочники!$C$182</f>
        <v>0.106</v>
      </c>
      <c r="AI219" s="126">
        <f t="shared" si="195"/>
        <v>2.3199999999999998</v>
      </c>
      <c r="AJ219" s="124">
        <f t="shared" si="200"/>
        <v>2.4979999999999998</v>
      </c>
      <c r="AK219" s="37">
        <v>19</v>
      </c>
      <c r="AL219" s="38">
        <v>11</v>
      </c>
      <c r="AM219" s="40">
        <f t="shared" si="272"/>
        <v>209</v>
      </c>
      <c r="AN219" s="206">
        <f t="shared" si="273"/>
        <v>1672</v>
      </c>
      <c r="AO219" s="204">
        <f t="shared" si="234"/>
        <v>1663</v>
      </c>
    </row>
    <row r="220" spans="1:41" ht="102" customHeight="1" x14ac:dyDescent="0.2">
      <c r="A220" s="22">
        <f t="shared" si="235"/>
        <v>7401</v>
      </c>
      <c r="B220" s="116">
        <v>1001057047401</v>
      </c>
      <c r="C220" s="48" t="s">
        <v>1485</v>
      </c>
      <c r="D220" s="49" t="s">
        <v>4</v>
      </c>
      <c r="E220" s="146" t="s">
        <v>373</v>
      </c>
      <c r="F220" s="112" t="s">
        <v>348</v>
      </c>
      <c r="G220" s="224" t="s">
        <v>1453</v>
      </c>
      <c r="H220" s="58" t="s">
        <v>1454</v>
      </c>
      <c r="I220" s="154" t="s">
        <v>1475</v>
      </c>
      <c r="J220" s="150" t="s">
        <v>1481</v>
      </c>
      <c r="K220" s="51" t="s">
        <v>1486</v>
      </c>
      <c r="L220" s="52">
        <v>15</v>
      </c>
      <c r="M220" s="161">
        <v>24</v>
      </c>
      <c r="N220" s="53">
        <v>3</v>
      </c>
      <c r="O220" s="188" t="s">
        <v>1078</v>
      </c>
      <c r="P220" s="31" t="s">
        <v>104</v>
      </c>
      <c r="Q220" s="49">
        <v>45</v>
      </c>
      <c r="R220" s="82" t="s">
        <v>51</v>
      </c>
      <c r="S220" s="243">
        <v>4630362180452</v>
      </c>
      <c r="T220" s="340">
        <v>14630362180459</v>
      </c>
      <c r="U220" s="46">
        <v>4630362180452</v>
      </c>
      <c r="V220" s="46">
        <v>14630362180459</v>
      </c>
      <c r="W220" s="93">
        <v>300</v>
      </c>
      <c r="X220" s="60">
        <v>79</v>
      </c>
      <c r="Y220" s="60">
        <v>66</v>
      </c>
      <c r="Z220" s="77">
        <v>0.82</v>
      </c>
      <c r="AA220" s="271">
        <v>8.9999999999999993E-3</v>
      </c>
      <c r="AB220" s="66">
        <f t="shared" ref="AB220" si="274">Z220+AA220</f>
        <v>0.82899999999999996</v>
      </c>
      <c r="AC220" s="59">
        <v>292</v>
      </c>
      <c r="AD220" s="60">
        <v>178</v>
      </c>
      <c r="AE220" s="60">
        <v>178</v>
      </c>
      <c r="AF220" s="191">
        <v>6</v>
      </c>
      <c r="AG220" s="117">
        <v>600000573</v>
      </c>
      <c r="AH220" s="106">
        <f>справочники!$C$183</f>
        <v>0.15</v>
      </c>
      <c r="AI220" s="126">
        <f t="shared" si="195"/>
        <v>4.92</v>
      </c>
      <c r="AJ220" s="124">
        <f t="shared" si="200"/>
        <v>5.1240000000000006</v>
      </c>
      <c r="AK220" s="37">
        <v>16</v>
      </c>
      <c r="AL220" s="38">
        <v>8</v>
      </c>
      <c r="AM220" s="40">
        <f t="shared" ref="AM220" si="275">AK220*AL220</f>
        <v>128</v>
      </c>
      <c r="AN220" s="206">
        <f t="shared" ref="AN220" si="276">IF(D220="ШТ",кол_во_инд.__упак_к*итого_г_у,ROUNDDOWN(номин.вес_нетто_г_у__кг*итого_г_у,1))</f>
        <v>768</v>
      </c>
      <c r="AO220" s="204">
        <f t="shared" si="234"/>
        <v>1569</v>
      </c>
    </row>
    <row r="221" spans="1:41" ht="102" customHeight="1" x14ac:dyDescent="0.2">
      <c r="A221" s="22">
        <f t="shared" si="235"/>
        <v>7372</v>
      </c>
      <c r="B221" s="116">
        <v>1001305427372</v>
      </c>
      <c r="C221" s="48" t="s">
        <v>1385</v>
      </c>
      <c r="D221" s="49" t="s">
        <v>4</v>
      </c>
      <c r="E221" s="146" t="s">
        <v>373</v>
      </c>
      <c r="F221" s="112" t="s">
        <v>348</v>
      </c>
      <c r="G221" s="224" t="s">
        <v>6</v>
      </c>
      <c r="H221" s="49" t="s">
        <v>38</v>
      </c>
      <c r="I221" s="154" t="s">
        <v>393</v>
      </c>
      <c r="J221" s="150" t="s">
        <v>402</v>
      </c>
      <c r="K221" s="51" t="s">
        <v>1308</v>
      </c>
      <c r="L221" s="52">
        <v>14</v>
      </c>
      <c r="M221" s="161">
        <v>14</v>
      </c>
      <c r="N221" s="53">
        <v>3</v>
      </c>
      <c r="O221" s="188" t="s">
        <v>1272</v>
      </c>
      <c r="P221" s="31" t="s">
        <v>104</v>
      </c>
      <c r="Q221" s="49">
        <v>50</v>
      </c>
      <c r="R221" s="82" t="s">
        <v>51</v>
      </c>
      <c r="S221" s="243">
        <v>4630362180414</v>
      </c>
      <c r="T221" s="340">
        <v>14630362180411</v>
      </c>
      <c r="U221" s="46">
        <v>4630362180414</v>
      </c>
      <c r="V221" s="46">
        <v>14630362180411</v>
      </c>
      <c r="W221" s="93">
        <v>220</v>
      </c>
      <c r="X221" s="60">
        <v>80</v>
      </c>
      <c r="Y221" s="60">
        <v>54</v>
      </c>
      <c r="Z221" s="77">
        <v>0.28000000000000003</v>
      </c>
      <c r="AA221" s="271">
        <v>5.0000000000000001E-3</v>
      </c>
      <c r="AB221" s="66">
        <f t="shared" si="262"/>
        <v>0.28500000000000003</v>
      </c>
      <c r="AC221" s="59">
        <v>318</v>
      </c>
      <c r="AD221" s="60">
        <v>143</v>
      </c>
      <c r="AE221" s="60">
        <v>138</v>
      </c>
      <c r="AF221" s="191">
        <v>8</v>
      </c>
      <c r="AG221" s="117">
        <v>600000407</v>
      </c>
      <c r="AH221" s="106">
        <f>справочники!$C$106</f>
        <v>9.4E-2</v>
      </c>
      <c r="AI221" s="126">
        <f t="shared" si="195"/>
        <v>2.2400000000000002</v>
      </c>
      <c r="AJ221" s="124">
        <f t="shared" si="200"/>
        <v>2.3740000000000001</v>
      </c>
      <c r="AK221" s="37">
        <v>19</v>
      </c>
      <c r="AL221" s="38">
        <v>11</v>
      </c>
      <c r="AM221" s="40">
        <f t="shared" si="263"/>
        <v>209</v>
      </c>
      <c r="AN221" s="206">
        <f t="shared" si="264"/>
        <v>1672</v>
      </c>
      <c r="AO221" s="204">
        <f t="shared" si="234"/>
        <v>1663</v>
      </c>
    </row>
    <row r="222" spans="1:41" ht="178.5" x14ac:dyDescent="0.2">
      <c r="A222" s="22">
        <f t="shared" si="235"/>
        <v>7486</v>
      </c>
      <c r="B222" s="116">
        <v>1001307387486</v>
      </c>
      <c r="C222" s="70" t="s">
        <v>1890</v>
      </c>
      <c r="D222" s="50" t="s">
        <v>4</v>
      </c>
      <c r="E222" s="146" t="s">
        <v>373</v>
      </c>
      <c r="F222" s="112" t="s">
        <v>348</v>
      </c>
      <c r="G222" s="224" t="s">
        <v>6</v>
      </c>
      <c r="H222" s="49" t="s">
        <v>1</v>
      </c>
      <c r="I222" s="154" t="s">
        <v>393</v>
      </c>
      <c r="J222" s="150" t="s">
        <v>402</v>
      </c>
      <c r="K222" s="71" t="s">
        <v>1891</v>
      </c>
      <c r="L222" s="52">
        <v>16</v>
      </c>
      <c r="M222" s="53">
        <v>20</v>
      </c>
      <c r="N222" s="53">
        <v>3</v>
      </c>
      <c r="O222" s="88" t="s">
        <v>1825</v>
      </c>
      <c r="P222" s="31" t="s">
        <v>104</v>
      </c>
      <c r="Q222" s="49">
        <v>45</v>
      </c>
      <c r="R222" s="82" t="s">
        <v>51</v>
      </c>
      <c r="S222" s="243">
        <v>4630362182722</v>
      </c>
      <c r="T222" s="340">
        <v>14630362182729</v>
      </c>
      <c r="U222" s="243">
        <v>4630362182722</v>
      </c>
      <c r="V222" s="243">
        <v>14630362182729</v>
      </c>
      <c r="W222" s="93">
        <v>220</v>
      </c>
      <c r="X222" s="60">
        <v>95</v>
      </c>
      <c r="Y222" s="60">
        <v>20</v>
      </c>
      <c r="Z222" s="65">
        <v>0.25</v>
      </c>
      <c r="AA222" s="271">
        <v>5.0000000000000001E-3</v>
      </c>
      <c r="AB222" s="66">
        <f t="shared" si="262"/>
        <v>0.255</v>
      </c>
      <c r="AC222" s="59">
        <v>378</v>
      </c>
      <c r="AD222" s="60">
        <v>156</v>
      </c>
      <c r="AE222" s="68">
        <v>111</v>
      </c>
      <c r="AF222" s="191">
        <v>8</v>
      </c>
      <c r="AG222" s="117">
        <v>600000220</v>
      </c>
      <c r="AH222" s="104">
        <f>справочники!$C$49</f>
        <v>0.105</v>
      </c>
      <c r="AI222" s="61">
        <f t="shared" si="195"/>
        <v>2</v>
      </c>
      <c r="AJ222" s="122">
        <f t="shared" si="200"/>
        <v>2.145</v>
      </c>
      <c r="AK222" s="37">
        <v>15</v>
      </c>
      <c r="AL222" s="38">
        <v>14</v>
      </c>
      <c r="AM222" s="40">
        <f>AK222*AL222</f>
        <v>210</v>
      </c>
      <c r="AN222" s="206">
        <f t="shared" si="264"/>
        <v>1680</v>
      </c>
      <c r="AO222" s="204">
        <f t="shared" si="234"/>
        <v>1699</v>
      </c>
    </row>
    <row r="223" spans="1:41" ht="178.5" x14ac:dyDescent="0.2">
      <c r="A223" s="22">
        <f t="shared" si="235"/>
        <v>7487</v>
      </c>
      <c r="B223" s="116">
        <v>1001307367487</v>
      </c>
      <c r="C223" s="70" t="s">
        <v>1892</v>
      </c>
      <c r="D223" s="50" t="s">
        <v>4</v>
      </c>
      <c r="E223" s="146" t="s">
        <v>373</v>
      </c>
      <c r="F223" s="112" t="s">
        <v>348</v>
      </c>
      <c r="G223" s="224" t="s">
        <v>6</v>
      </c>
      <c r="H223" s="49" t="s">
        <v>1</v>
      </c>
      <c r="I223" s="154" t="s">
        <v>393</v>
      </c>
      <c r="J223" s="150" t="s">
        <v>402</v>
      </c>
      <c r="K223" s="71" t="s">
        <v>1894</v>
      </c>
      <c r="L223" s="52">
        <v>16</v>
      </c>
      <c r="M223" s="53">
        <v>21</v>
      </c>
      <c r="N223" s="53">
        <v>2</v>
      </c>
      <c r="O223" s="88" t="s">
        <v>1893</v>
      </c>
      <c r="P223" s="31" t="s">
        <v>104</v>
      </c>
      <c r="Q223" s="49">
        <v>45</v>
      </c>
      <c r="R223" s="82" t="s">
        <v>51</v>
      </c>
      <c r="S223" s="243">
        <v>4630362182739</v>
      </c>
      <c r="T223" s="340">
        <v>14630362182736</v>
      </c>
      <c r="U223" s="243">
        <v>4630362182739</v>
      </c>
      <c r="V223" s="243">
        <v>14630362182736</v>
      </c>
      <c r="W223" s="93">
        <v>220</v>
      </c>
      <c r="X223" s="60">
        <v>95</v>
      </c>
      <c r="Y223" s="60">
        <v>20</v>
      </c>
      <c r="Z223" s="65">
        <v>0.25</v>
      </c>
      <c r="AA223" s="271">
        <v>5.0000000000000001E-3</v>
      </c>
      <c r="AB223" s="66">
        <f t="shared" ref="AB223" si="277">Z223+AA223</f>
        <v>0.255</v>
      </c>
      <c r="AC223" s="59">
        <v>378</v>
      </c>
      <c r="AD223" s="60">
        <v>156</v>
      </c>
      <c r="AE223" s="68">
        <v>111</v>
      </c>
      <c r="AF223" s="191">
        <v>8</v>
      </c>
      <c r="AG223" s="117">
        <v>600000220</v>
      </c>
      <c r="AH223" s="104">
        <f>справочники!$C$49</f>
        <v>0.105</v>
      </c>
      <c r="AI223" s="61">
        <f t="shared" si="195"/>
        <v>2</v>
      </c>
      <c r="AJ223" s="122">
        <f t="shared" si="200"/>
        <v>2.145</v>
      </c>
      <c r="AK223" s="37">
        <v>15</v>
      </c>
      <c r="AL223" s="38">
        <v>14</v>
      </c>
      <c r="AM223" s="40">
        <f>AK223*AL223</f>
        <v>210</v>
      </c>
      <c r="AN223" s="206">
        <f t="shared" ref="AN223" si="278">IF(D223="ШТ",кол_во_инд.__упак_к*итого_г_у,ROUNDDOWN(номин.вес_нетто_г_у__кг*итого_г_у,1))</f>
        <v>1680</v>
      </c>
      <c r="AO223" s="204">
        <f t="shared" si="234"/>
        <v>1699</v>
      </c>
    </row>
    <row r="224" spans="1:41" ht="229.5" x14ac:dyDescent="0.2">
      <c r="A224" s="22">
        <f t="shared" si="235"/>
        <v>7488</v>
      </c>
      <c r="B224" s="116">
        <v>1001307377488</v>
      </c>
      <c r="C224" s="70" t="s">
        <v>1895</v>
      </c>
      <c r="D224" s="50" t="s">
        <v>4</v>
      </c>
      <c r="E224" s="146" t="s">
        <v>373</v>
      </c>
      <c r="F224" s="112" t="s">
        <v>348</v>
      </c>
      <c r="G224" s="224" t="s">
        <v>6</v>
      </c>
      <c r="H224" s="49" t="s">
        <v>1</v>
      </c>
      <c r="I224" s="154" t="s">
        <v>393</v>
      </c>
      <c r="J224" s="150" t="s">
        <v>402</v>
      </c>
      <c r="K224" s="71" t="s">
        <v>1896</v>
      </c>
      <c r="L224" s="52">
        <v>16</v>
      </c>
      <c r="M224" s="53">
        <v>20</v>
      </c>
      <c r="N224" s="53">
        <v>3</v>
      </c>
      <c r="O224" s="88" t="s">
        <v>1825</v>
      </c>
      <c r="P224" s="31" t="s">
        <v>104</v>
      </c>
      <c r="Q224" s="49">
        <v>45</v>
      </c>
      <c r="R224" s="82" t="s">
        <v>51</v>
      </c>
      <c r="S224" s="243">
        <v>4630362182746</v>
      </c>
      <c r="T224" s="340">
        <v>14630362182743</v>
      </c>
      <c r="U224" s="243">
        <v>4630362182746</v>
      </c>
      <c r="V224" s="243">
        <v>14630362182743</v>
      </c>
      <c r="W224" s="93">
        <v>220</v>
      </c>
      <c r="X224" s="60">
        <v>95</v>
      </c>
      <c r="Y224" s="60">
        <v>20</v>
      </c>
      <c r="Z224" s="65">
        <v>0.25</v>
      </c>
      <c r="AA224" s="271">
        <v>5.0000000000000001E-3</v>
      </c>
      <c r="AB224" s="66">
        <f t="shared" ref="AB224" si="279">Z224+AA224</f>
        <v>0.255</v>
      </c>
      <c r="AC224" s="59">
        <v>378</v>
      </c>
      <c r="AD224" s="60">
        <v>156</v>
      </c>
      <c r="AE224" s="68">
        <v>111</v>
      </c>
      <c r="AF224" s="191">
        <v>8</v>
      </c>
      <c r="AG224" s="117">
        <v>600000220</v>
      </c>
      <c r="AH224" s="104">
        <f>справочники!$C$49</f>
        <v>0.105</v>
      </c>
      <c r="AI224" s="61">
        <f t="shared" si="195"/>
        <v>2</v>
      </c>
      <c r="AJ224" s="122">
        <f t="shared" si="200"/>
        <v>2.145</v>
      </c>
      <c r="AK224" s="37">
        <v>15</v>
      </c>
      <c r="AL224" s="38">
        <v>14</v>
      </c>
      <c r="AM224" s="40">
        <f>AK224*AL224</f>
        <v>210</v>
      </c>
      <c r="AN224" s="206">
        <f t="shared" ref="AN224" si="280">IF(D224="ШТ",кол_во_инд.__упак_к*итого_г_у,ROUNDDOWN(номин.вес_нетто_г_у__кг*итого_г_у,1))</f>
        <v>1680</v>
      </c>
      <c r="AO224" s="204">
        <f t="shared" si="234"/>
        <v>1699</v>
      </c>
    </row>
    <row r="225" spans="1:41" ht="127.5" x14ac:dyDescent="0.2">
      <c r="A225" s="22">
        <f t="shared" si="235"/>
        <v>6097</v>
      </c>
      <c r="B225" s="116">
        <v>1001053946097</v>
      </c>
      <c r="C225" s="70" t="s">
        <v>900</v>
      </c>
      <c r="D225" s="50" t="s">
        <v>4</v>
      </c>
      <c r="E225" s="146" t="s">
        <v>373</v>
      </c>
      <c r="F225" s="112" t="s">
        <v>348</v>
      </c>
      <c r="G225" s="224" t="s">
        <v>6</v>
      </c>
      <c r="H225" s="58" t="s">
        <v>196</v>
      </c>
      <c r="I225" s="154" t="s">
        <v>197</v>
      </c>
      <c r="J225" s="150" t="s">
        <v>43</v>
      </c>
      <c r="K225" s="71" t="s">
        <v>198</v>
      </c>
      <c r="L225" s="52">
        <v>25</v>
      </c>
      <c r="M225" s="53">
        <v>35</v>
      </c>
      <c r="N225" s="53"/>
      <c r="O225" s="88" t="s">
        <v>212</v>
      </c>
      <c r="P225" s="113" t="s">
        <v>199</v>
      </c>
      <c r="Q225" s="49">
        <v>120</v>
      </c>
      <c r="R225" s="82" t="s">
        <v>78</v>
      </c>
      <c r="S225" s="243">
        <v>4607958074068</v>
      </c>
      <c r="T225" s="340">
        <v>14607958074065</v>
      </c>
      <c r="U225" s="46">
        <v>4607958074068</v>
      </c>
      <c r="V225" s="46">
        <v>14607958074065</v>
      </c>
      <c r="W225" s="93">
        <v>270</v>
      </c>
      <c r="X225" s="60">
        <v>110</v>
      </c>
      <c r="Y225" s="60">
        <v>35</v>
      </c>
      <c r="Z225" s="65">
        <v>0.2</v>
      </c>
      <c r="AA225" s="271">
        <v>1.4999999999999999E-2</v>
      </c>
      <c r="AB225" s="66">
        <f t="shared" ref="AB225:AB252" si="281">Z225+AA225</f>
        <v>0.21500000000000002</v>
      </c>
      <c r="AC225" s="59">
        <v>273</v>
      </c>
      <c r="AD225" s="60">
        <v>203</v>
      </c>
      <c r="AE225" s="60">
        <v>106</v>
      </c>
      <c r="AF225" s="191">
        <v>9</v>
      </c>
      <c r="AG225" s="117">
        <v>600000352</v>
      </c>
      <c r="AH225" s="104">
        <f>справочники!$C$75</f>
        <v>0.11700000000000001</v>
      </c>
      <c r="AI225" s="61">
        <f t="shared" si="195"/>
        <v>1.8</v>
      </c>
      <c r="AJ225" s="122">
        <f t="shared" si="200"/>
        <v>2.0520000000000005</v>
      </c>
      <c r="AK225" s="37">
        <v>16</v>
      </c>
      <c r="AL225" s="38">
        <v>9</v>
      </c>
      <c r="AM225" s="40">
        <f>AK225*AL225</f>
        <v>144</v>
      </c>
      <c r="AN225" s="206">
        <f t="shared" si="233"/>
        <v>1296</v>
      </c>
      <c r="AO225" s="204">
        <f t="shared" si="234"/>
        <v>1099</v>
      </c>
    </row>
    <row r="226" spans="1:41" ht="76.5" x14ac:dyDescent="0.2">
      <c r="A226" s="22">
        <f t="shared" si="235"/>
        <v>7562</v>
      </c>
      <c r="B226" s="116">
        <v>1001307587562</v>
      </c>
      <c r="C226" s="48" t="s">
        <v>1809</v>
      </c>
      <c r="D226" s="49" t="s">
        <v>3</v>
      </c>
      <c r="E226" s="146" t="s">
        <v>373</v>
      </c>
      <c r="F226" s="112" t="s">
        <v>348</v>
      </c>
      <c r="G226" s="224" t="s">
        <v>2</v>
      </c>
      <c r="H226" s="49" t="s">
        <v>38</v>
      </c>
      <c r="I226" s="154" t="s">
        <v>49</v>
      </c>
      <c r="J226" s="150" t="s">
        <v>402</v>
      </c>
      <c r="K226" s="51" t="s">
        <v>1810</v>
      </c>
      <c r="L226" s="52">
        <v>14</v>
      </c>
      <c r="M226" s="53">
        <v>45</v>
      </c>
      <c r="N226" s="53">
        <v>0</v>
      </c>
      <c r="O226" s="88" t="s">
        <v>50</v>
      </c>
      <c r="P226" s="31" t="s">
        <v>104</v>
      </c>
      <c r="Q226" s="49">
        <v>45</v>
      </c>
      <c r="R226" s="82" t="s">
        <v>51</v>
      </c>
      <c r="S226" s="120">
        <v>2800588000007</v>
      </c>
      <c r="T226" s="342">
        <v>12800588000004</v>
      </c>
      <c r="U226" s="46">
        <v>4630362181541</v>
      </c>
      <c r="V226" s="46">
        <v>24630362181545</v>
      </c>
      <c r="W226" s="257">
        <v>185</v>
      </c>
      <c r="X226" s="76">
        <v>145</v>
      </c>
      <c r="Y226" s="76">
        <v>35</v>
      </c>
      <c r="Z226" s="65">
        <v>0.35</v>
      </c>
      <c r="AA226" s="271">
        <v>8.0000000000000002E-3</v>
      </c>
      <c r="AB226" s="66">
        <f t="shared" ref="AB226" si="282">Z226+AA226</f>
        <v>0.35799999999999998</v>
      </c>
      <c r="AC226" s="37">
        <v>383</v>
      </c>
      <c r="AD226" s="38">
        <v>156</v>
      </c>
      <c r="AE226" s="38">
        <v>168</v>
      </c>
      <c r="AF226" s="191">
        <v>8</v>
      </c>
      <c r="AG226" s="117">
        <v>600000030</v>
      </c>
      <c r="AH226" s="104">
        <f>справочники!$C$22</f>
        <v>0.127</v>
      </c>
      <c r="AI226" s="61">
        <f t="shared" si="195"/>
        <v>2.8</v>
      </c>
      <c r="AJ226" s="122">
        <f t="shared" si="200"/>
        <v>2.9909999999999997</v>
      </c>
      <c r="AK226" s="37">
        <v>15</v>
      </c>
      <c r="AL226" s="38">
        <v>9</v>
      </c>
      <c r="AM226" s="40">
        <f t="shared" ref="AM226" si="283">AK226*AL226</f>
        <v>135</v>
      </c>
      <c r="AN226" s="214">
        <f t="shared" ref="AN226" si="284">IF(D226="ШТ",кол_во_инд.__упак_к*итого_г_у,ROUNDDOWN(номин.вес_нетто_г_у__кг*итого_г_у,1))</f>
        <v>378</v>
      </c>
      <c r="AO226" s="204">
        <f t="shared" si="234"/>
        <v>1657</v>
      </c>
    </row>
    <row r="227" spans="1:41" ht="76.5" x14ac:dyDescent="0.2">
      <c r="A227" s="22">
        <f t="shared" si="235"/>
        <v>7291</v>
      </c>
      <c r="B227" s="116">
        <v>1001300437291</v>
      </c>
      <c r="C227" s="48" t="s">
        <v>2064</v>
      </c>
      <c r="D227" s="49" t="s">
        <v>3</v>
      </c>
      <c r="E227" s="146" t="s">
        <v>373</v>
      </c>
      <c r="F227" s="112" t="s">
        <v>348</v>
      </c>
      <c r="G227" s="224" t="s">
        <v>2</v>
      </c>
      <c r="H227" s="49" t="s">
        <v>38</v>
      </c>
      <c r="I227" s="154" t="s">
        <v>49</v>
      </c>
      <c r="J227" s="150" t="s">
        <v>402</v>
      </c>
      <c r="K227" s="51" t="s">
        <v>1810</v>
      </c>
      <c r="L227" s="52">
        <v>14</v>
      </c>
      <c r="M227" s="53">
        <v>45</v>
      </c>
      <c r="N227" s="53">
        <v>0</v>
      </c>
      <c r="O227" s="88" t="s">
        <v>50</v>
      </c>
      <c r="P227" s="31" t="s">
        <v>104</v>
      </c>
      <c r="Q227" s="49">
        <v>45</v>
      </c>
      <c r="R227" s="82" t="s">
        <v>51</v>
      </c>
      <c r="S227" s="120">
        <v>2800478000001</v>
      </c>
      <c r="T227" s="342">
        <v>12800478000008</v>
      </c>
      <c r="U227" s="46">
        <v>4630362181541</v>
      </c>
      <c r="V227" s="46">
        <v>14630362181548</v>
      </c>
      <c r="W227" s="257">
        <v>290</v>
      </c>
      <c r="X227" s="76">
        <v>160</v>
      </c>
      <c r="Y227" s="76">
        <v>80</v>
      </c>
      <c r="Z227" s="65">
        <v>1.05</v>
      </c>
      <c r="AA227" s="271">
        <v>1.7000000000000001E-2</v>
      </c>
      <c r="AB227" s="66">
        <f t="shared" ref="AB227" si="285">Z227+AA227</f>
        <v>1.0669999999999999</v>
      </c>
      <c r="AC227" s="37">
        <v>293</v>
      </c>
      <c r="AD227" s="38">
        <v>153</v>
      </c>
      <c r="AE227" s="38">
        <v>224</v>
      </c>
      <c r="AF227" s="191">
        <v>3</v>
      </c>
      <c r="AG227" s="117">
        <v>600000400</v>
      </c>
      <c r="AH227" s="104">
        <f>справочники!$C$95</f>
        <v>0.13500000000000001</v>
      </c>
      <c r="AI227" s="61">
        <f t="shared" si="195"/>
        <v>3.15</v>
      </c>
      <c r="AJ227" s="122">
        <f t="shared" si="200"/>
        <v>3.3359999999999994</v>
      </c>
      <c r="AK227" s="37">
        <v>20</v>
      </c>
      <c r="AL227" s="38">
        <v>7</v>
      </c>
      <c r="AM227" s="40">
        <f t="shared" ref="AM227" si="286">AK227*AL227</f>
        <v>140</v>
      </c>
      <c r="AN227" s="214">
        <f t="shared" ref="AN227" si="287">IF(D227="ШТ",кол_во_инд.__упак_к*итого_г_у,ROUNDDOWN(номин.вес_нетто_г_у__кг*итого_г_у,1))</f>
        <v>441</v>
      </c>
      <c r="AO227" s="204">
        <f t="shared" si="234"/>
        <v>1713</v>
      </c>
    </row>
    <row r="228" spans="1:41" ht="191.25" x14ac:dyDescent="0.2">
      <c r="A228" s="22">
        <f t="shared" si="235"/>
        <v>6995</v>
      </c>
      <c r="B228" s="116">
        <v>1001303106995</v>
      </c>
      <c r="C228" s="70" t="s">
        <v>976</v>
      </c>
      <c r="D228" s="49" t="s">
        <v>3</v>
      </c>
      <c r="E228" s="146" t="s">
        <v>373</v>
      </c>
      <c r="F228" s="112" t="s">
        <v>348</v>
      </c>
      <c r="G228" s="224" t="s">
        <v>6</v>
      </c>
      <c r="H228" s="49" t="s">
        <v>38</v>
      </c>
      <c r="I228" s="154" t="s">
        <v>393</v>
      </c>
      <c r="J228" s="150" t="s">
        <v>403</v>
      </c>
      <c r="K228" s="51" t="s">
        <v>1341</v>
      </c>
      <c r="L228" s="52">
        <v>10</v>
      </c>
      <c r="M228" s="53">
        <v>22</v>
      </c>
      <c r="N228" s="53">
        <v>1</v>
      </c>
      <c r="O228" s="88" t="s">
        <v>1342</v>
      </c>
      <c r="P228" s="31" t="s">
        <v>104</v>
      </c>
      <c r="Q228" s="49">
        <v>45</v>
      </c>
      <c r="R228" s="82" t="s">
        <v>51</v>
      </c>
      <c r="S228" s="243">
        <v>2319436000002</v>
      </c>
      <c r="T228" s="340">
        <v>12319436000009</v>
      </c>
      <c r="U228" s="46">
        <v>4630362181558</v>
      </c>
      <c r="V228" s="46">
        <v>14630362181555</v>
      </c>
      <c r="W228" s="93">
        <v>300</v>
      </c>
      <c r="X228" s="60">
        <v>79</v>
      </c>
      <c r="Y228" s="60">
        <v>54</v>
      </c>
      <c r="Z228" s="77">
        <v>0.56000000000000005</v>
      </c>
      <c r="AA228" s="271">
        <v>8.0000000000000002E-3</v>
      </c>
      <c r="AB228" s="66">
        <f t="shared" si="281"/>
        <v>0.56800000000000006</v>
      </c>
      <c r="AC228" s="75">
        <v>292</v>
      </c>
      <c r="AD228" s="76">
        <v>178</v>
      </c>
      <c r="AE228" s="76">
        <v>178</v>
      </c>
      <c r="AF228" s="192">
        <v>8</v>
      </c>
      <c r="AG228" s="117">
        <v>600000029</v>
      </c>
      <c r="AH228" s="106">
        <f>справочники!$C$21</f>
        <v>0.125</v>
      </c>
      <c r="AI228" s="126">
        <f t="shared" si="195"/>
        <v>4.4800000000000004</v>
      </c>
      <c r="AJ228" s="124">
        <f t="shared" si="200"/>
        <v>4.6690000000000005</v>
      </c>
      <c r="AK228" s="37">
        <v>16</v>
      </c>
      <c r="AL228" s="38">
        <v>8</v>
      </c>
      <c r="AM228" s="40">
        <f t="shared" ref="AM228:AM234" si="288">AK228*AL228</f>
        <v>128</v>
      </c>
      <c r="AN228" s="272">
        <f t="shared" si="233"/>
        <v>573.4</v>
      </c>
      <c r="AO228" s="204">
        <f t="shared" si="234"/>
        <v>1569</v>
      </c>
    </row>
    <row r="229" spans="1:41" ht="191.25" x14ac:dyDescent="0.2">
      <c r="A229" s="22">
        <f t="shared" si="235"/>
        <v>7241</v>
      </c>
      <c r="B229" s="116">
        <v>1001303107241</v>
      </c>
      <c r="C229" s="70" t="s">
        <v>1188</v>
      </c>
      <c r="D229" s="50" t="s">
        <v>4</v>
      </c>
      <c r="E229" s="146" t="s">
        <v>373</v>
      </c>
      <c r="F229" s="112" t="s">
        <v>348</v>
      </c>
      <c r="G229" s="224" t="s">
        <v>6</v>
      </c>
      <c r="H229" s="49" t="s">
        <v>38</v>
      </c>
      <c r="I229" s="154" t="s">
        <v>393</v>
      </c>
      <c r="J229" s="150" t="s">
        <v>403</v>
      </c>
      <c r="K229" s="51" t="s">
        <v>1341</v>
      </c>
      <c r="L229" s="52">
        <v>10</v>
      </c>
      <c r="M229" s="53">
        <v>22</v>
      </c>
      <c r="N229" s="53">
        <v>1</v>
      </c>
      <c r="O229" s="88" t="s">
        <v>1342</v>
      </c>
      <c r="P229" s="31" t="s">
        <v>104</v>
      </c>
      <c r="Q229" s="49">
        <v>45</v>
      </c>
      <c r="R229" s="82" t="s">
        <v>51</v>
      </c>
      <c r="S229" s="243">
        <v>4607958077441</v>
      </c>
      <c r="T229" s="340">
        <v>14607958077448</v>
      </c>
      <c r="U229" s="46">
        <v>4607958077441</v>
      </c>
      <c r="V229" s="46">
        <v>14607958077448</v>
      </c>
      <c r="W229" s="93">
        <v>220</v>
      </c>
      <c r="X229" s="60">
        <v>80</v>
      </c>
      <c r="Y229" s="60">
        <v>54</v>
      </c>
      <c r="Z229" s="77">
        <v>0.28000000000000003</v>
      </c>
      <c r="AA229" s="271">
        <v>5.0000000000000001E-3</v>
      </c>
      <c r="AB229" s="66">
        <f t="shared" ref="AB229:AB231" si="289">Z229+AA229</f>
        <v>0.28500000000000003</v>
      </c>
      <c r="AC229" s="59">
        <v>318</v>
      </c>
      <c r="AD229" s="60">
        <v>143</v>
      </c>
      <c r="AE229" s="60">
        <v>138</v>
      </c>
      <c r="AF229" s="191">
        <v>8</v>
      </c>
      <c r="AG229" s="117">
        <v>600000407</v>
      </c>
      <c r="AH229" s="106">
        <f>справочники!$C$106</f>
        <v>9.4E-2</v>
      </c>
      <c r="AI229" s="126">
        <f t="shared" si="195"/>
        <v>2.2400000000000002</v>
      </c>
      <c r="AJ229" s="124">
        <f t="shared" si="200"/>
        <v>2.3740000000000001</v>
      </c>
      <c r="AK229" s="37">
        <v>19</v>
      </c>
      <c r="AL229" s="38">
        <v>11</v>
      </c>
      <c r="AM229" s="40">
        <f>AK229*AL229</f>
        <v>209</v>
      </c>
      <c r="AN229" s="206">
        <f t="shared" ref="AN229:AN231" si="290">IF(D229="ШТ",кол_во_инд.__упак_к*итого_г_у,ROUNDDOWN(номин.вес_нетто_г_у__кг*итого_г_у,1))</f>
        <v>1672</v>
      </c>
      <c r="AO229" s="204">
        <f t="shared" si="234"/>
        <v>1663</v>
      </c>
    </row>
    <row r="230" spans="1:41" ht="119.45" customHeight="1" x14ac:dyDescent="0.2">
      <c r="A230" s="22">
        <f t="shared" si="235"/>
        <v>7390</v>
      </c>
      <c r="B230" s="116">
        <v>1001307077390</v>
      </c>
      <c r="C230" s="70" t="s">
        <v>1594</v>
      </c>
      <c r="D230" s="81" t="s">
        <v>3</v>
      </c>
      <c r="E230" s="146" t="s">
        <v>373</v>
      </c>
      <c r="F230" s="112" t="s">
        <v>348</v>
      </c>
      <c r="G230" s="224" t="s">
        <v>2</v>
      </c>
      <c r="H230" s="58" t="s">
        <v>38</v>
      </c>
      <c r="I230" s="154" t="s">
        <v>389</v>
      </c>
      <c r="J230" s="150" t="s">
        <v>451</v>
      </c>
      <c r="K230" s="71" t="s">
        <v>1595</v>
      </c>
      <c r="L230" s="52">
        <v>18</v>
      </c>
      <c r="M230" s="53">
        <v>36</v>
      </c>
      <c r="N230" s="54">
        <v>3</v>
      </c>
      <c r="O230" s="88" t="s">
        <v>1596</v>
      </c>
      <c r="P230" s="31" t="s">
        <v>104</v>
      </c>
      <c r="Q230" s="87">
        <v>45</v>
      </c>
      <c r="R230" s="49" t="s">
        <v>44</v>
      </c>
      <c r="S230" s="237">
        <v>2800748000007</v>
      </c>
      <c r="T230" s="332">
        <v>12800748000004</v>
      </c>
      <c r="U230" s="46">
        <v>4630362182470</v>
      </c>
      <c r="V230" s="46">
        <v>14630362182477</v>
      </c>
      <c r="W230" s="258">
        <v>300</v>
      </c>
      <c r="X230" s="68">
        <v>79</v>
      </c>
      <c r="Y230" s="68">
        <v>52</v>
      </c>
      <c r="Z230" s="77">
        <v>0.52</v>
      </c>
      <c r="AA230" s="271">
        <v>8.0000000000000002E-3</v>
      </c>
      <c r="AB230" s="66">
        <f t="shared" si="289"/>
        <v>0.52800000000000002</v>
      </c>
      <c r="AC230" s="59">
        <v>292</v>
      </c>
      <c r="AD230" s="60">
        <v>178</v>
      </c>
      <c r="AE230" s="60">
        <v>178</v>
      </c>
      <c r="AF230" s="191">
        <v>10</v>
      </c>
      <c r="AG230" s="117">
        <v>600000029</v>
      </c>
      <c r="AH230" s="104">
        <f>справочники!$C$21</f>
        <v>0.125</v>
      </c>
      <c r="AI230" s="61">
        <f t="shared" si="195"/>
        <v>5.2</v>
      </c>
      <c r="AJ230" s="122">
        <f t="shared" si="200"/>
        <v>5.4050000000000002</v>
      </c>
      <c r="AK230" s="37">
        <v>16</v>
      </c>
      <c r="AL230" s="38">
        <v>8</v>
      </c>
      <c r="AM230" s="40">
        <f t="shared" ref="AM230:AM231" si="291">AK230*AL230</f>
        <v>128</v>
      </c>
      <c r="AN230" s="214">
        <f t="shared" si="290"/>
        <v>665.6</v>
      </c>
      <c r="AO230" s="204">
        <f t="shared" si="234"/>
        <v>1569</v>
      </c>
    </row>
    <row r="231" spans="1:41" ht="118.9" customHeight="1" x14ac:dyDescent="0.2">
      <c r="A231" s="22">
        <f t="shared" si="235"/>
        <v>7513</v>
      </c>
      <c r="B231" s="116">
        <v>1001307077513</v>
      </c>
      <c r="C231" s="70" t="s">
        <v>1657</v>
      </c>
      <c r="D231" s="50" t="s">
        <v>4</v>
      </c>
      <c r="E231" s="146" t="s">
        <v>373</v>
      </c>
      <c r="F231" s="112" t="s">
        <v>348</v>
      </c>
      <c r="G231" s="224" t="s">
        <v>2</v>
      </c>
      <c r="H231" s="49" t="s">
        <v>38</v>
      </c>
      <c r="I231" s="154" t="s">
        <v>389</v>
      </c>
      <c r="J231" s="150" t="s">
        <v>451</v>
      </c>
      <c r="K231" s="71" t="s">
        <v>1595</v>
      </c>
      <c r="L231" s="52">
        <v>18</v>
      </c>
      <c r="M231" s="53">
        <v>36</v>
      </c>
      <c r="N231" s="54">
        <v>3</v>
      </c>
      <c r="O231" s="88" t="s">
        <v>1596</v>
      </c>
      <c r="P231" s="31" t="s">
        <v>104</v>
      </c>
      <c r="Q231" s="87">
        <v>45</v>
      </c>
      <c r="R231" s="49" t="s">
        <v>44</v>
      </c>
      <c r="S231" s="243">
        <v>4630362182203</v>
      </c>
      <c r="T231" s="340">
        <v>14630362182200</v>
      </c>
      <c r="U231" s="46">
        <v>4630362182203</v>
      </c>
      <c r="V231" s="46">
        <v>14630362182200</v>
      </c>
      <c r="W231" s="93">
        <v>220</v>
      </c>
      <c r="X231" s="60">
        <v>80</v>
      </c>
      <c r="Y231" s="60">
        <v>58</v>
      </c>
      <c r="Z231" s="77">
        <v>0.26</v>
      </c>
      <c r="AA231" s="271">
        <v>5.0000000000000001E-3</v>
      </c>
      <c r="AB231" s="66">
        <f t="shared" si="289"/>
        <v>0.26500000000000001</v>
      </c>
      <c r="AC231" s="59">
        <v>318</v>
      </c>
      <c r="AD231" s="60">
        <v>143</v>
      </c>
      <c r="AE231" s="60">
        <v>138</v>
      </c>
      <c r="AF231" s="191">
        <v>8</v>
      </c>
      <c r="AG231" s="117">
        <v>600000407</v>
      </c>
      <c r="AH231" s="207">
        <f>справочники!$C$106</f>
        <v>9.4E-2</v>
      </c>
      <c r="AI231" s="79">
        <f t="shared" si="195"/>
        <v>2.08</v>
      </c>
      <c r="AJ231" s="124">
        <f t="shared" si="200"/>
        <v>2.214</v>
      </c>
      <c r="AK231" s="37">
        <v>19</v>
      </c>
      <c r="AL231" s="38">
        <v>11</v>
      </c>
      <c r="AM231" s="40">
        <f t="shared" si="291"/>
        <v>209</v>
      </c>
      <c r="AN231" s="206">
        <f t="shared" si="290"/>
        <v>1672</v>
      </c>
      <c r="AO231" s="204">
        <f t="shared" si="234"/>
        <v>1663</v>
      </c>
    </row>
    <row r="232" spans="1:41" ht="63.75" customHeight="1" x14ac:dyDescent="0.2">
      <c r="A232" s="22">
        <f t="shared" si="235"/>
        <v>7415</v>
      </c>
      <c r="B232" s="116">
        <v>1001307107415</v>
      </c>
      <c r="C232" s="70" t="s">
        <v>1601</v>
      </c>
      <c r="D232" s="81" t="s">
        <v>3</v>
      </c>
      <c r="E232" s="146" t="s">
        <v>373</v>
      </c>
      <c r="F232" s="112" t="s">
        <v>348</v>
      </c>
      <c r="G232" s="224" t="s">
        <v>2</v>
      </c>
      <c r="H232" s="58" t="s">
        <v>38</v>
      </c>
      <c r="I232" s="154" t="s">
        <v>389</v>
      </c>
      <c r="J232" s="150" t="s">
        <v>451</v>
      </c>
      <c r="K232" s="71" t="s">
        <v>1602</v>
      </c>
      <c r="L232" s="52">
        <v>14</v>
      </c>
      <c r="M232" s="53">
        <v>39</v>
      </c>
      <c r="N232" s="54">
        <v>1</v>
      </c>
      <c r="O232" s="88" t="s">
        <v>1603</v>
      </c>
      <c r="P232" s="31" t="s">
        <v>104</v>
      </c>
      <c r="Q232" s="87">
        <v>45</v>
      </c>
      <c r="R232" s="49" t="s">
        <v>44</v>
      </c>
      <c r="S232" s="237">
        <v>2800518000008</v>
      </c>
      <c r="T232" s="332">
        <v>12800518000005</v>
      </c>
      <c r="U232" s="46">
        <v>4630362182586</v>
      </c>
      <c r="V232" s="46">
        <v>14630362182583</v>
      </c>
      <c r="W232" s="258">
        <v>320</v>
      </c>
      <c r="X232" s="68">
        <v>80</v>
      </c>
      <c r="Y232" s="68">
        <v>58</v>
      </c>
      <c r="Z232" s="77">
        <v>0.65</v>
      </c>
      <c r="AA232" s="271">
        <v>8.0000000000000002E-3</v>
      </c>
      <c r="AB232" s="66">
        <f t="shared" ref="AB232:AB233" si="292">Z232+AA232</f>
        <v>0.65800000000000003</v>
      </c>
      <c r="AC232" s="59">
        <v>292</v>
      </c>
      <c r="AD232" s="60">
        <v>178</v>
      </c>
      <c r="AE232" s="60">
        <v>178</v>
      </c>
      <c r="AF232" s="191">
        <v>8</v>
      </c>
      <c r="AG232" s="117">
        <v>600000029</v>
      </c>
      <c r="AH232" s="104">
        <f>справочники!$C$21</f>
        <v>0.125</v>
      </c>
      <c r="AI232" s="61">
        <f t="shared" si="195"/>
        <v>5.2</v>
      </c>
      <c r="AJ232" s="122">
        <f t="shared" si="200"/>
        <v>5.3890000000000002</v>
      </c>
      <c r="AK232" s="37">
        <v>16</v>
      </c>
      <c r="AL232" s="38">
        <v>8</v>
      </c>
      <c r="AM232" s="40">
        <f t="shared" ref="AM232:AM233" si="293">AK232*AL232</f>
        <v>128</v>
      </c>
      <c r="AN232" s="214">
        <f t="shared" ref="AN232:AN233" si="294">IF(D232="ШТ",кол_во_инд.__упак_к*итого_г_у,ROUNDDOWN(номин.вес_нетто_г_у__кг*итого_г_у,1))</f>
        <v>665.6</v>
      </c>
      <c r="AO232" s="204">
        <f t="shared" si="234"/>
        <v>1569</v>
      </c>
    </row>
    <row r="233" spans="1:41" ht="63.75" customHeight="1" x14ac:dyDescent="0.2">
      <c r="A233" s="22">
        <f t="shared" si="235"/>
        <v>7516</v>
      </c>
      <c r="B233" s="116">
        <v>1001307107516</v>
      </c>
      <c r="C233" s="70" t="s">
        <v>1636</v>
      </c>
      <c r="D233" s="50" t="s">
        <v>4</v>
      </c>
      <c r="E233" s="146" t="s">
        <v>373</v>
      </c>
      <c r="F233" s="112" t="s">
        <v>348</v>
      </c>
      <c r="G233" s="224" t="s">
        <v>2</v>
      </c>
      <c r="H233" s="49" t="s">
        <v>38</v>
      </c>
      <c r="I233" s="154" t="s">
        <v>389</v>
      </c>
      <c r="J233" s="150" t="s">
        <v>451</v>
      </c>
      <c r="K233" s="71" t="s">
        <v>1602</v>
      </c>
      <c r="L233" s="52">
        <v>14</v>
      </c>
      <c r="M233" s="53">
        <v>39</v>
      </c>
      <c r="N233" s="54">
        <v>1</v>
      </c>
      <c r="O233" s="88" t="s">
        <v>1603</v>
      </c>
      <c r="P233" s="31" t="s">
        <v>104</v>
      </c>
      <c r="Q233" s="49">
        <v>45</v>
      </c>
      <c r="R233" s="49" t="s">
        <v>44</v>
      </c>
      <c r="S233" s="243">
        <v>4630362182142</v>
      </c>
      <c r="T233" s="340">
        <v>14630362182149</v>
      </c>
      <c r="U233" s="46">
        <v>4630362182142</v>
      </c>
      <c r="V233" s="46">
        <v>14630362182149</v>
      </c>
      <c r="W233" s="93">
        <v>220</v>
      </c>
      <c r="X233" s="60">
        <v>80</v>
      </c>
      <c r="Y233" s="60">
        <v>58</v>
      </c>
      <c r="Z233" s="77">
        <v>0.31</v>
      </c>
      <c r="AA233" s="271">
        <v>5.0000000000000001E-3</v>
      </c>
      <c r="AB233" s="66">
        <f t="shared" si="292"/>
        <v>0.315</v>
      </c>
      <c r="AC233" s="59">
        <v>318</v>
      </c>
      <c r="AD233" s="60">
        <v>143</v>
      </c>
      <c r="AE233" s="60">
        <v>138</v>
      </c>
      <c r="AF233" s="191">
        <v>8</v>
      </c>
      <c r="AG233" s="117">
        <v>600000407</v>
      </c>
      <c r="AH233" s="207">
        <f>справочники!$C$106</f>
        <v>9.4E-2</v>
      </c>
      <c r="AI233" s="79">
        <f t="shared" si="195"/>
        <v>2.48</v>
      </c>
      <c r="AJ233" s="124">
        <f t="shared" si="200"/>
        <v>2.6139999999999999</v>
      </c>
      <c r="AK233" s="37">
        <v>19</v>
      </c>
      <c r="AL233" s="38">
        <v>11</v>
      </c>
      <c r="AM233" s="40">
        <f t="shared" si="293"/>
        <v>209</v>
      </c>
      <c r="AN233" s="206">
        <f t="shared" si="294"/>
        <v>1672</v>
      </c>
      <c r="AO233" s="204">
        <f t="shared" si="234"/>
        <v>1663</v>
      </c>
    </row>
    <row r="234" spans="1:41" ht="216.75" x14ac:dyDescent="0.2">
      <c r="A234" s="22">
        <f t="shared" si="235"/>
        <v>7277</v>
      </c>
      <c r="B234" s="116">
        <v>1001306697277</v>
      </c>
      <c r="C234" s="70" t="s">
        <v>1244</v>
      </c>
      <c r="D234" s="50" t="s">
        <v>4</v>
      </c>
      <c r="E234" s="146" t="s">
        <v>373</v>
      </c>
      <c r="F234" s="112" t="s">
        <v>348</v>
      </c>
      <c r="G234" s="224" t="s">
        <v>6</v>
      </c>
      <c r="H234" s="49" t="s">
        <v>38</v>
      </c>
      <c r="I234" s="154" t="s">
        <v>393</v>
      </c>
      <c r="J234" s="151" t="s">
        <v>403</v>
      </c>
      <c r="K234" s="51" t="s">
        <v>1863</v>
      </c>
      <c r="L234" s="52">
        <v>13</v>
      </c>
      <c r="M234" s="53">
        <v>19</v>
      </c>
      <c r="N234" s="53">
        <v>5</v>
      </c>
      <c r="O234" s="88" t="s">
        <v>1853</v>
      </c>
      <c r="P234" s="31" t="s">
        <v>104</v>
      </c>
      <c r="Q234" s="49">
        <v>45</v>
      </c>
      <c r="R234" s="49" t="s">
        <v>51</v>
      </c>
      <c r="S234" s="243">
        <v>4607958079537</v>
      </c>
      <c r="T234" s="340">
        <v>14607958079534</v>
      </c>
      <c r="U234" s="46">
        <v>4607958079537</v>
      </c>
      <c r="V234" s="46">
        <v>14607958079534</v>
      </c>
      <c r="W234" s="93">
        <v>220</v>
      </c>
      <c r="X234" s="60">
        <v>80</v>
      </c>
      <c r="Y234" s="60">
        <v>66</v>
      </c>
      <c r="Z234" s="77">
        <v>0.42</v>
      </c>
      <c r="AA234" s="271">
        <v>5.0000000000000001E-3</v>
      </c>
      <c r="AB234" s="66">
        <f t="shared" si="281"/>
        <v>0.42499999999999999</v>
      </c>
      <c r="AC234" s="75">
        <v>278</v>
      </c>
      <c r="AD234" s="76">
        <v>193</v>
      </c>
      <c r="AE234" s="76">
        <v>138</v>
      </c>
      <c r="AF234" s="192">
        <v>8</v>
      </c>
      <c r="AG234" s="117">
        <v>600000404</v>
      </c>
      <c r="AH234" s="104">
        <f>справочники!$C$101</f>
        <v>0.105</v>
      </c>
      <c r="AI234" s="126">
        <f t="shared" si="195"/>
        <v>3.36</v>
      </c>
      <c r="AJ234" s="124">
        <f t="shared" si="200"/>
        <v>3.5049999999999999</v>
      </c>
      <c r="AK234" s="37">
        <v>16</v>
      </c>
      <c r="AL234" s="38">
        <v>11</v>
      </c>
      <c r="AM234" s="40">
        <f t="shared" si="288"/>
        <v>176</v>
      </c>
      <c r="AN234" s="206">
        <f t="shared" ref="AN234:AN252" si="295">IF(D234="ШТ",кол_во_инд.__упак_к*итого_г_у,ROUNDDOWN(номин.вес_нетто_г_у__кг*итого_г_у,1))</f>
        <v>1408</v>
      </c>
      <c r="AO234" s="204">
        <f t="shared" si="206"/>
        <v>1663</v>
      </c>
    </row>
    <row r="235" spans="1:41" ht="191.25" x14ac:dyDescent="0.2">
      <c r="A235" s="22">
        <f t="shared" si="235"/>
        <v>7294</v>
      </c>
      <c r="B235" s="116">
        <v>1001301957294</v>
      </c>
      <c r="C235" s="70" t="s">
        <v>1260</v>
      </c>
      <c r="D235" s="50" t="s">
        <v>4</v>
      </c>
      <c r="E235" s="146" t="s">
        <v>373</v>
      </c>
      <c r="F235" s="112" t="s">
        <v>348</v>
      </c>
      <c r="G235" s="224" t="s">
        <v>6</v>
      </c>
      <c r="H235" s="58" t="s">
        <v>38</v>
      </c>
      <c r="I235" s="154" t="s">
        <v>389</v>
      </c>
      <c r="J235" s="150" t="s">
        <v>451</v>
      </c>
      <c r="K235" s="71" t="s">
        <v>1870</v>
      </c>
      <c r="L235" s="52">
        <v>12</v>
      </c>
      <c r="M235" s="53">
        <v>20</v>
      </c>
      <c r="N235" s="53">
        <v>5</v>
      </c>
      <c r="O235" s="88" t="s">
        <v>1862</v>
      </c>
      <c r="P235" s="31" t="s">
        <v>104</v>
      </c>
      <c r="Q235" s="49">
        <v>55</v>
      </c>
      <c r="R235" s="82" t="s">
        <v>44</v>
      </c>
      <c r="S235" s="243">
        <v>4607958071197</v>
      </c>
      <c r="T235" s="340">
        <v>14607958071194</v>
      </c>
      <c r="U235" s="46">
        <v>4607958071197</v>
      </c>
      <c r="V235" s="46">
        <v>14607958071194</v>
      </c>
      <c r="W235" s="93">
        <v>220</v>
      </c>
      <c r="X235" s="60">
        <v>80</v>
      </c>
      <c r="Y235" s="60">
        <v>66</v>
      </c>
      <c r="Z235" s="65">
        <v>0.42</v>
      </c>
      <c r="AA235" s="271">
        <v>5.0000000000000001E-3</v>
      </c>
      <c r="AB235" s="66">
        <f t="shared" ref="AB235:AB239" si="296">Z235+AA235</f>
        <v>0.42499999999999999</v>
      </c>
      <c r="AC235" s="59">
        <v>278</v>
      </c>
      <c r="AD235" s="60">
        <v>193</v>
      </c>
      <c r="AE235" s="60">
        <v>138</v>
      </c>
      <c r="AF235" s="191">
        <v>8</v>
      </c>
      <c r="AG235" s="117">
        <v>600000404</v>
      </c>
      <c r="AH235" s="104">
        <f>справочники!$C$101</f>
        <v>0.105</v>
      </c>
      <c r="AI235" s="61">
        <f t="shared" ref="AI235:AI260" si="297">ROUNDDOWN(номин.вес_нетто__кг*кол_во_инд.__упак_к,2)</f>
        <v>3.36</v>
      </c>
      <c r="AJ235" s="122">
        <f t="shared" ref="AJ235:AJ260" si="298">(номин.вес_брутто__кг*кол_во_инд.__упак_к)+вес_короба__кг</f>
        <v>3.5049999999999999</v>
      </c>
      <c r="AK235" s="37">
        <v>16</v>
      </c>
      <c r="AL235" s="38">
        <v>10</v>
      </c>
      <c r="AM235" s="40">
        <f t="shared" ref="AM235:AM239" si="299">AK235*AL235</f>
        <v>160</v>
      </c>
      <c r="AN235" s="206">
        <f t="shared" ref="AN235:AN239" si="300">IF(D235="ШТ",кол_во_инд.__упак_к*итого_г_у,ROUNDDOWN(номин.вес_нетто_г_у__кг*итого_г_у,1))</f>
        <v>1280</v>
      </c>
      <c r="AO235" s="204">
        <f t="shared" si="234"/>
        <v>1525</v>
      </c>
    </row>
    <row r="236" spans="1:41" ht="191.25" x14ac:dyDescent="0.2">
      <c r="A236" s="22">
        <f t="shared" si="235"/>
        <v>7418</v>
      </c>
      <c r="B236" s="116">
        <v>1001307137418</v>
      </c>
      <c r="C236" s="70" t="s">
        <v>1604</v>
      </c>
      <c r="D236" s="81" t="s">
        <v>3</v>
      </c>
      <c r="E236" s="146" t="s">
        <v>373</v>
      </c>
      <c r="F236" s="112" t="s">
        <v>348</v>
      </c>
      <c r="G236" s="224" t="s">
        <v>2</v>
      </c>
      <c r="H236" s="58" t="s">
        <v>1610</v>
      </c>
      <c r="I236" s="154" t="s">
        <v>389</v>
      </c>
      <c r="J236" s="150" t="s">
        <v>451</v>
      </c>
      <c r="K236" s="71" t="s">
        <v>1605</v>
      </c>
      <c r="L236" s="52">
        <v>18</v>
      </c>
      <c r="M236" s="53">
        <v>36</v>
      </c>
      <c r="N236" s="54">
        <v>2</v>
      </c>
      <c r="O236" s="88" t="s">
        <v>1606</v>
      </c>
      <c r="P236" s="31" t="s">
        <v>104</v>
      </c>
      <c r="Q236" s="87">
        <v>45</v>
      </c>
      <c r="R236" s="49" t="s">
        <v>44</v>
      </c>
      <c r="S236" s="237">
        <v>2800500000009</v>
      </c>
      <c r="T236" s="332">
        <v>12800500000006</v>
      </c>
      <c r="U236" s="46">
        <v>4630362182623</v>
      </c>
      <c r="V236" s="46">
        <v>14630362182620</v>
      </c>
      <c r="W236" s="258">
        <v>340</v>
      </c>
      <c r="X236" s="68">
        <v>145</v>
      </c>
      <c r="Y236" s="68">
        <v>85</v>
      </c>
      <c r="Z236" s="77">
        <v>1.35</v>
      </c>
      <c r="AA236" s="271">
        <v>8.0000000000000002E-3</v>
      </c>
      <c r="AB236" s="66">
        <f t="shared" si="296"/>
        <v>1.3580000000000001</v>
      </c>
      <c r="AC236" s="59">
        <v>292</v>
      </c>
      <c r="AD236" s="60">
        <v>178</v>
      </c>
      <c r="AE236" s="60">
        <v>178</v>
      </c>
      <c r="AF236" s="191">
        <v>3</v>
      </c>
      <c r="AG236" s="117">
        <v>600000029</v>
      </c>
      <c r="AH236" s="104">
        <f>справочники!$C$21</f>
        <v>0.125</v>
      </c>
      <c r="AI236" s="61">
        <f t="shared" si="195"/>
        <v>4.05</v>
      </c>
      <c r="AJ236" s="122">
        <f t="shared" si="200"/>
        <v>4.1989999999999998</v>
      </c>
      <c r="AK236" s="37">
        <v>16</v>
      </c>
      <c r="AL236" s="38">
        <v>8</v>
      </c>
      <c r="AM236" s="40">
        <f t="shared" si="299"/>
        <v>128</v>
      </c>
      <c r="AN236" s="214">
        <f t="shared" si="300"/>
        <v>518.4</v>
      </c>
      <c r="AO236" s="204">
        <f t="shared" si="234"/>
        <v>1569</v>
      </c>
    </row>
    <row r="237" spans="1:41" ht="129" customHeight="1" x14ac:dyDescent="0.2">
      <c r="A237" s="22">
        <f t="shared" si="235"/>
        <v>7472</v>
      </c>
      <c r="B237" s="116">
        <v>1001306717472</v>
      </c>
      <c r="C237" s="48" t="s">
        <v>1541</v>
      </c>
      <c r="D237" s="49" t="s">
        <v>3</v>
      </c>
      <c r="E237" s="146" t="s">
        <v>373</v>
      </c>
      <c r="F237" s="112" t="s">
        <v>348</v>
      </c>
      <c r="G237" s="224" t="s">
        <v>2</v>
      </c>
      <c r="H237" s="58" t="s">
        <v>38</v>
      </c>
      <c r="I237" s="154" t="s">
        <v>389</v>
      </c>
      <c r="J237" s="150" t="s">
        <v>451</v>
      </c>
      <c r="K237" s="71" t="s">
        <v>1542</v>
      </c>
      <c r="L237" s="52">
        <v>13</v>
      </c>
      <c r="M237" s="53">
        <v>28</v>
      </c>
      <c r="N237" s="53">
        <v>1</v>
      </c>
      <c r="O237" s="88" t="s">
        <v>1543</v>
      </c>
      <c r="P237" s="31" t="s">
        <v>104</v>
      </c>
      <c r="Q237" s="49">
        <v>5</v>
      </c>
      <c r="R237" s="56"/>
      <c r="S237" s="120">
        <v>2800593000009</v>
      </c>
      <c r="T237" s="342">
        <v>12800593000006</v>
      </c>
      <c r="U237" s="46" t="s">
        <v>1874</v>
      </c>
      <c r="V237" s="46" t="s">
        <v>1874</v>
      </c>
      <c r="W237" s="93"/>
      <c r="X237" s="60"/>
      <c r="Y237" s="60"/>
      <c r="Z237" s="77">
        <v>6</v>
      </c>
      <c r="AA237" s="271">
        <v>0</v>
      </c>
      <c r="AB237" s="66">
        <f t="shared" si="296"/>
        <v>6</v>
      </c>
      <c r="AC237" s="67">
        <v>1020</v>
      </c>
      <c r="AD237" s="68">
        <v>205</v>
      </c>
      <c r="AE237" s="68">
        <v>205</v>
      </c>
      <c r="AF237" s="194">
        <v>4</v>
      </c>
      <c r="AG237" s="117">
        <v>600000578</v>
      </c>
      <c r="AH237" s="105">
        <f>справочники!$C$187</f>
        <v>0.65</v>
      </c>
      <c r="AI237" s="61">
        <f t="shared" si="297"/>
        <v>24</v>
      </c>
      <c r="AJ237" s="123">
        <f t="shared" si="298"/>
        <v>24.65</v>
      </c>
      <c r="AK237" s="33">
        <v>3</v>
      </c>
      <c r="AL237" s="34">
        <v>6</v>
      </c>
      <c r="AM237" s="40">
        <f t="shared" si="299"/>
        <v>18</v>
      </c>
      <c r="AN237" s="214">
        <f t="shared" si="300"/>
        <v>432</v>
      </c>
      <c r="AO237" s="204">
        <f t="shared" si="234"/>
        <v>1375</v>
      </c>
    </row>
    <row r="238" spans="1:41" ht="204" x14ac:dyDescent="0.2">
      <c r="A238" s="22">
        <f t="shared" si="235"/>
        <v>7610</v>
      </c>
      <c r="B238" s="116">
        <v>1001306717610</v>
      </c>
      <c r="C238" s="70" t="s">
        <v>1831</v>
      </c>
      <c r="D238" s="50" t="s">
        <v>4</v>
      </c>
      <c r="E238" s="146" t="s">
        <v>373</v>
      </c>
      <c r="F238" s="112" t="s">
        <v>348</v>
      </c>
      <c r="G238" s="224" t="s">
        <v>2</v>
      </c>
      <c r="H238" s="58" t="s">
        <v>1</v>
      </c>
      <c r="I238" s="154" t="s">
        <v>389</v>
      </c>
      <c r="J238" s="151" t="s">
        <v>451</v>
      </c>
      <c r="K238" s="71" t="s">
        <v>1790</v>
      </c>
      <c r="L238" s="52">
        <v>14</v>
      </c>
      <c r="M238" s="53">
        <v>25</v>
      </c>
      <c r="N238" s="53">
        <v>4</v>
      </c>
      <c r="O238" s="88" t="s">
        <v>1791</v>
      </c>
      <c r="P238" s="31" t="s">
        <v>104</v>
      </c>
      <c r="Q238" s="49">
        <v>45</v>
      </c>
      <c r="R238" s="49" t="s">
        <v>44</v>
      </c>
      <c r="S238" s="237">
        <v>4630362180971</v>
      </c>
      <c r="T238" s="332">
        <v>14630362180978</v>
      </c>
      <c r="U238" s="46">
        <v>4630362180971</v>
      </c>
      <c r="V238" s="46">
        <v>14630362180978</v>
      </c>
      <c r="W238" s="258"/>
      <c r="X238" s="68"/>
      <c r="Y238" s="68"/>
      <c r="Z238" s="65">
        <v>0.1</v>
      </c>
      <c r="AA238" s="271">
        <v>1.2999999999999999E-2</v>
      </c>
      <c r="AB238" s="66">
        <f t="shared" ref="AB238" si="301">Z238+AA238</f>
        <v>0.113</v>
      </c>
      <c r="AC238" s="59">
        <v>204</v>
      </c>
      <c r="AD238" s="60">
        <v>147</v>
      </c>
      <c r="AE238" s="60">
        <v>150</v>
      </c>
      <c r="AF238" s="191">
        <v>10</v>
      </c>
      <c r="AG238" s="117">
        <v>600000602</v>
      </c>
      <c r="AH238" s="104">
        <f>справочники!$C$192</f>
        <v>8.5000000000000006E-2</v>
      </c>
      <c r="AI238" s="61">
        <f t="shared" si="297"/>
        <v>1</v>
      </c>
      <c r="AJ238" s="122">
        <f t="shared" si="298"/>
        <v>1.2150000000000001</v>
      </c>
      <c r="AK238" s="37">
        <v>30</v>
      </c>
      <c r="AL238" s="38">
        <v>11</v>
      </c>
      <c r="AM238" s="40">
        <f t="shared" ref="AM238" si="302">AK238*AL238</f>
        <v>330</v>
      </c>
      <c r="AN238" s="206">
        <f t="shared" ref="AN238" si="303">IF(D238="ШТ",кол_во_инд.__упак_к*итого_г_у,ROUNDDOWN(номин.вес_нетто_г_у__кг*итого_г_у,1))</f>
        <v>3300</v>
      </c>
      <c r="AO238" s="204">
        <f t="shared" si="206"/>
        <v>1795</v>
      </c>
    </row>
    <row r="239" spans="1:41" ht="153" x14ac:dyDescent="0.2">
      <c r="A239" s="22">
        <f t="shared" si="235"/>
        <v>7360</v>
      </c>
      <c r="B239" s="116">
        <v>1001306927360</v>
      </c>
      <c r="C239" s="70" t="s">
        <v>1362</v>
      </c>
      <c r="D239" s="81" t="s">
        <v>4</v>
      </c>
      <c r="E239" s="146" t="s">
        <v>373</v>
      </c>
      <c r="F239" s="112" t="s">
        <v>348</v>
      </c>
      <c r="G239" s="224" t="s">
        <v>520</v>
      </c>
      <c r="H239" s="58" t="s">
        <v>38</v>
      </c>
      <c r="I239" s="154" t="s">
        <v>393</v>
      </c>
      <c r="J239" s="151" t="s">
        <v>402</v>
      </c>
      <c r="K239" s="71" t="s">
        <v>1363</v>
      </c>
      <c r="L239" s="52">
        <v>12</v>
      </c>
      <c r="M239" s="53">
        <v>20</v>
      </c>
      <c r="N239" s="54">
        <v>3</v>
      </c>
      <c r="O239" s="88" t="s">
        <v>210</v>
      </c>
      <c r="P239" s="31" t="s">
        <v>104</v>
      </c>
      <c r="Q239" s="87">
        <v>45</v>
      </c>
      <c r="R239" s="49" t="s">
        <v>44</v>
      </c>
      <c r="S239" s="237">
        <v>4630362180124</v>
      </c>
      <c r="T239" s="332">
        <v>14630362180121</v>
      </c>
      <c r="U239" s="46">
        <v>4630362180124</v>
      </c>
      <c r="V239" s="46">
        <v>14630362180121</v>
      </c>
      <c r="W239" s="258">
        <v>324</v>
      </c>
      <c r="X239" s="68">
        <v>85</v>
      </c>
      <c r="Y239" s="68">
        <v>56</v>
      </c>
      <c r="Z239" s="77">
        <v>0.65</v>
      </c>
      <c r="AA239" s="271">
        <v>8.0000000000000002E-3</v>
      </c>
      <c r="AB239" s="66">
        <f t="shared" si="296"/>
        <v>0.65800000000000003</v>
      </c>
      <c r="AC239" s="59">
        <v>315</v>
      </c>
      <c r="AD239" s="60">
        <v>168</v>
      </c>
      <c r="AE239" s="60">
        <v>248</v>
      </c>
      <c r="AF239" s="191">
        <v>10</v>
      </c>
      <c r="AG239" s="117">
        <v>600000429</v>
      </c>
      <c r="AH239" s="104">
        <f>справочники!$C$115</f>
        <v>0.14299999999999999</v>
      </c>
      <c r="AI239" s="61">
        <f t="shared" si="297"/>
        <v>6.5</v>
      </c>
      <c r="AJ239" s="124">
        <f t="shared" si="298"/>
        <v>6.7229999999999999</v>
      </c>
      <c r="AK239" s="37">
        <v>17</v>
      </c>
      <c r="AL239" s="38">
        <v>6</v>
      </c>
      <c r="AM239" s="40">
        <f t="shared" si="299"/>
        <v>102</v>
      </c>
      <c r="AN239" s="206">
        <f t="shared" si="300"/>
        <v>1020</v>
      </c>
      <c r="AO239" s="204">
        <f t="shared" si="234"/>
        <v>1633</v>
      </c>
    </row>
    <row r="240" spans="1:41" ht="178.5" x14ac:dyDescent="0.2">
      <c r="A240" s="22">
        <f t="shared" si="235"/>
        <v>7161</v>
      </c>
      <c r="B240" s="116">
        <v>1001305627161</v>
      </c>
      <c r="C240" s="48" t="s">
        <v>1131</v>
      </c>
      <c r="D240" s="49" t="s">
        <v>4</v>
      </c>
      <c r="E240" s="146" t="s">
        <v>373</v>
      </c>
      <c r="F240" s="112" t="s">
        <v>348</v>
      </c>
      <c r="G240" s="224" t="s">
        <v>6</v>
      </c>
      <c r="H240" s="58" t="s">
        <v>38</v>
      </c>
      <c r="I240" s="154" t="s">
        <v>389</v>
      </c>
      <c r="J240" s="151" t="s">
        <v>451</v>
      </c>
      <c r="K240" s="51" t="s">
        <v>817</v>
      </c>
      <c r="L240" s="52">
        <v>13</v>
      </c>
      <c r="M240" s="53">
        <v>20</v>
      </c>
      <c r="N240" s="54"/>
      <c r="O240" s="88" t="s">
        <v>40</v>
      </c>
      <c r="P240" s="31" t="s">
        <v>104</v>
      </c>
      <c r="Q240" s="87">
        <v>50</v>
      </c>
      <c r="R240" s="49" t="s">
        <v>44</v>
      </c>
      <c r="S240" s="237">
        <v>4607958077601</v>
      </c>
      <c r="T240" s="332">
        <v>14607958077608</v>
      </c>
      <c r="U240" s="46">
        <v>4607958077601</v>
      </c>
      <c r="V240" s="46">
        <v>14607958077608</v>
      </c>
      <c r="W240" s="93">
        <v>300</v>
      </c>
      <c r="X240" s="60">
        <v>79</v>
      </c>
      <c r="Y240" s="68">
        <v>66</v>
      </c>
      <c r="Z240" s="77">
        <v>0.84</v>
      </c>
      <c r="AA240" s="271">
        <v>8.0000000000000002E-3</v>
      </c>
      <c r="AB240" s="66">
        <f t="shared" ref="AB240" si="304">Z240+AA240</f>
        <v>0.84799999999999998</v>
      </c>
      <c r="AC240" s="59">
        <v>292</v>
      </c>
      <c r="AD240" s="60">
        <v>178</v>
      </c>
      <c r="AE240" s="60">
        <v>178</v>
      </c>
      <c r="AF240" s="191">
        <v>6</v>
      </c>
      <c r="AG240" s="117">
        <v>600000029</v>
      </c>
      <c r="AH240" s="104">
        <f>справочники!$C$21</f>
        <v>0.125</v>
      </c>
      <c r="AI240" s="61">
        <f t="shared" si="297"/>
        <v>5.04</v>
      </c>
      <c r="AJ240" s="122">
        <f t="shared" si="298"/>
        <v>5.2130000000000001</v>
      </c>
      <c r="AK240" s="37">
        <v>16</v>
      </c>
      <c r="AL240" s="38">
        <v>8</v>
      </c>
      <c r="AM240" s="40">
        <f t="shared" ref="AM240" si="305">AK240*AL240</f>
        <v>128</v>
      </c>
      <c r="AN240" s="206">
        <f t="shared" ref="AN240" si="306">IF(D240="ШТ",кол_во_инд.__упак_к*итого_г_у,ROUNDDOWN(номин.вес_нетто_г_у__кг*итого_г_у,1))</f>
        <v>768</v>
      </c>
      <c r="AO240" s="204">
        <f t="shared" si="234"/>
        <v>1569</v>
      </c>
    </row>
    <row r="241" spans="1:41" ht="133.9" customHeight="1" x14ac:dyDescent="0.2">
      <c r="A241" s="22">
        <f t="shared" si="235"/>
        <v>7505</v>
      </c>
      <c r="B241" s="116">
        <v>1001305627505</v>
      </c>
      <c r="C241" s="70" t="s">
        <v>1833</v>
      </c>
      <c r="D241" s="81" t="s">
        <v>4</v>
      </c>
      <c r="E241" s="146" t="s">
        <v>373</v>
      </c>
      <c r="F241" s="112" t="s">
        <v>348</v>
      </c>
      <c r="G241" s="224" t="s">
        <v>5</v>
      </c>
      <c r="H241" s="58" t="s">
        <v>38</v>
      </c>
      <c r="I241" s="154" t="s">
        <v>1834</v>
      </c>
      <c r="J241" s="150" t="s">
        <v>1481</v>
      </c>
      <c r="K241" s="71" t="s">
        <v>1835</v>
      </c>
      <c r="L241" s="52">
        <v>12</v>
      </c>
      <c r="M241" s="53">
        <v>15</v>
      </c>
      <c r="N241" s="54">
        <v>4</v>
      </c>
      <c r="O241" s="88" t="s">
        <v>1836</v>
      </c>
      <c r="P241" s="31" t="s">
        <v>104</v>
      </c>
      <c r="Q241" s="49">
        <v>45</v>
      </c>
      <c r="R241" s="49" t="s">
        <v>51</v>
      </c>
      <c r="S241" s="237">
        <v>4630362182401</v>
      </c>
      <c r="T241" s="332">
        <v>14630362182408</v>
      </c>
      <c r="U241" s="46">
        <v>4630362182401</v>
      </c>
      <c r="V241" s="46">
        <v>14630362182408</v>
      </c>
      <c r="W241" s="258">
        <v>220</v>
      </c>
      <c r="X241" s="68">
        <v>80</v>
      </c>
      <c r="Y241" s="68">
        <v>54</v>
      </c>
      <c r="Z241" s="77">
        <v>0.28000000000000003</v>
      </c>
      <c r="AA241" s="271">
        <v>5.0000000000000001E-3</v>
      </c>
      <c r="AB241" s="66">
        <f t="shared" ref="AB241:AB242" si="307">Z241+AA241</f>
        <v>0.28500000000000003</v>
      </c>
      <c r="AC241" s="59">
        <v>318</v>
      </c>
      <c r="AD241" s="60">
        <v>143</v>
      </c>
      <c r="AE241" s="60">
        <v>138</v>
      </c>
      <c r="AF241" s="191">
        <v>8</v>
      </c>
      <c r="AG241" s="117">
        <v>600000407</v>
      </c>
      <c r="AH241" s="104">
        <f>справочники!$C$106</f>
        <v>9.4E-2</v>
      </c>
      <c r="AI241" s="61">
        <f t="shared" si="297"/>
        <v>2.2400000000000002</v>
      </c>
      <c r="AJ241" s="124">
        <f t="shared" si="298"/>
        <v>2.3740000000000001</v>
      </c>
      <c r="AK241" s="37">
        <v>19</v>
      </c>
      <c r="AL241" s="38">
        <v>11</v>
      </c>
      <c r="AM241" s="40">
        <f t="shared" ref="AM241:AM242" si="308">AK241*AL241</f>
        <v>209</v>
      </c>
      <c r="AN241" s="206">
        <f t="shared" ref="AN241:AN242" si="309">IF(D241="ШТ",кол_во_инд.__упак_к*итого_г_у,ROUNDDOWN(номин.вес_нетто_г_у__кг*итого_г_у,1))</f>
        <v>1672</v>
      </c>
      <c r="AO241" s="204">
        <f t="shared" si="234"/>
        <v>1663</v>
      </c>
    </row>
    <row r="242" spans="1:41" ht="114.75" customHeight="1" x14ac:dyDescent="0.2">
      <c r="A242" s="22">
        <f t="shared" si="235"/>
        <v>7362</v>
      </c>
      <c r="B242" s="116">
        <v>1001300367362</v>
      </c>
      <c r="C242" s="48" t="s">
        <v>1360</v>
      </c>
      <c r="D242" s="49" t="s">
        <v>4</v>
      </c>
      <c r="E242" s="146" t="s">
        <v>373</v>
      </c>
      <c r="F242" s="112" t="s">
        <v>348</v>
      </c>
      <c r="G242" s="224" t="s">
        <v>520</v>
      </c>
      <c r="H242" s="58" t="s">
        <v>38</v>
      </c>
      <c r="I242" s="154" t="s">
        <v>389</v>
      </c>
      <c r="J242" s="150" t="s">
        <v>451</v>
      </c>
      <c r="K242" s="71" t="s">
        <v>1340</v>
      </c>
      <c r="L242" s="72">
        <v>11</v>
      </c>
      <c r="M242" s="73">
        <v>21</v>
      </c>
      <c r="N242" s="74">
        <v>0</v>
      </c>
      <c r="O242" s="89" t="s">
        <v>845</v>
      </c>
      <c r="P242" s="31" t="s">
        <v>104</v>
      </c>
      <c r="Q242" s="87">
        <v>45</v>
      </c>
      <c r="R242" s="49" t="s">
        <v>44</v>
      </c>
      <c r="S242" s="237">
        <v>4606068935085</v>
      </c>
      <c r="T242" s="332">
        <v>14606068935082</v>
      </c>
      <c r="U242" s="46">
        <v>4630362182692</v>
      </c>
      <c r="V242" s="46">
        <v>14630362182699</v>
      </c>
      <c r="W242" s="258">
        <v>220</v>
      </c>
      <c r="X242" s="68">
        <v>80</v>
      </c>
      <c r="Y242" s="68">
        <v>58</v>
      </c>
      <c r="Z242" s="77">
        <v>0.35</v>
      </c>
      <c r="AA242" s="271">
        <v>5.0000000000000001E-3</v>
      </c>
      <c r="AB242" s="66">
        <f t="shared" si="307"/>
        <v>0.35499999999999998</v>
      </c>
      <c r="AC242" s="59">
        <v>318</v>
      </c>
      <c r="AD242" s="60">
        <v>143</v>
      </c>
      <c r="AE242" s="60">
        <v>138</v>
      </c>
      <c r="AF242" s="191">
        <v>8</v>
      </c>
      <c r="AG242" s="117">
        <v>600000407</v>
      </c>
      <c r="AH242" s="104">
        <f>справочники!$C$106</f>
        <v>9.4E-2</v>
      </c>
      <c r="AI242" s="61">
        <f t="shared" si="297"/>
        <v>2.8</v>
      </c>
      <c r="AJ242" s="122">
        <f t="shared" si="298"/>
        <v>2.9339999999999997</v>
      </c>
      <c r="AK242" s="37">
        <v>19</v>
      </c>
      <c r="AL242" s="38">
        <v>11</v>
      </c>
      <c r="AM242" s="40">
        <f t="shared" si="308"/>
        <v>209</v>
      </c>
      <c r="AN242" s="206">
        <f t="shared" si="309"/>
        <v>1672</v>
      </c>
      <c r="AO242" s="204">
        <f t="shared" si="234"/>
        <v>1663</v>
      </c>
    </row>
    <row r="243" spans="1:41" ht="191.25" x14ac:dyDescent="0.2">
      <c r="A243" s="22">
        <f t="shared" si="235"/>
        <v>6807</v>
      </c>
      <c r="B243" s="116">
        <v>1001300366807</v>
      </c>
      <c r="C243" s="48" t="s">
        <v>793</v>
      </c>
      <c r="D243" s="49" t="s">
        <v>4</v>
      </c>
      <c r="E243" s="146" t="s">
        <v>373</v>
      </c>
      <c r="F243" s="112" t="s">
        <v>348</v>
      </c>
      <c r="G243" s="224" t="s">
        <v>2</v>
      </c>
      <c r="H243" s="58" t="s">
        <v>38</v>
      </c>
      <c r="I243" s="154" t="s">
        <v>389</v>
      </c>
      <c r="J243" s="150" t="s">
        <v>451</v>
      </c>
      <c r="K243" s="71" t="s">
        <v>1162</v>
      </c>
      <c r="L243" s="72">
        <v>14</v>
      </c>
      <c r="M243" s="73">
        <v>24</v>
      </c>
      <c r="N243" s="74">
        <v>2</v>
      </c>
      <c r="O243" s="89" t="s">
        <v>674</v>
      </c>
      <c r="P243" s="31" t="s">
        <v>104</v>
      </c>
      <c r="Q243" s="87">
        <v>45</v>
      </c>
      <c r="R243" s="87" t="s">
        <v>44</v>
      </c>
      <c r="S243" s="237">
        <v>4607958077427</v>
      </c>
      <c r="T243" s="332">
        <v>14607958077424</v>
      </c>
      <c r="U243" s="46">
        <v>4607958077427</v>
      </c>
      <c r="V243" s="46">
        <v>14607958077424</v>
      </c>
      <c r="W243" s="258">
        <v>220</v>
      </c>
      <c r="X243" s="68">
        <v>80</v>
      </c>
      <c r="Y243" s="68">
        <v>58</v>
      </c>
      <c r="Z243" s="77">
        <v>0.33</v>
      </c>
      <c r="AA243" s="271">
        <v>5.0000000000000001E-3</v>
      </c>
      <c r="AB243" s="66">
        <f t="shared" si="281"/>
        <v>0.33500000000000002</v>
      </c>
      <c r="AC243" s="59">
        <v>318</v>
      </c>
      <c r="AD243" s="60">
        <v>143</v>
      </c>
      <c r="AE243" s="60">
        <v>138</v>
      </c>
      <c r="AF243" s="191">
        <v>8</v>
      </c>
      <c r="AG243" s="117">
        <v>600000407</v>
      </c>
      <c r="AH243" s="104">
        <f>справочники!$C$106</f>
        <v>9.4E-2</v>
      </c>
      <c r="AI243" s="61">
        <f t="shared" si="297"/>
        <v>2.64</v>
      </c>
      <c r="AJ243" s="122">
        <f t="shared" si="298"/>
        <v>2.774</v>
      </c>
      <c r="AK243" s="37">
        <v>19</v>
      </c>
      <c r="AL243" s="38">
        <v>11</v>
      </c>
      <c r="AM243" s="40">
        <f t="shared" ref="AM243:AM252" si="310">AK243*AL243</f>
        <v>209</v>
      </c>
      <c r="AN243" s="206">
        <f t="shared" si="295"/>
        <v>1672</v>
      </c>
      <c r="AO243" s="204">
        <f t="shared" si="234"/>
        <v>1663</v>
      </c>
    </row>
    <row r="244" spans="1:41" ht="178.5" x14ac:dyDescent="0.2">
      <c r="A244" s="22">
        <f t="shared" si="235"/>
        <v>6806</v>
      </c>
      <c r="B244" s="116">
        <v>1001300366806</v>
      </c>
      <c r="C244" s="48" t="s">
        <v>794</v>
      </c>
      <c r="D244" s="49" t="s">
        <v>4</v>
      </c>
      <c r="E244" s="146" t="s">
        <v>373</v>
      </c>
      <c r="F244" s="112" t="s">
        <v>348</v>
      </c>
      <c r="G244" s="224" t="s">
        <v>2</v>
      </c>
      <c r="H244" s="58" t="s">
        <v>38</v>
      </c>
      <c r="I244" s="154" t="s">
        <v>389</v>
      </c>
      <c r="J244" s="150" t="s">
        <v>451</v>
      </c>
      <c r="K244" s="71" t="s">
        <v>928</v>
      </c>
      <c r="L244" s="72">
        <v>14</v>
      </c>
      <c r="M244" s="73">
        <v>24</v>
      </c>
      <c r="N244" s="74">
        <v>2</v>
      </c>
      <c r="O244" s="89" t="s">
        <v>674</v>
      </c>
      <c r="P244" s="31" t="s">
        <v>104</v>
      </c>
      <c r="Q244" s="87">
        <v>45</v>
      </c>
      <c r="R244" s="49" t="s">
        <v>44</v>
      </c>
      <c r="S244" s="239">
        <v>4607958077533</v>
      </c>
      <c r="T244" s="344">
        <v>14607958077530</v>
      </c>
      <c r="U244" s="46">
        <v>4607958077533</v>
      </c>
      <c r="V244" s="46">
        <v>14607958077530</v>
      </c>
      <c r="W244" s="258">
        <v>300</v>
      </c>
      <c r="X244" s="68">
        <v>79</v>
      </c>
      <c r="Y244" s="68">
        <v>58</v>
      </c>
      <c r="Z244" s="77">
        <v>0.66</v>
      </c>
      <c r="AA244" s="271">
        <v>8.0000000000000002E-3</v>
      </c>
      <c r="AB244" s="66">
        <f t="shared" si="281"/>
        <v>0.66800000000000004</v>
      </c>
      <c r="AC244" s="59">
        <v>292</v>
      </c>
      <c r="AD244" s="60">
        <v>178</v>
      </c>
      <c r="AE244" s="60">
        <v>178</v>
      </c>
      <c r="AF244" s="191">
        <v>8</v>
      </c>
      <c r="AG244" s="117">
        <v>600000029</v>
      </c>
      <c r="AH244" s="104">
        <f>справочники!$C$21</f>
        <v>0.125</v>
      </c>
      <c r="AI244" s="61">
        <f t="shared" si="297"/>
        <v>5.28</v>
      </c>
      <c r="AJ244" s="122">
        <f t="shared" si="298"/>
        <v>5.4690000000000003</v>
      </c>
      <c r="AK244" s="37">
        <v>16</v>
      </c>
      <c r="AL244" s="38">
        <v>8</v>
      </c>
      <c r="AM244" s="40">
        <f t="shared" si="310"/>
        <v>128</v>
      </c>
      <c r="AN244" s="206">
        <f t="shared" si="295"/>
        <v>1024</v>
      </c>
      <c r="AO244" s="204">
        <f t="shared" si="234"/>
        <v>1569</v>
      </c>
    </row>
    <row r="245" spans="1:41" ht="191.25" x14ac:dyDescent="0.2">
      <c r="A245" s="22">
        <f t="shared" si="235"/>
        <v>7133</v>
      </c>
      <c r="B245" s="116">
        <v>1001300367133</v>
      </c>
      <c r="C245" s="48" t="s">
        <v>1107</v>
      </c>
      <c r="D245" s="49" t="s">
        <v>3</v>
      </c>
      <c r="E245" s="146" t="s">
        <v>373</v>
      </c>
      <c r="F245" s="112" t="s">
        <v>348</v>
      </c>
      <c r="G245" s="224" t="s">
        <v>2</v>
      </c>
      <c r="H245" s="58" t="s">
        <v>38</v>
      </c>
      <c r="I245" s="154" t="s">
        <v>389</v>
      </c>
      <c r="J245" s="150" t="s">
        <v>451</v>
      </c>
      <c r="K245" s="71" t="s">
        <v>1124</v>
      </c>
      <c r="L245" s="72">
        <v>14</v>
      </c>
      <c r="M245" s="73">
        <v>24</v>
      </c>
      <c r="N245" s="74">
        <v>2</v>
      </c>
      <c r="O245" s="89" t="s">
        <v>674</v>
      </c>
      <c r="P245" s="31" t="s">
        <v>104</v>
      </c>
      <c r="Q245" s="87">
        <v>45</v>
      </c>
      <c r="R245" s="49" t="s">
        <v>44</v>
      </c>
      <c r="S245" s="239">
        <v>2800873000002</v>
      </c>
      <c r="T245" s="344">
        <v>12800873000009</v>
      </c>
      <c r="U245" s="46">
        <v>4630362181572</v>
      </c>
      <c r="V245" s="46">
        <v>14630362181579</v>
      </c>
      <c r="W245" s="258">
        <v>300</v>
      </c>
      <c r="X245" s="68">
        <v>79</v>
      </c>
      <c r="Y245" s="68">
        <v>66</v>
      </c>
      <c r="Z245" s="77">
        <v>0.84</v>
      </c>
      <c r="AA245" s="271">
        <v>8.0000000000000002E-3</v>
      </c>
      <c r="AB245" s="66">
        <f t="shared" ref="AB245:AB246" si="311">Z245+AA245</f>
        <v>0.84799999999999998</v>
      </c>
      <c r="AC245" s="59">
        <v>292</v>
      </c>
      <c r="AD245" s="60">
        <v>178</v>
      </c>
      <c r="AE245" s="60">
        <v>178</v>
      </c>
      <c r="AF245" s="191">
        <v>6</v>
      </c>
      <c r="AG245" s="117">
        <v>600000029</v>
      </c>
      <c r="AH245" s="104">
        <f>справочники!$C$21</f>
        <v>0.125</v>
      </c>
      <c r="AI245" s="61">
        <f t="shared" si="297"/>
        <v>5.04</v>
      </c>
      <c r="AJ245" s="122">
        <f t="shared" si="298"/>
        <v>5.2130000000000001</v>
      </c>
      <c r="AK245" s="37">
        <v>16</v>
      </c>
      <c r="AL245" s="38">
        <v>8</v>
      </c>
      <c r="AM245" s="40">
        <f t="shared" ref="AM245:AM246" si="312">AK245*AL245</f>
        <v>128</v>
      </c>
      <c r="AN245" s="214">
        <f t="shared" ref="AN245:AN246" si="313">IF(D245="ШТ",кол_во_инд.__упак_к*итого_г_у,ROUNDDOWN(номин.вес_нетто_г_у__кг*итого_г_у,1))</f>
        <v>645.1</v>
      </c>
      <c r="AO245" s="204">
        <f t="shared" si="234"/>
        <v>1569</v>
      </c>
    </row>
    <row r="246" spans="1:41" ht="114.75" customHeight="1" x14ac:dyDescent="0.2">
      <c r="A246" s="22">
        <f t="shared" si="235"/>
        <v>7363</v>
      </c>
      <c r="B246" s="116">
        <v>1001300367363</v>
      </c>
      <c r="C246" s="48" t="s">
        <v>1361</v>
      </c>
      <c r="D246" s="49" t="s">
        <v>4</v>
      </c>
      <c r="E246" s="146" t="s">
        <v>373</v>
      </c>
      <c r="F246" s="112" t="s">
        <v>348</v>
      </c>
      <c r="G246" s="224" t="s">
        <v>520</v>
      </c>
      <c r="H246" s="58" t="s">
        <v>38</v>
      </c>
      <c r="I246" s="154" t="s">
        <v>389</v>
      </c>
      <c r="J246" s="150" t="s">
        <v>451</v>
      </c>
      <c r="K246" s="71" t="s">
        <v>1340</v>
      </c>
      <c r="L246" s="72">
        <v>11</v>
      </c>
      <c r="M246" s="73">
        <v>21</v>
      </c>
      <c r="N246" s="74">
        <v>0</v>
      </c>
      <c r="O246" s="89" t="s">
        <v>845</v>
      </c>
      <c r="P246" s="31" t="s">
        <v>104</v>
      </c>
      <c r="Q246" s="87">
        <v>45</v>
      </c>
      <c r="R246" s="49" t="s">
        <v>44</v>
      </c>
      <c r="S246" s="239">
        <v>4606068935078</v>
      </c>
      <c r="T246" s="344">
        <v>14606068935075</v>
      </c>
      <c r="U246" s="46">
        <v>4630362182715</v>
      </c>
      <c r="V246" s="46">
        <v>14630362182712</v>
      </c>
      <c r="W246" s="258">
        <v>300</v>
      </c>
      <c r="X246" s="68">
        <v>79</v>
      </c>
      <c r="Y246" s="68">
        <v>58</v>
      </c>
      <c r="Z246" s="77">
        <v>0.7</v>
      </c>
      <c r="AA246" s="271">
        <v>8.0000000000000002E-3</v>
      </c>
      <c r="AB246" s="66">
        <f t="shared" si="311"/>
        <v>0.70799999999999996</v>
      </c>
      <c r="AC246" s="59">
        <v>292</v>
      </c>
      <c r="AD246" s="60">
        <v>178</v>
      </c>
      <c r="AE246" s="60">
        <v>178</v>
      </c>
      <c r="AF246" s="191">
        <v>8</v>
      </c>
      <c r="AG246" s="117">
        <v>600000029</v>
      </c>
      <c r="AH246" s="104">
        <f>справочники!$C$21</f>
        <v>0.125</v>
      </c>
      <c r="AI246" s="61">
        <f t="shared" si="297"/>
        <v>5.6</v>
      </c>
      <c r="AJ246" s="122">
        <f t="shared" si="298"/>
        <v>5.7889999999999997</v>
      </c>
      <c r="AK246" s="37">
        <v>16</v>
      </c>
      <c r="AL246" s="38">
        <v>8</v>
      </c>
      <c r="AM246" s="40">
        <f t="shared" si="312"/>
        <v>128</v>
      </c>
      <c r="AN246" s="206">
        <f t="shared" si="313"/>
        <v>1024</v>
      </c>
      <c r="AO246" s="204">
        <f t="shared" si="234"/>
        <v>1569</v>
      </c>
    </row>
    <row r="247" spans="1:41" ht="242.25" x14ac:dyDescent="0.2">
      <c r="A247" s="22">
        <f t="shared" si="235"/>
        <v>5943</v>
      </c>
      <c r="B247" s="116">
        <v>1001050385943</v>
      </c>
      <c r="C247" s="70" t="s">
        <v>338</v>
      </c>
      <c r="D247" s="81" t="s">
        <v>3</v>
      </c>
      <c r="E247" s="146" t="s">
        <v>373</v>
      </c>
      <c r="F247" s="112" t="s">
        <v>348</v>
      </c>
      <c r="G247" s="224" t="s">
        <v>6</v>
      </c>
      <c r="H247" s="58" t="s">
        <v>38</v>
      </c>
      <c r="I247" s="154" t="s">
        <v>389</v>
      </c>
      <c r="J247" s="150" t="s">
        <v>451</v>
      </c>
      <c r="K247" s="71" t="s">
        <v>1845</v>
      </c>
      <c r="L247" s="52">
        <v>12</v>
      </c>
      <c r="M247" s="53">
        <v>19</v>
      </c>
      <c r="N247" s="54">
        <v>5</v>
      </c>
      <c r="O247" s="88" t="s">
        <v>610</v>
      </c>
      <c r="P247" s="31" t="s">
        <v>104</v>
      </c>
      <c r="Q247" s="49">
        <v>45</v>
      </c>
      <c r="R247" s="56" t="s">
        <v>44</v>
      </c>
      <c r="S247" s="243">
        <v>2335704000000</v>
      </c>
      <c r="T247" s="340">
        <v>12335704000007</v>
      </c>
      <c r="U247" s="46" t="s">
        <v>1874</v>
      </c>
      <c r="V247" s="46" t="s">
        <v>1874</v>
      </c>
      <c r="W247" s="93">
        <v>300</v>
      </c>
      <c r="X247" s="60">
        <v>79</v>
      </c>
      <c r="Y247" s="60">
        <v>58</v>
      </c>
      <c r="Z247" s="77">
        <v>0.7</v>
      </c>
      <c r="AA247" s="271">
        <v>8.0000000000000002E-3</v>
      </c>
      <c r="AB247" s="66">
        <f t="shared" si="281"/>
        <v>0.70799999999999996</v>
      </c>
      <c r="AC247" s="67">
        <v>292</v>
      </c>
      <c r="AD247" s="68">
        <v>178</v>
      </c>
      <c r="AE247" s="68">
        <v>178</v>
      </c>
      <c r="AF247" s="191">
        <v>8</v>
      </c>
      <c r="AG247" s="117">
        <v>600000029</v>
      </c>
      <c r="AH247" s="105">
        <f>справочники!$C$21</f>
        <v>0.125</v>
      </c>
      <c r="AI247" s="62">
        <f t="shared" si="297"/>
        <v>5.6</v>
      </c>
      <c r="AJ247" s="122">
        <f t="shared" si="298"/>
        <v>5.7889999999999997</v>
      </c>
      <c r="AK247" s="37">
        <v>16</v>
      </c>
      <c r="AL247" s="38">
        <v>8</v>
      </c>
      <c r="AM247" s="40">
        <f t="shared" si="310"/>
        <v>128</v>
      </c>
      <c r="AN247" s="214">
        <f t="shared" si="295"/>
        <v>716.8</v>
      </c>
      <c r="AO247" s="204">
        <f t="shared" si="234"/>
        <v>1569</v>
      </c>
    </row>
    <row r="248" spans="1:41" ht="242.25" x14ac:dyDescent="0.2">
      <c r="A248" s="22">
        <f t="shared" si="235"/>
        <v>7157</v>
      </c>
      <c r="B248" s="116">
        <v>1001300387157</v>
      </c>
      <c r="C248" s="70" t="s">
        <v>1129</v>
      </c>
      <c r="D248" s="81" t="s">
        <v>3</v>
      </c>
      <c r="E248" s="146" t="s">
        <v>373</v>
      </c>
      <c r="F248" s="112" t="s">
        <v>348</v>
      </c>
      <c r="G248" s="224" t="s">
        <v>6</v>
      </c>
      <c r="H248" s="58" t="s">
        <v>38</v>
      </c>
      <c r="I248" s="154" t="s">
        <v>389</v>
      </c>
      <c r="J248" s="150" t="s">
        <v>451</v>
      </c>
      <c r="K248" s="71" t="s">
        <v>1845</v>
      </c>
      <c r="L248" s="52">
        <v>12</v>
      </c>
      <c r="M248" s="53">
        <v>19</v>
      </c>
      <c r="N248" s="54">
        <v>5</v>
      </c>
      <c r="O248" s="88" t="s">
        <v>610</v>
      </c>
      <c r="P248" s="31" t="s">
        <v>104</v>
      </c>
      <c r="Q248" s="87">
        <v>50</v>
      </c>
      <c r="R248" s="49" t="s">
        <v>44</v>
      </c>
      <c r="S248" s="237">
        <v>2335704000000</v>
      </c>
      <c r="T248" s="332">
        <v>12335704000007</v>
      </c>
      <c r="U248" s="46">
        <v>4630362181596</v>
      </c>
      <c r="V248" s="46">
        <v>14630362181593</v>
      </c>
      <c r="W248" s="258">
        <v>300</v>
      </c>
      <c r="X248" s="68">
        <v>79</v>
      </c>
      <c r="Y248" s="68">
        <v>58</v>
      </c>
      <c r="Z248" s="77">
        <v>0.63</v>
      </c>
      <c r="AA248" s="271">
        <v>8.0000000000000002E-3</v>
      </c>
      <c r="AB248" s="66">
        <f t="shared" ref="AB248" si="314">Z248+AA248</f>
        <v>0.63800000000000001</v>
      </c>
      <c r="AC248" s="59">
        <v>292</v>
      </c>
      <c r="AD248" s="60">
        <v>178</v>
      </c>
      <c r="AE248" s="60">
        <v>178</v>
      </c>
      <c r="AF248" s="191">
        <v>8</v>
      </c>
      <c r="AG248" s="117">
        <v>600000029</v>
      </c>
      <c r="AH248" s="104">
        <f>справочники!$C$21</f>
        <v>0.125</v>
      </c>
      <c r="AI248" s="61">
        <f t="shared" si="297"/>
        <v>5.04</v>
      </c>
      <c r="AJ248" s="122">
        <f t="shared" si="298"/>
        <v>5.2290000000000001</v>
      </c>
      <c r="AK248" s="37">
        <v>16</v>
      </c>
      <c r="AL248" s="38">
        <v>8</v>
      </c>
      <c r="AM248" s="40">
        <f t="shared" ref="AM248" si="315">AK248*AL248</f>
        <v>128</v>
      </c>
      <c r="AN248" s="214">
        <f t="shared" ref="AN248" si="316">IF(D248="ШТ",кол_во_инд.__упак_к*итого_г_у,ROUNDDOWN(номин.вес_нетто_г_у__кг*итого_г_у,1))</f>
        <v>645.1</v>
      </c>
      <c r="AO248" s="204">
        <f t="shared" si="234"/>
        <v>1569</v>
      </c>
    </row>
    <row r="249" spans="1:41" ht="242.25" x14ac:dyDescent="0.2">
      <c r="A249" s="22">
        <f t="shared" si="235"/>
        <v>6913</v>
      </c>
      <c r="B249" s="116">
        <v>1001300386913</v>
      </c>
      <c r="C249" s="70" t="s">
        <v>898</v>
      </c>
      <c r="D249" s="81" t="s">
        <v>3</v>
      </c>
      <c r="E249" s="146" t="s">
        <v>373</v>
      </c>
      <c r="F249" s="112" t="s">
        <v>348</v>
      </c>
      <c r="G249" s="224" t="s">
        <v>6</v>
      </c>
      <c r="H249" s="58" t="s">
        <v>38</v>
      </c>
      <c r="I249" s="154" t="s">
        <v>389</v>
      </c>
      <c r="J249" s="150" t="s">
        <v>451</v>
      </c>
      <c r="K249" s="71" t="s">
        <v>1845</v>
      </c>
      <c r="L249" s="52">
        <v>12</v>
      </c>
      <c r="M249" s="53">
        <v>19</v>
      </c>
      <c r="N249" s="54">
        <v>5</v>
      </c>
      <c r="O249" s="88" t="s">
        <v>610</v>
      </c>
      <c r="P249" s="31" t="s">
        <v>104</v>
      </c>
      <c r="Q249" s="87">
        <v>50</v>
      </c>
      <c r="R249" s="49" t="s">
        <v>44</v>
      </c>
      <c r="S249" s="239">
        <v>2943908000001</v>
      </c>
      <c r="T249" s="344">
        <v>12943908000008</v>
      </c>
      <c r="U249" s="46">
        <v>4630362181596</v>
      </c>
      <c r="V249" s="46">
        <v>14630362181593</v>
      </c>
      <c r="W249" s="258">
        <v>300</v>
      </c>
      <c r="X249" s="68">
        <v>79</v>
      </c>
      <c r="Y249" s="68">
        <v>58</v>
      </c>
      <c r="Z249" s="77">
        <v>0.7</v>
      </c>
      <c r="AA249" s="271">
        <v>8.0000000000000002E-3</v>
      </c>
      <c r="AB249" s="66">
        <f t="shared" si="281"/>
        <v>0.70799999999999996</v>
      </c>
      <c r="AC249" s="59">
        <v>292</v>
      </c>
      <c r="AD249" s="60">
        <v>178</v>
      </c>
      <c r="AE249" s="60">
        <v>178</v>
      </c>
      <c r="AF249" s="191">
        <v>8</v>
      </c>
      <c r="AG249" s="117">
        <v>600000029</v>
      </c>
      <c r="AH249" s="104">
        <f>справочники!$C$21</f>
        <v>0.125</v>
      </c>
      <c r="AI249" s="61">
        <f t="shared" si="297"/>
        <v>5.6</v>
      </c>
      <c r="AJ249" s="122">
        <f t="shared" si="298"/>
        <v>5.7889999999999997</v>
      </c>
      <c r="AK249" s="37">
        <v>14</v>
      </c>
      <c r="AL249" s="38">
        <v>8</v>
      </c>
      <c r="AM249" s="40">
        <f t="shared" si="310"/>
        <v>112</v>
      </c>
      <c r="AN249" s="214">
        <f t="shared" si="295"/>
        <v>627.20000000000005</v>
      </c>
      <c r="AO249" s="204">
        <f t="shared" si="234"/>
        <v>1569</v>
      </c>
    </row>
    <row r="250" spans="1:41" ht="242.25" x14ac:dyDescent="0.2">
      <c r="A250" s="22">
        <f t="shared" si="235"/>
        <v>7154</v>
      </c>
      <c r="B250" s="116">
        <v>1001300387154</v>
      </c>
      <c r="C250" s="70" t="s">
        <v>1127</v>
      </c>
      <c r="D250" s="50" t="s">
        <v>4</v>
      </c>
      <c r="E250" s="146" t="s">
        <v>373</v>
      </c>
      <c r="F250" s="112" t="s">
        <v>348</v>
      </c>
      <c r="G250" s="224" t="s">
        <v>6</v>
      </c>
      <c r="H250" s="58" t="s">
        <v>38</v>
      </c>
      <c r="I250" s="154" t="s">
        <v>389</v>
      </c>
      <c r="J250" s="150" t="s">
        <v>451</v>
      </c>
      <c r="K250" s="71" t="s">
        <v>1845</v>
      </c>
      <c r="L250" s="52">
        <v>12</v>
      </c>
      <c r="M250" s="53">
        <v>19</v>
      </c>
      <c r="N250" s="54">
        <v>5</v>
      </c>
      <c r="O250" s="88" t="s">
        <v>610</v>
      </c>
      <c r="P250" s="31" t="s">
        <v>104</v>
      </c>
      <c r="Q250" s="87">
        <v>50</v>
      </c>
      <c r="R250" s="49" t="s">
        <v>44</v>
      </c>
      <c r="S250" s="237">
        <v>4607958072347</v>
      </c>
      <c r="T250" s="332">
        <v>14607958072344</v>
      </c>
      <c r="U250" s="46">
        <v>4607958072347</v>
      </c>
      <c r="V250" s="46">
        <v>14607958072344</v>
      </c>
      <c r="W250" s="258">
        <v>220</v>
      </c>
      <c r="X250" s="68">
        <v>80</v>
      </c>
      <c r="Y250" s="68">
        <v>58</v>
      </c>
      <c r="Z250" s="77">
        <v>0.35</v>
      </c>
      <c r="AA250" s="271">
        <v>5.0000000000000001E-3</v>
      </c>
      <c r="AB250" s="66">
        <f t="shared" ref="AB250" si="317">Z250+AA250</f>
        <v>0.35499999999999998</v>
      </c>
      <c r="AC250" s="59">
        <v>318</v>
      </c>
      <c r="AD250" s="60">
        <v>143</v>
      </c>
      <c r="AE250" s="60">
        <v>138</v>
      </c>
      <c r="AF250" s="191">
        <v>8</v>
      </c>
      <c r="AG250" s="117">
        <v>600000407</v>
      </c>
      <c r="AH250" s="104">
        <f>справочники!$C$106</f>
        <v>9.4E-2</v>
      </c>
      <c r="AI250" s="61">
        <f t="shared" si="297"/>
        <v>2.8</v>
      </c>
      <c r="AJ250" s="122">
        <f t="shared" si="298"/>
        <v>2.9339999999999997</v>
      </c>
      <c r="AK250" s="37">
        <v>19</v>
      </c>
      <c r="AL250" s="38">
        <v>11</v>
      </c>
      <c r="AM250" s="40">
        <f t="shared" ref="AM250" si="318">AK250*AL250</f>
        <v>209</v>
      </c>
      <c r="AN250" s="206">
        <f t="shared" ref="AN250" si="319">IF(D250="ШТ",кол_во_инд.__упак_к*итого_г_у,ROUNDDOWN(номин.вес_нетто_г_у__кг*итого_г_у,1))</f>
        <v>1672</v>
      </c>
      <c r="AO250" s="204">
        <f t="shared" si="234"/>
        <v>1663</v>
      </c>
    </row>
    <row r="251" spans="1:41" ht="242.25" x14ac:dyDescent="0.2">
      <c r="A251" s="22">
        <f t="shared" si="235"/>
        <v>7155</v>
      </c>
      <c r="B251" s="116">
        <v>1001300387155</v>
      </c>
      <c r="C251" s="70" t="s">
        <v>1128</v>
      </c>
      <c r="D251" s="50" t="s">
        <v>4</v>
      </c>
      <c r="E251" s="146" t="s">
        <v>373</v>
      </c>
      <c r="F251" s="112" t="s">
        <v>348</v>
      </c>
      <c r="G251" s="224" t="s">
        <v>6</v>
      </c>
      <c r="H251" s="58" t="s">
        <v>38</v>
      </c>
      <c r="I251" s="154" t="s">
        <v>389</v>
      </c>
      <c r="J251" s="150" t="s">
        <v>451</v>
      </c>
      <c r="K251" s="71" t="s">
        <v>1845</v>
      </c>
      <c r="L251" s="52">
        <v>12</v>
      </c>
      <c r="M251" s="53">
        <v>19</v>
      </c>
      <c r="N251" s="54">
        <v>5</v>
      </c>
      <c r="O251" s="88" t="s">
        <v>610</v>
      </c>
      <c r="P251" s="31" t="s">
        <v>104</v>
      </c>
      <c r="Q251" s="87">
        <v>50</v>
      </c>
      <c r="R251" s="49" t="s">
        <v>44</v>
      </c>
      <c r="S251" s="237">
        <v>4607958077700</v>
      </c>
      <c r="T251" s="332">
        <v>14607958077707</v>
      </c>
      <c r="U251" s="46">
        <v>4607958077700</v>
      </c>
      <c r="V251" s="46">
        <v>14607958077707</v>
      </c>
      <c r="W251" s="258">
        <v>300</v>
      </c>
      <c r="X251" s="68">
        <v>79</v>
      </c>
      <c r="Y251" s="68">
        <v>54</v>
      </c>
      <c r="Z251" s="77">
        <v>0.56000000000000005</v>
      </c>
      <c r="AA251" s="271">
        <v>8.0000000000000002E-3</v>
      </c>
      <c r="AB251" s="66">
        <f t="shared" ref="AB251" si="320">Z251+AA251</f>
        <v>0.56800000000000006</v>
      </c>
      <c r="AC251" s="59">
        <v>292</v>
      </c>
      <c r="AD251" s="60">
        <v>178</v>
      </c>
      <c r="AE251" s="60">
        <v>178</v>
      </c>
      <c r="AF251" s="191">
        <v>8</v>
      </c>
      <c r="AG251" s="117">
        <v>600000029</v>
      </c>
      <c r="AH251" s="104">
        <f>справочники!$C$21</f>
        <v>0.125</v>
      </c>
      <c r="AI251" s="61">
        <f t="shared" si="297"/>
        <v>4.4800000000000004</v>
      </c>
      <c r="AJ251" s="122">
        <f t="shared" si="298"/>
        <v>4.6690000000000005</v>
      </c>
      <c r="AK251" s="37">
        <v>16</v>
      </c>
      <c r="AL251" s="38">
        <v>8</v>
      </c>
      <c r="AM251" s="40">
        <f t="shared" ref="AM251" si="321">AK251*AL251</f>
        <v>128</v>
      </c>
      <c r="AN251" s="206">
        <f t="shared" ref="AN251" si="322">IF(D251="ШТ",кол_во_инд.__упак_к*итого_г_у,ROUNDDOWN(номин.вес_нетто_г_у__кг*итого_г_у,1))</f>
        <v>1024</v>
      </c>
      <c r="AO251" s="204">
        <f t="shared" si="234"/>
        <v>1569</v>
      </c>
    </row>
    <row r="252" spans="1:41" ht="145.9" customHeight="1" x14ac:dyDescent="0.2">
      <c r="A252" s="22">
        <f t="shared" si="235"/>
        <v>6998</v>
      </c>
      <c r="B252" s="116">
        <v>1001304506998</v>
      </c>
      <c r="C252" s="70" t="s">
        <v>974</v>
      </c>
      <c r="D252" s="81" t="s">
        <v>4</v>
      </c>
      <c r="E252" s="146" t="s">
        <v>373</v>
      </c>
      <c r="F252" s="112" t="s">
        <v>348</v>
      </c>
      <c r="G252" s="224" t="s">
        <v>6</v>
      </c>
      <c r="H252" s="58" t="s">
        <v>38</v>
      </c>
      <c r="I252" s="154" t="s">
        <v>389</v>
      </c>
      <c r="J252" s="150" t="s">
        <v>451</v>
      </c>
      <c r="K252" s="71" t="s">
        <v>1826</v>
      </c>
      <c r="L252" s="52">
        <v>13</v>
      </c>
      <c r="M252" s="53">
        <v>20</v>
      </c>
      <c r="N252" s="54">
        <v>6</v>
      </c>
      <c r="O252" s="88" t="s">
        <v>1825</v>
      </c>
      <c r="P252" s="31" t="s">
        <v>104</v>
      </c>
      <c r="Q252" s="49">
        <v>45</v>
      </c>
      <c r="R252" s="49" t="s">
        <v>44</v>
      </c>
      <c r="S252" s="237">
        <v>4607958078486</v>
      </c>
      <c r="T252" s="332">
        <v>14607958078483</v>
      </c>
      <c r="U252" s="46">
        <v>4607958078486</v>
      </c>
      <c r="V252" s="46">
        <v>14607958078483</v>
      </c>
      <c r="W252" s="258">
        <v>210</v>
      </c>
      <c r="X252" s="68">
        <v>80</v>
      </c>
      <c r="Y252" s="68">
        <v>65</v>
      </c>
      <c r="Z252" s="77">
        <v>0.35</v>
      </c>
      <c r="AA252" s="271">
        <v>5.0000000000000001E-3</v>
      </c>
      <c r="AB252" s="66">
        <f t="shared" si="281"/>
        <v>0.35499999999999998</v>
      </c>
      <c r="AC252" s="59">
        <v>318</v>
      </c>
      <c r="AD252" s="60">
        <v>143</v>
      </c>
      <c r="AE252" s="60">
        <v>138</v>
      </c>
      <c r="AF252" s="191">
        <v>8</v>
      </c>
      <c r="AG252" s="117">
        <v>600000407</v>
      </c>
      <c r="AH252" s="104">
        <f>справочники!$C$106</f>
        <v>9.4E-2</v>
      </c>
      <c r="AI252" s="61">
        <f t="shared" si="297"/>
        <v>2.8</v>
      </c>
      <c r="AJ252" s="124">
        <f t="shared" si="298"/>
        <v>2.9339999999999997</v>
      </c>
      <c r="AK252" s="37">
        <v>19</v>
      </c>
      <c r="AL252" s="38">
        <v>11</v>
      </c>
      <c r="AM252" s="40">
        <f t="shared" si="310"/>
        <v>209</v>
      </c>
      <c r="AN252" s="206">
        <f t="shared" si="295"/>
        <v>1672</v>
      </c>
      <c r="AO252" s="204">
        <f t="shared" si="234"/>
        <v>1663</v>
      </c>
    </row>
    <row r="253" spans="1:41" ht="145.9" customHeight="1" x14ac:dyDescent="0.2">
      <c r="A253" s="22">
        <f t="shared" si="235"/>
        <v>7236</v>
      </c>
      <c r="B253" s="116">
        <v>1001304507236</v>
      </c>
      <c r="C253" s="70" t="s">
        <v>1185</v>
      </c>
      <c r="D253" s="81" t="s">
        <v>4</v>
      </c>
      <c r="E253" s="146" t="s">
        <v>373</v>
      </c>
      <c r="F253" s="112" t="s">
        <v>348</v>
      </c>
      <c r="G253" s="224" t="s">
        <v>6</v>
      </c>
      <c r="H253" s="58" t="s">
        <v>38</v>
      </c>
      <c r="I253" s="154" t="s">
        <v>389</v>
      </c>
      <c r="J253" s="150" t="s">
        <v>451</v>
      </c>
      <c r="K253" s="71" t="s">
        <v>1850</v>
      </c>
      <c r="L253" s="52">
        <v>13</v>
      </c>
      <c r="M253" s="53">
        <v>20</v>
      </c>
      <c r="N253" s="54">
        <v>6</v>
      </c>
      <c r="O253" s="88" t="s">
        <v>1825</v>
      </c>
      <c r="P253" s="31" t="s">
        <v>104</v>
      </c>
      <c r="Q253" s="49">
        <v>45</v>
      </c>
      <c r="R253" s="49" t="s">
        <v>44</v>
      </c>
      <c r="S253" s="237">
        <v>4607958073252</v>
      </c>
      <c r="T253" s="332">
        <v>14607958073259</v>
      </c>
      <c r="U253" s="46">
        <v>4607958073252</v>
      </c>
      <c r="V253" s="46">
        <v>14607958073259</v>
      </c>
      <c r="W253" s="258">
        <v>220</v>
      </c>
      <c r="X253" s="68">
        <v>80</v>
      </c>
      <c r="Y253" s="68">
        <v>54</v>
      </c>
      <c r="Z253" s="77">
        <v>0.28000000000000003</v>
      </c>
      <c r="AA253" s="271">
        <v>5.0000000000000001E-3</v>
      </c>
      <c r="AB253" s="66">
        <f t="shared" ref="AB253" si="323">Z253+AA253</f>
        <v>0.28500000000000003</v>
      </c>
      <c r="AC253" s="59">
        <v>318</v>
      </c>
      <c r="AD253" s="60">
        <v>143</v>
      </c>
      <c r="AE253" s="60">
        <v>138</v>
      </c>
      <c r="AF253" s="191">
        <v>8</v>
      </c>
      <c r="AG253" s="117">
        <v>600000407</v>
      </c>
      <c r="AH253" s="104">
        <f>справочники!$C$106</f>
        <v>9.4E-2</v>
      </c>
      <c r="AI253" s="61">
        <f t="shared" si="297"/>
        <v>2.2400000000000002</v>
      </c>
      <c r="AJ253" s="124">
        <f t="shared" si="298"/>
        <v>2.3740000000000001</v>
      </c>
      <c r="AK253" s="37">
        <v>19</v>
      </c>
      <c r="AL253" s="38">
        <v>11</v>
      </c>
      <c r="AM253" s="40">
        <f t="shared" ref="AM253" si="324">AK253*AL253</f>
        <v>209</v>
      </c>
      <c r="AN253" s="206">
        <f t="shared" ref="AN253" si="325">IF(D253="ШТ",кол_во_инд.__упак_к*итого_г_у,ROUNDDOWN(номин.вес_нетто_г_у__кг*итого_г_у,1))</f>
        <v>1672</v>
      </c>
      <c r="AO253" s="204">
        <f t="shared" si="234"/>
        <v>1663</v>
      </c>
    </row>
    <row r="254" spans="1:41" ht="114" customHeight="1" x14ac:dyDescent="0.2">
      <c r="A254" s="22">
        <f t="shared" si="235"/>
        <v>7158</v>
      </c>
      <c r="B254" s="116">
        <v>1001304237158</v>
      </c>
      <c r="C254" s="70" t="s">
        <v>1130</v>
      </c>
      <c r="D254" s="50" t="s">
        <v>4</v>
      </c>
      <c r="E254" s="146" t="s">
        <v>373</v>
      </c>
      <c r="F254" s="112" t="s">
        <v>348</v>
      </c>
      <c r="G254" s="224" t="s">
        <v>6</v>
      </c>
      <c r="H254" s="58" t="s">
        <v>38</v>
      </c>
      <c r="I254" s="154" t="s">
        <v>389</v>
      </c>
      <c r="J254" s="151" t="s">
        <v>451</v>
      </c>
      <c r="K254" s="71" t="s">
        <v>1339</v>
      </c>
      <c r="L254" s="52">
        <v>10</v>
      </c>
      <c r="M254" s="53">
        <v>24</v>
      </c>
      <c r="N254" s="54">
        <v>3</v>
      </c>
      <c r="O254" s="88" t="s">
        <v>1269</v>
      </c>
      <c r="P254" s="31" t="s">
        <v>104</v>
      </c>
      <c r="Q254" s="49">
        <v>50</v>
      </c>
      <c r="R254" s="49" t="s">
        <v>44</v>
      </c>
      <c r="S254" s="237">
        <v>4607958072323</v>
      </c>
      <c r="T254" s="332">
        <v>14607958072320</v>
      </c>
      <c r="U254" s="46">
        <v>4607958072323</v>
      </c>
      <c r="V254" s="46">
        <v>14607958072320</v>
      </c>
      <c r="W254" s="258">
        <v>220</v>
      </c>
      <c r="X254" s="68">
        <v>80</v>
      </c>
      <c r="Y254" s="68">
        <v>58</v>
      </c>
      <c r="Z254" s="77">
        <v>0.35</v>
      </c>
      <c r="AA254" s="271">
        <v>5.0000000000000001E-3</v>
      </c>
      <c r="AB254" s="66">
        <f t="shared" ref="AB254" si="326">Z254+AA254</f>
        <v>0.35499999999999998</v>
      </c>
      <c r="AC254" s="59">
        <v>318</v>
      </c>
      <c r="AD254" s="60">
        <v>143</v>
      </c>
      <c r="AE254" s="60">
        <v>138</v>
      </c>
      <c r="AF254" s="191">
        <v>8</v>
      </c>
      <c r="AG254" s="117">
        <v>600000407</v>
      </c>
      <c r="AH254" s="104">
        <f>справочники!$C$106</f>
        <v>9.4E-2</v>
      </c>
      <c r="AI254" s="61">
        <f t="shared" si="297"/>
        <v>2.8</v>
      </c>
      <c r="AJ254" s="122">
        <f t="shared" si="298"/>
        <v>2.9339999999999997</v>
      </c>
      <c r="AK254" s="37">
        <v>19</v>
      </c>
      <c r="AL254" s="38">
        <v>11</v>
      </c>
      <c r="AM254" s="40">
        <f t="shared" ref="AM254" si="327">AK254*AL254</f>
        <v>209</v>
      </c>
      <c r="AN254" s="206">
        <f t="shared" ref="AN254" si="328">IF(D254="ШТ",кол_во_инд.__упак_к*итого_г_у,ROUNDDOWN(номин.вес_нетто_г_у__кг*итого_г_у,1))</f>
        <v>1672</v>
      </c>
      <c r="AO254" s="204">
        <f t="shared" ref="AO254:AO305" si="329">(высота__мм*кол_во_слоев_г_у)+145</f>
        <v>1663</v>
      </c>
    </row>
    <row r="255" spans="1:41" ht="191.25" x14ac:dyDescent="0.2">
      <c r="A255" s="22">
        <f t="shared" si="235"/>
        <v>7179</v>
      </c>
      <c r="B255" s="116">
        <v>1001305587179</v>
      </c>
      <c r="C255" s="70" t="s">
        <v>1142</v>
      </c>
      <c r="D255" s="50" t="s">
        <v>4</v>
      </c>
      <c r="E255" s="146" t="s">
        <v>373</v>
      </c>
      <c r="F255" s="112" t="s">
        <v>348</v>
      </c>
      <c r="G255" s="224" t="s">
        <v>6</v>
      </c>
      <c r="H255" s="58" t="s">
        <v>38</v>
      </c>
      <c r="I255" s="154" t="s">
        <v>389</v>
      </c>
      <c r="J255" s="150" t="s">
        <v>451</v>
      </c>
      <c r="K255" s="71" t="s">
        <v>1827</v>
      </c>
      <c r="L255" s="52">
        <v>13</v>
      </c>
      <c r="M255" s="53">
        <v>20</v>
      </c>
      <c r="N255" s="54">
        <v>5</v>
      </c>
      <c r="O255" s="88" t="s">
        <v>1823</v>
      </c>
      <c r="P255" s="31" t="s">
        <v>104</v>
      </c>
      <c r="Q255" s="49">
        <v>50</v>
      </c>
      <c r="R255" s="49" t="s">
        <v>44</v>
      </c>
      <c r="S255" s="237">
        <v>4607958074648</v>
      </c>
      <c r="T255" s="332">
        <v>24607958074642</v>
      </c>
      <c r="U255" s="46">
        <v>4607958074648</v>
      </c>
      <c r="V255" s="46">
        <v>24607958074642</v>
      </c>
      <c r="W255" s="258">
        <v>220</v>
      </c>
      <c r="X255" s="68">
        <v>80</v>
      </c>
      <c r="Y255" s="68">
        <v>58</v>
      </c>
      <c r="Z255" s="77">
        <v>0.35</v>
      </c>
      <c r="AA255" s="271">
        <v>5.0000000000000001E-3</v>
      </c>
      <c r="AB255" s="66">
        <f t="shared" ref="AB255" si="330">Z255+AA255</f>
        <v>0.35499999999999998</v>
      </c>
      <c r="AC255" s="59">
        <v>318</v>
      </c>
      <c r="AD255" s="60">
        <v>143</v>
      </c>
      <c r="AE255" s="60">
        <v>258</v>
      </c>
      <c r="AF255" s="191">
        <v>16</v>
      </c>
      <c r="AG255" s="117">
        <v>600000421</v>
      </c>
      <c r="AH255" s="104">
        <f>справочники!$C$104</f>
        <v>0.154</v>
      </c>
      <c r="AI255" s="61">
        <f t="shared" si="297"/>
        <v>5.6</v>
      </c>
      <c r="AJ255" s="122">
        <f t="shared" si="298"/>
        <v>5.8339999999999996</v>
      </c>
      <c r="AK255" s="37">
        <v>19</v>
      </c>
      <c r="AL255" s="38">
        <v>5</v>
      </c>
      <c r="AM255" s="40">
        <f t="shared" ref="AM255" si="331">AK255*AL255</f>
        <v>95</v>
      </c>
      <c r="AN255" s="206">
        <f t="shared" ref="AN255" si="332">IF(D255="ШТ",кол_во_инд.__упак_к*итого_г_у,ROUNDDOWN(номин.вес_нетто_г_у__кг*итого_г_у,1))</f>
        <v>1520</v>
      </c>
      <c r="AO255" s="204">
        <f t="shared" si="329"/>
        <v>1435</v>
      </c>
    </row>
    <row r="256" spans="1:41" ht="178.5" x14ac:dyDescent="0.2">
      <c r="A256" s="22">
        <f t="shared" si="235"/>
        <v>7156</v>
      </c>
      <c r="B256" s="116">
        <v>1001304237156</v>
      </c>
      <c r="C256" s="70" t="s">
        <v>1126</v>
      </c>
      <c r="D256" s="50" t="s">
        <v>4</v>
      </c>
      <c r="E256" s="146" t="s">
        <v>373</v>
      </c>
      <c r="F256" s="112" t="s">
        <v>348</v>
      </c>
      <c r="G256" s="224" t="s">
        <v>6</v>
      </c>
      <c r="H256" s="58" t="s">
        <v>38</v>
      </c>
      <c r="I256" s="154" t="s">
        <v>389</v>
      </c>
      <c r="J256" s="150" t="s">
        <v>451</v>
      </c>
      <c r="K256" s="71" t="s">
        <v>1878</v>
      </c>
      <c r="L256" s="52">
        <v>13</v>
      </c>
      <c r="M256" s="53">
        <v>20</v>
      </c>
      <c r="N256" s="54">
        <v>5</v>
      </c>
      <c r="O256" s="88" t="s">
        <v>1823</v>
      </c>
      <c r="P256" s="31" t="s">
        <v>104</v>
      </c>
      <c r="Q256" s="87">
        <v>50</v>
      </c>
      <c r="R256" s="49" t="s">
        <v>44</v>
      </c>
      <c r="S256" s="237">
        <v>4607958072323</v>
      </c>
      <c r="T256" s="332">
        <v>14607958072320</v>
      </c>
      <c r="U256" s="46">
        <v>4607958072323</v>
      </c>
      <c r="V256" s="46">
        <v>14607958072320</v>
      </c>
      <c r="W256" s="258">
        <v>220</v>
      </c>
      <c r="X256" s="68">
        <v>80</v>
      </c>
      <c r="Y256" s="68">
        <v>58</v>
      </c>
      <c r="Z256" s="77">
        <v>0.35</v>
      </c>
      <c r="AA256" s="271">
        <v>5.0000000000000001E-3</v>
      </c>
      <c r="AB256" s="66">
        <f t="shared" ref="AB256:AB257" si="333">Z256+AA256</f>
        <v>0.35499999999999998</v>
      </c>
      <c r="AC256" s="59">
        <v>318</v>
      </c>
      <c r="AD256" s="60">
        <v>143</v>
      </c>
      <c r="AE256" s="60">
        <v>138</v>
      </c>
      <c r="AF256" s="191">
        <v>8</v>
      </c>
      <c r="AG256" s="117">
        <v>600000407</v>
      </c>
      <c r="AH256" s="104">
        <f>справочники!$C$106</f>
        <v>9.4E-2</v>
      </c>
      <c r="AI256" s="61">
        <f t="shared" si="297"/>
        <v>2.8</v>
      </c>
      <c r="AJ256" s="122">
        <f t="shared" si="298"/>
        <v>2.9339999999999997</v>
      </c>
      <c r="AK256" s="37">
        <v>19</v>
      </c>
      <c r="AL256" s="38">
        <v>11</v>
      </c>
      <c r="AM256" s="40">
        <f t="shared" ref="AM256:AM257" si="334">AK256*AL256</f>
        <v>209</v>
      </c>
      <c r="AN256" s="206">
        <f t="shared" ref="AN256:AN257" si="335">IF(D256="ШТ",кол_во_инд.__упак_к*итого_г_у,ROUNDDOWN(номин.вес_нетто_г_у__кг*итого_г_у,1))</f>
        <v>1672</v>
      </c>
      <c r="AO256" s="204">
        <f t="shared" si="329"/>
        <v>1663</v>
      </c>
    </row>
    <row r="257" spans="1:41" ht="114" customHeight="1" x14ac:dyDescent="0.2">
      <c r="A257" s="22">
        <f t="shared" si="235"/>
        <v>7335</v>
      </c>
      <c r="B257" s="116">
        <v>1001304237335</v>
      </c>
      <c r="C257" s="70" t="s">
        <v>1372</v>
      </c>
      <c r="D257" s="50" t="s">
        <v>4</v>
      </c>
      <c r="E257" s="146" t="s">
        <v>373</v>
      </c>
      <c r="F257" s="112" t="s">
        <v>348</v>
      </c>
      <c r="G257" s="224" t="s">
        <v>6</v>
      </c>
      <c r="H257" s="58" t="s">
        <v>38</v>
      </c>
      <c r="I257" s="154" t="s">
        <v>389</v>
      </c>
      <c r="J257" s="150" t="s">
        <v>451</v>
      </c>
      <c r="K257" s="71" t="s">
        <v>1339</v>
      </c>
      <c r="L257" s="52">
        <v>10</v>
      </c>
      <c r="M257" s="53">
        <v>24</v>
      </c>
      <c r="N257" s="54">
        <v>3</v>
      </c>
      <c r="O257" s="88" t="s">
        <v>1269</v>
      </c>
      <c r="P257" s="31" t="s">
        <v>104</v>
      </c>
      <c r="Q257" s="87">
        <v>50</v>
      </c>
      <c r="R257" s="49" t="s">
        <v>44</v>
      </c>
      <c r="S257" s="237">
        <v>4607958079926</v>
      </c>
      <c r="T257" s="332">
        <v>14607958079923</v>
      </c>
      <c r="U257" s="46">
        <v>4607958079926</v>
      </c>
      <c r="V257" s="46">
        <v>14607958079923</v>
      </c>
      <c r="W257" s="258">
        <v>300</v>
      </c>
      <c r="X257" s="68">
        <v>79</v>
      </c>
      <c r="Y257" s="68">
        <v>58</v>
      </c>
      <c r="Z257" s="77">
        <v>0.7</v>
      </c>
      <c r="AA257" s="271">
        <v>8.0000000000000002E-3</v>
      </c>
      <c r="AB257" s="66">
        <f t="shared" si="333"/>
        <v>0.70799999999999996</v>
      </c>
      <c r="AC257" s="59">
        <v>292</v>
      </c>
      <c r="AD257" s="60">
        <v>178</v>
      </c>
      <c r="AE257" s="60">
        <v>178</v>
      </c>
      <c r="AF257" s="191">
        <v>8</v>
      </c>
      <c r="AG257" s="117">
        <v>600000029</v>
      </c>
      <c r="AH257" s="104">
        <f>справочники!$C$21</f>
        <v>0.125</v>
      </c>
      <c r="AI257" s="61">
        <f t="shared" si="297"/>
        <v>5.6</v>
      </c>
      <c r="AJ257" s="122">
        <f t="shared" si="298"/>
        <v>5.7889999999999997</v>
      </c>
      <c r="AK257" s="37">
        <v>16</v>
      </c>
      <c r="AL257" s="38">
        <v>8</v>
      </c>
      <c r="AM257" s="40">
        <f t="shared" si="334"/>
        <v>128</v>
      </c>
      <c r="AN257" s="206">
        <f t="shared" si="335"/>
        <v>1024</v>
      </c>
      <c r="AO257" s="204">
        <f t="shared" si="329"/>
        <v>1569</v>
      </c>
    </row>
    <row r="258" spans="1:41" ht="117" customHeight="1" x14ac:dyDescent="0.2">
      <c r="A258" s="22">
        <f t="shared" si="235"/>
        <v>7315</v>
      </c>
      <c r="B258" s="116">
        <v>1001305587315</v>
      </c>
      <c r="C258" s="70" t="s">
        <v>1286</v>
      </c>
      <c r="D258" s="81" t="s">
        <v>4</v>
      </c>
      <c r="E258" s="146" t="s">
        <v>373</v>
      </c>
      <c r="F258" s="112" t="s">
        <v>348</v>
      </c>
      <c r="G258" s="224" t="s">
        <v>5</v>
      </c>
      <c r="H258" s="58" t="s">
        <v>38</v>
      </c>
      <c r="I258" s="154" t="s">
        <v>389</v>
      </c>
      <c r="J258" s="150" t="s">
        <v>409</v>
      </c>
      <c r="K258" s="71" t="s">
        <v>1268</v>
      </c>
      <c r="L258" s="52">
        <v>10</v>
      </c>
      <c r="M258" s="53">
        <v>24</v>
      </c>
      <c r="N258" s="54">
        <v>3</v>
      </c>
      <c r="O258" s="88" t="s">
        <v>1269</v>
      </c>
      <c r="P258" s="31" t="s">
        <v>104</v>
      </c>
      <c r="Q258" s="49">
        <v>60</v>
      </c>
      <c r="R258" s="49" t="s">
        <v>44</v>
      </c>
      <c r="S258" s="237">
        <v>4607958077465</v>
      </c>
      <c r="T258" s="332">
        <v>14607958077462</v>
      </c>
      <c r="U258" s="46">
        <v>4607958077465</v>
      </c>
      <c r="V258" s="46">
        <v>14607958077462</v>
      </c>
      <c r="W258" s="258">
        <v>300</v>
      </c>
      <c r="X258" s="68">
        <v>79</v>
      </c>
      <c r="Y258" s="68">
        <v>58</v>
      </c>
      <c r="Z258" s="77">
        <v>0.7</v>
      </c>
      <c r="AA258" s="271">
        <v>8.0000000000000002E-3</v>
      </c>
      <c r="AB258" s="66">
        <f t="shared" ref="AB258" si="336">Z258+AA258</f>
        <v>0.70799999999999996</v>
      </c>
      <c r="AC258" s="59">
        <v>292</v>
      </c>
      <c r="AD258" s="60">
        <v>178</v>
      </c>
      <c r="AE258" s="60">
        <v>178</v>
      </c>
      <c r="AF258" s="191">
        <v>8</v>
      </c>
      <c r="AG258" s="117">
        <v>600000029</v>
      </c>
      <c r="AH258" s="104">
        <f>справочники!$C$21</f>
        <v>0.125</v>
      </c>
      <c r="AI258" s="61">
        <f t="shared" si="297"/>
        <v>5.6</v>
      </c>
      <c r="AJ258" s="122">
        <f t="shared" si="298"/>
        <v>5.7889999999999997</v>
      </c>
      <c r="AK258" s="37">
        <v>16</v>
      </c>
      <c r="AL258" s="38">
        <v>8</v>
      </c>
      <c r="AM258" s="40">
        <f t="shared" ref="AM258" si="337">AK258*AL258</f>
        <v>128</v>
      </c>
      <c r="AN258" s="206">
        <f t="shared" ref="AN258" si="338">IF(D258="ШТ",кол_во_инд.__упак_к*итого_г_у,ROUNDDOWN(номин.вес_нетто_г_у__кг*итого_г_у,1))</f>
        <v>1024</v>
      </c>
      <c r="AO258" s="204">
        <f t="shared" si="329"/>
        <v>1569</v>
      </c>
    </row>
    <row r="259" spans="1:41" ht="165.75" x14ac:dyDescent="0.2">
      <c r="A259" s="22">
        <f t="shared" si="235"/>
        <v>6946</v>
      </c>
      <c r="B259" s="116">
        <v>1001300456946</v>
      </c>
      <c r="C259" s="48" t="s">
        <v>951</v>
      </c>
      <c r="D259" s="49" t="s">
        <v>3</v>
      </c>
      <c r="E259" s="146" t="s">
        <v>373</v>
      </c>
      <c r="F259" s="112" t="s">
        <v>348</v>
      </c>
      <c r="G259" s="224" t="s">
        <v>2</v>
      </c>
      <c r="H259" s="58" t="s">
        <v>38</v>
      </c>
      <c r="I259" s="154" t="s">
        <v>389</v>
      </c>
      <c r="J259" s="150" t="s">
        <v>451</v>
      </c>
      <c r="K259" s="71" t="s">
        <v>929</v>
      </c>
      <c r="L259" s="52">
        <v>14</v>
      </c>
      <c r="M259" s="53">
        <v>24</v>
      </c>
      <c r="N259" s="54">
        <v>2</v>
      </c>
      <c r="O259" s="88" t="s">
        <v>674</v>
      </c>
      <c r="P259" s="31" t="s">
        <v>104</v>
      </c>
      <c r="Q259" s="87">
        <v>45</v>
      </c>
      <c r="R259" s="49" t="s">
        <v>44</v>
      </c>
      <c r="S259" s="239">
        <v>2373327000007</v>
      </c>
      <c r="T259" s="344">
        <v>12373327000004</v>
      </c>
      <c r="U259" s="46">
        <v>4630362181619</v>
      </c>
      <c r="V259" s="46">
        <v>14630362181616</v>
      </c>
      <c r="W259" s="93">
        <v>300</v>
      </c>
      <c r="X259" s="60">
        <v>79</v>
      </c>
      <c r="Y259" s="68">
        <v>66</v>
      </c>
      <c r="Z259" s="65">
        <v>0.84</v>
      </c>
      <c r="AA259" s="271">
        <v>8.0000000000000002E-3</v>
      </c>
      <c r="AB259" s="66">
        <f t="shared" ref="AB259:AB267" si="339">Z259+AA259</f>
        <v>0.84799999999999998</v>
      </c>
      <c r="AC259" s="59">
        <v>292</v>
      </c>
      <c r="AD259" s="60">
        <v>178</v>
      </c>
      <c r="AE259" s="60">
        <v>178</v>
      </c>
      <c r="AF259" s="191">
        <v>6</v>
      </c>
      <c r="AG259" s="117">
        <v>600000029</v>
      </c>
      <c r="AH259" s="104">
        <f>справочники!$C$21</f>
        <v>0.125</v>
      </c>
      <c r="AI259" s="61">
        <f t="shared" si="297"/>
        <v>5.04</v>
      </c>
      <c r="AJ259" s="122">
        <f t="shared" si="298"/>
        <v>5.2130000000000001</v>
      </c>
      <c r="AK259" s="37">
        <v>16</v>
      </c>
      <c r="AL259" s="38">
        <v>8</v>
      </c>
      <c r="AM259" s="40">
        <f t="shared" ref="AM259:AM283" si="340">AK259*AL259</f>
        <v>128</v>
      </c>
      <c r="AN259" s="214">
        <f t="shared" ref="AN259:AN279" si="341">IF(D259="ШТ",кол_во_инд.__упак_к*итого_г_у,ROUNDDOWN(номин.вес_нетто_г_у__кг*итого_г_у,1))</f>
        <v>645.1</v>
      </c>
      <c r="AO259" s="204">
        <f t="shared" si="329"/>
        <v>1569</v>
      </c>
    </row>
    <row r="260" spans="1:41" ht="178.5" x14ac:dyDescent="0.2">
      <c r="A260" s="22">
        <f t="shared" ref="A260:A323" si="342">VALUE(RIGHT(B260,4))</f>
        <v>6787</v>
      </c>
      <c r="B260" s="116">
        <v>1001300456787</v>
      </c>
      <c r="C260" s="70" t="s">
        <v>795</v>
      </c>
      <c r="D260" s="50" t="s">
        <v>4</v>
      </c>
      <c r="E260" s="146" t="s">
        <v>373</v>
      </c>
      <c r="F260" s="112" t="s">
        <v>348</v>
      </c>
      <c r="G260" s="224" t="s">
        <v>2</v>
      </c>
      <c r="H260" s="58" t="s">
        <v>38</v>
      </c>
      <c r="I260" s="154" t="s">
        <v>389</v>
      </c>
      <c r="J260" s="150" t="s">
        <v>451</v>
      </c>
      <c r="K260" s="71" t="s">
        <v>1880</v>
      </c>
      <c r="L260" s="52">
        <v>14</v>
      </c>
      <c r="M260" s="53">
        <v>25</v>
      </c>
      <c r="N260" s="54">
        <v>3</v>
      </c>
      <c r="O260" s="88" t="s">
        <v>1821</v>
      </c>
      <c r="P260" s="31" t="s">
        <v>104</v>
      </c>
      <c r="Q260" s="87">
        <v>45</v>
      </c>
      <c r="R260" s="49" t="s">
        <v>44</v>
      </c>
      <c r="S260" s="237">
        <v>4607958077205</v>
      </c>
      <c r="T260" s="332">
        <v>14607958077202</v>
      </c>
      <c r="U260" s="46">
        <v>4607958077205</v>
      </c>
      <c r="V260" s="46">
        <v>14607958077202</v>
      </c>
      <c r="W260" s="258">
        <v>220</v>
      </c>
      <c r="X260" s="68">
        <v>80</v>
      </c>
      <c r="Y260" s="68">
        <v>58</v>
      </c>
      <c r="Z260" s="77">
        <v>0.33</v>
      </c>
      <c r="AA260" s="271">
        <v>5.0000000000000001E-3</v>
      </c>
      <c r="AB260" s="66">
        <f t="shared" si="339"/>
        <v>0.33500000000000002</v>
      </c>
      <c r="AC260" s="59">
        <v>318</v>
      </c>
      <c r="AD260" s="60">
        <v>143</v>
      </c>
      <c r="AE260" s="60">
        <v>138</v>
      </c>
      <c r="AF260" s="191">
        <v>8</v>
      </c>
      <c r="AG260" s="117">
        <v>600000407</v>
      </c>
      <c r="AH260" s="104">
        <f>справочники!$C$106</f>
        <v>9.4E-2</v>
      </c>
      <c r="AI260" s="61">
        <f t="shared" si="297"/>
        <v>2.64</v>
      </c>
      <c r="AJ260" s="122">
        <f t="shared" si="298"/>
        <v>2.774</v>
      </c>
      <c r="AK260" s="37">
        <v>19</v>
      </c>
      <c r="AL260" s="38">
        <v>11</v>
      </c>
      <c r="AM260" s="40">
        <f t="shared" si="340"/>
        <v>209</v>
      </c>
      <c r="AN260" s="206">
        <f t="shared" si="341"/>
        <v>1672</v>
      </c>
      <c r="AO260" s="204">
        <f t="shared" si="329"/>
        <v>1663</v>
      </c>
    </row>
    <row r="261" spans="1:41" ht="178.5" x14ac:dyDescent="0.2">
      <c r="A261" s="22">
        <f t="shared" si="342"/>
        <v>6688</v>
      </c>
      <c r="B261" s="116">
        <v>1001304626688</v>
      </c>
      <c r="C261" s="70" t="s">
        <v>646</v>
      </c>
      <c r="D261" s="50" t="s">
        <v>4</v>
      </c>
      <c r="E261" s="146" t="s">
        <v>373</v>
      </c>
      <c r="F261" s="112" t="s">
        <v>348</v>
      </c>
      <c r="G261" s="224" t="s">
        <v>6</v>
      </c>
      <c r="H261" s="58" t="s">
        <v>38</v>
      </c>
      <c r="I261" s="154" t="s">
        <v>389</v>
      </c>
      <c r="J261" s="150" t="s">
        <v>451</v>
      </c>
      <c r="K261" s="71" t="s">
        <v>1822</v>
      </c>
      <c r="L261" s="52">
        <v>13</v>
      </c>
      <c r="M261" s="53">
        <v>20</v>
      </c>
      <c r="N261" s="54">
        <v>5</v>
      </c>
      <c r="O261" s="88" t="s">
        <v>1823</v>
      </c>
      <c r="P261" s="31" t="s">
        <v>104</v>
      </c>
      <c r="Q261" s="87">
        <v>50</v>
      </c>
      <c r="R261" s="49" t="s">
        <v>44</v>
      </c>
      <c r="S261" s="237">
        <v>4607958073580</v>
      </c>
      <c r="T261" s="332">
        <v>24607958073584</v>
      </c>
      <c r="U261" s="46">
        <v>4607958073580</v>
      </c>
      <c r="V261" s="46">
        <v>24607958073584</v>
      </c>
      <c r="W261" s="258">
        <v>220</v>
      </c>
      <c r="X261" s="68">
        <v>80</v>
      </c>
      <c r="Y261" s="68">
        <v>58</v>
      </c>
      <c r="Z261" s="77">
        <v>0.35</v>
      </c>
      <c r="AA261" s="271">
        <v>5.0000000000000001E-3</v>
      </c>
      <c r="AB261" s="66">
        <f t="shared" si="339"/>
        <v>0.35499999999999998</v>
      </c>
      <c r="AC261" s="59">
        <v>318</v>
      </c>
      <c r="AD261" s="60">
        <v>143</v>
      </c>
      <c r="AE261" s="60">
        <v>138</v>
      </c>
      <c r="AF261" s="191">
        <v>6</v>
      </c>
      <c r="AG261" s="117">
        <v>600000407</v>
      </c>
      <c r="AH261" s="104">
        <f>справочники!$C$106</f>
        <v>9.4E-2</v>
      </c>
      <c r="AI261" s="61">
        <f t="shared" ref="AI261:AI302" si="343">ROUNDDOWN(номин.вес_нетто__кг*кол_во_инд.__упак_к,2)</f>
        <v>2.1</v>
      </c>
      <c r="AJ261" s="122">
        <f t="shared" ref="AJ261:AJ302" si="344">(номин.вес_брутто__кг*кол_во_инд.__упак_к)+вес_короба__кг</f>
        <v>2.2239999999999998</v>
      </c>
      <c r="AK261" s="37">
        <v>19</v>
      </c>
      <c r="AL261" s="38">
        <v>11</v>
      </c>
      <c r="AM261" s="40">
        <f t="shared" si="340"/>
        <v>209</v>
      </c>
      <c r="AN261" s="206">
        <f t="shared" si="341"/>
        <v>1254</v>
      </c>
      <c r="AO261" s="204">
        <f t="shared" si="329"/>
        <v>1663</v>
      </c>
    </row>
    <row r="262" spans="1:41" ht="67.150000000000006" customHeight="1" x14ac:dyDescent="0.2">
      <c r="A262" s="22">
        <f t="shared" si="342"/>
        <v>7392</v>
      </c>
      <c r="B262" s="116">
        <v>1001301847392</v>
      </c>
      <c r="C262" s="70" t="s">
        <v>1421</v>
      </c>
      <c r="D262" s="50" t="s">
        <v>4</v>
      </c>
      <c r="E262" s="146" t="s">
        <v>373</v>
      </c>
      <c r="F262" s="112" t="s">
        <v>348</v>
      </c>
      <c r="G262" s="224" t="s">
        <v>2</v>
      </c>
      <c r="H262" s="49" t="s">
        <v>38</v>
      </c>
      <c r="I262" s="154" t="s">
        <v>49</v>
      </c>
      <c r="J262" s="150" t="s">
        <v>402</v>
      </c>
      <c r="K262" s="51" t="s">
        <v>1422</v>
      </c>
      <c r="L262" s="52">
        <v>13</v>
      </c>
      <c r="M262" s="53">
        <v>41</v>
      </c>
      <c r="N262" s="53">
        <v>0</v>
      </c>
      <c r="O262" s="88" t="s">
        <v>1423</v>
      </c>
      <c r="P262" s="31" t="s">
        <v>104</v>
      </c>
      <c r="Q262" s="49">
        <v>45</v>
      </c>
      <c r="R262" s="82" t="s">
        <v>51</v>
      </c>
      <c r="S262" s="243">
        <v>4630362180650</v>
      </c>
      <c r="T262" s="340">
        <v>14630362180657</v>
      </c>
      <c r="U262" s="46">
        <v>4630362180650</v>
      </c>
      <c r="V262" s="46">
        <v>14630362180657</v>
      </c>
      <c r="W262" s="93">
        <v>220</v>
      </c>
      <c r="X262" s="60">
        <v>80</v>
      </c>
      <c r="Y262" s="60">
        <v>58</v>
      </c>
      <c r="Z262" s="77">
        <v>0.3</v>
      </c>
      <c r="AA262" s="271">
        <v>5.0000000000000001E-3</v>
      </c>
      <c r="AB262" s="66">
        <f t="shared" ref="AB262" si="345">Z262+AA262</f>
        <v>0.30499999999999999</v>
      </c>
      <c r="AC262" s="59">
        <v>388</v>
      </c>
      <c r="AD262" s="60">
        <v>292</v>
      </c>
      <c r="AE262" s="60">
        <v>240</v>
      </c>
      <c r="AF262" s="192">
        <v>40</v>
      </c>
      <c r="AG262" s="117">
        <v>600000434</v>
      </c>
      <c r="AH262" s="106">
        <f>справочники!$C$143</f>
        <v>0.35499999999999998</v>
      </c>
      <c r="AI262" s="126">
        <f t="shared" si="343"/>
        <v>12</v>
      </c>
      <c r="AJ262" s="124">
        <f t="shared" si="344"/>
        <v>12.555</v>
      </c>
      <c r="AK262" s="37">
        <v>8</v>
      </c>
      <c r="AL262" s="38">
        <v>6</v>
      </c>
      <c r="AM262" s="40">
        <f t="shared" si="340"/>
        <v>48</v>
      </c>
      <c r="AN262" s="206">
        <f t="shared" si="341"/>
        <v>1920</v>
      </c>
      <c r="AO262" s="204">
        <f t="shared" si="329"/>
        <v>1585</v>
      </c>
    </row>
    <row r="263" spans="1:41" ht="67.150000000000006" customHeight="1" x14ac:dyDescent="0.2">
      <c r="A263" s="22">
        <f t="shared" si="342"/>
        <v>7421</v>
      </c>
      <c r="B263" s="116">
        <v>1001301847421</v>
      </c>
      <c r="C263" s="70" t="s">
        <v>1429</v>
      </c>
      <c r="D263" s="50" t="s">
        <v>4</v>
      </c>
      <c r="E263" s="146" t="s">
        <v>373</v>
      </c>
      <c r="F263" s="112" t="s">
        <v>348</v>
      </c>
      <c r="G263" s="224" t="s">
        <v>2</v>
      </c>
      <c r="H263" s="49" t="s">
        <v>38</v>
      </c>
      <c r="I263" s="154" t="s">
        <v>49</v>
      </c>
      <c r="J263" s="150" t="s">
        <v>402</v>
      </c>
      <c r="K263" s="51" t="s">
        <v>1422</v>
      </c>
      <c r="L263" s="52">
        <v>13</v>
      </c>
      <c r="M263" s="53">
        <v>41</v>
      </c>
      <c r="N263" s="53">
        <v>0</v>
      </c>
      <c r="O263" s="88" t="s">
        <v>1423</v>
      </c>
      <c r="P263" s="31" t="s">
        <v>104</v>
      </c>
      <c r="Q263" s="49">
        <v>45</v>
      </c>
      <c r="R263" s="82" t="s">
        <v>51</v>
      </c>
      <c r="S263" s="243">
        <v>4630362180650</v>
      </c>
      <c r="T263" s="340">
        <v>14630362180657</v>
      </c>
      <c r="U263" s="46">
        <v>4630362180650</v>
      </c>
      <c r="V263" s="46">
        <v>14630362180657</v>
      </c>
      <c r="W263" s="93">
        <v>220</v>
      </c>
      <c r="X263" s="60">
        <v>80</v>
      </c>
      <c r="Y263" s="60">
        <v>58</v>
      </c>
      <c r="Z263" s="77">
        <v>0.3</v>
      </c>
      <c r="AA263" s="271">
        <v>5.0000000000000001E-3</v>
      </c>
      <c r="AB263" s="66">
        <f t="shared" ref="AB263" si="346">Z263+AA263</f>
        <v>0.30499999999999999</v>
      </c>
      <c r="AC263" s="59">
        <v>388</v>
      </c>
      <c r="AD263" s="60">
        <v>292</v>
      </c>
      <c r="AE263" s="60">
        <v>240</v>
      </c>
      <c r="AF263" s="192">
        <v>40</v>
      </c>
      <c r="AG263" s="117">
        <v>600000434</v>
      </c>
      <c r="AH263" s="106">
        <f>справочники!$C$143</f>
        <v>0.35499999999999998</v>
      </c>
      <c r="AI263" s="126">
        <f t="shared" si="343"/>
        <v>12</v>
      </c>
      <c r="AJ263" s="124">
        <f t="shared" si="344"/>
        <v>12.555</v>
      </c>
      <c r="AK263" s="37">
        <v>8</v>
      </c>
      <c r="AL263" s="38">
        <v>6</v>
      </c>
      <c r="AM263" s="40">
        <f t="shared" ref="AM263" si="347">AK263*AL263</f>
        <v>48</v>
      </c>
      <c r="AN263" s="206">
        <f t="shared" ref="AN263" si="348">IF(D263="ШТ",кол_во_инд.__упак_к*итого_г_у,ROUNDDOWN(номин.вес_нетто_г_у__кг*итого_г_у,1))</f>
        <v>1920</v>
      </c>
      <c r="AO263" s="204">
        <f t="shared" si="329"/>
        <v>1585</v>
      </c>
    </row>
    <row r="264" spans="1:41" ht="141.75" customHeight="1" x14ac:dyDescent="0.2">
      <c r="A264" s="22">
        <f t="shared" si="342"/>
        <v>7249</v>
      </c>
      <c r="B264" s="116">
        <v>1001306647249</v>
      </c>
      <c r="C264" s="70" t="s">
        <v>1212</v>
      </c>
      <c r="D264" s="81" t="s">
        <v>4</v>
      </c>
      <c r="E264" s="146" t="s">
        <v>373</v>
      </c>
      <c r="F264" s="112" t="s">
        <v>348</v>
      </c>
      <c r="G264" s="224" t="s">
        <v>6</v>
      </c>
      <c r="H264" s="58" t="s">
        <v>38</v>
      </c>
      <c r="I264" s="154" t="s">
        <v>389</v>
      </c>
      <c r="J264" s="150" t="s">
        <v>451</v>
      </c>
      <c r="K264" s="71" t="s">
        <v>1826</v>
      </c>
      <c r="L264" s="52">
        <v>13</v>
      </c>
      <c r="M264" s="53">
        <v>20</v>
      </c>
      <c r="N264" s="54">
        <v>6</v>
      </c>
      <c r="O264" s="88" t="s">
        <v>1825</v>
      </c>
      <c r="P264" s="31" t="s">
        <v>104</v>
      </c>
      <c r="Q264" s="49">
        <v>45</v>
      </c>
      <c r="R264" s="49" t="s">
        <v>44</v>
      </c>
      <c r="S264" s="237">
        <v>4607958079193</v>
      </c>
      <c r="T264" s="332">
        <v>14607958079190</v>
      </c>
      <c r="U264" s="46">
        <v>4607958079193</v>
      </c>
      <c r="V264" s="46">
        <v>14607958079190</v>
      </c>
      <c r="W264" s="258">
        <v>220</v>
      </c>
      <c r="X264" s="68">
        <v>80</v>
      </c>
      <c r="Y264" s="68">
        <v>54</v>
      </c>
      <c r="Z264" s="77">
        <v>0.28000000000000003</v>
      </c>
      <c r="AA264" s="271">
        <v>5.0000000000000001E-3</v>
      </c>
      <c r="AB264" s="66">
        <f t="shared" si="339"/>
        <v>0.28500000000000003</v>
      </c>
      <c r="AC264" s="59">
        <v>318</v>
      </c>
      <c r="AD264" s="60">
        <v>143</v>
      </c>
      <c r="AE264" s="60">
        <v>138</v>
      </c>
      <c r="AF264" s="191">
        <v>8</v>
      </c>
      <c r="AG264" s="117">
        <v>600000407</v>
      </c>
      <c r="AH264" s="104">
        <f>справочники!$C$106</f>
        <v>9.4E-2</v>
      </c>
      <c r="AI264" s="61">
        <f t="shared" si="343"/>
        <v>2.2400000000000002</v>
      </c>
      <c r="AJ264" s="124">
        <f t="shared" si="344"/>
        <v>2.3740000000000001</v>
      </c>
      <c r="AK264" s="37">
        <v>19</v>
      </c>
      <c r="AL264" s="38">
        <v>11</v>
      </c>
      <c r="AM264" s="40">
        <f t="shared" si="340"/>
        <v>209</v>
      </c>
      <c r="AN264" s="206">
        <f t="shared" si="341"/>
        <v>1672</v>
      </c>
      <c r="AO264" s="204">
        <f t="shared" si="329"/>
        <v>1663</v>
      </c>
    </row>
    <row r="265" spans="1:41" ht="141.75" customHeight="1" x14ac:dyDescent="0.2">
      <c r="A265" s="22">
        <f t="shared" si="342"/>
        <v>7600</v>
      </c>
      <c r="B265" s="116">
        <v>1001307657600</v>
      </c>
      <c r="C265" s="70" t="s">
        <v>1799</v>
      </c>
      <c r="D265" s="81" t="s">
        <v>4</v>
      </c>
      <c r="E265" s="146" t="s">
        <v>373</v>
      </c>
      <c r="F265" s="112" t="s">
        <v>348</v>
      </c>
      <c r="G265" s="224" t="s">
        <v>6</v>
      </c>
      <c r="H265" s="58" t="s">
        <v>38</v>
      </c>
      <c r="I265" s="154" t="s">
        <v>389</v>
      </c>
      <c r="J265" s="150" t="s">
        <v>451</v>
      </c>
      <c r="K265" s="71" t="s">
        <v>1801</v>
      </c>
      <c r="L265" s="52">
        <v>13</v>
      </c>
      <c r="M265" s="53">
        <v>20</v>
      </c>
      <c r="N265" s="54">
        <v>6</v>
      </c>
      <c r="O265" s="88" t="s">
        <v>1800</v>
      </c>
      <c r="P265" s="31" t="s">
        <v>104</v>
      </c>
      <c r="Q265" s="49">
        <v>45</v>
      </c>
      <c r="R265" s="49" t="s">
        <v>44</v>
      </c>
      <c r="S265" s="237">
        <v>4630362182364</v>
      </c>
      <c r="T265" s="332">
        <v>14630362182361</v>
      </c>
      <c r="U265" s="46">
        <v>4630362182364</v>
      </c>
      <c r="V265" s="46">
        <v>14630362182361</v>
      </c>
      <c r="W265" s="258">
        <v>220</v>
      </c>
      <c r="X265" s="68">
        <v>80</v>
      </c>
      <c r="Y265" s="68">
        <v>54</v>
      </c>
      <c r="Z265" s="77">
        <v>0.28000000000000003</v>
      </c>
      <c r="AA265" s="271">
        <v>5.0000000000000001E-3</v>
      </c>
      <c r="AB265" s="66">
        <f t="shared" si="339"/>
        <v>0.28500000000000003</v>
      </c>
      <c r="AC265" s="59">
        <v>318</v>
      </c>
      <c r="AD265" s="60">
        <v>143</v>
      </c>
      <c r="AE265" s="60">
        <v>138</v>
      </c>
      <c r="AF265" s="191">
        <v>8</v>
      </c>
      <c r="AG265" s="117">
        <v>600000407</v>
      </c>
      <c r="AH265" s="104">
        <f>справочники!$C$106</f>
        <v>9.4E-2</v>
      </c>
      <c r="AI265" s="61">
        <f t="shared" si="343"/>
        <v>2.2400000000000002</v>
      </c>
      <c r="AJ265" s="124">
        <f t="shared" si="344"/>
        <v>2.3740000000000001</v>
      </c>
      <c r="AK265" s="37">
        <v>19</v>
      </c>
      <c r="AL265" s="38">
        <v>11</v>
      </c>
      <c r="AM265" s="40">
        <f t="shared" si="340"/>
        <v>209</v>
      </c>
      <c r="AN265" s="206">
        <f t="shared" si="341"/>
        <v>1672</v>
      </c>
      <c r="AO265" s="204">
        <f t="shared" si="329"/>
        <v>1663</v>
      </c>
    </row>
    <row r="266" spans="1:41" ht="191.25" x14ac:dyDescent="0.2">
      <c r="A266" s="22">
        <f t="shared" si="342"/>
        <v>7416</v>
      </c>
      <c r="B266" s="116">
        <v>1001307117416</v>
      </c>
      <c r="C266" s="70" t="s">
        <v>1677</v>
      </c>
      <c r="D266" s="81" t="s">
        <v>3</v>
      </c>
      <c r="E266" s="146" t="s">
        <v>373</v>
      </c>
      <c r="F266" s="112" t="s">
        <v>348</v>
      </c>
      <c r="G266" s="224" t="s">
        <v>2</v>
      </c>
      <c r="H266" s="58" t="s">
        <v>1610</v>
      </c>
      <c r="I266" s="154" t="s">
        <v>389</v>
      </c>
      <c r="J266" s="150" t="s">
        <v>451</v>
      </c>
      <c r="K266" s="71" t="s">
        <v>1679</v>
      </c>
      <c r="L266" s="52">
        <v>19</v>
      </c>
      <c r="M266" s="53">
        <v>37</v>
      </c>
      <c r="N266" s="54">
        <v>2</v>
      </c>
      <c r="O266" s="88" t="s">
        <v>1680</v>
      </c>
      <c r="P266" s="31" t="s">
        <v>104</v>
      </c>
      <c r="Q266" s="87">
        <v>45</v>
      </c>
      <c r="R266" s="49" t="s">
        <v>44</v>
      </c>
      <c r="S266" s="237">
        <v>2800673000004</v>
      </c>
      <c r="T266" s="332">
        <v>12800673000001</v>
      </c>
      <c r="U266" s="46">
        <v>4630362182630</v>
      </c>
      <c r="V266" s="46">
        <v>14630362182637</v>
      </c>
      <c r="W266" s="258">
        <v>340</v>
      </c>
      <c r="X266" s="68">
        <v>145</v>
      </c>
      <c r="Y266" s="68">
        <v>85</v>
      </c>
      <c r="Z266" s="77">
        <v>1.35</v>
      </c>
      <c r="AA266" s="271">
        <v>8.0000000000000002E-3</v>
      </c>
      <c r="AB266" s="66">
        <f t="shared" si="339"/>
        <v>1.3580000000000001</v>
      </c>
      <c r="AC266" s="59">
        <v>292</v>
      </c>
      <c r="AD266" s="60">
        <v>178</v>
      </c>
      <c r="AE266" s="60">
        <v>178</v>
      </c>
      <c r="AF266" s="191">
        <v>3</v>
      </c>
      <c r="AG266" s="117">
        <v>600000029</v>
      </c>
      <c r="AH266" s="104">
        <f>справочники!$C$21</f>
        <v>0.125</v>
      </c>
      <c r="AI266" s="61">
        <f t="shared" si="343"/>
        <v>4.05</v>
      </c>
      <c r="AJ266" s="122">
        <f t="shared" si="344"/>
        <v>4.1989999999999998</v>
      </c>
      <c r="AK266" s="37">
        <v>16</v>
      </c>
      <c r="AL266" s="38">
        <v>8</v>
      </c>
      <c r="AM266" s="40">
        <f t="shared" si="340"/>
        <v>128</v>
      </c>
      <c r="AN266" s="214">
        <f t="shared" si="341"/>
        <v>518.4</v>
      </c>
      <c r="AO266" s="204">
        <f t="shared" si="329"/>
        <v>1569</v>
      </c>
    </row>
    <row r="267" spans="1:41" ht="191.25" x14ac:dyDescent="0.2">
      <c r="A267" s="22">
        <f t="shared" si="342"/>
        <v>7547</v>
      </c>
      <c r="B267" s="116">
        <v>1001307117547</v>
      </c>
      <c r="C267" s="70" t="s">
        <v>1678</v>
      </c>
      <c r="D267" s="81" t="s">
        <v>3</v>
      </c>
      <c r="E267" s="146" t="s">
        <v>373</v>
      </c>
      <c r="F267" s="112" t="s">
        <v>348</v>
      </c>
      <c r="G267" s="224" t="s">
        <v>2</v>
      </c>
      <c r="H267" s="58" t="s">
        <v>38</v>
      </c>
      <c r="I267" s="154" t="s">
        <v>389</v>
      </c>
      <c r="J267" s="150" t="s">
        <v>451</v>
      </c>
      <c r="K267" s="71" t="s">
        <v>1679</v>
      </c>
      <c r="L267" s="52">
        <v>19</v>
      </c>
      <c r="M267" s="53">
        <v>37</v>
      </c>
      <c r="N267" s="54">
        <v>2</v>
      </c>
      <c r="O267" s="88" t="s">
        <v>1680</v>
      </c>
      <c r="P267" s="31" t="s">
        <v>104</v>
      </c>
      <c r="Q267" s="87">
        <v>10</v>
      </c>
      <c r="R267" s="49"/>
      <c r="S267" s="237">
        <v>2800673000004</v>
      </c>
      <c r="T267" s="332">
        <v>12800673000001</v>
      </c>
      <c r="U267" s="46" t="s">
        <v>1874</v>
      </c>
      <c r="V267" s="46" t="s">
        <v>1874</v>
      </c>
      <c r="W267" s="258"/>
      <c r="X267" s="68"/>
      <c r="Y267" s="68"/>
      <c r="Z267" s="77">
        <v>1.35</v>
      </c>
      <c r="AA267" s="271">
        <v>1.7000000000000001E-2</v>
      </c>
      <c r="AB267" s="66">
        <f t="shared" si="339"/>
        <v>1.367</v>
      </c>
      <c r="AC267" s="59">
        <v>388</v>
      </c>
      <c r="AD267" s="60">
        <v>292</v>
      </c>
      <c r="AE267" s="60">
        <v>240</v>
      </c>
      <c r="AF267" s="191">
        <v>8</v>
      </c>
      <c r="AG267" s="117">
        <v>600000434</v>
      </c>
      <c r="AH267" s="104">
        <f>справочники!$C$143</f>
        <v>0.35499999999999998</v>
      </c>
      <c r="AI267" s="61">
        <f t="shared" si="343"/>
        <v>10.8</v>
      </c>
      <c r="AJ267" s="122">
        <f t="shared" si="344"/>
        <v>11.291</v>
      </c>
      <c r="AK267" s="37">
        <v>8</v>
      </c>
      <c r="AL267" s="38">
        <v>7</v>
      </c>
      <c r="AM267" s="40">
        <f t="shared" si="340"/>
        <v>56</v>
      </c>
      <c r="AN267" s="214">
        <f t="shared" si="341"/>
        <v>604.79999999999995</v>
      </c>
      <c r="AO267" s="204">
        <f t="shared" si="329"/>
        <v>1825</v>
      </c>
    </row>
    <row r="268" spans="1:41" ht="115.5" customHeight="1" x14ac:dyDescent="0.2">
      <c r="A268" s="22">
        <f t="shared" si="342"/>
        <v>7238</v>
      </c>
      <c r="B268" s="116">
        <v>1001305197238</v>
      </c>
      <c r="C268" s="70" t="s">
        <v>1190</v>
      </c>
      <c r="D268" s="50" t="s">
        <v>4</v>
      </c>
      <c r="E268" s="146" t="s">
        <v>373</v>
      </c>
      <c r="F268" s="112" t="s">
        <v>348</v>
      </c>
      <c r="G268" s="224" t="s">
        <v>6</v>
      </c>
      <c r="H268" s="58" t="s">
        <v>38</v>
      </c>
      <c r="I268" s="154" t="s">
        <v>389</v>
      </c>
      <c r="J268" s="151" t="s">
        <v>451</v>
      </c>
      <c r="K268" s="71" t="s">
        <v>1861</v>
      </c>
      <c r="L268" s="52">
        <v>13</v>
      </c>
      <c r="M268" s="53">
        <v>20</v>
      </c>
      <c r="N268" s="54">
        <v>4</v>
      </c>
      <c r="O268" s="88" t="s">
        <v>1862</v>
      </c>
      <c r="P268" s="31" t="s">
        <v>104</v>
      </c>
      <c r="Q268" s="87">
        <v>45</v>
      </c>
      <c r="R268" s="49" t="s">
        <v>44</v>
      </c>
      <c r="S268" s="237">
        <v>4607958075744</v>
      </c>
      <c r="T268" s="332">
        <v>14607958075741</v>
      </c>
      <c r="U268" s="46">
        <v>4607958075744</v>
      </c>
      <c r="V268" s="46">
        <v>14607958075741</v>
      </c>
      <c r="W268" s="258">
        <v>220</v>
      </c>
      <c r="X268" s="68">
        <v>80</v>
      </c>
      <c r="Y268" s="68">
        <v>58</v>
      </c>
      <c r="Z268" s="65">
        <v>0.31</v>
      </c>
      <c r="AA268" s="271">
        <v>5.0000000000000001E-3</v>
      </c>
      <c r="AB268" s="66">
        <f t="shared" ref="AB268" si="349">Z268+AA268</f>
        <v>0.315</v>
      </c>
      <c r="AC268" s="59">
        <v>318</v>
      </c>
      <c r="AD268" s="60">
        <v>143</v>
      </c>
      <c r="AE268" s="60">
        <v>138</v>
      </c>
      <c r="AF268" s="191">
        <v>8</v>
      </c>
      <c r="AG268" s="117">
        <v>600000407</v>
      </c>
      <c r="AH268" s="104">
        <f>справочники!$C$106</f>
        <v>9.4E-2</v>
      </c>
      <c r="AI268" s="61">
        <f t="shared" si="343"/>
        <v>2.48</v>
      </c>
      <c r="AJ268" s="122">
        <f t="shared" si="344"/>
        <v>2.6139999999999999</v>
      </c>
      <c r="AK268" s="37">
        <v>19</v>
      </c>
      <c r="AL268" s="38">
        <v>11</v>
      </c>
      <c r="AM268" s="40">
        <f t="shared" ref="AM268" si="350">AK268*AL268</f>
        <v>209</v>
      </c>
      <c r="AN268" s="206">
        <f t="shared" ref="AN268" si="351">IF(D268="ШТ",кол_во_инд.__упак_к*итого_г_у,ROUNDDOWN(номин.вес_нетто_г_у__кг*итого_г_у,1))</f>
        <v>1672</v>
      </c>
      <c r="AO268" s="204">
        <f t="shared" si="329"/>
        <v>1663</v>
      </c>
    </row>
    <row r="269" spans="1:41" ht="178.5" x14ac:dyDescent="0.2">
      <c r="A269" s="22">
        <f t="shared" si="342"/>
        <v>7379</v>
      </c>
      <c r="B269" s="116">
        <v>1001305197379</v>
      </c>
      <c r="C269" s="70" t="s">
        <v>1393</v>
      </c>
      <c r="D269" s="81" t="s">
        <v>4</v>
      </c>
      <c r="E269" s="146" t="s">
        <v>373</v>
      </c>
      <c r="F269" s="112" t="s">
        <v>348</v>
      </c>
      <c r="G269" s="224" t="s">
        <v>5</v>
      </c>
      <c r="H269" s="58" t="s">
        <v>38</v>
      </c>
      <c r="I269" s="154" t="s">
        <v>389</v>
      </c>
      <c r="J269" s="151" t="s">
        <v>1394</v>
      </c>
      <c r="K269" s="71" t="s">
        <v>1343</v>
      </c>
      <c r="L269" s="52">
        <v>11</v>
      </c>
      <c r="M269" s="53">
        <v>21</v>
      </c>
      <c r="N269" s="54">
        <v>1</v>
      </c>
      <c r="O269" s="88" t="s">
        <v>1344</v>
      </c>
      <c r="P269" s="31" t="s">
        <v>104</v>
      </c>
      <c r="Q269" s="87">
        <v>45</v>
      </c>
      <c r="R269" s="49" t="s">
        <v>44</v>
      </c>
      <c r="S269" s="237">
        <v>4630362180438</v>
      </c>
      <c r="T269" s="332">
        <v>14630362180435</v>
      </c>
      <c r="U269" s="46">
        <v>4630362180438</v>
      </c>
      <c r="V269" s="46">
        <v>14630362180435</v>
      </c>
      <c r="W269" s="258">
        <v>324</v>
      </c>
      <c r="X269" s="68">
        <v>85</v>
      </c>
      <c r="Y269" s="68">
        <v>56</v>
      </c>
      <c r="Z269" s="77">
        <v>0.65</v>
      </c>
      <c r="AA269" s="271">
        <v>8.0000000000000002E-3</v>
      </c>
      <c r="AB269" s="66">
        <f t="shared" ref="AB269" si="352">Z269+AA269</f>
        <v>0.65800000000000003</v>
      </c>
      <c r="AC269" s="59">
        <v>315</v>
      </c>
      <c r="AD269" s="60">
        <v>168</v>
      </c>
      <c r="AE269" s="60">
        <v>248</v>
      </c>
      <c r="AF269" s="191">
        <v>10</v>
      </c>
      <c r="AG269" s="117">
        <v>600000429</v>
      </c>
      <c r="AH269" s="104">
        <f>справочники!$C$115</f>
        <v>0.14299999999999999</v>
      </c>
      <c r="AI269" s="61">
        <f t="shared" si="343"/>
        <v>6.5</v>
      </c>
      <c r="AJ269" s="124">
        <f t="shared" si="344"/>
        <v>6.7229999999999999</v>
      </c>
      <c r="AK269" s="37">
        <v>17</v>
      </c>
      <c r="AL269" s="38">
        <v>6</v>
      </c>
      <c r="AM269" s="40">
        <f t="shared" ref="AM269" si="353">AK269*AL269</f>
        <v>102</v>
      </c>
      <c r="AN269" s="206">
        <f t="shared" ref="AN269" si="354">IF(D269="ШТ",кол_во_инд.__упак_к*итого_г_у,ROUNDDOWN(номин.вес_нетто_г_у__кг*итого_г_у,1))</f>
        <v>1020</v>
      </c>
      <c r="AO269" s="204">
        <f t="shared" si="329"/>
        <v>1633</v>
      </c>
    </row>
    <row r="270" spans="1:41" ht="178.5" x14ac:dyDescent="0.2">
      <c r="A270" s="22">
        <f t="shared" si="342"/>
        <v>7535</v>
      </c>
      <c r="B270" s="116">
        <v>1001305197535</v>
      </c>
      <c r="C270" s="70" t="s">
        <v>1653</v>
      </c>
      <c r="D270" s="81" t="s">
        <v>4</v>
      </c>
      <c r="E270" s="146" t="s">
        <v>373</v>
      </c>
      <c r="F270" s="112" t="s">
        <v>348</v>
      </c>
      <c r="G270" s="224" t="s">
        <v>5</v>
      </c>
      <c r="H270" s="58" t="s">
        <v>38</v>
      </c>
      <c r="I270" s="154" t="s">
        <v>389</v>
      </c>
      <c r="J270" s="151" t="s">
        <v>1394</v>
      </c>
      <c r="K270" s="71" t="s">
        <v>1343</v>
      </c>
      <c r="L270" s="52">
        <v>11</v>
      </c>
      <c r="M270" s="53">
        <v>21</v>
      </c>
      <c r="N270" s="54">
        <v>1</v>
      </c>
      <c r="O270" s="88" t="s">
        <v>1344</v>
      </c>
      <c r="P270" s="31" t="s">
        <v>104</v>
      </c>
      <c r="Q270" s="87">
        <v>45</v>
      </c>
      <c r="R270" s="49" t="s">
        <v>44</v>
      </c>
      <c r="S270" s="237">
        <v>4630362182166</v>
      </c>
      <c r="T270" s="332">
        <v>14630362182163</v>
      </c>
      <c r="U270" s="46">
        <v>4630362182166</v>
      </c>
      <c r="V270" s="46">
        <v>14630362182163</v>
      </c>
      <c r="W270" s="258">
        <v>300</v>
      </c>
      <c r="X270" s="68">
        <v>79</v>
      </c>
      <c r="Y270" s="68">
        <v>58</v>
      </c>
      <c r="Z270" s="77">
        <v>0.7</v>
      </c>
      <c r="AA270" s="271">
        <v>8.0000000000000002E-3</v>
      </c>
      <c r="AB270" s="66">
        <f t="shared" ref="AB270" si="355">Z270+AA270</f>
        <v>0.70799999999999996</v>
      </c>
      <c r="AC270" s="59">
        <v>292</v>
      </c>
      <c r="AD270" s="60">
        <v>178</v>
      </c>
      <c r="AE270" s="60">
        <v>178</v>
      </c>
      <c r="AF270" s="191">
        <v>8</v>
      </c>
      <c r="AG270" s="117">
        <v>600000029</v>
      </c>
      <c r="AH270" s="104">
        <f>справочники!$C$21</f>
        <v>0.125</v>
      </c>
      <c r="AI270" s="61">
        <f t="shared" si="343"/>
        <v>5.6</v>
      </c>
      <c r="AJ270" s="124">
        <f t="shared" si="344"/>
        <v>5.7889999999999997</v>
      </c>
      <c r="AK270" s="37">
        <v>16</v>
      </c>
      <c r="AL270" s="38">
        <v>8</v>
      </c>
      <c r="AM270" s="40">
        <f t="shared" ref="AM270" si="356">AK270*AL270</f>
        <v>128</v>
      </c>
      <c r="AN270" s="206">
        <f t="shared" ref="AN270" si="357">IF(D270="ШТ",кол_во_инд.__упак_к*итого_г_у,ROUNDDOWN(номин.вес_нетто_г_у__кг*итого_г_у,1))</f>
        <v>1024</v>
      </c>
      <c r="AO270" s="204">
        <f t="shared" si="329"/>
        <v>1569</v>
      </c>
    </row>
    <row r="271" spans="1:41" ht="165.75" x14ac:dyDescent="0.2">
      <c r="A271" s="22">
        <f t="shared" si="342"/>
        <v>7164</v>
      </c>
      <c r="B271" s="116">
        <v>1001305827164</v>
      </c>
      <c r="C271" s="70" t="s">
        <v>1751</v>
      </c>
      <c r="D271" s="50" t="s">
        <v>4</v>
      </c>
      <c r="E271" s="146" t="s">
        <v>373</v>
      </c>
      <c r="F271" s="112" t="s">
        <v>348</v>
      </c>
      <c r="G271" s="224" t="s">
        <v>6</v>
      </c>
      <c r="H271" s="58" t="s">
        <v>38</v>
      </c>
      <c r="I271" s="154" t="s">
        <v>389</v>
      </c>
      <c r="J271" s="150" t="s">
        <v>451</v>
      </c>
      <c r="K271" s="71" t="s">
        <v>967</v>
      </c>
      <c r="L271" s="52">
        <v>13</v>
      </c>
      <c r="M271" s="53">
        <v>20</v>
      </c>
      <c r="N271" s="53"/>
      <c r="O271" s="88" t="s">
        <v>40</v>
      </c>
      <c r="P271" s="31" t="s">
        <v>104</v>
      </c>
      <c r="Q271" s="49">
        <v>50</v>
      </c>
      <c r="R271" s="82" t="s">
        <v>44</v>
      </c>
      <c r="S271" s="243">
        <v>4607958078288</v>
      </c>
      <c r="T271" s="340">
        <v>14607958078285</v>
      </c>
      <c r="U271" s="46">
        <v>4607958078288</v>
      </c>
      <c r="V271" s="46">
        <v>14607958078285</v>
      </c>
      <c r="W271" s="93">
        <v>220</v>
      </c>
      <c r="X271" s="60">
        <v>80</v>
      </c>
      <c r="Y271" s="60">
        <v>66</v>
      </c>
      <c r="Z271" s="65">
        <v>0.42</v>
      </c>
      <c r="AA271" s="271">
        <v>5.0000000000000001E-3</v>
      </c>
      <c r="AB271" s="66">
        <f t="shared" ref="AB271" si="358">Z271+AA271</f>
        <v>0.42499999999999999</v>
      </c>
      <c r="AC271" s="59">
        <v>278</v>
      </c>
      <c r="AD271" s="60">
        <v>193</v>
      </c>
      <c r="AE271" s="60">
        <v>138</v>
      </c>
      <c r="AF271" s="191">
        <v>8</v>
      </c>
      <c r="AG271" s="117">
        <v>600000404</v>
      </c>
      <c r="AH271" s="104">
        <f>справочники!$C$101</f>
        <v>0.105</v>
      </c>
      <c r="AI271" s="61">
        <f t="shared" si="343"/>
        <v>3.36</v>
      </c>
      <c r="AJ271" s="122">
        <f t="shared" si="344"/>
        <v>3.5049999999999999</v>
      </c>
      <c r="AK271" s="37">
        <v>16</v>
      </c>
      <c r="AL271" s="38">
        <v>10</v>
      </c>
      <c r="AM271" s="40">
        <f t="shared" ref="AM271" si="359">AK271*AL271</f>
        <v>160</v>
      </c>
      <c r="AN271" s="206">
        <f t="shared" ref="AN271" si="360">IF(D271="ШТ",кол_во_инд.__упак_к*итого_г_у,ROUNDDOWN(номин.вес_нетто_г_у__кг*итого_г_у,1))</f>
        <v>1280</v>
      </c>
      <c r="AO271" s="204">
        <f t="shared" si="329"/>
        <v>1525</v>
      </c>
    </row>
    <row r="272" spans="1:41" ht="165.75" x14ac:dyDescent="0.2">
      <c r="A272" s="22">
        <f t="shared" si="342"/>
        <v>7588</v>
      </c>
      <c r="B272" s="116">
        <v>1001305827588</v>
      </c>
      <c r="C272" s="70" t="s">
        <v>1816</v>
      </c>
      <c r="D272" s="50" t="s">
        <v>4</v>
      </c>
      <c r="E272" s="146" t="s">
        <v>373</v>
      </c>
      <c r="F272" s="112" t="s">
        <v>348</v>
      </c>
      <c r="G272" s="224" t="s">
        <v>6</v>
      </c>
      <c r="H272" s="58" t="s">
        <v>38</v>
      </c>
      <c r="I272" s="154" t="s">
        <v>389</v>
      </c>
      <c r="J272" s="150" t="s">
        <v>451</v>
      </c>
      <c r="K272" s="71" t="s">
        <v>967</v>
      </c>
      <c r="L272" s="52">
        <v>13</v>
      </c>
      <c r="M272" s="53">
        <v>20</v>
      </c>
      <c r="N272" s="53"/>
      <c r="O272" s="88" t="s">
        <v>40</v>
      </c>
      <c r="P272" s="31" t="s">
        <v>104</v>
      </c>
      <c r="Q272" s="49">
        <v>50</v>
      </c>
      <c r="R272" s="82" t="s">
        <v>44</v>
      </c>
      <c r="S272" s="243">
        <v>4607958078288</v>
      </c>
      <c r="T272" s="340">
        <v>34607958078289</v>
      </c>
      <c r="U272" s="46">
        <v>4607958078288</v>
      </c>
      <c r="V272" s="46">
        <v>34607958078289</v>
      </c>
      <c r="W272" s="93">
        <v>220</v>
      </c>
      <c r="X272" s="60">
        <v>80</v>
      </c>
      <c r="Y272" s="60">
        <v>66</v>
      </c>
      <c r="Z272" s="65">
        <v>0.42</v>
      </c>
      <c r="AA272" s="271">
        <v>5.0000000000000001E-3</v>
      </c>
      <c r="AB272" s="66">
        <f t="shared" ref="AB272" si="361">Z272+AA272</f>
        <v>0.42499999999999999</v>
      </c>
      <c r="AC272" s="59">
        <v>265</v>
      </c>
      <c r="AD272" s="60">
        <v>394</v>
      </c>
      <c r="AE272" s="60">
        <v>135</v>
      </c>
      <c r="AF272" s="191">
        <v>20</v>
      </c>
      <c r="AG272" s="117">
        <v>600000608</v>
      </c>
      <c r="AH272" s="104">
        <f>справочники!$C$196</f>
        <v>0.19</v>
      </c>
      <c r="AI272" s="61">
        <f t="shared" si="343"/>
        <v>8.4</v>
      </c>
      <c r="AJ272" s="122">
        <f t="shared" si="344"/>
        <v>8.69</v>
      </c>
      <c r="AK272" s="37">
        <v>9</v>
      </c>
      <c r="AL272" s="38">
        <v>12</v>
      </c>
      <c r="AM272" s="40">
        <f t="shared" ref="AM272" si="362">AK272*AL272</f>
        <v>108</v>
      </c>
      <c r="AN272" s="206">
        <f t="shared" ref="AN272" si="363">IF(D272="ШТ",кол_во_инд.__упак_к*итого_г_у,ROUNDDOWN(номин.вес_нетто_г_у__кг*итого_г_у,1))</f>
        <v>2160</v>
      </c>
      <c r="AO272" s="204">
        <f t="shared" si="329"/>
        <v>1765</v>
      </c>
    </row>
    <row r="273" spans="1:41" ht="128.25" customHeight="1" x14ac:dyDescent="0.2">
      <c r="A273" s="22">
        <f t="shared" si="342"/>
        <v>7166</v>
      </c>
      <c r="B273" s="116">
        <v>1001303987166</v>
      </c>
      <c r="C273" s="70" t="s">
        <v>1134</v>
      </c>
      <c r="D273" s="81" t="s">
        <v>3</v>
      </c>
      <c r="E273" s="146" t="s">
        <v>373</v>
      </c>
      <c r="F273" s="112" t="s">
        <v>348</v>
      </c>
      <c r="G273" s="224" t="s">
        <v>6</v>
      </c>
      <c r="H273" s="58" t="s">
        <v>38</v>
      </c>
      <c r="I273" s="154" t="s">
        <v>389</v>
      </c>
      <c r="J273" s="150" t="s">
        <v>451</v>
      </c>
      <c r="K273" s="71" t="s">
        <v>1898</v>
      </c>
      <c r="L273" s="52">
        <v>13</v>
      </c>
      <c r="M273" s="53">
        <v>20</v>
      </c>
      <c r="N273" s="54">
        <v>5</v>
      </c>
      <c r="O273" s="88" t="s">
        <v>1823</v>
      </c>
      <c r="P273" s="31" t="s">
        <v>104</v>
      </c>
      <c r="Q273" s="87">
        <v>50</v>
      </c>
      <c r="R273" s="49" t="s">
        <v>44</v>
      </c>
      <c r="S273" s="237">
        <v>2305328000007</v>
      </c>
      <c r="T273" s="332">
        <v>12305328000004</v>
      </c>
      <c r="U273" s="46">
        <v>4630362181626</v>
      </c>
      <c r="V273" s="46">
        <v>14630362181623</v>
      </c>
      <c r="W273" s="258">
        <v>300</v>
      </c>
      <c r="X273" s="68">
        <v>79</v>
      </c>
      <c r="Y273" s="68">
        <v>58</v>
      </c>
      <c r="Z273" s="77">
        <v>0.7</v>
      </c>
      <c r="AA273" s="271">
        <v>8.0000000000000002E-3</v>
      </c>
      <c r="AB273" s="66">
        <f t="shared" ref="AB273:AB274" si="364">Z273+AA273</f>
        <v>0.70799999999999996</v>
      </c>
      <c r="AC273" s="59">
        <v>292</v>
      </c>
      <c r="AD273" s="60">
        <v>178</v>
      </c>
      <c r="AE273" s="60">
        <v>178</v>
      </c>
      <c r="AF273" s="191">
        <v>8</v>
      </c>
      <c r="AG273" s="117">
        <v>600000029</v>
      </c>
      <c r="AH273" s="104">
        <f>справочники!$C$21</f>
        <v>0.125</v>
      </c>
      <c r="AI273" s="61">
        <f t="shared" si="343"/>
        <v>5.6</v>
      </c>
      <c r="AJ273" s="122">
        <f t="shared" si="344"/>
        <v>5.7889999999999997</v>
      </c>
      <c r="AK273" s="37">
        <v>16</v>
      </c>
      <c r="AL273" s="38">
        <v>8</v>
      </c>
      <c r="AM273" s="40">
        <f t="shared" ref="AM273:AM274" si="365">AK273*AL273</f>
        <v>128</v>
      </c>
      <c r="AN273" s="214">
        <f t="shared" ref="AN273:AN274" si="366">IF(D273="ШТ",кол_во_инд.__упак_к*итого_г_у,ROUNDDOWN(номин.вес_нетто_г_у__кг*итого_г_у,1))</f>
        <v>716.8</v>
      </c>
      <c r="AO273" s="204">
        <f t="shared" si="329"/>
        <v>1569</v>
      </c>
    </row>
    <row r="274" spans="1:41" ht="128.25" customHeight="1" x14ac:dyDescent="0.2">
      <c r="A274" s="22">
        <f t="shared" si="342"/>
        <v>7333</v>
      </c>
      <c r="B274" s="116">
        <v>1001303987333</v>
      </c>
      <c r="C274" s="70" t="s">
        <v>1309</v>
      </c>
      <c r="D274" s="50" t="s">
        <v>4</v>
      </c>
      <c r="E274" s="146" t="s">
        <v>373</v>
      </c>
      <c r="F274" s="112" t="s">
        <v>348</v>
      </c>
      <c r="G274" s="224" t="s">
        <v>6</v>
      </c>
      <c r="H274" s="58" t="s">
        <v>38</v>
      </c>
      <c r="I274" s="154" t="s">
        <v>389</v>
      </c>
      <c r="J274" s="150" t="s">
        <v>451</v>
      </c>
      <c r="K274" s="71" t="s">
        <v>1898</v>
      </c>
      <c r="L274" s="52">
        <v>13</v>
      </c>
      <c r="M274" s="53">
        <v>20</v>
      </c>
      <c r="N274" s="54">
        <v>5</v>
      </c>
      <c r="O274" s="88" t="s">
        <v>1823</v>
      </c>
      <c r="P274" s="31" t="s">
        <v>104</v>
      </c>
      <c r="Q274" s="87">
        <v>50</v>
      </c>
      <c r="R274" s="49" t="s">
        <v>44</v>
      </c>
      <c r="S274" s="237">
        <v>4607958079919</v>
      </c>
      <c r="T274" s="332">
        <v>14607958079916</v>
      </c>
      <c r="U274" s="46">
        <v>4607958079919</v>
      </c>
      <c r="V274" s="46">
        <v>14607958079916</v>
      </c>
      <c r="W274" s="258">
        <v>220</v>
      </c>
      <c r="X274" s="68">
        <v>80</v>
      </c>
      <c r="Y274" s="68">
        <v>54</v>
      </c>
      <c r="Z274" s="77">
        <v>0.28000000000000003</v>
      </c>
      <c r="AA274" s="271">
        <v>5.0000000000000001E-3</v>
      </c>
      <c r="AB274" s="66">
        <f t="shared" si="364"/>
        <v>0.28500000000000003</v>
      </c>
      <c r="AC274" s="59">
        <v>318</v>
      </c>
      <c r="AD274" s="60">
        <v>143</v>
      </c>
      <c r="AE274" s="60">
        <v>138</v>
      </c>
      <c r="AF274" s="191">
        <v>8</v>
      </c>
      <c r="AG274" s="117">
        <v>600000407</v>
      </c>
      <c r="AH274" s="104">
        <f>справочники!$C$106</f>
        <v>9.4E-2</v>
      </c>
      <c r="AI274" s="61">
        <f t="shared" si="343"/>
        <v>2.2400000000000002</v>
      </c>
      <c r="AJ274" s="122">
        <f t="shared" si="344"/>
        <v>2.3740000000000001</v>
      </c>
      <c r="AK274" s="37">
        <v>19</v>
      </c>
      <c r="AL274" s="38">
        <v>11</v>
      </c>
      <c r="AM274" s="40">
        <f t="shared" si="365"/>
        <v>209</v>
      </c>
      <c r="AN274" s="206">
        <f t="shared" si="366"/>
        <v>1672</v>
      </c>
      <c r="AO274" s="204">
        <f t="shared" si="329"/>
        <v>1663</v>
      </c>
    </row>
    <row r="275" spans="1:41" ht="191.25" x14ac:dyDescent="0.2">
      <c r="A275" s="22">
        <f t="shared" si="342"/>
        <v>7165</v>
      </c>
      <c r="B275" s="116">
        <v>1001303987165</v>
      </c>
      <c r="C275" s="70" t="s">
        <v>1133</v>
      </c>
      <c r="D275" s="81" t="s">
        <v>3</v>
      </c>
      <c r="E275" s="146" t="s">
        <v>373</v>
      </c>
      <c r="F275" s="112" t="s">
        <v>348</v>
      </c>
      <c r="G275" s="224" t="s">
        <v>6</v>
      </c>
      <c r="H275" s="58" t="s">
        <v>38</v>
      </c>
      <c r="I275" s="154" t="s">
        <v>389</v>
      </c>
      <c r="J275" s="150" t="s">
        <v>451</v>
      </c>
      <c r="K275" s="71" t="s">
        <v>1334</v>
      </c>
      <c r="L275" s="52">
        <v>13</v>
      </c>
      <c r="M275" s="53">
        <v>23</v>
      </c>
      <c r="N275" s="54">
        <v>3</v>
      </c>
      <c r="O275" s="88" t="s">
        <v>1310</v>
      </c>
      <c r="P275" s="31" t="s">
        <v>104</v>
      </c>
      <c r="Q275" s="87">
        <v>50</v>
      </c>
      <c r="R275" s="49" t="s">
        <v>44</v>
      </c>
      <c r="S275" s="237">
        <v>2800272000009</v>
      </c>
      <c r="T275" s="332">
        <v>12800272000006</v>
      </c>
      <c r="U275" s="46">
        <v>4630362181626</v>
      </c>
      <c r="V275" s="46">
        <v>14630362181623</v>
      </c>
      <c r="W275" s="258">
        <v>300</v>
      </c>
      <c r="X275" s="68">
        <v>79</v>
      </c>
      <c r="Y275" s="68">
        <v>58</v>
      </c>
      <c r="Z275" s="77">
        <v>0.7</v>
      </c>
      <c r="AA275" s="271">
        <v>8.0000000000000002E-3</v>
      </c>
      <c r="AB275" s="66">
        <f t="shared" ref="AB275" si="367">Z275+AA275</f>
        <v>0.70799999999999996</v>
      </c>
      <c r="AC275" s="59">
        <v>292</v>
      </c>
      <c r="AD275" s="60">
        <v>178</v>
      </c>
      <c r="AE275" s="60">
        <v>178</v>
      </c>
      <c r="AF275" s="191">
        <v>8</v>
      </c>
      <c r="AG275" s="117">
        <v>600000029</v>
      </c>
      <c r="AH275" s="104">
        <f>справочники!$C$21</f>
        <v>0.125</v>
      </c>
      <c r="AI275" s="61">
        <f t="shared" si="343"/>
        <v>5.6</v>
      </c>
      <c r="AJ275" s="122">
        <f t="shared" si="344"/>
        <v>5.7889999999999997</v>
      </c>
      <c r="AK275" s="37">
        <v>16</v>
      </c>
      <c r="AL275" s="38">
        <v>8</v>
      </c>
      <c r="AM275" s="40">
        <f t="shared" ref="AM275" si="368">AK275*AL275</f>
        <v>128</v>
      </c>
      <c r="AN275" s="214">
        <f t="shared" ref="AN275" si="369">IF(D275="ШТ",кол_во_инд.__упак_к*итого_г_у,ROUNDDOWN(номин.вес_нетто_г_у__кг*итого_г_у,1))</f>
        <v>716.8</v>
      </c>
      <c r="AO275" s="204">
        <f t="shared" si="329"/>
        <v>1569</v>
      </c>
    </row>
    <row r="276" spans="1:41" ht="191.25" x14ac:dyDescent="0.2">
      <c r="A276" s="22">
        <f t="shared" si="342"/>
        <v>7336</v>
      </c>
      <c r="B276" s="116">
        <v>1001303987336</v>
      </c>
      <c r="C276" s="70" t="s">
        <v>1304</v>
      </c>
      <c r="D276" s="50" t="s">
        <v>4</v>
      </c>
      <c r="E276" s="146" t="s">
        <v>373</v>
      </c>
      <c r="F276" s="112" t="s">
        <v>348</v>
      </c>
      <c r="G276" s="224" t="s">
        <v>6</v>
      </c>
      <c r="H276" s="58" t="s">
        <v>38</v>
      </c>
      <c r="I276" s="154" t="s">
        <v>389</v>
      </c>
      <c r="J276" s="150" t="s">
        <v>451</v>
      </c>
      <c r="K276" s="71" t="s">
        <v>1334</v>
      </c>
      <c r="L276" s="52">
        <v>13</v>
      </c>
      <c r="M276" s="53">
        <v>23</v>
      </c>
      <c r="N276" s="54">
        <v>3</v>
      </c>
      <c r="O276" s="88" t="s">
        <v>1310</v>
      </c>
      <c r="P276" s="31" t="s">
        <v>104</v>
      </c>
      <c r="Q276" s="87">
        <v>50</v>
      </c>
      <c r="R276" s="49" t="s">
        <v>44</v>
      </c>
      <c r="S276" s="237">
        <v>4607958079933</v>
      </c>
      <c r="T276" s="332">
        <v>14607958079930</v>
      </c>
      <c r="U276" s="46">
        <v>4607958079933</v>
      </c>
      <c r="V276" s="46">
        <v>14607958079930</v>
      </c>
      <c r="W276" s="258">
        <v>300</v>
      </c>
      <c r="X276" s="68">
        <v>79</v>
      </c>
      <c r="Y276" s="68">
        <v>58</v>
      </c>
      <c r="Z276" s="77">
        <v>0.7</v>
      </c>
      <c r="AA276" s="271">
        <v>8.0000000000000002E-3</v>
      </c>
      <c r="AB276" s="66">
        <f t="shared" ref="AB276" si="370">Z276+AA276</f>
        <v>0.70799999999999996</v>
      </c>
      <c r="AC276" s="59">
        <v>292</v>
      </c>
      <c r="AD276" s="60">
        <v>178</v>
      </c>
      <c r="AE276" s="60">
        <v>178</v>
      </c>
      <c r="AF276" s="191">
        <v>8</v>
      </c>
      <c r="AG276" s="117">
        <v>600000029</v>
      </c>
      <c r="AH276" s="104">
        <f>справочники!$C$21</f>
        <v>0.125</v>
      </c>
      <c r="AI276" s="61">
        <f t="shared" si="343"/>
        <v>5.6</v>
      </c>
      <c r="AJ276" s="122">
        <f t="shared" si="344"/>
        <v>5.7889999999999997</v>
      </c>
      <c r="AK276" s="37">
        <v>16</v>
      </c>
      <c r="AL276" s="38">
        <v>8</v>
      </c>
      <c r="AM276" s="40">
        <f t="shared" ref="AM276" si="371">AK276*AL276</f>
        <v>128</v>
      </c>
      <c r="AN276" s="206">
        <f t="shared" ref="AN276" si="372">IF(D276="ШТ",кол_во_инд.__упак_к*итого_г_у,ROUNDDOWN(номин.вес_нетто_г_у__кг*итого_г_у,1))</f>
        <v>1024</v>
      </c>
      <c r="AO276" s="204">
        <f t="shared" si="329"/>
        <v>1569</v>
      </c>
    </row>
    <row r="277" spans="1:41" ht="133.9" customHeight="1" x14ac:dyDescent="0.2">
      <c r="A277" s="22">
        <f t="shared" si="342"/>
        <v>7169</v>
      </c>
      <c r="B277" s="116">
        <v>1001303987169</v>
      </c>
      <c r="C277" s="70" t="s">
        <v>1135</v>
      </c>
      <c r="D277" s="50" t="s">
        <v>4</v>
      </c>
      <c r="E277" s="146" t="s">
        <v>373</v>
      </c>
      <c r="F277" s="112" t="s">
        <v>348</v>
      </c>
      <c r="G277" s="224" t="s">
        <v>6</v>
      </c>
      <c r="H277" s="58" t="s">
        <v>38</v>
      </c>
      <c r="I277" s="154" t="s">
        <v>389</v>
      </c>
      <c r="J277" s="150" t="s">
        <v>451</v>
      </c>
      <c r="K277" s="71" t="s">
        <v>1898</v>
      </c>
      <c r="L277" s="52">
        <v>13</v>
      </c>
      <c r="M277" s="53">
        <v>20</v>
      </c>
      <c r="N277" s="54">
        <v>5</v>
      </c>
      <c r="O277" s="88" t="s">
        <v>1823</v>
      </c>
      <c r="P277" s="31" t="s">
        <v>104</v>
      </c>
      <c r="Q277" s="87">
        <v>50</v>
      </c>
      <c r="R277" s="49" t="s">
        <v>44</v>
      </c>
      <c r="S277" s="237">
        <v>4607958071715</v>
      </c>
      <c r="T277" s="332">
        <v>14607958071712</v>
      </c>
      <c r="U277" s="46">
        <v>4607958071715</v>
      </c>
      <c r="V277" s="46">
        <v>14607958071712</v>
      </c>
      <c r="W277" s="258">
        <v>220</v>
      </c>
      <c r="X277" s="68">
        <v>80</v>
      </c>
      <c r="Y277" s="68">
        <v>58</v>
      </c>
      <c r="Z277" s="77">
        <v>0.35</v>
      </c>
      <c r="AA277" s="271">
        <v>5.0000000000000001E-3</v>
      </c>
      <c r="AB277" s="66">
        <f t="shared" ref="AB277" si="373">Z277+AA277</f>
        <v>0.35499999999999998</v>
      </c>
      <c r="AC277" s="59">
        <v>318</v>
      </c>
      <c r="AD277" s="60">
        <v>143</v>
      </c>
      <c r="AE277" s="60">
        <v>138</v>
      </c>
      <c r="AF277" s="191">
        <v>8</v>
      </c>
      <c r="AG277" s="117">
        <v>600000407</v>
      </c>
      <c r="AH277" s="104">
        <f>справочники!$C$106</f>
        <v>9.4E-2</v>
      </c>
      <c r="AI277" s="61">
        <f t="shared" si="343"/>
        <v>2.8</v>
      </c>
      <c r="AJ277" s="122">
        <f t="shared" si="344"/>
        <v>2.9339999999999997</v>
      </c>
      <c r="AK277" s="37">
        <v>19</v>
      </c>
      <c r="AL277" s="38">
        <v>11</v>
      </c>
      <c r="AM277" s="40">
        <f t="shared" ref="AM277" si="374">AK277*AL277</f>
        <v>209</v>
      </c>
      <c r="AN277" s="206">
        <f t="shared" ref="AN277" si="375">IF(D277="ШТ",кол_во_инд.__упак_к*итого_г_у,ROUNDDOWN(номин.вес_нетто_г_у__кг*итого_г_у,1))</f>
        <v>1672</v>
      </c>
      <c r="AO277" s="204">
        <f t="shared" si="329"/>
        <v>1663</v>
      </c>
    </row>
    <row r="278" spans="1:41" ht="127.5" customHeight="1" x14ac:dyDescent="0.2">
      <c r="A278" s="22">
        <f t="shared" si="342"/>
        <v>7293</v>
      </c>
      <c r="B278" s="116">
        <v>1001304077293</v>
      </c>
      <c r="C278" s="70" t="s">
        <v>1259</v>
      </c>
      <c r="D278" s="81" t="s">
        <v>4</v>
      </c>
      <c r="E278" s="146" t="s">
        <v>373</v>
      </c>
      <c r="F278" s="112" t="s">
        <v>348</v>
      </c>
      <c r="G278" s="224" t="s">
        <v>6</v>
      </c>
      <c r="H278" s="58" t="s">
        <v>38</v>
      </c>
      <c r="I278" s="154" t="s">
        <v>389</v>
      </c>
      <c r="J278" s="150" t="s">
        <v>451</v>
      </c>
      <c r="K278" s="71" t="s">
        <v>1824</v>
      </c>
      <c r="L278" s="52">
        <v>13</v>
      </c>
      <c r="M278" s="53">
        <v>20</v>
      </c>
      <c r="N278" s="54">
        <v>6</v>
      </c>
      <c r="O278" s="88" t="s">
        <v>1825</v>
      </c>
      <c r="P278" s="31" t="s">
        <v>104</v>
      </c>
      <c r="Q278" s="87">
        <v>55</v>
      </c>
      <c r="R278" s="49" t="s">
        <v>44</v>
      </c>
      <c r="S278" s="237">
        <v>4607958077540</v>
      </c>
      <c r="T278" s="332">
        <v>14607958077547</v>
      </c>
      <c r="U278" s="46">
        <v>4607958077540</v>
      </c>
      <c r="V278" s="46">
        <v>14607958077547</v>
      </c>
      <c r="W278" s="258">
        <v>300</v>
      </c>
      <c r="X278" s="68">
        <v>79</v>
      </c>
      <c r="Y278" s="68">
        <v>58</v>
      </c>
      <c r="Z278" s="77">
        <v>0.7</v>
      </c>
      <c r="AA278" s="271">
        <v>8.0000000000000002E-3</v>
      </c>
      <c r="AB278" s="66">
        <f t="shared" ref="AB278" si="376">Z278+AA278</f>
        <v>0.70799999999999996</v>
      </c>
      <c r="AC278" s="59">
        <v>292</v>
      </c>
      <c r="AD278" s="60">
        <v>178</v>
      </c>
      <c r="AE278" s="60">
        <v>178</v>
      </c>
      <c r="AF278" s="191">
        <v>8</v>
      </c>
      <c r="AG278" s="117">
        <v>600000029</v>
      </c>
      <c r="AH278" s="104">
        <f>справочники!$C$21</f>
        <v>0.125</v>
      </c>
      <c r="AI278" s="61">
        <f t="shared" si="343"/>
        <v>5.6</v>
      </c>
      <c r="AJ278" s="122">
        <f t="shared" si="344"/>
        <v>5.7889999999999997</v>
      </c>
      <c r="AK278" s="37">
        <v>16</v>
      </c>
      <c r="AL278" s="38">
        <v>8</v>
      </c>
      <c r="AM278" s="40">
        <f t="shared" ref="AM278" si="377">AK278*AL278</f>
        <v>128</v>
      </c>
      <c r="AN278" s="206">
        <f t="shared" ref="AN278" si="378">IF(D278="ШТ",кол_во_инд.__упак_к*итого_г_у,ROUNDDOWN(номин.вес_нетто_г_у__кг*итого_г_у,1))</f>
        <v>1024</v>
      </c>
      <c r="AO278" s="204">
        <f t="shared" si="329"/>
        <v>1569</v>
      </c>
    </row>
    <row r="279" spans="1:41" ht="204" x14ac:dyDescent="0.2">
      <c r="A279" s="22">
        <f t="shared" si="342"/>
        <v>6691</v>
      </c>
      <c r="B279" s="116">
        <v>1001304076691</v>
      </c>
      <c r="C279" s="70" t="s">
        <v>269</v>
      </c>
      <c r="D279" s="81" t="s">
        <v>4</v>
      </c>
      <c r="E279" s="146" t="s">
        <v>373</v>
      </c>
      <c r="F279" s="112" t="s">
        <v>348</v>
      </c>
      <c r="G279" s="224" t="s">
        <v>6</v>
      </c>
      <c r="H279" s="58" t="s">
        <v>38</v>
      </c>
      <c r="I279" s="154" t="s">
        <v>389</v>
      </c>
      <c r="J279" s="150" t="s">
        <v>451</v>
      </c>
      <c r="K279" s="71" t="s">
        <v>1824</v>
      </c>
      <c r="L279" s="52">
        <v>13</v>
      </c>
      <c r="M279" s="53">
        <v>20</v>
      </c>
      <c r="N279" s="54">
        <v>6</v>
      </c>
      <c r="O279" s="88" t="s">
        <v>1825</v>
      </c>
      <c r="P279" s="31" t="s">
        <v>104</v>
      </c>
      <c r="Q279" s="87">
        <v>45</v>
      </c>
      <c r="R279" s="49" t="s">
        <v>44</v>
      </c>
      <c r="S279" s="237">
        <v>4607958073764</v>
      </c>
      <c r="T279" s="332">
        <v>14607958073761</v>
      </c>
      <c r="U279" s="46">
        <v>4607958073764</v>
      </c>
      <c r="V279" s="46">
        <v>14607958073761</v>
      </c>
      <c r="W279" s="258">
        <v>210</v>
      </c>
      <c r="X279" s="68">
        <v>80</v>
      </c>
      <c r="Y279" s="68">
        <v>65</v>
      </c>
      <c r="Z279" s="77">
        <v>0.35</v>
      </c>
      <c r="AA279" s="271">
        <v>5.0000000000000001E-3</v>
      </c>
      <c r="AB279" s="66">
        <f t="shared" ref="AB279:AB299" si="379">Z279+AA279</f>
        <v>0.35499999999999998</v>
      </c>
      <c r="AC279" s="59">
        <v>318</v>
      </c>
      <c r="AD279" s="60">
        <v>143</v>
      </c>
      <c r="AE279" s="60">
        <v>138</v>
      </c>
      <c r="AF279" s="191">
        <v>8</v>
      </c>
      <c r="AG279" s="117">
        <v>600000407</v>
      </c>
      <c r="AH279" s="104">
        <f>справочники!$C$106</f>
        <v>9.4E-2</v>
      </c>
      <c r="AI279" s="61">
        <f t="shared" si="343"/>
        <v>2.8</v>
      </c>
      <c r="AJ279" s="122">
        <f t="shared" si="344"/>
        <v>2.9339999999999997</v>
      </c>
      <c r="AK279" s="37">
        <v>19</v>
      </c>
      <c r="AL279" s="38">
        <v>11</v>
      </c>
      <c r="AM279" s="40">
        <f t="shared" si="340"/>
        <v>209</v>
      </c>
      <c r="AN279" s="206">
        <f t="shared" si="341"/>
        <v>1672</v>
      </c>
      <c r="AO279" s="204">
        <f t="shared" si="329"/>
        <v>1663</v>
      </c>
    </row>
    <row r="280" spans="1:41" ht="165.75" x14ac:dyDescent="0.2">
      <c r="A280" s="22">
        <f t="shared" si="342"/>
        <v>6695</v>
      </c>
      <c r="B280" s="116">
        <v>1001303086695</v>
      </c>
      <c r="C280" s="70" t="s">
        <v>1204</v>
      </c>
      <c r="D280" s="50" t="s">
        <v>4</v>
      </c>
      <c r="E280" s="146" t="s">
        <v>373</v>
      </c>
      <c r="F280" s="112" t="s">
        <v>348</v>
      </c>
      <c r="G280" s="224" t="s">
        <v>6</v>
      </c>
      <c r="H280" s="58" t="s">
        <v>38</v>
      </c>
      <c r="I280" s="154" t="s">
        <v>389</v>
      </c>
      <c r="J280" s="151" t="s">
        <v>451</v>
      </c>
      <c r="K280" s="71" t="s">
        <v>1915</v>
      </c>
      <c r="L280" s="52">
        <v>16</v>
      </c>
      <c r="M280" s="53">
        <v>20</v>
      </c>
      <c r="N280" s="54">
        <v>5</v>
      </c>
      <c r="O280" s="88" t="s">
        <v>1916</v>
      </c>
      <c r="P280" s="31" t="s">
        <v>104</v>
      </c>
      <c r="Q280" s="87">
        <v>45</v>
      </c>
      <c r="R280" s="49" t="s">
        <v>44</v>
      </c>
      <c r="S280" s="237">
        <v>4607958075065</v>
      </c>
      <c r="T280" s="332">
        <v>14607958075062</v>
      </c>
      <c r="U280" s="46">
        <v>4607958075065</v>
      </c>
      <c r="V280" s="46">
        <v>14607958075062</v>
      </c>
      <c r="W280" s="258">
        <v>220</v>
      </c>
      <c r="X280" s="68">
        <v>80</v>
      </c>
      <c r="Y280" s="68">
        <v>58</v>
      </c>
      <c r="Z280" s="65">
        <v>0.31</v>
      </c>
      <c r="AA280" s="271">
        <v>5.0000000000000001E-3</v>
      </c>
      <c r="AB280" s="66">
        <f t="shared" si="379"/>
        <v>0.315</v>
      </c>
      <c r="AC280" s="59">
        <v>318</v>
      </c>
      <c r="AD280" s="60">
        <v>143</v>
      </c>
      <c r="AE280" s="60">
        <v>138</v>
      </c>
      <c r="AF280" s="191">
        <v>8</v>
      </c>
      <c r="AG280" s="117">
        <v>600000407</v>
      </c>
      <c r="AH280" s="104">
        <f>справочники!$C$106</f>
        <v>9.4E-2</v>
      </c>
      <c r="AI280" s="61">
        <f t="shared" si="343"/>
        <v>2.48</v>
      </c>
      <c r="AJ280" s="122">
        <f t="shared" si="344"/>
        <v>2.6139999999999999</v>
      </c>
      <c r="AK280" s="37">
        <v>19</v>
      </c>
      <c r="AL280" s="38">
        <v>11</v>
      </c>
      <c r="AM280" s="40">
        <f t="shared" si="340"/>
        <v>209</v>
      </c>
      <c r="AN280" s="206">
        <f t="shared" ref="AN280:AN304" si="380">IF(D280="ШТ",кол_во_инд.__упак_к*итого_г_у,ROUNDDOWN(номин.вес_нетто_г_у__кг*итого_г_у,1))</f>
        <v>1672</v>
      </c>
      <c r="AO280" s="204">
        <f t="shared" si="329"/>
        <v>1663</v>
      </c>
    </row>
    <row r="281" spans="1:41" ht="204" x14ac:dyDescent="0.2">
      <c r="A281" s="22">
        <f t="shared" si="342"/>
        <v>7498</v>
      </c>
      <c r="B281" s="116">
        <v>1001307917498</v>
      </c>
      <c r="C281" s="70" t="s">
        <v>2112</v>
      </c>
      <c r="D281" s="81" t="s">
        <v>4</v>
      </c>
      <c r="E281" s="146" t="s">
        <v>373</v>
      </c>
      <c r="F281" s="112" t="s">
        <v>348</v>
      </c>
      <c r="G281" s="224" t="s">
        <v>6</v>
      </c>
      <c r="H281" s="58" t="s">
        <v>38</v>
      </c>
      <c r="I281" s="154" t="s">
        <v>2087</v>
      </c>
      <c r="J281" s="150" t="s">
        <v>1481</v>
      </c>
      <c r="K281" s="71" t="s">
        <v>2113</v>
      </c>
      <c r="L281" s="52">
        <v>13</v>
      </c>
      <c r="M281" s="53">
        <v>25</v>
      </c>
      <c r="N281" s="54">
        <v>5</v>
      </c>
      <c r="O281" s="88" t="s">
        <v>1791</v>
      </c>
      <c r="P281" s="31" t="s">
        <v>104</v>
      </c>
      <c r="Q281" s="49">
        <v>45</v>
      </c>
      <c r="R281" s="49" t="s">
        <v>51</v>
      </c>
      <c r="S281" s="237">
        <v>4630362183170</v>
      </c>
      <c r="T281" s="332">
        <v>14630362183177</v>
      </c>
      <c r="U281" s="46">
        <v>4630362183170</v>
      </c>
      <c r="V281" s="46">
        <v>14630362183177</v>
      </c>
      <c r="W281" s="258">
        <v>220</v>
      </c>
      <c r="X281" s="68">
        <v>80</v>
      </c>
      <c r="Y281" s="68">
        <v>54</v>
      </c>
      <c r="Z281" s="77">
        <v>0.28000000000000003</v>
      </c>
      <c r="AA281" s="271">
        <v>5.0000000000000001E-3</v>
      </c>
      <c r="AB281" s="66">
        <f t="shared" ref="AB281" si="381">Z281+AA281</f>
        <v>0.28500000000000003</v>
      </c>
      <c r="AC281" s="59">
        <v>318</v>
      </c>
      <c r="AD281" s="60">
        <v>143</v>
      </c>
      <c r="AE281" s="60">
        <v>138</v>
      </c>
      <c r="AF281" s="191">
        <v>8</v>
      </c>
      <c r="AG281" s="117">
        <v>600000407</v>
      </c>
      <c r="AH281" s="104">
        <f>справочники!$C$106</f>
        <v>9.4E-2</v>
      </c>
      <c r="AI281" s="61">
        <f t="shared" si="343"/>
        <v>2.2400000000000002</v>
      </c>
      <c r="AJ281" s="124">
        <f t="shared" si="344"/>
        <v>2.3740000000000001</v>
      </c>
      <c r="AK281" s="37">
        <v>19</v>
      </c>
      <c r="AL281" s="38">
        <v>11</v>
      </c>
      <c r="AM281" s="40">
        <f t="shared" si="340"/>
        <v>209</v>
      </c>
      <c r="AN281" s="206">
        <f t="shared" ref="AN281" si="382">IF(D281="ШТ",кол_во_инд.__упак_к*итого_г_у,ROUNDDOWN(номин.вес_нетто_г_у__кг*итого_г_у,1))</f>
        <v>1672</v>
      </c>
      <c r="AO281" s="204">
        <f t="shared" si="329"/>
        <v>1663</v>
      </c>
    </row>
    <row r="282" spans="1:41" ht="165.75" x14ac:dyDescent="0.2">
      <c r="A282" s="22">
        <f t="shared" si="342"/>
        <v>7496</v>
      </c>
      <c r="B282" s="116">
        <v>1001307487496</v>
      </c>
      <c r="C282" s="70" t="s">
        <v>2084</v>
      </c>
      <c r="D282" s="81" t="s">
        <v>4</v>
      </c>
      <c r="E282" s="146" t="s">
        <v>373</v>
      </c>
      <c r="F282" s="112" t="s">
        <v>348</v>
      </c>
      <c r="G282" s="224" t="s">
        <v>6</v>
      </c>
      <c r="H282" s="58" t="s">
        <v>38</v>
      </c>
      <c r="I282" s="154" t="s">
        <v>2087</v>
      </c>
      <c r="J282" s="150" t="s">
        <v>1481</v>
      </c>
      <c r="K282" s="71" t="s">
        <v>2085</v>
      </c>
      <c r="L282" s="52">
        <v>14</v>
      </c>
      <c r="M282" s="53">
        <v>25</v>
      </c>
      <c r="N282" s="54">
        <v>5</v>
      </c>
      <c r="O282" s="88" t="s">
        <v>2086</v>
      </c>
      <c r="P282" s="31" t="s">
        <v>104</v>
      </c>
      <c r="Q282" s="49">
        <v>45</v>
      </c>
      <c r="R282" s="49" t="s">
        <v>51</v>
      </c>
      <c r="S282" s="237">
        <v>4630362183156</v>
      </c>
      <c r="T282" s="332">
        <v>14630362183153</v>
      </c>
      <c r="U282" s="46">
        <v>4630362183156</v>
      </c>
      <c r="V282" s="46">
        <v>14630362183153</v>
      </c>
      <c r="W282" s="258">
        <v>220</v>
      </c>
      <c r="X282" s="68">
        <v>80</v>
      </c>
      <c r="Y282" s="68">
        <v>54</v>
      </c>
      <c r="Z282" s="77">
        <v>0.28000000000000003</v>
      </c>
      <c r="AA282" s="271">
        <v>5.0000000000000001E-3</v>
      </c>
      <c r="AB282" s="66">
        <f t="shared" si="379"/>
        <v>0.28500000000000003</v>
      </c>
      <c r="AC282" s="59">
        <v>318</v>
      </c>
      <c r="AD282" s="60">
        <v>143</v>
      </c>
      <c r="AE282" s="60">
        <v>138</v>
      </c>
      <c r="AF282" s="191">
        <v>8</v>
      </c>
      <c r="AG282" s="117">
        <v>600000407</v>
      </c>
      <c r="AH282" s="104">
        <f>справочники!$C$106</f>
        <v>9.4E-2</v>
      </c>
      <c r="AI282" s="61">
        <f t="shared" si="343"/>
        <v>2.2400000000000002</v>
      </c>
      <c r="AJ282" s="124">
        <f t="shared" si="344"/>
        <v>2.3740000000000001</v>
      </c>
      <c r="AK282" s="37">
        <v>19</v>
      </c>
      <c r="AL282" s="38">
        <v>11</v>
      </c>
      <c r="AM282" s="40">
        <f t="shared" ref="AM282" si="383">AK282*AL282</f>
        <v>209</v>
      </c>
      <c r="AN282" s="206">
        <f t="shared" si="380"/>
        <v>1672</v>
      </c>
      <c r="AO282" s="204">
        <f t="shared" si="329"/>
        <v>1663</v>
      </c>
    </row>
    <row r="283" spans="1:41" ht="192" customHeight="1" x14ac:dyDescent="0.2">
      <c r="A283" s="22">
        <f t="shared" si="342"/>
        <v>7489</v>
      </c>
      <c r="B283" s="116">
        <v>1001307357489</v>
      </c>
      <c r="C283" s="70" t="s">
        <v>1888</v>
      </c>
      <c r="D283" s="81" t="s">
        <v>4</v>
      </c>
      <c r="E283" s="146" t="s">
        <v>373</v>
      </c>
      <c r="F283" s="112" t="s">
        <v>348</v>
      </c>
      <c r="G283" s="224" t="s">
        <v>6</v>
      </c>
      <c r="H283" s="58" t="s">
        <v>38</v>
      </c>
      <c r="I283" s="154" t="s">
        <v>389</v>
      </c>
      <c r="J283" s="150" t="s">
        <v>451</v>
      </c>
      <c r="K283" s="71" t="s">
        <v>1889</v>
      </c>
      <c r="L283" s="52">
        <v>16</v>
      </c>
      <c r="M283" s="53">
        <v>15</v>
      </c>
      <c r="N283" s="54">
        <v>4</v>
      </c>
      <c r="O283" s="88" t="s">
        <v>553</v>
      </c>
      <c r="P283" s="31" t="s">
        <v>104</v>
      </c>
      <c r="Q283" s="49">
        <v>45</v>
      </c>
      <c r="R283" s="49" t="s">
        <v>44</v>
      </c>
      <c r="S283" s="237">
        <v>4630362181084</v>
      </c>
      <c r="T283" s="332">
        <v>14630362181081</v>
      </c>
      <c r="U283" s="237">
        <v>4630362181084</v>
      </c>
      <c r="V283" s="243">
        <v>14630362181081</v>
      </c>
      <c r="W283" s="258">
        <v>220</v>
      </c>
      <c r="X283" s="68">
        <v>80</v>
      </c>
      <c r="Y283" s="68">
        <v>54</v>
      </c>
      <c r="Z283" s="77">
        <v>0.28000000000000003</v>
      </c>
      <c r="AA283" s="271">
        <v>5.0000000000000001E-3</v>
      </c>
      <c r="AB283" s="66">
        <f t="shared" si="379"/>
        <v>0.28500000000000003</v>
      </c>
      <c r="AC283" s="59">
        <v>318</v>
      </c>
      <c r="AD283" s="60">
        <v>143</v>
      </c>
      <c r="AE283" s="60">
        <v>138</v>
      </c>
      <c r="AF283" s="191">
        <v>8</v>
      </c>
      <c r="AG283" s="117">
        <v>600000407</v>
      </c>
      <c r="AH283" s="104">
        <f>справочники!$C$106</f>
        <v>9.4E-2</v>
      </c>
      <c r="AI283" s="61">
        <f t="shared" si="343"/>
        <v>2.2400000000000002</v>
      </c>
      <c r="AJ283" s="124">
        <f t="shared" si="344"/>
        <v>2.3740000000000001</v>
      </c>
      <c r="AK283" s="37">
        <v>19</v>
      </c>
      <c r="AL283" s="38">
        <v>11</v>
      </c>
      <c r="AM283" s="40">
        <f t="shared" si="340"/>
        <v>209</v>
      </c>
      <c r="AN283" s="206">
        <f t="shared" si="380"/>
        <v>1672</v>
      </c>
      <c r="AO283" s="204">
        <f t="shared" si="329"/>
        <v>1663</v>
      </c>
    </row>
    <row r="284" spans="1:41" ht="129" customHeight="1" x14ac:dyDescent="0.2">
      <c r="A284" s="22">
        <f t="shared" si="342"/>
        <v>7163</v>
      </c>
      <c r="B284" s="116">
        <v>1001304087163</v>
      </c>
      <c r="C284" s="80" t="s">
        <v>1132</v>
      </c>
      <c r="D284" s="50" t="s">
        <v>4</v>
      </c>
      <c r="E284" s="146" t="s">
        <v>373</v>
      </c>
      <c r="F284" s="112" t="s">
        <v>348</v>
      </c>
      <c r="G284" s="224" t="s">
        <v>6</v>
      </c>
      <c r="H284" s="58" t="s">
        <v>38</v>
      </c>
      <c r="I284" s="154" t="s">
        <v>389</v>
      </c>
      <c r="J284" s="151" t="s">
        <v>451</v>
      </c>
      <c r="K284" s="51" t="s">
        <v>1869</v>
      </c>
      <c r="L284" s="52">
        <v>12</v>
      </c>
      <c r="M284" s="53">
        <v>20</v>
      </c>
      <c r="N284" s="54">
        <v>5</v>
      </c>
      <c r="O284" s="88" t="s">
        <v>1862</v>
      </c>
      <c r="P284" s="31" t="s">
        <v>104</v>
      </c>
      <c r="Q284" s="87">
        <v>50</v>
      </c>
      <c r="R284" s="49" t="s">
        <v>44</v>
      </c>
      <c r="S284" s="239">
        <v>4607958077632</v>
      </c>
      <c r="T284" s="344">
        <v>14607958077639</v>
      </c>
      <c r="U284" s="46">
        <v>4607958077632</v>
      </c>
      <c r="V284" s="46">
        <v>14607958077639</v>
      </c>
      <c r="W284" s="258">
        <v>300</v>
      </c>
      <c r="X284" s="68">
        <v>79</v>
      </c>
      <c r="Y284" s="68">
        <v>58</v>
      </c>
      <c r="Z284" s="65">
        <v>0.62</v>
      </c>
      <c r="AA284" s="271">
        <v>8.0000000000000002E-3</v>
      </c>
      <c r="AB284" s="66">
        <f t="shared" ref="AB284" si="384">Z284+AA284</f>
        <v>0.628</v>
      </c>
      <c r="AC284" s="59">
        <v>292</v>
      </c>
      <c r="AD284" s="60">
        <v>178</v>
      </c>
      <c r="AE284" s="60">
        <v>178</v>
      </c>
      <c r="AF284" s="191">
        <v>8</v>
      </c>
      <c r="AG284" s="117">
        <v>600000029</v>
      </c>
      <c r="AH284" s="104">
        <f>справочники!$C$21</f>
        <v>0.125</v>
      </c>
      <c r="AI284" s="61">
        <f t="shared" si="343"/>
        <v>4.96</v>
      </c>
      <c r="AJ284" s="122">
        <f t="shared" si="344"/>
        <v>5.149</v>
      </c>
      <c r="AK284" s="37">
        <v>16</v>
      </c>
      <c r="AL284" s="38">
        <v>8</v>
      </c>
      <c r="AM284" s="40">
        <f t="shared" ref="AM284" si="385">AK284*AL284</f>
        <v>128</v>
      </c>
      <c r="AN284" s="206">
        <f t="shared" ref="AN284" si="386">IF(D284="ШТ",кол_во_инд.__упак_к*итого_г_у,ROUNDDOWN(номин.вес_нетто_г_у__кг*итого_г_у,1))</f>
        <v>1024</v>
      </c>
      <c r="AO284" s="204">
        <f t="shared" si="329"/>
        <v>1569</v>
      </c>
    </row>
    <row r="285" spans="1:41" ht="204" x14ac:dyDescent="0.2">
      <c r="A285" s="22">
        <f t="shared" si="342"/>
        <v>6782</v>
      </c>
      <c r="B285" s="116">
        <v>1001301876782</v>
      </c>
      <c r="C285" s="48" t="s">
        <v>771</v>
      </c>
      <c r="D285" s="49" t="s">
        <v>4</v>
      </c>
      <c r="E285" s="146" t="s">
        <v>373</v>
      </c>
      <c r="F285" s="112" t="s">
        <v>348</v>
      </c>
      <c r="G285" s="224" t="s">
        <v>6</v>
      </c>
      <c r="H285" s="58" t="s">
        <v>1645</v>
      </c>
      <c r="I285" s="154" t="s">
        <v>389</v>
      </c>
      <c r="J285" s="151" t="s">
        <v>451</v>
      </c>
      <c r="K285" s="71" t="s">
        <v>1851</v>
      </c>
      <c r="L285" s="52">
        <v>12</v>
      </c>
      <c r="M285" s="53">
        <v>20</v>
      </c>
      <c r="N285" s="54">
        <v>5</v>
      </c>
      <c r="O285" s="88" t="s">
        <v>1862</v>
      </c>
      <c r="P285" s="31" t="s">
        <v>104</v>
      </c>
      <c r="Q285" s="87">
        <v>45</v>
      </c>
      <c r="R285" s="49" t="s">
        <v>44</v>
      </c>
      <c r="S285" s="237">
        <v>4607958077151</v>
      </c>
      <c r="T285" s="332">
        <v>14607958077158</v>
      </c>
      <c r="U285" s="46">
        <v>4607958077151</v>
      </c>
      <c r="V285" s="46">
        <v>14607958077158</v>
      </c>
      <c r="W285" s="258">
        <v>300</v>
      </c>
      <c r="X285" s="68">
        <v>79</v>
      </c>
      <c r="Y285" s="68">
        <v>58</v>
      </c>
      <c r="Z285" s="77">
        <v>0.6</v>
      </c>
      <c r="AA285" s="271">
        <v>8.0000000000000002E-3</v>
      </c>
      <c r="AB285" s="66">
        <f t="shared" si="379"/>
        <v>0.60799999999999998</v>
      </c>
      <c r="AC285" s="59">
        <v>292</v>
      </c>
      <c r="AD285" s="60">
        <v>178</v>
      </c>
      <c r="AE285" s="60">
        <v>178</v>
      </c>
      <c r="AF285" s="191">
        <v>8</v>
      </c>
      <c r="AG285" s="117">
        <v>600000029</v>
      </c>
      <c r="AH285" s="104">
        <f>справочники!$C$21</f>
        <v>0.125</v>
      </c>
      <c r="AI285" s="61">
        <f t="shared" si="343"/>
        <v>4.8</v>
      </c>
      <c r="AJ285" s="122">
        <f t="shared" si="344"/>
        <v>4.9889999999999999</v>
      </c>
      <c r="AK285" s="37">
        <v>16</v>
      </c>
      <c r="AL285" s="38">
        <v>8</v>
      </c>
      <c r="AM285" s="40">
        <f t="shared" ref="AM285:AM309" si="387">AK285*AL285</f>
        <v>128</v>
      </c>
      <c r="AN285" s="206">
        <f t="shared" si="380"/>
        <v>1024</v>
      </c>
      <c r="AO285" s="204">
        <f t="shared" si="329"/>
        <v>1569</v>
      </c>
    </row>
    <row r="286" spans="1:41" ht="204" x14ac:dyDescent="0.2">
      <c r="A286" s="22">
        <f t="shared" si="342"/>
        <v>5595</v>
      </c>
      <c r="B286" s="116">
        <v>1001051875595</v>
      </c>
      <c r="C286" s="48" t="s">
        <v>228</v>
      </c>
      <c r="D286" s="49" t="s">
        <v>4</v>
      </c>
      <c r="E286" s="146" t="s">
        <v>373</v>
      </c>
      <c r="F286" s="112" t="s">
        <v>348</v>
      </c>
      <c r="G286" s="224" t="s">
        <v>6</v>
      </c>
      <c r="H286" s="58" t="s">
        <v>38</v>
      </c>
      <c r="I286" s="154" t="s">
        <v>389</v>
      </c>
      <c r="J286" s="151" t="s">
        <v>451</v>
      </c>
      <c r="K286" s="71" t="s">
        <v>1851</v>
      </c>
      <c r="L286" s="52">
        <v>12</v>
      </c>
      <c r="M286" s="53">
        <v>20</v>
      </c>
      <c r="N286" s="54">
        <v>5</v>
      </c>
      <c r="O286" s="88" t="s">
        <v>1862</v>
      </c>
      <c r="P286" s="31" t="s">
        <v>104</v>
      </c>
      <c r="Q286" s="87">
        <v>45</v>
      </c>
      <c r="R286" s="49" t="s">
        <v>44</v>
      </c>
      <c r="S286" s="237">
        <v>4607958071401</v>
      </c>
      <c r="T286" s="332">
        <v>14607958071408</v>
      </c>
      <c r="U286" s="46">
        <v>4607958071401</v>
      </c>
      <c r="V286" s="46">
        <v>14607958071408</v>
      </c>
      <c r="W286" s="258">
        <v>300</v>
      </c>
      <c r="X286" s="68">
        <v>79</v>
      </c>
      <c r="Y286" s="68">
        <v>66</v>
      </c>
      <c r="Z286" s="77">
        <v>0.84</v>
      </c>
      <c r="AA286" s="271">
        <v>8.0000000000000002E-3</v>
      </c>
      <c r="AB286" s="66">
        <f t="shared" si="379"/>
        <v>0.84799999999999998</v>
      </c>
      <c r="AC286" s="59">
        <v>292</v>
      </c>
      <c r="AD286" s="60">
        <v>178</v>
      </c>
      <c r="AE286" s="60">
        <v>178</v>
      </c>
      <c r="AF286" s="191">
        <v>6</v>
      </c>
      <c r="AG286" s="117">
        <v>600000029</v>
      </c>
      <c r="AH286" s="104">
        <f>справочники!$C$21</f>
        <v>0.125</v>
      </c>
      <c r="AI286" s="61">
        <f t="shared" si="343"/>
        <v>5.04</v>
      </c>
      <c r="AJ286" s="122">
        <f t="shared" si="344"/>
        <v>5.2130000000000001</v>
      </c>
      <c r="AK286" s="37">
        <v>16</v>
      </c>
      <c r="AL286" s="38">
        <v>8</v>
      </c>
      <c r="AM286" s="40">
        <f t="shared" si="387"/>
        <v>128</v>
      </c>
      <c r="AN286" s="206">
        <f t="shared" si="380"/>
        <v>768</v>
      </c>
      <c r="AO286" s="204">
        <f t="shared" si="329"/>
        <v>1569</v>
      </c>
    </row>
    <row r="287" spans="1:41" ht="204" x14ac:dyDescent="0.2">
      <c r="A287" s="22">
        <f t="shared" si="342"/>
        <v>5600</v>
      </c>
      <c r="B287" s="116">
        <v>1001051875600</v>
      </c>
      <c r="C287" s="48" t="s">
        <v>229</v>
      </c>
      <c r="D287" s="49" t="s">
        <v>3</v>
      </c>
      <c r="E287" s="146" t="s">
        <v>373</v>
      </c>
      <c r="F287" s="112" t="s">
        <v>348</v>
      </c>
      <c r="G287" s="224" t="s">
        <v>6</v>
      </c>
      <c r="H287" s="58" t="s">
        <v>38</v>
      </c>
      <c r="I287" s="154" t="s">
        <v>389</v>
      </c>
      <c r="J287" s="151" t="s">
        <v>451</v>
      </c>
      <c r="K287" s="71" t="s">
        <v>1851</v>
      </c>
      <c r="L287" s="52">
        <v>12</v>
      </c>
      <c r="M287" s="53">
        <v>20</v>
      </c>
      <c r="N287" s="54">
        <v>5</v>
      </c>
      <c r="O287" s="88" t="s">
        <v>1862</v>
      </c>
      <c r="P287" s="31" t="s">
        <v>104</v>
      </c>
      <c r="Q287" s="87">
        <v>45</v>
      </c>
      <c r="R287" s="49" t="s">
        <v>44</v>
      </c>
      <c r="S287" s="239">
        <v>2952097000006</v>
      </c>
      <c r="T287" s="344">
        <v>12952097000003</v>
      </c>
      <c r="U287" s="46">
        <v>4630362181657</v>
      </c>
      <c r="V287" s="46">
        <v>14630362181654</v>
      </c>
      <c r="W287" s="93">
        <v>300</v>
      </c>
      <c r="X287" s="60">
        <v>79</v>
      </c>
      <c r="Y287" s="68">
        <v>66</v>
      </c>
      <c r="Z287" s="77">
        <v>0.84</v>
      </c>
      <c r="AA287" s="271">
        <v>8.0000000000000002E-3</v>
      </c>
      <c r="AB287" s="66">
        <f t="shared" si="379"/>
        <v>0.84799999999999998</v>
      </c>
      <c r="AC287" s="59">
        <v>292</v>
      </c>
      <c r="AD287" s="60">
        <v>178</v>
      </c>
      <c r="AE287" s="60">
        <v>178</v>
      </c>
      <c r="AF287" s="191">
        <v>6</v>
      </c>
      <c r="AG287" s="117">
        <v>600000029</v>
      </c>
      <c r="AH287" s="104">
        <f>справочники!$C$21</f>
        <v>0.125</v>
      </c>
      <c r="AI287" s="61">
        <f t="shared" si="343"/>
        <v>5.04</v>
      </c>
      <c r="AJ287" s="122">
        <f t="shared" si="344"/>
        <v>5.2130000000000001</v>
      </c>
      <c r="AK287" s="37">
        <v>14</v>
      </c>
      <c r="AL287" s="38">
        <v>8</v>
      </c>
      <c r="AM287" s="40">
        <f t="shared" si="387"/>
        <v>112</v>
      </c>
      <c r="AN287" s="214">
        <f t="shared" si="380"/>
        <v>564.4</v>
      </c>
      <c r="AO287" s="204">
        <f t="shared" si="329"/>
        <v>1569</v>
      </c>
    </row>
    <row r="288" spans="1:41" ht="191.25" x14ac:dyDescent="0.2">
      <c r="A288" s="22">
        <f t="shared" si="342"/>
        <v>5607</v>
      </c>
      <c r="B288" s="116">
        <v>1001051875607</v>
      </c>
      <c r="C288" s="48" t="s">
        <v>230</v>
      </c>
      <c r="D288" s="49" t="s">
        <v>3</v>
      </c>
      <c r="E288" s="146" t="s">
        <v>373</v>
      </c>
      <c r="F288" s="112" t="s">
        <v>348</v>
      </c>
      <c r="G288" s="224" t="s">
        <v>6</v>
      </c>
      <c r="H288" s="58" t="s">
        <v>38</v>
      </c>
      <c r="I288" s="154" t="s">
        <v>389</v>
      </c>
      <c r="J288" s="151" t="s">
        <v>451</v>
      </c>
      <c r="K288" s="71" t="s">
        <v>1644</v>
      </c>
      <c r="L288" s="52">
        <v>11</v>
      </c>
      <c r="M288" s="53">
        <v>21</v>
      </c>
      <c r="N288" s="54">
        <v>2</v>
      </c>
      <c r="O288" s="88" t="s">
        <v>233</v>
      </c>
      <c r="P288" s="31" t="s">
        <v>104</v>
      </c>
      <c r="Q288" s="87">
        <v>45</v>
      </c>
      <c r="R288" s="49" t="s">
        <v>44</v>
      </c>
      <c r="S288" s="239">
        <v>2906000000003</v>
      </c>
      <c r="T288" s="344">
        <v>12906000000000</v>
      </c>
      <c r="U288" s="46">
        <v>4630362181657</v>
      </c>
      <c r="V288" s="46">
        <v>14630362181654</v>
      </c>
      <c r="W288" s="258">
        <v>300</v>
      </c>
      <c r="X288" s="68">
        <v>79</v>
      </c>
      <c r="Y288" s="68">
        <v>66</v>
      </c>
      <c r="Z288" s="77">
        <v>0.84</v>
      </c>
      <c r="AA288" s="271">
        <v>8.0000000000000002E-3</v>
      </c>
      <c r="AB288" s="66">
        <f t="shared" si="379"/>
        <v>0.84799999999999998</v>
      </c>
      <c r="AC288" s="59">
        <v>292</v>
      </c>
      <c r="AD288" s="60">
        <v>178</v>
      </c>
      <c r="AE288" s="60">
        <v>178</v>
      </c>
      <c r="AF288" s="191">
        <v>6</v>
      </c>
      <c r="AG288" s="117">
        <v>600000029</v>
      </c>
      <c r="AH288" s="104">
        <f>справочники!$C$21</f>
        <v>0.125</v>
      </c>
      <c r="AI288" s="61">
        <f t="shared" si="343"/>
        <v>5.04</v>
      </c>
      <c r="AJ288" s="122">
        <f t="shared" si="344"/>
        <v>5.2130000000000001</v>
      </c>
      <c r="AK288" s="37">
        <v>16</v>
      </c>
      <c r="AL288" s="38">
        <v>8</v>
      </c>
      <c r="AM288" s="40">
        <f t="shared" si="387"/>
        <v>128</v>
      </c>
      <c r="AN288" s="214">
        <f t="shared" si="380"/>
        <v>645.1</v>
      </c>
      <c r="AO288" s="204">
        <f t="shared" si="329"/>
        <v>1569</v>
      </c>
    </row>
    <row r="289" spans="1:41" ht="204" x14ac:dyDescent="0.2">
      <c r="A289" s="22">
        <f t="shared" si="342"/>
        <v>5544</v>
      </c>
      <c r="B289" s="116">
        <v>1001051875544</v>
      </c>
      <c r="C289" s="48" t="s">
        <v>226</v>
      </c>
      <c r="D289" s="49" t="s">
        <v>3</v>
      </c>
      <c r="E289" s="146" t="s">
        <v>373</v>
      </c>
      <c r="F289" s="112" t="s">
        <v>348</v>
      </c>
      <c r="G289" s="224" t="s">
        <v>6</v>
      </c>
      <c r="H289" s="58" t="s">
        <v>38</v>
      </c>
      <c r="I289" s="154" t="s">
        <v>389</v>
      </c>
      <c r="J289" s="151" t="s">
        <v>451</v>
      </c>
      <c r="K289" s="71" t="s">
        <v>1851</v>
      </c>
      <c r="L289" s="52">
        <v>12</v>
      </c>
      <c r="M289" s="53">
        <v>20</v>
      </c>
      <c r="N289" s="54">
        <v>5</v>
      </c>
      <c r="O289" s="88" t="s">
        <v>1862</v>
      </c>
      <c r="P289" s="31" t="s">
        <v>104</v>
      </c>
      <c r="Q289" s="87">
        <v>45</v>
      </c>
      <c r="R289" s="49" t="s">
        <v>44</v>
      </c>
      <c r="S289" s="239">
        <v>2906000000003</v>
      </c>
      <c r="T289" s="344">
        <v>12906000000000</v>
      </c>
      <c r="U289" s="46">
        <v>4630362181657</v>
      </c>
      <c r="V289" s="46">
        <v>14630362181654</v>
      </c>
      <c r="W289" s="258">
        <v>300</v>
      </c>
      <c r="X289" s="68">
        <v>79</v>
      </c>
      <c r="Y289" s="68">
        <v>66</v>
      </c>
      <c r="Z289" s="77">
        <v>0.81</v>
      </c>
      <c r="AA289" s="271">
        <v>8.0000000000000002E-3</v>
      </c>
      <c r="AB289" s="66">
        <f t="shared" si="379"/>
        <v>0.81800000000000006</v>
      </c>
      <c r="AC289" s="59">
        <v>292</v>
      </c>
      <c r="AD289" s="60">
        <v>178</v>
      </c>
      <c r="AE289" s="60">
        <v>178</v>
      </c>
      <c r="AF289" s="191">
        <v>6</v>
      </c>
      <c r="AG289" s="117">
        <v>600000029</v>
      </c>
      <c r="AH289" s="104">
        <f>справочники!$C$21</f>
        <v>0.125</v>
      </c>
      <c r="AI289" s="61">
        <f t="shared" si="343"/>
        <v>4.8600000000000003</v>
      </c>
      <c r="AJ289" s="122">
        <f t="shared" si="344"/>
        <v>5.0330000000000004</v>
      </c>
      <c r="AK289" s="37">
        <v>16</v>
      </c>
      <c r="AL289" s="38">
        <v>8</v>
      </c>
      <c r="AM289" s="40">
        <f t="shared" si="387"/>
        <v>128</v>
      </c>
      <c r="AN289" s="214">
        <f t="shared" si="380"/>
        <v>622</v>
      </c>
      <c r="AO289" s="204">
        <f t="shared" si="329"/>
        <v>1569</v>
      </c>
    </row>
    <row r="290" spans="1:41" ht="204" x14ac:dyDescent="0.2">
      <c r="A290" s="22">
        <f t="shared" si="342"/>
        <v>3657</v>
      </c>
      <c r="B290" s="116">
        <v>1001051873657</v>
      </c>
      <c r="C290" s="48" t="s">
        <v>46</v>
      </c>
      <c r="D290" s="49" t="s">
        <v>3</v>
      </c>
      <c r="E290" s="146" t="s">
        <v>373</v>
      </c>
      <c r="F290" s="112" t="s">
        <v>348</v>
      </c>
      <c r="G290" s="224" t="s">
        <v>6</v>
      </c>
      <c r="H290" s="58" t="s">
        <v>38</v>
      </c>
      <c r="I290" s="154" t="s">
        <v>389</v>
      </c>
      <c r="J290" s="151" t="s">
        <v>451</v>
      </c>
      <c r="K290" s="71" t="s">
        <v>1851</v>
      </c>
      <c r="L290" s="52">
        <v>12</v>
      </c>
      <c r="M290" s="53">
        <v>20</v>
      </c>
      <c r="N290" s="54">
        <v>5</v>
      </c>
      <c r="O290" s="88" t="s">
        <v>1862</v>
      </c>
      <c r="P290" s="31" t="s">
        <v>104</v>
      </c>
      <c r="Q290" s="87">
        <v>45</v>
      </c>
      <c r="R290" s="49" t="s">
        <v>44</v>
      </c>
      <c r="S290" s="239">
        <v>2510713000009</v>
      </c>
      <c r="T290" s="344">
        <v>12510713000006</v>
      </c>
      <c r="U290" s="46">
        <v>4630362181664</v>
      </c>
      <c r="V290" s="46">
        <v>14630362181661</v>
      </c>
      <c r="W290" s="258">
        <v>300</v>
      </c>
      <c r="X290" s="68">
        <v>79</v>
      </c>
      <c r="Y290" s="68">
        <v>66</v>
      </c>
      <c r="Z290" s="77">
        <v>0.84</v>
      </c>
      <c r="AA290" s="271">
        <v>8.0000000000000002E-3</v>
      </c>
      <c r="AB290" s="66">
        <f t="shared" si="379"/>
        <v>0.84799999999999998</v>
      </c>
      <c r="AC290" s="59">
        <v>292</v>
      </c>
      <c r="AD290" s="60">
        <v>178</v>
      </c>
      <c r="AE290" s="60">
        <v>178</v>
      </c>
      <c r="AF290" s="191">
        <v>6</v>
      </c>
      <c r="AG290" s="117">
        <v>600000029</v>
      </c>
      <c r="AH290" s="104">
        <f>справочники!$C$21</f>
        <v>0.125</v>
      </c>
      <c r="AI290" s="61">
        <f t="shared" si="343"/>
        <v>5.04</v>
      </c>
      <c r="AJ290" s="122">
        <f t="shared" si="344"/>
        <v>5.2130000000000001</v>
      </c>
      <c r="AK290" s="37">
        <v>14</v>
      </c>
      <c r="AL290" s="38">
        <v>8</v>
      </c>
      <c r="AM290" s="40">
        <f t="shared" si="387"/>
        <v>112</v>
      </c>
      <c r="AN290" s="214">
        <f t="shared" si="380"/>
        <v>564.4</v>
      </c>
      <c r="AO290" s="204">
        <f t="shared" si="329"/>
        <v>1569</v>
      </c>
    </row>
    <row r="291" spans="1:41" ht="204" x14ac:dyDescent="0.2">
      <c r="A291" s="22">
        <f t="shared" si="342"/>
        <v>3892</v>
      </c>
      <c r="B291" s="116">
        <v>1001051873892</v>
      </c>
      <c r="C291" s="48" t="s">
        <v>47</v>
      </c>
      <c r="D291" s="49" t="s">
        <v>3</v>
      </c>
      <c r="E291" s="146" t="s">
        <v>373</v>
      </c>
      <c r="F291" s="112" t="s">
        <v>348</v>
      </c>
      <c r="G291" s="224" t="s">
        <v>6</v>
      </c>
      <c r="H291" s="58" t="s">
        <v>38</v>
      </c>
      <c r="I291" s="154" t="s">
        <v>389</v>
      </c>
      <c r="J291" s="151" t="s">
        <v>451</v>
      </c>
      <c r="K291" s="71" t="s">
        <v>1851</v>
      </c>
      <c r="L291" s="52">
        <v>12</v>
      </c>
      <c r="M291" s="53">
        <v>20</v>
      </c>
      <c r="N291" s="54">
        <v>5</v>
      </c>
      <c r="O291" s="88" t="s">
        <v>1862</v>
      </c>
      <c r="P291" s="31" t="s">
        <v>104</v>
      </c>
      <c r="Q291" s="87">
        <v>45</v>
      </c>
      <c r="R291" s="49" t="s">
        <v>44</v>
      </c>
      <c r="S291" s="239">
        <v>2816370000001</v>
      </c>
      <c r="T291" s="344">
        <v>12816370000008</v>
      </c>
      <c r="U291" s="46">
        <v>4630362181657</v>
      </c>
      <c r="V291" s="46">
        <v>14630362181654</v>
      </c>
      <c r="W291" s="258">
        <v>300</v>
      </c>
      <c r="X291" s="68">
        <v>79</v>
      </c>
      <c r="Y291" s="68">
        <v>66</v>
      </c>
      <c r="Z291" s="77">
        <v>0.84</v>
      </c>
      <c r="AA291" s="271">
        <v>8.0000000000000002E-3</v>
      </c>
      <c r="AB291" s="66">
        <f t="shared" si="379"/>
        <v>0.84799999999999998</v>
      </c>
      <c r="AC291" s="59">
        <v>292</v>
      </c>
      <c r="AD291" s="60">
        <v>178</v>
      </c>
      <c r="AE291" s="60">
        <v>178</v>
      </c>
      <c r="AF291" s="191">
        <v>6</v>
      </c>
      <c r="AG291" s="117">
        <v>600000029</v>
      </c>
      <c r="AH291" s="104">
        <f>справочники!$C$21</f>
        <v>0.125</v>
      </c>
      <c r="AI291" s="61">
        <f t="shared" si="343"/>
        <v>5.04</v>
      </c>
      <c r="AJ291" s="122">
        <f t="shared" si="344"/>
        <v>5.2130000000000001</v>
      </c>
      <c r="AK291" s="37">
        <v>16</v>
      </c>
      <c r="AL291" s="38">
        <v>8</v>
      </c>
      <c r="AM291" s="40">
        <f t="shared" si="387"/>
        <v>128</v>
      </c>
      <c r="AN291" s="214">
        <f t="shared" si="380"/>
        <v>645.1</v>
      </c>
      <c r="AO291" s="204">
        <f t="shared" si="329"/>
        <v>1569</v>
      </c>
    </row>
    <row r="292" spans="1:41" ht="204" x14ac:dyDescent="0.2">
      <c r="A292" s="22">
        <f t="shared" si="342"/>
        <v>2477</v>
      </c>
      <c r="B292" s="116">
        <v>1001051872477</v>
      </c>
      <c r="C292" s="48" t="s">
        <v>45</v>
      </c>
      <c r="D292" s="49" t="s">
        <v>3</v>
      </c>
      <c r="E292" s="146" t="s">
        <v>373</v>
      </c>
      <c r="F292" s="112" t="s">
        <v>348</v>
      </c>
      <c r="G292" s="224" t="s">
        <v>6</v>
      </c>
      <c r="H292" s="58" t="s">
        <v>38</v>
      </c>
      <c r="I292" s="154" t="s">
        <v>389</v>
      </c>
      <c r="J292" s="151" t="s">
        <v>451</v>
      </c>
      <c r="K292" s="71" t="s">
        <v>1851</v>
      </c>
      <c r="L292" s="52">
        <v>12</v>
      </c>
      <c r="M292" s="53">
        <v>20</v>
      </c>
      <c r="N292" s="54">
        <v>5</v>
      </c>
      <c r="O292" s="88" t="s">
        <v>1862</v>
      </c>
      <c r="P292" s="31" t="s">
        <v>104</v>
      </c>
      <c r="Q292" s="87">
        <v>45</v>
      </c>
      <c r="R292" s="49" t="s">
        <v>44</v>
      </c>
      <c r="S292" s="237">
        <v>2524910000007</v>
      </c>
      <c r="T292" s="332">
        <v>12524910000004</v>
      </c>
      <c r="U292" s="46">
        <v>4630362181657</v>
      </c>
      <c r="V292" s="46">
        <v>14630362181654</v>
      </c>
      <c r="W292" s="93">
        <v>300</v>
      </c>
      <c r="X292" s="60">
        <v>79</v>
      </c>
      <c r="Y292" s="68">
        <v>66</v>
      </c>
      <c r="Z292" s="77">
        <v>0.84</v>
      </c>
      <c r="AA292" s="271">
        <v>8.0000000000000002E-3</v>
      </c>
      <c r="AB292" s="66">
        <f t="shared" si="379"/>
        <v>0.84799999999999998</v>
      </c>
      <c r="AC292" s="59">
        <v>292</v>
      </c>
      <c r="AD292" s="60">
        <v>178</v>
      </c>
      <c r="AE292" s="60">
        <v>178</v>
      </c>
      <c r="AF292" s="191">
        <v>6</v>
      </c>
      <c r="AG292" s="117">
        <v>600000029</v>
      </c>
      <c r="AH292" s="104">
        <f>справочники!$C$21</f>
        <v>0.125</v>
      </c>
      <c r="AI292" s="61">
        <f t="shared" si="343"/>
        <v>5.04</v>
      </c>
      <c r="AJ292" s="122">
        <f t="shared" si="344"/>
        <v>5.2130000000000001</v>
      </c>
      <c r="AK292" s="37">
        <v>16</v>
      </c>
      <c r="AL292" s="38">
        <v>8</v>
      </c>
      <c r="AM292" s="40">
        <f t="shared" si="387"/>
        <v>128</v>
      </c>
      <c r="AN292" s="214">
        <f t="shared" si="380"/>
        <v>645.1</v>
      </c>
      <c r="AO292" s="204">
        <f t="shared" si="329"/>
        <v>1569</v>
      </c>
    </row>
    <row r="293" spans="1:41" ht="204" x14ac:dyDescent="0.2">
      <c r="A293" s="22">
        <f t="shared" si="342"/>
        <v>6697</v>
      </c>
      <c r="B293" s="116">
        <v>1001301876697</v>
      </c>
      <c r="C293" s="70" t="s">
        <v>323</v>
      </c>
      <c r="D293" s="50" t="s">
        <v>4</v>
      </c>
      <c r="E293" s="146" t="s">
        <v>373</v>
      </c>
      <c r="F293" s="112" t="s">
        <v>348</v>
      </c>
      <c r="G293" s="224" t="s">
        <v>6</v>
      </c>
      <c r="H293" s="58" t="s">
        <v>38</v>
      </c>
      <c r="I293" s="154" t="s">
        <v>389</v>
      </c>
      <c r="J293" s="151" t="s">
        <v>451</v>
      </c>
      <c r="K293" s="71" t="s">
        <v>1851</v>
      </c>
      <c r="L293" s="52">
        <v>12</v>
      </c>
      <c r="M293" s="53">
        <v>20</v>
      </c>
      <c r="N293" s="54">
        <v>5</v>
      </c>
      <c r="O293" s="88" t="s">
        <v>1862</v>
      </c>
      <c r="P293" s="31" t="s">
        <v>104</v>
      </c>
      <c r="Q293" s="87">
        <v>45</v>
      </c>
      <c r="R293" s="49" t="s">
        <v>44</v>
      </c>
      <c r="S293" s="237">
        <v>4607958072170</v>
      </c>
      <c r="T293" s="332">
        <v>14607958072177</v>
      </c>
      <c r="U293" s="46">
        <v>4607958072170</v>
      </c>
      <c r="V293" s="46">
        <v>14607958072177</v>
      </c>
      <c r="W293" s="258">
        <v>220</v>
      </c>
      <c r="X293" s="68">
        <v>80</v>
      </c>
      <c r="Y293" s="68">
        <v>58</v>
      </c>
      <c r="Z293" s="65">
        <v>0.35</v>
      </c>
      <c r="AA293" s="271">
        <v>5.0000000000000001E-3</v>
      </c>
      <c r="AB293" s="66">
        <f t="shared" si="379"/>
        <v>0.35499999999999998</v>
      </c>
      <c r="AC293" s="59">
        <v>318</v>
      </c>
      <c r="AD293" s="60">
        <v>143</v>
      </c>
      <c r="AE293" s="60">
        <v>138</v>
      </c>
      <c r="AF293" s="191">
        <v>8</v>
      </c>
      <c r="AG293" s="117">
        <v>600000407</v>
      </c>
      <c r="AH293" s="104">
        <f>справочники!$C$106</f>
        <v>9.4E-2</v>
      </c>
      <c r="AI293" s="61">
        <f t="shared" si="343"/>
        <v>2.8</v>
      </c>
      <c r="AJ293" s="122">
        <f t="shared" si="344"/>
        <v>2.9339999999999997</v>
      </c>
      <c r="AK293" s="37">
        <v>19</v>
      </c>
      <c r="AL293" s="38">
        <v>11</v>
      </c>
      <c r="AM293" s="40">
        <f t="shared" si="387"/>
        <v>209</v>
      </c>
      <c r="AN293" s="206">
        <f t="shared" si="380"/>
        <v>1672</v>
      </c>
      <c r="AO293" s="204">
        <f t="shared" si="329"/>
        <v>1663</v>
      </c>
    </row>
    <row r="294" spans="1:41" ht="204" x14ac:dyDescent="0.2">
      <c r="A294" s="22">
        <f t="shared" si="342"/>
        <v>6699</v>
      </c>
      <c r="B294" s="116">
        <v>1001301876699</v>
      </c>
      <c r="C294" s="70" t="s">
        <v>324</v>
      </c>
      <c r="D294" s="50" t="s">
        <v>4</v>
      </c>
      <c r="E294" s="146" t="s">
        <v>373</v>
      </c>
      <c r="F294" s="112" t="s">
        <v>348</v>
      </c>
      <c r="G294" s="224" t="s">
        <v>6</v>
      </c>
      <c r="H294" s="58" t="s">
        <v>38</v>
      </c>
      <c r="I294" s="154" t="s">
        <v>389</v>
      </c>
      <c r="J294" s="151" t="s">
        <v>451</v>
      </c>
      <c r="K294" s="71" t="s">
        <v>1851</v>
      </c>
      <c r="L294" s="52">
        <v>12</v>
      </c>
      <c r="M294" s="53">
        <v>20</v>
      </c>
      <c r="N294" s="54">
        <v>5</v>
      </c>
      <c r="O294" s="88" t="s">
        <v>1862</v>
      </c>
      <c r="P294" s="31" t="s">
        <v>104</v>
      </c>
      <c r="Q294" s="87">
        <v>45</v>
      </c>
      <c r="R294" s="49" t="s">
        <v>44</v>
      </c>
      <c r="S294" s="237">
        <v>4607958075010</v>
      </c>
      <c r="T294" s="332">
        <v>14607958075017</v>
      </c>
      <c r="U294" s="46">
        <v>4607958075010</v>
      </c>
      <c r="V294" s="46">
        <v>14607958075017</v>
      </c>
      <c r="W294" s="258">
        <v>220</v>
      </c>
      <c r="X294" s="68">
        <v>80</v>
      </c>
      <c r="Y294" s="68">
        <v>66</v>
      </c>
      <c r="Z294" s="65">
        <v>0.42</v>
      </c>
      <c r="AA294" s="271">
        <v>5.0000000000000001E-3</v>
      </c>
      <c r="AB294" s="66">
        <f t="shared" si="379"/>
        <v>0.42499999999999999</v>
      </c>
      <c r="AC294" s="59">
        <v>278</v>
      </c>
      <c r="AD294" s="60">
        <v>193</v>
      </c>
      <c r="AE294" s="60">
        <v>138</v>
      </c>
      <c r="AF294" s="191">
        <v>8</v>
      </c>
      <c r="AG294" s="117">
        <v>600000404</v>
      </c>
      <c r="AH294" s="104">
        <f>справочники!$C$101</f>
        <v>0.105</v>
      </c>
      <c r="AI294" s="61">
        <f t="shared" si="343"/>
        <v>3.36</v>
      </c>
      <c r="AJ294" s="122">
        <f t="shared" si="344"/>
        <v>3.5049999999999999</v>
      </c>
      <c r="AK294" s="37">
        <v>16</v>
      </c>
      <c r="AL294" s="38">
        <v>11</v>
      </c>
      <c r="AM294" s="40">
        <f t="shared" si="387"/>
        <v>176</v>
      </c>
      <c r="AN294" s="206">
        <f t="shared" si="380"/>
        <v>1408</v>
      </c>
      <c r="AO294" s="204">
        <f t="shared" si="329"/>
        <v>1663</v>
      </c>
    </row>
    <row r="295" spans="1:41" ht="120.6" customHeight="1" x14ac:dyDescent="0.2">
      <c r="A295" s="22">
        <f t="shared" si="342"/>
        <v>7393</v>
      </c>
      <c r="B295" s="116">
        <v>1001304477393</v>
      </c>
      <c r="C295" s="70" t="s">
        <v>1912</v>
      </c>
      <c r="D295" s="50" t="s">
        <v>4</v>
      </c>
      <c r="E295" s="146" t="s">
        <v>373</v>
      </c>
      <c r="F295" s="112" t="s">
        <v>348</v>
      </c>
      <c r="G295" s="224" t="s">
        <v>5</v>
      </c>
      <c r="H295" s="58" t="s">
        <v>278</v>
      </c>
      <c r="I295" s="154" t="s">
        <v>389</v>
      </c>
      <c r="J295" s="151" t="s">
        <v>451</v>
      </c>
      <c r="K295" s="71" t="s">
        <v>1340</v>
      </c>
      <c r="L295" s="52">
        <v>11</v>
      </c>
      <c r="M295" s="53">
        <v>21</v>
      </c>
      <c r="N295" s="54">
        <v>2</v>
      </c>
      <c r="O295" s="88" t="s">
        <v>233</v>
      </c>
      <c r="P295" s="31" t="s">
        <v>104</v>
      </c>
      <c r="Q295" s="87">
        <v>45</v>
      </c>
      <c r="R295" s="49" t="s">
        <v>44</v>
      </c>
      <c r="S295" s="237">
        <v>4630362180339</v>
      </c>
      <c r="T295" s="237">
        <v>14630362180336</v>
      </c>
      <c r="U295" s="237">
        <v>4630362180339</v>
      </c>
      <c r="V295" s="237">
        <v>14630362180336</v>
      </c>
      <c r="W295" s="93">
        <v>190</v>
      </c>
      <c r="X295" s="60">
        <v>130</v>
      </c>
      <c r="Y295" s="60">
        <v>80</v>
      </c>
      <c r="Z295" s="77">
        <v>0.7</v>
      </c>
      <c r="AA295" s="271">
        <v>5.0000000000000001E-3</v>
      </c>
      <c r="AB295" s="66">
        <f t="shared" si="379"/>
        <v>0.70499999999999996</v>
      </c>
      <c r="AC295" s="59">
        <v>292</v>
      </c>
      <c r="AD295" s="60">
        <v>178</v>
      </c>
      <c r="AE295" s="60">
        <v>178</v>
      </c>
      <c r="AF295" s="191">
        <v>8</v>
      </c>
      <c r="AG295" s="117">
        <v>600000029</v>
      </c>
      <c r="AH295" s="104">
        <f>справочники!$C$21</f>
        <v>0.125</v>
      </c>
      <c r="AI295" s="61">
        <f t="shared" si="343"/>
        <v>5.6</v>
      </c>
      <c r="AJ295" s="122">
        <f t="shared" si="344"/>
        <v>5.7649999999999997</v>
      </c>
      <c r="AK295" s="37">
        <v>16</v>
      </c>
      <c r="AL295" s="38">
        <v>6</v>
      </c>
      <c r="AM295" s="40">
        <f t="shared" si="387"/>
        <v>96</v>
      </c>
      <c r="AN295" s="206">
        <f t="shared" si="380"/>
        <v>768</v>
      </c>
      <c r="AO295" s="204">
        <f t="shared" si="329"/>
        <v>1213</v>
      </c>
    </row>
    <row r="296" spans="1:41" ht="90" customHeight="1" x14ac:dyDescent="0.2">
      <c r="A296" s="22">
        <f t="shared" si="342"/>
        <v>7148</v>
      </c>
      <c r="B296" s="116">
        <v>1001306387148</v>
      </c>
      <c r="C296" s="70" t="s">
        <v>1120</v>
      </c>
      <c r="D296" s="49" t="s">
        <v>3</v>
      </c>
      <c r="E296" s="146" t="s">
        <v>373</v>
      </c>
      <c r="F296" s="112" t="s">
        <v>348</v>
      </c>
      <c r="G296" s="224" t="s">
        <v>2</v>
      </c>
      <c r="H296" s="58" t="s">
        <v>38</v>
      </c>
      <c r="I296" s="154" t="s">
        <v>389</v>
      </c>
      <c r="J296" s="150" t="s">
        <v>451</v>
      </c>
      <c r="K296" s="71" t="s">
        <v>1121</v>
      </c>
      <c r="L296" s="52">
        <v>13</v>
      </c>
      <c r="M296" s="53">
        <v>29</v>
      </c>
      <c r="N296" s="54"/>
      <c r="O296" s="54" t="s">
        <v>796</v>
      </c>
      <c r="P296" s="31" t="s">
        <v>104</v>
      </c>
      <c r="Q296" s="87">
        <v>45</v>
      </c>
      <c r="R296" s="49" t="s">
        <v>44</v>
      </c>
      <c r="S296" s="237">
        <v>2321038000007</v>
      </c>
      <c r="T296" s="332">
        <v>12321038000004</v>
      </c>
      <c r="U296" s="46">
        <v>4630362181671</v>
      </c>
      <c r="V296" s="46">
        <v>14630362181678</v>
      </c>
      <c r="W296" s="258">
        <v>324</v>
      </c>
      <c r="X296" s="68">
        <v>85</v>
      </c>
      <c r="Y296" s="68">
        <v>56</v>
      </c>
      <c r="Z296" s="77">
        <v>0.65</v>
      </c>
      <c r="AA296" s="271">
        <v>8.0000000000000002E-3</v>
      </c>
      <c r="AB296" s="66">
        <f t="shared" ref="AB296" si="388">Z296+AA296</f>
        <v>0.65800000000000003</v>
      </c>
      <c r="AC296" s="59">
        <v>315</v>
      </c>
      <c r="AD296" s="60">
        <v>168</v>
      </c>
      <c r="AE296" s="60">
        <v>248</v>
      </c>
      <c r="AF296" s="191">
        <v>10</v>
      </c>
      <c r="AG296" s="117">
        <v>600000429</v>
      </c>
      <c r="AH296" s="104">
        <f>справочники!$C$115</f>
        <v>0.14299999999999999</v>
      </c>
      <c r="AI296" s="61">
        <f t="shared" si="343"/>
        <v>6.5</v>
      </c>
      <c r="AJ296" s="124">
        <f t="shared" si="344"/>
        <v>6.7229999999999999</v>
      </c>
      <c r="AK296" s="37">
        <v>17</v>
      </c>
      <c r="AL296" s="38">
        <v>6</v>
      </c>
      <c r="AM296" s="40">
        <f t="shared" si="387"/>
        <v>102</v>
      </c>
      <c r="AN296" s="272">
        <f t="shared" si="380"/>
        <v>663</v>
      </c>
      <c r="AO296" s="204">
        <f t="shared" si="329"/>
        <v>1633</v>
      </c>
    </row>
    <row r="297" spans="1:41" ht="140.25" x14ac:dyDescent="0.2">
      <c r="A297" s="22">
        <f t="shared" si="342"/>
        <v>3265</v>
      </c>
      <c r="B297" s="116">
        <v>1001054193265</v>
      </c>
      <c r="C297" s="48" t="s">
        <v>911</v>
      </c>
      <c r="D297" s="49" t="s">
        <v>3</v>
      </c>
      <c r="E297" s="146" t="s">
        <v>373</v>
      </c>
      <c r="F297" s="112" t="s">
        <v>348</v>
      </c>
      <c r="G297" s="224" t="s">
        <v>2</v>
      </c>
      <c r="H297" s="58" t="s">
        <v>38</v>
      </c>
      <c r="I297" s="154" t="s">
        <v>389</v>
      </c>
      <c r="J297" s="150" t="s">
        <v>451</v>
      </c>
      <c r="K297" s="71" t="s">
        <v>912</v>
      </c>
      <c r="L297" s="52">
        <v>13</v>
      </c>
      <c r="M297" s="53">
        <v>29</v>
      </c>
      <c r="N297" s="53"/>
      <c r="O297" s="54" t="s">
        <v>796</v>
      </c>
      <c r="P297" s="31" t="s">
        <v>104</v>
      </c>
      <c r="Q297" s="49">
        <v>50</v>
      </c>
      <c r="R297" s="56" t="s">
        <v>44</v>
      </c>
      <c r="S297" s="120">
        <v>2800482000004</v>
      </c>
      <c r="T297" s="342">
        <v>12800482000001</v>
      </c>
      <c r="U297" s="46" t="s">
        <v>1874</v>
      </c>
      <c r="V297" s="46" t="s">
        <v>1874</v>
      </c>
      <c r="W297" s="93">
        <v>900</v>
      </c>
      <c r="X297" s="60">
        <v>85</v>
      </c>
      <c r="Y297" s="60">
        <v>85</v>
      </c>
      <c r="Z297" s="77">
        <v>4.5</v>
      </c>
      <c r="AA297" s="271">
        <v>0</v>
      </c>
      <c r="AB297" s="66">
        <f t="shared" si="379"/>
        <v>4.5</v>
      </c>
      <c r="AC297" s="67">
        <v>938</v>
      </c>
      <c r="AD297" s="68">
        <v>178</v>
      </c>
      <c r="AE297" s="68">
        <v>178</v>
      </c>
      <c r="AF297" s="194">
        <v>4</v>
      </c>
      <c r="AG297" s="117">
        <v>600000313</v>
      </c>
      <c r="AH297" s="105">
        <f>справочники!$C$62</f>
        <v>0.53100000000000003</v>
      </c>
      <c r="AI297" s="61">
        <f t="shared" si="343"/>
        <v>18</v>
      </c>
      <c r="AJ297" s="123">
        <f t="shared" si="344"/>
        <v>18.530999999999999</v>
      </c>
      <c r="AK297" s="33">
        <v>4</v>
      </c>
      <c r="AL297" s="34">
        <v>6</v>
      </c>
      <c r="AM297" s="40">
        <f t="shared" si="387"/>
        <v>24</v>
      </c>
      <c r="AN297" s="214">
        <f t="shared" si="380"/>
        <v>432</v>
      </c>
      <c r="AO297" s="204">
        <f t="shared" si="329"/>
        <v>1213</v>
      </c>
    </row>
    <row r="298" spans="1:41" ht="204" x14ac:dyDescent="0.2">
      <c r="A298" s="22">
        <f t="shared" si="342"/>
        <v>3828</v>
      </c>
      <c r="B298" s="116">
        <v>1001051873828</v>
      </c>
      <c r="C298" s="48" t="s">
        <v>339</v>
      </c>
      <c r="D298" s="49" t="s">
        <v>3</v>
      </c>
      <c r="E298" s="146" t="s">
        <v>373</v>
      </c>
      <c r="F298" s="112" t="s">
        <v>348</v>
      </c>
      <c r="G298" s="224" t="s">
        <v>6</v>
      </c>
      <c r="H298" s="58" t="s">
        <v>38</v>
      </c>
      <c r="I298" s="154" t="s">
        <v>389</v>
      </c>
      <c r="J298" s="150" t="s">
        <v>451</v>
      </c>
      <c r="K298" s="71" t="s">
        <v>1851</v>
      </c>
      <c r="L298" s="52">
        <v>12</v>
      </c>
      <c r="M298" s="53">
        <v>20</v>
      </c>
      <c r="N298" s="54">
        <v>5</v>
      </c>
      <c r="O298" s="88" t="s">
        <v>1862</v>
      </c>
      <c r="P298" s="31" t="s">
        <v>104</v>
      </c>
      <c r="Q298" s="49">
        <v>45</v>
      </c>
      <c r="R298" s="56" t="s">
        <v>44</v>
      </c>
      <c r="S298" s="120">
        <v>2906000000003</v>
      </c>
      <c r="T298" s="342">
        <v>12906000000000</v>
      </c>
      <c r="U298" s="46" t="s">
        <v>1874</v>
      </c>
      <c r="V298" s="46" t="s">
        <v>1874</v>
      </c>
      <c r="W298" s="93">
        <v>300</v>
      </c>
      <c r="X298" s="60">
        <v>79</v>
      </c>
      <c r="Y298" s="60">
        <v>66</v>
      </c>
      <c r="Z298" s="77">
        <v>0.84</v>
      </c>
      <c r="AA298" s="271">
        <v>8.0000000000000002E-3</v>
      </c>
      <c r="AB298" s="66">
        <f t="shared" si="379"/>
        <v>0.84799999999999998</v>
      </c>
      <c r="AC298" s="59">
        <v>292</v>
      </c>
      <c r="AD298" s="60">
        <v>178</v>
      </c>
      <c r="AE298" s="60">
        <v>178</v>
      </c>
      <c r="AF298" s="191">
        <v>6</v>
      </c>
      <c r="AG298" s="117">
        <v>600000029</v>
      </c>
      <c r="AH298" s="104">
        <f>справочники!$C$21</f>
        <v>0.125</v>
      </c>
      <c r="AI298" s="62">
        <f t="shared" si="343"/>
        <v>5.04</v>
      </c>
      <c r="AJ298" s="122">
        <f t="shared" si="344"/>
        <v>5.2130000000000001</v>
      </c>
      <c r="AK298" s="37">
        <v>16</v>
      </c>
      <c r="AL298" s="38">
        <v>8</v>
      </c>
      <c r="AM298" s="40">
        <f t="shared" si="387"/>
        <v>128</v>
      </c>
      <c r="AN298" s="214">
        <f t="shared" si="380"/>
        <v>645.1</v>
      </c>
      <c r="AO298" s="204">
        <f t="shared" si="329"/>
        <v>1569</v>
      </c>
    </row>
    <row r="299" spans="1:41" ht="204" x14ac:dyDescent="0.2">
      <c r="A299" s="22">
        <f t="shared" si="342"/>
        <v>5901</v>
      </c>
      <c r="B299" s="116">
        <v>1001051875901</v>
      </c>
      <c r="C299" s="48" t="s">
        <v>340</v>
      </c>
      <c r="D299" s="49" t="s">
        <v>4</v>
      </c>
      <c r="E299" s="146" t="s">
        <v>373</v>
      </c>
      <c r="F299" s="112" t="s">
        <v>348</v>
      </c>
      <c r="G299" s="224" t="s">
        <v>6</v>
      </c>
      <c r="H299" s="58" t="s">
        <v>38</v>
      </c>
      <c r="I299" s="154" t="s">
        <v>389</v>
      </c>
      <c r="J299" s="151" t="s">
        <v>451</v>
      </c>
      <c r="K299" s="71" t="s">
        <v>1851</v>
      </c>
      <c r="L299" s="52">
        <v>12</v>
      </c>
      <c r="M299" s="53">
        <v>20</v>
      </c>
      <c r="N299" s="54">
        <v>5</v>
      </c>
      <c r="O299" s="88" t="s">
        <v>1862</v>
      </c>
      <c r="P299" s="31" t="s">
        <v>104</v>
      </c>
      <c r="Q299" s="49">
        <v>45</v>
      </c>
      <c r="R299" s="56" t="s">
        <v>44</v>
      </c>
      <c r="S299" s="243">
        <v>4607088544080</v>
      </c>
      <c r="T299" s="340">
        <v>14607088544087</v>
      </c>
      <c r="U299" s="46" t="s">
        <v>1874</v>
      </c>
      <c r="V299" s="46" t="s">
        <v>1874</v>
      </c>
      <c r="W299" s="93">
        <v>300</v>
      </c>
      <c r="X299" s="60">
        <v>79</v>
      </c>
      <c r="Y299" s="60">
        <v>66</v>
      </c>
      <c r="Z299" s="77">
        <v>0.84</v>
      </c>
      <c r="AA299" s="271">
        <v>8.0000000000000002E-3</v>
      </c>
      <c r="AB299" s="66">
        <f t="shared" si="379"/>
        <v>0.84799999999999998</v>
      </c>
      <c r="AC299" s="59">
        <v>292</v>
      </c>
      <c r="AD299" s="60">
        <v>178</v>
      </c>
      <c r="AE299" s="60">
        <v>178</v>
      </c>
      <c r="AF299" s="191">
        <v>6</v>
      </c>
      <c r="AG299" s="117">
        <v>600000029</v>
      </c>
      <c r="AH299" s="104">
        <f>справочники!$C$21</f>
        <v>0.125</v>
      </c>
      <c r="AI299" s="62">
        <f t="shared" si="343"/>
        <v>5.04</v>
      </c>
      <c r="AJ299" s="122">
        <f t="shared" si="344"/>
        <v>5.2130000000000001</v>
      </c>
      <c r="AK299" s="37">
        <v>16</v>
      </c>
      <c r="AL299" s="38">
        <v>8</v>
      </c>
      <c r="AM299" s="40">
        <f t="shared" si="387"/>
        <v>128</v>
      </c>
      <c r="AN299" s="206">
        <f t="shared" si="380"/>
        <v>768</v>
      </c>
      <c r="AO299" s="204">
        <f t="shared" si="329"/>
        <v>1569</v>
      </c>
    </row>
    <row r="300" spans="1:41" ht="178.5" x14ac:dyDescent="0.2">
      <c r="A300" s="22">
        <f t="shared" si="342"/>
        <v>3261</v>
      </c>
      <c r="B300" s="116">
        <v>1001051873261</v>
      </c>
      <c r="C300" s="48" t="s">
        <v>1208</v>
      </c>
      <c r="D300" s="49" t="s">
        <v>3</v>
      </c>
      <c r="E300" s="146" t="s">
        <v>373</v>
      </c>
      <c r="F300" s="112" t="s">
        <v>348</v>
      </c>
      <c r="G300" s="224" t="s">
        <v>6</v>
      </c>
      <c r="H300" s="58" t="s">
        <v>38</v>
      </c>
      <c r="I300" s="154" t="s">
        <v>389</v>
      </c>
      <c r="J300" s="150" t="s">
        <v>451</v>
      </c>
      <c r="K300" s="71" t="s">
        <v>1209</v>
      </c>
      <c r="L300" s="52">
        <v>13</v>
      </c>
      <c r="M300" s="53">
        <v>20</v>
      </c>
      <c r="N300" s="53"/>
      <c r="O300" s="88" t="s">
        <v>40</v>
      </c>
      <c r="P300" s="31" t="s">
        <v>104</v>
      </c>
      <c r="Q300" s="49">
        <v>45</v>
      </c>
      <c r="R300" s="56" t="s">
        <v>44</v>
      </c>
      <c r="S300" s="120">
        <v>2800194000002</v>
      </c>
      <c r="T300" s="342">
        <v>12800194000009</v>
      </c>
      <c r="U300" s="46" t="s">
        <v>1874</v>
      </c>
      <c r="V300" s="46" t="s">
        <v>1874</v>
      </c>
      <c r="W300" s="93">
        <v>900</v>
      </c>
      <c r="X300" s="60">
        <v>85</v>
      </c>
      <c r="Y300" s="60">
        <v>85</v>
      </c>
      <c r="Z300" s="77">
        <v>3.4</v>
      </c>
      <c r="AA300" s="271">
        <v>0</v>
      </c>
      <c r="AB300" s="66">
        <f t="shared" ref="AB300" si="389">Z300+AA300</f>
        <v>3.4</v>
      </c>
      <c r="AC300" s="67">
        <v>938</v>
      </c>
      <c r="AD300" s="68">
        <v>178</v>
      </c>
      <c r="AE300" s="68">
        <v>178</v>
      </c>
      <c r="AF300" s="194">
        <v>5</v>
      </c>
      <c r="AG300" s="117">
        <v>600000313</v>
      </c>
      <c r="AH300" s="105">
        <f>справочники!$C$62</f>
        <v>0.53100000000000003</v>
      </c>
      <c r="AI300" s="61">
        <f t="shared" si="343"/>
        <v>17</v>
      </c>
      <c r="AJ300" s="123">
        <f t="shared" si="344"/>
        <v>17.530999999999999</v>
      </c>
      <c r="AK300" s="33">
        <v>4</v>
      </c>
      <c r="AL300" s="34">
        <v>6</v>
      </c>
      <c r="AM300" s="40">
        <f t="shared" ref="AM300" si="390">AK300*AL300</f>
        <v>24</v>
      </c>
      <c r="AN300" s="214">
        <f t="shared" ref="AN300" si="391">IF(D300="ШТ",кол_во_инд.__упак_к*итого_г_у,ROUNDDOWN(номин.вес_нетто_г_у__кг*итого_г_у,1))</f>
        <v>408</v>
      </c>
      <c r="AO300" s="204">
        <f t="shared" si="329"/>
        <v>1213</v>
      </c>
    </row>
    <row r="301" spans="1:41" ht="242.25" x14ac:dyDescent="0.2">
      <c r="A301" s="22">
        <f t="shared" si="342"/>
        <v>7449</v>
      </c>
      <c r="B301" s="116">
        <v>1001306657449</v>
      </c>
      <c r="C301" s="48" t="s">
        <v>1487</v>
      </c>
      <c r="D301" s="49" t="s">
        <v>3</v>
      </c>
      <c r="E301" s="146" t="s">
        <v>373</v>
      </c>
      <c r="F301" s="112" t="s">
        <v>348</v>
      </c>
      <c r="G301" s="224" t="s">
        <v>6</v>
      </c>
      <c r="H301" s="58" t="s">
        <v>38</v>
      </c>
      <c r="I301" s="154" t="s">
        <v>389</v>
      </c>
      <c r="J301" s="150" t="s">
        <v>451</v>
      </c>
      <c r="K301" s="71" t="s">
        <v>1488</v>
      </c>
      <c r="L301" s="52">
        <v>13</v>
      </c>
      <c r="M301" s="53">
        <v>18</v>
      </c>
      <c r="N301" s="53">
        <v>3</v>
      </c>
      <c r="O301" s="88" t="s">
        <v>549</v>
      </c>
      <c r="P301" s="31" t="s">
        <v>104</v>
      </c>
      <c r="Q301" s="49">
        <v>5</v>
      </c>
      <c r="R301" s="56"/>
      <c r="S301" s="120">
        <v>2800591000001</v>
      </c>
      <c r="T301" s="342">
        <v>12800591000008</v>
      </c>
      <c r="U301" s="46" t="s">
        <v>1874</v>
      </c>
      <c r="V301" s="46" t="s">
        <v>1874</v>
      </c>
      <c r="W301" s="93">
        <v>900</v>
      </c>
      <c r="X301" s="60">
        <v>85</v>
      </c>
      <c r="Y301" s="60">
        <v>85</v>
      </c>
      <c r="Z301" s="77">
        <v>3.4</v>
      </c>
      <c r="AA301" s="271">
        <v>0</v>
      </c>
      <c r="AB301" s="66">
        <f t="shared" ref="AB301" si="392">Z301+AA301</f>
        <v>3.4</v>
      </c>
      <c r="AC301" s="67">
        <v>938</v>
      </c>
      <c r="AD301" s="68">
        <v>178</v>
      </c>
      <c r="AE301" s="68">
        <v>178</v>
      </c>
      <c r="AF301" s="194">
        <v>5</v>
      </c>
      <c r="AG301" s="117">
        <v>600000313</v>
      </c>
      <c r="AH301" s="105">
        <f>справочники!$C$62</f>
        <v>0.53100000000000003</v>
      </c>
      <c r="AI301" s="61">
        <f t="shared" si="343"/>
        <v>17</v>
      </c>
      <c r="AJ301" s="123">
        <f t="shared" si="344"/>
        <v>17.530999999999999</v>
      </c>
      <c r="AK301" s="33">
        <v>4</v>
      </c>
      <c r="AL301" s="34">
        <v>6</v>
      </c>
      <c r="AM301" s="40">
        <f t="shared" ref="AM301" si="393">AK301*AL301</f>
        <v>24</v>
      </c>
      <c r="AN301" s="214">
        <f t="shared" ref="AN301" si="394">IF(D301="ШТ",кол_во_инд.__упак_к*итого_г_у,ROUNDDOWN(номин.вес_нетто_г_у__кг*итого_г_у,1))</f>
        <v>408</v>
      </c>
      <c r="AO301" s="204">
        <f t="shared" si="329"/>
        <v>1213</v>
      </c>
    </row>
    <row r="302" spans="1:41" ht="126.75" customHeight="1" x14ac:dyDescent="0.2">
      <c r="A302" s="22">
        <f t="shared" si="342"/>
        <v>7237</v>
      </c>
      <c r="B302" s="116">
        <v>1001304497237</v>
      </c>
      <c r="C302" s="70" t="s">
        <v>1189</v>
      </c>
      <c r="D302" s="81" t="s">
        <v>4</v>
      </c>
      <c r="E302" s="146" t="s">
        <v>373</v>
      </c>
      <c r="F302" s="112" t="s">
        <v>348</v>
      </c>
      <c r="G302" s="224" t="s">
        <v>6</v>
      </c>
      <c r="H302" s="58" t="s">
        <v>38</v>
      </c>
      <c r="I302" s="154" t="s">
        <v>389</v>
      </c>
      <c r="J302" s="151" t="s">
        <v>451</v>
      </c>
      <c r="K302" s="71" t="s">
        <v>1403</v>
      </c>
      <c r="L302" s="52">
        <v>13</v>
      </c>
      <c r="M302" s="53">
        <v>18</v>
      </c>
      <c r="N302" s="54">
        <v>0</v>
      </c>
      <c r="O302" s="88" t="s">
        <v>1404</v>
      </c>
      <c r="P302" s="31" t="s">
        <v>104</v>
      </c>
      <c r="Q302" s="49">
        <v>45</v>
      </c>
      <c r="R302" s="49" t="s">
        <v>44</v>
      </c>
      <c r="S302" s="237">
        <v>4607958074488</v>
      </c>
      <c r="T302" s="332">
        <v>14607958074485</v>
      </c>
      <c r="U302" s="46">
        <v>4607958074488</v>
      </c>
      <c r="V302" s="46">
        <v>14607958074485</v>
      </c>
      <c r="W302" s="258">
        <v>220</v>
      </c>
      <c r="X302" s="68">
        <v>80</v>
      </c>
      <c r="Y302" s="68">
        <v>54</v>
      </c>
      <c r="Z302" s="77">
        <v>0.28000000000000003</v>
      </c>
      <c r="AA302" s="271">
        <v>5.0000000000000001E-3</v>
      </c>
      <c r="AB302" s="66">
        <f t="shared" ref="AB302" si="395">Z302+AA302</f>
        <v>0.28500000000000003</v>
      </c>
      <c r="AC302" s="59">
        <v>318</v>
      </c>
      <c r="AD302" s="60">
        <v>143</v>
      </c>
      <c r="AE302" s="60">
        <v>138</v>
      </c>
      <c r="AF302" s="191">
        <v>8</v>
      </c>
      <c r="AG302" s="117">
        <v>600000407</v>
      </c>
      <c r="AH302" s="104">
        <f>справочники!$C$106</f>
        <v>9.4E-2</v>
      </c>
      <c r="AI302" s="61">
        <f t="shared" si="343"/>
        <v>2.2400000000000002</v>
      </c>
      <c r="AJ302" s="124">
        <f t="shared" si="344"/>
        <v>2.3740000000000001</v>
      </c>
      <c r="AK302" s="37">
        <v>19</v>
      </c>
      <c r="AL302" s="38">
        <v>10</v>
      </c>
      <c r="AM302" s="40">
        <f t="shared" ref="AM302" si="396">AK302*AL302</f>
        <v>190</v>
      </c>
      <c r="AN302" s="206">
        <f t="shared" ref="AN302" si="397">IF(D302="ШТ",кол_во_инд.__упак_к*итого_г_у,ROUNDDOWN(номин.вес_нетто_г_у__кг*итого_г_у,1))</f>
        <v>1520</v>
      </c>
      <c r="AO302" s="204">
        <f t="shared" si="329"/>
        <v>1525</v>
      </c>
    </row>
    <row r="303" spans="1:41" ht="204" x14ac:dyDescent="0.2">
      <c r="A303" s="22">
        <f t="shared" si="342"/>
        <v>7292</v>
      </c>
      <c r="B303" s="116">
        <v>1001302347292</v>
      </c>
      <c r="C303" s="70" t="s">
        <v>1258</v>
      </c>
      <c r="D303" s="49" t="s">
        <v>3</v>
      </c>
      <c r="E303" s="146" t="s">
        <v>373</v>
      </c>
      <c r="F303" s="112" t="s">
        <v>348</v>
      </c>
      <c r="G303" s="224" t="s">
        <v>6</v>
      </c>
      <c r="H303" s="49" t="s">
        <v>38</v>
      </c>
      <c r="I303" s="154" t="s">
        <v>393</v>
      </c>
      <c r="J303" s="151" t="s">
        <v>403</v>
      </c>
      <c r="K303" s="51" t="s">
        <v>1852</v>
      </c>
      <c r="L303" s="52">
        <v>13</v>
      </c>
      <c r="M303" s="53">
        <v>19</v>
      </c>
      <c r="N303" s="53">
        <v>5</v>
      </c>
      <c r="O303" s="88" t="s">
        <v>1853</v>
      </c>
      <c r="P303" s="31" t="s">
        <v>104</v>
      </c>
      <c r="Q303" s="49">
        <v>55</v>
      </c>
      <c r="R303" s="56" t="s">
        <v>51</v>
      </c>
      <c r="S303" s="239">
        <v>2306694000004</v>
      </c>
      <c r="T303" s="344">
        <v>12306694000001</v>
      </c>
      <c r="U303" s="46">
        <v>4630362181688</v>
      </c>
      <c r="V303" s="46">
        <v>14630362181685</v>
      </c>
      <c r="W303" s="258">
        <v>300</v>
      </c>
      <c r="X303" s="68">
        <v>79</v>
      </c>
      <c r="Y303" s="68">
        <v>66</v>
      </c>
      <c r="Z303" s="65">
        <v>0.84</v>
      </c>
      <c r="AA303" s="271">
        <v>8.0000000000000002E-3</v>
      </c>
      <c r="AB303" s="66">
        <f t="shared" ref="AB303" si="398">Z303+AA303</f>
        <v>0.84799999999999998</v>
      </c>
      <c r="AC303" s="59">
        <v>292</v>
      </c>
      <c r="AD303" s="60">
        <v>178</v>
      </c>
      <c r="AE303" s="60">
        <v>178</v>
      </c>
      <c r="AF303" s="191">
        <v>6</v>
      </c>
      <c r="AG303" s="117">
        <v>600000029</v>
      </c>
      <c r="AH303" s="104">
        <f>справочники!$C$21</f>
        <v>0.125</v>
      </c>
      <c r="AI303" s="61">
        <f t="shared" ref="AI303:AI336" si="399">ROUNDDOWN(номин.вес_нетто__кг*кол_во_инд.__упак_к,2)</f>
        <v>5.04</v>
      </c>
      <c r="AJ303" s="122">
        <f t="shared" ref="AJ303:AJ336" si="400">(номин.вес_брутто__кг*кол_во_инд.__упак_к)+вес_короба__кг</f>
        <v>5.2130000000000001</v>
      </c>
      <c r="AK303" s="37">
        <v>16</v>
      </c>
      <c r="AL303" s="38">
        <v>8</v>
      </c>
      <c r="AM303" s="40">
        <f t="shared" ref="AM303" si="401">AK303*AL303</f>
        <v>128</v>
      </c>
      <c r="AN303" s="214">
        <f t="shared" ref="AN303" si="402">IF(D303="ШТ",кол_во_инд.__упак_к*итого_г_у,ROUNDDOWN(номин.вес_нетто_г_у__кг*итого_г_у,1))</f>
        <v>645.1</v>
      </c>
      <c r="AO303" s="204">
        <f t="shared" si="329"/>
        <v>1569</v>
      </c>
    </row>
    <row r="304" spans="1:41" ht="204" x14ac:dyDescent="0.2">
      <c r="A304" s="22">
        <f t="shared" si="342"/>
        <v>3778</v>
      </c>
      <c r="B304" s="116">
        <v>1001042343778</v>
      </c>
      <c r="C304" s="70" t="s">
        <v>344</v>
      </c>
      <c r="D304" s="49" t="s">
        <v>3</v>
      </c>
      <c r="E304" s="146" t="s">
        <v>373</v>
      </c>
      <c r="F304" s="112" t="s">
        <v>348</v>
      </c>
      <c r="G304" s="224" t="s">
        <v>6</v>
      </c>
      <c r="H304" s="49" t="s">
        <v>38</v>
      </c>
      <c r="I304" s="154" t="s">
        <v>393</v>
      </c>
      <c r="J304" s="151" t="s">
        <v>403</v>
      </c>
      <c r="K304" s="51" t="s">
        <v>1852</v>
      </c>
      <c r="L304" s="52">
        <v>13</v>
      </c>
      <c r="M304" s="53">
        <v>19</v>
      </c>
      <c r="N304" s="53">
        <v>5</v>
      </c>
      <c r="O304" s="88" t="s">
        <v>1853</v>
      </c>
      <c r="P304" s="31" t="s">
        <v>104</v>
      </c>
      <c r="Q304" s="49">
        <v>45</v>
      </c>
      <c r="R304" s="56" t="s">
        <v>51</v>
      </c>
      <c r="S304" s="120">
        <v>2923860000004</v>
      </c>
      <c r="T304" s="342">
        <v>12923860000001</v>
      </c>
      <c r="U304" s="46" t="s">
        <v>1874</v>
      </c>
      <c r="V304" s="46" t="s">
        <v>1874</v>
      </c>
      <c r="W304" s="93">
        <v>300</v>
      </c>
      <c r="X304" s="60">
        <v>79</v>
      </c>
      <c r="Y304" s="60">
        <v>66</v>
      </c>
      <c r="Z304" s="65">
        <v>0.84</v>
      </c>
      <c r="AA304" s="271">
        <v>8.0000000000000002E-3</v>
      </c>
      <c r="AB304" s="66">
        <f t="shared" ref="AB304:AB341" si="403">Z304+AA304</f>
        <v>0.84799999999999998</v>
      </c>
      <c r="AC304" s="67">
        <v>292</v>
      </c>
      <c r="AD304" s="68">
        <v>178</v>
      </c>
      <c r="AE304" s="68">
        <v>178</v>
      </c>
      <c r="AF304" s="191">
        <v>6</v>
      </c>
      <c r="AG304" s="117">
        <v>600000029</v>
      </c>
      <c r="AH304" s="105">
        <f>справочники!$C$21</f>
        <v>0.125</v>
      </c>
      <c r="AI304" s="62">
        <f t="shared" si="399"/>
        <v>5.04</v>
      </c>
      <c r="AJ304" s="122">
        <f t="shared" si="400"/>
        <v>5.2130000000000001</v>
      </c>
      <c r="AK304" s="37">
        <v>16</v>
      </c>
      <c r="AL304" s="38">
        <v>8</v>
      </c>
      <c r="AM304" s="40">
        <f t="shared" si="387"/>
        <v>128</v>
      </c>
      <c r="AN304" s="214">
        <f t="shared" si="380"/>
        <v>645.1</v>
      </c>
      <c r="AO304" s="204">
        <f t="shared" si="329"/>
        <v>1569</v>
      </c>
    </row>
    <row r="305" spans="1:41" ht="204" x14ac:dyDescent="0.2">
      <c r="A305" s="22">
        <f t="shared" si="342"/>
        <v>7177</v>
      </c>
      <c r="B305" s="116">
        <v>1001302347177</v>
      </c>
      <c r="C305" s="70" t="s">
        <v>1141</v>
      </c>
      <c r="D305" s="50" t="s">
        <v>4</v>
      </c>
      <c r="E305" s="146" t="s">
        <v>373</v>
      </c>
      <c r="F305" s="112" t="s">
        <v>348</v>
      </c>
      <c r="G305" s="224" t="s">
        <v>6</v>
      </c>
      <c r="H305" s="49" t="s">
        <v>38</v>
      </c>
      <c r="I305" s="154" t="s">
        <v>393</v>
      </c>
      <c r="J305" s="151" t="s">
        <v>403</v>
      </c>
      <c r="K305" s="51" t="s">
        <v>1852</v>
      </c>
      <c r="L305" s="52">
        <v>13</v>
      </c>
      <c r="M305" s="53">
        <v>19</v>
      </c>
      <c r="N305" s="53">
        <v>5</v>
      </c>
      <c r="O305" s="88" t="s">
        <v>1853</v>
      </c>
      <c r="P305" s="31" t="s">
        <v>104</v>
      </c>
      <c r="Q305" s="49">
        <v>50</v>
      </c>
      <c r="R305" s="49" t="s">
        <v>51</v>
      </c>
      <c r="S305" s="237">
        <v>4607958072552</v>
      </c>
      <c r="T305" s="332">
        <v>14607958072559</v>
      </c>
      <c r="U305" s="46">
        <v>4607958072552</v>
      </c>
      <c r="V305" s="46">
        <v>14607958072559</v>
      </c>
      <c r="W305" s="258">
        <v>220</v>
      </c>
      <c r="X305" s="68">
        <v>80</v>
      </c>
      <c r="Y305" s="68">
        <v>58</v>
      </c>
      <c r="Z305" s="77">
        <v>0.35</v>
      </c>
      <c r="AA305" s="271">
        <v>5.0000000000000001E-3</v>
      </c>
      <c r="AB305" s="66">
        <f t="shared" ref="AB305" si="404">Z305+AA305</f>
        <v>0.35499999999999998</v>
      </c>
      <c r="AC305" s="59">
        <v>318</v>
      </c>
      <c r="AD305" s="60">
        <v>143</v>
      </c>
      <c r="AE305" s="60">
        <v>138</v>
      </c>
      <c r="AF305" s="191">
        <v>8</v>
      </c>
      <c r="AG305" s="117">
        <v>600000407</v>
      </c>
      <c r="AH305" s="104">
        <f>справочники!$C$106</f>
        <v>9.4E-2</v>
      </c>
      <c r="AI305" s="126">
        <f t="shared" si="399"/>
        <v>2.8</v>
      </c>
      <c r="AJ305" s="124">
        <f t="shared" si="400"/>
        <v>2.9339999999999997</v>
      </c>
      <c r="AK305" s="37">
        <v>19</v>
      </c>
      <c r="AL305" s="38">
        <v>11</v>
      </c>
      <c r="AM305" s="40">
        <f t="shared" ref="AM305" si="405">AK305*AL305</f>
        <v>209</v>
      </c>
      <c r="AN305" s="206">
        <f t="shared" ref="AN305" si="406">IF(D305="ШТ",кол_во_инд.__упак_к*итого_г_у,ROUNDDOWN(номин.вес_нетто_г_у__кг*итого_г_у,1))</f>
        <v>1672</v>
      </c>
      <c r="AO305" s="204">
        <f t="shared" si="329"/>
        <v>1663</v>
      </c>
    </row>
    <row r="306" spans="1:41" ht="140.25" x14ac:dyDescent="0.2">
      <c r="A306" s="22">
        <f t="shared" si="342"/>
        <v>6728</v>
      </c>
      <c r="B306" s="116">
        <v>1001305436728</v>
      </c>
      <c r="C306" s="48" t="s">
        <v>667</v>
      </c>
      <c r="D306" s="49" t="s">
        <v>3</v>
      </c>
      <c r="E306" s="146" t="s">
        <v>373</v>
      </c>
      <c r="F306" s="112" t="s">
        <v>348</v>
      </c>
      <c r="G306" s="224" t="s">
        <v>6</v>
      </c>
      <c r="H306" s="58" t="s">
        <v>38</v>
      </c>
      <c r="I306" s="154" t="s">
        <v>389</v>
      </c>
      <c r="J306" s="150" t="s">
        <v>451</v>
      </c>
      <c r="K306" s="71" t="s">
        <v>668</v>
      </c>
      <c r="L306" s="52">
        <v>14</v>
      </c>
      <c r="M306" s="53">
        <v>26</v>
      </c>
      <c r="N306" s="53"/>
      <c r="O306" s="54" t="s">
        <v>669</v>
      </c>
      <c r="P306" s="31" t="s">
        <v>104</v>
      </c>
      <c r="Q306" s="49">
        <v>50</v>
      </c>
      <c r="R306" s="56" t="s">
        <v>44</v>
      </c>
      <c r="S306" s="120">
        <v>2800635000004</v>
      </c>
      <c r="T306" s="342">
        <v>12800635000001</v>
      </c>
      <c r="U306" s="46" t="s">
        <v>1874</v>
      </c>
      <c r="V306" s="46" t="s">
        <v>1874</v>
      </c>
      <c r="W306" s="93">
        <v>900</v>
      </c>
      <c r="X306" s="60">
        <v>68</v>
      </c>
      <c r="Y306" s="60">
        <v>68</v>
      </c>
      <c r="Z306" s="77">
        <v>3.6</v>
      </c>
      <c r="AA306" s="271">
        <v>0</v>
      </c>
      <c r="AB306" s="66">
        <f t="shared" si="403"/>
        <v>3.6</v>
      </c>
      <c r="AC306" s="67">
        <v>938</v>
      </c>
      <c r="AD306" s="68">
        <v>178</v>
      </c>
      <c r="AE306" s="68">
        <v>178</v>
      </c>
      <c r="AF306" s="194">
        <v>5</v>
      </c>
      <c r="AG306" s="117">
        <v>600000313</v>
      </c>
      <c r="AH306" s="105">
        <f>справочники!$C$62</f>
        <v>0.53100000000000003</v>
      </c>
      <c r="AI306" s="61">
        <f t="shared" si="399"/>
        <v>18</v>
      </c>
      <c r="AJ306" s="123">
        <f t="shared" si="400"/>
        <v>18.530999999999999</v>
      </c>
      <c r="AK306" s="33">
        <v>4</v>
      </c>
      <c r="AL306" s="34">
        <v>6</v>
      </c>
      <c r="AM306" s="40">
        <f t="shared" si="387"/>
        <v>24</v>
      </c>
      <c r="AN306" s="214">
        <f t="shared" ref="AN306:AN344" si="407">IF(D306="ШТ",кол_во_инд.__упак_к*итого_г_у,ROUNDDOWN(номин.вес_нетто_г_у__кг*итого_г_у,1))</f>
        <v>432</v>
      </c>
      <c r="AO306" s="204">
        <f t="shared" si="206"/>
        <v>1213</v>
      </c>
    </row>
    <row r="307" spans="1:41" ht="92.25" customHeight="1" x14ac:dyDescent="0.2">
      <c r="A307" s="22">
        <f t="shared" si="342"/>
        <v>6729</v>
      </c>
      <c r="B307" s="116">
        <v>1001303636729</v>
      </c>
      <c r="C307" s="48" t="s">
        <v>670</v>
      </c>
      <c r="D307" s="49" t="s">
        <v>3</v>
      </c>
      <c r="E307" s="146" t="s">
        <v>373</v>
      </c>
      <c r="F307" s="112" t="s">
        <v>348</v>
      </c>
      <c r="G307" s="224" t="s">
        <v>6</v>
      </c>
      <c r="H307" s="58" t="s">
        <v>38</v>
      </c>
      <c r="I307" s="154" t="s">
        <v>389</v>
      </c>
      <c r="J307" s="150" t="s">
        <v>451</v>
      </c>
      <c r="K307" s="71" t="s">
        <v>671</v>
      </c>
      <c r="L307" s="52">
        <v>14</v>
      </c>
      <c r="M307" s="53">
        <v>17</v>
      </c>
      <c r="N307" s="53"/>
      <c r="O307" s="54" t="s">
        <v>561</v>
      </c>
      <c r="P307" s="31" t="s">
        <v>104</v>
      </c>
      <c r="Q307" s="49">
        <v>50</v>
      </c>
      <c r="R307" s="56" t="s">
        <v>44</v>
      </c>
      <c r="S307" s="120">
        <v>2800636000003</v>
      </c>
      <c r="T307" s="342">
        <v>12800636000000</v>
      </c>
      <c r="U307" s="46" t="s">
        <v>1874</v>
      </c>
      <c r="V307" s="46" t="s">
        <v>1874</v>
      </c>
      <c r="W307" s="93">
        <v>900</v>
      </c>
      <c r="X307" s="60">
        <v>68</v>
      </c>
      <c r="Y307" s="60">
        <v>68</v>
      </c>
      <c r="Z307" s="77">
        <v>3.6</v>
      </c>
      <c r="AA307" s="271">
        <v>0</v>
      </c>
      <c r="AB307" s="66">
        <f t="shared" si="403"/>
        <v>3.6</v>
      </c>
      <c r="AC307" s="67">
        <v>938</v>
      </c>
      <c r="AD307" s="68">
        <v>178</v>
      </c>
      <c r="AE307" s="68">
        <v>178</v>
      </c>
      <c r="AF307" s="194">
        <v>5</v>
      </c>
      <c r="AG307" s="117">
        <v>600000313</v>
      </c>
      <c r="AH307" s="105">
        <f>справочники!$C$62</f>
        <v>0.53100000000000003</v>
      </c>
      <c r="AI307" s="61">
        <f t="shared" si="399"/>
        <v>18</v>
      </c>
      <c r="AJ307" s="123">
        <f t="shared" si="400"/>
        <v>18.530999999999999</v>
      </c>
      <c r="AK307" s="33">
        <v>4</v>
      </c>
      <c r="AL307" s="34">
        <v>6</v>
      </c>
      <c r="AM307" s="40">
        <f t="shared" si="387"/>
        <v>24</v>
      </c>
      <c r="AN307" s="214">
        <f t="shared" si="407"/>
        <v>432</v>
      </c>
      <c r="AO307" s="204">
        <f t="shared" si="206"/>
        <v>1213</v>
      </c>
    </row>
    <row r="308" spans="1:41" ht="331.5" x14ac:dyDescent="0.2">
      <c r="A308" s="22">
        <f t="shared" si="342"/>
        <v>6586</v>
      </c>
      <c r="B308" s="116">
        <v>1001215576586</v>
      </c>
      <c r="C308" s="48" t="s">
        <v>1587</v>
      </c>
      <c r="D308" s="49" t="s">
        <v>4</v>
      </c>
      <c r="E308" s="146" t="s">
        <v>373</v>
      </c>
      <c r="F308" s="112" t="s">
        <v>348</v>
      </c>
      <c r="G308" s="224" t="s">
        <v>6</v>
      </c>
      <c r="H308" s="49" t="s">
        <v>1</v>
      </c>
      <c r="I308" s="154" t="s">
        <v>389</v>
      </c>
      <c r="J308" s="151" t="s">
        <v>451</v>
      </c>
      <c r="K308" s="83" t="s">
        <v>1794</v>
      </c>
      <c r="L308" s="286" t="s">
        <v>1795</v>
      </c>
      <c r="M308" s="287" t="s">
        <v>1796</v>
      </c>
      <c r="N308" s="326" t="s">
        <v>1797</v>
      </c>
      <c r="O308" s="162" t="s">
        <v>1798</v>
      </c>
      <c r="P308" s="31" t="s">
        <v>104</v>
      </c>
      <c r="Q308" s="87">
        <v>45</v>
      </c>
      <c r="R308" s="49" t="s">
        <v>44</v>
      </c>
      <c r="S308" s="237">
        <v>4607958077380</v>
      </c>
      <c r="T308" s="332">
        <v>14607958077387</v>
      </c>
      <c r="U308" s="46">
        <v>4607958077380</v>
      </c>
      <c r="V308" s="46">
        <v>14607958077387</v>
      </c>
      <c r="W308" s="258">
        <v>230</v>
      </c>
      <c r="X308" s="68">
        <v>183</v>
      </c>
      <c r="Y308" s="68">
        <v>11</v>
      </c>
      <c r="Z308" s="65">
        <v>0.09</v>
      </c>
      <c r="AA308" s="271">
        <v>1.9E-2</v>
      </c>
      <c r="AB308" s="66">
        <f t="shared" si="403"/>
        <v>0.109</v>
      </c>
      <c r="AC308" s="59">
        <v>239</v>
      </c>
      <c r="AD308" s="60">
        <v>195</v>
      </c>
      <c r="AE308" s="60">
        <v>123</v>
      </c>
      <c r="AF308" s="191">
        <v>10</v>
      </c>
      <c r="AG308" s="117">
        <v>600000506</v>
      </c>
      <c r="AH308" s="105">
        <f>справочники!$C$170</f>
        <v>7.6999999999999999E-2</v>
      </c>
      <c r="AI308" s="61">
        <f t="shared" si="399"/>
        <v>0.9</v>
      </c>
      <c r="AJ308" s="123">
        <f t="shared" si="400"/>
        <v>1.167</v>
      </c>
      <c r="AK308" s="33">
        <v>20</v>
      </c>
      <c r="AL308" s="34">
        <v>13</v>
      </c>
      <c r="AM308" s="40">
        <f t="shared" si="387"/>
        <v>260</v>
      </c>
      <c r="AN308" s="206">
        <f t="shared" si="407"/>
        <v>2600</v>
      </c>
      <c r="AO308" s="204">
        <f t="shared" si="206"/>
        <v>1744</v>
      </c>
    </row>
    <row r="309" spans="1:41" ht="141" customHeight="1" x14ac:dyDescent="0.2">
      <c r="A309" s="22">
        <f t="shared" si="342"/>
        <v>7466</v>
      </c>
      <c r="B309" s="116">
        <v>1001217297466</v>
      </c>
      <c r="C309" s="48" t="s">
        <v>1547</v>
      </c>
      <c r="D309" s="49" t="s">
        <v>4</v>
      </c>
      <c r="E309" s="146" t="s">
        <v>373</v>
      </c>
      <c r="F309" s="112" t="s">
        <v>348</v>
      </c>
      <c r="G309" s="224" t="s">
        <v>6</v>
      </c>
      <c r="H309" s="49" t="s">
        <v>1</v>
      </c>
      <c r="I309" s="154" t="s">
        <v>389</v>
      </c>
      <c r="J309" s="151" t="s">
        <v>451</v>
      </c>
      <c r="K309" s="83" t="s">
        <v>1793</v>
      </c>
      <c r="L309" s="286">
        <v>13</v>
      </c>
      <c r="M309" s="287">
        <v>17</v>
      </c>
      <c r="N309" s="91">
        <v>5</v>
      </c>
      <c r="O309" s="162" t="s">
        <v>1634</v>
      </c>
      <c r="P309" s="31" t="s">
        <v>104</v>
      </c>
      <c r="Q309" s="87">
        <v>45</v>
      </c>
      <c r="R309" s="82" t="s">
        <v>28</v>
      </c>
      <c r="S309" s="237">
        <v>4630362180926</v>
      </c>
      <c r="T309" s="332">
        <v>14630362180923</v>
      </c>
      <c r="U309" s="46">
        <v>4630362180926</v>
      </c>
      <c r="V309" s="46">
        <v>14630362180923</v>
      </c>
      <c r="W309" s="258">
        <v>230</v>
      </c>
      <c r="X309" s="68">
        <v>90</v>
      </c>
      <c r="Y309" s="68">
        <v>20</v>
      </c>
      <c r="Z309" s="65">
        <v>0.15</v>
      </c>
      <c r="AA309" s="271">
        <v>8.9999999999999993E-3</v>
      </c>
      <c r="AB309" s="66">
        <f t="shared" si="403"/>
        <v>0.159</v>
      </c>
      <c r="AC309" s="59">
        <v>239</v>
      </c>
      <c r="AD309" s="60">
        <v>195</v>
      </c>
      <c r="AE309" s="60">
        <v>123</v>
      </c>
      <c r="AF309" s="191">
        <v>8</v>
      </c>
      <c r="AG309" s="117">
        <v>600000506</v>
      </c>
      <c r="AH309" s="104">
        <f>справочники!$C$170</f>
        <v>7.6999999999999999E-2</v>
      </c>
      <c r="AI309" s="61">
        <f t="shared" si="204"/>
        <v>1.2</v>
      </c>
      <c r="AJ309" s="122">
        <f t="shared" si="205"/>
        <v>1.349</v>
      </c>
      <c r="AK309" s="37">
        <v>20</v>
      </c>
      <c r="AL309" s="38">
        <v>13</v>
      </c>
      <c r="AM309" s="40">
        <f t="shared" si="387"/>
        <v>260</v>
      </c>
      <c r="AN309" s="206">
        <f t="shared" si="407"/>
        <v>2080</v>
      </c>
      <c r="AO309" s="204">
        <f t="shared" si="206"/>
        <v>1744</v>
      </c>
    </row>
    <row r="310" spans="1:41" ht="204" x14ac:dyDescent="0.2">
      <c r="A310" s="22">
        <f t="shared" si="342"/>
        <v>7252</v>
      </c>
      <c r="B310" s="116">
        <v>1001211877252</v>
      </c>
      <c r="C310" s="48" t="s">
        <v>1216</v>
      </c>
      <c r="D310" s="49" t="s">
        <v>4</v>
      </c>
      <c r="E310" s="146" t="s">
        <v>373</v>
      </c>
      <c r="F310" s="112" t="s">
        <v>348</v>
      </c>
      <c r="G310" s="224" t="s">
        <v>6</v>
      </c>
      <c r="H310" s="49" t="s">
        <v>1</v>
      </c>
      <c r="I310" s="154" t="s">
        <v>389</v>
      </c>
      <c r="J310" s="151" t="s">
        <v>451</v>
      </c>
      <c r="K310" s="83" t="s">
        <v>1792</v>
      </c>
      <c r="L310" s="286">
        <v>13</v>
      </c>
      <c r="M310" s="287">
        <v>21</v>
      </c>
      <c r="N310" s="91">
        <v>4</v>
      </c>
      <c r="O310" s="162" t="s">
        <v>975</v>
      </c>
      <c r="P310" s="31" t="s">
        <v>104</v>
      </c>
      <c r="Q310" s="87">
        <v>45</v>
      </c>
      <c r="R310" s="82" t="s">
        <v>28</v>
      </c>
      <c r="S310" s="237">
        <v>4607958072415</v>
      </c>
      <c r="T310" s="332">
        <v>14607958072412</v>
      </c>
      <c r="U310" s="46">
        <v>4607958072415</v>
      </c>
      <c r="V310" s="46">
        <v>14607958072412</v>
      </c>
      <c r="W310" s="258">
        <v>230</v>
      </c>
      <c r="X310" s="68">
        <v>90</v>
      </c>
      <c r="Y310" s="68">
        <v>15</v>
      </c>
      <c r="Z310" s="65">
        <v>0.1</v>
      </c>
      <c r="AA310" s="271">
        <v>8.9999999999999993E-3</v>
      </c>
      <c r="AB310" s="66">
        <f t="shared" ref="AB310" si="408">Z310+AA310</f>
        <v>0.109</v>
      </c>
      <c r="AC310" s="59">
        <v>239</v>
      </c>
      <c r="AD310" s="60">
        <v>195</v>
      </c>
      <c r="AE310" s="60">
        <v>133</v>
      </c>
      <c r="AF310" s="191">
        <v>12</v>
      </c>
      <c r="AG310" s="117">
        <v>600000560</v>
      </c>
      <c r="AH310" s="104">
        <f>справочники!$C$176</f>
        <v>7.4999999999999997E-2</v>
      </c>
      <c r="AI310" s="61">
        <f t="shared" si="204"/>
        <v>1.2</v>
      </c>
      <c r="AJ310" s="122">
        <f t="shared" si="205"/>
        <v>1.383</v>
      </c>
      <c r="AK310" s="37">
        <v>20</v>
      </c>
      <c r="AL310" s="38">
        <v>12</v>
      </c>
      <c r="AM310" s="40">
        <f t="shared" ref="AM310" si="409">AK310*AL310</f>
        <v>240</v>
      </c>
      <c r="AN310" s="206">
        <f t="shared" ref="AN310" si="410">IF(D310="ШТ",кол_во_инд.__упак_к*итого_г_у,ROUNDDOWN(номин.вес_нетто_г_у__кг*итого_г_у,1))</f>
        <v>2880</v>
      </c>
      <c r="AO310" s="204">
        <f t="shared" si="206"/>
        <v>1741</v>
      </c>
    </row>
    <row r="311" spans="1:41" ht="153" x14ac:dyDescent="0.2">
      <c r="A311" s="22">
        <f t="shared" si="342"/>
        <v>7608</v>
      </c>
      <c r="B311" s="116">
        <v>1001304197608</v>
      </c>
      <c r="C311" s="70" t="s">
        <v>1832</v>
      </c>
      <c r="D311" s="50" t="s">
        <v>4</v>
      </c>
      <c r="E311" s="146" t="s">
        <v>373</v>
      </c>
      <c r="F311" s="112" t="s">
        <v>348</v>
      </c>
      <c r="G311" s="224" t="s">
        <v>2</v>
      </c>
      <c r="H311" s="58" t="s">
        <v>1</v>
      </c>
      <c r="I311" s="154" t="s">
        <v>389</v>
      </c>
      <c r="J311" s="151" t="s">
        <v>451</v>
      </c>
      <c r="K311" s="71" t="s">
        <v>1788</v>
      </c>
      <c r="L311" s="84">
        <v>14</v>
      </c>
      <c r="M311" s="53">
        <v>23</v>
      </c>
      <c r="N311" s="90">
        <v>4</v>
      </c>
      <c r="O311" s="86" t="s">
        <v>1789</v>
      </c>
      <c r="P311" s="31" t="s">
        <v>104</v>
      </c>
      <c r="Q311" s="49">
        <v>45</v>
      </c>
      <c r="R311" s="49" t="s">
        <v>44</v>
      </c>
      <c r="S311" s="237">
        <v>4607958072149</v>
      </c>
      <c r="T311" s="332">
        <v>24607958072143</v>
      </c>
      <c r="U311" s="46">
        <v>4607958072149</v>
      </c>
      <c r="V311" s="46">
        <v>24607958072143</v>
      </c>
      <c r="W311" s="258"/>
      <c r="X311" s="68"/>
      <c r="Y311" s="68"/>
      <c r="Z311" s="65">
        <v>0.1</v>
      </c>
      <c r="AA311" s="271">
        <v>1.2999999999999999E-2</v>
      </c>
      <c r="AB311" s="66">
        <f t="shared" ref="AB311" si="411">Z311+AA311</f>
        <v>0.113</v>
      </c>
      <c r="AC311" s="59">
        <v>204</v>
      </c>
      <c r="AD311" s="60">
        <v>147</v>
      </c>
      <c r="AE311" s="60">
        <v>150</v>
      </c>
      <c r="AF311" s="191">
        <v>10</v>
      </c>
      <c r="AG311" s="117">
        <v>600000602</v>
      </c>
      <c r="AH311" s="104">
        <f>справочники!$C$192</f>
        <v>8.5000000000000006E-2</v>
      </c>
      <c r="AI311" s="61">
        <f t="shared" si="399"/>
        <v>1</v>
      </c>
      <c r="AJ311" s="122">
        <f t="shared" si="400"/>
        <v>1.2150000000000001</v>
      </c>
      <c r="AK311" s="37">
        <v>30</v>
      </c>
      <c r="AL311" s="38">
        <v>11</v>
      </c>
      <c r="AM311" s="40">
        <f t="shared" ref="AM311" si="412">AK311*AL311</f>
        <v>330</v>
      </c>
      <c r="AN311" s="206">
        <f t="shared" ref="AN311" si="413">IF(D311="ШТ",кол_во_инд.__упак_к*итого_г_у,ROUNDDOWN(номин.вес_нетто_г_у__кг*итого_г_у,1))</f>
        <v>3300</v>
      </c>
      <c r="AO311" s="204">
        <f t="shared" si="206"/>
        <v>1795</v>
      </c>
    </row>
    <row r="312" spans="1:41" ht="93" customHeight="1" x14ac:dyDescent="0.2">
      <c r="A312" s="22">
        <f t="shared" si="342"/>
        <v>6208</v>
      </c>
      <c r="B312" s="116">
        <v>1001220226208</v>
      </c>
      <c r="C312" s="48" t="s">
        <v>851</v>
      </c>
      <c r="D312" s="49" t="s">
        <v>4</v>
      </c>
      <c r="E312" s="146" t="s">
        <v>373</v>
      </c>
      <c r="F312" s="112" t="s">
        <v>1230</v>
      </c>
      <c r="G312" s="224" t="s">
        <v>6</v>
      </c>
      <c r="H312" s="49" t="s">
        <v>1</v>
      </c>
      <c r="I312" s="154" t="s">
        <v>1939</v>
      </c>
      <c r="J312" s="151" t="s">
        <v>1942</v>
      </c>
      <c r="K312" s="51" t="s">
        <v>1943</v>
      </c>
      <c r="L312" s="52">
        <v>15</v>
      </c>
      <c r="M312" s="53">
        <v>5</v>
      </c>
      <c r="N312" s="53">
        <v>4</v>
      </c>
      <c r="O312" s="54" t="s">
        <v>1150</v>
      </c>
      <c r="P312" s="113" t="s">
        <v>104</v>
      </c>
      <c r="Q312" s="49">
        <v>45</v>
      </c>
      <c r="R312" s="49" t="s">
        <v>29</v>
      </c>
      <c r="S312" s="237">
        <v>4607958077687</v>
      </c>
      <c r="T312" s="332">
        <v>14607958077684</v>
      </c>
      <c r="U312" s="46">
        <v>4607958077687</v>
      </c>
      <c r="V312" s="46">
        <v>14607958077684</v>
      </c>
      <c r="W312" s="258">
        <v>244</v>
      </c>
      <c r="X312" s="68">
        <v>130</v>
      </c>
      <c r="Y312" s="68">
        <v>20</v>
      </c>
      <c r="Z312" s="65">
        <v>0.15</v>
      </c>
      <c r="AA312" s="271">
        <v>8.0000000000000002E-3</v>
      </c>
      <c r="AB312" s="66">
        <f t="shared" si="403"/>
        <v>0.158</v>
      </c>
      <c r="AC312" s="59">
        <v>262</v>
      </c>
      <c r="AD312" s="60">
        <v>142</v>
      </c>
      <c r="AE312" s="60">
        <v>178</v>
      </c>
      <c r="AF312" s="191">
        <v>10</v>
      </c>
      <c r="AG312" s="117">
        <v>600000505</v>
      </c>
      <c r="AH312" s="104">
        <f>справочники!$C$169</f>
        <v>7.4999999999999997E-2</v>
      </c>
      <c r="AI312" s="61">
        <f t="shared" si="399"/>
        <v>1.5</v>
      </c>
      <c r="AJ312" s="122">
        <f t="shared" si="400"/>
        <v>1.655</v>
      </c>
      <c r="AK312" s="37">
        <v>24</v>
      </c>
      <c r="AL312" s="38">
        <v>9</v>
      </c>
      <c r="AM312" s="40">
        <f t="shared" ref="AM312:AM354" si="414">AK312*AL312</f>
        <v>216</v>
      </c>
      <c r="AN312" s="206">
        <f t="shared" si="407"/>
        <v>2160</v>
      </c>
      <c r="AO312" s="204">
        <f t="shared" si="206"/>
        <v>1747</v>
      </c>
    </row>
    <row r="313" spans="1:41" ht="178.5" x14ac:dyDescent="0.2">
      <c r="A313" s="22">
        <f t="shared" si="342"/>
        <v>7411</v>
      </c>
      <c r="B313" s="116">
        <v>1001220227411</v>
      </c>
      <c r="C313" s="48" t="s">
        <v>1529</v>
      </c>
      <c r="D313" s="49" t="s">
        <v>4</v>
      </c>
      <c r="E313" s="146" t="s">
        <v>373</v>
      </c>
      <c r="F313" s="112" t="s">
        <v>1230</v>
      </c>
      <c r="G313" s="225" t="s">
        <v>520</v>
      </c>
      <c r="H313" s="49" t="s">
        <v>1</v>
      </c>
      <c r="I313" s="154" t="s">
        <v>1939</v>
      </c>
      <c r="J313" s="151" t="s">
        <v>1942</v>
      </c>
      <c r="K313" s="51" t="s">
        <v>1590</v>
      </c>
      <c r="L313" s="84">
        <v>13</v>
      </c>
      <c r="M313" s="53">
        <v>5</v>
      </c>
      <c r="N313" s="90">
        <v>1</v>
      </c>
      <c r="O313" s="86" t="s">
        <v>1591</v>
      </c>
      <c r="P313" s="113" t="s">
        <v>104</v>
      </c>
      <c r="Q313" s="49">
        <v>30</v>
      </c>
      <c r="R313" s="49" t="s">
        <v>29</v>
      </c>
      <c r="S313" s="237">
        <v>4630362180759</v>
      </c>
      <c r="T313" s="332">
        <v>24630362180753</v>
      </c>
      <c r="U313" s="46">
        <v>4630362180759</v>
      </c>
      <c r="V313" s="46">
        <v>24630362180753</v>
      </c>
      <c r="W313" s="258">
        <v>244</v>
      </c>
      <c r="X313" s="68">
        <v>130</v>
      </c>
      <c r="Y313" s="68">
        <v>15</v>
      </c>
      <c r="Z313" s="65">
        <v>0.1</v>
      </c>
      <c r="AA313" s="271">
        <v>8.0000000000000002E-3</v>
      </c>
      <c r="AB313" s="66">
        <f t="shared" ref="AB313" si="415">Z313+AA313</f>
        <v>0.10800000000000001</v>
      </c>
      <c r="AC313" s="59">
        <v>262</v>
      </c>
      <c r="AD313" s="60">
        <v>142</v>
      </c>
      <c r="AE313" s="60">
        <v>178</v>
      </c>
      <c r="AF313" s="191">
        <v>14</v>
      </c>
      <c r="AG313" s="117">
        <v>600000552</v>
      </c>
      <c r="AH313" s="104">
        <f>справочники!$C$175</f>
        <v>0.107</v>
      </c>
      <c r="AI313" s="61">
        <f t="shared" si="399"/>
        <v>1.4</v>
      </c>
      <c r="AJ313" s="122">
        <f t="shared" si="400"/>
        <v>1.6190000000000002</v>
      </c>
      <c r="AK313" s="37">
        <v>24</v>
      </c>
      <c r="AL313" s="38">
        <v>9</v>
      </c>
      <c r="AM313" s="40">
        <f t="shared" ref="AM313" si="416">AK313*AL313</f>
        <v>216</v>
      </c>
      <c r="AN313" s="206">
        <f t="shared" ref="AN313" si="417">IF(D313="ШТ",кол_во_инд.__упак_к*итого_г_у,ROUNDDOWN(номин.вес_нетто_г_у__кг*итого_г_у,1))</f>
        <v>3024</v>
      </c>
      <c r="AO313" s="204">
        <f t="shared" si="206"/>
        <v>1747</v>
      </c>
    </row>
    <row r="314" spans="1:41" ht="133.9" customHeight="1" x14ac:dyDescent="0.2">
      <c r="A314" s="22">
        <f t="shared" si="342"/>
        <v>6754</v>
      </c>
      <c r="B314" s="116">
        <v>1001225406754</v>
      </c>
      <c r="C314" s="48" t="s">
        <v>702</v>
      </c>
      <c r="D314" s="49" t="s">
        <v>4</v>
      </c>
      <c r="E314" s="146" t="s">
        <v>373</v>
      </c>
      <c r="F314" s="112" t="s">
        <v>1230</v>
      </c>
      <c r="G314" s="224" t="s">
        <v>2</v>
      </c>
      <c r="H314" s="49" t="s">
        <v>1</v>
      </c>
      <c r="I314" s="154" t="s">
        <v>1941</v>
      </c>
      <c r="J314" s="151" t="s">
        <v>1969</v>
      </c>
      <c r="K314" s="83" t="s">
        <v>1974</v>
      </c>
      <c r="L314" s="286" t="s">
        <v>1970</v>
      </c>
      <c r="M314" s="287" t="s">
        <v>1971</v>
      </c>
      <c r="N314" s="326" t="s">
        <v>1972</v>
      </c>
      <c r="O314" s="162" t="s">
        <v>1973</v>
      </c>
      <c r="P314" s="31" t="s">
        <v>104</v>
      </c>
      <c r="Q314" s="87">
        <v>60</v>
      </c>
      <c r="R314" s="49" t="s">
        <v>51</v>
      </c>
      <c r="S314" s="237">
        <v>4607958076598</v>
      </c>
      <c r="T314" s="332">
        <v>24607958076592</v>
      </c>
      <c r="U314" s="46">
        <v>4607958076598</v>
      </c>
      <c r="V314" s="46">
        <v>24607958076592</v>
      </c>
      <c r="W314" s="258">
        <v>230</v>
      </c>
      <c r="X314" s="68">
        <v>183</v>
      </c>
      <c r="Y314" s="68">
        <v>11</v>
      </c>
      <c r="Z314" s="65">
        <v>0.09</v>
      </c>
      <c r="AA314" s="271">
        <v>1.6E-2</v>
      </c>
      <c r="AB314" s="66">
        <f t="shared" si="403"/>
        <v>0.106</v>
      </c>
      <c r="AC314" s="59">
        <v>240</v>
      </c>
      <c r="AD314" s="60">
        <v>196</v>
      </c>
      <c r="AE314" s="60">
        <v>113</v>
      </c>
      <c r="AF314" s="191">
        <v>8</v>
      </c>
      <c r="AG314" s="117">
        <v>600000504</v>
      </c>
      <c r="AH314" s="104">
        <f>справочники!$C$168</f>
        <v>9.0999999999999998E-2</v>
      </c>
      <c r="AI314" s="61">
        <f t="shared" si="399"/>
        <v>0.72</v>
      </c>
      <c r="AJ314" s="122">
        <f t="shared" si="400"/>
        <v>0.93899999999999995</v>
      </c>
      <c r="AK314" s="37">
        <v>20</v>
      </c>
      <c r="AL314" s="38">
        <v>14</v>
      </c>
      <c r="AM314" s="40">
        <f t="shared" si="414"/>
        <v>280</v>
      </c>
      <c r="AN314" s="206">
        <f t="shared" si="407"/>
        <v>2240</v>
      </c>
      <c r="AO314" s="204">
        <f t="shared" si="206"/>
        <v>1727</v>
      </c>
    </row>
    <row r="315" spans="1:41" ht="172.15" customHeight="1" x14ac:dyDescent="0.2">
      <c r="A315" s="22">
        <f t="shared" si="342"/>
        <v>7181</v>
      </c>
      <c r="B315" s="116">
        <v>1001225407181</v>
      </c>
      <c r="C315" s="48" t="s">
        <v>1622</v>
      </c>
      <c r="D315" s="49" t="s">
        <v>4</v>
      </c>
      <c r="E315" s="146" t="s">
        <v>373</v>
      </c>
      <c r="F315" s="112" t="s">
        <v>1230</v>
      </c>
      <c r="G315" s="224" t="s">
        <v>6</v>
      </c>
      <c r="H315" s="49" t="s">
        <v>1</v>
      </c>
      <c r="I315" s="154" t="s">
        <v>1939</v>
      </c>
      <c r="J315" s="151" t="s">
        <v>1975</v>
      </c>
      <c r="K315" s="83" t="s">
        <v>1976</v>
      </c>
      <c r="L315" s="286" t="s">
        <v>1977</v>
      </c>
      <c r="M315" s="287" t="s">
        <v>1978</v>
      </c>
      <c r="N315" s="326" t="s">
        <v>1281</v>
      </c>
      <c r="O315" s="162" t="s">
        <v>1979</v>
      </c>
      <c r="P315" s="31" t="s">
        <v>104</v>
      </c>
      <c r="Q315" s="87">
        <v>50</v>
      </c>
      <c r="R315" s="49" t="s">
        <v>29</v>
      </c>
      <c r="S315" s="237">
        <v>4607958079223</v>
      </c>
      <c r="T315" s="332">
        <v>14607958079220</v>
      </c>
      <c r="U315" s="46">
        <v>4607958079223</v>
      </c>
      <c r="V315" s="46">
        <v>14607958079220</v>
      </c>
      <c r="W315" s="258">
        <v>230</v>
      </c>
      <c r="X315" s="68">
        <v>183</v>
      </c>
      <c r="Y315" s="68">
        <v>11</v>
      </c>
      <c r="Z315" s="65">
        <v>0.09</v>
      </c>
      <c r="AA315" s="271">
        <v>1.7999999999999999E-2</v>
      </c>
      <c r="AB315" s="66">
        <f t="shared" ref="AB315" si="418">Z315+AA315</f>
        <v>0.108</v>
      </c>
      <c r="AC315" s="59">
        <v>239</v>
      </c>
      <c r="AD315" s="60">
        <v>195</v>
      </c>
      <c r="AE315" s="60">
        <v>123</v>
      </c>
      <c r="AF315" s="191">
        <v>8</v>
      </c>
      <c r="AG315" s="117">
        <v>600000506</v>
      </c>
      <c r="AH315" s="104">
        <f>справочники!$C$170</f>
        <v>7.6999999999999999E-2</v>
      </c>
      <c r="AI315" s="61">
        <f t="shared" si="399"/>
        <v>0.72</v>
      </c>
      <c r="AJ315" s="122">
        <f t="shared" si="400"/>
        <v>0.94099999999999995</v>
      </c>
      <c r="AK315" s="37">
        <v>20</v>
      </c>
      <c r="AL315" s="38">
        <v>13</v>
      </c>
      <c r="AM315" s="40">
        <f t="shared" ref="AM315" si="419">AK315*AL315</f>
        <v>260</v>
      </c>
      <c r="AN315" s="206">
        <f t="shared" ref="AN315" si="420">IF(D315="ШТ",кол_во_инд.__упак_к*итого_г_у,ROUNDDOWN(номин.вес_нетто_г_у__кг*итого_г_у,1))</f>
        <v>2080</v>
      </c>
      <c r="AO315" s="204">
        <f t="shared" si="206"/>
        <v>1744</v>
      </c>
    </row>
    <row r="316" spans="1:41" ht="267.75" x14ac:dyDescent="0.2">
      <c r="A316" s="22">
        <f t="shared" si="342"/>
        <v>6228</v>
      </c>
      <c r="B316" s="116">
        <v>1001225416228</v>
      </c>
      <c r="C316" s="48" t="s">
        <v>684</v>
      </c>
      <c r="D316" s="49" t="s">
        <v>4</v>
      </c>
      <c r="E316" s="146" t="s">
        <v>373</v>
      </c>
      <c r="F316" s="112" t="s">
        <v>1230</v>
      </c>
      <c r="G316" s="224" t="s">
        <v>2</v>
      </c>
      <c r="H316" s="49" t="s">
        <v>1</v>
      </c>
      <c r="I316" s="154" t="s">
        <v>1939</v>
      </c>
      <c r="J316" s="151" t="s">
        <v>1980</v>
      </c>
      <c r="K316" s="83" t="s">
        <v>1981</v>
      </c>
      <c r="L316" s="286" t="s">
        <v>1977</v>
      </c>
      <c r="M316" s="287" t="s">
        <v>1978</v>
      </c>
      <c r="N316" s="326" t="s">
        <v>1281</v>
      </c>
      <c r="O316" s="162" t="s">
        <v>1979</v>
      </c>
      <c r="P316" s="31" t="s">
        <v>104</v>
      </c>
      <c r="Q316" s="87">
        <v>45</v>
      </c>
      <c r="R316" s="49" t="s">
        <v>29</v>
      </c>
      <c r="S316" s="237">
        <v>4607958076604</v>
      </c>
      <c r="T316" s="332">
        <v>14607958076601</v>
      </c>
      <c r="U316" s="46">
        <v>4607958076604</v>
      </c>
      <c r="V316" s="46">
        <v>14607958076601</v>
      </c>
      <c r="W316" s="258">
        <v>230</v>
      </c>
      <c r="X316" s="68">
        <v>183</v>
      </c>
      <c r="Y316" s="68">
        <v>11</v>
      </c>
      <c r="Z316" s="65">
        <v>0.09</v>
      </c>
      <c r="AA316" s="271">
        <v>1.6E-2</v>
      </c>
      <c r="AB316" s="66">
        <f t="shared" si="403"/>
        <v>0.106</v>
      </c>
      <c r="AC316" s="59">
        <v>239</v>
      </c>
      <c r="AD316" s="60">
        <v>195</v>
      </c>
      <c r="AE316" s="60">
        <v>123</v>
      </c>
      <c r="AF316" s="191">
        <v>10</v>
      </c>
      <c r="AG316" s="117">
        <v>600000507</v>
      </c>
      <c r="AH316" s="104">
        <f>справочники!$C$171</f>
        <v>7.2999999999999995E-2</v>
      </c>
      <c r="AI316" s="61">
        <f t="shared" si="399"/>
        <v>0.9</v>
      </c>
      <c r="AJ316" s="122">
        <f t="shared" si="400"/>
        <v>1.133</v>
      </c>
      <c r="AK316" s="37">
        <v>20</v>
      </c>
      <c r="AL316" s="38">
        <v>13</v>
      </c>
      <c r="AM316" s="40">
        <f t="shared" si="414"/>
        <v>260</v>
      </c>
      <c r="AN316" s="206">
        <f t="shared" si="407"/>
        <v>2600</v>
      </c>
      <c r="AO316" s="204">
        <f t="shared" si="206"/>
        <v>1744</v>
      </c>
    </row>
    <row r="317" spans="1:41" ht="89.25" x14ac:dyDescent="0.2">
      <c r="A317" s="22">
        <f t="shared" si="342"/>
        <v>6500</v>
      </c>
      <c r="B317" s="116">
        <v>1001225156500</v>
      </c>
      <c r="C317" s="48" t="s">
        <v>591</v>
      </c>
      <c r="D317" s="49" t="s">
        <v>4</v>
      </c>
      <c r="E317" s="146" t="s">
        <v>373</v>
      </c>
      <c r="F317" s="112" t="s">
        <v>1230</v>
      </c>
      <c r="G317" s="224" t="s">
        <v>2</v>
      </c>
      <c r="H317" s="49" t="s">
        <v>1</v>
      </c>
      <c r="I317" s="154" t="s">
        <v>1939</v>
      </c>
      <c r="J317" s="151" t="s">
        <v>462</v>
      </c>
      <c r="K317" s="98" t="s">
        <v>1982</v>
      </c>
      <c r="L317" s="84">
        <v>18</v>
      </c>
      <c r="M317" s="53">
        <v>6</v>
      </c>
      <c r="N317" s="90">
        <v>1</v>
      </c>
      <c r="O317" s="86" t="s">
        <v>1879</v>
      </c>
      <c r="P317" s="113" t="s">
        <v>104</v>
      </c>
      <c r="Q317" s="49">
        <v>45</v>
      </c>
      <c r="R317" s="49" t="s">
        <v>29</v>
      </c>
      <c r="S317" s="237">
        <v>4607958075492</v>
      </c>
      <c r="T317" s="332">
        <v>14607958075499</v>
      </c>
      <c r="U317" s="46">
        <v>4607958075492</v>
      </c>
      <c r="V317" s="46">
        <v>14607958075499</v>
      </c>
      <c r="W317" s="259">
        <v>231</v>
      </c>
      <c r="X317" s="96">
        <v>137</v>
      </c>
      <c r="Y317" s="96">
        <v>20</v>
      </c>
      <c r="Z317" s="65">
        <v>0.15</v>
      </c>
      <c r="AA317" s="271">
        <v>1.4999999999999999E-2</v>
      </c>
      <c r="AB317" s="66">
        <f t="shared" si="403"/>
        <v>0.16499999999999998</v>
      </c>
      <c r="AC317" s="59">
        <v>240</v>
      </c>
      <c r="AD317" s="60">
        <v>148</v>
      </c>
      <c r="AE317" s="60">
        <v>143</v>
      </c>
      <c r="AF317" s="191">
        <v>8</v>
      </c>
      <c r="AG317" s="117">
        <v>600000531</v>
      </c>
      <c r="AH317" s="104">
        <f>справочники!$C$161</f>
        <v>6.8000000000000005E-2</v>
      </c>
      <c r="AI317" s="61">
        <f t="shared" si="399"/>
        <v>1.2</v>
      </c>
      <c r="AJ317" s="122">
        <f t="shared" si="400"/>
        <v>1.3879999999999999</v>
      </c>
      <c r="AK317" s="37">
        <v>24</v>
      </c>
      <c r="AL317" s="38">
        <v>11</v>
      </c>
      <c r="AM317" s="40">
        <f t="shared" si="414"/>
        <v>264</v>
      </c>
      <c r="AN317" s="206">
        <f t="shared" si="407"/>
        <v>2112</v>
      </c>
      <c r="AO317" s="204">
        <f t="shared" si="206"/>
        <v>1718</v>
      </c>
    </row>
    <row r="318" spans="1:41" ht="89.25" x14ac:dyDescent="0.2">
      <c r="A318" s="22">
        <f t="shared" si="342"/>
        <v>7541</v>
      </c>
      <c r="B318" s="116">
        <v>1001225157541</v>
      </c>
      <c r="C318" s="48" t="s">
        <v>1767</v>
      </c>
      <c r="D318" s="49" t="s">
        <v>4</v>
      </c>
      <c r="E318" s="146" t="s">
        <v>373</v>
      </c>
      <c r="F318" s="112" t="s">
        <v>1230</v>
      </c>
      <c r="G318" s="224" t="s">
        <v>2</v>
      </c>
      <c r="H318" s="49" t="s">
        <v>1</v>
      </c>
      <c r="I318" s="154" t="s">
        <v>1939</v>
      </c>
      <c r="J318" s="151" t="s">
        <v>462</v>
      </c>
      <c r="K318" s="98" t="s">
        <v>1982</v>
      </c>
      <c r="L318" s="84">
        <v>18</v>
      </c>
      <c r="M318" s="53">
        <v>6</v>
      </c>
      <c r="N318" s="90">
        <v>1</v>
      </c>
      <c r="O318" s="86" t="s">
        <v>1879</v>
      </c>
      <c r="P318" s="113" t="s">
        <v>104</v>
      </c>
      <c r="Q318" s="49">
        <v>45</v>
      </c>
      <c r="R318" s="49" t="s">
        <v>29</v>
      </c>
      <c r="S318" s="237">
        <v>4630362182340</v>
      </c>
      <c r="T318" s="332">
        <v>14630362182347</v>
      </c>
      <c r="U318" s="46">
        <v>4630362182340</v>
      </c>
      <c r="V318" s="46">
        <v>14630362182347</v>
      </c>
      <c r="W318" s="93">
        <v>195</v>
      </c>
      <c r="X318" s="60">
        <v>137</v>
      </c>
      <c r="Y318" s="60">
        <v>18</v>
      </c>
      <c r="Z318" s="65">
        <v>0.1</v>
      </c>
      <c r="AA318" s="271">
        <v>1.6E-2</v>
      </c>
      <c r="AB318" s="66">
        <f t="shared" si="403"/>
        <v>0.11600000000000001</v>
      </c>
      <c r="AC318" s="59">
        <v>204</v>
      </c>
      <c r="AD318" s="60">
        <v>147</v>
      </c>
      <c r="AE318" s="60">
        <v>200</v>
      </c>
      <c r="AF318" s="191">
        <v>10</v>
      </c>
      <c r="AG318" s="117">
        <v>600000600</v>
      </c>
      <c r="AH318" s="104">
        <f>справочники!$C$190</f>
        <v>0.16</v>
      </c>
      <c r="AI318" s="61">
        <f t="shared" si="399"/>
        <v>1</v>
      </c>
      <c r="AJ318" s="122">
        <f t="shared" si="400"/>
        <v>1.32</v>
      </c>
      <c r="AK318" s="37">
        <v>30</v>
      </c>
      <c r="AL318" s="38">
        <v>8</v>
      </c>
      <c r="AM318" s="40">
        <f t="shared" si="414"/>
        <v>240</v>
      </c>
      <c r="AN318" s="206">
        <f t="shared" si="407"/>
        <v>2400</v>
      </c>
      <c r="AO318" s="204">
        <f t="shared" si="206"/>
        <v>1745</v>
      </c>
    </row>
    <row r="319" spans="1:41" ht="89.25" x14ac:dyDescent="0.2">
      <c r="A319" s="22">
        <f t="shared" si="342"/>
        <v>7458</v>
      </c>
      <c r="B319" s="116">
        <v>1001225157458</v>
      </c>
      <c r="C319" s="48" t="s">
        <v>2047</v>
      </c>
      <c r="D319" s="49" t="s">
        <v>4</v>
      </c>
      <c r="E319" s="146" t="s">
        <v>373</v>
      </c>
      <c r="F319" s="112" t="s">
        <v>1230</v>
      </c>
      <c r="G319" s="224" t="s">
        <v>2</v>
      </c>
      <c r="H319" s="49" t="s">
        <v>1</v>
      </c>
      <c r="I319" s="154" t="s">
        <v>1939</v>
      </c>
      <c r="J319" s="151" t="s">
        <v>462</v>
      </c>
      <c r="K319" s="98" t="s">
        <v>1982</v>
      </c>
      <c r="L319" s="84">
        <v>18</v>
      </c>
      <c r="M319" s="53">
        <v>6</v>
      </c>
      <c r="N319" s="90">
        <v>1</v>
      </c>
      <c r="O319" s="86" t="s">
        <v>1879</v>
      </c>
      <c r="P319" s="113" t="s">
        <v>104</v>
      </c>
      <c r="Q319" s="49">
        <v>45</v>
      </c>
      <c r="R319" s="49" t="s">
        <v>29</v>
      </c>
      <c r="S319" s="237">
        <v>4630362180858</v>
      </c>
      <c r="T319" s="332">
        <v>14630362180855</v>
      </c>
      <c r="U319" s="46">
        <v>4630362180858</v>
      </c>
      <c r="V319" s="46">
        <v>14630362180855</v>
      </c>
      <c r="W319" s="259">
        <v>231</v>
      </c>
      <c r="X319" s="96">
        <v>137</v>
      </c>
      <c r="Y319" s="96">
        <v>15</v>
      </c>
      <c r="Z319" s="65">
        <v>0.1</v>
      </c>
      <c r="AA319" s="271">
        <v>1.4E-2</v>
      </c>
      <c r="AB319" s="66">
        <f t="shared" ref="AB319" si="421">Z319+AA319</f>
        <v>0.114</v>
      </c>
      <c r="AC319" s="59">
        <v>204</v>
      </c>
      <c r="AD319" s="60">
        <v>147</v>
      </c>
      <c r="AE319" s="60">
        <v>150</v>
      </c>
      <c r="AF319" s="191">
        <v>10</v>
      </c>
      <c r="AG319" s="117">
        <v>600000602</v>
      </c>
      <c r="AH319" s="104">
        <f>справочники!$C$192</f>
        <v>8.5000000000000006E-2</v>
      </c>
      <c r="AI319" s="61">
        <f t="shared" si="399"/>
        <v>1</v>
      </c>
      <c r="AJ319" s="122">
        <f t="shared" si="400"/>
        <v>1.2250000000000001</v>
      </c>
      <c r="AK319" s="37">
        <v>30</v>
      </c>
      <c r="AL319" s="38">
        <v>11</v>
      </c>
      <c r="AM319" s="40">
        <f t="shared" ref="AM319" si="422">AK319*AL319</f>
        <v>330</v>
      </c>
      <c r="AN319" s="206">
        <f t="shared" ref="AN319" si="423">IF(D319="ШТ",кол_во_инд.__упак_к*итого_г_у,ROUNDDOWN(номин.вес_нетто_г_у__кг*итого_г_у,1))</f>
        <v>3300</v>
      </c>
      <c r="AO319" s="204">
        <f t="shared" si="206"/>
        <v>1795</v>
      </c>
    </row>
    <row r="320" spans="1:41" ht="89.25" x14ac:dyDescent="0.2">
      <c r="A320" s="22">
        <f t="shared" si="342"/>
        <v>6473</v>
      </c>
      <c r="B320" s="116">
        <v>1001225156473</v>
      </c>
      <c r="C320" s="48" t="s">
        <v>568</v>
      </c>
      <c r="D320" s="49" t="s">
        <v>4</v>
      </c>
      <c r="E320" s="146" t="s">
        <v>373</v>
      </c>
      <c r="F320" s="112" t="s">
        <v>1230</v>
      </c>
      <c r="G320" s="225" t="s">
        <v>520</v>
      </c>
      <c r="H320" s="49" t="s">
        <v>1</v>
      </c>
      <c r="I320" s="154" t="s">
        <v>1939</v>
      </c>
      <c r="J320" s="151" t="s">
        <v>462</v>
      </c>
      <c r="K320" s="98" t="s">
        <v>2080</v>
      </c>
      <c r="L320" s="84">
        <v>18</v>
      </c>
      <c r="M320" s="53">
        <v>6</v>
      </c>
      <c r="N320" s="90">
        <v>1</v>
      </c>
      <c r="O320" s="86" t="s">
        <v>1879</v>
      </c>
      <c r="P320" s="113" t="s">
        <v>104</v>
      </c>
      <c r="Q320" s="49">
        <v>45</v>
      </c>
      <c r="R320" s="49" t="s">
        <v>29</v>
      </c>
      <c r="S320" s="46">
        <v>4630362182753</v>
      </c>
      <c r="T320" s="46">
        <v>14630362182750</v>
      </c>
      <c r="U320" s="46">
        <v>4630362182753</v>
      </c>
      <c r="V320" s="46">
        <v>14630362182750</v>
      </c>
      <c r="W320" s="259">
        <v>231</v>
      </c>
      <c r="X320" s="96">
        <v>137</v>
      </c>
      <c r="Y320" s="96">
        <v>15</v>
      </c>
      <c r="Z320" s="65">
        <v>0.1</v>
      </c>
      <c r="AA320" s="271">
        <v>1.4E-2</v>
      </c>
      <c r="AB320" s="66">
        <f t="shared" si="403"/>
        <v>0.114</v>
      </c>
      <c r="AC320" s="59">
        <v>240</v>
      </c>
      <c r="AD320" s="60">
        <v>148</v>
      </c>
      <c r="AE320" s="60">
        <v>127</v>
      </c>
      <c r="AF320" s="191">
        <v>10</v>
      </c>
      <c r="AG320" s="117">
        <v>600000533</v>
      </c>
      <c r="AH320" s="104">
        <f>справочники!$C$165</f>
        <v>7.0999999999999994E-2</v>
      </c>
      <c r="AI320" s="61">
        <f t="shared" si="399"/>
        <v>1</v>
      </c>
      <c r="AJ320" s="122">
        <f t="shared" si="400"/>
        <v>1.2110000000000001</v>
      </c>
      <c r="AK320" s="37">
        <v>24</v>
      </c>
      <c r="AL320" s="38">
        <v>12</v>
      </c>
      <c r="AM320" s="40">
        <f t="shared" si="414"/>
        <v>288</v>
      </c>
      <c r="AN320" s="206">
        <f t="shared" si="407"/>
        <v>2880</v>
      </c>
      <c r="AO320" s="204">
        <f t="shared" si="206"/>
        <v>1669</v>
      </c>
    </row>
    <row r="321" spans="1:41" ht="102" x14ac:dyDescent="0.2">
      <c r="A321" s="22">
        <f t="shared" si="342"/>
        <v>7412</v>
      </c>
      <c r="B321" s="116">
        <v>1001225157412</v>
      </c>
      <c r="C321" s="48" t="s">
        <v>1530</v>
      </c>
      <c r="D321" s="49" t="s">
        <v>4</v>
      </c>
      <c r="E321" s="146" t="s">
        <v>373</v>
      </c>
      <c r="F321" s="112" t="s">
        <v>1230</v>
      </c>
      <c r="G321" s="225" t="s">
        <v>520</v>
      </c>
      <c r="H321" s="49" t="s">
        <v>1</v>
      </c>
      <c r="I321" s="154" t="s">
        <v>1939</v>
      </c>
      <c r="J321" s="151" t="s">
        <v>462</v>
      </c>
      <c r="K321" s="98" t="s">
        <v>1545</v>
      </c>
      <c r="L321" s="84">
        <v>18</v>
      </c>
      <c r="M321" s="53">
        <v>10</v>
      </c>
      <c r="N321" s="90">
        <v>0</v>
      </c>
      <c r="O321" s="86" t="s">
        <v>1592</v>
      </c>
      <c r="P321" s="113" t="s">
        <v>104</v>
      </c>
      <c r="Q321" s="49">
        <v>45</v>
      </c>
      <c r="R321" s="49" t="s">
        <v>29</v>
      </c>
      <c r="S321" s="237">
        <v>4630362180841</v>
      </c>
      <c r="T321" s="332">
        <v>14630362180848</v>
      </c>
      <c r="U321" s="46">
        <v>4630362180841</v>
      </c>
      <c r="V321" s="46">
        <v>14630362180848</v>
      </c>
      <c r="W321" s="259">
        <v>231</v>
      </c>
      <c r="X321" s="96">
        <v>137</v>
      </c>
      <c r="Y321" s="96">
        <v>15</v>
      </c>
      <c r="Z321" s="65">
        <v>0.1</v>
      </c>
      <c r="AA321" s="271">
        <v>1.4E-2</v>
      </c>
      <c r="AB321" s="66">
        <f t="shared" ref="AB321:AB322" si="424">Z321+AA321</f>
        <v>0.114</v>
      </c>
      <c r="AC321" s="59">
        <v>240</v>
      </c>
      <c r="AD321" s="60">
        <v>148</v>
      </c>
      <c r="AE321" s="60">
        <v>127</v>
      </c>
      <c r="AF321" s="191">
        <v>10</v>
      </c>
      <c r="AG321" s="117">
        <v>600000533</v>
      </c>
      <c r="AH321" s="104">
        <f>справочники!$C$165</f>
        <v>7.0999999999999994E-2</v>
      </c>
      <c r="AI321" s="61">
        <f t="shared" si="399"/>
        <v>1</v>
      </c>
      <c r="AJ321" s="122">
        <f t="shared" si="400"/>
        <v>1.2110000000000001</v>
      </c>
      <c r="AK321" s="37">
        <v>24</v>
      </c>
      <c r="AL321" s="38">
        <v>12</v>
      </c>
      <c r="AM321" s="40">
        <f t="shared" ref="AM321:AM322" si="425">AK321*AL321</f>
        <v>288</v>
      </c>
      <c r="AN321" s="206">
        <f t="shared" ref="AN321:AN322" si="426">IF(D321="ШТ",кол_во_инд.__упак_к*итого_г_у,ROUNDDOWN(номин.вес_нетто_г_у__кг*итого_г_у,1))</f>
        <v>2880</v>
      </c>
      <c r="AO321" s="204">
        <f t="shared" si="206"/>
        <v>1669</v>
      </c>
    </row>
    <row r="322" spans="1:41" ht="114.75" x14ac:dyDescent="0.2">
      <c r="A322" s="22">
        <f t="shared" si="342"/>
        <v>7499</v>
      </c>
      <c r="B322" s="116">
        <v>1001227507499</v>
      </c>
      <c r="C322" s="48" t="s">
        <v>1897</v>
      </c>
      <c r="D322" s="49" t="s">
        <v>4</v>
      </c>
      <c r="E322" s="146" t="s">
        <v>373</v>
      </c>
      <c r="F322" s="112" t="s">
        <v>1230</v>
      </c>
      <c r="G322" s="224" t="s">
        <v>2</v>
      </c>
      <c r="H322" s="49" t="s">
        <v>1</v>
      </c>
      <c r="I322" s="154" t="s">
        <v>1983</v>
      </c>
      <c r="J322" s="151" t="s">
        <v>1694</v>
      </c>
      <c r="K322" s="83" t="s">
        <v>1985</v>
      </c>
      <c r="L322" s="286">
        <v>25</v>
      </c>
      <c r="M322" s="287">
        <v>4</v>
      </c>
      <c r="N322" s="91">
        <v>1</v>
      </c>
      <c r="O322" s="162" t="s">
        <v>1984</v>
      </c>
      <c r="P322" s="31" t="s">
        <v>104</v>
      </c>
      <c r="Q322" s="87">
        <v>45</v>
      </c>
      <c r="R322" s="82" t="s">
        <v>51</v>
      </c>
      <c r="S322" s="237">
        <v>4630362182265</v>
      </c>
      <c r="T322" s="332">
        <v>24630362182269</v>
      </c>
      <c r="U322" s="46">
        <v>4630362182265</v>
      </c>
      <c r="V322" s="46">
        <v>24630362182269</v>
      </c>
      <c r="W322" s="258">
        <v>230</v>
      </c>
      <c r="X322" s="68">
        <v>90</v>
      </c>
      <c r="Y322" s="68">
        <v>15</v>
      </c>
      <c r="Z322" s="65">
        <v>0.08</v>
      </c>
      <c r="AA322" s="271">
        <v>8.9999999999999993E-3</v>
      </c>
      <c r="AB322" s="66">
        <f t="shared" si="424"/>
        <v>8.8999999999999996E-2</v>
      </c>
      <c r="AC322" s="59">
        <v>203</v>
      </c>
      <c r="AD322" s="60">
        <v>147</v>
      </c>
      <c r="AE322" s="60">
        <v>118</v>
      </c>
      <c r="AF322" s="191">
        <v>10</v>
      </c>
      <c r="AG322" s="117">
        <v>600000592</v>
      </c>
      <c r="AH322" s="104">
        <f>справочники!$C$213</f>
        <v>6.3E-2</v>
      </c>
      <c r="AI322" s="61">
        <f t="shared" si="204"/>
        <v>0.8</v>
      </c>
      <c r="AJ322" s="122">
        <f t="shared" si="205"/>
        <v>0.95299999999999985</v>
      </c>
      <c r="AK322" s="37">
        <v>30</v>
      </c>
      <c r="AL322" s="38">
        <v>14</v>
      </c>
      <c r="AM322" s="40">
        <f t="shared" si="425"/>
        <v>420</v>
      </c>
      <c r="AN322" s="206">
        <f t="shared" si="426"/>
        <v>4200</v>
      </c>
      <c r="AO322" s="204">
        <f t="shared" si="206"/>
        <v>1797</v>
      </c>
    </row>
    <row r="323" spans="1:41" ht="102" x14ac:dyDescent="0.2">
      <c r="A323" s="22">
        <f t="shared" si="342"/>
        <v>6279</v>
      </c>
      <c r="B323" s="116">
        <v>1001220286279</v>
      </c>
      <c r="C323" s="48" t="s">
        <v>318</v>
      </c>
      <c r="D323" s="49" t="s">
        <v>4</v>
      </c>
      <c r="E323" s="146" t="s">
        <v>373</v>
      </c>
      <c r="F323" s="112" t="s">
        <v>1230</v>
      </c>
      <c r="G323" s="224" t="s">
        <v>2</v>
      </c>
      <c r="H323" s="49" t="s">
        <v>1</v>
      </c>
      <c r="I323" s="154" t="s">
        <v>1939</v>
      </c>
      <c r="J323" s="151" t="s">
        <v>1942</v>
      </c>
      <c r="K323" s="51" t="s">
        <v>1987</v>
      </c>
      <c r="L323" s="84">
        <v>17</v>
      </c>
      <c r="M323" s="53">
        <v>10</v>
      </c>
      <c r="N323" s="90">
        <v>1</v>
      </c>
      <c r="O323" s="86" t="s">
        <v>1986</v>
      </c>
      <c r="P323" s="113" t="s">
        <v>104</v>
      </c>
      <c r="Q323" s="49">
        <v>45</v>
      </c>
      <c r="R323" s="49" t="s">
        <v>29</v>
      </c>
      <c r="S323" s="237">
        <v>4607958075102</v>
      </c>
      <c r="T323" s="332">
        <v>14607958075109</v>
      </c>
      <c r="U323" s="46">
        <v>4607958075102</v>
      </c>
      <c r="V323" s="46">
        <v>14607958075109</v>
      </c>
      <c r="W323" s="259">
        <v>231</v>
      </c>
      <c r="X323" s="96">
        <v>137</v>
      </c>
      <c r="Y323" s="68">
        <v>20</v>
      </c>
      <c r="Z323" s="65">
        <v>0.15</v>
      </c>
      <c r="AA323" s="271">
        <v>1.2999999999999999E-2</v>
      </c>
      <c r="AB323" s="66">
        <f t="shared" si="403"/>
        <v>0.16300000000000001</v>
      </c>
      <c r="AC323" s="59">
        <v>240</v>
      </c>
      <c r="AD323" s="60">
        <v>148</v>
      </c>
      <c r="AE323" s="60">
        <v>143</v>
      </c>
      <c r="AF323" s="191">
        <v>8</v>
      </c>
      <c r="AG323" s="117">
        <v>600000531</v>
      </c>
      <c r="AH323" s="104">
        <f>справочники!$C$161</f>
        <v>6.8000000000000005E-2</v>
      </c>
      <c r="AI323" s="61">
        <f t="shared" si="399"/>
        <v>1.2</v>
      </c>
      <c r="AJ323" s="122">
        <f t="shared" si="400"/>
        <v>1.3720000000000001</v>
      </c>
      <c r="AK323" s="37">
        <v>24</v>
      </c>
      <c r="AL323" s="38">
        <v>11</v>
      </c>
      <c r="AM323" s="40">
        <f t="shared" si="414"/>
        <v>264</v>
      </c>
      <c r="AN323" s="206">
        <f t="shared" si="407"/>
        <v>2112</v>
      </c>
      <c r="AO323" s="204">
        <f t="shared" si="206"/>
        <v>1718</v>
      </c>
    </row>
    <row r="324" spans="1:41" ht="102" x14ac:dyDescent="0.2">
      <c r="A324" s="22">
        <f t="shared" ref="A324:A387" si="427">VALUE(RIGHT(B324,4))</f>
        <v>7459</v>
      </c>
      <c r="B324" s="116">
        <v>1001220287459</v>
      </c>
      <c r="C324" s="48" t="s">
        <v>2048</v>
      </c>
      <c r="D324" s="49" t="s">
        <v>4</v>
      </c>
      <c r="E324" s="146" t="s">
        <v>373</v>
      </c>
      <c r="F324" s="112" t="s">
        <v>1230</v>
      </c>
      <c r="G324" s="224" t="s">
        <v>2</v>
      </c>
      <c r="H324" s="49" t="s">
        <v>1</v>
      </c>
      <c r="I324" s="154" t="s">
        <v>1939</v>
      </c>
      <c r="J324" s="151" t="s">
        <v>1942</v>
      </c>
      <c r="K324" s="51" t="s">
        <v>1987</v>
      </c>
      <c r="L324" s="84">
        <v>17</v>
      </c>
      <c r="M324" s="53">
        <v>10</v>
      </c>
      <c r="N324" s="90">
        <v>1</v>
      </c>
      <c r="O324" s="86" t="s">
        <v>1986</v>
      </c>
      <c r="P324" s="113" t="s">
        <v>104</v>
      </c>
      <c r="Q324" s="49">
        <v>45</v>
      </c>
      <c r="R324" s="49" t="s">
        <v>29</v>
      </c>
      <c r="S324" s="237">
        <v>4630362180995</v>
      </c>
      <c r="T324" s="332">
        <v>14630362180992</v>
      </c>
      <c r="U324" s="46">
        <v>4630362180995</v>
      </c>
      <c r="V324" s="46">
        <v>14630362180992</v>
      </c>
      <c r="W324" s="259">
        <v>231</v>
      </c>
      <c r="X324" s="96">
        <v>137</v>
      </c>
      <c r="Y324" s="68">
        <v>15</v>
      </c>
      <c r="Z324" s="65">
        <v>0.1</v>
      </c>
      <c r="AA324" s="271">
        <v>1.2999999999999999E-2</v>
      </c>
      <c r="AB324" s="66">
        <f t="shared" ref="AB324" si="428">Z324+AA324</f>
        <v>0.113</v>
      </c>
      <c r="AC324" s="59">
        <v>204</v>
      </c>
      <c r="AD324" s="60">
        <v>147</v>
      </c>
      <c r="AE324" s="60">
        <v>150</v>
      </c>
      <c r="AF324" s="191">
        <v>10</v>
      </c>
      <c r="AG324" s="117">
        <v>600000602</v>
      </c>
      <c r="AH324" s="104">
        <f>справочники!$C$192</f>
        <v>8.5000000000000006E-2</v>
      </c>
      <c r="AI324" s="61">
        <f t="shared" si="399"/>
        <v>1</v>
      </c>
      <c r="AJ324" s="122">
        <f t="shared" si="400"/>
        <v>1.2150000000000001</v>
      </c>
      <c r="AK324" s="37">
        <v>30</v>
      </c>
      <c r="AL324" s="38">
        <v>11</v>
      </c>
      <c r="AM324" s="40">
        <f t="shared" ref="AM324" si="429">AK324*AL324</f>
        <v>330</v>
      </c>
      <c r="AN324" s="206">
        <f t="shared" ref="AN324" si="430">IF(D324="ШТ",кол_во_инд.__упак_к*итого_г_у,ROUNDDOWN(номин.вес_нетто_г_у__кг*итого_г_у,1))</f>
        <v>3300</v>
      </c>
      <c r="AO324" s="204">
        <f t="shared" si="206"/>
        <v>1795</v>
      </c>
    </row>
    <row r="325" spans="1:41" ht="102" x14ac:dyDescent="0.2">
      <c r="A325" s="22">
        <f t="shared" si="427"/>
        <v>7511</v>
      </c>
      <c r="B325" s="116">
        <v>1001220287511</v>
      </c>
      <c r="C325" s="48" t="s">
        <v>1914</v>
      </c>
      <c r="D325" s="49" t="s">
        <v>4</v>
      </c>
      <c r="E325" s="146" t="s">
        <v>373</v>
      </c>
      <c r="F325" s="112" t="s">
        <v>1230</v>
      </c>
      <c r="G325" s="224" t="s">
        <v>2</v>
      </c>
      <c r="H325" s="49" t="s">
        <v>1</v>
      </c>
      <c r="I325" s="154" t="s">
        <v>1939</v>
      </c>
      <c r="J325" s="151" t="s">
        <v>1942</v>
      </c>
      <c r="K325" s="51" t="s">
        <v>1987</v>
      </c>
      <c r="L325" s="84">
        <v>17</v>
      </c>
      <c r="M325" s="53">
        <v>10</v>
      </c>
      <c r="N325" s="90">
        <v>1</v>
      </c>
      <c r="O325" s="86" t="s">
        <v>1986</v>
      </c>
      <c r="P325" s="113" t="s">
        <v>104</v>
      </c>
      <c r="Q325" s="49">
        <v>45</v>
      </c>
      <c r="R325" s="49" t="s">
        <v>29</v>
      </c>
      <c r="S325" s="237">
        <v>4630362182333</v>
      </c>
      <c r="T325" s="332">
        <v>14630362182330</v>
      </c>
      <c r="U325" s="46">
        <v>4630362182333</v>
      </c>
      <c r="V325" s="46">
        <v>14630362182330</v>
      </c>
      <c r="W325" s="93">
        <v>195</v>
      </c>
      <c r="X325" s="60">
        <v>137</v>
      </c>
      <c r="Y325" s="60">
        <v>18</v>
      </c>
      <c r="Z325" s="65">
        <v>0.1</v>
      </c>
      <c r="AA325" s="271">
        <v>1.6E-2</v>
      </c>
      <c r="AB325" s="66">
        <f t="shared" ref="AB325" si="431">Z325+AA325</f>
        <v>0.11600000000000001</v>
      </c>
      <c r="AC325" s="59">
        <v>204</v>
      </c>
      <c r="AD325" s="60">
        <v>147</v>
      </c>
      <c r="AE325" s="60">
        <v>200</v>
      </c>
      <c r="AF325" s="191">
        <v>10</v>
      </c>
      <c r="AG325" s="117">
        <v>600000603</v>
      </c>
      <c r="AH325" s="104">
        <f>справочники!$C$193</f>
        <v>0.11</v>
      </c>
      <c r="AI325" s="61">
        <f t="shared" si="399"/>
        <v>1</v>
      </c>
      <c r="AJ325" s="122">
        <f t="shared" si="400"/>
        <v>1.2700000000000002</v>
      </c>
      <c r="AK325" s="37">
        <v>30</v>
      </c>
      <c r="AL325" s="38">
        <v>8</v>
      </c>
      <c r="AM325" s="40">
        <f t="shared" ref="AM325" si="432">AK325*AL325</f>
        <v>240</v>
      </c>
      <c r="AN325" s="206">
        <f t="shared" ref="AN325" si="433">IF(D325="ШТ",кол_во_инд.__упак_к*итого_г_у,ROUNDDOWN(номин.вес_нетто_г_у__кг*итого_г_у,1))</f>
        <v>2400</v>
      </c>
      <c r="AO325" s="204">
        <f t="shared" si="206"/>
        <v>1745</v>
      </c>
    </row>
    <row r="326" spans="1:41" ht="89.25" x14ac:dyDescent="0.2">
      <c r="A326" s="22">
        <f t="shared" si="427"/>
        <v>7046</v>
      </c>
      <c r="B326" s="116">
        <v>1001225157046</v>
      </c>
      <c r="C326" s="48" t="s">
        <v>1033</v>
      </c>
      <c r="D326" s="49" t="s">
        <v>4</v>
      </c>
      <c r="E326" s="146" t="s">
        <v>373</v>
      </c>
      <c r="F326" s="112" t="s">
        <v>1230</v>
      </c>
      <c r="G326" s="224" t="s">
        <v>520</v>
      </c>
      <c r="H326" s="49" t="s">
        <v>1</v>
      </c>
      <c r="I326" s="154" t="s">
        <v>1939</v>
      </c>
      <c r="J326" s="151" t="s">
        <v>462</v>
      </c>
      <c r="K326" s="98" t="s">
        <v>2074</v>
      </c>
      <c r="L326" s="84">
        <v>18</v>
      </c>
      <c r="M326" s="53">
        <v>6</v>
      </c>
      <c r="N326" s="90">
        <v>1</v>
      </c>
      <c r="O326" s="86" t="s">
        <v>1879</v>
      </c>
      <c r="P326" s="113" t="s">
        <v>104</v>
      </c>
      <c r="Q326" s="49">
        <v>45</v>
      </c>
      <c r="R326" s="49" t="s">
        <v>29</v>
      </c>
      <c r="S326" s="46">
        <v>4630362182760</v>
      </c>
      <c r="T326" s="46">
        <v>14630362182767</v>
      </c>
      <c r="U326" s="46">
        <v>4630362182760</v>
      </c>
      <c r="V326" s="46">
        <v>14630362182767</v>
      </c>
      <c r="W326" s="259">
        <v>231</v>
      </c>
      <c r="X326" s="96">
        <v>137</v>
      </c>
      <c r="Y326" s="96">
        <v>20</v>
      </c>
      <c r="Z326" s="65">
        <v>0.15</v>
      </c>
      <c r="AA326" s="271">
        <v>1.4E-2</v>
      </c>
      <c r="AB326" s="66">
        <f t="shared" ref="AB326" si="434">Z326+AA326</f>
        <v>0.16400000000000001</v>
      </c>
      <c r="AC326" s="59">
        <v>243</v>
      </c>
      <c r="AD326" s="60">
        <v>152</v>
      </c>
      <c r="AE326" s="60">
        <v>245</v>
      </c>
      <c r="AF326" s="191">
        <v>14</v>
      </c>
      <c r="AG326" s="117">
        <v>600000458</v>
      </c>
      <c r="AH326" s="104">
        <f>справочники!$C$148</f>
        <v>0.14199999999999999</v>
      </c>
      <c r="AI326" s="61">
        <f t="shared" si="399"/>
        <v>2.1</v>
      </c>
      <c r="AJ326" s="122">
        <f t="shared" si="400"/>
        <v>2.4380000000000002</v>
      </c>
      <c r="AK326" s="37">
        <v>24</v>
      </c>
      <c r="AL326" s="38">
        <v>6</v>
      </c>
      <c r="AM326" s="40">
        <f t="shared" ref="AM326" si="435">AK326*AL326</f>
        <v>144</v>
      </c>
      <c r="AN326" s="206">
        <f t="shared" ref="AN326" si="436">IF(D326="ШТ",кол_во_инд.__упак_к*итого_г_у,ROUNDDOWN(номин.вес_нетто_г_у__кг*итого_г_у,1))</f>
        <v>2016</v>
      </c>
      <c r="AO326" s="204">
        <f t="shared" si="206"/>
        <v>1615</v>
      </c>
    </row>
    <row r="327" spans="1:41" ht="178.5" x14ac:dyDescent="0.2">
      <c r="A327" s="22">
        <f t="shared" si="427"/>
        <v>7198</v>
      </c>
      <c r="B327" s="116">
        <v>1001225637198</v>
      </c>
      <c r="C327" s="48" t="s">
        <v>1160</v>
      </c>
      <c r="D327" s="49" t="s">
        <v>4</v>
      </c>
      <c r="E327" s="146" t="s">
        <v>373</v>
      </c>
      <c r="F327" s="112" t="s">
        <v>1230</v>
      </c>
      <c r="G327" s="224" t="s">
        <v>2</v>
      </c>
      <c r="H327" s="49" t="s">
        <v>1</v>
      </c>
      <c r="I327" s="154" t="s">
        <v>1939</v>
      </c>
      <c r="J327" s="151" t="s">
        <v>1946</v>
      </c>
      <c r="K327" s="51" t="s">
        <v>1960</v>
      </c>
      <c r="L327" s="52">
        <v>14</v>
      </c>
      <c r="M327" s="53">
        <v>25</v>
      </c>
      <c r="N327" s="53">
        <v>4</v>
      </c>
      <c r="O327" s="54" t="s">
        <v>1791</v>
      </c>
      <c r="P327" s="113" t="s">
        <v>104</v>
      </c>
      <c r="Q327" s="49">
        <v>50</v>
      </c>
      <c r="R327" s="49" t="s">
        <v>29</v>
      </c>
      <c r="S327" s="237">
        <v>4607958077656</v>
      </c>
      <c r="T327" s="332">
        <v>14607958077653</v>
      </c>
      <c r="U327" s="46">
        <v>4607958077656</v>
      </c>
      <c r="V327" s="46">
        <v>14607958077653</v>
      </c>
      <c r="W327" s="258">
        <v>244</v>
      </c>
      <c r="X327" s="68">
        <v>130</v>
      </c>
      <c r="Y327" s="68">
        <v>20</v>
      </c>
      <c r="Z327" s="65">
        <v>0.15</v>
      </c>
      <c r="AA327" s="271">
        <v>1.2E-2</v>
      </c>
      <c r="AB327" s="66">
        <f t="shared" ref="AB327" si="437">Z327+AA327</f>
        <v>0.16200000000000001</v>
      </c>
      <c r="AC327" s="59">
        <v>262</v>
      </c>
      <c r="AD327" s="60">
        <v>142</v>
      </c>
      <c r="AE327" s="60">
        <v>138</v>
      </c>
      <c r="AF327" s="191">
        <v>8</v>
      </c>
      <c r="AG327" s="117">
        <v>600000459</v>
      </c>
      <c r="AH327" s="104">
        <f>справочники!$C$82</f>
        <v>7.8E-2</v>
      </c>
      <c r="AI327" s="61">
        <f t="shared" si="399"/>
        <v>1.2</v>
      </c>
      <c r="AJ327" s="122">
        <f t="shared" si="400"/>
        <v>1.3740000000000001</v>
      </c>
      <c r="AK327" s="37">
        <v>24</v>
      </c>
      <c r="AL327" s="38">
        <v>11</v>
      </c>
      <c r="AM327" s="40">
        <f t="shared" ref="AM327" si="438">AK327*AL327</f>
        <v>264</v>
      </c>
      <c r="AN327" s="206">
        <f t="shared" ref="AN327" si="439">IF(D327="ШТ",кол_во_инд.__упак_к*итого_г_у,ROUNDDOWN(номин.вес_нетто_г_у__кг*итого_г_у,1))</f>
        <v>2112</v>
      </c>
      <c r="AO327" s="204">
        <f t="shared" si="206"/>
        <v>1663</v>
      </c>
    </row>
    <row r="328" spans="1:41" ht="165.75" x14ac:dyDescent="0.2">
      <c r="A328" s="22">
        <f t="shared" si="427"/>
        <v>7609</v>
      </c>
      <c r="B328" s="116">
        <v>1001455347609</v>
      </c>
      <c r="C328" s="48" t="s">
        <v>1854</v>
      </c>
      <c r="D328" s="49" t="s">
        <v>4</v>
      </c>
      <c r="E328" s="146" t="s">
        <v>373</v>
      </c>
      <c r="F328" s="112" t="s">
        <v>1230</v>
      </c>
      <c r="G328" s="224" t="s">
        <v>6</v>
      </c>
      <c r="H328" s="49" t="s">
        <v>1</v>
      </c>
      <c r="I328" s="154" t="s">
        <v>1939</v>
      </c>
      <c r="J328" s="151" t="s">
        <v>1942</v>
      </c>
      <c r="K328" s="51" t="s">
        <v>1965</v>
      </c>
      <c r="L328" s="52">
        <v>13</v>
      </c>
      <c r="M328" s="53">
        <v>15</v>
      </c>
      <c r="N328" s="54">
        <v>3</v>
      </c>
      <c r="O328" s="88" t="s">
        <v>1641</v>
      </c>
      <c r="P328" s="113" t="s">
        <v>104</v>
      </c>
      <c r="Q328" s="49">
        <v>45</v>
      </c>
      <c r="R328" s="49" t="s">
        <v>29</v>
      </c>
      <c r="S328" s="237">
        <v>4607958076413</v>
      </c>
      <c r="T328" s="332">
        <v>14607958076410</v>
      </c>
      <c r="U328" s="46">
        <v>4607958076413</v>
      </c>
      <c r="V328" s="46">
        <v>14607958076410</v>
      </c>
      <c r="W328" s="259"/>
      <c r="X328" s="96"/>
      <c r="Y328" s="96"/>
      <c r="Z328" s="65">
        <v>0.1</v>
      </c>
      <c r="AA328" s="271">
        <v>1.2999999999999999E-2</v>
      </c>
      <c r="AB328" s="66">
        <f t="shared" ref="AB328" si="440">Z328+AA328</f>
        <v>0.113</v>
      </c>
      <c r="AC328" s="59">
        <v>204</v>
      </c>
      <c r="AD328" s="60">
        <v>147</v>
      </c>
      <c r="AE328" s="60">
        <v>150</v>
      </c>
      <c r="AF328" s="191">
        <v>8</v>
      </c>
      <c r="AG328" s="117">
        <v>600000602</v>
      </c>
      <c r="AH328" s="104">
        <f>справочники!$C$192</f>
        <v>8.5000000000000006E-2</v>
      </c>
      <c r="AI328" s="61">
        <f t="shared" si="399"/>
        <v>0.8</v>
      </c>
      <c r="AJ328" s="122">
        <f t="shared" si="400"/>
        <v>0.98899999999999999</v>
      </c>
      <c r="AK328" s="37">
        <v>30</v>
      </c>
      <c r="AL328" s="38">
        <v>11</v>
      </c>
      <c r="AM328" s="40">
        <f t="shared" ref="AM328" si="441">AK328*AL328</f>
        <v>330</v>
      </c>
      <c r="AN328" s="206">
        <f t="shared" ref="AN328" si="442">IF(D328="ШТ",кол_во_инд.__упак_к*итого_г_у,ROUNDDOWN(номин.вес_нетто_г_у__кг*итого_г_у,1))</f>
        <v>2640</v>
      </c>
      <c r="AO328" s="204">
        <f t="shared" si="206"/>
        <v>1795</v>
      </c>
    </row>
    <row r="329" spans="1:41" ht="127.5" x14ac:dyDescent="0.2">
      <c r="A329" s="22">
        <f t="shared" si="427"/>
        <v>6818</v>
      </c>
      <c r="B329" s="116">
        <v>1001222706818</v>
      </c>
      <c r="C329" s="48" t="s">
        <v>588</v>
      </c>
      <c r="D329" s="49" t="s">
        <v>4</v>
      </c>
      <c r="E329" s="146" t="s">
        <v>373</v>
      </c>
      <c r="F329" s="112" t="s">
        <v>1230</v>
      </c>
      <c r="G329" s="225" t="s">
        <v>520</v>
      </c>
      <c r="H329" s="49" t="s">
        <v>1</v>
      </c>
      <c r="I329" s="154" t="s">
        <v>1988</v>
      </c>
      <c r="J329" s="151" t="s">
        <v>658</v>
      </c>
      <c r="K329" s="51" t="s">
        <v>589</v>
      </c>
      <c r="L329" s="52">
        <v>14</v>
      </c>
      <c r="M329" s="99" t="s">
        <v>116</v>
      </c>
      <c r="N329" s="100" t="s">
        <v>115</v>
      </c>
      <c r="O329" s="88" t="s">
        <v>74</v>
      </c>
      <c r="P329" s="113" t="s">
        <v>104</v>
      </c>
      <c r="Q329" s="87">
        <v>45</v>
      </c>
      <c r="R329" s="49" t="s">
        <v>29</v>
      </c>
      <c r="S329" s="237">
        <v>4607958077281</v>
      </c>
      <c r="T329" s="332">
        <v>14607958077288</v>
      </c>
      <c r="U329" s="46">
        <v>4607958077281</v>
      </c>
      <c r="V329" s="46">
        <v>14607958077288</v>
      </c>
      <c r="W329" s="258">
        <v>231</v>
      </c>
      <c r="X329" s="68">
        <v>137</v>
      </c>
      <c r="Y329" s="68">
        <v>15</v>
      </c>
      <c r="Z329" s="65">
        <v>0.1</v>
      </c>
      <c r="AA329" s="271">
        <v>1.4E-2</v>
      </c>
      <c r="AB329" s="66">
        <f t="shared" si="403"/>
        <v>0.114</v>
      </c>
      <c r="AC329" s="59">
        <v>244</v>
      </c>
      <c r="AD329" s="60">
        <v>152</v>
      </c>
      <c r="AE329" s="60">
        <v>127</v>
      </c>
      <c r="AF329" s="191">
        <v>10</v>
      </c>
      <c r="AG329" s="117">
        <v>600000617</v>
      </c>
      <c r="AH329" s="104">
        <f>справочники!$C$164</f>
        <v>7.5999999999999998E-2</v>
      </c>
      <c r="AI329" s="61">
        <f t="shared" si="399"/>
        <v>1</v>
      </c>
      <c r="AJ329" s="122">
        <f t="shared" si="400"/>
        <v>1.2160000000000002</v>
      </c>
      <c r="AK329" s="37">
        <v>24</v>
      </c>
      <c r="AL329" s="38">
        <v>13</v>
      </c>
      <c r="AM329" s="40">
        <f t="shared" si="414"/>
        <v>312</v>
      </c>
      <c r="AN329" s="206">
        <f t="shared" si="407"/>
        <v>3120</v>
      </c>
      <c r="AO329" s="204">
        <f t="shared" si="206"/>
        <v>1796</v>
      </c>
    </row>
    <row r="330" spans="1:41" ht="127.5" x14ac:dyDescent="0.2">
      <c r="A330" s="22">
        <f t="shared" si="427"/>
        <v>7504</v>
      </c>
      <c r="B330" s="116">
        <v>1001227527504</v>
      </c>
      <c r="C330" s="48" t="s">
        <v>1646</v>
      </c>
      <c r="D330" s="49" t="s">
        <v>4</v>
      </c>
      <c r="E330" s="146" t="s">
        <v>373</v>
      </c>
      <c r="F330" s="112" t="s">
        <v>1230</v>
      </c>
      <c r="G330" s="225" t="s">
        <v>520</v>
      </c>
      <c r="H330" s="49" t="s">
        <v>1</v>
      </c>
      <c r="I330" s="154" t="s">
        <v>1988</v>
      </c>
      <c r="J330" s="151" t="s">
        <v>658</v>
      </c>
      <c r="K330" s="51" t="s">
        <v>2081</v>
      </c>
      <c r="L330" s="52">
        <v>17</v>
      </c>
      <c r="M330" s="322">
        <v>2</v>
      </c>
      <c r="N330" s="323">
        <v>2</v>
      </c>
      <c r="O330" s="88" t="s">
        <v>2082</v>
      </c>
      <c r="P330" s="113" t="s">
        <v>104</v>
      </c>
      <c r="Q330" s="87">
        <v>45</v>
      </c>
      <c r="R330" s="49" t="s">
        <v>29</v>
      </c>
      <c r="S330" s="46">
        <v>4630362182784</v>
      </c>
      <c r="T330" s="46">
        <v>14630362182781</v>
      </c>
      <c r="U330" s="46">
        <v>4630362182784</v>
      </c>
      <c r="V330" s="46">
        <v>14630362182781</v>
      </c>
      <c r="W330" s="258">
        <v>231</v>
      </c>
      <c r="X330" s="68">
        <v>137</v>
      </c>
      <c r="Y330" s="68">
        <v>15</v>
      </c>
      <c r="Z330" s="65">
        <v>0.1</v>
      </c>
      <c r="AA330" s="271">
        <v>1.4E-2</v>
      </c>
      <c r="AB330" s="66">
        <f t="shared" ref="AB330" si="443">Z330+AA330</f>
        <v>0.114</v>
      </c>
      <c r="AC330" s="59">
        <v>240</v>
      </c>
      <c r="AD330" s="60">
        <v>148</v>
      </c>
      <c r="AE330" s="60">
        <v>127</v>
      </c>
      <c r="AF330" s="191">
        <v>10</v>
      </c>
      <c r="AG330" s="117">
        <v>600000533</v>
      </c>
      <c r="AH330" s="104">
        <f>справочники!$C$165</f>
        <v>7.0999999999999994E-2</v>
      </c>
      <c r="AI330" s="61">
        <f t="shared" si="399"/>
        <v>1</v>
      </c>
      <c r="AJ330" s="122">
        <f t="shared" si="400"/>
        <v>1.2110000000000001</v>
      </c>
      <c r="AK330" s="37">
        <v>24</v>
      </c>
      <c r="AL330" s="38">
        <v>12</v>
      </c>
      <c r="AM330" s="40">
        <f t="shared" ref="AM330" si="444">AK330*AL330</f>
        <v>288</v>
      </c>
      <c r="AN330" s="206">
        <f t="shared" ref="AN330" si="445">IF(D330="ШТ",кол_во_инд.__упак_к*итого_г_у,ROUNDDOWN(номин.вес_нетто_г_у__кг*итого_г_у,1))</f>
        <v>2880</v>
      </c>
      <c r="AO330" s="204">
        <f t="shared" si="206"/>
        <v>1669</v>
      </c>
    </row>
    <row r="331" spans="1:41" ht="127.5" x14ac:dyDescent="0.2">
      <c r="A331" s="22">
        <f t="shared" si="427"/>
        <v>7614</v>
      </c>
      <c r="B331" s="116">
        <v>1001452707614</v>
      </c>
      <c r="C331" s="48" t="s">
        <v>1807</v>
      </c>
      <c r="D331" s="49" t="s">
        <v>4</v>
      </c>
      <c r="E331" s="146" t="s">
        <v>373</v>
      </c>
      <c r="F331" s="112" t="s">
        <v>1230</v>
      </c>
      <c r="G331" s="225" t="s">
        <v>2</v>
      </c>
      <c r="H331" s="49" t="s">
        <v>1</v>
      </c>
      <c r="I331" s="154" t="s">
        <v>1988</v>
      </c>
      <c r="J331" s="151" t="s">
        <v>658</v>
      </c>
      <c r="K331" s="51" t="s">
        <v>1989</v>
      </c>
      <c r="L331" s="52">
        <v>17</v>
      </c>
      <c r="M331" s="322">
        <v>2</v>
      </c>
      <c r="N331" s="323">
        <v>2</v>
      </c>
      <c r="O331" s="88" t="s">
        <v>2082</v>
      </c>
      <c r="P331" s="113" t="s">
        <v>104</v>
      </c>
      <c r="Q331" s="87">
        <v>45</v>
      </c>
      <c r="R331" s="49" t="s">
        <v>29</v>
      </c>
      <c r="S331" s="237">
        <v>4607958079629</v>
      </c>
      <c r="T331" s="332">
        <v>14607958079626</v>
      </c>
      <c r="U331" s="46">
        <v>4607958079629</v>
      </c>
      <c r="V331" s="46">
        <v>14607958079626</v>
      </c>
      <c r="W331" s="258"/>
      <c r="X331" s="68"/>
      <c r="Y331" s="68"/>
      <c r="Z331" s="65">
        <v>0.1</v>
      </c>
      <c r="AA331" s="271">
        <v>1.4E-2</v>
      </c>
      <c r="AB331" s="66">
        <f t="shared" ref="AB331" si="446">Z331+AA331</f>
        <v>0.114</v>
      </c>
      <c r="AC331" s="59">
        <v>204</v>
      </c>
      <c r="AD331" s="60">
        <v>147</v>
      </c>
      <c r="AE331" s="60">
        <v>150</v>
      </c>
      <c r="AF331" s="191">
        <v>10</v>
      </c>
      <c r="AG331" s="117">
        <v>600000602</v>
      </c>
      <c r="AH331" s="104">
        <f>справочники!$C$192</f>
        <v>8.5000000000000006E-2</v>
      </c>
      <c r="AI331" s="61">
        <f t="shared" si="399"/>
        <v>1</v>
      </c>
      <c r="AJ331" s="122">
        <f t="shared" si="400"/>
        <v>1.2250000000000001</v>
      </c>
      <c r="AK331" s="37">
        <v>30</v>
      </c>
      <c r="AL331" s="38">
        <v>11</v>
      </c>
      <c r="AM331" s="40">
        <f t="shared" ref="AM331" si="447">AK331*AL331</f>
        <v>330</v>
      </c>
      <c r="AN331" s="206">
        <f t="shared" ref="AN331" si="448">IF(D331="ШТ",кол_во_инд.__упак_к*итого_г_у,ROUNDDOWN(номин.вес_нетто_г_у__кг*итого_г_у,1))</f>
        <v>3300</v>
      </c>
      <c r="AO331" s="204">
        <f t="shared" si="206"/>
        <v>1795</v>
      </c>
    </row>
    <row r="332" spans="1:41" ht="102" x14ac:dyDescent="0.2">
      <c r="A332" s="22">
        <f t="shared" si="427"/>
        <v>6169</v>
      </c>
      <c r="B332" s="116">
        <v>1001225156169</v>
      </c>
      <c r="C332" s="48" t="s">
        <v>586</v>
      </c>
      <c r="D332" s="49" t="s">
        <v>4</v>
      </c>
      <c r="E332" s="146" t="s">
        <v>373</v>
      </c>
      <c r="F332" s="112" t="s">
        <v>1230</v>
      </c>
      <c r="G332" s="225" t="s">
        <v>520</v>
      </c>
      <c r="H332" s="49" t="s">
        <v>1</v>
      </c>
      <c r="I332" s="154" t="s">
        <v>1939</v>
      </c>
      <c r="J332" s="151" t="s">
        <v>462</v>
      </c>
      <c r="K332" s="98" t="s">
        <v>587</v>
      </c>
      <c r="L332" s="52">
        <v>15</v>
      </c>
      <c r="M332" s="53">
        <v>13</v>
      </c>
      <c r="N332" s="54"/>
      <c r="O332" s="88" t="s">
        <v>72</v>
      </c>
      <c r="P332" s="113" t="s">
        <v>104</v>
      </c>
      <c r="Q332" s="87">
        <v>45</v>
      </c>
      <c r="R332" s="49" t="s">
        <v>29</v>
      </c>
      <c r="S332" s="237">
        <v>4607958075416</v>
      </c>
      <c r="T332" s="332">
        <v>14607958075413</v>
      </c>
      <c r="U332" s="46">
        <v>4607958075416</v>
      </c>
      <c r="V332" s="46">
        <v>14607958075413</v>
      </c>
      <c r="W332" s="259">
        <v>231</v>
      </c>
      <c r="X332" s="96">
        <v>137</v>
      </c>
      <c r="Y332" s="96">
        <v>15</v>
      </c>
      <c r="Z332" s="65">
        <v>0.1</v>
      </c>
      <c r="AA332" s="271">
        <v>1.4E-2</v>
      </c>
      <c r="AB332" s="66">
        <f t="shared" si="403"/>
        <v>0.114</v>
      </c>
      <c r="AC332" s="59">
        <v>244</v>
      </c>
      <c r="AD332" s="60">
        <v>152</v>
      </c>
      <c r="AE332" s="60">
        <v>127</v>
      </c>
      <c r="AF332" s="191">
        <v>10</v>
      </c>
      <c r="AG332" s="117">
        <v>600000617</v>
      </c>
      <c r="AH332" s="104">
        <f>справочники!$C$164</f>
        <v>7.5999999999999998E-2</v>
      </c>
      <c r="AI332" s="61">
        <f t="shared" si="399"/>
        <v>1</v>
      </c>
      <c r="AJ332" s="122">
        <f t="shared" si="400"/>
        <v>1.2160000000000002</v>
      </c>
      <c r="AK332" s="37">
        <v>24</v>
      </c>
      <c r="AL332" s="38">
        <v>13</v>
      </c>
      <c r="AM332" s="40">
        <f t="shared" si="414"/>
        <v>312</v>
      </c>
      <c r="AN332" s="206">
        <f t="shared" si="407"/>
        <v>3120</v>
      </c>
      <c r="AO332" s="204">
        <f t="shared" si="206"/>
        <v>1796</v>
      </c>
    </row>
    <row r="333" spans="1:41" ht="76.5" customHeight="1" x14ac:dyDescent="0.2">
      <c r="A333" s="22">
        <f t="shared" si="427"/>
        <v>5568</v>
      </c>
      <c r="B333" s="116">
        <v>1001193915568</v>
      </c>
      <c r="C333" s="48" t="s">
        <v>1531</v>
      </c>
      <c r="D333" s="49" t="s">
        <v>4</v>
      </c>
      <c r="E333" s="146" t="s">
        <v>373</v>
      </c>
      <c r="F333" s="112" t="s">
        <v>1230</v>
      </c>
      <c r="G333" s="225" t="s">
        <v>2</v>
      </c>
      <c r="H333" s="49" t="s">
        <v>1</v>
      </c>
      <c r="I333" s="154" t="s">
        <v>383</v>
      </c>
      <c r="J333" s="151" t="s">
        <v>419</v>
      </c>
      <c r="K333" s="51" t="s">
        <v>1532</v>
      </c>
      <c r="L333" s="52">
        <v>15</v>
      </c>
      <c r="M333" s="322">
        <v>19</v>
      </c>
      <c r="N333" s="323">
        <v>0</v>
      </c>
      <c r="O333" s="88" t="s">
        <v>915</v>
      </c>
      <c r="P333" s="113" t="s">
        <v>104</v>
      </c>
      <c r="Q333" s="87">
        <v>45</v>
      </c>
      <c r="R333" s="49" t="s">
        <v>29</v>
      </c>
      <c r="S333" s="237">
        <v>4607958072606</v>
      </c>
      <c r="T333" s="332">
        <v>24607958072600</v>
      </c>
      <c r="U333" s="46">
        <v>4607958072606</v>
      </c>
      <c r="V333" s="46">
        <v>24607958072600</v>
      </c>
      <c r="W333" s="258">
        <v>231</v>
      </c>
      <c r="X333" s="68">
        <v>137</v>
      </c>
      <c r="Y333" s="68">
        <v>15</v>
      </c>
      <c r="Z333" s="65">
        <v>0.1</v>
      </c>
      <c r="AA333" s="271">
        <v>1.4999999999999999E-2</v>
      </c>
      <c r="AB333" s="66">
        <f t="shared" ref="AB333:AB334" si="449">Z333+AA333</f>
        <v>0.115</v>
      </c>
      <c r="AC333" s="59">
        <v>240</v>
      </c>
      <c r="AD333" s="60">
        <v>148</v>
      </c>
      <c r="AE333" s="60">
        <v>143</v>
      </c>
      <c r="AF333" s="191">
        <v>10</v>
      </c>
      <c r="AG333" s="117">
        <v>600000531</v>
      </c>
      <c r="AH333" s="104">
        <f>справочники!$C$161</f>
        <v>6.8000000000000005E-2</v>
      </c>
      <c r="AI333" s="61">
        <f t="shared" si="399"/>
        <v>1</v>
      </c>
      <c r="AJ333" s="122">
        <f t="shared" si="400"/>
        <v>1.2180000000000002</v>
      </c>
      <c r="AK333" s="37">
        <v>24</v>
      </c>
      <c r="AL333" s="38">
        <v>11</v>
      </c>
      <c r="AM333" s="40">
        <f t="shared" ref="AM333" si="450">AK333*AL333</f>
        <v>264</v>
      </c>
      <c r="AN333" s="206">
        <f t="shared" ref="AN333:AN334" si="451">IF(D333="ШТ",кол_во_инд.__упак_к*итого_г_у,ROUNDDOWN(номин.вес_нетто_г_у__кг*итого_г_у,1))</f>
        <v>2640</v>
      </c>
      <c r="AO333" s="204">
        <f t="shared" si="206"/>
        <v>1718</v>
      </c>
    </row>
    <row r="334" spans="1:41" s="22" customFormat="1" ht="280.5" x14ac:dyDescent="0.2">
      <c r="A334" s="22">
        <f t="shared" si="427"/>
        <v>7485</v>
      </c>
      <c r="B334" s="116">
        <v>1001107397485</v>
      </c>
      <c r="C334" s="25" t="s">
        <v>2049</v>
      </c>
      <c r="D334" s="23" t="s">
        <v>4</v>
      </c>
      <c r="E334" s="146" t="s">
        <v>373</v>
      </c>
      <c r="F334" s="132" t="s">
        <v>2050</v>
      </c>
      <c r="G334" s="146" t="s">
        <v>6</v>
      </c>
      <c r="H334" s="24" t="s">
        <v>278</v>
      </c>
      <c r="I334" s="153" t="s">
        <v>2051</v>
      </c>
      <c r="J334" s="151" t="s">
        <v>2052</v>
      </c>
      <c r="K334" s="26" t="s">
        <v>2053</v>
      </c>
      <c r="L334" s="84">
        <v>10</v>
      </c>
      <c r="M334" s="85">
        <v>32</v>
      </c>
      <c r="N334" s="91">
        <v>4</v>
      </c>
      <c r="O334" s="86" t="s">
        <v>2054</v>
      </c>
      <c r="P334" s="31" t="s">
        <v>104</v>
      </c>
      <c r="Q334" s="31">
        <v>60</v>
      </c>
      <c r="R334" s="32" t="s">
        <v>37</v>
      </c>
      <c r="S334" s="233">
        <v>4630362182944</v>
      </c>
      <c r="T334" s="334">
        <v>14630362182941</v>
      </c>
      <c r="U334" s="46">
        <v>4630362182944</v>
      </c>
      <c r="V334" s="46">
        <v>14630362182941</v>
      </c>
      <c r="W334" s="157">
        <v>140</v>
      </c>
      <c r="X334" s="34">
        <v>45</v>
      </c>
      <c r="Y334" s="34">
        <v>45</v>
      </c>
      <c r="Z334" s="35">
        <v>0.15</v>
      </c>
      <c r="AA334" s="271">
        <v>2E-3</v>
      </c>
      <c r="AB334" s="36">
        <f t="shared" si="449"/>
        <v>0.152</v>
      </c>
      <c r="AC334" s="59">
        <v>233</v>
      </c>
      <c r="AD334" s="60">
        <v>145</v>
      </c>
      <c r="AE334" s="60">
        <v>138</v>
      </c>
      <c r="AF334" s="191">
        <v>15</v>
      </c>
      <c r="AG334" s="117">
        <v>600000601</v>
      </c>
      <c r="AH334" s="104">
        <f>справочники!$C$191</f>
        <v>0.18</v>
      </c>
      <c r="AI334" s="39">
        <f t="shared" si="399"/>
        <v>2.25</v>
      </c>
      <c r="AJ334" s="121">
        <f t="shared" si="400"/>
        <v>2.46</v>
      </c>
      <c r="AK334" s="37">
        <v>26</v>
      </c>
      <c r="AL334" s="38">
        <v>11</v>
      </c>
      <c r="AM334" s="40">
        <f>AK334*AL334</f>
        <v>286</v>
      </c>
      <c r="AN334" s="206">
        <f t="shared" si="451"/>
        <v>4290</v>
      </c>
      <c r="AO334" s="204">
        <f t="shared" si="206"/>
        <v>1663</v>
      </c>
    </row>
    <row r="335" spans="1:41" ht="153" x14ac:dyDescent="0.2">
      <c r="A335" s="22">
        <f t="shared" si="427"/>
        <v>6454</v>
      </c>
      <c r="B335" s="116">
        <v>1001201976454</v>
      </c>
      <c r="C335" s="48" t="s">
        <v>585</v>
      </c>
      <c r="D335" s="49" t="s">
        <v>4</v>
      </c>
      <c r="E335" s="146" t="s">
        <v>373</v>
      </c>
      <c r="F335" s="112" t="s">
        <v>353</v>
      </c>
      <c r="G335" s="224" t="s">
        <v>2</v>
      </c>
      <c r="H335" s="58" t="s">
        <v>1118</v>
      </c>
      <c r="I335" s="154" t="s">
        <v>1940</v>
      </c>
      <c r="J335" s="151" t="s">
        <v>418</v>
      </c>
      <c r="K335" s="83" t="s">
        <v>1996</v>
      </c>
      <c r="L335" s="84">
        <v>19</v>
      </c>
      <c r="M335" s="85">
        <v>40</v>
      </c>
      <c r="N335" s="91">
        <v>6</v>
      </c>
      <c r="O335" s="86" t="s">
        <v>1997</v>
      </c>
      <c r="P335" s="31" t="s">
        <v>104</v>
      </c>
      <c r="Q335" s="87">
        <v>60</v>
      </c>
      <c r="R335" s="82" t="s">
        <v>51</v>
      </c>
      <c r="S335" s="237">
        <v>4607958070626</v>
      </c>
      <c r="T335" s="332">
        <v>24607958070620</v>
      </c>
      <c r="U335" s="46">
        <v>4607958070626</v>
      </c>
      <c r="V335" s="46">
        <v>24607958070620</v>
      </c>
      <c r="W335" s="258">
        <v>220</v>
      </c>
      <c r="X335" s="68">
        <v>142</v>
      </c>
      <c r="Y335" s="68">
        <v>15</v>
      </c>
      <c r="Z335" s="65">
        <v>0.1</v>
      </c>
      <c r="AA335" s="271">
        <v>1.2999999999999999E-2</v>
      </c>
      <c r="AB335" s="66">
        <f t="shared" si="403"/>
        <v>0.113</v>
      </c>
      <c r="AC335" s="59">
        <v>234</v>
      </c>
      <c r="AD335" s="60">
        <v>154</v>
      </c>
      <c r="AE335" s="60">
        <v>150</v>
      </c>
      <c r="AF335" s="191">
        <v>10</v>
      </c>
      <c r="AG335" s="117">
        <v>600000551</v>
      </c>
      <c r="AH335" s="104">
        <f>справочники!$C$174</f>
        <v>7.3999999999999996E-2</v>
      </c>
      <c r="AI335" s="61">
        <f t="shared" si="399"/>
        <v>1</v>
      </c>
      <c r="AJ335" s="122">
        <f t="shared" si="400"/>
        <v>1.2040000000000002</v>
      </c>
      <c r="AK335" s="37">
        <v>24</v>
      </c>
      <c r="AL335" s="38">
        <v>11</v>
      </c>
      <c r="AM335" s="40">
        <f t="shared" si="414"/>
        <v>264</v>
      </c>
      <c r="AN335" s="206">
        <f t="shared" si="407"/>
        <v>2640</v>
      </c>
      <c r="AO335" s="204">
        <f t="shared" si="206"/>
        <v>1795</v>
      </c>
    </row>
    <row r="336" spans="1:41" ht="153" x14ac:dyDescent="0.2">
      <c r="A336" s="22">
        <f t="shared" si="427"/>
        <v>7613</v>
      </c>
      <c r="B336" s="116">
        <v>1001061977613</v>
      </c>
      <c r="C336" s="48" t="s">
        <v>1837</v>
      </c>
      <c r="D336" s="49" t="s">
        <v>4</v>
      </c>
      <c r="E336" s="146" t="s">
        <v>373</v>
      </c>
      <c r="F336" s="112" t="s">
        <v>353</v>
      </c>
      <c r="G336" s="224" t="s">
        <v>2</v>
      </c>
      <c r="H336" s="58" t="s">
        <v>136</v>
      </c>
      <c r="I336" s="154" t="s">
        <v>1940</v>
      </c>
      <c r="J336" s="151" t="s">
        <v>418</v>
      </c>
      <c r="K336" s="83" t="s">
        <v>1996</v>
      </c>
      <c r="L336" s="84">
        <v>19</v>
      </c>
      <c r="M336" s="85">
        <v>40</v>
      </c>
      <c r="N336" s="91">
        <v>6</v>
      </c>
      <c r="O336" s="86" t="s">
        <v>1997</v>
      </c>
      <c r="P336" s="31" t="s">
        <v>104</v>
      </c>
      <c r="Q336" s="87">
        <v>60</v>
      </c>
      <c r="R336" s="82" t="s">
        <v>51</v>
      </c>
      <c r="S336" s="237">
        <v>4607958070626</v>
      </c>
      <c r="T336" s="332">
        <v>24607958070620</v>
      </c>
      <c r="U336" s="46">
        <v>4607958070626</v>
      </c>
      <c r="V336" s="46">
        <v>24607958070620</v>
      </c>
      <c r="W336" s="258">
        <v>195</v>
      </c>
      <c r="X336" s="68">
        <v>137</v>
      </c>
      <c r="Y336" s="68">
        <v>12</v>
      </c>
      <c r="Z336" s="65">
        <v>0.1</v>
      </c>
      <c r="AA336" s="271">
        <v>1.2999999999999999E-2</v>
      </c>
      <c r="AB336" s="66">
        <f t="shared" ref="AB336" si="452">Z336+AA336</f>
        <v>0.113</v>
      </c>
      <c r="AC336" s="59">
        <v>203</v>
      </c>
      <c r="AD336" s="60">
        <v>147</v>
      </c>
      <c r="AE336" s="60">
        <v>118</v>
      </c>
      <c r="AF336" s="191">
        <v>10</v>
      </c>
      <c r="AG336" s="117">
        <v>600000592</v>
      </c>
      <c r="AH336" s="104">
        <f>справочники!$C$213</f>
        <v>6.3E-2</v>
      </c>
      <c r="AI336" s="61">
        <f t="shared" si="399"/>
        <v>1</v>
      </c>
      <c r="AJ336" s="122">
        <f t="shared" si="400"/>
        <v>1.1930000000000001</v>
      </c>
      <c r="AK336" s="37">
        <v>30</v>
      </c>
      <c r="AL336" s="38">
        <v>14</v>
      </c>
      <c r="AM336" s="40">
        <f t="shared" ref="AM336" si="453">AK336*AL336</f>
        <v>420</v>
      </c>
      <c r="AN336" s="206">
        <f t="shared" ref="AN336" si="454">IF(D336="ШТ",кол_во_инд.__упак_к*итого_г_у,ROUNDDOWN(номин.вес_нетто_г_у__кг*итого_г_у,1))</f>
        <v>4200</v>
      </c>
      <c r="AO336" s="204">
        <f t="shared" si="206"/>
        <v>1797</v>
      </c>
    </row>
    <row r="337" spans="1:41" ht="267.75" x14ac:dyDescent="0.2">
      <c r="A337" s="22">
        <f t="shared" si="427"/>
        <v>7565</v>
      </c>
      <c r="B337" s="116">
        <v>1001207647565</v>
      </c>
      <c r="C337" s="48" t="s">
        <v>1749</v>
      </c>
      <c r="D337" s="49" t="s">
        <v>4</v>
      </c>
      <c r="E337" s="146" t="s">
        <v>373</v>
      </c>
      <c r="F337" s="112" t="s">
        <v>353</v>
      </c>
      <c r="G337" s="224" t="s">
        <v>6</v>
      </c>
      <c r="H337" s="49" t="s">
        <v>1</v>
      </c>
      <c r="I337" s="154" t="s">
        <v>1940</v>
      </c>
      <c r="J337" s="151" t="s">
        <v>1998</v>
      </c>
      <c r="K337" s="83" t="s">
        <v>2000</v>
      </c>
      <c r="L337" s="286" t="s">
        <v>1750</v>
      </c>
      <c r="M337" s="287" t="s">
        <v>2001</v>
      </c>
      <c r="N337" s="326" t="s">
        <v>1668</v>
      </c>
      <c r="O337" s="162" t="s">
        <v>2002</v>
      </c>
      <c r="P337" s="31" t="s">
        <v>104</v>
      </c>
      <c r="Q337" s="87">
        <v>60</v>
      </c>
      <c r="R337" s="82" t="s">
        <v>52</v>
      </c>
      <c r="S337" s="237">
        <v>4630362182289</v>
      </c>
      <c r="T337" s="332">
        <v>14630362182286</v>
      </c>
      <c r="U337" s="46">
        <v>4630362182289</v>
      </c>
      <c r="V337" s="46">
        <v>14630362182286</v>
      </c>
      <c r="W337" s="258">
        <v>230</v>
      </c>
      <c r="X337" s="68">
        <v>183</v>
      </c>
      <c r="Y337" s="68">
        <v>11</v>
      </c>
      <c r="Z337" s="65">
        <v>0.09</v>
      </c>
      <c r="AA337" s="271">
        <v>1.6E-2</v>
      </c>
      <c r="AB337" s="66">
        <f t="shared" ref="AB337" si="455">Z337+AA337</f>
        <v>0.106</v>
      </c>
      <c r="AC337" s="59">
        <v>239</v>
      </c>
      <c r="AD337" s="60">
        <v>195</v>
      </c>
      <c r="AE337" s="60">
        <v>123</v>
      </c>
      <c r="AF337" s="191">
        <v>10</v>
      </c>
      <c r="AG337" s="117">
        <v>600000506</v>
      </c>
      <c r="AH337" s="104">
        <f>справочники!$C$170</f>
        <v>7.6999999999999999E-2</v>
      </c>
      <c r="AI337" s="61">
        <f t="shared" si="204"/>
        <v>0.9</v>
      </c>
      <c r="AJ337" s="122">
        <f t="shared" si="205"/>
        <v>1.137</v>
      </c>
      <c r="AK337" s="37">
        <v>20</v>
      </c>
      <c r="AL337" s="38">
        <v>13</v>
      </c>
      <c r="AM337" s="40">
        <f t="shared" ref="AM337" si="456">AK337*AL337</f>
        <v>260</v>
      </c>
      <c r="AN337" s="206">
        <f t="shared" ref="AN337" si="457">IF(D337="ШТ",кол_во_инд.__упак_к*итого_г_у,ROUNDDOWN(номин.вес_нетто_г_у__кг*итого_г_у,1))</f>
        <v>2600</v>
      </c>
      <c r="AO337" s="204">
        <f t="shared" si="206"/>
        <v>1744</v>
      </c>
    </row>
    <row r="338" spans="1:41" ht="39.75" customHeight="1" x14ac:dyDescent="0.2">
      <c r="A338" s="22">
        <f t="shared" si="427"/>
        <v>5677</v>
      </c>
      <c r="B338" s="116">
        <v>1001190715677</v>
      </c>
      <c r="C338" s="48" t="s">
        <v>1513</v>
      </c>
      <c r="D338" s="49" t="s">
        <v>4</v>
      </c>
      <c r="E338" s="146" t="s">
        <v>373</v>
      </c>
      <c r="F338" s="112" t="s">
        <v>353</v>
      </c>
      <c r="G338" s="224" t="s">
        <v>2</v>
      </c>
      <c r="H338" s="58" t="s">
        <v>1006</v>
      </c>
      <c r="I338" s="154" t="s">
        <v>54</v>
      </c>
      <c r="J338" s="151" t="s">
        <v>998</v>
      </c>
      <c r="K338" s="83" t="s">
        <v>999</v>
      </c>
      <c r="L338" s="84">
        <v>15</v>
      </c>
      <c r="M338" s="85">
        <v>53</v>
      </c>
      <c r="N338" s="91">
        <v>0</v>
      </c>
      <c r="O338" s="86" t="s">
        <v>55</v>
      </c>
      <c r="P338" s="31" t="s">
        <v>104</v>
      </c>
      <c r="Q338" s="87">
        <v>60</v>
      </c>
      <c r="R338" s="82" t="s">
        <v>51</v>
      </c>
      <c r="S338" s="237">
        <v>4607958071784</v>
      </c>
      <c r="T338" s="332">
        <v>24607958071788</v>
      </c>
      <c r="U338" s="46">
        <v>4607958071784</v>
      </c>
      <c r="V338" s="46">
        <v>24607958071788</v>
      </c>
      <c r="W338" s="258">
        <v>220</v>
      </c>
      <c r="X338" s="68">
        <v>142</v>
      </c>
      <c r="Y338" s="68">
        <v>15</v>
      </c>
      <c r="Z338" s="65">
        <v>0.1</v>
      </c>
      <c r="AA338" s="271">
        <v>1.4E-2</v>
      </c>
      <c r="AB338" s="66">
        <f t="shared" ref="AB338" si="458">Z338+AA338</f>
        <v>0.114</v>
      </c>
      <c r="AC338" s="59">
        <v>234</v>
      </c>
      <c r="AD338" s="60">
        <v>154</v>
      </c>
      <c r="AE338" s="60">
        <v>150</v>
      </c>
      <c r="AF338" s="191">
        <v>10</v>
      </c>
      <c r="AG338" s="117">
        <v>600000551</v>
      </c>
      <c r="AH338" s="104">
        <f>справочники!$C$174</f>
        <v>7.3999999999999996E-2</v>
      </c>
      <c r="AI338" s="61">
        <f t="shared" si="204"/>
        <v>1</v>
      </c>
      <c r="AJ338" s="122">
        <f t="shared" si="205"/>
        <v>1.2140000000000002</v>
      </c>
      <c r="AK338" s="37">
        <v>24</v>
      </c>
      <c r="AL338" s="38">
        <v>11</v>
      </c>
      <c r="AM338" s="40">
        <f t="shared" ref="AM338" si="459">AK338*AL338</f>
        <v>264</v>
      </c>
      <c r="AN338" s="206">
        <f t="shared" ref="AN338" si="460">IF(D338="ШТ",кол_во_инд.__упак_к*итого_г_у,ROUNDDOWN(номин.вес_нетто_г_у__кг*итого_г_у,1))</f>
        <v>2640</v>
      </c>
      <c r="AO338" s="204">
        <f t="shared" si="206"/>
        <v>1795</v>
      </c>
    </row>
    <row r="339" spans="1:41" ht="39.75" customHeight="1" x14ac:dyDescent="0.2">
      <c r="A339" s="22">
        <f t="shared" si="427"/>
        <v>7626</v>
      </c>
      <c r="B339" s="116">
        <v>1001066607626</v>
      </c>
      <c r="C339" s="48" t="s">
        <v>1913</v>
      </c>
      <c r="D339" s="49" t="s">
        <v>4</v>
      </c>
      <c r="E339" s="146" t="s">
        <v>373</v>
      </c>
      <c r="F339" s="112" t="s">
        <v>353</v>
      </c>
      <c r="G339" s="224" t="s">
        <v>2</v>
      </c>
      <c r="H339" s="49" t="s">
        <v>1</v>
      </c>
      <c r="I339" s="154" t="s">
        <v>54</v>
      </c>
      <c r="J339" s="151" t="s">
        <v>998</v>
      </c>
      <c r="K339" s="83" t="s">
        <v>1117</v>
      </c>
      <c r="L339" s="84">
        <v>15</v>
      </c>
      <c r="M339" s="85">
        <v>53</v>
      </c>
      <c r="N339" s="91">
        <v>0</v>
      </c>
      <c r="O339" s="86" t="s">
        <v>55</v>
      </c>
      <c r="P339" s="31" t="s">
        <v>104</v>
      </c>
      <c r="Q339" s="87">
        <v>60</v>
      </c>
      <c r="R339" s="82" t="s">
        <v>51</v>
      </c>
      <c r="S339" s="237">
        <v>4630362182937</v>
      </c>
      <c r="T339" s="332">
        <v>14630362182934</v>
      </c>
      <c r="U339" s="237">
        <v>4630362182937</v>
      </c>
      <c r="V339" s="243">
        <v>14630362182934</v>
      </c>
      <c r="W339" s="258"/>
      <c r="X339" s="68"/>
      <c r="Y339" s="68"/>
      <c r="Z339" s="65">
        <v>0.1</v>
      </c>
      <c r="AA339" s="271">
        <v>1.4E-2</v>
      </c>
      <c r="AB339" s="66">
        <f t="shared" ref="AB339" si="461">Z339+AA339</f>
        <v>0.114</v>
      </c>
      <c r="AC339" s="59">
        <v>203</v>
      </c>
      <c r="AD339" s="60">
        <v>147</v>
      </c>
      <c r="AE339" s="60">
        <v>118</v>
      </c>
      <c r="AF339" s="191">
        <v>10</v>
      </c>
      <c r="AG339" s="117">
        <v>600000592</v>
      </c>
      <c r="AH339" s="104">
        <f>справочники!$C$213</f>
        <v>6.3E-2</v>
      </c>
      <c r="AI339" s="61">
        <f t="shared" si="204"/>
        <v>1</v>
      </c>
      <c r="AJ339" s="122">
        <f t="shared" si="205"/>
        <v>1.2030000000000001</v>
      </c>
      <c r="AK339" s="37">
        <v>30</v>
      </c>
      <c r="AL339" s="38">
        <v>14</v>
      </c>
      <c r="AM339" s="40">
        <f t="shared" ref="AM339" si="462">AK339*AL339</f>
        <v>420</v>
      </c>
      <c r="AN339" s="206">
        <f t="shared" ref="AN339" si="463">IF(D339="ШТ",кол_во_инд.__упак_к*итого_г_у,ROUNDDOWN(номин.вес_нетто_г_у__кг*итого_г_у,1))</f>
        <v>4200</v>
      </c>
      <c r="AO339" s="204">
        <f t="shared" si="206"/>
        <v>1797</v>
      </c>
    </row>
    <row r="340" spans="1:41" ht="39.75" customHeight="1" x14ac:dyDescent="0.2">
      <c r="A340" s="22">
        <f t="shared" si="427"/>
        <v>7509</v>
      </c>
      <c r="B340" s="116">
        <v>1001206607509</v>
      </c>
      <c r="C340" s="48" t="s">
        <v>1683</v>
      </c>
      <c r="D340" s="49" t="s">
        <v>4</v>
      </c>
      <c r="E340" s="146" t="s">
        <v>373</v>
      </c>
      <c r="F340" s="112" t="s">
        <v>353</v>
      </c>
      <c r="G340" s="224" t="s">
        <v>1582</v>
      </c>
      <c r="H340" s="49" t="s">
        <v>1</v>
      </c>
      <c r="I340" s="154" t="s">
        <v>54</v>
      </c>
      <c r="J340" s="151" t="s">
        <v>998</v>
      </c>
      <c r="K340" s="83" t="s">
        <v>1117</v>
      </c>
      <c r="L340" s="84">
        <v>15</v>
      </c>
      <c r="M340" s="85">
        <v>53</v>
      </c>
      <c r="N340" s="91">
        <v>0</v>
      </c>
      <c r="O340" s="86" t="s">
        <v>55</v>
      </c>
      <c r="P340" s="31" t="s">
        <v>104</v>
      </c>
      <c r="Q340" s="87">
        <v>60</v>
      </c>
      <c r="R340" s="82" t="s">
        <v>51</v>
      </c>
      <c r="S340" s="237">
        <v>4630362182241</v>
      </c>
      <c r="T340" s="332">
        <v>14630362182248</v>
      </c>
      <c r="U340" s="46">
        <v>4630362182241</v>
      </c>
      <c r="V340" s="46">
        <v>14630362182248</v>
      </c>
      <c r="W340" s="258">
        <v>195</v>
      </c>
      <c r="X340" s="68">
        <v>137</v>
      </c>
      <c r="Y340" s="68">
        <v>13</v>
      </c>
      <c r="Z340" s="65">
        <v>0.13</v>
      </c>
      <c r="AA340" s="271">
        <v>1.0999999999999999E-2</v>
      </c>
      <c r="AB340" s="66">
        <f t="shared" ref="AB340" si="464">Z340+AA340</f>
        <v>0.14100000000000001</v>
      </c>
      <c r="AC340" s="59">
        <v>204</v>
      </c>
      <c r="AD340" s="60">
        <v>147</v>
      </c>
      <c r="AE340" s="60">
        <v>200</v>
      </c>
      <c r="AF340" s="191">
        <v>10</v>
      </c>
      <c r="AG340" s="117">
        <v>600000605</v>
      </c>
      <c r="AH340" s="104">
        <f>справочники!$C$209</f>
        <v>8.5000000000000006E-2</v>
      </c>
      <c r="AI340" s="61">
        <f t="shared" si="204"/>
        <v>1.3</v>
      </c>
      <c r="AJ340" s="122">
        <f t="shared" si="205"/>
        <v>1.4950000000000001</v>
      </c>
      <c r="AK340" s="37">
        <v>30</v>
      </c>
      <c r="AL340" s="38">
        <v>8</v>
      </c>
      <c r="AM340" s="40">
        <f t="shared" ref="AM340" si="465">AK340*AL340</f>
        <v>240</v>
      </c>
      <c r="AN340" s="206">
        <f t="shared" ref="AN340" si="466">IF(D340="ШТ",кол_во_инд.__упак_к*итого_г_у,ROUNDDOWN(номин.вес_нетто_г_у__кг*итого_г_у,1))</f>
        <v>2400</v>
      </c>
      <c r="AO340" s="204">
        <f t="shared" si="206"/>
        <v>1745</v>
      </c>
    </row>
    <row r="341" spans="1:41" ht="102" x14ac:dyDescent="0.2">
      <c r="A341" s="22">
        <f t="shared" si="427"/>
        <v>7139</v>
      </c>
      <c r="B341" s="116">
        <v>1001203657139</v>
      </c>
      <c r="C341" s="48" t="s">
        <v>1110</v>
      </c>
      <c r="D341" s="49" t="s">
        <v>4</v>
      </c>
      <c r="E341" s="146" t="s">
        <v>373</v>
      </c>
      <c r="F341" s="112" t="s">
        <v>353</v>
      </c>
      <c r="G341" s="224" t="s">
        <v>6</v>
      </c>
      <c r="H341" s="49" t="s">
        <v>1</v>
      </c>
      <c r="I341" s="154" t="s">
        <v>1940</v>
      </c>
      <c r="J341" s="151" t="s">
        <v>418</v>
      </c>
      <c r="K341" s="83" t="s">
        <v>2003</v>
      </c>
      <c r="L341" s="286">
        <v>20</v>
      </c>
      <c r="M341" s="287">
        <v>30</v>
      </c>
      <c r="N341" s="91">
        <v>5</v>
      </c>
      <c r="O341" s="162" t="s">
        <v>1999</v>
      </c>
      <c r="P341" s="31" t="s">
        <v>104</v>
      </c>
      <c r="Q341" s="87">
        <v>60</v>
      </c>
      <c r="R341" s="82" t="s">
        <v>51</v>
      </c>
      <c r="S341" s="237">
        <v>4607958079162</v>
      </c>
      <c r="T341" s="332">
        <v>14607958079169</v>
      </c>
      <c r="U341" s="46">
        <v>4607958079162</v>
      </c>
      <c r="V341" s="46">
        <v>14607958079169</v>
      </c>
      <c r="W341" s="258">
        <v>230</v>
      </c>
      <c r="X341" s="68">
        <v>90</v>
      </c>
      <c r="Y341" s="68">
        <v>15</v>
      </c>
      <c r="Z341" s="65">
        <v>0.09</v>
      </c>
      <c r="AA341" s="271">
        <v>8.9999999999999993E-3</v>
      </c>
      <c r="AB341" s="66">
        <f t="shared" si="403"/>
        <v>9.8999999999999991E-2</v>
      </c>
      <c r="AC341" s="59">
        <v>239</v>
      </c>
      <c r="AD341" s="60">
        <v>195</v>
      </c>
      <c r="AE341" s="60">
        <v>133</v>
      </c>
      <c r="AF341" s="191">
        <v>14</v>
      </c>
      <c r="AG341" s="117">
        <v>600000560</v>
      </c>
      <c r="AH341" s="104">
        <f>справочники!$C$176</f>
        <v>7.4999999999999997E-2</v>
      </c>
      <c r="AI341" s="61">
        <f t="shared" si="204"/>
        <v>1.26</v>
      </c>
      <c r="AJ341" s="122">
        <f t="shared" si="205"/>
        <v>1.4609999999999999</v>
      </c>
      <c r="AK341" s="37">
        <v>20</v>
      </c>
      <c r="AL341" s="38">
        <v>12</v>
      </c>
      <c r="AM341" s="40">
        <f t="shared" si="414"/>
        <v>240</v>
      </c>
      <c r="AN341" s="206">
        <f t="shared" si="407"/>
        <v>3360</v>
      </c>
      <c r="AO341" s="204">
        <f t="shared" si="206"/>
        <v>1741</v>
      </c>
    </row>
    <row r="342" spans="1:41" ht="192.75" customHeight="1" x14ac:dyDescent="0.2">
      <c r="A342" s="22">
        <f t="shared" si="427"/>
        <v>6222</v>
      </c>
      <c r="B342" s="116">
        <v>1001205386222</v>
      </c>
      <c r="C342" s="48" t="s">
        <v>681</v>
      </c>
      <c r="D342" s="49" t="s">
        <v>4</v>
      </c>
      <c r="E342" s="146" t="s">
        <v>373</v>
      </c>
      <c r="F342" s="112" t="s">
        <v>353</v>
      </c>
      <c r="G342" s="224" t="s">
        <v>2</v>
      </c>
      <c r="H342" s="49" t="s">
        <v>1</v>
      </c>
      <c r="I342" s="154" t="s">
        <v>1940</v>
      </c>
      <c r="J342" s="151" t="s">
        <v>2004</v>
      </c>
      <c r="K342" s="330" t="s">
        <v>2009</v>
      </c>
      <c r="L342" s="286" t="s">
        <v>2005</v>
      </c>
      <c r="M342" s="287" t="s">
        <v>2006</v>
      </c>
      <c r="N342" s="326" t="s">
        <v>2007</v>
      </c>
      <c r="O342" s="162" t="s">
        <v>2008</v>
      </c>
      <c r="P342" s="31" t="s">
        <v>104</v>
      </c>
      <c r="Q342" s="87">
        <v>60</v>
      </c>
      <c r="R342" s="82" t="s">
        <v>52</v>
      </c>
      <c r="S342" s="237">
        <v>4607958076581</v>
      </c>
      <c r="T342" s="332">
        <v>14607958076588</v>
      </c>
      <c r="U342" s="46">
        <v>4607958076581</v>
      </c>
      <c r="V342" s="46">
        <v>14607958076588</v>
      </c>
      <c r="W342" s="258">
        <v>230</v>
      </c>
      <c r="X342" s="68">
        <v>183</v>
      </c>
      <c r="Y342" s="68">
        <v>11</v>
      </c>
      <c r="Z342" s="65">
        <v>0.09</v>
      </c>
      <c r="AA342" s="271">
        <v>1.6E-2</v>
      </c>
      <c r="AB342" s="66">
        <f t="shared" ref="AB342:AB380" si="467">Z342+AA342</f>
        <v>0.106</v>
      </c>
      <c r="AC342" s="59">
        <v>239</v>
      </c>
      <c r="AD342" s="60">
        <v>195</v>
      </c>
      <c r="AE342" s="60">
        <v>123</v>
      </c>
      <c r="AF342" s="191">
        <v>10</v>
      </c>
      <c r="AG342" s="117">
        <v>600000507</v>
      </c>
      <c r="AH342" s="104">
        <f>справочники!$C$171</f>
        <v>7.2999999999999995E-2</v>
      </c>
      <c r="AI342" s="61">
        <f t="shared" si="204"/>
        <v>0.9</v>
      </c>
      <c r="AJ342" s="122">
        <f t="shared" si="205"/>
        <v>1.133</v>
      </c>
      <c r="AK342" s="37">
        <v>20</v>
      </c>
      <c r="AL342" s="38">
        <v>13</v>
      </c>
      <c r="AM342" s="40">
        <f t="shared" si="414"/>
        <v>260</v>
      </c>
      <c r="AN342" s="206">
        <f t="shared" si="407"/>
        <v>2600</v>
      </c>
      <c r="AO342" s="204">
        <f t="shared" si="206"/>
        <v>1744</v>
      </c>
    </row>
    <row r="343" spans="1:41" ht="156" customHeight="1" x14ac:dyDescent="0.2">
      <c r="A343" s="22">
        <f t="shared" si="427"/>
        <v>6221</v>
      </c>
      <c r="B343" s="116">
        <v>1001205376221</v>
      </c>
      <c r="C343" s="48" t="s">
        <v>680</v>
      </c>
      <c r="D343" s="49" t="s">
        <v>4</v>
      </c>
      <c r="E343" s="146" t="s">
        <v>373</v>
      </c>
      <c r="F343" s="112" t="s">
        <v>353</v>
      </c>
      <c r="G343" s="224" t="s">
        <v>2</v>
      </c>
      <c r="H343" s="49" t="s">
        <v>1</v>
      </c>
      <c r="I343" s="154" t="s">
        <v>1940</v>
      </c>
      <c r="J343" s="151" t="s">
        <v>2010</v>
      </c>
      <c r="K343" s="330" t="s">
        <v>2011</v>
      </c>
      <c r="L343" s="286" t="s">
        <v>2012</v>
      </c>
      <c r="M343" s="287" t="s">
        <v>2001</v>
      </c>
      <c r="N343" s="326" t="s">
        <v>1797</v>
      </c>
      <c r="O343" s="162" t="s">
        <v>2013</v>
      </c>
      <c r="P343" s="31" t="s">
        <v>104</v>
      </c>
      <c r="Q343" s="87">
        <v>60</v>
      </c>
      <c r="R343" s="82" t="s">
        <v>52</v>
      </c>
      <c r="S343" s="237">
        <v>4607958076574</v>
      </c>
      <c r="T343" s="332">
        <v>14607958076571</v>
      </c>
      <c r="U343" s="46">
        <v>4607958076574</v>
      </c>
      <c r="V343" s="46">
        <v>14607958076571</v>
      </c>
      <c r="W343" s="258">
        <v>230</v>
      </c>
      <c r="X343" s="68">
        <v>183</v>
      </c>
      <c r="Y343" s="68">
        <v>11</v>
      </c>
      <c r="Z343" s="65">
        <v>0.09</v>
      </c>
      <c r="AA343" s="271">
        <v>1.6E-2</v>
      </c>
      <c r="AB343" s="66">
        <f t="shared" si="467"/>
        <v>0.106</v>
      </c>
      <c r="AC343" s="59">
        <v>239</v>
      </c>
      <c r="AD343" s="60">
        <v>195</v>
      </c>
      <c r="AE343" s="60">
        <v>123</v>
      </c>
      <c r="AF343" s="191">
        <v>10</v>
      </c>
      <c r="AG343" s="117">
        <v>600000507</v>
      </c>
      <c r="AH343" s="104">
        <f>справочники!$C$171</f>
        <v>7.2999999999999995E-2</v>
      </c>
      <c r="AI343" s="61">
        <f t="shared" si="204"/>
        <v>0.9</v>
      </c>
      <c r="AJ343" s="122">
        <f t="shared" si="205"/>
        <v>1.133</v>
      </c>
      <c r="AK343" s="37">
        <v>20</v>
      </c>
      <c r="AL343" s="38">
        <v>13</v>
      </c>
      <c r="AM343" s="40">
        <f t="shared" si="414"/>
        <v>260</v>
      </c>
      <c r="AN343" s="206">
        <f t="shared" si="407"/>
        <v>2600</v>
      </c>
      <c r="AO343" s="204">
        <f t="shared" si="206"/>
        <v>1744</v>
      </c>
    </row>
    <row r="344" spans="1:41" ht="155.25" customHeight="1" x14ac:dyDescent="0.2">
      <c r="A344" s="22">
        <f t="shared" si="427"/>
        <v>6979</v>
      </c>
      <c r="B344" s="116">
        <v>1001205376979</v>
      </c>
      <c r="C344" s="48" t="s">
        <v>982</v>
      </c>
      <c r="D344" s="49" t="s">
        <v>4</v>
      </c>
      <c r="E344" s="146" t="s">
        <v>373</v>
      </c>
      <c r="F344" s="112" t="s">
        <v>353</v>
      </c>
      <c r="G344" s="224" t="s">
        <v>2</v>
      </c>
      <c r="H344" s="49" t="s">
        <v>1</v>
      </c>
      <c r="I344" s="154" t="s">
        <v>1940</v>
      </c>
      <c r="J344" s="151" t="s">
        <v>2010</v>
      </c>
      <c r="K344" s="330" t="s">
        <v>2011</v>
      </c>
      <c r="L344" s="286" t="s">
        <v>2012</v>
      </c>
      <c r="M344" s="287" t="s">
        <v>2001</v>
      </c>
      <c r="N344" s="326" t="s">
        <v>1797</v>
      </c>
      <c r="O344" s="162" t="s">
        <v>2013</v>
      </c>
      <c r="P344" s="31" t="s">
        <v>104</v>
      </c>
      <c r="Q344" s="87">
        <v>60</v>
      </c>
      <c r="R344" s="82" t="s">
        <v>52</v>
      </c>
      <c r="S344" s="237">
        <v>4607958078349</v>
      </c>
      <c r="T344" s="332">
        <v>14607958078346</v>
      </c>
      <c r="U344" s="46">
        <v>4607958078349</v>
      </c>
      <c r="V344" s="46">
        <v>14607958078346</v>
      </c>
      <c r="W344" s="258">
        <v>230</v>
      </c>
      <c r="X344" s="68">
        <v>183</v>
      </c>
      <c r="Y344" s="68">
        <v>15</v>
      </c>
      <c r="Z344" s="65">
        <v>0.18</v>
      </c>
      <c r="AA344" s="271">
        <v>1.6E-2</v>
      </c>
      <c r="AB344" s="66">
        <f t="shared" si="467"/>
        <v>0.19600000000000001</v>
      </c>
      <c r="AC344" s="59">
        <v>239</v>
      </c>
      <c r="AD344" s="60">
        <v>195</v>
      </c>
      <c r="AE344" s="60">
        <v>133</v>
      </c>
      <c r="AF344" s="191">
        <v>8</v>
      </c>
      <c r="AG344" s="117">
        <v>600000560</v>
      </c>
      <c r="AH344" s="104">
        <f>справочники!$C$176</f>
        <v>7.4999999999999997E-2</v>
      </c>
      <c r="AI344" s="61">
        <f t="shared" si="204"/>
        <v>1.44</v>
      </c>
      <c r="AJ344" s="122">
        <f t="shared" si="205"/>
        <v>1.643</v>
      </c>
      <c r="AK344" s="37">
        <v>20</v>
      </c>
      <c r="AL344" s="38">
        <v>12</v>
      </c>
      <c r="AM344" s="40">
        <f t="shared" si="414"/>
        <v>240</v>
      </c>
      <c r="AN344" s="206">
        <f t="shared" si="407"/>
        <v>1920</v>
      </c>
      <c r="AO344" s="204">
        <f t="shared" si="206"/>
        <v>1741</v>
      </c>
    </row>
    <row r="345" spans="1:41" ht="280.5" x14ac:dyDescent="0.2">
      <c r="A345" s="22">
        <f t="shared" si="427"/>
        <v>7309</v>
      </c>
      <c r="B345" s="116">
        <v>1001206757309</v>
      </c>
      <c r="C345" s="48" t="s">
        <v>1280</v>
      </c>
      <c r="D345" s="49" t="s">
        <v>4</v>
      </c>
      <c r="E345" s="146" t="s">
        <v>373</v>
      </c>
      <c r="F345" s="112" t="s">
        <v>353</v>
      </c>
      <c r="G345" s="224" t="s">
        <v>6</v>
      </c>
      <c r="H345" s="49" t="s">
        <v>1</v>
      </c>
      <c r="I345" s="154" t="s">
        <v>1940</v>
      </c>
      <c r="J345" s="151" t="s">
        <v>2014</v>
      </c>
      <c r="K345" s="330" t="s">
        <v>2015</v>
      </c>
      <c r="L345" s="286" t="s">
        <v>2005</v>
      </c>
      <c r="M345" s="287" t="s">
        <v>2016</v>
      </c>
      <c r="N345" s="326" t="s">
        <v>2017</v>
      </c>
      <c r="O345" s="162" t="s">
        <v>2018</v>
      </c>
      <c r="P345" s="31" t="s">
        <v>104</v>
      </c>
      <c r="Q345" s="87">
        <v>60</v>
      </c>
      <c r="R345" s="82" t="s">
        <v>51</v>
      </c>
      <c r="S345" s="237">
        <v>4607958079797</v>
      </c>
      <c r="T345" s="332">
        <v>14607958079794</v>
      </c>
      <c r="U345" s="46">
        <v>4607958079797</v>
      </c>
      <c r="V345" s="46">
        <v>14607958079794</v>
      </c>
      <c r="W345" s="258">
        <v>230</v>
      </c>
      <c r="X345" s="68">
        <v>183</v>
      </c>
      <c r="Y345" s="68">
        <v>11</v>
      </c>
      <c r="Z345" s="65">
        <v>0.09</v>
      </c>
      <c r="AA345" s="271">
        <v>1.6E-2</v>
      </c>
      <c r="AB345" s="66">
        <f t="shared" ref="AB345" si="468">Z345+AA345</f>
        <v>0.106</v>
      </c>
      <c r="AC345" s="59">
        <v>239</v>
      </c>
      <c r="AD345" s="60">
        <v>195</v>
      </c>
      <c r="AE345" s="60">
        <v>123</v>
      </c>
      <c r="AF345" s="191">
        <v>10</v>
      </c>
      <c r="AG345" s="117">
        <v>600000506</v>
      </c>
      <c r="AH345" s="104">
        <f>справочники!$C$170</f>
        <v>7.6999999999999999E-2</v>
      </c>
      <c r="AI345" s="61">
        <f t="shared" si="204"/>
        <v>0.9</v>
      </c>
      <c r="AJ345" s="122">
        <f t="shared" si="205"/>
        <v>1.137</v>
      </c>
      <c r="AK345" s="37">
        <v>20</v>
      </c>
      <c r="AL345" s="38">
        <v>13</v>
      </c>
      <c r="AM345" s="40">
        <f t="shared" ref="AM345" si="469">AK345*AL345</f>
        <v>260</v>
      </c>
      <c r="AN345" s="206">
        <f t="shared" ref="AN345" si="470">IF(D345="ШТ",кол_во_инд.__упак_к*итого_г_у,ROUNDDOWN(номин.вес_нетто_г_у__кг*итого_г_у,1))</f>
        <v>2600</v>
      </c>
      <c r="AO345" s="204">
        <f t="shared" si="206"/>
        <v>1744</v>
      </c>
    </row>
    <row r="346" spans="1:41" ht="77.25" customHeight="1" x14ac:dyDescent="0.2">
      <c r="A346" s="22">
        <f t="shared" si="427"/>
        <v>7138</v>
      </c>
      <c r="B346" s="116">
        <v>1001203107138</v>
      </c>
      <c r="C346" s="48" t="s">
        <v>1111</v>
      </c>
      <c r="D346" s="49" t="s">
        <v>4</v>
      </c>
      <c r="E346" s="146" t="s">
        <v>373</v>
      </c>
      <c r="F346" s="112" t="s">
        <v>353</v>
      </c>
      <c r="G346" s="224" t="s">
        <v>6</v>
      </c>
      <c r="H346" s="49" t="s">
        <v>1</v>
      </c>
      <c r="I346" s="154" t="s">
        <v>1940</v>
      </c>
      <c r="J346" s="151" t="s">
        <v>418</v>
      </c>
      <c r="K346" s="83" t="s">
        <v>2019</v>
      </c>
      <c r="L346" s="286">
        <v>19</v>
      </c>
      <c r="M346" s="287">
        <v>40</v>
      </c>
      <c r="N346" s="91">
        <v>6</v>
      </c>
      <c r="O346" s="162" t="s">
        <v>1997</v>
      </c>
      <c r="P346" s="31" t="s">
        <v>104</v>
      </c>
      <c r="Q346" s="87">
        <v>60</v>
      </c>
      <c r="R346" s="82" t="s">
        <v>51</v>
      </c>
      <c r="S346" s="237">
        <v>4607958079179</v>
      </c>
      <c r="T346" s="332">
        <v>14607958079176</v>
      </c>
      <c r="U346" s="46">
        <v>4607958079179</v>
      </c>
      <c r="V346" s="46">
        <v>14607958079176</v>
      </c>
      <c r="W346" s="258">
        <v>230</v>
      </c>
      <c r="X346" s="68">
        <v>90</v>
      </c>
      <c r="Y346" s="68">
        <v>15</v>
      </c>
      <c r="Z346" s="65">
        <v>0.09</v>
      </c>
      <c r="AA346" s="271">
        <v>8.9999999999999993E-3</v>
      </c>
      <c r="AB346" s="66">
        <f t="shared" ref="AB346:AB347" si="471">Z346+AA346</f>
        <v>9.8999999999999991E-2</v>
      </c>
      <c r="AC346" s="59">
        <v>239</v>
      </c>
      <c r="AD346" s="60">
        <v>195</v>
      </c>
      <c r="AE346" s="60">
        <v>133</v>
      </c>
      <c r="AF346" s="191">
        <v>14</v>
      </c>
      <c r="AG346" s="117">
        <v>600000560</v>
      </c>
      <c r="AH346" s="104">
        <f>справочники!$C$176</f>
        <v>7.4999999999999997E-2</v>
      </c>
      <c r="AI346" s="61">
        <f t="shared" si="204"/>
        <v>1.26</v>
      </c>
      <c r="AJ346" s="122">
        <f t="shared" si="205"/>
        <v>1.4609999999999999</v>
      </c>
      <c r="AK346" s="37">
        <v>20</v>
      </c>
      <c r="AL346" s="38">
        <v>12</v>
      </c>
      <c r="AM346" s="40">
        <f t="shared" ref="AM346:AM347" si="472">AK346*AL346</f>
        <v>240</v>
      </c>
      <c r="AN346" s="206">
        <f t="shared" ref="AN346:AN347" si="473">IF(D346="ШТ",кол_во_инд.__упак_к*итого_г_у,ROUNDDOWN(номин.вес_нетто_г_у__кг*итого_г_у,1))</f>
        <v>3360</v>
      </c>
      <c r="AO346" s="204">
        <f t="shared" si="206"/>
        <v>1741</v>
      </c>
    </row>
    <row r="347" spans="1:41" ht="153" x14ac:dyDescent="0.2">
      <c r="A347" s="22">
        <f t="shared" si="427"/>
        <v>7667</v>
      </c>
      <c r="B347" s="116">
        <v>1001067867667</v>
      </c>
      <c r="C347" s="48" t="s">
        <v>2044</v>
      </c>
      <c r="D347" s="49" t="s">
        <v>4</v>
      </c>
      <c r="E347" s="146" t="s">
        <v>373</v>
      </c>
      <c r="F347" s="112" t="s">
        <v>353</v>
      </c>
      <c r="G347" s="224" t="s">
        <v>1582</v>
      </c>
      <c r="H347" s="49" t="s">
        <v>1</v>
      </c>
      <c r="I347" s="154" t="s">
        <v>1940</v>
      </c>
      <c r="J347" s="151" t="s">
        <v>418</v>
      </c>
      <c r="K347" s="330" t="s">
        <v>2045</v>
      </c>
      <c r="L347" s="286">
        <v>19</v>
      </c>
      <c r="M347" s="287">
        <v>30</v>
      </c>
      <c r="N347" s="326">
        <v>4</v>
      </c>
      <c r="O347" s="162" t="s">
        <v>2046</v>
      </c>
      <c r="P347" s="31" t="s">
        <v>104</v>
      </c>
      <c r="Q347" s="87">
        <v>60</v>
      </c>
      <c r="R347" s="82" t="s">
        <v>52</v>
      </c>
      <c r="S347" s="237">
        <v>4630362183019</v>
      </c>
      <c r="T347" s="332">
        <v>14630362183016</v>
      </c>
      <c r="U347" s="46">
        <v>4630362183019</v>
      </c>
      <c r="V347" s="46">
        <v>14630362183016</v>
      </c>
      <c r="W347" s="259">
        <v>195</v>
      </c>
      <c r="X347" s="96">
        <v>137</v>
      </c>
      <c r="Y347" s="96">
        <v>18</v>
      </c>
      <c r="Z347" s="65">
        <v>0.13</v>
      </c>
      <c r="AA347" s="271">
        <v>1.6E-2</v>
      </c>
      <c r="AB347" s="66">
        <f t="shared" si="471"/>
        <v>0.14600000000000002</v>
      </c>
      <c r="AC347" s="59">
        <v>204</v>
      </c>
      <c r="AD347" s="60">
        <v>147</v>
      </c>
      <c r="AE347" s="60">
        <v>150</v>
      </c>
      <c r="AF347" s="191">
        <v>10</v>
      </c>
      <c r="AG347" s="117">
        <v>600000604</v>
      </c>
      <c r="AH347" s="104">
        <f>справочники!$C$209</f>
        <v>8.5000000000000006E-2</v>
      </c>
      <c r="AI347" s="61">
        <f t="shared" si="204"/>
        <v>1.3</v>
      </c>
      <c r="AJ347" s="122">
        <f t="shared" si="205"/>
        <v>1.5450000000000002</v>
      </c>
      <c r="AK347" s="37">
        <v>30</v>
      </c>
      <c r="AL347" s="38">
        <v>11</v>
      </c>
      <c r="AM347" s="40">
        <f t="shared" si="472"/>
        <v>330</v>
      </c>
      <c r="AN347" s="206">
        <f t="shared" si="473"/>
        <v>3300</v>
      </c>
      <c r="AO347" s="204">
        <f t="shared" si="206"/>
        <v>1795</v>
      </c>
    </row>
    <row r="348" spans="1:41" ht="191.25" x14ac:dyDescent="0.2">
      <c r="A348" s="22">
        <f t="shared" si="427"/>
        <v>7653</v>
      </c>
      <c r="B348" s="116">
        <v>1001060757653</v>
      </c>
      <c r="C348" s="48" t="s">
        <v>1922</v>
      </c>
      <c r="D348" s="49" t="s">
        <v>4</v>
      </c>
      <c r="E348" s="146" t="s">
        <v>373</v>
      </c>
      <c r="F348" s="112" t="s">
        <v>353</v>
      </c>
      <c r="G348" s="224" t="s">
        <v>6</v>
      </c>
      <c r="H348" s="49" t="s">
        <v>1</v>
      </c>
      <c r="I348" s="154" t="s">
        <v>1065</v>
      </c>
      <c r="J348" s="151" t="s">
        <v>418</v>
      </c>
      <c r="K348" s="83" t="s">
        <v>1412</v>
      </c>
      <c r="L348" s="84">
        <v>20</v>
      </c>
      <c r="M348" s="85">
        <v>40</v>
      </c>
      <c r="N348" s="91">
        <v>0</v>
      </c>
      <c r="O348" s="86" t="s">
        <v>262</v>
      </c>
      <c r="P348" s="113" t="s">
        <v>104</v>
      </c>
      <c r="Q348" s="87">
        <v>60</v>
      </c>
      <c r="R348" s="82" t="s">
        <v>51</v>
      </c>
      <c r="S348" s="237">
        <v>4630362182951</v>
      </c>
      <c r="T348" s="332">
        <v>14630362182958</v>
      </c>
      <c r="U348" s="46">
        <v>4630362182951</v>
      </c>
      <c r="V348" s="46">
        <v>14630362182958</v>
      </c>
      <c r="W348" s="258">
        <v>195</v>
      </c>
      <c r="X348" s="68">
        <v>137</v>
      </c>
      <c r="Y348" s="68">
        <v>12</v>
      </c>
      <c r="Z348" s="65">
        <v>0.1</v>
      </c>
      <c r="AA348" s="271">
        <v>6.0000000000000001E-3</v>
      </c>
      <c r="AB348" s="66">
        <f t="shared" ref="AB348" si="474">Z348+AA348</f>
        <v>0.10600000000000001</v>
      </c>
      <c r="AC348" s="59">
        <v>203</v>
      </c>
      <c r="AD348" s="60">
        <v>147</v>
      </c>
      <c r="AE348" s="60">
        <v>118</v>
      </c>
      <c r="AF348" s="191">
        <v>10</v>
      </c>
      <c r="AG348" s="117">
        <v>600000592</v>
      </c>
      <c r="AH348" s="104">
        <f>справочники!$C$213</f>
        <v>6.3E-2</v>
      </c>
      <c r="AI348" s="61">
        <f t="shared" si="204"/>
        <v>1</v>
      </c>
      <c r="AJ348" s="122">
        <f t="shared" si="205"/>
        <v>1.123</v>
      </c>
      <c r="AK348" s="37">
        <v>30</v>
      </c>
      <c r="AL348" s="38">
        <v>14</v>
      </c>
      <c r="AM348" s="40">
        <f t="shared" ref="AM348" si="475">AK348*AL348</f>
        <v>420</v>
      </c>
      <c r="AN348" s="206">
        <f t="shared" ref="AN348" si="476">IF(D348="ШТ",кол_во_инд.__упак_к*итого_г_у,ROUNDDOWN(номин.вес_нетто_г_у__кг*итого_г_у,1))</f>
        <v>4200</v>
      </c>
      <c r="AO348" s="204">
        <f t="shared" si="206"/>
        <v>1797</v>
      </c>
    </row>
    <row r="349" spans="1:41" ht="127.5" x14ac:dyDescent="0.2">
      <c r="A349" s="22">
        <f t="shared" si="427"/>
        <v>7640</v>
      </c>
      <c r="B349" s="116">
        <v>1001064447640</v>
      </c>
      <c r="C349" s="48" t="s">
        <v>1871</v>
      </c>
      <c r="D349" s="49" t="s">
        <v>3</v>
      </c>
      <c r="E349" s="146" t="s">
        <v>373</v>
      </c>
      <c r="F349" s="112" t="s">
        <v>353</v>
      </c>
      <c r="G349" s="224" t="s">
        <v>2</v>
      </c>
      <c r="H349" s="49" t="s">
        <v>1</v>
      </c>
      <c r="I349" s="154" t="s">
        <v>1940</v>
      </c>
      <c r="J349" s="151" t="s">
        <v>418</v>
      </c>
      <c r="K349" s="83" t="s">
        <v>2023</v>
      </c>
      <c r="L349" s="84">
        <v>17</v>
      </c>
      <c r="M349" s="85">
        <v>40</v>
      </c>
      <c r="N349" s="91">
        <v>5</v>
      </c>
      <c r="O349" s="86" t="s">
        <v>2022</v>
      </c>
      <c r="P349" s="31" t="s">
        <v>104</v>
      </c>
      <c r="Q349" s="87">
        <v>90</v>
      </c>
      <c r="R349" s="82" t="s">
        <v>51</v>
      </c>
      <c r="S349" s="237">
        <v>2800434000007</v>
      </c>
      <c r="T349" s="332">
        <v>12800434000004</v>
      </c>
      <c r="U349" s="46">
        <v>4630362181725</v>
      </c>
      <c r="V349" s="46">
        <v>24630362181729</v>
      </c>
      <c r="W349" s="258">
        <v>300</v>
      </c>
      <c r="X349" s="68">
        <v>190</v>
      </c>
      <c r="Y349" s="68">
        <v>80</v>
      </c>
      <c r="Z349" s="65">
        <v>1</v>
      </c>
      <c r="AA349" s="271">
        <v>1.4999999999999999E-2</v>
      </c>
      <c r="AB349" s="66">
        <f t="shared" ref="AB349" si="477">Z349+AA349</f>
        <v>1.0149999999999999</v>
      </c>
      <c r="AC349" s="59">
        <v>388</v>
      </c>
      <c r="AD349" s="60">
        <v>292</v>
      </c>
      <c r="AE349" s="60">
        <v>240</v>
      </c>
      <c r="AF349" s="191">
        <v>8</v>
      </c>
      <c r="AG349" s="117">
        <v>600000017</v>
      </c>
      <c r="AH349" s="104">
        <f>справочники!$C$9</f>
        <v>0.34899999999999998</v>
      </c>
      <c r="AI349" s="61">
        <f t="shared" si="204"/>
        <v>8</v>
      </c>
      <c r="AJ349" s="122">
        <f t="shared" si="205"/>
        <v>8.4689999999999994</v>
      </c>
      <c r="AK349" s="37">
        <v>8</v>
      </c>
      <c r="AL349" s="38">
        <v>7</v>
      </c>
      <c r="AM349" s="40">
        <f t="shared" ref="AM349" si="478">AK349*AL349</f>
        <v>56</v>
      </c>
      <c r="AN349" s="272">
        <f t="shared" ref="AN349" si="479">IF(D349="ШТ",кол_во_инд.__упак_к*итого_г_у,ROUNDDOWN(номин.вес_нетто_г_у__кг*итого_г_у,1))</f>
        <v>448</v>
      </c>
      <c r="AO349" s="204">
        <f t="shared" si="206"/>
        <v>1825</v>
      </c>
    </row>
    <row r="350" spans="1:41" ht="102" customHeight="1" x14ac:dyDescent="0.2">
      <c r="A350" s="22">
        <f t="shared" si="427"/>
        <v>7448</v>
      </c>
      <c r="B350" s="116">
        <v>1001203107448</v>
      </c>
      <c r="C350" s="48" t="s">
        <v>1521</v>
      </c>
      <c r="D350" s="49" t="s">
        <v>3</v>
      </c>
      <c r="E350" s="146" t="s">
        <v>373</v>
      </c>
      <c r="F350" s="112" t="s">
        <v>353</v>
      </c>
      <c r="G350" s="224" t="s">
        <v>935</v>
      </c>
      <c r="H350" s="49" t="s">
        <v>1</v>
      </c>
      <c r="I350" s="154" t="s">
        <v>1940</v>
      </c>
      <c r="J350" s="151" t="s">
        <v>418</v>
      </c>
      <c r="K350" s="83" t="s">
        <v>1523</v>
      </c>
      <c r="L350" s="84">
        <v>19</v>
      </c>
      <c r="M350" s="85">
        <v>40</v>
      </c>
      <c r="N350" s="91">
        <v>2</v>
      </c>
      <c r="O350" s="86" t="s">
        <v>1522</v>
      </c>
      <c r="P350" s="31" t="s">
        <v>104</v>
      </c>
      <c r="Q350" s="87">
        <v>60</v>
      </c>
      <c r="R350" s="82" t="s">
        <v>51</v>
      </c>
      <c r="S350" s="237">
        <v>2800594000008</v>
      </c>
      <c r="T350" s="332">
        <v>12800594000005</v>
      </c>
      <c r="U350" s="46">
        <v>4630362181732</v>
      </c>
      <c r="V350" s="46">
        <v>14630362181739</v>
      </c>
      <c r="W350" s="258">
        <v>300</v>
      </c>
      <c r="X350" s="68">
        <v>190</v>
      </c>
      <c r="Y350" s="68">
        <v>80</v>
      </c>
      <c r="Z350" s="65">
        <v>1</v>
      </c>
      <c r="AA350" s="271">
        <v>1.4999999999999999E-2</v>
      </c>
      <c r="AB350" s="66">
        <f>Z350+AA350</f>
        <v>1.0149999999999999</v>
      </c>
      <c r="AC350" s="59">
        <v>388</v>
      </c>
      <c r="AD350" s="60">
        <v>292</v>
      </c>
      <c r="AE350" s="60">
        <v>240</v>
      </c>
      <c r="AF350" s="191">
        <v>8</v>
      </c>
      <c r="AG350" s="117">
        <v>600000434</v>
      </c>
      <c r="AH350" s="104">
        <f>справочники!$C$143</f>
        <v>0.35499999999999998</v>
      </c>
      <c r="AI350" s="61">
        <f t="shared" si="204"/>
        <v>8</v>
      </c>
      <c r="AJ350" s="122">
        <f t="shared" si="205"/>
        <v>8.4749999999999996</v>
      </c>
      <c r="AK350" s="37">
        <v>8</v>
      </c>
      <c r="AL350" s="38">
        <v>7</v>
      </c>
      <c r="AM350" s="40">
        <f>AK350*AL350</f>
        <v>56</v>
      </c>
      <c r="AN350" s="272">
        <f>IF(D350="ШТ",кол_во_инд.__упак_к*итого_г_у,ROUNDDOWN(номин.вес_нетто_г_у__кг*итого_г_у,1))</f>
        <v>448</v>
      </c>
      <c r="AO350" s="204">
        <f t="shared" si="206"/>
        <v>1825</v>
      </c>
    </row>
    <row r="351" spans="1:41" ht="140.25" x14ac:dyDescent="0.2">
      <c r="A351" s="22">
        <f t="shared" si="427"/>
        <v>6873</v>
      </c>
      <c r="B351" s="116">
        <v>1001205596873</v>
      </c>
      <c r="C351" s="48" t="s">
        <v>977</v>
      </c>
      <c r="D351" s="49" t="s">
        <v>4</v>
      </c>
      <c r="E351" s="146" t="s">
        <v>373</v>
      </c>
      <c r="F351" s="112" t="s">
        <v>353</v>
      </c>
      <c r="G351" s="224" t="s">
        <v>520</v>
      </c>
      <c r="H351" s="49" t="s">
        <v>1</v>
      </c>
      <c r="I351" s="154" t="s">
        <v>1940</v>
      </c>
      <c r="J351" s="151" t="s">
        <v>418</v>
      </c>
      <c r="K351" s="83" t="s">
        <v>978</v>
      </c>
      <c r="L351" s="84">
        <v>21</v>
      </c>
      <c r="M351" s="85">
        <v>48</v>
      </c>
      <c r="N351" s="91"/>
      <c r="O351" s="86" t="s">
        <v>271</v>
      </c>
      <c r="P351" s="113" t="s">
        <v>104</v>
      </c>
      <c r="Q351" s="87">
        <v>60</v>
      </c>
      <c r="R351" s="82" t="s">
        <v>51</v>
      </c>
      <c r="S351" s="237">
        <v>4607958077595</v>
      </c>
      <c r="T351" s="332">
        <v>14607958077592</v>
      </c>
      <c r="U351" s="46">
        <v>4607958077595</v>
      </c>
      <c r="V351" s="46">
        <v>14607958077592</v>
      </c>
      <c r="W351" s="258">
        <v>180</v>
      </c>
      <c r="X351" s="68">
        <v>150</v>
      </c>
      <c r="Y351" s="68">
        <v>20</v>
      </c>
      <c r="Z351" s="65">
        <v>0.1</v>
      </c>
      <c r="AA351" s="271">
        <v>6.0000000000000001E-3</v>
      </c>
      <c r="AB351" s="66">
        <f t="shared" si="467"/>
        <v>0.10600000000000001</v>
      </c>
      <c r="AC351" s="59">
        <v>197</v>
      </c>
      <c r="AD351" s="60">
        <v>147</v>
      </c>
      <c r="AE351" s="60">
        <v>153</v>
      </c>
      <c r="AF351" s="191">
        <v>10</v>
      </c>
      <c r="AG351" s="117">
        <v>600000564</v>
      </c>
      <c r="AH351" s="104">
        <f>справочники!$C$127</f>
        <v>7.6999999999999999E-2</v>
      </c>
      <c r="AI351" s="61">
        <f t="shared" si="204"/>
        <v>1</v>
      </c>
      <c r="AJ351" s="122">
        <f t="shared" si="205"/>
        <v>1.137</v>
      </c>
      <c r="AK351" s="37">
        <v>30</v>
      </c>
      <c r="AL351" s="38">
        <v>10</v>
      </c>
      <c r="AM351" s="40">
        <f t="shared" si="414"/>
        <v>300</v>
      </c>
      <c r="AN351" s="206">
        <f t="shared" ref="AN351:AN380" si="480">IF(D351="ШТ",кол_во_инд.__упак_к*итого_г_у,ROUNDDOWN(номин.вес_нетто_г_у__кг*итого_г_у,1))</f>
        <v>3000</v>
      </c>
      <c r="AO351" s="204">
        <f t="shared" si="206"/>
        <v>1675</v>
      </c>
    </row>
    <row r="352" spans="1:41" ht="90.75" customHeight="1" x14ac:dyDescent="0.2">
      <c r="A352" s="22">
        <f t="shared" si="427"/>
        <v>7628</v>
      </c>
      <c r="B352" s="116">
        <v>1001065597628</v>
      </c>
      <c r="C352" s="48" t="s">
        <v>2069</v>
      </c>
      <c r="D352" s="49" t="s">
        <v>4</v>
      </c>
      <c r="E352" s="146" t="s">
        <v>373</v>
      </c>
      <c r="F352" s="112" t="s">
        <v>353</v>
      </c>
      <c r="G352" s="224" t="s">
        <v>520</v>
      </c>
      <c r="H352" s="49" t="s">
        <v>1</v>
      </c>
      <c r="I352" s="154" t="s">
        <v>1940</v>
      </c>
      <c r="J352" s="151" t="s">
        <v>418</v>
      </c>
      <c r="K352" s="83" t="s">
        <v>2070</v>
      </c>
      <c r="L352" s="84">
        <v>21</v>
      </c>
      <c r="M352" s="85">
        <v>41</v>
      </c>
      <c r="N352" s="91">
        <v>2</v>
      </c>
      <c r="O352" s="86" t="s">
        <v>2071</v>
      </c>
      <c r="P352" s="113" t="s">
        <v>104</v>
      </c>
      <c r="Q352" s="87">
        <v>60</v>
      </c>
      <c r="R352" s="82" t="s">
        <v>51</v>
      </c>
      <c r="S352" s="237">
        <v>4630362183071</v>
      </c>
      <c r="T352" s="332">
        <v>14630362183078</v>
      </c>
      <c r="U352" s="46">
        <v>4630362183071</v>
      </c>
      <c r="V352" s="46">
        <v>14630362183078</v>
      </c>
      <c r="W352" s="258">
        <v>230</v>
      </c>
      <c r="X352" s="68">
        <v>90</v>
      </c>
      <c r="Y352" s="68">
        <v>15</v>
      </c>
      <c r="Z352" s="65">
        <v>0.1</v>
      </c>
      <c r="AA352" s="271">
        <v>6.0000000000000001E-3</v>
      </c>
      <c r="AB352" s="66">
        <f t="shared" ref="AB352" si="481">Z352+AA352</f>
        <v>0.10600000000000001</v>
      </c>
      <c r="AC352" s="59">
        <v>239</v>
      </c>
      <c r="AD352" s="60">
        <v>195</v>
      </c>
      <c r="AE352" s="60">
        <v>133</v>
      </c>
      <c r="AF352" s="191">
        <v>10</v>
      </c>
      <c r="AG352" s="117">
        <v>600000560</v>
      </c>
      <c r="AH352" s="104">
        <f>справочники!$C$176</f>
        <v>7.4999999999999997E-2</v>
      </c>
      <c r="AI352" s="61">
        <f t="shared" si="204"/>
        <v>1</v>
      </c>
      <c r="AJ352" s="122">
        <f t="shared" si="205"/>
        <v>1.135</v>
      </c>
      <c r="AK352" s="37">
        <v>20</v>
      </c>
      <c r="AL352" s="38">
        <v>12</v>
      </c>
      <c r="AM352" s="40">
        <f t="shared" ref="AM352" si="482">AK352*AL352</f>
        <v>240</v>
      </c>
      <c r="AN352" s="206">
        <f t="shared" ref="AN352" si="483">IF(D352="ШТ",кол_во_инд.__упак_к*итого_г_у,ROUNDDOWN(номин.вес_нетто_г_у__кг*итого_г_у,1))</f>
        <v>2400</v>
      </c>
      <c r="AO352" s="204">
        <f t="shared" si="206"/>
        <v>1741</v>
      </c>
    </row>
    <row r="353" spans="1:41" ht="81" customHeight="1" x14ac:dyDescent="0.2">
      <c r="A353" s="22">
        <f t="shared" si="427"/>
        <v>6619</v>
      </c>
      <c r="B353" s="116">
        <v>1001205246619</v>
      </c>
      <c r="C353" s="48" t="s">
        <v>637</v>
      </c>
      <c r="D353" s="49" t="s">
        <v>4</v>
      </c>
      <c r="E353" s="146" t="s">
        <v>373</v>
      </c>
      <c r="F353" s="112" t="s">
        <v>353</v>
      </c>
      <c r="G353" s="224" t="s">
        <v>6</v>
      </c>
      <c r="H353" s="58" t="s">
        <v>278</v>
      </c>
      <c r="I353" s="154" t="s">
        <v>1940</v>
      </c>
      <c r="J353" s="151" t="s">
        <v>418</v>
      </c>
      <c r="K353" s="83" t="s">
        <v>2019</v>
      </c>
      <c r="L353" s="84">
        <v>19</v>
      </c>
      <c r="M353" s="85">
        <v>40</v>
      </c>
      <c r="N353" s="91">
        <v>6</v>
      </c>
      <c r="O353" s="86" t="s">
        <v>1997</v>
      </c>
      <c r="P353" s="31" t="s">
        <v>104</v>
      </c>
      <c r="Q353" s="87">
        <v>60</v>
      </c>
      <c r="R353" s="82" t="s">
        <v>51</v>
      </c>
      <c r="S353" s="237">
        <v>4607958076116</v>
      </c>
      <c r="T353" s="332">
        <v>14607958076113</v>
      </c>
      <c r="U353" s="46">
        <v>4607958076116</v>
      </c>
      <c r="V353" s="46">
        <v>14607958076113</v>
      </c>
      <c r="W353" s="258">
        <v>220</v>
      </c>
      <c r="X353" s="68">
        <v>142</v>
      </c>
      <c r="Y353" s="68">
        <v>20</v>
      </c>
      <c r="Z353" s="65">
        <v>0.15</v>
      </c>
      <c r="AA353" s="271">
        <v>1.4999999999999999E-2</v>
      </c>
      <c r="AB353" s="66">
        <f t="shared" si="467"/>
        <v>0.16499999999999998</v>
      </c>
      <c r="AC353" s="59">
        <v>294</v>
      </c>
      <c r="AD353" s="60">
        <v>156</v>
      </c>
      <c r="AE353" s="60">
        <v>230</v>
      </c>
      <c r="AF353" s="191">
        <v>16</v>
      </c>
      <c r="AG353" s="117">
        <v>600000425</v>
      </c>
      <c r="AH353" s="104">
        <f>справочники!$C$109</f>
        <v>0.121</v>
      </c>
      <c r="AI353" s="61">
        <f t="shared" si="204"/>
        <v>2.4</v>
      </c>
      <c r="AJ353" s="122">
        <f t="shared" si="205"/>
        <v>2.7609999999999997</v>
      </c>
      <c r="AK353" s="37">
        <v>20</v>
      </c>
      <c r="AL353" s="38">
        <v>6</v>
      </c>
      <c r="AM353" s="40">
        <f t="shared" si="414"/>
        <v>120</v>
      </c>
      <c r="AN353" s="206">
        <f t="shared" si="480"/>
        <v>1920</v>
      </c>
      <c r="AO353" s="204">
        <f t="shared" si="206"/>
        <v>1525</v>
      </c>
    </row>
    <row r="354" spans="1:41" ht="106.15" customHeight="1" x14ac:dyDescent="0.2">
      <c r="A354" s="22">
        <f t="shared" si="427"/>
        <v>7286</v>
      </c>
      <c r="B354" s="116">
        <v>1001205247286</v>
      </c>
      <c r="C354" s="48" t="s">
        <v>1253</v>
      </c>
      <c r="D354" s="49" t="s">
        <v>4</v>
      </c>
      <c r="E354" s="146" t="s">
        <v>373</v>
      </c>
      <c r="F354" s="112" t="s">
        <v>353</v>
      </c>
      <c r="G354" s="224" t="s">
        <v>6</v>
      </c>
      <c r="H354" s="49" t="s">
        <v>1</v>
      </c>
      <c r="I354" s="154" t="s">
        <v>398</v>
      </c>
      <c r="J354" s="151" t="s">
        <v>418</v>
      </c>
      <c r="K354" s="83" t="s">
        <v>1182</v>
      </c>
      <c r="L354" s="84">
        <v>21</v>
      </c>
      <c r="M354" s="85">
        <v>41</v>
      </c>
      <c r="N354" s="91">
        <v>1</v>
      </c>
      <c r="O354" s="86" t="s">
        <v>1183</v>
      </c>
      <c r="P354" s="31" t="s">
        <v>104</v>
      </c>
      <c r="Q354" s="87">
        <v>60</v>
      </c>
      <c r="R354" s="82" t="s">
        <v>51</v>
      </c>
      <c r="S354" s="237">
        <v>4607958076116</v>
      </c>
      <c r="T354" s="332">
        <v>24607958076110</v>
      </c>
      <c r="U354" s="46">
        <v>4607958076116</v>
      </c>
      <c r="V354" s="46">
        <v>24607958076110</v>
      </c>
      <c r="W354" s="258">
        <v>230</v>
      </c>
      <c r="X354" s="68">
        <v>183</v>
      </c>
      <c r="Y354" s="68">
        <v>11</v>
      </c>
      <c r="Z354" s="65">
        <v>0.15</v>
      </c>
      <c r="AA354" s="271">
        <v>1.7999999999999999E-2</v>
      </c>
      <c r="AB354" s="66">
        <f t="shared" si="467"/>
        <v>0.16799999999999998</v>
      </c>
      <c r="AC354" s="59">
        <v>244</v>
      </c>
      <c r="AD354" s="60">
        <v>193</v>
      </c>
      <c r="AE354" s="60">
        <v>201</v>
      </c>
      <c r="AF354" s="191">
        <v>12</v>
      </c>
      <c r="AG354" s="117">
        <v>600000543</v>
      </c>
      <c r="AH354" s="104">
        <f>справочники!$C$173</f>
        <v>0.1</v>
      </c>
      <c r="AI354" s="61">
        <f t="shared" si="204"/>
        <v>1.8</v>
      </c>
      <c r="AJ354" s="122">
        <f t="shared" si="205"/>
        <v>2.1160000000000001</v>
      </c>
      <c r="AK354" s="37">
        <v>20</v>
      </c>
      <c r="AL354" s="38">
        <v>8</v>
      </c>
      <c r="AM354" s="40">
        <f t="shared" si="414"/>
        <v>160</v>
      </c>
      <c r="AN354" s="206">
        <f t="shared" si="480"/>
        <v>1920</v>
      </c>
      <c r="AO354" s="204">
        <f t="shared" si="206"/>
        <v>1753</v>
      </c>
    </row>
    <row r="355" spans="1:41" ht="153" x14ac:dyDescent="0.2">
      <c r="A355" s="22">
        <f t="shared" si="427"/>
        <v>5679</v>
      </c>
      <c r="B355" s="116">
        <v>1001190765679</v>
      </c>
      <c r="C355" s="48" t="s">
        <v>239</v>
      </c>
      <c r="D355" s="49" t="s">
        <v>4</v>
      </c>
      <c r="E355" s="146" t="s">
        <v>373</v>
      </c>
      <c r="F355" s="112" t="s">
        <v>353</v>
      </c>
      <c r="G355" s="224" t="s">
        <v>2</v>
      </c>
      <c r="H355" s="58" t="s">
        <v>278</v>
      </c>
      <c r="I355" s="154" t="s">
        <v>1940</v>
      </c>
      <c r="J355" s="151" t="s">
        <v>418</v>
      </c>
      <c r="K355" s="83" t="s">
        <v>2025</v>
      </c>
      <c r="L355" s="84">
        <v>18</v>
      </c>
      <c r="M355" s="85">
        <v>42</v>
      </c>
      <c r="N355" s="91">
        <v>5</v>
      </c>
      <c r="O355" s="86" t="s">
        <v>2024</v>
      </c>
      <c r="P355" s="113" t="s">
        <v>104</v>
      </c>
      <c r="Q355" s="87">
        <v>60</v>
      </c>
      <c r="R355" s="82" t="s">
        <v>51</v>
      </c>
      <c r="S355" s="237">
        <v>4607958070633</v>
      </c>
      <c r="T355" s="332">
        <v>14607958070630</v>
      </c>
      <c r="U355" s="46">
        <v>4607958070633</v>
      </c>
      <c r="V355" s="46">
        <v>14607958070630</v>
      </c>
      <c r="W355" s="258">
        <v>220</v>
      </c>
      <c r="X355" s="68">
        <v>142</v>
      </c>
      <c r="Y355" s="68">
        <v>20</v>
      </c>
      <c r="Z355" s="65">
        <v>0.15</v>
      </c>
      <c r="AA355" s="271">
        <v>1.4E-2</v>
      </c>
      <c r="AB355" s="66">
        <f t="shared" si="467"/>
        <v>0.16400000000000001</v>
      </c>
      <c r="AC355" s="59">
        <v>234</v>
      </c>
      <c r="AD355" s="60">
        <v>154</v>
      </c>
      <c r="AE355" s="60">
        <v>150</v>
      </c>
      <c r="AF355" s="191">
        <v>8</v>
      </c>
      <c r="AG355" s="117">
        <v>600000551</v>
      </c>
      <c r="AH355" s="104">
        <f>справочники!$C$174</f>
        <v>7.3999999999999996E-2</v>
      </c>
      <c r="AI355" s="61">
        <f t="shared" si="204"/>
        <v>1.2</v>
      </c>
      <c r="AJ355" s="122">
        <f t="shared" si="205"/>
        <v>1.3860000000000001</v>
      </c>
      <c r="AK355" s="37">
        <v>24</v>
      </c>
      <c r="AL355" s="38">
        <v>11</v>
      </c>
      <c r="AM355" s="40">
        <f t="shared" ref="AM355:AM378" si="484">AK355*AL355</f>
        <v>264</v>
      </c>
      <c r="AN355" s="206">
        <f t="shared" si="480"/>
        <v>2112</v>
      </c>
      <c r="AO355" s="204">
        <f t="shared" si="206"/>
        <v>1795</v>
      </c>
    </row>
    <row r="356" spans="1:41" ht="153" x14ac:dyDescent="0.2">
      <c r="A356" s="22">
        <f t="shared" si="427"/>
        <v>5681</v>
      </c>
      <c r="B356" s="116">
        <v>1001190765681</v>
      </c>
      <c r="C356" s="48" t="s">
        <v>256</v>
      </c>
      <c r="D356" s="49" t="s">
        <v>4</v>
      </c>
      <c r="E356" s="146" t="s">
        <v>373</v>
      </c>
      <c r="F356" s="112" t="s">
        <v>353</v>
      </c>
      <c r="G356" s="224" t="s">
        <v>2</v>
      </c>
      <c r="H356" s="58" t="s">
        <v>1</v>
      </c>
      <c r="I356" s="154" t="s">
        <v>1940</v>
      </c>
      <c r="J356" s="151" t="s">
        <v>418</v>
      </c>
      <c r="K356" s="83" t="s">
        <v>2025</v>
      </c>
      <c r="L356" s="84">
        <v>18</v>
      </c>
      <c r="M356" s="85">
        <v>42</v>
      </c>
      <c r="N356" s="91">
        <v>5</v>
      </c>
      <c r="O356" s="86" t="s">
        <v>2024</v>
      </c>
      <c r="P356" s="113" t="s">
        <v>104</v>
      </c>
      <c r="Q356" s="87">
        <v>60</v>
      </c>
      <c r="R356" s="82" t="s">
        <v>51</v>
      </c>
      <c r="S356" s="237">
        <v>4607958070633</v>
      </c>
      <c r="T356" s="332">
        <v>14607958070630</v>
      </c>
      <c r="U356" s="46">
        <v>4607958070633</v>
      </c>
      <c r="V356" s="46">
        <v>14607958070630</v>
      </c>
      <c r="W356" s="258">
        <v>220</v>
      </c>
      <c r="X356" s="68">
        <v>142</v>
      </c>
      <c r="Y356" s="68">
        <v>20</v>
      </c>
      <c r="Z356" s="65">
        <v>0.15</v>
      </c>
      <c r="AA356" s="271">
        <v>1.2999999999999999E-2</v>
      </c>
      <c r="AB356" s="66">
        <f t="shared" si="467"/>
        <v>0.16300000000000001</v>
      </c>
      <c r="AC356" s="59">
        <v>234</v>
      </c>
      <c r="AD356" s="60">
        <v>154</v>
      </c>
      <c r="AE356" s="60">
        <v>150</v>
      </c>
      <c r="AF356" s="191">
        <v>8</v>
      </c>
      <c r="AG356" s="117">
        <v>600000551</v>
      </c>
      <c r="AH356" s="104">
        <f>справочники!$C$174</f>
        <v>7.3999999999999996E-2</v>
      </c>
      <c r="AI356" s="61">
        <f t="shared" si="204"/>
        <v>1.2</v>
      </c>
      <c r="AJ356" s="122">
        <f t="shared" si="205"/>
        <v>1.3780000000000001</v>
      </c>
      <c r="AK356" s="37">
        <v>24</v>
      </c>
      <c r="AL356" s="38">
        <v>11</v>
      </c>
      <c r="AM356" s="40">
        <f t="shared" si="484"/>
        <v>264</v>
      </c>
      <c r="AN356" s="206">
        <f t="shared" si="480"/>
        <v>2112</v>
      </c>
      <c r="AO356" s="204">
        <f t="shared" si="206"/>
        <v>1795</v>
      </c>
    </row>
    <row r="357" spans="1:41" ht="90" customHeight="1" x14ac:dyDescent="0.2">
      <c r="A357" s="22">
        <f t="shared" si="427"/>
        <v>7382</v>
      </c>
      <c r="B357" s="116">
        <v>1001203117382</v>
      </c>
      <c r="C357" s="48" t="s">
        <v>1399</v>
      </c>
      <c r="D357" s="49" t="s">
        <v>4</v>
      </c>
      <c r="E357" s="146" t="s">
        <v>373</v>
      </c>
      <c r="F357" s="112" t="s">
        <v>353</v>
      </c>
      <c r="G357" s="224" t="s">
        <v>2</v>
      </c>
      <c r="H357" s="58" t="s">
        <v>278</v>
      </c>
      <c r="I357" s="154" t="s">
        <v>1940</v>
      </c>
      <c r="J357" s="151" t="s">
        <v>418</v>
      </c>
      <c r="K357" s="83" t="s">
        <v>2026</v>
      </c>
      <c r="L357" s="84">
        <v>17</v>
      </c>
      <c r="M357" s="85">
        <v>40</v>
      </c>
      <c r="N357" s="91">
        <v>6</v>
      </c>
      <c r="O357" s="86" t="s">
        <v>2027</v>
      </c>
      <c r="P357" s="113" t="s">
        <v>104</v>
      </c>
      <c r="Q357" s="87">
        <v>60</v>
      </c>
      <c r="R357" s="82" t="s">
        <v>51</v>
      </c>
      <c r="S357" s="237">
        <v>4607958070640</v>
      </c>
      <c r="T357" s="332">
        <v>14607958070647</v>
      </c>
      <c r="U357" s="46">
        <v>4607958070640</v>
      </c>
      <c r="V357" s="46">
        <v>14607958070647</v>
      </c>
      <c r="W357" s="258">
        <v>220</v>
      </c>
      <c r="X357" s="68">
        <v>142</v>
      </c>
      <c r="Y357" s="68">
        <v>20</v>
      </c>
      <c r="Z357" s="65">
        <v>0.12</v>
      </c>
      <c r="AA357" s="271">
        <v>1.7999999999999999E-2</v>
      </c>
      <c r="AB357" s="66">
        <f t="shared" ref="AB357" si="485">Z357+AA357</f>
        <v>0.13799999999999998</v>
      </c>
      <c r="AC357" s="59">
        <v>234</v>
      </c>
      <c r="AD357" s="60">
        <v>154</v>
      </c>
      <c r="AE357" s="60">
        <v>150</v>
      </c>
      <c r="AF357" s="191">
        <v>8</v>
      </c>
      <c r="AG357" s="117">
        <v>600000551</v>
      </c>
      <c r="AH357" s="104">
        <f>справочники!$C$174</f>
        <v>7.3999999999999996E-2</v>
      </c>
      <c r="AI357" s="61">
        <f t="shared" si="204"/>
        <v>0.96</v>
      </c>
      <c r="AJ357" s="122">
        <f t="shared" si="205"/>
        <v>1.1779999999999999</v>
      </c>
      <c r="AK357" s="37">
        <v>24</v>
      </c>
      <c r="AL357" s="38">
        <v>11</v>
      </c>
      <c r="AM357" s="40">
        <f t="shared" ref="AM357" si="486">AK357*AL357</f>
        <v>264</v>
      </c>
      <c r="AN357" s="206">
        <f t="shared" ref="AN357" si="487">IF(D357="ШТ",кол_во_инд.__упак_к*итого_г_у,ROUNDDOWN(номин.вес_нетто_г_у__кг*итого_г_у,1))</f>
        <v>2112</v>
      </c>
      <c r="AO357" s="204">
        <f t="shared" si="206"/>
        <v>1795</v>
      </c>
    </row>
    <row r="358" spans="1:41" ht="140.25" x14ac:dyDescent="0.2">
      <c r="A358" s="22">
        <f t="shared" si="427"/>
        <v>7267</v>
      </c>
      <c r="B358" s="116">
        <v>1001203117267</v>
      </c>
      <c r="C358" s="48" t="s">
        <v>1229</v>
      </c>
      <c r="D358" s="49" t="s">
        <v>4</v>
      </c>
      <c r="E358" s="146" t="s">
        <v>373</v>
      </c>
      <c r="F358" s="112" t="s">
        <v>353</v>
      </c>
      <c r="G358" s="224" t="s">
        <v>6</v>
      </c>
      <c r="H358" s="49" t="s">
        <v>278</v>
      </c>
      <c r="I358" s="154" t="s">
        <v>1940</v>
      </c>
      <c r="J358" s="151" t="s">
        <v>418</v>
      </c>
      <c r="K358" s="83" t="s">
        <v>2062</v>
      </c>
      <c r="L358" s="84">
        <v>17</v>
      </c>
      <c r="M358" s="85">
        <v>40</v>
      </c>
      <c r="N358" s="91">
        <v>6</v>
      </c>
      <c r="O358" s="86" t="s">
        <v>2027</v>
      </c>
      <c r="P358" s="113" t="s">
        <v>104</v>
      </c>
      <c r="Q358" s="87">
        <v>60</v>
      </c>
      <c r="R358" s="82" t="s">
        <v>51</v>
      </c>
      <c r="S358" s="237">
        <v>4607958079490</v>
      </c>
      <c r="T358" s="332">
        <v>14607958079497</v>
      </c>
      <c r="U358" s="46">
        <v>4607958079490</v>
      </c>
      <c r="V358" s="46">
        <v>14607958079497</v>
      </c>
      <c r="W358" s="258">
        <v>220</v>
      </c>
      <c r="X358" s="68">
        <v>142</v>
      </c>
      <c r="Y358" s="68">
        <v>20</v>
      </c>
      <c r="Z358" s="65">
        <v>0.12</v>
      </c>
      <c r="AA358" s="271">
        <v>1.7999999999999999E-2</v>
      </c>
      <c r="AB358" s="66">
        <f t="shared" ref="AB358" si="488">Z358+AA358</f>
        <v>0.13799999999999998</v>
      </c>
      <c r="AC358" s="59">
        <v>234</v>
      </c>
      <c r="AD358" s="60">
        <v>154</v>
      </c>
      <c r="AE358" s="60">
        <v>150</v>
      </c>
      <c r="AF358" s="191">
        <v>8</v>
      </c>
      <c r="AG358" s="117">
        <v>600000561</v>
      </c>
      <c r="AH358" s="104">
        <f>справочники!$C$178</f>
        <v>7.4999999999999997E-2</v>
      </c>
      <c r="AI358" s="61">
        <f t="shared" si="204"/>
        <v>0.96</v>
      </c>
      <c r="AJ358" s="122">
        <f t="shared" si="205"/>
        <v>1.1789999999999998</v>
      </c>
      <c r="AK358" s="37">
        <v>24</v>
      </c>
      <c r="AL358" s="38">
        <v>11</v>
      </c>
      <c r="AM358" s="40">
        <f t="shared" ref="AM358" si="489">AK358*AL358</f>
        <v>264</v>
      </c>
      <c r="AN358" s="206">
        <f t="shared" ref="AN358" si="490">IF(D358="ШТ",кол_во_инд.__упак_к*итого_г_у,ROUNDDOWN(номин.вес_нетто_г_у__кг*итого_г_у,1))</f>
        <v>2112</v>
      </c>
      <c r="AO358" s="204">
        <f t="shared" si="206"/>
        <v>1795</v>
      </c>
    </row>
    <row r="359" spans="1:41" ht="165.75" x14ac:dyDescent="0.2">
      <c r="A359" s="22">
        <f t="shared" si="427"/>
        <v>6442</v>
      </c>
      <c r="B359" s="116">
        <v>1001202506442</v>
      </c>
      <c r="C359" s="48" t="s">
        <v>1205</v>
      </c>
      <c r="D359" s="49" t="s">
        <v>4</v>
      </c>
      <c r="E359" s="146" t="s">
        <v>373</v>
      </c>
      <c r="F359" s="112" t="s">
        <v>353</v>
      </c>
      <c r="G359" s="224" t="s">
        <v>6</v>
      </c>
      <c r="H359" s="49" t="s">
        <v>1</v>
      </c>
      <c r="I359" s="154" t="s">
        <v>1940</v>
      </c>
      <c r="J359" s="151" t="s">
        <v>418</v>
      </c>
      <c r="K359" s="83" t="s">
        <v>2029</v>
      </c>
      <c r="L359" s="84">
        <v>18</v>
      </c>
      <c r="M359" s="85">
        <v>38</v>
      </c>
      <c r="N359" s="91">
        <v>3</v>
      </c>
      <c r="O359" s="86" t="s">
        <v>2028</v>
      </c>
      <c r="P359" s="31" t="s">
        <v>104</v>
      </c>
      <c r="Q359" s="87">
        <v>60</v>
      </c>
      <c r="R359" s="82" t="s">
        <v>51</v>
      </c>
      <c r="S359" s="237">
        <v>4607958071852</v>
      </c>
      <c r="T359" s="332">
        <v>24607958071856</v>
      </c>
      <c r="U359" s="46">
        <v>4607958071852</v>
      </c>
      <c r="V359" s="46">
        <v>24607958071856</v>
      </c>
      <c r="W359" s="258">
        <v>220</v>
      </c>
      <c r="X359" s="68">
        <v>142</v>
      </c>
      <c r="Y359" s="68">
        <v>15</v>
      </c>
      <c r="Z359" s="65">
        <v>0.1</v>
      </c>
      <c r="AA359" s="271">
        <v>1.7999999999999999E-2</v>
      </c>
      <c r="AB359" s="66">
        <f t="shared" ref="AB359:AB361" si="491">Z359+AA359</f>
        <v>0.11800000000000001</v>
      </c>
      <c r="AC359" s="59">
        <v>198</v>
      </c>
      <c r="AD359" s="60">
        <v>148</v>
      </c>
      <c r="AE359" s="60">
        <v>228</v>
      </c>
      <c r="AF359" s="191">
        <v>14</v>
      </c>
      <c r="AG359" s="117">
        <v>600000415</v>
      </c>
      <c r="AH359" s="104">
        <f>справочники!$C$124</f>
        <v>9.8000000000000004E-2</v>
      </c>
      <c r="AI359" s="61">
        <f t="shared" si="204"/>
        <v>1.4</v>
      </c>
      <c r="AJ359" s="122">
        <f t="shared" si="205"/>
        <v>1.7500000000000002</v>
      </c>
      <c r="AK359" s="37">
        <v>30</v>
      </c>
      <c r="AL359" s="38">
        <v>6</v>
      </c>
      <c r="AM359" s="40">
        <f t="shared" ref="AM359:AM361" si="492">AK359*AL359</f>
        <v>180</v>
      </c>
      <c r="AN359" s="206">
        <f t="shared" ref="AN359:AN361" si="493">IF(D359="ШТ",кол_во_инд.__упак_к*итого_г_у,ROUNDDOWN(номин.вес_нетто_г_у__кг*итого_г_у,1))</f>
        <v>2520</v>
      </c>
      <c r="AO359" s="204">
        <f t="shared" si="206"/>
        <v>1513</v>
      </c>
    </row>
    <row r="360" spans="1:41" ht="165.75" x14ac:dyDescent="0.2">
      <c r="A360" s="22">
        <f t="shared" si="427"/>
        <v>7627</v>
      </c>
      <c r="B360" s="116">
        <v>1001062507627</v>
      </c>
      <c r="C360" s="48" t="s">
        <v>1877</v>
      </c>
      <c r="D360" s="49" t="s">
        <v>4</v>
      </c>
      <c r="E360" s="146" t="s">
        <v>373</v>
      </c>
      <c r="F360" s="112" t="s">
        <v>353</v>
      </c>
      <c r="G360" s="224" t="s">
        <v>6</v>
      </c>
      <c r="H360" s="49" t="s">
        <v>1</v>
      </c>
      <c r="I360" s="154" t="s">
        <v>1940</v>
      </c>
      <c r="J360" s="151" t="s">
        <v>418</v>
      </c>
      <c r="K360" s="83" t="s">
        <v>2029</v>
      </c>
      <c r="L360" s="84">
        <v>18</v>
      </c>
      <c r="M360" s="85">
        <v>38</v>
      </c>
      <c r="N360" s="91">
        <v>3</v>
      </c>
      <c r="O360" s="86" t="s">
        <v>2028</v>
      </c>
      <c r="P360" s="31" t="s">
        <v>104</v>
      </c>
      <c r="Q360" s="87">
        <v>60</v>
      </c>
      <c r="R360" s="82" t="s">
        <v>51</v>
      </c>
      <c r="S360" s="237">
        <v>4607958071852</v>
      </c>
      <c r="T360" s="332">
        <v>34607958071853</v>
      </c>
      <c r="U360" s="46">
        <v>4607958071852</v>
      </c>
      <c r="V360" s="46">
        <v>34607958071853</v>
      </c>
      <c r="W360" s="258">
        <v>195</v>
      </c>
      <c r="X360" s="68">
        <v>137</v>
      </c>
      <c r="Y360" s="68">
        <v>12</v>
      </c>
      <c r="Z360" s="65">
        <v>0.1</v>
      </c>
      <c r="AA360" s="271">
        <v>1.7999999999999999E-2</v>
      </c>
      <c r="AB360" s="66">
        <f t="shared" ref="AB360" si="494">Z360+AA360</f>
        <v>0.11800000000000001</v>
      </c>
      <c r="AC360" s="59">
        <v>203</v>
      </c>
      <c r="AD360" s="60">
        <v>147</v>
      </c>
      <c r="AE360" s="60">
        <v>118</v>
      </c>
      <c r="AF360" s="191">
        <v>10</v>
      </c>
      <c r="AG360" s="117">
        <v>600000593</v>
      </c>
      <c r="AH360" s="104">
        <f>справочники!$C$214</f>
        <v>6.3E-2</v>
      </c>
      <c r="AI360" s="61">
        <f t="shared" si="204"/>
        <v>1</v>
      </c>
      <c r="AJ360" s="122">
        <f t="shared" si="205"/>
        <v>1.2430000000000001</v>
      </c>
      <c r="AK360" s="37">
        <v>30</v>
      </c>
      <c r="AL360" s="38">
        <v>14</v>
      </c>
      <c r="AM360" s="40">
        <f t="shared" ref="AM360" si="495">AK360*AL360</f>
        <v>420</v>
      </c>
      <c r="AN360" s="206">
        <f t="shared" ref="AN360" si="496">IF(D360="ШТ",кол_во_инд.__упак_к*итого_г_у,ROUNDDOWN(номин.вес_нетто_г_у__кг*итого_г_у,1))</f>
        <v>4200</v>
      </c>
      <c r="AO360" s="204">
        <f t="shared" si="206"/>
        <v>1797</v>
      </c>
    </row>
    <row r="361" spans="1:41" ht="93" customHeight="1" x14ac:dyDescent="0.2">
      <c r="A361" s="22">
        <f t="shared" si="427"/>
        <v>7616</v>
      </c>
      <c r="B361" s="116">
        <v>1001062507616</v>
      </c>
      <c r="C361" s="48" t="s">
        <v>1818</v>
      </c>
      <c r="D361" s="49" t="s">
        <v>4</v>
      </c>
      <c r="E361" s="146" t="s">
        <v>373</v>
      </c>
      <c r="F361" s="112" t="s">
        <v>353</v>
      </c>
      <c r="G361" s="224" t="s">
        <v>6</v>
      </c>
      <c r="H361" s="58" t="s">
        <v>136</v>
      </c>
      <c r="I361" s="154" t="s">
        <v>1065</v>
      </c>
      <c r="J361" s="151" t="s">
        <v>418</v>
      </c>
      <c r="K361" s="83" t="s">
        <v>634</v>
      </c>
      <c r="L361" s="84">
        <v>23</v>
      </c>
      <c r="M361" s="85">
        <v>32</v>
      </c>
      <c r="N361" s="91">
        <v>0</v>
      </c>
      <c r="O361" s="86" t="s">
        <v>354</v>
      </c>
      <c r="P361" s="31" t="s">
        <v>104</v>
      </c>
      <c r="Q361" s="87">
        <v>60</v>
      </c>
      <c r="R361" s="82" t="s">
        <v>51</v>
      </c>
      <c r="S361" s="237">
        <v>4607958071852</v>
      </c>
      <c r="T361" s="332">
        <v>34607958071853</v>
      </c>
      <c r="U361" s="46">
        <v>4607958071852</v>
      </c>
      <c r="V361" s="46">
        <v>34607958071853</v>
      </c>
      <c r="W361" s="258">
        <v>195</v>
      </c>
      <c r="X361" s="68">
        <v>137</v>
      </c>
      <c r="Y361" s="68">
        <v>12</v>
      </c>
      <c r="Z361" s="65">
        <v>0.1</v>
      </c>
      <c r="AA361" s="271">
        <v>1.7999999999999999E-2</v>
      </c>
      <c r="AB361" s="66">
        <f t="shared" si="491"/>
        <v>0.11800000000000001</v>
      </c>
      <c r="AC361" s="59">
        <v>203</v>
      </c>
      <c r="AD361" s="60">
        <v>147</v>
      </c>
      <c r="AE361" s="60">
        <v>118</v>
      </c>
      <c r="AF361" s="191">
        <v>10</v>
      </c>
      <c r="AG361" s="117">
        <v>600000593</v>
      </c>
      <c r="AH361" s="104">
        <f>справочники!$C$214</f>
        <v>6.3E-2</v>
      </c>
      <c r="AI361" s="61">
        <f t="shared" si="204"/>
        <v>1</v>
      </c>
      <c r="AJ361" s="122">
        <f t="shared" si="205"/>
        <v>1.2430000000000001</v>
      </c>
      <c r="AK361" s="37">
        <v>30</v>
      </c>
      <c r="AL361" s="38">
        <v>14</v>
      </c>
      <c r="AM361" s="40">
        <f t="shared" si="492"/>
        <v>420</v>
      </c>
      <c r="AN361" s="206">
        <f t="shared" si="493"/>
        <v>4200</v>
      </c>
      <c r="AO361" s="204">
        <f t="shared" si="206"/>
        <v>1797</v>
      </c>
    </row>
    <row r="362" spans="1:41" ht="153" x14ac:dyDescent="0.2">
      <c r="A362" s="22">
        <f t="shared" si="427"/>
        <v>7218</v>
      </c>
      <c r="B362" s="116">
        <v>1001202507218</v>
      </c>
      <c r="C362" s="48" t="s">
        <v>1179</v>
      </c>
      <c r="D362" s="49" t="s">
        <v>4</v>
      </c>
      <c r="E362" s="146" t="s">
        <v>373</v>
      </c>
      <c r="F362" s="112" t="s">
        <v>353</v>
      </c>
      <c r="G362" s="224" t="s">
        <v>6</v>
      </c>
      <c r="H362" s="49" t="s">
        <v>278</v>
      </c>
      <c r="I362" s="154" t="s">
        <v>398</v>
      </c>
      <c r="J362" s="151" t="s">
        <v>418</v>
      </c>
      <c r="K362" s="83" t="s">
        <v>634</v>
      </c>
      <c r="L362" s="84">
        <v>23</v>
      </c>
      <c r="M362" s="85">
        <v>32</v>
      </c>
      <c r="N362" s="91"/>
      <c r="O362" s="86" t="s">
        <v>354</v>
      </c>
      <c r="P362" s="31" t="s">
        <v>104</v>
      </c>
      <c r="Q362" s="87">
        <v>60</v>
      </c>
      <c r="R362" s="82" t="s">
        <v>51</v>
      </c>
      <c r="S362" s="237">
        <v>4607958071852</v>
      </c>
      <c r="T362" s="332">
        <v>34607958071853</v>
      </c>
      <c r="U362" s="46" t="s">
        <v>1874</v>
      </c>
      <c r="V362" s="46" t="s">
        <v>1874</v>
      </c>
      <c r="W362" s="258">
        <v>220</v>
      </c>
      <c r="X362" s="68">
        <v>142</v>
      </c>
      <c r="Y362" s="68">
        <v>15</v>
      </c>
      <c r="Z362" s="65">
        <v>0.1</v>
      </c>
      <c r="AA362" s="271">
        <v>1.7999999999999999E-2</v>
      </c>
      <c r="AB362" s="66">
        <f t="shared" ref="AB362:AB363" si="497">Z362+AA362</f>
        <v>0.11800000000000001</v>
      </c>
      <c r="AC362" s="59">
        <v>388</v>
      </c>
      <c r="AD362" s="60">
        <v>292</v>
      </c>
      <c r="AE362" s="60">
        <v>240</v>
      </c>
      <c r="AF362" s="191">
        <v>50</v>
      </c>
      <c r="AG362" s="117">
        <v>600000017</v>
      </c>
      <c r="AH362" s="104">
        <f>справочники!$C$9</f>
        <v>0.34899999999999998</v>
      </c>
      <c r="AI362" s="61">
        <f t="shared" si="204"/>
        <v>5</v>
      </c>
      <c r="AJ362" s="122">
        <f t="shared" si="205"/>
        <v>6.2490000000000006</v>
      </c>
      <c r="AK362" s="37">
        <v>8</v>
      </c>
      <c r="AL362" s="38">
        <v>6</v>
      </c>
      <c r="AM362" s="40">
        <f t="shared" ref="AM362:AM363" si="498">AK362*AL362</f>
        <v>48</v>
      </c>
      <c r="AN362" s="206">
        <f t="shared" ref="AN362:AN363" si="499">IF(D362="ШТ",кол_во_инд.__упак_к*итого_г_у,ROUNDDOWN(номин.вес_нетто_г_у__кг*итого_г_у,1))</f>
        <v>2400</v>
      </c>
      <c r="AO362" s="204">
        <f t="shared" si="206"/>
        <v>1585</v>
      </c>
    </row>
    <row r="363" spans="1:41" ht="103.5" customHeight="1" x14ac:dyDescent="0.2">
      <c r="A363" s="22">
        <f t="shared" si="427"/>
        <v>7491</v>
      </c>
      <c r="B363" s="116">
        <v>1001202507491</v>
      </c>
      <c r="C363" s="48" t="s">
        <v>1574</v>
      </c>
      <c r="D363" s="49" t="s">
        <v>3</v>
      </c>
      <c r="E363" s="146" t="s">
        <v>373</v>
      </c>
      <c r="F363" s="112" t="s">
        <v>353</v>
      </c>
      <c r="G363" s="224" t="s">
        <v>935</v>
      </c>
      <c r="H363" s="49" t="s">
        <v>1</v>
      </c>
      <c r="I363" s="154" t="s">
        <v>1940</v>
      </c>
      <c r="J363" s="151" t="s">
        <v>418</v>
      </c>
      <c r="K363" s="83" t="s">
        <v>2029</v>
      </c>
      <c r="L363" s="84">
        <v>18</v>
      </c>
      <c r="M363" s="85">
        <v>38</v>
      </c>
      <c r="N363" s="91">
        <v>3</v>
      </c>
      <c r="O363" s="86" t="s">
        <v>2028</v>
      </c>
      <c r="P363" s="31" t="s">
        <v>104</v>
      </c>
      <c r="Q363" s="87">
        <v>60</v>
      </c>
      <c r="R363" s="82" t="s">
        <v>51</v>
      </c>
      <c r="S363" s="237">
        <v>2800567000004</v>
      </c>
      <c r="T363" s="332">
        <v>12800567000001</v>
      </c>
      <c r="U363" s="46">
        <v>4630362181749</v>
      </c>
      <c r="V363" s="46">
        <v>14630362181746</v>
      </c>
      <c r="W363" s="258">
        <v>300</v>
      </c>
      <c r="X363" s="68">
        <v>190</v>
      </c>
      <c r="Y363" s="68">
        <v>80</v>
      </c>
      <c r="Z363" s="65">
        <v>1</v>
      </c>
      <c r="AA363" s="271">
        <v>1.4999999999999999E-2</v>
      </c>
      <c r="AB363" s="66">
        <f t="shared" si="497"/>
        <v>1.0149999999999999</v>
      </c>
      <c r="AC363" s="59">
        <v>292</v>
      </c>
      <c r="AD363" s="60">
        <v>178</v>
      </c>
      <c r="AE363" s="60">
        <v>178</v>
      </c>
      <c r="AF363" s="191">
        <v>2</v>
      </c>
      <c r="AG363" s="117">
        <v>600000029</v>
      </c>
      <c r="AH363" s="104">
        <f>справочники!$C$21</f>
        <v>0.125</v>
      </c>
      <c r="AI363" s="61">
        <f t="shared" si="204"/>
        <v>2</v>
      </c>
      <c r="AJ363" s="122">
        <f t="shared" si="205"/>
        <v>2.1549999999999998</v>
      </c>
      <c r="AK363" s="37">
        <v>16</v>
      </c>
      <c r="AL363" s="38">
        <v>8</v>
      </c>
      <c r="AM363" s="40">
        <f t="shared" si="498"/>
        <v>128</v>
      </c>
      <c r="AN363" s="272">
        <f t="shared" si="499"/>
        <v>256</v>
      </c>
      <c r="AO363" s="204">
        <f t="shared" si="206"/>
        <v>1569</v>
      </c>
    </row>
    <row r="364" spans="1:41" ht="102" x14ac:dyDescent="0.2">
      <c r="A364" s="22">
        <f t="shared" si="427"/>
        <v>7047</v>
      </c>
      <c r="B364" s="116">
        <v>1001223907047</v>
      </c>
      <c r="C364" s="48" t="s">
        <v>1034</v>
      </c>
      <c r="D364" s="49" t="s">
        <v>4</v>
      </c>
      <c r="E364" s="146" t="s">
        <v>373</v>
      </c>
      <c r="F364" s="112" t="s">
        <v>1230</v>
      </c>
      <c r="G364" s="224" t="s">
        <v>520</v>
      </c>
      <c r="H364" s="49" t="s">
        <v>1</v>
      </c>
      <c r="I364" s="154" t="s">
        <v>1941</v>
      </c>
      <c r="J364" s="151" t="s">
        <v>1955</v>
      </c>
      <c r="K364" s="98" t="s">
        <v>1956</v>
      </c>
      <c r="L364" s="84">
        <v>21</v>
      </c>
      <c r="M364" s="53">
        <v>4</v>
      </c>
      <c r="N364" s="90">
        <v>1</v>
      </c>
      <c r="O364" s="86" t="s">
        <v>1957</v>
      </c>
      <c r="P364" s="113" t="s">
        <v>104</v>
      </c>
      <c r="Q364" s="49">
        <v>45</v>
      </c>
      <c r="R364" s="82" t="s">
        <v>51</v>
      </c>
      <c r="S364" s="46">
        <v>4630362182791</v>
      </c>
      <c r="T364" s="46">
        <v>14630362182798</v>
      </c>
      <c r="U364" s="46">
        <v>4630362182791</v>
      </c>
      <c r="V364" s="46">
        <v>14630362182798</v>
      </c>
      <c r="W364" s="259">
        <v>231</v>
      </c>
      <c r="X364" s="96">
        <v>137</v>
      </c>
      <c r="Y364" s="96">
        <v>20</v>
      </c>
      <c r="Z364" s="65">
        <v>0.15</v>
      </c>
      <c r="AA364" s="271">
        <v>1.4E-2</v>
      </c>
      <c r="AB364" s="66">
        <f t="shared" ref="AB364:AB368" si="500">Z364+AA364</f>
        <v>0.16400000000000001</v>
      </c>
      <c r="AC364" s="59">
        <v>243</v>
      </c>
      <c r="AD364" s="60">
        <v>152</v>
      </c>
      <c r="AE364" s="60">
        <v>245</v>
      </c>
      <c r="AF364" s="191">
        <v>14</v>
      </c>
      <c r="AG364" s="117">
        <v>600000496</v>
      </c>
      <c r="AH364" s="104">
        <f>справочники!$C$156</f>
        <v>0.14199999999999999</v>
      </c>
      <c r="AI364" s="61">
        <f t="shared" si="204"/>
        <v>2.1</v>
      </c>
      <c r="AJ364" s="122">
        <f t="shared" si="205"/>
        <v>2.4380000000000002</v>
      </c>
      <c r="AK364" s="37">
        <v>24</v>
      </c>
      <c r="AL364" s="38">
        <v>6</v>
      </c>
      <c r="AM364" s="40">
        <f t="shared" ref="AM364:AM368" si="501">AK364*AL364</f>
        <v>144</v>
      </c>
      <c r="AN364" s="206">
        <f t="shared" ref="AN364:AN368" si="502">IF(D364="ШТ",кол_во_инд.__упак_к*итого_г_у,ROUNDDOWN(номин.вес_нетто_г_у__кг*итого_г_у,1))</f>
        <v>2016</v>
      </c>
      <c r="AO364" s="204">
        <f t="shared" si="206"/>
        <v>1615</v>
      </c>
    </row>
    <row r="365" spans="1:41" ht="102" x14ac:dyDescent="0.2">
      <c r="A365" s="22">
        <f t="shared" si="427"/>
        <v>7288</v>
      </c>
      <c r="B365" s="116">
        <v>1001223907288</v>
      </c>
      <c r="C365" s="48" t="s">
        <v>1254</v>
      </c>
      <c r="D365" s="49" t="s">
        <v>4</v>
      </c>
      <c r="E365" s="146" t="s">
        <v>373</v>
      </c>
      <c r="F365" s="112" t="s">
        <v>1230</v>
      </c>
      <c r="G365" s="224" t="s">
        <v>2</v>
      </c>
      <c r="H365" s="49" t="s">
        <v>1</v>
      </c>
      <c r="I365" s="154" t="s">
        <v>1941</v>
      </c>
      <c r="J365" s="151" t="s">
        <v>1955</v>
      </c>
      <c r="K365" s="98" t="s">
        <v>1956</v>
      </c>
      <c r="L365" s="84">
        <v>19</v>
      </c>
      <c r="M365" s="53">
        <v>5</v>
      </c>
      <c r="N365" s="90">
        <v>0</v>
      </c>
      <c r="O365" s="86" t="s">
        <v>1150</v>
      </c>
      <c r="P365" s="113" t="s">
        <v>104</v>
      </c>
      <c r="Q365" s="49">
        <v>60</v>
      </c>
      <c r="R365" s="82" t="s">
        <v>51</v>
      </c>
      <c r="S365" s="237">
        <v>4607958079605</v>
      </c>
      <c r="T365" s="332">
        <v>14607958079602</v>
      </c>
      <c r="U365" s="46">
        <v>4607958079605</v>
      </c>
      <c r="V365" s="46">
        <v>14607958079602</v>
      </c>
      <c r="W365" s="259">
        <v>231</v>
      </c>
      <c r="X365" s="96">
        <v>137</v>
      </c>
      <c r="Y365" s="96">
        <v>15</v>
      </c>
      <c r="Z365" s="65">
        <v>0.1</v>
      </c>
      <c r="AA365" s="271">
        <v>1.4E-2</v>
      </c>
      <c r="AB365" s="66">
        <f t="shared" ref="AB365" si="503">Z365+AA365</f>
        <v>0.114</v>
      </c>
      <c r="AC365" s="59">
        <v>240</v>
      </c>
      <c r="AD365" s="60">
        <v>148</v>
      </c>
      <c r="AE365" s="60">
        <v>143</v>
      </c>
      <c r="AF365" s="191">
        <v>10</v>
      </c>
      <c r="AG365" s="117">
        <v>600000531</v>
      </c>
      <c r="AH365" s="104">
        <f>справочники!$C$161</f>
        <v>6.8000000000000005E-2</v>
      </c>
      <c r="AI365" s="61">
        <f t="shared" si="204"/>
        <v>1</v>
      </c>
      <c r="AJ365" s="122">
        <f t="shared" si="205"/>
        <v>1.2080000000000002</v>
      </c>
      <c r="AK365" s="37">
        <v>24</v>
      </c>
      <c r="AL365" s="38">
        <v>11</v>
      </c>
      <c r="AM365" s="40">
        <f t="shared" ref="AM365" si="504">AK365*AL365</f>
        <v>264</v>
      </c>
      <c r="AN365" s="206">
        <f t="shared" ref="AN365" si="505">IF(D365="ШТ",кол_во_инд.__упак_к*итого_г_у,ROUNDDOWN(номин.вес_нетто_г_у__кг*итого_г_у,1))</f>
        <v>2640</v>
      </c>
      <c r="AO365" s="204">
        <f t="shared" si="206"/>
        <v>1718</v>
      </c>
    </row>
    <row r="366" spans="1:41" ht="102" x14ac:dyDescent="0.2">
      <c r="A366" s="22">
        <f t="shared" si="427"/>
        <v>7612</v>
      </c>
      <c r="B366" s="116">
        <v>1001453907612</v>
      </c>
      <c r="C366" s="48" t="s">
        <v>1808</v>
      </c>
      <c r="D366" s="49" t="s">
        <v>4</v>
      </c>
      <c r="E366" s="146" t="s">
        <v>373</v>
      </c>
      <c r="F366" s="112" t="s">
        <v>1230</v>
      </c>
      <c r="G366" s="224" t="s">
        <v>2</v>
      </c>
      <c r="H366" s="49" t="s">
        <v>1</v>
      </c>
      <c r="I366" s="154" t="s">
        <v>1941</v>
      </c>
      <c r="J366" s="151" t="s">
        <v>1955</v>
      </c>
      <c r="K366" s="98" t="s">
        <v>1956</v>
      </c>
      <c r="L366" s="84">
        <v>19</v>
      </c>
      <c r="M366" s="53">
        <v>5</v>
      </c>
      <c r="N366" s="90">
        <v>0</v>
      </c>
      <c r="O366" s="86" t="s">
        <v>1150</v>
      </c>
      <c r="P366" s="113" t="s">
        <v>104</v>
      </c>
      <c r="Q366" s="49">
        <v>60</v>
      </c>
      <c r="R366" s="82" t="s">
        <v>51</v>
      </c>
      <c r="S366" s="237">
        <v>4607958079605</v>
      </c>
      <c r="T366" s="332">
        <v>14607958079602</v>
      </c>
      <c r="U366" s="46">
        <v>4607958079605</v>
      </c>
      <c r="V366" s="46">
        <v>14607958079602</v>
      </c>
      <c r="W366" s="259"/>
      <c r="X366" s="96"/>
      <c r="Y366" s="96"/>
      <c r="Z366" s="65">
        <v>0.1</v>
      </c>
      <c r="AA366" s="271">
        <v>1.4E-2</v>
      </c>
      <c r="AB366" s="66">
        <f t="shared" ref="AB366" si="506">Z366+AA366</f>
        <v>0.114</v>
      </c>
      <c r="AC366" s="59">
        <v>204</v>
      </c>
      <c r="AD366" s="60">
        <v>147</v>
      </c>
      <c r="AE366" s="60">
        <v>150</v>
      </c>
      <c r="AF366" s="191">
        <v>10</v>
      </c>
      <c r="AG366" s="117">
        <v>600000602</v>
      </c>
      <c r="AH366" s="104">
        <f>справочники!$C$192</f>
        <v>8.5000000000000006E-2</v>
      </c>
      <c r="AI366" s="61">
        <f t="shared" si="204"/>
        <v>1</v>
      </c>
      <c r="AJ366" s="122">
        <f t="shared" si="205"/>
        <v>1.2250000000000001</v>
      </c>
      <c r="AK366" s="37">
        <v>30</v>
      </c>
      <c r="AL366" s="38">
        <v>11</v>
      </c>
      <c r="AM366" s="40">
        <f t="shared" ref="AM366" si="507">AK366*AL366</f>
        <v>330</v>
      </c>
      <c r="AN366" s="206">
        <f t="shared" ref="AN366" si="508">IF(D366="ШТ",кол_во_инд.__упак_к*итого_г_у,ROUNDDOWN(номин.вес_нетто_г_у__кг*итого_г_у,1))</f>
        <v>3300</v>
      </c>
      <c r="AO366" s="204">
        <f t="shared" si="206"/>
        <v>1795</v>
      </c>
    </row>
    <row r="367" spans="1:41" ht="102" x14ac:dyDescent="0.2">
      <c r="A367" s="22">
        <f t="shared" si="427"/>
        <v>7508</v>
      </c>
      <c r="B367" s="116">
        <v>1001227547508</v>
      </c>
      <c r="C367" s="48" t="s">
        <v>1681</v>
      </c>
      <c r="D367" s="49" t="s">
        <v>4</v>
      </c>
      <c r="E367" s="146" t="s">
        <v>373</v>
      </c>
      <c r="F367" s="112" t="s">
        <v>1230</v>
      </c>
      <c r="G367" s="224" t="s">
        <v>1582</v>
      </c>
      <c r="H367" s="49" t="s">
        <v>1</v>
      </c>
      <c r="I367" s="154" t="s">
        <v>1941</v>
      </c>
      <c r="J367" s="151" t="s">
        <v>1955</v>
      </c>
      <c r="K367" s="98" t="s">
        <v>1990</v>
      </c>
      <c r="L367" s="84">
        <v>21</v>
      </c>
      <c r="M367" s="53">
        <v>4</v>
      </c>
      <c r="N367" s="90">
        <v>1</v>
      </c>
      <c r="O367" s="86" t="s">
        <v>1957</v>
      </c>
      <c r="P367" s="113" t="s">
        <v>104</v>
      </c>
      <c r="Q367" s="49">
        <v>45</v>
      </c>
      <c r="R367" s="82" t="s">
        <v>29</v>
      </c>
      <c r="S367" s="237">
        <v>4630362182258</v>
      </c>
      <c r="T367" s="332">
        <v>14630362182255</v>
      </c>
      <c r="U367" s="46">
        <v>4630362182258</v>
      </c>
      <c r="V367" s="46">
        <v>14630362182255</v>
      </c>
      <c r="W367" s="259">
        <v>195</v>
      </c>
      <c r="X367" s="96">
        <v>137</v>
      </c>
      <c r="Y367" s="96">
        <v>18</v>
      </c>
      <c r="Z367" s="65">
        <v>0.13</v>
      </c>
      <c r="AA367" s="271">
        <v>1.6E-2</v>
      </c>
      <c r="AB367" s="66">
        <f t="shared" ref="AB367" si="509">Z367+AA367</f>
        <v>0.14600000000000002</v>
      </c>
      <c r="AC367" s="59">
        <v>204</v>
      </c>
      <c r="AD367" s="60">
        <v>147</v>
      </c>
      <c r="AE367" s="60">
        <v>200</v>
      </c>
      <c r="AF367" s="191">
        <v>10</v>
      </c>
      <c r="AG367" s="117">
        <v>600000605</v>
      </c>
      <c r="AH367" s="104">
        <f>справочники!$C$210</f>
        <v>0.11</v>
      </c>
      <c r="AI367" s="61">
        <f t="shared" si="204"/>
        <v>1.3</v>
      </c>
      <c r="AJ367" s="122">
        <f t="shared" si="205"/>
        <v>1.5700000000000003</v>
      </c>
      <c r="AK367" s="37">
        <v>30</v>
      </c>
      <c r="AL367" s="38">
        <v>8</v>
      </c>
      <c r="AM367" s="40">
        <f t="shared" ref="AM367" si="510">AK367*AL367</f>
        <v>240</v>
      </c>
      <c r="AN367" s="206">
        <f t="shared" ref="AN367" si="511">IF(D367="ШТ",кол_во_инд.__упак_к*итого_г_у,ROUNDDOWN(номин.вес_нетто_г_у__кг*итого_г_у,1))</f>
        <v>2400</v>
      </c>
      <c r="AO367" s="204">
        <f t="shared" si="206"/>
        <v>1745</v>
      </c>
    </row>
    <row r="368" spans="1:41" ht="102" x14ac:dyDescent="0.2">
      <c r="A368" s="22">
        <f t="shared" si="427"/>
        <v>7053</v>
      </c>
      <c r="B368" s="116">
        <v>1001223297053</v>
      </c>
      <c r="C368" s="48" t="s">
        <v>1067</v>
      </c>
      <c r="D368" s="49" t="s">
        <v>3</v>
      </c>
      <c r="E368" s="146" t="s">
        <v>373</v>
      </c>
      <c r="F368" s="112" t="s">
        <v>1230</v>
      </c>
      <c r="G368" s="224" t="s">
        <v>935</v>
      </c>
      <c r="H368" s="49" t="s">
        <v>1</v>
      </c>
      <c r="I368" s="154" t="s">
        <v>1941</v>
      </c>
      <c r="J368" s="151" t="s">
        <v>1993</v>
      </c>
      <c r="K368" s="83" t="s">
        <v>2060</v>
      </c>
      <c r="L368" s="84">
        <v>14</v>
      </c>
      <c r="M368" s="85">
        <v>28</v>
      </c>
      <c r="N368" s="91">
        <v>2</v>
      </c>
      <c r="O368" s="86" t="s">
        <v>1991</v>
      </c>
      <c r="P368" s="113" t="s">
        <v>104</v>
      </c>
      <c r="Q368" s="87">
        <v>30</v>
      </c>
      <c r="R368" s="82" t="s">
        <v>51</v>
      </c>
      <c r="S368" s="237">
        <v>2800430000001</v>
      </c>
      <c r="T368" s="332">
        <v>12800430000008</v>
      </c>
      <c r="U368" s="46">
        <v>4630362181756</v>
      </c>
      <c r="V368" s="46">
        <v>14630362181753</v>
      </c>
      <c r="W368" s="258">
        <v>300</v>
      </c>
      <c r="X368" s="68">
        <v>190</v>
      </c>
      <c r="Y368" s="68">
        <v>80</v>
      </c>
      <c r="Z368" s="65">
        <v>1.05</v>
      </c>
      <c r="AA368" s="271">
        <v>7.0000000000000001E-3</v>
      </c>
      <c r="AB368" s="66">
        <f t="shared" si="500"/>
        <v>1.0569999999999999</v>
      </c>
      <c r="AC368" s="59">
        <v>292</v>
      </c>
      <c r="AD368" s="60">
        <v>178</v>
      </c>
      <c r="AE368" s="60">
        <v>178</v>
      </c>
      <c r="AF368" s="191">
        <v>2</v>
      </c>
      <c r="AG368" s="117">
        <v>600000029</v>
      </c>
      <c r="AH368" s="104">
        <f>справочники!$C$21</f>
        <v>0.125</v>
      </c>
      <c r="AI368" s="61">
        <f t="shared" si="204"/>
        <v>2.1</v>
      </c>
      <c r="AJ368" s="122">
        <f t="shared" si="205"/>
        <v>2.2389999999999999</v>
      </c>
      <c r="AK368" s="37">
        <v>16</v>
      </c>
      <c r="AL368" s="38">
        <v>8</v>
      </c>
      <c r="AM368" s="40">
        <f t="shared" si="501"/>
        <v>128</v>
      </c>
      <c r="AN368" s="272">
        <f t="shared" si="502"/>
        <v>268.8</v>
      </c>
      <c r="AO368" s="204">
        <f t="shared" si="206"/>
        <v>1569</v>
      </c>
    </row>
    <row r="369" spans="1:41" ht="102" x14ac:dyDescent="0.2">
      <c r="A369" s="22">
        <f t="shared" si="427"/>
        <v>7103</v>
      </c>
      <c r="B369" s="116">
        <v>1001223297103</v>
      </c>
      <c r="C369" s="48" t="s">
        <v>1072</v>
      </c>
      <c r="D369" s="49" t="s">
        <v>4</v>
      </c>
      <c r="E369" s="146" t="s">
        <v>373</v>
      </c>
      <c r="F369" s="112" t="s">
        <v>1230</v>
      </c>
      <c r="G369" s="224" t="s">
        <v>2</v>
      </c>
      <c r="H369" s="49" t="s">
        <v>1</v>
      </c>
      <c r="I369" s="154" t="s">
        <v>1941</v>
      </c>
      <c r="J369" s="151" t="s">
        <v>1993</v>
      </c>
      <c r="K369" s="83" t="s">
        <v>1992</v>
      </c>
      <c r="L369" s="84">
        <v>14</v>
      </c>
      <c r="M369" s="85">
        <v>28</v>
      </c>
      <c r="N369" s="91">
        <v>2</v>
      </c>
      <c r="O369" s="86" t="s">
        <v>1991</v>
      </c>
      <c r="P369" s="113" t="s">
        <v>104</v>
      </c>
      <c r="Q369" s="87">
        <v>50</v>
      </c>
      <c r="R369" s="82" t="s">
        <v>51</v>
      </c>
      <c r="S369" s="237">
        <v>4607958072477</v>
      </c>
      <c r="T369" s="332">
        <v>24607958072471</v>
      </c>
      <c r="U369" s="46">
        <v>4607958072477</v>
      </c>
      <c r="V369" s="46">
        <v>24607958072471</v>
      </c>
      <c r="W369" s="258">
        <v>248</v>
      </c>
      <c r="X369" s="68">
        <v>130</v>
      </c>
      <c r="Y369" s="68">
        <v>15</v>
      </c>
      <c r="Z369" s="65">
        <v>0.18</v>
      </c>
      <c r="AA369" s="271">
        <v>1.2999999999999999E-2</v>
      </c>
      <c r="AB369" s="66">
        <f t="shared" ref="AB369" si="512">Z369+AA369</f>
        <v>0.193</v>
      </c>
      <c r="AC369" s="59">
        <v>258</v>
      </c>
      <c r="AD369" s="60">
        <v>139</v>
      </c>
      <c r="AE369" s="60">
        <v>183</v>
      </c>
      <c r="AF369" s="191">
        <v>10</v>
      </c>
      <c r="AG369" s="117">
        <v>600000576</v>
      </c>
      <c r="AH369" s="104">
        <f>справочники!$C$185</f>
        <v>8.2000000000000003E-2</v>
      </c>
      <c r="AI369" s="61">
        <f t="shared" si="204"/>
        <v>1.8</v>
      </c>
      <c r="AJ369" s="122">
        <f t="shared" si="205"/>
        <v>2.012</v>
      </c>
      <c r="AK369" s="37">
        <v>24</v>
      </c>
      <c r="AL369" s="38">
        <v>9</v>
      </c>
      <c r="AM369" s="40">
        <f t="shared" ref="AM369" si="513">AK369*AL369</f>
        <v>216</v>
      </c>
      <c r="AN369" s="206">
        <f t="shared" ref="AN369" si="514">IF(D369="ШТ",кол_во_инд.__упак_к*итого_г_у,ROUNDDOWN(номин.вес_нетто_г_у__кг*итого_г_у,1))</f>
        <v>2160</v>
      </c>
      <c r="AO369" s="204">
        <f t="shared" si="206"/>
        <v>1792</v>
      </c>
    </row>
    <row r="370" spans="1:41" ht="102" x14ac:dyDescent="0.2">
      <c r="A370" s="22">
        <f t="shared" si="427"/>
        <v>7104</v>
      </c>
      <c r="B370" s="116">
        <v>1001223297104</v>
      </c>
      <c r="C370" s="48" t="s">
        <v>1073</v>
      </c>
      <c r="D370" s="49" t="s">
        <v>4</v>
      </c>
      <c r="E370" s="146" t="s">
        <v>373</v>
      </c>
      <c r="F370" s="112" t="s">
        <v>1230</v>
      </c>
      <c r="G370" s="224" t="s">
        <v>2</v>
      </c>
      <c r="H370" s="49" t="s">
        <v>1</v>
      </c>
      <c r="I370" s="154" t="s">
        <v>1941</v>
      </c>
      <c r="J370" s="151" t="s">
        <v>1993</v>
      </c>
      <c r="K370" s="83" t="s">
        <v>1992</v>
      </c>
      <c r="L370" s="84">
        <v>14</v>
      </c>
      <c r="M370" s="85">
        <v>28</v>
      </c>
      <c r="N370" s="91">
        <v>2</v>
      </c>
      <c r="O370" s="86" t="s">
        <v>1991</v>
      </c>
      <c r="P370" s="113" t="s">
        <v>104</v>
      </c>
      <c r="Q370" s="87">
        <v>50</v>
      </c>
      <c r="R370" s="82" t="s">
        <v>51</v>
      </c>
      <c r="S370" s="237">
        <v>4607958072477</v>
      </c>
      <c r="T370" s="332">
        <v>24607958072471</v>
      </c>
      <c r="U370" s="46">
        <v>4607958072477</v>
      </c>
      <c r="V370" s="46">
        <v>24607958072471</v>
      </c>
      <c r="W370" s="258">
        <v>248</v>
      </c>
      <c r="X370" s="68">
        <v>130</v>
      </c>
      <c r="Y370" s="68">
        <v>15</v>
      </c>
      <c r="Z370" s="65">
        <v>0.18</v>
      </c>
      <c r="AA370" s="271">
        <v>1.2999999999999999E-2</v>
      </c>
      <c r="AB370" s="66">
        <f t="shared" ref="AB370" si="515">Z370+AA370</f>
        <v>0.193</v>
      </c>
      <c r="AC370" s="59">
        <v>258</v>
      </c>
      <c r="AD370" s="60">
        <v>139</v>
      </c>
      <c r="AE370" s="60">
        <v>183</v>
      </c>
      <c r="AF370" s="191">
        <v>10</v>
      </c>
      <c r="AG370" s="117">
        <v>600000576</v>
      </c>
      <c r="AH370" s="104">
        <f>справочники!$C$185</f>
        <v>8.2000000000000003E-2</v>
      </c>
      <c r="AI370" s="61">
        <f t="shared" si="204"/>
        <v>1.8</v>
      </c>
      <c r="AJ370" s="122">
        <f t="shared" si="205"/>
        <v>2.012</v>
      </c>
      <c r="AK370" s="37">
        <v>24</v>
      </c>
      <c r="AL370" s="38">
        <v>9</v>
      </c>
      <c r="AM370" s="40">
        <f t="shared" ref="AM370" si="516">AK370*AL370</f>
        <v>216</v>
      </c>
      <c r="AN370" s="206">
        <f t="shared" ref="AN370" si="517">IF(D370="ШТ",кол_во_инд.__упак_к*итого_г_у,ROUNDDOWN(номин.вес_нетто_г_у__кг*итого_г_у,1))</f>
        <v>2160</v>
      </c>
      <c r="AO370" s="204">
        <f t="shared" si="206"/>
        <v>1792</v>
      </c>
    </row>
    <row r="371" spans="1:41" ht="102" x14ac:dyDescent="0.2">
      <c r="A371" s="22">
        <f t="shared" si="427"/>
        <v>7092</v>
      </c>
      <c r="B371" s="116">
        <v>1001223297092</v>
      </c>
      <c r="C371" s="48" t="s">
        <v>1074</v>
      </c>
      <c r="D371" s="49" t="s">
        <v>4</v>
      </c>
      <c r="E371" s="146" t="s">
        <v>373</v>
      </c>
      <c r="F371" s="112" t="s">
        <v>1230</v>
      </c>
      <c r="G371" s="224" t="s">
        <v>6</v>
      </c>
      <c r="H371" s="49" t="s">
        <v>1</v>
      </c>
      <c r="I371" s="154" t="s">
        <v>1941</v>
      </c>
      <c r="J371" s="151" t="s">
        <v>1993</v>
      </c>
      <c r="K371" s="83" t="s">
        <v>1992</v>
      </c>
      <c r="L371" s="84">
        <v>14</v>
      </c>
      <c r="M371" s="85">
        <v>28</v>
      </c>
      <c r="N371" s="91">
        <v>2</v>
      </c>
      <c r="O371" s="86" t="s">
        <v>1991</v>
      </c>
      <c r="P371" s="113" t="s">
        <v>104</v>
      </c>
      <c r="Q371" s="87">
        <v>50</v>
      </c>
      <c r="R371" s="82" t="s">
        <v>51</v>
      </c>
      <c r="S371" s="237">
        <v>4607958076345</v>
      </c>
      <c r="T371" s="332">
        <v>14607958076342</v>
      </c>
      <c r="U371" s="46">
        <v>4607958076345</v>
      </c>
      <c r="V371" s="46">
        <v>14607958076342</v>
      </c>
      <c r="W371" s="258">
        <v>248</v>
      </c>
      <c r="X371" s="68">
        <v>130</v>
      </c>
      <c r="Y371" s="68">
        <v>15</v>
      </c>
      <c r="Z371" s="65">
        <v>0.14000000000000001</v>
      </c>
      <c r="AA371" s="271">
        <v>7.0000000000000001E-3</v>
      </c>
      <c r="AB371" s="66">
        <f t="shared" ref="AB371" si="518">Z371+AA371</f>
        <v>0.14700000000000002</v>
      </c>
      <c r="AC371" s="59">
        <v>258</v>
      </c>
      <c r="AD371" s="60">
        <v>139</v>
      </c>
      <c r="AE371" s="60">
        <v>148</v>
      </c>
      <c r="AF371" s="191">
        <v>10</v>
      </c>
      <c r="AG371" s="117">
        <v>600000616</v>
      </c>
      <c r="AH371" s="104">
        <f>справочники!$C$119</f>
        <v>0.08</v>
      </c>
      <c r="AI371" s="61">
        <f t="shared" si="204"/>
        <v>1.4</v>
      </c>
      <c r="AJ371" s="122">
        <f t="shared" si="205"/>
        <v>1.5500000000000003</v>
      </c>
      <c r="AK371" s="37">
        <v>24</v>
      </c>
      <c r="AL371" s="38">
        <v>11</v>
      </c>
      <c r="AM371" s="40">
        <f t="shared" ref="AM371" si="519">AK371*AL371</f>
        <v>264</v>
      </c>
      <c r="AN371" s="206">
        <f t="shared" ref="AN371" si="520">IF(D371="ШТ",кол_во_инд.__упак_к*итого_г_у,ROUNDDOWN(номин.вес_нетто_г_у__кг*итого_г_у,1))</f>
        <v>2640</v>
      </c>
      <c r="AO371" s="204">
        <f t="shared" si="206"/>
        <v>1773</v>
      </c>
    </row>
    <row r="372" spans="1:41" ht="102" x14ac:dyDescent="0.2">
      <c r="A372" s="22">
        <f t="shared" si="427"/>
        <v>7031</v>
      </c>
      <c r="B372" s="116">
        <v>1001223297031</v>
      </c>
      <c r="C372" s="48" t="s">
        <v>979</v>
      </c>
      <c r="D372" s="49" t="s">
        <v>4</v>
      </c>
      <c r="E372" s="146" t="s">
        <v>373</v>
      </c>
      <c r="F372" s="112" t="s">
        <v>1230</v>
      </c>
      <c r="G372" s="224" t="s">
        <v>6</v>
      </c>
      <c r="H372" s="49" t="s">
        <v>1</v>
      </c>
      <c r="I372" s="154" t="s">
        <v>1941</v>
      </c>
      <c r="J372" s="151" t="s">
        <v>1993</v>
      </c>
      <c r="K372" s="83" t="s">
        <v>1992</v>
      </c>
      <c r="L372" s="84">
        <v>14</v>
      </c>
      <c r="M372" s="85">
        <v>28</v>
      </c>
      <c r="N372" s="91">
        <v>2</v>
      </c>
      <c r="O372" s="86" t="s">
        <v>1991</v>
      </c>
      <c r="P372" s="113" t="s">
        <v>104</v>
      </c>
      <c r="Q372" s="87">
        <v>50</v>
      </c>
      <c r="R372" s="82" t="s">
        <v>51</v>
      </c>
      <c r="S372" s="237">
        <v>4607958078523</v>
      </c>
      <c r="T372" s="332">
        <v>14607958078520</v>
      </c>
      <c r="U372" s="46">
        <v>4607958078523</v>
      </c>
      <c r="V372" s="46">
        <v>14607958078520</v>
      </c>
      <c r="W372" s="258">
        <v>248</v>
      </c>
      <c r="X372" s="68">
        <v>130</v>
      </c>
      <c r="Y372" s="68">
        <v>19</v>
      </c>
      <c r="Z372" s="65">
        <v>0.215</v>
      </c>
      <c r="AA372" s="271">
        <v>1.2E-2</v>
      </c>
      <c r="AB372" s="66">
        <f t="shared" si="467"/>
        <v>0.22700000000000001</v>
      </c>
      <c r="AC372" s="59">
        <v>262</v>
      </c>
      <c r="AD372" s="60">
        <v>142</v>
      </c>
      <c r="AE372" s="60">
        <v>178</v>
      </c>
      <c r="AF372" s="191">
        <v>8</v>
      </c>
      <c r="AG372" s="117">
        <v>600000505</v>
      </c>
      <c r="AH372" s="104">
        <f>справочники!$C$169</f>
        <v>7.4999999999999997E-2</v>
      </c>
      <c r="AI372" s="61">
        <f t="shared" si="204"/>
        <v>1.72</v>
      </c>
      <c r="AJ372" s="122">
        <f t="shared" si="205"/>
        <v>1.891</v>
      </c>
      <c r="AK372" s="37">
        <v>24</v>
      </c>
      <c r="AL372" s="38">
        <v>9</v>
      </c>
      <c r="AM372" s="40">
        <f t="shared" si="484"/>
        <v>216</v>
      </c>
      <c r="AN372" s="206">
        <f t="shared" si="480"/>
        <v>1728</v>
      </c>
      <c r="AO372" s="204">
        <f t="shared" si="206"/>
        <v>1747</v>
      </c>
    </row>
    <row r="373" spans="1:41" ht="102" x14ac:dyDescent="0.2">
      <c r="A373" s="22">
        <f t="shared" si="427"/>
        <v>7093</v>
      </c>
      <c r="B373" s="116">
        <v>1001223297093</v>
      </c>
      <c r="C373" s="48" t="s">
        <v>1075</v>
      </c>
      <c r="D373" s="49" t="s">
        <v>4</v>
      </c>
      <c r="E373" s="146" t="s">
        <v>373</v>
      </c>
      <c r="F373" s="112" t="s">
        <v>1230</v>
      </c>
      <c r="G373" s="224" t="s">
        <v>6</v>
      </c>
      <c r="H373" s="49" t="s">
        <v>1</v>
      </c>
      <c r="I373" s="154" t="s">
        <v>1941</v>
      </c>
      <c r="J373" s="151" t="s">
        <v>1993</v>
      </c>
      <c r="K373" s="83" t="s">
        <v>1992</v>
      </c>
      <c r="L373" s="84">
        <v>14</v>
      </c>
      <c r="M373" s="85">
        <v>28</v>
      </c>
      <c r="N373" s="91">
        <v>2</v>
      </c>
      <c r="O373" s="86" t="s">
        <v>1991</v>
      </c>
      <c r="P373" s="113" t="s">
        <v>104</v>
      </c>
      <c r="Q373" s="87">
        <v>50</v>
      </c>
      <c r="R373" s="82" t="s">
        <v>51</v>
      </c>
      <c r="S373" s="237">
        <v>4607958078783</v>
      </c>
      <c r="T373" s="332">
        <v>14607958078780</v>
      </c>
      <c r="U373" s="46">
        <v>4607958078783</v>
      </c>
      <c r="V373" s="46">
        <v>14607958078780</v>
      </c>
      <c r="W373" s="258">
        <v>248</v>
      </c>
      <c r="X373" s="68">
        <v>130</v>
      </c>
      <c r="Y373" s="68">
        <v>20</v>
      </c>
      <c r="Z373" s="65">
        <v>0.25</v>
      </c>
      <c r="AA373" s="271">
        <v>1.2E-2</v>
      </c>
      <c r="AB373" s="66">
        <f t="shared" ref="AB373:AB374" si="521">Z373+AA373</f>
        <v>0.26200000000000001</v>
      </c>
      <c r="AC373" s="59">
        <v>262</v>
      </c>
      <c r="AD373" s="60">
        <v>142</v>
      </c>
      <c r="AE373" s="60">
        <v>178</v>
      </c>
      <c r="AF373" s="191">
        <v>7</v>
      </c>
      <c r="AG373" s="117">
        <v>600000505</v>
      </c>
      <c r="AH373" s="104">
        <f>справочники!$C$169</f>
        <v>7.4999999999999997E-2</v>
      </c>
      <c r="AI373" s="61">
        <f t="shared" si="204"/>
        <v>1.75</v>
      </c>
      <c r="AJ373" s="122">
        <f t="shared" si="205"/>
        <v>1.909</v>
      </c>
      <c r="AK373" s="37">
        <v>24</v>
      </c>
      <c r="AL373" s="38">
        <v>9</v>
      </c>
      <c r="AM373" s="40">
        <f t="shared" ref="AM373:AM374" si="522">AK373*AL373</f>
        <v>216</v>
      </c>
      <c r="AN373" s="206">
        <f t="shared" ref="AN373:AN374" si="523">IF(D373="ШТ",кол_во_инд.__упак_к*итого_г_у,ROUNDDOWN(номин.вес_нетто_г_у__кг*итого_г_у,1))</f>
        <v>1512</v>
      </c>
      <c r="AO373" s="204">
        <f t="shared" si="206"/>
        <v>1747</v>
      </c>
    </row>
    <row r="374" spans="1:41" ht="102" x14ac:dyDescent="0.2">
      <c r="A374" s="22">
        <f t="shared" si="427"/>
        <v>7338</v>
      </c>
      <c r="B374" s="116">
        <v>1001226877338</v>
      </c>
      <c r="C374" s="48" t="s">
        <v>1301</v>
      </c>
      <c r="D374" s="49" t="s">
        <v>4</v>
      </c>
      <c r="E374" s="146" t="s">
        <v>373</v>
      </c>
      <c r="F374" s="112" t="s">
        <v>1230</v>
      </c>
      <c r="G374" s="224" t="s">
        <v>2</v>
      </c>
      <c r="H374" s="49" t="s">
        <v>1</v>
      </c>
      <c r="I374" s="154" t="s">
        <v>1941</v>
      </c>
      <c r="J374" s="151" t="s">
        <v>1955</v>
      </c>
      <c r="K374" s="51" t="s">
        <v>1994</v>
      </c>
      <c r="L374" s="52">
        <v>16</v>
      </c>
      <c r="M374" s="53">
        <v>14</v>
      </c>
      <c r="N374" s="54">
        <v>2</v>
      </c>
      <c r="O374" s="88" t="s">
        <v>1272</v>
      </c>
      <c r="P374" s="113" t="s">
        <v>104</v>
      </c>
      <c r="Q374" s="87">
        <v>45</v>
      </c>
      <c r="R374" s="82" t="s">
        <v>29</v>
      </c>
      <c r="S374" s="237">
        <v>4607958079896</v>
      </c>
      <c r="T374" s="332">
        <v>14607958079893</v>
      </c>
      <c r="U374" s="46">
        <v>4607958079896</v>
      </c>
      <c r="V374" s="46">
        <v>14607958079893</v>
      </c>
      <c r="W374" s="258">
        <v>244</v>
      </c>
      <c r="X374" s="68">
        <v>130</v>
      </c>
      <c r="Y374" s="68">
        <v>15</v>
      </c>
      <c r="Z374" s="65">
        <v>0.1</v>
      </c>
      <c r="AA374" s="271">
        <v>1.4999999999999999E-2</v>
      </c>
      <c r="AB374" s="66">
        <f t="shared" si="521"/>
        <v>0.115</v>
      </c>
      <c r="AC374" s="59">
        <v>262</v>
      </c>
      <c r="AD374" s="60">
        <v>142</v>
      </c>
      <c r="AE374" s="60">
        <v>138</v>
      </c>
      <c r="AF374" s="191">
        <v>10</v>
      </c>
      <c r="AG374" s="117">
        <v>600000459</v>
      </c>
      <c r="AH374" s="104">
        <f>справочники!$C$82</f>
        <v>7.8E-2</v>
      </c>
      <c r="AI374" s="61">
        <f t="shared" si="204"/>
        <v>1</v>
      </c>
      <c r="AJ374" s="122">
        <f t="shared" si="205"/>
        <v>1.2280000000000002</v>
      </c>
      <c r="AK374" s="37">
        <v>24</v>
      </c>
      <c r="AL374" s="38">
        <v>11</v>
      </c>
      <c r="AM374" s="40">
        <f t="shared" si="522"/>
        <v>264</v>
      </c>
      <c r="AN374" s="206">
        <f t="shared" si="523"/>
        <v>2640</v>
      </c>
      <c r="AO374" s="204">
        <f t="shared" si="206"/>
        <v>1663</v>
      </c>
    </row>
    <row r="375" spans="1:41" ht="114.75" x14ac:dyDescent="0.2">
      <c r="A375" s="22">
        <f t="shared" si="427"/>
        <v>6449</v>
      </c>
      <c r="B375" s="116">
        <v>1001234916449</v>
      </c>
      <c r="C375" s="48" t="s">
        <v>543</v>
      </c>
      <c r="D375" s="49" t="s">
        <v>4</v>
      </c>
      <c r="E375" s="146" t="s">
        <v>373</v>
      </c>
      <c r="F375" s="112" t="s">
        <v>1230</v>
      </c>
      <c r="G375" s="224" t="s">
        <v>2</v>
      </c>
      <c r="H375" s="49" t="s">
        <v>1</v>
      </c>
      <c r="I375" s="154" t="s">
        <v>1941</v>
      </c>
      <c r="J375" s="151" t="s">
        <v>1955</v>
      </c>
      <c r="K375" s="83" t="s">
        <v>1995</v>
      </c>
      <c r="L375" s="52">
        <v>16</v>
      </c>
      <c r="M375" s="53">
        <v>14</v>
      </c>
      <c r="N375" s="54">
        <v>2</v>
      </c>
      <c r="O375" s="88" t="s">
        <v>1272</v>
      </c>
      <c r="P375" s="113" t="s">
        <v>104</v>
      </c>
      <c r="Q375" s="87">
        <v>45</v>
      </c>
      <c r="R375" s="82" t="s">
        <v>29</v>
      </c>
      <c r="S375" s="237">
        <v>4607958073924</v>
      </c>
      <c r="T375" s="332">
        <v>24607958073928</v>
      </c>
      <c r="U375" s="46">
        <v>4607958073924</v>
      </c>
      <c r="V375" s="46">
        <v>24607958073928</v>
      </c>
      <c r="W375" s="258">
        <v>244</v>
      </c>
      <c r="X375" s="68">
        <v>130</v>
      </c>
      <c r="Y375" s="68">
        <v>15</v>
      </c>
      <c r="Z375" s="65">
        <v>0.1</v>
      </c>
      <c r="AA375" s="271">
        <v>1.2E-2</v>
      </c>
      <c r="AB375" s="66">
        <f t="shared" si="467"/>
        <v>0.112</v>
      </c>
      <c r="AC375" s="59">
        <v>262</v>
      </c>
      <c r="AD375" s="60">
        <v>142</v>
      </c>
      <c r="AE375" s="60">
        <v>138</v>
      </c>
      <c r="AF375" s="191">
        <v>10</v>
      </c>
      <c r="AG375" s="117">
        <v>600000459</v>
      </c>
      <c r="AH375" s="104">
        <f>справочники!$C$82</f>
        <v>7.8E-2</v>
      </c>
      <c r="AI375" s="61">
        <f t="shared" si="204"/>
        <v>1</v>
      </c>
      <c r="AJ375" s="122">
        <f t="shared" si="205"/>
        <v>1.1980000000000002</v>
      </c>
      <c r="AK375" s="37">
        <v>24</v>
      </c>
      <c r="AL375" s="38">
        <v>11</v>
      </c>
      <c r="AM375" s="40">
        <f t="shared" si="484"/>
        <v>264</v>
      </c>
      <c r="AN375" s="206">
        <f t="shared" si="480"/>
        <v>2640</v>
      </c>
      <c r="AO375" s="204">
        <f t="shared" si="206"/>
        <v>1663</v>
      </c>
    </row>
    <row r="376" spans="1:41" ht="102" x14ac:dyDescent="0.2">
      <c r="A376" s="22">
        <f t="shared" si="427"/>
        <v>6448</v>
      </c>
      <c r="B376" s="116">
        <v>1001234146448</v>
      </c>
      <c r="C376" s="48" t="s">
        <v>544</v>
      </c>
      <c r="D376" s="49" t="s">
        <v>4</v>
      </c>
      <c r="E376" s="146" t="s">
        <v>373</v>
      </c>
      <c r="F376" s="112" t="s">
        <v>1230</v>
      </c>
      <c r="G376" s="224" t="s">
        <v>2</v>
      </c>
      <c r="H376" s="49" t="s">
        <v>1</v>
      </c>
      <c r="I376" s="154" t="s">
        <v>1941</v>
      </c>
      <c r="J376" s="151" t="s">
        <v>1955</v>
      </c>
      <c r="K376" s="51" t="s">
        <v>1994</v>
      </c>
      <c r="L376" s="52">
        <v>16</v>
      </c>
      <c r="M376" s="53">
        <v>14</v>
      </c>
      <c r="N376" s="54">
        <v>2</v>
      </c>
      <c r="O376" s="88" t="s">
        <v>1272</v>
      </c>
      <c r="P376" s="113" t="s">
        <v>104</v>
      </c>
      <c r="Q376" s="87">
        <v>45</v>
      </c>
      <c r="R376" s="82" t="s">
        <v>51</v>
      </c>
      <c r="S376" s="237">
        <v>4607958073382</v>
      </c>
      <c r="T376" s="332">
        <v>24607958073386</v>
      </c>
      <c r="U376" s="46">
        <v>4607958073382</v>
      </c>
      <c r="V376" s="46">
        <v>24607958073386</v>
      </c>
      <c r="W376" s="258">
        <v>244</v>
      </c>
      <c r="X376" s="68">
        <v>130</v>
      </c>
      <c r="Y376" s="68">
        <v>15</v>
      </c>
      <c r="Z376" s="65">
        <v>0.1</v>
      </c>
      <c r="AA376" s="271">
        <v>1.2E-2</v>
      </c>
      <c r="AB376" s="66">
        <f t="shared" si="467"/>
        <v>0.112</v>
      </c>
      <c r="AC376" s="59">
        <v>262</v>
      </c>
      <c r="AD376" s="60">
        <v>142</v>
      </c>
      <c r="AE376" s="60">
        <v>138</v>
      </c>
      <c r="AF376" s="191">
        <v>10</v>
      </c>
      <c r="AG376" s="117">
        <v>600000376</v>
      </c>
      <c r="AH376" s="104">
        <f>справочники!$C$81</f>
        <v>0.11</v>
      </c>
      <c r="AI376" s="61">
        <f t="shared" si="204"/>
        <v>1</v>
      </c>
      <c r="AJ376" s="122">
        <f t="shared" si="205"/>
        <v>1.2300000000000002</v>
      </c>
      <c r="AK376" s="37">
        <v>24</v>
      </c>
      <c r="AL376" s="38">
        <v>11</v>
      </c>
      <c r="AM376" s="40">
        <f t="shared" si="484"/>
        <v>264</v>
      </c>
      <c r="AN376" s="206">
        <f t="shared" si="480"/>
        <v>2640</v>
      </c>
      <c r="AO376" s="204">
        <f t="shared" si="206"/>
        <v>1663</v>
      </c>
    </row>
    <row r="377" spans="1:41" ht="102" x14ac:dyDescent="0.2">
      <c r="A377" s="22">
        <f t="shared" si="427"/>
        <v>5811</v>
      </c>
      <c r="B377" s="116">
        <v>1001194145811</v>
      </c>
      <c r="C377" s="48" t="s">
        <v>1586</v>
      </c>
      <c r="D377" s="49" t="s">
        <v>4</v>
      </c>
      <c r="E377" s="146" t="s">
        <v>373</v>
      </c>
      <c r="F377" s="112" t="s">
        <v>1230</v>
      </c>
      <c r="G377" s="224" t="s">
        <v>2</v>
      </c>
      <c r="H377" s="49" t="s">
        <v>1</v>
      </c>
      <c r="I377" s="154" t="s">
        <v>1941</v>
      </c>
      <c r="J377" s="151" t="s">
        <v>1955</v>
      </c>
      <c r="K377" s="51" t="s">
        <v>1994</v>
      </c>
      <c r="L377" s="52">
        <v>16</v>
      </c>
      <c r="M377" s="53">
        <v>14</v>
      </c>
      <c r="N377" s="54">
        <v>2</v>
      </c>
      <c r="O377" s="88" t="s">
        <v>1272</v>
      </c>
      <c r="P377" s="113" t="s">
        <v>104</v>
      </c>
      <c r="Q377" s="87">
        <v>45</v>
      </c>
      <c r="R377" s="82" t="s">
        <v>51</v>
      </c>
      <c r="S377" s="237">
        <v>4607958073382</v>
      </c>
      <c r="T377" s="332">
        <v>14607958073389</v>
      </c>
      <c r="U377" s="46">
        <v>4607958073382</v>
      </c>
      <c r="V377" s="46">
        <v>14607958073389</v>
      </c>
      <c r="W377" s="258">
        <v>244</v>
      </c>
      <c r="X377" s="68">
        <v>130</v>
      </c>
      <c r="Y377" s="68">
        <v>15</v>
      </c>
      <c r="Z377" s="65">
        <v>0.1</v>
      </c>
      <c r="AA377" s="271">
        <v>1.2E-2</v>
      </c>
      <c r="AB377" s="66">
        <f t="shared" ref="AB377" si="524">Z377+AA377</f>
        <v>0.112</v>
      </c>
      <c r="AC377" s="59">
        <v>262</v>
      </c>
      <c r="AD377" s="60">
        <v>142</v>
      </c>
      <c r="AE377" s="60">
        <v>138</v>
      </c>
      <c r="AF377" s="191">
        <v>8</v>
      </c>
      <c r="AG377" s="117">
        <v>600000376</v>
      </c>
      <c r="AH377" s="104">
        <f>справочники!$C$81</f>
        <v>0.11</v>
      </c>
      <c r="AI377" s="61">
        <f t="shared" si="204"/>
        <v>0.8</v>
      </c>
      <c r="AJ377" s="122">
        <f t="shared" si="205"/>
        <v>1.006</v>
      </c>
      <c r="AK377" s="37">
        <v>24</v>
      </c>
      <c r="AL377" s="38">
        <v>11</v>
      </c>
      <c r="AM377" s="40">
        <f t="shared" ref="AM377" si="525">AK377*AL377</f>
        <v>264</v>
      </c>
      <c r="AN377" s="206">
        <f t="shared" ref="AN377" si="526">IF(D377="ШТ",кол_во_инд.__упак_к*итого_г_у,ROUNDDOWN(номин.вес_нетто_г_у__кг*итого_г_у,1))</f>
        <v>2112</v>
      </c>
      <c r="AO377" s="204">
        <f t="shared" si="206"/>
        <v>1663</v>
      </c>
    </row>
    <row r="378" spans="1:41" ht="153" x14ac:dyDescent="0.2">
      <c r="A378" s="22">
        <f t="shared" si="427"/>
        <v>3986</v>
      </c>
      <c r="B378" s="116">
        <v>1001061973986</v>
      </c>
      <c r="C378" s="48" t="s">
        <v>53</v>
      </c>
      <c r="D378" s="49" t="s">
        <v>4</v>
      </c>
      <c r="E378" s="146" t="s">
        <v>373</v>
      </c>
      <c r="F378" s="112" t="s">
        <v>353</v>
      </c>
      <c r="G378" s="224" t="s">
        <v>2</v>
      </c>
      <c r="H378" s="49" t="s">
        <v>1</v>
      </c>
      <c r="I378" s="155" t="s">
        <v>1940</v>
      </c>
      <c r="J378" s="150" t="s">
        <v>418</v>
      </c>
      <c r="K378" s="83" t="s">
        <v>1996</v>
      </c>
      <c r="L378" s="84">
        <v>19</v>
      </c>
      <c r="M378" s="85">
        <v>40</v>
      </c>
      <c r="N378" s="91">
        <v>6</v>
      </c>
      <c r="O378" s="86" t="s">
        <v>1997</v>
      </c>
      <c r="P378" s="31" t="s">
        <v>104</v>
      </c>
      <c r="Q378" s="87">
        <v>120</v>
      </c>
      <c r="R378" s="82" t="s">
        <v>51</v>
      </c>
      <c r="S378" s="46">
        <v>4607958074877</v>
      </c>
      <c r="T378" s="46">
        <v>14607958074874</v>
      </c>
      <c r="U378" s="46">
        <v>4607958074877</v>
      </c>
      <c r="V378" s="46">
        <v>14607958074874</v>
      </c>
      <c r="W378" s="93">
        <v>240</v>
      </c>
      <c r="X378" s="68">
        <v>65</v>
      </c>
      <c r="Y378" s="68">
        <v>44</v>
      </c>
      <c r="Z378" s="65">
        <v>0.25</v>
      </c>
      <c r="AA378" s="271">
        <v>5.0000000000000001E-3</v>
      </c>
      <c r="AB378" s="66">
        <f t="shared" si="467"/>
        <v>0.255</v>
      </c>
      <c r="AC378" s="37">
        <v>218</v>
      </c>
      <c r="AD378" s="38">
        <v>193</v>
      </c>
      <c r="AE378" s="38">
        <v>108</v>
      </c>
      <c r="AF378" s="191">
        <v>8</v>
      </c>
      <c r="AG378" s="117">
        <v>600000150</v>
      </c>
      <c r="AH378" s="103">
        <f>справочники!$C$43</f>
        <v>8.5999999999999993E-2</v>
      </c>
      <c r="AI378" s="62">
        <f t="shared" si="204"/>
        <v>2</v>
      </c>
      <c r="AJ378" s="122">
        <f t="shared" si="205"/>
        <v>2.1259999999999999</v>
      </c>
      <c r="AK378" s="37">
        <v>20</v>
      </c>
      <c r="AL378" s="38">
        <v>14</v>
      </c>
      <c r="AM378" s="40">
        <f t="shared" si="484"/>
        <v>280</v>
      </c>
      <c r="AN378" s="206">
        <f t="shared" si="480"/>
        <v>2240</v>
      </c>
      <c r="AO378" s="204">
        <f t="shared" si="206"/>
        <v>1657</v>
      </c>
    </row>
    <row r="379" spans="1:41" ht="153" x14ac:dyDescent="0.2">
      <c r="A379" s="22">
        <f t="shared" si="427"/>
        <v>5197</v>
      </c>
      <c r="B379" s="116">
        <v>1001061975197</v>
      </c>
      <c r="C379" s="48" t="s">
        <v>1379</v>
      </c>
      <c r="D379" s="49" t="s">
        <v>4</v>
      </c>
      <c r="E379" s="146" t="s">
        <v>373</v>
      </c>
      <c r="F379" s="112" t="s">
        <v>353</v>
      </c>
      <c r="G379" s="224" t="s">
        <v>2</v>
      </c>
      <c r="H379" s="49" t="s">
        <v>1</v>
      </c>
      <c r="I379" s="155" t="s">
        <v>1940</v>
      </c>
      <c r="J379" s="150" t="s">
        <v>418</v>
      </c>
      <c r="K379" s="83" t="s">
        <v>1996</v>
      </c>
      <c r="L379" s="84">
        <v>19</v>
      </c>
      <c r="M379" s="85">
        <v>40</v>
      </c>
      <c r="N379" s="91">
        <v>6</v>
      </c>
      <c r="O379" s="86" t="s">
        <v>1997</v>
      </c>
      <c r="P379" s="31" t="s">
        <v>104</v>
      </c>
      <c r="Q379" s="87">
        <v>120</v>
      </c>
      <c r="R379" s="82" t="s">
        <v>51</v>
      </c>
      <c r="S379" s="243">
        <v>4607958074877</v>
      </c>
      <c r="T379" s="340">
        <v>14607958074874</v>
      </c>
      <c r="U379" s="46">
        <v>4607958074877</v>
      </c>
      <c r="V379" s="46">
        <v>14607958074874</v>
      </c>
      <c r="W379" s="93">
        <v>240</v>
      </c>
      <c r="X379" s="68">
        <v>65</v>
      </c>
      <c r="Y379" s="68">
        <v>44</v>
      </c>
      <c r="Z379" s="65">
        <v>0.25</v>
      </c>
      <c r="AA379" s="271">
        <v>5.0000000000000001E-3</v>
      </c>
      <c r="AB379" s="66">
        <f t="shared" ref="AB379" si="527">Z379+AA379</f>
        <v>0.255</v>
      </c>
      <c r="AC379" s="37">
        <v>218</v>
      </c>
      <c r="AD379" s="38">
        <v>193</v>
      </c>
      <c r="AE379" s="38">
        <v>108</v>
      </c>
      <c r="AF379" s="191">
        <v>8</v>
      </c>
      <c r="AG379" s="117">
        <v>600000150</v>
      </c>
      <c r="AH379" s="103">
        <f>справочники!$C$43</f>
        <v>8.5999999999999993E-2</v>
      </c>
      <c r="AI379" s="62">
        <f t="shared" si="204"/>
        <v>2</v>
      </c>
      <c r="AJ379" s="122">
        <f t="shared" si="205"/>
        <v>2.1259999999999999</v>
      </c>
      <c r="AK379" s="37">
        <v>20</v>
      </c>
      <c r="AL379" s="38">
        <v>14</v>
      </c>
      <c r="AM379" s="40">
        <f t="shared" ref="AM379" si="528">AK379*AL379</f>
        <v>280</v>
      </c>
      <c r="AN379" s="206">
        <f t="shared" ref="AN379" si="529">IF(D379="ШТ",кол_во_инд.__упак_к*итого_г_у,ROUNDDOWN(номин.вес_нетто_г_у__кг*итого_г_у,1))</f>
        <v>2240</v>
      </c>
      <c r="AO379" s="204">
        <f t="shared" si="206"/>
        <v>1657</v>
      </c>
    </row>
    <row r="380" spans="1:41" ht="153" x14ac:dyDescent="0.2">
      <c r="A380" s="22">
        <f t="shared" si="427"/>
        <v>3582</v>
      </c>
      <c r="B380" s="116">
        <v>1001061973582</v>
      </c>
      <c r="C380" s="48" t="s">
        <v>958</v>
      </c>
      <c r="D380" s="49" t="s">
        <v>3</v>
      </c>
      <c r="E380" s="146" t="s">
        <v>373</v>
      </c>
      <c r="F380" s="112" t="s">
        <v>353</v>
      </c>
      <c r="G380" s="224" t="s">
        <v>2</v>
      </c>
      <c r="H380" s="49" t="s">
        <v>1</v>
      </c>
      <c r="I380" s="155" t="s">
        <v>1940</v>
      </c>
      <c r="J380" s="150" t="s">
        <v>418</v>
      </c>
      <c r="K380" s="83" t="s">
        <v>1996</v>
      </c>
      <c r="L380" s="84">
        <v>19</v>
      </c>
      <c r="M380" s="85">
        <v>40</v>
      </c>
      <c r="N380" s="91">
        <v>6</v>
      </c>
      <c r="O380" s="86" t="s">
        <v>1997</v>
      </c>
      <c r="P380" s="31" t="s">
        <v>106</v>
      </c>
      <c r="Q380" s="87">
        <v>120</v>
      </c>
      <c r="R380" s="82" t="s">
        <v>52</v>
      </c>
      <c r="S380" s="120">
        <v>2555245000004</v>
      </c>
      <c r="T380" s="342">
        <v>12555245000001</v>
      </c>
      <c r="U380" s="46">
        <v>4630362181763</v>
      </c>
      <c r="V380" s="46">
        <v>14630362181760</v>
      </c>
      <c r="W380" s="93">
        <v>405</v>
      </c>
      <c r="X380" s="60">
        <v>70</v>
      </c>
      <c r="Y380" s="60">
        <v>45</v>
      </c>
      <c r="Z380" s="65">
        <v>0.48799999999999999</v>
      </c>
      <c r="AA380" s="271">
        <v>0.01</v>
      </c>
      <c r="AB380" s="66">
        <f t="shared" si="467"/>
        <v>0.498</v>
      </c>
      <c r="AC380" s="59">
        <v>388</v>
      </c>
      <c r="AD380" s="60">
        <v>193</v>
      </c>
      <c r="AE380" s="60">
        <v>108</v>
      </c>
      <c r="AF380" s="191">
        <v>8</v>
      </c>
      <c r="AG380" s="117">
        <v>600000013</v>
      </c>
      <c r="AH380" s="104">
        <f>справочники!$C$5</f>
        <v>0.14099999999999999</v>
      </c>
      <c r="AI380" s="62">
        <f t="shared" ref="AI380:AI451" si="530">ROUNDDOWN(номин.вес_нетто__кг*кол_во_инд.__упак_к,2)</f>
        <v>3.9</v>
      </c>
      <c r="AJ380" s="122">
        <f t="shared" ref="AJ380:AJ451" si="531">(номин.вес_брутто__кг*кол_во_инд.__упак_к)+вес_короба__кг</f>
        <v>4.125</v>
      </c>
      <c r="AK380" s="37">
        <v>12</v>
      </c>
      <c r="AL380" s="38">
        <v>14</v>
      </c>
      <c r="AM380" s="40">
        <f t="shared" ref="AM380:AM451" si="532">AK380*AL380</f>
        <v>168</v>
      </c>
      <c r="AN380" s="214">
        <f t="shared" si="480"/>
        <v>655.20000000000005</v>
      </c>
      <c r="AO380" s="204">
        <f t="shared" si="206"/>
        <v>1657</v>
      </c>
    </row>
    <row r="381" spans="1:41" ht="153" x14ac:dyDescent="0.2">
      <c r="A381" s="22">
        <f t="shared" si="427"/>
        <v>5033</v>
      </c>
      <c r="B381" s="116">
        <v>1001061975033</v>
      </c>
      <c r="C381" s="48" t="s">
        <v>326</v>
      </c>
      <c r="D381" s="49" t="s">
        <v>3</v>
      </c>
      <c r="E381" s="146" t="s">
        <v>373</v>
      </c>
      <c r="F381" s="112" t="s">
        <v>353</v>
      </c>
      <c r="G381" s="224" t="s">
        <v>2</v>
      </c>
      <c r="H381" s="49" t="s">
        <v>1</v>
      </c>
      <c r="I381" s="154" t="s">
        <v>1940</v>
      </c>
      <c r="J381" s="151" t="s">
        <v>418</v>
      </c>
      <c r="K381" s="83" t="s">
        <v>1996</v>
      </c>
      <c r="L381" s="84">
        <v>19</v>
      </c>
      <c r="M381" s="85">
        <v>40</v>
      </c>
      <c r="N381" s="91">
        <v>6</v>
      </c>
      <c r="O381" s="86" t="s">
        <v>1997</v>
      </c>
      <c r="P381" s="31" t="s">
        <v>106</v>
      </c>
      <c r="Q381" s="87">
        <v>120</v>
      </c>
      <c r="R381" s="82" t="s">
        <v>52</v>
      </c>
      <c r="S381" s="239">
        <v>2800309000002</v>
      </c>
      <c r="T381" s="344">
        <v>12800309000009</v>
      </c>
      <c r="U381" s="46" t="s">
        <v>1874</v>
      </c>
      <c r="V381" s="46" t="s">
        <v>1874</v>
      </c>
      <c r="W381" s="258">
        <v>405</v>
      </c>
      <c r="X381" s="68">
        <v>70</v>
      </c>
      <c r="Y381" s="68">
        <v>45</v>
      </c>
      <c r="Z381" s="65">
        <v>0.5</v>
      </c>
      <c r="AA381" s="271">
        <v>0.01</v>
      </c>
      <c r="AB381" s="66">
        <f t="shared" ref="AB381:AB463" si="533">Z381+AA381</f>
        <v>0.51</v>
      </c>
      <c r="AC381" s="59">
        <v>410</v>
      </c>
      <c r="AD381" s="93">
        <v>292</v>
      </c>
      <c r="AE381" s="60">
        <v>242</v>
      </c>
      <c r="AF381" s="191">
        <v>30</v>
      </c>
      <c r="AG381" s="117">
        <v>600000411</v>
      </c>
      <c r="AH381" s="104">
        <f>справочники!$C$102</f>
        <v>0.433</v>
      </c>
      <c r="AI381" s="61">
        <f t="shared" si="530"/>
        <v>15</v>
      </c>
      <c r="AJ381" s="122">
        <f t="shared" si="531"/>
        <v>15.733000000000001</v>
      </c>
      <c r="AK381" s="37">
        <v>8</v>
      </c>
      <c r="AL381" s="38">
        <v>6</v>
      </c>
      <c r="AM381" s="40">
        <f t="shared" si="532"/>
        <v>48</v>
      </c>
      <c r="AN381" s="214">
        <f t="shared" ref="AN381:AN459" si="534">IF(D381="ШТ",кол_во_инд.__упак_к*итого_г_у,ROUNDDOWN(номин.вес_нетто_г_у__кг*итого_г_у,1))</f>
        <v>720</v>
      </c>
      <c r="AO381" s="204">
        <f t="shared" si="206"/>
        <v>1597</v>
      </c>
    </row>
    <row r="382" spans="1:41" ht="153" x14ac:dyDescent="0.2">
      <c r="A382" s="22">
        <f t="shared" si="427"/>
        <v>5909</v>
      </c>
      <c r="B382" s="116">
        <v>1001061975909</v>
      </c>
      <c r="C382" s="48" t="s">
        <v>638</v>
      </c>
      <c r="D382" s="49" t="s">
        <v>3</v>
      </c>
      <c r="E382" s="146" t="s">
        <v>373</v>
      </c>
      <c r="F382" s="112" t="s">
        <v>353</v>
      </c>
      <c r="G382" s="224" t="s">
        <v>2</v>
      </c>
      <c r="H382" s="58" t="s">
        <v>1</v>
      </c>
      <c r="I382" s="154" t="s">
        <v>1940</v>
      </c>
      <c r="J382" s="151" t="s">
        <v>418</v>
      </c>
      <c r="K382" s="83" t="s">
        <v>1996</v>
      </c>
      <c r="L382" s="84">
        <v>19</v>
      </c>
      <c r="M382" s="85">
        <v>40</v>
      </c>
      <c r="N382" s="91">
        <v>6</v>
      </c>
      <c r="O382" s="86" t="s">
        <v>1997</v>
      </c>
      <c r="P382" s="31" t="s">
        <v>106</v>
      </c>
      <c r="Q382" s="87">
        <v>120</v>
      </c>
      <c r="R382" s="82" t="s">
        <v>52</v>
      </c>
      <c r="S382" s="239">
        <v>2800309000002</v>
      </c>
      <c r="T382" s="344">
        <v>12800309000009</v>
      </c>
      <c r="U382" s="46" t="s">
        <v>1874</v>
      </c>
      <c r="V382" s="46" t="s">
        <v>1874</v>
      </c>
      <c r="W382" s="258"/>
      <c r="X382" s="68"/>
      <c r="Y382" s="68"/>
      <c r="Z382" s="65">
        <v>13.5</v>
      </c>
      <c r="AA382" s="271">
        <v>0.15</v>
      </c>
      <c r="AB382" s="66">
        <f t="shared" si="533"/>
        <v>13.65</v>
      </c>
      <c r="AC382" s="59">
        <v>938</v>
      </c>
      <c r="AD382" s="60">
        <v>178</v>
      </c>
      <c r="AE382" s="60">
        <v>178</v>
      </c>
      <c r="AF382" s="191">
        <v>1</v>
      </c>
      <c r="AG382" s="117">
        <v>600000313</v>
      </c>
      <c r="AH382" s="104">
        <f>справочники!$C$62</f>
        <v>0.53100000000000003</v>
      </c>
      <c r="AI382" s="61">
        <f t="shared" si="530"/>
        <v>13.5</v>
      </c>
      <c r="AJ382" s="122">
        <f t="shared" si="531"/>
        <v>14.181000000000001</v>
      </c>
      <c r="AK382" s="37">
        <v>4</v>
      </c>
      <c r="AL382" s="38">
        <v>6</v>
      </c>
      <c r="AM382" s="40">
        <f t="shared" si="532"/>
        <v>24</v>
      </c>
      <c r="AN382" s="214">
        <f t="shared" si="534"/>
        <v>324</v>
      </c>
      <c r="AO382" s="204">
        <f t="shared" si="206"/>
        <v>1213</v>
      </c>
    </row>
    <row r="383" spans="1:41" ht="153" x14ac:dyDescent="0.2">
      <c r="A383" s="22">
        <f t="shared" si="427"/>
        <v>7337</v>
      </c>
      <c r="B383" s="116">
        <v>1001061977337</v>
      </c>
      <c r="C383" s="48" t="s">
        <v>2111</v>
      </c>
      <c r="D383" s="49" t="s">
        <v>3</v>
      </c>
      <c r="E383" s="146" t="s">
        <v>373</v>
      </c>
      <c r="F383" s="112" t="s">
        <v>353</v>
      </c>
      <c r="G383" s="224" t="s">
        <v>6</v>
      </c>
      <c r="H383" s="58" t="s">
        <v>1705</v>
      </c>
      <c r="I383" s="154" t="s">
        <v>1940</v>
      </c>
      <c r="J383" s="151" t="s">
        <v>418</v>
      </c>
      <c r="K383" s="83" t="s">
        <v>1996</v>
      </c>
      <c r="L383" s="84">
        <v>19</v>
      </c>
      <c r="M383" s="85">
        <v>40</v>
      </c>
      <c r="N383" s="91">
        <v>6</v>
      </c>
      <c r="O383" s="86" t="s">
        <v>1997</v>
      </c>
      <c r="P383" s="31" t="s">
        <v>106</v>
      </c>
      <c r="Q383" s="87">
        <v>60</v>
      </c>
      <c r="R383" s="82" t="s">
        <v>52</v>
      </c>
      <c r="S383" s="239">
        <v>2800606000002</v>
      </c>
      <c r="T383" s="344">
        <v>12800606000009</v>
      </c>
      <c r="U383" s="46" t="s">
        <v>1874</v>
      </c>
      <c r="V383" s="46" t="s">
        <v>1874</v>
      </c>
      <c r="W383" s="258"/>
      <c r="X383" s="68"/>
      <c r="Y383" s="68"/>
      <c r="Z383" s="65">
        <v>2.5</v>
      </c>
      <c r="AA383" s="271">
        <v>2.3E-2</v>
      </c>
      <c r="AB383" s="66">
        <f t="shared" ref="AB383" si="535">Z383+AA383</f>
        <v>2.5230000000000001</v>
      </c>
      <c r="AC383" s="59">
        <v>938</v>
      </c>
      <c r="AD383" s="60">
        <v>178</v>
      </c>
      <c r="AE383" s="60">
        <v>178</v>
      </c>
      <c r="AF383" s="191">
        <v>4</v>
      </c>
      <c r="AG383" s="117">
        <v>600000313</v>
      </c>
      <c r="AH383" s="104">
        <f>справочники!$C$62</f>
        <v>0.53100000000000003</v>
      </c>
      <c r="AI383" s="61">
        <f t="shared" si="530"/>
        <v>10</v>
      </c>
      <c r="AJ383" s="122">
        <f t="shared" si="531"/>
        <v>10.623000000000001</v>
      </c>
      <c r="AK383" s="37">
        <v>4</v>
      </c>
      <c r="AL383" s="38">
        <v>6</v>
      </c>
      <c r="AM383" s="40">
        <f t="shared" ref="AM383" si="536">AK383*AL383</f>
        <v>24</v>
      </c>
      <c r="AN383" s="214">
        <f t="shared" ref="AN383" si="537">IF(D383="ШТ",кол_во_инд.__упак_к*итого_г_у,ROUNDDOWN(номин.вес_нетто_г_у__кг*итого_г_у,1))</f>
        <v>240</v>
      </c>
      <c r="AO383" s="204">
        <f t="shared" si="206"/>
        <v>1213</v>
      </c>
    </row>
    <row r="384" spans="1:41" ht="153" x14ac:dyDescent="0.2">
      <c r="A384" s="22">
        <f t="shared" si="427"/>
        <v>4946</v>
      </c>
      <c r="B384" s="116">
        <v>1001061974946</v>
      </c>
      <c r="C384" s="48" t="s">
        <v>609</v>
      </c>
      <c r="D384" s="49" t="s">
        <v>4</v>
      </c>
      <c r="E384" s="146" t="s">
        <v>373</v>
      </c>
      <c r="F384" s="112" t="s">
        <v>353</v>
      </c>
      <c r="G384" s="224" t="s">
        <v>2</v>
      </c>
      <c r="H384" s="49" t="s">
        <v>1</v>
      </c>
      <c r="I384" s="154" t="s">
        <v>1940</v>
      </c>
      <c r="J384" s="151" t="s">
        <v>418</v>
      </c>
      <c r="K384" s="83" t="s">
        <v>1996</v>
      </c>
      <c r="L384" s="84">
        <v>19</v>
      </c>
      <c r="M384" s="85">
        <v>40</v>
      </c>
      <c r="N384" s="91">
        <v>6</v>
      </c>
      <c r="O384" s="86" t="s">
        <v>1997</v>
      </c>
      <c r="P384" s="31" t="s">
        <v>104</v>
      </c>
      <c r="Q384" s="87">
        <v>120</v>
      </c>
      <c r="R384" s="82" t="s">
        <v>51</v>
      </c>
      <c r="S384" s="237">
        <v>4601296009423</v>
      </c>
      <c r="T384" s="332">
        <v>24607958073041</v>
      </c>
      <c r="U384" s="46" t="s">
        <v>1874</v>
      </c>
      <c r="V384" s="46" t="s">
        <v>1874</v>
      </c>
      <c r="W384" s="258">
        <v>240</v>
      </c>
      <c r="X384" s="68">
        <v>65</v>
      </c>
      <c r="Y384" s="68">
        <v>44</v>
      </c>
      <c r="Z384" s="65">
        <v>0.25</v>
      </c>
      <c r="AA384" s="271">
        <v>5.0000000000000001E-3</v>
      </c>
      <c r="AB384" s="66">
        <f t="shared" si="533"/>
        <v>0.255</v>
      </c>
      <c r="AC384" s="37">
        <v>410</v>
      </c>
      <c r="AD384" s="38">
        <v>292</v>
      </c>
      <c r="AE384" s="38">
        <v>242</v>
      </c>
      <c r="AF384" s="191">
        <v>48</v>
      </c>
      <c r="AG384" s="117">
        <v>600000411</v>
      </c>
      <c r="AH384" s="103">
        <f>справочники!$C$102</f>
        <v>0.433</v>
      </c>
      <c r="AI384" s="61">
        <f t="shared" si="530"/>
        <v>12</v>
      </c>
      <c r="AJ384" s="122">
        <f t="shared" si="531"/>
        <v>12.673</v>
      </c>
      <c r="AK384" s="37">
        <v>8</v>
      </c>
      <c r="AL384" s="38">
        <v>6</v>
      </c>
      <c r="AM384" s="40">
        <f t="shared" si="532"/>
        <v>48</v>
      </c>
      <c r="AN384" s="206">
        <f t="shared" si="534"/>
        <v>2304</v>
      </c>
      <c r="AO384" s="204">
        <f t="shared" si="206"/>
        <v>1597</v>
      </c>
    </row>
    <row r="385" spans="1:41" ht="106.9" customHeight="1" x14ac:dyDescent="0.2">
      <c r="A385" s="22">
        <f t="shared" si="427"/>
        <v>7386</v>
      </c>
      <c r="B385" s="116">
        <v>1001067017386</v>
      </c>
      <c r="C385" s="48" t="s">
        <v>1405</v>
      </c>
      <c r="D385" s="49" t="s">
        <v>4</v>
      </c>
      <c r="E385" s="146" t="s">
        <v>373</v>
      </c>
      <c r="F385" s="112" t="s">
        <v>353</v>
      </c>
      <c r="G385" s="224" t="s">
        <v>6</v>
      </c>
      <c r="H385" s="49" t="s">
        <v>278</v>
      </c>
      <c r="I385" s="155" t="s">
        <v>1065</v>
      </c>
      <c r="J385" s="150" t="s">
        <v>418</v>
      </c>
      <c r="K385" s="83" t="s">
        <v>1406</v>
      </c>
      <c r="L385" s="52">
        <v>12</v>
      </c>
      <c r="M385" s="53">
        <v>29</v>
      </c>
      <c r="N385" s="54">
        <v>3</v>
      </c>
      <c r="O385" s="88" t="s">
        <v>1407</v>
      </c>
      <c r="P385" s="31" t="s">
        <v>1241</v>
      </c>
      <c r="Q385" s="87">
        <v>90</v>
      </c>
      <c r="R385" s="56" t="s">
        <v>44</v>
      </c>
      <c r="S385" s="243">
        <v>4630362180346</v>
      </c>
      <c r="T385" s="340">
        <v>14630362180343</v>
      </c>
      <c r="U385" s="46">
        <v>4630362180346</v>
      </c>
      <c r="V385" s="46">
        <v>14630362180343</v>
      </c>
      <c r="W385" s="93">
        <v>257</v>
      </c>
      <c r="X385" s="68">
        <v>56</v>
      </c>
      <c r="Y385" s="96" t="s">
        <v>1180</v>
      </c>
      <c r="Z385" s="65">
        <v>0.15</v>
      </c>
      <c r="AA385" s="271">
        <v>5.0000000000000001E-3</v>
      </c>
      <c r="AB385" s="66">
        <f t="shared" ref="AB385" si="538">Z385+AA385</f>
        <v>0.155</v>
      </c>
      <c r="AC385" s="37">
        <v>198</v>
      </c>
      <c r="AD385" s="38">
        <v>110</v>
      </c>
      <c r="AE385" s="38">
        <v>246</v>
      </c>
      <c r="AF385" s="191">
        <v>9</v>
      </c>
      <c r="AG385" s="117">
        <v>600000493</v>
      </c>
      <c r="AH385" s="103">
        <f>справочники!$C$151</f>
        <v>0.09</v>
      </c>
      <c r="AI385" s="62">
        <f t="shared" si="530"/>
        <v>1.35</v>
      </c>
      <c r="AJ385" s="122">
        <f t="shared" si="531"/>
        <v>1.4850000000000001</v>
      </c>
      <c r="AK385" s="37">
        <v>43</v>
      </c>
      <c r="AL385" s="38">
        <v>6</v>
      </c>
      <c r="AM385" s="40">
        <f t="shared" ref="AM385" si="539">AK385*AL385</f>
        <v>258</v>
      </c>
      <c r="AN385" s="206">
        <f t="shared" ref="AN385" si="540">IF(D385="ШТ",кол_во_инд.__упак_к*итого_г_у,ROUNDDOWN(номин.вес_нетто_г_у__кг*итого_г_у,1))</f>
        <v>2322</v>
      </c>
      <c r="AO385" s="204">
        <f t="shared" si="206"/>
        <v>1621</v>
      </c>
    </row>
    <row r="386" spans="1:41" ht="106.9" customHeight="1" x14ac:dyDescent="0.2">
      <c r="A386" s="22">
        <f t="shared" si="427"/>
        <v>7671</v>
      </c>
      <c r="B386" s="116">
        <v>1001067017671</v>
      </c>
      <c r="C386" s="48" t="s">
        <v>2092</v>
      </c>
      <c r="D386" s="49" t="s">
        <v>4</v>
      </c>
      <c r="E386" s="146" t="s">
        <v>373</v>
      </c>
      <c r="F386" s="112" t="s">
        <v>353</v>
      </c>
      <c r="G386" s="224" t="s">
        <v>6</v>
      </c>
      <c r="H386" s="49" t="s">
        <v>278</v>
      </c>
      <c r="I386" s="155" t="s">
        <v>1065</v>
      </c>
      <c r="J386" s="150" t="s">
        <v>418</v>
      </c>
      <c r="K386" s="83" t="s">
        <v>1406</v>
      </c>
      <c r="L386" s="52">
        <v>12</v>
      </c>
      <c r="M386" s="53">
        <v>29</v>
      </c>
      <c r="N386" s="54">
        <v>3</v>
      </c>
      <c r="O386" s="88" t="s">
        <v>1407</v>
      </c>
      <c r="P386" s="31" t="s">
        <v>1241</v>
      </c>
      <c r="Q386" s="87">
        <v>90</v>
      </c>
      <c r="R386" s="56" t="s">
        <v>44</v>
      </c>
      <c r="S386" s="243">
        <v>4630362180346</v>
      </c>
      <c r="T386" s="340">
        <v>44630362180344</v>
      </c>
      <c r="U386" s="46">
        <v>4630362180346</v>
      </c>
      <c r="V386" s="46">
        <v>44630362180344</v>
      </c>
      <c r="W386" s="93">
        <v>257</v>
      </c>
      <c r="X386" s="68">
        <v>56</v>
      </c>
      <c r="Y386" s="96" t="s">
        <v>1180</v>
      </c>
      <c r="Z386" s="65">
        <v>0.15</v>
      </c>
      <c r="AA386" s="271">
        <v>5.0000000000000001E-3</v>
      </c>
      <c r="AB386" s="66">
        <f t="shared" ref="AB386" si="541">Z386+AA386</f>
        <v>0.155</v>
      </c>
      <c r="AC386" s="37">
        <v>167</v>
      </c>
      <c r="AD386" s="38">
        <v>109</v>
      </c>
      <c r="AE386" s="38">
        <v>246</v>
      </c>
      <c r="AF386" s="191">
        <v>12</v>
      </c>
      <c r="AG386" s="117">
        <v>600000591</v>
      </c>
      <c r="AH386" s="103">
        <f>справочники!$C$212</f>
        <v>0.1</v>
      </c>
      <c r="AI386" s="62">
        <f t="shared" si="530"/>
        <v>1.8</v>
      </c>
      <c r="AJ386" s="122">
        <f t="shared" si="531"/>
        <v>1.96</v>
      </c>
      <c r="AK386" s="37">
        <v>43</v>
      </c>
      <c r="AL386" s="38">
        <v>6</v>
      </c>
      <c r="AM386" s="40">
        <f t="shared" ref="AM386" si="542">AK386*AL386</f>
        <v>258</v>
      </c>
      <c r="AN386" s="206">
        <f t="shared" ref="AN386" si="543">IF(D386="ШТ",кол_во_инд.__упак_к*итого_г_у,ROUNDDOWN(номин.вес_нетто_г_у__кг*итого_г_у,1))</f>
        <v>3096</v>
      </c>
      <c r="AO386" s="204">
        <f t="shared" si="206"/>
        <v>1621</v>
      </c>
    </row>
    <row r="387" spans="1:41" ht="106.9" customHeight="1" x14ac:dyDescent="0.2">
      <c r="A387" s="22">
        <f t="shared" si="427"/>
        <v>7528</v>
      </c>
      <c r="B387" s="116">
        <v>1001067017528</v>
      </c>
      <c r="C387" s="48" t="s">
        <v>1621</v>
      </c>
      <c r="D387" s="49" t="s">
        <v>4</v>
      </c>
      <c r="E387" s="146" t="s">
        <v>373</v>
      </c>
      <c r="F387" s="112" t="s">
        <v>353</v>
      </c>
      <c r="G387" s="224" t="s">
        <v>6</v>
      </c>
      <c r="H387" s="49" t="s">
        <v>278</v>
      </c>
      <c r="I387" s="155" t="s">
        <v>1065</v>
      </c>
      <c r="J387" s="150" t="s">
        <v>418</v>
      </c>
      <c r="K387" s="83" t="s">
        <v>1406</v>
      </c>
      <c r="L387" s="52">
        <v>12</v>
      </c>
      <c r="M387" s="53">
        <v>29</v>
      </c>
      <c r="N387" s="54">
        <v>3</v>
      </c>
      <c r="O387" s="88" t="s">
        <v>1407</v>
      </c>
      <c r="P387" s="31" t="s">
        <v>104</v>
      </c>
      <c r="Q387" s="87">
        <v>30</v>
      </c>
      <c r="R387" s="56"/>
      <c r="S387" s="243">
        <v>4630362180346</v>
      </c>
      <c r="T387" s="340">
        <v>34630362180347</v>
      </c>
      <c r="U387" s="46" t="s">
        <v>1874</v>
      </c>
      <c r="V387" s="46" t="s">
        <v>1874</v>
      </c>
      <c r="W387" s="93"/>
      <c r="X387" s="68"/>
      <c r="Y387" s="96"/>
      <c r="Z387" s="65">
        <v>1.65</v>
      </c>
      <c r="AA387" s="271">
        <v>3.0000000000000001E-3</v>
      </c>
      <c r="AB387" s="66">
        <f t="shared" ref="AB387" si="544">Z387+AA387</f>
        <v>1.6529999999999998</v>
      </c>
      <c r="AC387" s="59">
        <v>388</v>
      </c>
      <c r="AD387" s="60">
        <v>292</v>
      </c>
      <c r="AE387" s="60">
        <v>240</v>
      </c>
      <c r="AF387" s="191">
        <v>7</v>
      </c>
      <c r="AG387" s="117">
        <v>600000017</v>
      </c>
      <c r="AH387" s="103">
        <f>справочники!$C$9</f>
        <v>0.34899999999999998</v>
      </c>
      <c r="AI387" s="62">
        <f t="shared" si="530"/>
        <v>11.55</v>
      </c>
      <c r="AJ387" s="122">
        <f t="shared" si="531"/>
        <v>11.919999999999998</v>
      </c>
      <c r="AK387" s="37">
        <v>8</v>
      </c>
      <c r="AL387" s="38">
        <v>6</v>
      </c>
      <c r="AM387" s="40">
        <f t="shared" ref="AM387" si="545">AK387*AL387</f>
        <v>48</v>
      </c>
      <c r="AN387" s="206">
        <f t="shared" ref="AN387" si="546">IF(D387="ШТ",кол_во_инд.__упак_к*итого_г_у,ROUNDDOWN(номин.вес_нетто_г_у__кг*итого_г_у,1))</f>
        <v>336</v>
      </c>
      <c r="AO387" s="204">
        <f t="shared" si="206"/>
        <v>1585</v>
      </c>
    </row>
    <row r="388" spans="1:41" ht="39" customHeight="1" x14ac:dyDescent="0.2">
      <c r="A388" s="22">
        <f t="shared" ref="A388:A451" si="547">VALUE(RIGHT(B388,4))</f>
        <v>7143</v>
      </c>
      <c r="B388" s="116">
        <v>1001060717143</v>
      </c>
      <c r="C388" s="48" t="s">
        <v>1116</v>
      </c>
      <c r="D388" s="49" t="s">
        <v>4</v>
      </c>
      <c r="E388" s="146" t="s">
        <v>373</v>
      </c>
      <c r="F388" s="112" t="s">
        <v>353</v>
      </c>
      <c r="G388" s="224" t="s">
        <v>2</v>
      </c>
      <c r="H388" s="58" t="s">
        <v>1006</v>
      </c>
      <c r="I388" s="155" t="s">
        <v>54</v>
      </c>
      <c r="J388" s="150" t="s">
        <v>410</v>
      </c>
      <c r="K388" s="51" t="s">
        <v>1117</v>
      </c>
      <c r="L388" s="52">
        <v>15</v>
      </c>
      <c r="M388" s="53">
        <v>53</v>
      </c>
      <c r="N388" s="54"/>
      <c r="O388" s="88" t="s">
        <v>55</v>
      </c>
      <c r="P388" s="113" t="s">
        <v>104</v>
      </c>
      <c r="Q388" s="49">
        <v>120</v>
      </c>
      <c r="R388" s="82" t="s">
        <v>51</v>
      </c>
      <c r="S388" s="243">
        <v>4607958079056</v>
      </c>
      <c r="T388" s="340">
        <v>14607958079053</v>
      </c>
      <c r="U388" s="46">
        <v>4607958079056</v>
      </c>
      <c r="V388" s="46">
        <v>14607958079053</v>
      </c>
      <c r="W388" s="93">
        <v>240</v>
      </c>
      <c r="X388" s="68">
        <v>65</v>
      </c>
      <c r="Y388" s="68">
        <v>44</v>
      </c>
      <c r="Z388" s="65">
        <v>0.22</v>
      </c>
      <c r="AA388" s="271">
        <v>5.0000000000000001E-3</v>
      </c>
      <c r="AB388" s="66">
        <f t="shared" si="533"/>
        <v>0.22500000000000001</v>
      </c>
      <c r="AC388" s="37">
        <v>218</v>
      </c>
      <c r="AD388" s="38">
        <v>193</v>
      </c>
      <c r="AE388" s="38">
        <v>108</v>
      </c>
      <c r="AF388" s="191">
        <v>8</v>
      </c>
      <c r="AG388" s="117">
        <v>600000150</v>
      </c>
      <c r="AH388" s="103">
        <f>справочники!$C$43</f>
        <v>8.5999999999999993E-2</v>
      </c>
      <c r="AI388" s="62">
        <f t="shared" si="530"/>
        <v>1.76</v>
      </c>
      <c r="AJ388" s="122">
        <f t="shared" si="531"/>
        <v>1.8860000000000001</v>
      </c>
      <c r="AK388" s="37">
        <v>20</v>
      </c>
      <c r="AL388" s="38">
        <v>14</v>
      </c>
      <c r="AM388" s="40">
        <f>AK388*AL388</f>
        <v>280</v>
      </c>
      <c r="AN388" s="206">
        <f>IF(D388="ШТ",кол_во_инд.__упак_к*итого_г_у,ROUNDDOWN(номин.вес_нетто_г_у__кг*итого_г_у,1))</f>
        <v>2240</v>
      </c>
      <c r="AO388" s="204">
        <f t="shared" si="206"/>
        <v>1657</v>
      </c>
    </row>
    <row r="389" spans="1:41" ht="38.25" customHeight="1" x14ac:dyDescent="0.2">
      <c r="A389" s="22">
        <f t="shared" si="547"/>
        <v>4613</v>
      </c>
      <c r="B389" s="116">
        <v>1001060714613</v>
      </c>
      <c r="C389" s="48" t="s">
        <v>1451</v>
      </c>
      <c r="D389" s="49" t="s">
        <v>3</v>
      </c>
      <c r="E389" s="146" t="s">
        <v>373</v>
      </c>
      <c r="F389" s="112" t="s">
        <v>353</v>
      </c>
      <c r="G389" s="224" t="s">
        <v>2</v>
      </c>
      <c r="H389" s="49" t="s">
        <v>1</v>
      </c>
      <c r="I389" s="155" t="s">
        <v>54</v>
      </c>
      <c r="J389" s="150" t="s">
        <v>410</v>
      </c>
      <c r="K389" s="51" t="s">
        <v>999</v>
      </c>
      <c r="L389" s="52">
        <v>15</v>
      </c>
      <c r="M389" s="53">
        <v>53</v>
      </c>
      <c r="N389" s="54"/>
      <c r="O389" s="88" t="s">
        <v>55</v>
      </c>
      <c r="P389" s="113" t="s">
        <v>106</v>
      </c>
      <c r="Q389" s="87">
        <v>120</v>
      </c>
      <c r="R389" s="82" t="s">
        <v>52</v>
      </c>
      <c r="S389" s="239">
        <v>2504261000000</v>
      </c>
      <c r="T389" s="344">
        <v>12504261000007</v>
      </c>
      <c r="U389" s="46">
        <v>4630362181770</v>
      </c>
      <c r="V389" s="46">
        <v>14630362181777</v>
      </c>
      <c r="W389" s="258">
        <v>405</v>
      </c>
      <c r="X389" s="68">
        <v>70</v>
      </c>
      <c r="Y389" s="68">
        <v>45</v>
      </c>
      <c r="Z389" s="65">
        <v>0.46300000000000002</v>
      </c>
      <c r="AA389" s="271">
        <v>0.01</v>
      </c>
      <c r="AB389" s="66">
        <f t="shared" si="533"/>
        <v>0.47300000000000003</v>
      </c>
      <c r="AC389" s="59">
        <v>388</v>
      </c>
      <c r="AD389" s="60">
        <v>193</v>
      </c>
      <c r="AE389" s="60">
        <v>108</v>
      </c>
      <c r="AF389" s="191">
        <v>8</v>
      </c>
      <c r="AG389" s="117">
        <v>600000013</v>
      </c>
      <c r="AH389" s="104">
        <f>справочники!$C$5</f>
        <v>0.14099999999999999</v>
      </c>
      <c r="AI389" s="61">
        <f t="shared" si="530"/>
        <v>3.7</v>
      </c>
      <c r="AJ389" s="122">
        <f t="shared" si="531"/>
        <v>3.9250000000000003</v>
      </c>
      <c r="AK389" s="37">
        <v>12</v>
      </c>
      <c r="AL389" s="38">
        <v>14</v>
      </c>
      <c r="AM389" s="40">
        <f t="shared" si="532"/>
        <v>168</v>
      </c>
      <c r="AN389" s="214">
        <f t="shared" si="534"/>
        <v>621.6</v>
      </c>
      <c r="AO389" s="204">
        <f t="shared" si="206"/>
        <v>1657</v>
      </c>
    </row>
    <row r="390" spans="1:41" ht="37.5" customHeight="1" x14ac:dyDescent="0.2">
      <c r="A390" s="22">
        <f t="shared" si="547"/>
        <v>3765</v>
      </c>
      <c r="B390" s="116">
        <v>1001060713765</v>
      </c>
      <c r="C390" s="48" t="s">
        <v>165</v>
      </c>
      <c r="D390" s="49" t="s">
        <v>3</v>
      </c>
      <c r="E390" s="146" t="s">
        <v>373</v>
      </c>
      <c r="F390" s="112" t="s">
        <v>353</v>
      </c>
      <c r="G390" s="224" t="s">
        <v>2</v>
      </c>
      <c r="H390" s="49" t="s">
        <v>1</v>
      </c>
      <c r="I390" s="155" t="s">
        <v>54</v>
      </c>
      <c r="J390" s="150" t="s">
        <v>410</v>
      </c>
      <c r="K390" s="51" t="s">
        <v>999</v>
      </c>
      <c r="L390" s="52">
        <v>15</v>
      </c>
      <c r="M390" s="53">
        <v>53</v>
      </c>
      <c r="N390" s="54"/>
      <c r="O390" s="88" t="s">
        <v>55</v>
      </c>
      <c r="P390" s="113" t="s">
        <v>106</v>
      </c>
      <c r="Q390" s="87">
        <v>120</v>
      </c>
      <c r="R390" s="82" t="s">
        <v>52</v>
      </c>
      <c r="S390" s="237">
        <v>2817340000007</v>
      </c>
      <c r="T390" s="332">
        <v>12817340000004</v>
      </c>
      <c r="U390" s="46">
        <v>4630362181770</v>
      </c>
      <c r="V390" s="46">
        <v>14630362181777</v>
      </c>
      <c r="W390" s="258">
        <v>405</v>
      </c>
      <c r="X390" s="68">
        <v>70</v>
      </c>
      <c r="Y390" s="68">
        <v>45</v>
      </c>
      <c r="Z390" s="65">
        <v>0.46300000000000002</v>
      </c>
      <c r="AA390" s="271">
        <v>0.01</v>
      </c>
      <c r="AB390" s="66">
        <f t="shared" si="533"/>
        <v>0.47300000000000003</v>
      </c>
      <c r="AC390" s="59">
        <v>388</v>
      </c>
      <c r="AD390" s="60">
        <v>193</v>
      </c>
      <c r="AE390" s="60">
        <v>108</v>
      </c>
      <c r="AF390" s="191">
        <v>8</v>
      </c>
      <c r="AG390" s="117">
        <v>600000013</v>
      </c>
      <c r="AH390" s="104">
        <f>справочники!$C$5</f>
        <v>0.14099999999999999</v>
      </c>
      <c r="AI390" s="61">
        <f t="shared" si="530"/>
        <v>3.7</v>
      </c>
      <c r="AJ390" s="122">
        <f t="shared" si="531"/>
        <v>3.9250000000000003</v>
      </c>
      <c r="AK390" s="37">
        <v>12</v>
      </c>
      <c r="AL390" s="38">
        <v>14</v>
      </c>
      <c r="AM390" s="40">
        <f t="shared" si="532"/>
        <v>168</v>
      </c>
      <c r="AN390" s="214">
        <f t="shared" si="534"/>
        <v>621.6</v>
      </c>
      <c r="AO390" s="204">
        <f t="shared" ref="AO390:AO464" si="548">(высота__мм*кол_во_слоев_г_у)+145</f>
        <v>1657</v>
      </c>
    </row>
    <row r="391" spans="1:41" ht="63.75" x14ac:dyDescent="0.2">
      <c r="A391" s="22">
        <f t="shared" si="547"/>
        <v>7122</v>
      </c>
      <c r="B391" s="116">
        <v>1001060717122</v>
      </c>
      <c r="C391" s="48" t="s">
        <v>1092</v>
      </c>
      <c r="D391" s="49" t="s">
        <v>3</v>
      </c>
      <c r="E391" s="146" t="s">
        <v>373</v>
      </c>
      <c r="F391" s="112" t="s">
        <v>353</v>
      </c>
      <c r="G391" s="224" t="s">
        <v>2</v>
      </c>
      <c r="H391" s="49" t="s">
        <v>1</v>
      </c>
      <c r="I391" s="154" t="s">
        <v>54</v>
      </c>
      <c r="J391" s="150" t="s">
        <v>410</v>
      </c>
      <c r="K391" s="51" t="s">
        <v>999</v>
      </c>
      <c r="L391" s="84">
        <v>15</v>
      </c>
      <c r="M391" s="85">
        <v>53</v>
      </c>
      <c r="N391" s="91"/>
      <c r="O391" s="86" t="s">
        <v>55</v>
      </c>
      <c r="P391" s="31" t="s">
        <v>106</v>
      </c>
      <c r="Q391" s="87">
        <v>120</v>
      </c>
      <c r="R391" s="82"/>
      <c r="S391" s="239">
        <v>2800624000008</v>
      </c>
      <c r="T391" s="344">
        <v>12800624000005</v>
      </c>
      <c r="U391" s="46" t="s">
        <v>1874</v>
      </c>
      <c r="V391" s="46" t="s">
        <v>1874</v>
      </c>
      <c r="W391" s="258"/>
      <c r="X391" s="68"/>
      <c r="Y391" s="68"/>
      <c r="Z391" s="65">
        <v>13.5</v>
      </c>
      <c r="AA391" s="271">
        <v>0.15</v>
      </c>
      <c r="AB391" s="66">
        <f t="shared" ref="AB391:AB393" si="549">Z391+AA391</f>
        <v>13.65</v>
      </c>
      <c r="AC391" s="59">
        <v>938</v>
      </c>
      <c r="AD391" s="60">
        <v>178</v>
      </c>
      <c r="AE391" s="60">
        <v>178</v>
      </c>
      <c r="AF391" s="191">
        <v>1</v>
      </c>
      <c r="AG391" s="117">
        <v>600000313</v>
      </c>
      <c r="AH391" s="104">
        <f>справочники!$C$62</f>
        <v>0.53100000000000003</v>
      </c>
      <c r="AI391" s="61">
        <f t="shared" si="530"/>
        <v>13.5</v>
      </c>
      <c r="AJ391" s="122">
        <f t="shared" si="531"/>
        <v>14.181000000000001</v>
      </c>
      <c r="AK391" s="37">
        <v>4</v>
      </c>
      <c r="AL391" s="38">
        <v>6</v>
      </c>
      <c r="AM391" s="40">
        <f t="shared" ref="AM391" si="550">AK391*AL391</f>
        <v>24</v>
      </c>
      <c r="AN391" s="214">
        <f t="shared" ref="AN391" si="551">IF(D391="ШТ",кол_во_инд.__упак_к*итого_г_у,ROUNDDOWN(номин.вес_нетто_г_у__кг*итого_г_у,1))</f>
        <v>324</v>
      </c>
      <c r="AO391" s="204">
        <f t="shared" si="206"/>
        <v>1213</v>
      </c>
    </row>
    <row r="392" spans="1:41" ht="63.75" x14ac:dyDescent="0.2">
      <c r="A392" s="22">
        <f t="shared" si="547"/>
        <v>7657</v>
      </c>
      <c r="B392" s="116">
        <v>1001060717657</v>
      </c>
      <c r="C392" s="48" t="s">
        <v>2110</v>
      </c>
      <c r="D392" s="49" t="s">
        <v>3</v>
      </c>
      <c r="E392" s="146" t="s">
        <v>373</v>
      </c>
      <c r="F392" s="112" t="s">
        <v>353</v>
      </c>
      <c r="G392" s="224" t="s">
        <v>2</v>
      </c>
      <c r="H392" s="49" t="s">
        <v>1</v>
      </c>
      <c r="I392" s="154" t="s">
        <v>54</v>
      </c>
      <c r="J392" s="150" t="s">
        <v>410</v>
      </c>
      <c r="K392" s="51" t="s">
        <v>999</v>
      </c>
      <c r="L392" s="84">
        <v>15</v>
      </c>
      <c r="M392" s="85">
        <v>53</v>
      </c>
      <c r="N392" s="91"/>
      <c r="O392" s="86" t="s">
        <v>55</v>
      </c>
      <c r="P392" s="31" t="s">
        <v>106</v>
      </c>
      <c r="Q392" s="87">
        <v>30</v>
      </c>
      <c r="R392" s="82"/>
      <c r="S392" s="239">
        <v>2800898000001</v>
      </c>
      <c r="T392" s="344">
        <v>12800898000008</v>
      </c>
      <c r="U392" s="46" t="s">
        <v>1874</v>
      </c>
      <c r="V392" s="46" t="s">
        <v>1874</v>
      </c>
      <c r="W392" s="258"/>
      <c r="X392" s="68"/>
      <c r="Y392" s="68"/>
      <c r="Z392" s="65">
        <v>2.5</v>
      </c>
      <c r="AA392" s="271">
        <v>2.3E-2</v>
      </c>
      <c r="AB392" s="66">
        <f t="shared" ref="AB392" si="552">Z392+AA392</f>
        <v>2.5230000000000001</v>
      </c>
      <c r="AC392" s="59">
        <v>938</v>
      </c>
      <c r="AD392" s="60">
        <v>178</v>
      </c>
      <c r="AE392" s="60">
        <v>178</v>
      </c>
      <c r="AF392" s="191">
        <v>4</v>
      </c>
      <c r="AG392" s="117">
        <v>600000313</v>
      </c>
      <c r="AH392" s="104">
        <f>справочники!$C$62</f>
        <v>0.53100000000000003</v>
      </c>
      <c r="AI392" s="61">
        <f t="shared" si="530"/>
        <v>10</v>
      </c>
      <c r="AJ392" s="122">
        <f t="shared" si="531"/>
        <v>10.623000000000001</v>
      </c>
      <c r="AK392" s="37">
        <v>4</v>
      </c>
      <c r="AL392" s="38">
        <v>6</v>
      </c>
      <c r="AM392" s="40">
        <f t="shared" ref="AM392" si="553">AK392*AL392</f>
        <v>24</v>
      </c>
      <c r="AN392" s="214">
        <f t="shared" ref="AN392" si="554">IF(D392="ШТ",кол_во_инд.__упак_к*итого_г_у,ROUNDDOWN(номин.вес_нетто_г_у__кг*итого_г_у,1))</f>
        <v>240</v>
      </c>
      <c r="AO392" s="204">
        <f t="shared" si="206"/>
        <v>1213</v>
      </c>
    </row>
    <row r="393" spans="1:41" ht="39" customHeight="1" x14ac:dyDescent="0.2">
      <c r="A393" s="22">
        <f t="shared" si="547"/>
        <v>7387</v>
      </c>
      <c r="B393" s="116">
        <v>1001066607387</v>
      </c>
      <c r="C393" s="48" t="s">
        <v>1408</v>
      </c>
      <c r="D393" s="49" t="s">
        <v>4</v>
      </c>
      <c r="E393" s="146" t="s">
        <v>373</v>
      </c>
      <c r="F393" s="112" t="s">
        <v>353</v>
      </c>
      <c r="G393" s="224" t="s">
        <v>2</v>
      </c>
      <c r="H393" s="49" t="s">
        <v>278</v>
      </c>
      <c r="I393" s="155" t="s">
        <v>54</v>
      </c>
      <c r="J393" s="150" t="s">
        <v>410</v>
      </c>
      <c r="K393" s="51" t="s">
        <v>1117</v>
      </c>
      <c r="L393" s="52">
        <v>15</v>
      </c>
      <c r="M393" s="53">
        <v>53</v>
      </c>
      <c r="N393" s="54"/>
      <c r="O393" s="88" t="s">
        <v>55</v>
      </c>
      <c r="P393" s="113" t="s">
        <v>104</v>
      </c>
      <c r="Q393" s="49">
        <v>30</v>
      </c>
      <c r="R393" s="82"/>
      <c r="S393" s="243">
        <v>4630362180568</v>
      </c>
      <c r="T393" s="340">
        <v>14630362180565</v>
      </c>
      <c r="U393" s="46" t="s">
        <v>1874</v>
      </c>
      <c r="V393" s="46" t="s">
        <v>1874</v>
      </c>
      <c r="W393" s="93"/>
      <c r="X393" s="68"/>
      <c r="Y393" s="68"/>
      <c r="Z393" s="65">
        <v>2.2000000000000002</v>
      </c>
      <c r="AA393" s="271">
        <v>4.0000000000000001E-3</v>
      </c>
      <c r="AB393" s="66">
        <f t="shared" si="549"/>
        <v>2.2040000000000002</v>
      </c>
      <c r="AC393" s="37">
        <v>410</v>
      </c>
      <c r="AD393" s="38">
        <v>292</v>
      </c>
      <c r="AE393" s="38">
        <v>242</v>
      </c>
      <c r="AF393" s="191">
        <v>6</v>
      </c>
      <c r="AG393" s="117">
        <v>600000411</v>
      </c>
      <c r="AH393" s="103">
        <f>справочники!$C$102</f>
        <v>0.433</v>
      </c>
      <c r="AI393" s="62">
        <f t="shared" si="530"/>
        <v>13.2</v>
      </c>
      <c r="AJ393" s="122">
        <f t="shared" si="531"/>
        <v>13.657</v>
      </c>
      <c r="AK393" s="37">
        <v>8</v>
      </c>
      <c r="AL393" s="38">
        <v>6</v>
      </c>
      <c r="AM393" s="40">
        <f>AK393*AL393</f>
        <v>48</v>
      </c>
      <c r="AN393" s="206">
        <f>IF(D393="ШТ",кол_во_инд.__упак_к*итого_г_у,ROUNDDOWN(номин.вес_нетто_г_у__кг*итого_г_у,1))</f>
        <v>288</v>
      </c>
      <c r="AO393" s="204">
        <f t="shared" si="206"/>
        <v>1597</v>
      </c>
    </row>
    <row r="394" spans="1:41" ht="140.25" x14ac:dyDescent="0.2">
      <c r="A394" s="22">
        <f t="shared" si="547"/>
        <v>7544</v>
      </c>
      <c r="B394" s="116">
        <v>1001063657544</v>
      </c>
      <c r="C394" s="48" t="s">
        <v>1672</v>
      </c>
      <c r="D394" s="49" t="s">
        <v>4</v>
      </c>
      <c r="E394" s="146" t="s">
        <v>373</v>
      </c>
      <c r="F394" s="112" t="s">
        <v>353</v>
      </c>
      <c r="G394" s="224" t="s">
        <v>935</v>
      </c>
      <c r="H394" s="49" t="s">
        <v>278</v>
      </c>
      <c r="I394" s="155" t="s">
        <v>1065</v>
      </c>
      <c r="J394" s="150" t="s">
        <v>418</v>
      </c>
      <c r="K394" s="51" t="s">
        <v>1671</v>
      </c>
      <c r="L394" s="52">
        <v>20</v>
      </c>
      <c r="M394" s="53">
        <v>40</v>
      </c>
      <c r="N394" s="54">
        <v>1</v>
      </c>
      <c r="O394" s="88" t="s">
        <v>1522</v>
      </c>
      <c r="P394" s="113" t="s">
        <v>104</v>
      </c>
      <c r="Q394" s="49">
        <v>30</v>
      </c>
      <c r="R394" s="82"/>
      <c r="S394" s="243">
        <v>4630362182180</v>
      </c>
      <c r="T394" s="340">
        <v>14630362182187</v>
      </c>
      <c r="U394" s="46" t="s">
        <v>1874</v>
      </c>
      <c r="V394" s="46" t="s">
        <v>1874</v>
      </c>
      <c r="W394" s="93"/>
      <c r="X394" s="68"/>
      <c r="Y394" s="68"/>
      <c r="Z394" s="65">
        <v>2.2000000000000002</v>
      </c>
      <c r="AA394" s="271">
        <v>4.0000000000000001E-3</v>
      </c>
      <c r="AB394" s="66">
        <f t="shared" ref="AB394" si="555">Z394+AA394</f>
        <v>2.2040000000000002</v>
      </c>
      <c r="AC394" s="37">
        <v>410</v>
      </c>
      <c r="AD394" s="38">
        <v>292</v>
      </c>
      <c r="AE394" s="38">
        <v>242</v>
      </c>
      <c r="AF394" s="191">
        <v>6</v>
      </c>
      <c r="AG394" s="117">
        <v>600000411</v>
      </c>
      <c r="AH394" s="103">
        <f>справочники!$C$102</f>
        <v>0.433</v>
      </c>
      <c r="AI394" s="62">
        <f t="shared" si="530"/>
        <v>13.2</v>
      </c>
      <c r="AJ394" s="122">
        <f t="shared" si="531"/>
        <v>13.657</v>
      </c>
      <c r="AK394" s="37">
        <v>8</v>
      </c>
      <c r="AL394" s="38">
        <v>6</v>
      </c>
      <c r="AM394" s="40">
        <f>AK394*AL394</f>
        <v>48</v>
      </c>
      <c r="AN394" s="206">
        <f>IF(D394="ШТ",кол_во_инд.__упак_к*итого_г_у,ROUNDDOWN(номин.вес_нетто_г_у__кг*итого_г_у,1))</f>
        <v>288</v>
      </c>
      <c r="AO394" s="204">
        <f t="shared" si="206"/>
        <v>1597</v>
      </c>
    </row>
    <row r="395" spans="1:41" ht="78" customHeight="1" x14ac:dyDescent="0.2">
      <c r="A395" s="22">
        <f t="shared" si="547"/>
        <v>7370</v>
      </c>
      <c r="B395" s="116">
        <v>1001063657370</v>
      </c>
      <c r="C395" s="48" t="s">
        <v>1382</v>
      </c>
      <c r="D395" s="49" t="s">
        <v>3</v>
      </c>
      <c r="E395" s="146" t="s">
        <v>373</v>
      </c>
      <c r="F395" s="112" t="s">
        <v>353</v>
      </c>
      <c r="G395" s="224" t="s">
        <v>2</v>
      </c>
      <c r="H395" s="58" t="s">
        <v>1006</v>
      </c>
      <c r="I395" s="155" t="s">
        <v>1065</v>
      </c>
      <c r="J395" s="150" t="s">
        <v>418</v>
      </c>
      <c r="K395" s="51" t="s">
        <v>1383</v>
      </c>
      <c r="L395" s="52">
        <v>10</v>
      </c>
      <c r="M395" s="53">
        <v>43</v>
      </c>
      <c r="N395" s="54">
        <v>2</v>
      </c>
      <c r="O395" s="88" t="s">
        <v>1384</v>
      </c>
      <c r="P395" s="113" t="s">
        <v>106</v>
      </c>
      <c r="Q395" s="49">
        <v>120</v>
      </c>
      <c r="R395" s="56" t="s">
        <v>52</v>
      </c>
      <c r="S395" s="239">
        <v>2302263000000</v>
      </c>
      <c r="T395" s="344">
        <v>12302263000007</v>
      </c>
      <c r="U395" s="46" t="s">
        <v>1874</v>
      </c>
      <c r="V395" s="46" t="s">
        <v>1874</v>
      </c>
      <c r="W395" s="258"/>
      <c r="X395" s="68"/>
      <c r="Y395" s="68"/>
      <c r="Z395" s="65">
        <v>2.5</v>
      </c>
      <c r="AA395" s="271">
        <v>2.1999999999999999E-2</v>
      </c>
      <c r="AB395" s="66">
        <f t="shared" ref="AB395" si="556">Z395+AA395</f>
        <v>2.5219999999999998</v>
      </c>
      <c r="AC395" s="59">
        <v>410</v>
      </c>
      <c r="AD395" s="60">
        <v>292</v>
      </c>
      <c r="AE395" s="60">
        <v>242</v>
      </c>
      <c r="AF395" s="191">
        <v>6</v>
      </c>
      <c r="AG395" s="117">
        <v>600000411</v>
      </c>
      <c r="AH395" s="104">
        <f>справочники!$C$102</f>
        <v>0.433</v>
      </c>
      <c r="AI395" s="61">
        <f t="shared" si="530"/>
        <v>15</v>
      </c>
      <c r="AJ395" s="122">
        <f t="shared" si="531"/>
        <v>15.564999999999998</v>
      </c>
      <c r="AK395" s="37">
        <v>8</v>
      </c>
      <c r="AL395" s="38">
        <v>6</v>
      </c>
      <c r="AM395" s="40">
        <f t="shared" ref="AM395" si="557">AK395*AL395</f>
        <v>48</v>
      </c>
      <c r="AN395" s="214">
        <f t="shared" ref="AN395" si="558">IF(D395="ШТ",кол_во_инд.__упак_к*итого_г_у,ROUNDDOWN(номин.вес_нетто_г_у__кг*итого_г_у,1))</f>
        <v>720</v>
      </c>
      <c r="AO395" s="204">
        <f t="shared" si="206"/>
        <v>1597</v>
      </c>
    </row>
    <row r="396" spans="1:41" ht="102" x14ac:dyDescent="0.2">
      <c r="A396" s="22">
        <f t="shared" si="547"/>
        <v>6968</v>
      </c>
      <c r="B396" s="116">
        <v>1001063656968</v>
      </c>
      <c r="C396" s="48" t="s">
        <v>969</v>
      </c>
      <c r="D396" s="49" t="s">
        <v>4</v>
      </c>
      <c r="E396" s="146" t="s">
        <v>373</v>
      </c>
      <c r="F396" s="112" t="s">
        <v>353</v>
      </c>
      <c r="G396" s="224" t="s">
        <v>6</v>
      </c>
      <c r="H396" s="49" t="s">
        <v>1</v>
      </c>
      <c r="I396" s="154" t="s">
        <v>1940</v>
      </c>
      <c r="J396" s="150" t="s">
        <v>418</v>
      </c>
      <c r="K396" s="51" t="s">
        <v>2031</v>
      </c>
      <c r="L396" s="52">
        <v>22</v>
      </c>
      <c r="M396" s="53">
        <v>42</v>
      </c>
      <c r="N396" s="54">
        <v>6</v>
      </c>
      <c r="O396" s="88" t="s">
        <v>2030</v>
      </c>
      <c r="P396" s="113" t="s">
        <v>106</v>
      </c>
      <c r="Q396" s="49">
        <v>120</v>
      </c>
      <c r="R396" s="56" t="s">
        <v>52</v>
      </c>
      <c r="S396" s="243">
        <v>4607958078301</v>
      </c>
      <c r="T396" s="340">
        <v>14607958078308</v>
      </c>
      <c r="U396" s="46">
        <v>4607958078301</v>
      </c>
      <c r="V396" s="46">
        <v>14607958078308</v>
      </c>
      <c r="W396" s="93">
        <v>405</v>
      </c>
      <c r="X396" s="68">
        <v>70</v>
      </c>
      <c r="Y396" s="68">
        <v>45</v>
      </c>
      <c r="Z396" s="65">
        <v>0.5</v>
      </c>
      <c r="AA396" s="271">
        <v>0.01</v>
      </c>
      <c r="AB396" s="66">
        <f>Z396+AA396</f>
        <v>0.51</v>
      </c>
      <c r="AC396" s="59">
        <v>388</v>
      </c>
      <c r="AD396" s="60">
        <v>193</v>
      </c>
      <c r="AE396" s="60">
        <v>108</v>
      </c>
      <c r="AF396" s="191">
        <v>8</v>
      </c>
      <c r="AG396" s="117">
        <v>600000013</v>
      </c>
      <c r="AH396" s="103">
        <f>справочники!$C$5</f>
        <v>0.14099999999999999</v>
      </c>
      <c r="AI396" s="62">
        <f t="shared" si="530"/>
        <v>4</v>
      </c>
      <c r="AJ396" s="122">
        <f t="shared" si="531"/>
        <v>4.2210000000000001</v>
      </c>
      <c r="AK396" s="37">
        <v>12</v>
      </c>
      <c r="AL396" s="38">
        <v>14</v>
      </c>
      <c r="AM396" s="40">
        <f>AK396*AL396</f>
        <v>168</v>
      </c>
      <c r="AN396" s="135">
        <f>IF(D396="ШТ",кол_во_инд.__упак_к*итого_г_у,ROUNDDOWN(номин.вес_нетто_г_у__кг*итого_г_у,1))</f>
        <v>1344</v>
      </c>
      <c r="AO396" s="204">
        <f t="shared" si="548"/>
        <v>1657</v>
      </c>
    </row>
    <row r="397" spans="1:41" ht="102" x14ac:dyDescent="0.2">
      <c r="A397" s="22">
        <f t="shared" si="547"/>
        <v>6967</v>
      </c>
      <c r="B397" s="116">
        <v>1001063656967</v>
      </c>
      <c r="C397" s="48" t="s">
        <v>970</v>
      </c>
      <c r="D397" s="49" t="s">
        <v>4</v>
      </c>
      <c r="E397" s="146" t="s">
        <v>373</v>
      </c>
      <c r="F397" s="112" t="s">
        <v>353</v>
      </c>
      <c r="G397" s="224" t="s">
        <v>6</v>
      </c>
      <c r="H397" s="49" t="s">
        <v>1</v>
      </c>
      <c r="I397" s="154" t="s">
        <v>1940</v>
      </c>
      <c r="J397" s="150" t="s">
        <v>418</v>
      </c>
      <c r="K397" s="51" t="s">
        <v>2031</v>
      </c>
      <c r="L397" s="52">
        <v>22</v>
      </c>
      <c r="M397" s="53">
        <v>42</v>
      </c>
      <c r="N397" s="54">
        <v>6</v>
      </c>
      <c r="O397" s="88" t="s">
        <v>2030</v>
      </c>
      <c r="P397" s="113" t="s">
        <v>104</v>
      </c>
      <c r="Q397" s="49">
        <v>120</v>
      </c>
      <c r="R397" s="82" t="s">
        <v>51</v>
      </c>
      <c r="S397" s="243">
        <v>4607958078271</v>
      </c>
      <c r="T397" s="340">
        <v>14607958078278</v>
      </c>
      <c r="U397" s="46">
        <v>4607958078271</v>
      </c>
      <c r="V397" s="46">
        <v>14607958078278</v>
      </c>
      <c r="W397" s="93">
        <v>240</v>
      </c>
      <c r="X397" s="60">
        <v>65</v>
      </c>
      <c r="Y397" s="60">
        <v>44</v>
      </c>
      <c r="Z397" s="65">
        <v>0.25</v>
      </c>
      <c r="AA397" s="271">
        <v>5.0000000000000001E-3</v>
      </c>
      <c r="AB397" s="66">
        <f>Z397+AA397</f>
        <v>0.255</v>
      </c>
      <c r="AC397" s="59">
        <v>218</v>
      </c>
      <c r="AD397" s="60">
        <v>193</v>
      </c>
      <c r="AE397" s="60">
        <v>108</v>
      </c>
      <c r="AF397" s="191">
        <v>8</v>
      </c>
      <c r="AG397" s="117">
        <v>600000150</v>
      </c>
      <c r="AH397" s="104">
        <f>справочники!$C$43</f>
        <v>8.5999999999999993E-2</v>
      </c>
      <c r="AI397" s="61">
        <f t="shared" si="530"/>
        <v>2</v>
      </c>
      <c r="AJ397" s="122">
        <f t="shared" si="531"/>
        <v>2.1259999999999999</v>
      </c>
      <c r="AK397" s="33">
        <v>20</v>
      </c>
      <c r="AL397" s="34">
        <v>14</v>
      </c>
      <c r="AM397" s="40">
        <f>AK397*AL397</f>
        <v>280</v>
      </c>
      <c r="AN397" s="206">
        <f>IF(D397="ШТ",кол_во_инд.__упак_к*итого_г_у,ROUNDDOWN(номин.вес_нетто_г_у__кг*итого_г_у,1))</f>
        <v>2240</v>
      </c>
      <c r="AO397" s="204">
        <f t="shared" si="548"/>
        <v>1657</v>
      </c>
    </row>
    <row r="398" spans="1:41" ht="76.5" x14ac:dyDescent="0.2">
      <c r="A398" s="22">
        <f t="shared" si="547"/>
        <v>7471</v>
      </c>
      <c r="B398" s="116">
        <v>1001060707471</v>
      </c>
      <c r="C398" s="48" t="s">
        <v>1736</v>
      </c>
      <c r="D398" s="49" t="s">
        <v>3</v>
      </c>
      <c r="E398" s="146" t="s">
        <v>373</v>
      </c>
      <c r="F398" s="112" t="s">
        <v>353</v>
      </c>
      <c r="G398" s="224" t="s">
        <v>2</v>
      </c>
      <c r="H398" s="49" t="s">
        <v>1</v>
      </c>
      <c r="I398" s="155" t="s">
        <v>54</v>
      </c>
      <c r="J398" s="150" t="s">
        <v>410</v>
      </c>
      <c r="K398" s="51" t="s">
        <v>1017</v>
      </c>
      <c r="L398" s="52">
        <v>19</v>
      </c>
      <c r="M398" s="53">
        <v>45</v>
      </c>
      <c r="N398" s="54"/>
      <c r="O398" s="88" t="s">
        <v>56</v>
      </c>
      <c r="P398" s="113" t="s">
        <v>104</v>
      </c>
      <c r="Q398" s="49">
        <v>120</v>
      </c>
      <c r="R398" s="82" t="s">
        <v>51</v>
      </c>
      <c r="S398" s="239">
        <v>2800939000007</v>
      </c>
      <c r="T398" s="344">
        <v>12800939000004</v>
      </c>
      <c r="U398" s="46">
        <v>4630362182548</v>
      </c>
      <c r="V398" s="46">
        <v>14630362182545</v>
      </c>
      <c r="W398" s="258">
        <v>240</v>
      </c>
      <c r="X398" s="68">
        <v>65</v>
      </c>
      <c r="Y398" s="60">
        <v>44</v>
      </c>
      <c r="Z398" s="65">
        <v>0.22</v>
      </c>
      <c r="AA398" s="271">
        <v>5.0000000000000001E-3</v>
      </c>
      <c r="AB398" s="66">
        <f t="shared" ref="AB398" si="559">Z398+AA398</f>
        <v>0.22500000000000001</v>
      </c>
      <c r="AC398" s="59">
        <v>218</v>
      </c>
      <c r="AD398" s="60">
        <v>193</v>
      </c>
      <c r="AE398" s="60">
        <v>108</v>
      </c>
      <c r="AF398" s="191">
        <v>8</v>
      </c>
      <c r="AG398" s="117">
        <v>600000150</v>
      </c>
      <c r="AH398" s="104">
        <f>справочники!$C$43</f>
        <v>8.5999999999999993E-2</v>
      </c>
      <c r="AI398" s="62">
        <f t="shared" si="530"/>
        <v>1.76</v>
      </c>
      <c r="AJ398" s="122">
        <f t="shared" si="531"/>
        <v>1.8860000000000001</v>
      </c>
      <c r="AK398" s="37">
        <v>20</v>
      </c>
      <c r="AL398" s="38">
        <v>14</v>
      </c>
      <c r="AM398" s="40">
        <f t="shared" ref="AM398" si="560">AK398*AL398</f>
        <v>280</v>
      </c>
      <c r="AN398" s="214">
        <f t="shared" ref="AN398" si="561">IF(D398="ШТ",кол_во_инд.__упак_к*итого_г_у,ROUNDDOWN(номин.вес_нетто_г_у__кг*итого_г_у,1))</f>
        <v>492.8</v>
      </c>
      <c r="AO398" s="204">
        <f t="shared" si="548"/>
        <v>1657</v>
      </c>
    </row>
    <row r="399" spans="1:41" ht="76.5" x14ac:dyDescent="0.2">
      <c r="A399" s="22">
        <f t="shared" si="547"/>
        <v>4070</v>
      </c>
      <c r="B399" s="116">
        <v>1001060704070</v>
      </c>
      <c r="C399" s="48" t="s">
        <v>320</v>
      </c>
      <c r="D399" s="49" t="s">
        <v>3</v>
      </c>
      <c r="E399" s="146" t="s">
        <v>373</v>
      </c>
      <c r="F399" s="112" t="s">
        <v>353</v>
      </c>
      <c r="G399" s="224" t="s">
        <v>2</v>
      </c>
      <c r="H399" s="49" t="s">
        <v>1</v>
      </c>
      <c r="I399" s="155" t="s">
        <v>54</v>
      </c>
      <c r="J399" s="150" t="s">
        <v>410</v>
      </c>
      <c r="K399" s="51" t="s">
        <v>1017</v>
      </c>
      <c r="L399" s="52">
        <v>19</v>
      </c>
      <c r="M399" s="53">
        <v>45</v>
      </c>
      <c r="N399" s="54"/>
      <c r="O399" s="88" t="s">
        <v>56</v>
      </c>
      <c r="P399" s="113" t="s">
        <v>106</v>
      </c>
      <c r="Q399" s="49">
        <v>120</v>
      </c>
      <c r="R399" s="82" t="s">
        <v>52</v>
      </c>
      <c r="S399" s="239">
        <v>2392077000006</v>
      </c>
      <c r="T399" s="344">
        <v>12392077000003</v>
      </c>
      <c r="U399" s="46">
        <v>4630362180698</v>
      </c>
      <c r="V399" s="46">
        <v>14630362180695</v>
      </c>
      <c r="W399" s="258">
        <v>405</v>
      </c>
      <c r="X399" s="68">
        <v>70</v>
      </c>
      <c r="Y399" s="60">
        <v>42</v>
      </c>
      <c r="Z399" s="65">
        <v>0.51300000000000001</v>
      </c>
      <c r="AA399" s="271">
        <v>0.01</v>
      </c>
      <c r="AB399" s="66">
        <f t="shared" si="533"/>
        <v>0.52300000000000002</v>
      </c>
      <c r="AC399" s="59">
        <v>388</v>
      </c>
      <c r="AD399" s="60">
        <v>193</v>
      </c>
      <c r="AE399" s="60">
        <v>108</v>
      </c>
      <c r="AF399" s="191">
        <v>8</v>
      </c>
      <c r="AG399" s="117">
        <v>600000013</v>
      </c>
      <c r="AH399" s="104">
        <f>справочники!$C$5</f>
        <v>0.14099999999999999</v>
      </c>
      <c r="AI399" s="62">
        <f t="shared" si="530"/>
        <v>4.0999999999999996</v>
      </c>
      <c r="AJ399" s="122">
        <f t="shared" si="531"/>
        <v>4.3250000000000002</v>
      </c>
      <c r="AK399" s="37">
        <v>12</v>
      </c>
      <c r="AL399" s="38">
        <v>14</v>
      </c>
      <c r="AM399" s="40">
        <f t="shared" si="532"/>
        <v>168</v>
      </c>
      <c r="AN399" s="214">
        <f t="shared" si="534"/>
        <v>688.8</v>
      </c>
      <c r="AO399" s="204">
        <f t="shared" si="548"/>
        <v>1657</v>
      </c>
    </row>
    <row r="400" spans="1:41" ht="76.5" x14ac:dyDescent="0.2">
      <c r="A400" s="22">
        <f t="shared" si="547"/>
        <v>3070</v>
      </c>
      <c r="B400" s="116">
        <v>1001060703070</v>
      </c>
      <c r="C400" s="48" t="s">
        <v>325</v>
      </c>
      <c r="D400" s="49" t="s">
        <v>3</v>
      </c>
      <c r="E400" s="146" t="s">
        <v>373</v>
      </c>
      <c r="F400" s="112" t="s">
        <v>353</v>
      </c>
      <c r="G400" s="224" t="s">
        <v>2</v>
      </c>
      <c r="H400" s="49" t="s">
        <v>1</v>
      </c>
      <c r="I400" s="155" t="s">
        <v>54</v>
      </c>
      <c r="J400" s="150" t="s">
        <v>410</v>
      </c>
      <c r="K400" s="51" t="s">
        <v>1017</v>
      </c>
      <c r="L400" s="52">
        <v>19</v>
      </c>
      <c r="M400" s="53">
        <v>45</v>
      </c>
      <c r="N400" s="54"/>
      <c r="O400" s="88" t="s">
        <v>56</v>
      </c>
      <c r="P400" s="113" t="s">
        <v>106</v>
      </c>
      <c r="Q400" s="49">
        <v>120</v>
      </c>
      <c r="R400" s="82" t="s">
        <v>52</v>
      </c>
      <c r="S400" s="239">
        <v>2870860000001</v>
      </c>
      <c r="T400" s="344">
        <v>12870860000008</v>
      </c>
      <c r="U400" s="46">
        <v>4630362180698</v>
      </c>
      <c r="V400" s="46">
        <v>14630362180695</v>
      </c>
      <c r="W400" s="258">
        <v>405</v>
      </c>
      <c r="X400" s="68">
        <v>70</v>
      </c>
      <c r="Y400" s="60">
        <v>42</v>
      </c>
      <c r="Z400" s="65">
        <v>0.51300000000000001</v>
      </c>
      <c r="AA400" s="271">
        <v>0.01</v>
      </c>
      <c r="AB400" s="66">
        <f t="shared" si="533"/>
        <v>0.52300000000000002</v>
      </c>
      <c r="AC400" s="59">
        <v>388</v>
      </c>
      <c r="AD400" s="60">
        <v>193</v>
      </c>
      <c r="AE400" s="60">
        <v>108</v>
      </c>
      <c r="AF400" s="191">
        <v>8</v>
      </c>
      <c r="AG400" s="117">
        <v>600000013</v>
      </c>
      <c r="AH400" s="104">
        <f>справочники!$C$5</f>
        <v>0.14099999999999999</v>
      </c>
      <c r="AI400" s="62">
        <f t="shared" si="530"/>
        <v>4.0999999999999996</v>
      </c>
      <c r="AJ400" s="122">
        <f t="shared" si="531"/>
        <v>4.3250000000000002</v>
      </c>
      <c r="AK400" s="37">
        <v>12</v>
      </c>
      <c r="AL400" s="38">
        <v>14</v>
      </c>
      <c r="AM400" s="40">
        <f t="shared" si="532"/>
        <v>168</v>
      </c>
      <c r="AN400" s="214">
        <f t="shared" si="534"/>
        <v>688.8</v>
      </c>
      <c r="AO400" s="204">
        <f t="shared" si="548"/>
        <v>1657</v>
      </c>
    </row>
    <row r="401" spans="1:41" ht="76.5" x14ac:dyDescent="0.2">
      <c r="A401" s="22">
        <f t="shared" si="547"/>
        <v>4192</v>
      </c>
      <c r="B401" s="116">
        <v>1001060704192</v>
      </c>
      <c r="C401" s="48" t="s">
        <v>1489</v>
      </c>
      <c r="D401" s="49" t="s">
        <v>3</v>
      </c>
      <c r="E401" s="146" t="s">
        <v>373</v>
      </c>
      <c r="F401" s="112" t="s">
        <v>353</v>
      </c>
      <c r="G401" s="224" t="s">
        <v>2</v>
      </c>
      <c r="H401" s="49" t="s">
        <v>1</v>
      </c>
      <c r="I401" s="155" t="s">
        <v>54</v>
      </c>
      <c r="J401" s="150" t="s">
        <v>410</v>
      </c>
      <c r="K401" s="51" t="s">
        <v>1017</v>
      </c>
      <c r="L401" s="52">
        <v>19</v>
      </c>
      <c r="M401" s="53">
        <v>45</v>
      </c>
      <c r="N401" s="54"/>
      <c r="O401" s="88" t="s">
        <v>56</v>
      </c>
      <c r="P401" s="113" t="s">
        <v>106</v>
      </c>
      <c r="Q401" s="49">
        <v>120</v>
      </c>
      <c r="R401" s="82" t="s">
        <v>52</v>
      </c>
      <c r="S401" s="239">
        <v>2324497000007</v>
      </c>
      <c r="T401" s="344">
        <v>12324497000004</v>
      </c>
      <c r="U401" s="46">
        <v>4630362180698</v>
      </c>
      <c r="V401" s="46">
        <v>14630362180695</v>
      </c>
      <c r="W401" s="258">
        <v>405</v>
      </c>
      <c r="X401" s="68">
        <v>70</v>
      </c>
      <c r="Y401" s="60">
        <v>42</v>
      </c>
      <c r="Z401" s="65">
        <v>0.51300000000000001</v>
      </c>
      <c r="AA401" s="271">
        <v>0.01</v>
      </c>
      <c r="AB401" s="66">
        <f t="shared" ref="AB401" si="562">Z401+AA401</f>
        <v>0.52300000000000002</v>
      </c>
      <c r="AC401" s="59">
        <v>388</v>
      </c>
      <c r="AD401" s="60">
        <v>193</v>
      </c>
      <c r="AE401" s="60">
        <v>108</v>
      </c>
      <c r="AF401" s="191">
        <v>8</v>
      </c>
      <c r="AG401" s="117">
        <v>600000013</v>
      </c>
      <c r="AH401" s="104">
        <f>справочники!$C$5</f>
        <v>0.14099999999999999</v>
      </c>
      <c r="AI401" s="62">
        <f t="shared" si="530"/>
        <v>4.0999999999999996</v>
      </c>
      <c r="AJ401" s="122">
        <f t="shared" si="531"/>
        <v>4.3250000000000002</v>
      </c>
      <c r="AK401" s="37">
        <v>12</v>
      </c>
      <c r="AL401" s="38">
        <v>14</v>
      </c>
      <c r="AM401" s="40">
        <f t="shared" ref="AM401" si="563">AK401*AL401</f>
        <v>168</v>
      </c>
      <c r="AN401" s="214">
        <f t="shared" ref="AN401" si="564">IF(D401="ШТ",кол_во_инд.__упак_к*итого_г_у,ROUNDDOWN(номин.вес_нетто_г_у__кг*итого_г_у,1))</f>
        <v>688.8</v>
      </c>
      <c r="AO401" s="204">
        <f t="shared" si="548"/>
        <v>1657</v>
      </c>
    </row>
    <row r="402" spans="1:41" ht="76.5" x14ac:dyDescent="0.2">
      <c r="A402" s="22">
        <f t="shared" si="547"/>
        <v>7636</v>
      </c>
      <c r="B402" s="116">
        <v>1001060707636</v>
      </c>
      <c r="C402" s="48" t="s">
        <v>1811</v>
      </c>
      <c r="D402" s="49" t="s">
        <v>4</v>
      </c>
      <c r="E402" s="146" t="s">
        <v>373</v>
      </c>
      <c r="F402" s="112" t="s">
        <v>353</v>
      </c>
      <c r="G402" s="224" t="s">
        <v>2</v>
      </c>
      <c r="H402" s="49" t="s">
        <v>278</v>
      </c>
      <c r="I402" s="154" t="s">
        <v>54</v>
      </c>
      <c r="J402" s="150" t="s">
        <v>410</v>
      </c>
      <c r="K402" s="51" t="s">
        <v>1017</v>
      </c>
      <c r="L402" s="84">
        <v>19</v>
      </c>
      <c r="M402" s="85">
        <v>45</v>
      </c>
      <c r="N402" s="91"/>
      <c r="O402" s="86" t="s">
        <v>56</v>
      </c>
      <c r="P402" s="113" t="s">
        <v>106</v>
      </c>
      <c r="Q402" s="87">
        <v>30</v>
      </c>
      <c r="R402" s="82"/>
      <c r="S402" s="239">
        <v>4630362182395</v>
      </c>
      <c r="T402" s="344">
        <v>14630362182392</v>
      </c>
      <c r="U402" s="46" t="s">
        <v>1874</v>
      </c>
      <c r="V402" s="46" t="s">
        <v>1874</v>
      </c>
      <c r="W402" s="258"/>
      <c r="X402" s="68"/>
      <c r="Y402" s="68"/>
      <c r="Z402" s="65">
        <v>2.5</v>
      </c>
      <c r="AA402" s="271">
        <v>2.1999999999999999E-2</v>
      </c>
      <c r="AB402" s="66">
        <f t="shared" ref="AB402" si="565">Z402+AA402</f>
        <v>2.5219999999999998</v>
      </c>
      <c r="AC402" s="59">
        <v>410</v>
      </c>
      <c r="AD402" s="60">
        <v>292</v>
      </c>
      <c r="AE402" s="60">
        <v>242</v>
      </c>
      <c r="AF402" s="191">
        <v>6</v>
      </c>
      <c r="AG402" s="117">
        <v>600000411</v>
      </c>
      <c r="AH402" s="104">
        <f>справочники!$C$102</f>
        <v>0.433</v>
      </c>
      <c r="AI402" s="61">
        <f t="shared" si="530"/>
        <v>15</v>
      </c>
      <c r="AJ402" s="122">
        <f t="shared" si="531"/>
        <v>15.564999999999998</v>
      </c>
      <c r="AK402" s="37">
        <v>8</v>
      </c>
      <c r="AL402" s="38">
        <v>6</v>
      </c>
      <c r="AM402" s="40">
        <f t="shared" ref="AM402" si="566">AK402*AL402</f>
        <v>48</v>
      </c>
      <c r="AN402" s="206">
        <f t="shared" ref="AN402" si="567">IF(D402="ШТ",кол_во_инд.__упак_к*итого_г_у,ROUNDDOWN(номин.вес_нетто_г_у__кг*итого_г_у,1))</f>
        <v>288</v>
      </c>
      <c r="AO402" s="204">
        <f t="shared" si="548"/>
        <v>1597</v>
      </c>
    </row>
    <row r="403" spans="1:41" ht="76.5" x14ac:dyDescent="0.2">
      <c r="A403" s="22">
        <f t="shared" si="547"/>
        <v>7621</v>
      </c>
      <c r="B403" s="116">
        <v>1001060707621</v>
      </c>
      <c r="C403" s="48" t="s">
        <v>1782</v>
      </c>
      <c r="D403" s="49" t="s">
        <v>3</v>
      </c>
      <c r="E403" s="146" t="s">
        <v>373</v>
      </c>
      <c r="F403" s="112" t="s">
        <v>353</v>
      </c>
      <c r="G403" s="224" t="s">
        <v>2</v>
      </c>
      <c r="H403" s="49" t="s">
        <v>278</v>
      </c>
      <c r="I403" s="154" t="s">
        <v>54</v>
      </c>
      <c r="J403" s="150" t="s">
        <v>410</v>
      </c>
      <c r="K403" s="51" t="s">
        <v>1017</v>
      </c>
      <c r="L403" s="84">
        <v>19</v>
      </c>
      <c r="M403" s="85">
        <v>45</v>
      </c>
      <c r="N403" s="91"/>
      <c r="O403" s="86" t="s">
        <v>56</v>
      </c>
      <c r="P403" s="113" t="s">
        <v>106</v>
      </c>
      <c r="Q403" s="87">
        <v>30</v>
      </c>
      <c r="R403" s="82"/>
      <c r="S403" s="239">
        <v>2800512000004</v>
      </c>
      <c r="T403" s="344">
        <v>12800512000001</v>
      </c>
      <c r="U403" s="46" t="s">
        <v>1874</v>
      </c>
      <c r="V403" s="46" t="s">
        <v>1874</v>
      </c>
      <c r="W403" s="258"/>
      <c r="X403" s="68"/>
      <c r="Y403" s="68"/>
      <c r="Z403" s="65">
        <v>5</v>
      </c>
      <c r="AA403" s="271">
        <v>2.1999999999999999E-2</v>
      </c>
      <c r="AB403" s="66">
        <f t="shared" ref="AB403" si="568">Z403+AA403</f>
        <v>5.0220000000000002</v>
      </c>
      <c r="AC403" s="59">
        <v>938</v>
      </c>
      <c r="AD403" s="60">
        <v>178</v>
      </c>
      <c r="AE403" s="60">
        <v>178</v>
      </c>
      <c r="AF403" s="191">
        <v>2</v>
      </c>
      <c r="AG403" s="117">
        <v>600000313</v>
      </c>
      <c r="AH403" s="104">
        <v>0.53100000000000003</v>
      </c>
      <c r="AI403" s="61">
        <f t="shared" si="530"/>
        <v>10</v>
      </c>
      <c r="AJ403" s="122">
        <f t="shared" si="531"/>
        <v>10.575000000000001</v>
      </c>
      <c r="AK403" s="37">
        <v>4</v>
      </c>
      <c r="AL403" s="38">
        <v>6</v>
      </c>
      <c r="AM403" s="40">
        <f t="shared" ref="AM403" si="569">AK403*AL403</f>
        <v>24</v>
      </c>
      <c r="AN403" s="214">
        <f t="shared" ref="AN403" si="570">IF(D403="ШТ",кол_во_инд.__упак_к*итого_г_у,ROUNDDOWN(номин.вес_нетто_г_у__кг*итого_г_у,1))</f>
        <v>240</v>
      </c>
      <c r="AO403" s="204">
        <f t="shared" si="548"/>
        <v>1213</v>
      </c>
    </row>
    <row r="404" spans="1:41" ht="89.25" x14ac:dyDescent="0.2">
      <c r="A404" s="22">
        <f t="shared" si="547"/>
        <v>6924</v>
      </c>
      <c r="B404" s="116">
        <v>1001065876924</v>
      </c>
      <c r="C404" s="48" t="s">
        <v>1181</v>
      </c>
      <c r="D404" s="49" t="s">
        <v>4</v>
      </c>
      <c r="E404" s="146" t="s">
        <v>373</v>
      </c>
      <c r="F404" s="112" t="s">
        <v>353</v>
      </c>
      <c r="G404" s="224" t="s">
        <v>6</v>
      </c>
      <c r="H404" s="49" t="s">
        <v>1</v>
      </c>
      <c r="I404" s="155" t="s">
        <v>1940</v>
      </c>
      <c r="J404" s="150" t="s">
        <v>418</v>
      </c>
      <c r="K404" s="83" t="s">
        <v>2032</v>
      </c>
      <c r="L404" s="52">
        <v>22</v>
      </c>
      <c r="M404" s="53">
        <v>42</v>
      </c>
      <c r="N404" s="54">
        <v>6</v>
      </c>
      <c r="O404" s="88" t="s">
        <v>2030</v>
      </c>
      <c r="P404" s="113" t="s">
        <v>106</v>
      </c>
      <c r="Q404" s="49">
        <v>120</v>
      </c>
      <c r="R404" s="82" t="s">
        <v>52</v>
      </c>
      <c r="S404" s="237">
        <v>4607958078073</v>
      </c>
      <c r="T404" s="332">
        <v>14607958078070</v>
      </c>
      <c r="U404" s="46">
        <v>4607958078073</v>
      </c>
      <c r="V404" s="46">
        <v>14607958078070</v>
      </c>
      <c r="W404" s="258">
        <v>405</v>
      </c>
      <c r="X404" s="68">
        <v>70</v>
      </c>
      <c r="Y404" s="60">
        <v>45</v>
      </c>
      <c r="Z404" s="65">
        <v>0.5</v>
      </c>
      <c r="AA404" s="271">
        <v>0.01</v>
      </c>
      <c r="AB404" s="66">
        <f t="shared" si="533"/>
        <v>0.51</v>
      </c>
      <c r="AC404" s="59">
        <v>388</v>
      </c>
      <c r="AD404" s="60">
        <v>193</v>
      </c>
      <c r="AE404" s="60">
        <v>108</v>
      </c>
      <c r="AF404" s="191">
        <v>8</v>
      </c>
      <c r="AG404" s="117">
        <v>600000013</v>
      </c>
      <c r="AH404" s="103">
        <f>справочники!$C$5</f>
        <v>0.14099999999999999</v>
      </c>
      <c r="AI404" s="62">
        <f t="shared" si="530"/>
        <v>4</v>
      </c>
      <c r="AJ404" s="122">
        <f t="shared" si="531"/>
        <v>4.2210000000000001</v>
      </c>
      <c r="AK404" s="37">
        <v>12</v>
      </c>
      <c r="AL404" s="38">
        <v>14</v>
      </c>
      <c r="AM404" s="40">
        <f t="shared" si="532"/>
        <v>168</v>
      </c>
      <c r="AN404" s="206">
        <f t="shared" si="534"/>
        <v>1344</v>
      </c>
      <c r="AO404" s="204">
        <f t="shared" si="548"/>
        <v>1657</v>
      </c>
    </row>
    <row r="405" spans="1:41" ht="89.25" x14ac:dyDescent="0.2">
      <c r="A405" s="22">
        <f t="shared" si="547"/>
        <v>7582</v>
      </c>
      <c r="B405" s="116">
        <v>1001065877582</v>
      </c>
      <c r="C405" s="48" t="s">
        <v>1733</v>
      </c>
      <c r="D405" s="49" t="s">
        <v>4</v>
      </c>
      <c r="E405" s="146" t="s">
        <v>373</v>
      </c>
      <c r="F405" s="112" t="s">
        <v>353</v>
      </c>
      <c r="G405" s="224" t="s">
        <v>6</v>
      </c>
      <c r="H405" s="49" t="s">
        <v>1</v>
      </c>
      <c r="I405" s="155" t="s">
        <v>1940</v>
      </c>
      <c r="J405" s="150" t="s">
        <v>418</v>
      </c>
      <c r="K405" s="83" t="s">
        <v>2032</v>
      </c>
      <c r="L405" s="52">
        <v>22</v>
      </c>
      <c r="M405" s="53">
        <v>42</v>
      </c>
      <c r="N405" s="54">
        <v>6</v>
      </c>
      <c r="O405" s="88" t="s">
        <v>2030</v>
      </c>
      <c r="P405" s="113" t="s">
        <v>106</v>
      </c>
      <c r="Q405" s="49">
        <v>120</v>
      </c>
      <c r="R405" s="82" t="s">
        <v>52</v>
      </c>
      <c r="S405" s="237">
        <v>4607958078073</v>
      </c>
      <c r="T405" s="332">
        <v>14607958078070</v>
      </c>
      <c r="U405" s="46">
        <v>4607958078073</v>
      </c>
      <c r="V405" s="46">
        <v>14607958078070</v>
      </c>
      <c r="W405" s="258">
        <v>405</v>
      </c>
      <c r="X405" s="68">
        <v>70</v>
      </c>
      <c r="Y405" s="60">
        <v>45</v>
      </c>
      <c r="Z405" s="65">
        <v>0.5</v>
      </c>
      <c r="AA405" s="271">
        <v>0.01</v>
      </c>
      <c r="AB405" s="66">
        <f t="shared" ref="AB405" si="571">Z405+AA405</f>
        <v>0.51</v>
      </c>
      <c r="AC405" s="59">
        <v>198</v>
      </c>
      <c r="AD405" s="60">
        <v>394</v>
      </c>
      <c r="AE405" s="60">
        <v>103</v>
      </c>
      <c r="AF405" s="191">
        <v>8</v>
      </c>
      <c r="AG405" s="117">
        <v>600000611</v>
      </c>
      <c r="AH405" s="103">
        <f>справочники!$C$199</f>
        <v>0.13500000000000001</v>
      </c>
      <c r="AI405" s="62">
        <f t="shared" si="530"/>
        <v>4</v>
      </c>
      <c r="AJ405" s="122">
        <f t="shared" si="531"/>
        <v>4.2149999999999999</v>
      </c>
      <c r="AK405" s="37">
        <v>12</v>
      </c>
      <c r="AL405" s="38">
        <v>16</v>
      </c>
      <c r="AM405" s="40">
        <f t="shared" ref="AM405" si="572">AK405*AL405</f>
        <v>192</v>
      </c>
      <c r="AN405" s="206">
        <f t="shared" ref="AN405" si="573">IF(D405="ШТ",кол_во_инд.__упак_к*итого_г_у,ROUNDDOWN(номин.вес_нетто_г_у__кг*итого_г_у,1))</f>
        <v>1536</v>
      </c>
      <c r="AO405" s="204">
        <f t="shared" si="548"/>
        <v>1793</v>
      </c>
    </row>
    <row r="406" spans="1:41" ht="140.25" x14ac:dyDescent="0.2">
      <c r="A406" s="22">
        <f t="shared" si="547"/>
        <v>7507</v>
      </c>
      <c r="B406" s="116">
        <v>1001067537507</v>
      </c>
      <c r="C406" s="48" t="s">
        <v>1670</v>
      </c>
      <c r="D406" s="49" t="s">
        <v>4</v>
      </c>
      <c r="E406" s="146" t="s">
        <v>373</v>
      </c>
      <c r="F406" s="112" t="s">
        <v>353</v>
      </c>
      <c r="G406" s="224" t="s">
        <v>1582</v>
      </c>
      <c r="H406" s="58" t="s">
        <v>292</v>
      </c>
      <c r="I406" s="155" t="s">
        <v>1065</v>
      </c>
      <c r="J406" s="150" t="s">
        <v>418</v>
      </c>
      <c r="K406" s="83" t="s">
        <v>1671</v>
      </c>
      <c r="L406" s="52">
        <v>20</v>
      </c>
      <c r="M406" s="53">
        <v>40</v>
      </c>
      <c r="N406" s="54">
        <v>1</v>
      </c>
      <c r="O406" s="88" t="s">
        <v>1522</v>
      </c>
      <c r="P406" s="113" t="s">
        <v>104</v>
      </c>
      <c r="Q406" s="49">
        <v>120</v>
      </c>
      <c r="R406" s="82" t="s">
        <v>51</v>
      </c>
      <c r="S406" s="237">
        <v>4630362181695</v>
      </c>
      <c r="T406" s="332">
        <v>14630362181692</v>
      </c>
      <c r="U406" s="46">
        <v>4630362181695</v>
      </c>
      <c r="V406" s="46">
        <v>14630362181692</v>
      </c>
      <c r="W406" s="258">
        <v>240</v>
      </c>
      <c r="X406" s="68">
        <v>65</v>
      </c>
      <c r="Y406" s="60">
        <v>44</v>
      </c>
      <c r="Z406" s="65">
        <v>0.22</v>
      </c>
      <c r="AA406" s="271">
        <v>5.0000000000000001E-3</v>
      </c>
      <c r="AB406" s="66">
        <f t="shared" ref="AB406" si="574">Z406+AA406</f>
        <v>0.22500000000000001</v>
      </c>
      <c r="AC406" s="59">
        <v>218</v>
      </c>
      <c r="AD406" s="60">
        <v>193</v>
      </c>
      <c r="AE406" s="60">
        <v>108</v>
      </c>
      <c r="AF406" s="191">
        <v>8</v>
      </c>
      <c r="AG406" s="117">
        <v>600000150</v>
      </c>
      <c r="AH406" s="104">
        <f>справочники!$C$43</f>
        <v>8.5999999999999993E-2</v>
      </c>
      <c r="AI406" s="62">
        <f t="shared" si="530"/>
        <v>1.76</v>
      </c>
      <c r="AJ406" s="122">
        <f t="shared" si="531"/>
        <v>1.8860000000000001</v>
      </c>
      <c r="AK406" s="37">
        <v>20</v>
      </c>
      <c r="AL406" s="38">
        <v>14</v>
      </c>
      <c r="AM406" s="40">
        <f t="shared" ref="AM406" si="575">AK406*AL406</f>
        <v>280</v>
      </c>
      <c r="AN406" s="206">
        <f t="shared" ref="AN406" si="576">IF(D406="ШТ",кол_во_инд.__упак_к*итого_г_у,ROUNDDOWN(номин.вес_нетто_г_у__кг*итого_г_у,1))</f>
        <v>2240</v>
      </c>
      <c r="AO406" s="204">
        <f t="shared" si="548"/>
        <v>1657</v>
      </c>
    </row>
    <row r="407" spans="1:41" ht="93.6" customHeight="1" x14ac:dyDescent="0.2">
      <c r="A407" s="22">
        <f t="shared" si="547"/>
        <v>7470</v>
      </c>
      <c r="B407" s="116">
        <v>1001065867470</v>
      </c>
      <c r="C407" s="48" t="s">
        <v>1554</v>
      </c>
      <c r="D407" s="49" t="s">
        <v>4</v>
      </c>
      <c r="E407" s="146" t="s">
        <v>373</v>
      </c>
      <c r="F407" s="112" t="s">
        <v>353</v>
      </c>
      <c r="G407" s="224" t="s">
        <v>6</v>
      </c>
      <c r="H407" s="49" t="s">
        <v>278</v>
      </c>
      <c r="I407" s="155" t="s">
        <v>1065</v>
      </c>
      <c r="J407" s="150" t="s">
        <v>418</v>
      </c>
      <c r="K407" s="83" t="s">
        <v>1557</v>
      </c>
      <c r="L407" s="52">
        <v>15</v>
      </c>
      <c r="M407" s="53">
        <v>30</v>
      </c>
      <c r="N407" s="54">
        <v>2</v>
      </c>
      <c r="O407" s="88" t="s">
        <v>1377</v>
      </c>
      <c r="P407" s="31" t="s">
        <v>1241</v>
      </c>
      <c r="Q407" s="87">
        <v>90</v>
      </c>
      <c r="R407" s="56" t="s">
        <v>44</v>
      </c>
      <c r="S407" s="243">
        <v>4630362181008</v>
      </c>
      <c r="T407" s="340">
        <v>24630362181002</v>
      </c>
      <c r="U407" s="46">
        <v>4630362181008</v>
      </c>
      <c r="V407" s="46">
        <v>24630362181002</v>
      </c>
      <c r="W407" s="93">
        <v>257</v>
      </c>
      <c r="X407" s="68">
        <v>56</v>
      </c>
      <c r="Y407" s="96" t="s">
        <v>1180</v>
      </c>
      <c r="Z407" s="65">
        <v>0.15</v>
      </c>
      <c r="AA407" s="271">
        <v>5.0000000000000001E-3</v>
      </c>
      <c r="AB407" s="66">
        <f t="shared" ref="AB407" si="577">Z407+AA407</f>
        <v>0.155</v>
      </c>
      <c r="AC407" s="37">
        <v>198</v>
      </c>
      <c r="AD407" s="38">
        <v>110</v>
      </c>
      <c r="AE407" s="38">
        <v>246</v>
      </c>
      <c r="AF407" s="191">
        <v>12</v>
      </c>
      <c r="AG407" s="117">
        <v>600000493</v>
      </c>
      <c r="AH407" s="103">
        <f>справочники!$C$151</f>
        <v>0.09</v>
      </c>
      <c r="AI407" s="62">
        <f t="shared" si="530"/>
        <v>1.8</v>
      </c>
      <c r="AJ407" s="122">
        <f t="shared" si="531"/>
        <v>1.95</v>
      </c>
      <c r="AK407" s="37">
        <v>43</v>
      </c>
      <c r="AL407" s="38">
        <v>6</v>
      </c>
      <c r="AM407" s="40">
        <f t="shared" ref="AM407" si="578">AK407*AL407</f>
        <v>258</v>
      </c>
      <c r="AN407" s="206">
        <f t="shared" ref="AN407" si="579">IF(D407="ШТ",кол_во_инд.__упак_к*итого_г_у,ROUNDDOWN(номин.вес_нетто_г_у__кг*итого_г_у,1))</f>
        <v>3096</v>
      </c>
      <c r="AO407" s="204">
        <f t="shared" si="548"/>
        <v>1621</v>
      </c>
    </row>
    <row r="408" spans="1:41" ht="165.75" x14ac:dyDescent="0.2">
      <c r="A408" s="22">
        <f t="shared" si="547"/>
        <v>7246</v>
      </c>
      <c r="B408" s="116">
        <v>1001061007246</v>
      </c>
      <c r="C408" s="48" t="s">
        <v>1207</v>
      </c>
      <c r="D408" s="49" t="s">
        <v>4</v>
      </c>
      <c r="E408" s="146" t="s">
        <v>373</v>
      </c>
      <c r="F408" s="112" t="s">
        <v>353</v>
      </c>
      <c r="G408" s="224" t="s">
        <v>6</v>
      </c>
      <c r="H408" s="49" t="s">
        <v>1</v>
      </c>
      <c r="I408" s="155" t="s">
        <v>1940</v>
      </c>
      <c r="J408" s="150" t="s">
        <v>418</v>
      </c>
      <c r="K408" s="51" t="s">
        <v>2020</v>
      </c>
      <c r="L408" s="52">
        <v>17</v>
      </c>
      <c r="M408" s="53">
        <v>41</v>
      </c>
      <c r="N408" s="54">
        <v>7</v>
      </c>
      <c r="O408" s="88" t="s">
        <v>2021</v>
      </c>
      <c r="P408" s="113" t="s">
        <v>106</v>
      </c>
      <c r="Q408" s="49">
        <v>120</v>
      </c>
      <c r="R408" s="82" t="s">
        <v>52</v>
      </c>
      <c r="S408" s="245">
        <v>4607958079476</v>
      </c>
      <c r="T408" s="345">
        <v>14607958079473</v>
      </c>
      <c r="U408" s="46">
        <v>4607958079476</v>
      </c>
      <c r="V408" s="46">
        <v>14607958079473</v>
      </c>
      <c r="W408" s="258">
        <v>405</v>
      </c>
      <c r="X408" s="68">
        <v>70</v>
      </c>
      <c r="Y408" s="60">
        <v>45</v>
      </c>
      <c r="Z408" s="65">
        <v>0.5</v>
      </c>
      <c r="AA408" s="271">
        <v>0.01</v>
      </c>
      <c r="AB408" s="66">
        <f t="shared" ref="AB408:AB410" si="580">Z408+AA408</f>
        <v>0.51</v>
      </c>
      <c r="AC408" s="59">
        <v>388</v>
      </c>
      <c r="AD408" s="60">
        <v>193</v>
      </c>
      <c r="AE408" s="60">
        <v>108</v>
      </c>
      <c r="AF408" s="191">
        <v>8</v>
      </c>
      <c r="AG408" s="117">
        <v>600000013</v>
      </c>
      <c r="AH408" s="104">
        <f>справочники!$C$5</f>
        <v>0.14099999999999999</v>
      </c>
      <c r="AI408" s="62">
        <f t="shared" si="530"/>
        <v>4</v>
      </c>
      <c r="AJ408" s="122">
        <f t="shared" si="531"/>
        <v>4.2210000000000001</v>
      </c>
      <c r="AK408" s="37">
        <v>12</v>
      </c>
      <c r="AL408" s="38">
        <v>14</v>
      </c>
      <c r="AM408" s="40">
        <f t="shared" ref="AM408:AM410" si="581">AK408*AL408</f>
        <v>168</v>
      </c>
      <c r="AN408" s="206">
        <f t="shared" ref="AN408:AN410" si="582">IF(D408="ШТ",кол_во_инд.__упак_к*итого_г_у,ROUNDDOWN(номин.вес_нетто_г_у__кг*итого_г_у,1))</f>
        <v>1344</v>
      </c>
      <c r="AO408" s="204">
        <f t="shared" si="548"/>
        <v>1657</v>
      </c>
    </row>
    <row r="409" spans="1:41" ht="141.75" customHeight="1" x14ac:dyDescent="0.2">
      <c r="A409" s="22">
        <f t="shared" si="547"/>
        <v>6832</v>
      </c>
      <c r="B409" s="116">
        <v>1001065616832</v>
      </c>
      <c r="C409" s="48" t="s">
        <v>812</v>
      </c>
      <c r="D409" s="49" t="s">
        <v>3</v>
      </c>
      <c r="E409" s="146" t="s">
        <v>373</v>
      </c>
      <c r="F409" s="112" t="s">
        <v>353</v>
      </c>
      <c r="G409" s="224" t="s">
        <v>5</v>
      </c>
      <c r="H409" s="58" t="s">
        <v>1118</v>
      </c>
      <c r="I409" s="155" t="s">
        <v>1940</v>
      </c>
      <c r="J409" s="150" t="s">
        <v>418</v>
      </c>
      <c r="K409" s="83" t="s">
        <v>1282</v>
      </c>
      <c r="L409" s="52">
        <v>11</v>
      </c>
      <c r="M409" s="53">
        <v>67</v>
      </c>
      <c r="N409" s="54">
        <v>0</v>
      </c>
      <c r="O409" s="88" t="s">
        <v>57</v>
      </c>
      <c r="P409" s="113" t="s">
        <v>104</v>
      </c>
      <c r="Q409" s="49">
        <v>30</v>
      </c>
      <c r="R409" s="56" t="s">
        <v>51</v>
      </c>
      <c r="S409" s="239">
        <v>2100883000000</v>
      </c>
      <c r="T409" s="344">
        <v>12100883000007</v>
      </c>
      <c r="U409" s="46">
        <v>4630362181787</v>
      </c>
      <c r="V409" s="46">
        <v>14630362181784</v>
      </c>
      <c r="W409" s="258">
        <v>100</v>
      </c>
      <c r="X409" s="68">
        <v>90</v>
      </c>
      <c r="Y409" s="60">
        <v>50</v>
      </c>
      <c r="Z409" s="65">
        <v>0.215</v>
      </c>
      <c r="AA409" s="271">
        <v>6.0000000000000001E-3</v>
      </c>
      <c r="AB409" s="66">
        <f t="shared" si="580"/>
        <v>0.221</v>
      </c>
      <c r="AC409" s="59">
        <v>378</v>
      </c>
      <c r="AD409" s="60">
        <v>156</v>
      </c>
      <c r="AE409" s="60">
        <v>138</v>
      </c>
      <c r="AF409" s="191">
        <v>10</v>
      </c>
      <c r="AG409" s="117">
        <v>600000019</v>
      </c>
      <c r="AH409" s="104">
        <f>справочники!$C$11</f>
        <v>0.114</v>
      </c>
      <c r="AI409" s="62">
        <f t="shared" si="530"/>
        <v>2.15</v>
      </c>
      <c r="AJ409" s="122">
        <f t="shared" si="531"/>
        <v>2.3239999999999998</v>
      </c>
      <c r="AK409" s="37">
        <v>15</v>
      </c>
      <c r="AL409" s="38">
        <v>11</v>
      </c>
      <c r="AM409" s="40">
        <f t="shared" si="581"/>
        <v>165</v>
      </c>
      <c r="AN409" s="214">
        <f t="shared" si="582"/>
        <v>354.7</v>
      </c>
      <c r="AO409" s="204">
        <f t="shared" si="548"/>
        <v>1663</v>
      </c>
    </row>
    <row r="410" spans="1:41" ht="141.75" customHeight="1" x14ac:dyDescent="0.2">
      <c r="A410" s="22">
        <f t="shared" si="547"/>
        <v>7258</v>
      </c>
      <c r="B410" s="116">
        <v>1001065617258</v>
      </c>
      <c r="C410" s="48" t="s">
        <v>1222</v>
      </c>
      <c r="D410" s="49" t="s">
        <v>3</v>
      </c>
      <c r="E410" s="146" t="s">
        <v>373</v>
      </c>
      <c r="F410" s="112" t="s">
        <v>353</v>
      </c>
      <c r="G410" s="224" t="s">
        <v>5</v>
      </c>
      <c r="H410" s="58" t="s">
        <v>1006</v>
      </c>
      <c r="I410" s="155" t="s">
        <v>1940</v>
      </c>
      <c r="J410" s="150" t="s">
        <v>418</v>
      </c>
      <c r="K410" s="83" t="s">
        <v>1282</v>
      </c>
      <c r="L410" s="52">
        <v>11</v>
      </c>
      <c r="M410" s="53">
        <v>67</v>
      </c>
      <c r="N410" s="54"/>
      <c r="O410" s="88" t="s">
        <v>57</v>
      </c>
      <c r="P410" s="113" t="s">
        <v>104</v>
      </c>
      <c r="Q410" s="49">
        <v>30</v>
      </c>
      <c r="R410" s="56" t="s">
        <v>51</v>
      </c>
      <c r="S410" s="239">
        <v>2100883000000</v>
      </c>
      <c r="T410" s="344">
        <v>12100883000007</v>
      </c>
      <c r="U410" s="46" t="s">
        <v>1874</v>
      </c>
      <c r="V410" s="46" t="s">
        <v>1874</v>
      </c>
      <c r="W410" s="258">
        <v>100</v>
      </c>
      <c r="X410" s="68">
        <v>90</v>
      </c>
      <c r="Y410" s="60">
        <v>50</v>
      </c>
      <c r="Z410" s="65">
        <v>0.28999999999999998</v>
      </c>
      <c r="AA410" s="271">
        <v>6.0000000000000001E-3</v>
      </c>
      <c r="AB410" s="66">
        <f t="shared" si="580"/>
        <v>0.29599999999999999</v>
      </c>
      <c r="AC410" s="59">
        <v>388</v>
      </c>
      <c r="AD410" s="60">
        <v>292</v>
      </c>
      <c r="AE410" s="60">
        <v>240</v>
      </c>
      <c r="AF410" s="191">
        <v>30</v>
      </c>
      <c r="AG410" s="117">
        <v>600000017</v>
      </c>
      <c r="AH410" s="104">
        <f>справочники!$C$9</f>
        <v>0.34899999999999998</v>
      </c>
      <c r="AI410" s="62">
        <f t="shared" si="530"/>
        <v>8.6999999999999993</v>
      </c>
      <c r="AJ410" s="122">
        <f t="shared" si="531"/>
        <v>9.2289999999999992</v>
      </c>
      <c r="AK410" s="37">
        <v>8</v>
      </c>
      <c r="AL410" s="38">
        <v>6</v>
      </c>
      <c r="AM410" s="40">
        <f t="shared" si="581"/>
        <v>48</v>
      </c>
      <c r="AN410" s="214">
        <f t="shared" si="582"/>
        <v>417.6</v>
      </c>
      <c r="AO410" s="204">
        <f t="shared" si="548"/>
        <v>1585</v>
      </c>
    </row>
    <row r="411" spans="1:41" ht="141.75" customHeight="1" x14ac:dyDescent="0.2">
      <c r="A411" s="22">
        <f t="shared" si="547"/>
        <v>7299</v>
      </c>
      <c r="B411" s="116">
        <v>1001060677299</v>
      </c>
      <c r="C411" s="48" t="s">
        <v>1270</v>
      </c>
      <c r="D411" s="49" t="s">
        <v>3</v>
      </c>
      <c r="E411" s="146" t="s">
        <v>373</v>
      </c>
      <c r="F411" s="112" t="s">
        <v>353</v>
      </c>
      <c r="G411" s="224" t="s">
        <v>6</v>
      </c>
      <c r="H411" s="58" t="s">
        <v>1</v>
      </c>
      <c r="I411" s="155" t="s">
        <v>1940</v>
      </c>
      <c r="J411" s="150" t="s">
        <v>418</v>
      </c>
      <c r="K411" s="83" t="s">
        <v>1525</v>
      </c>
      <c r="L411" s="52">
        <v>11</v>
      </c>
      <c r="M411" s="53">
        <v>67</v>
      </c>
      <c r="N411" s="54">
        <v>2</v>
      </c>
      <c r="O411" s="88" t="s">
        <v>1526</v>
      </c>
      <c r="P411" s="113" t="s">
        <v>104</v>
      </c>
      <c r="Q411" s="49">
        <v>30</v>
      </c>
      <c r="R411" s="56" t="s">
        <v>51</v>
      </c>
      <c r="S411" s="239">
        <v>2800548000009</v>
      </c>
      <c r="T411" s="344">
        <v>12800548000006</v>
      </c>
      <c r="U411" s="46">
        <v>4630362181794</v>
      </c>
      <c r="V411" s="46">
        <v>14630362181791</v>
      </c>
      <c r="W411" s="258">
        <v>100</v>
      </c>
      <c r="X411" s="68">
        <v>90</v>
      </c>
      <c r="Y411" s="60">
        <v>50</v>
      </c>
      <c r="Z411" s="65">
        <v>0.215</v>
      </c>
      <c r="AA411" s="271">
        <v>6.0000000000000001E-3</v>
      </c>
      <c r="AB411" s="66">
        <f t="shared" ref="AB411" si="583">Z411+AA411</f>
        <v>0.221</v>
      </c>
      <c r="AC411" s="59">
        <v>378</v>
      </c>
      <c r="AD411" s="60">
        <v>156</v>
      </c>
      <c r="AE411" s="60">
        <v>138</v>
      </c>
      <c r="AF411" s="191">
        <v>10</v>
      </c>
      <c r="AG411" s="117">
        <v>600000019</v>
      </c>
      <c r="AH411" s="104">
        <f>справочники!$C$11</f>
        <v>0.114</v>
      </c>
      <c r="AI411" s="62">
        <f t="shared" si="530"/>
        <v>2.15</v>
      </c>
      <c r="AJ411" s="122">
        <f t="shared" si="531"/>
        <v>2.3239999999999998</v>
      </c>
      <c r="AK411" s="37">
        <v>15</v>
      </c>
      <c r="AL411" s="38">
        <v>11</v>
      </c>
      <c r="AM411" s="40">
        <f t="shared" ref="AM411" si="584">AK411*AL411</f>
        <v>165</v>
      </c>
      <c r="AN411" s="214">
        <f t="shared" ref="AN411" si="585">IF(D411="ШТ",кол_во_инд.__упак_к*итого_г_у,ROUNDDOWN(номин.вес_нетто_г_у__кг*итого_г_у,1))</f>
        <v>354.7</v>
      </c>
      <c r="AO411" s="204">
        <f t="shared" si="548"/>
        <v>1663</v>
      </c>
    </row>
    <row r="412" spans="1:41" ht="229.5" x14ac:dyDescent="0.2">
      <c r="A412" s="22">
        <f t="shared" si="547"/>
        <v>7442</v>
      </c>
      <c r="B412" s="116">
        <v>1001200677442</v>
      </c>
      <c r="C412" s="48" t="s">
        <v>1885</v>
      </c>
      <c r="D412" s="49" t="s">
        <v>3</v>
      </c>
      <c r="E412" s="146" t="s">
        <v>373</v>
      </c>
      <c r="F412" s="112" t="s">
        <v>353</v>
      </c>
      <c r="G412" s="224" t="s">
        <v>935</v>
      </c>
      <c r="H412" s="49" t="s">
        <v>1</v>
      </c>
      <c r="I412" s="154" t="s">
        <v>1940</v>
      </c>
      <c r="J412" s="151" t="s">
        <v>418</v>
      </c>
      <c r="K412" s="83" t="s">
        <v>1525</v>
      </c>
      <c r="L412" s="52">
        <v>11</v>
      </c>
      <c r="M412" s="53">
        <v>67</v>
      </c>
      <c r="N412" s="54">
        <v>2</v>
      </c>
      <c r="O412" s="88" t="s">
        <v>1526</v>
      </c>
      <c r="P412" s="31" t="s">
        <v>104</v>
      </c>
      <c r="Q412" s="87">
        <v>30</v>
      </c>
      <c r="R412" s="82" t="s">
        <v>51</v>
      </c>
      <c r="S412" s="237">
        <v>2800525000008</v>
      </c>
      <c r="T412" s="332">
        <v>12800525000005</v>
      </c>
      <c r="U412" s="46">
        <v>4630362181800</v>
      </c>
      <c r="V412" s="46">
        <v>14630362181807</v>
      </c>
      <c r="W412" s="258">
        <v>300</v>
      </c>
      <c r="X412" s="68">
        <v>190</v>
      </c>
      <c r="Y412" s="68">
        <v>80</v>
      </c>
      <c r="Z412" s="65">
        <v>3</v>
      </c>
      <c r="AA412" s="271">
        <v>1.4999999999999999E-2</v>
      </c>
      <c r="AB412" s="66">
        <f>Z412+AA412</f>
        <v>3.0150000000000001</v>
      </c>
      <c r="AC412" s="59">
        <v>388</v>
      </c>
      <c r="AD412" s="60">
        <v>292</v>
      </c>
      <c r="AE412" s="60">
        <v>148</v>
      </c>
      <c r="AF412" s="191">
        <v>3</v>
      </c>
      <c r="AG412" s="117">
        <v>600000021</v>
      </c>
      <c r="AH412" s="104">
        <f>справочники!$C$13</f>
        <v>0.26800000000000002</v>
      </c>
      <c r="AI412" s="61">
        <f t="shared" si="530"/>
        <v>9</v>
      </c>
      <c r="AJ412" s="122">
        <f t="shared" si="531"/>
        <v>9.3130000000000006</v>
      </c>
      <c r="AK412" s="37">
        <v>8</v>
      </c>
      <c r="AL412" s="38">
        <v>10</v>
      </c>
      <c r="AM412" s="40">
        <f>AK412*AL412</f>
        <v>80</v>
      </c>
      <c r="AN412" s="272">
        <f>IF(D412="ШТ",кол_во_инд.__упак_к*итого_г_у,ROUNDDOWN(номин.вес_нетто_г_у__кг*итого_г_у,1))</f>
        <v>720</v>
      </c>
      <c r="AO412" s="204">
        <f t="shared" si="206"/>
        <v>1625</v>
      </c>
    </row>
    <row r="413" spans="1:41" ht="191.25" x14ac:dyDescent="0.2">
      <c r="A413" s="22">
        <f t="shared" si="547"/>
        <v>7422</v>
      </c>
      <c r="B413" s="116">
        <v>1001067127422</v>
      </c>
      <c r="C413" s="48" t="s">
        <v>1528</v>
      </c>
      <c r="D413" s="49" t="s">
        <v>4</v>
      </c>
      <c r="E413" s="146" t="s">
        <v>373</v>
      </c>
      <c r="F413" s="112" t="s">
        <v>353</v>
      </c>
      <c r="G413" s="224" t="s">
        <v>5</v>
      </c>
      <c r="H413" s="49" t="s">
        <v>1</v>
      </c>
      <c r="I413" s="154" t="s">
        <v>1940</v>
      </c>
      <c r="J413" s="150" t="s">
        <v>418</v>
      </c>
      <c r="K413" s="51" t="s">
        <v>1412</v>
      </c>
      <c r="L413" s="52">
        <v>20</v>
      </c>
      <c r="M413" s="53">
        <v>40</v>
      </c>
      <c r="N413" s="54">
        <v>0</v>
      </c>
      <c r="O413" s="88" t="s">
        <v>262</v>
      </c>
      <c r="P413" s="113" t="s">
        <v>106</v>
      </c>
      <c r="Q413" s="49">
        <v>120</v>
      </c>
      <c r="R413" s="56" t="s">
        <v>52</v>
      </c>
      <c r="S413" s="243">
        <v>4630362180520</v>
      </c>
      <c r="T413" s="340">
        <v>14630362180527</v>
      </c>
      <c r="U413" s="46">
        <v>4630362180520</v>
      </c>
      <c r="V413" s="46">
        <v>14630362180527</v>
      </c>
      <c r="W413" s="93">
        <v>405</v>
      </c>
      <c r="X413" s="68">
        <v>70</v>
      </c>
      <c r="Y413" s="68">
        <v>45</v>
      </c>
      <c r="Z413" s="65">
        <v>0.5</v>
      </c>
      <c r="AA413" s="271">
        <v>0.01</v>
      </c>
      <c r="AB413" s="66">
        <f>Z413+AA413</f>
        <v>0.51</v>
      </c>
      <c r="AC413" s="59">
        <v>388</v>
      </c>
      <c r="AD413" s="60">
        <v>193</v>
      </c>
      <c r="AE413" s="60">
        <v>108</v>
      </c>
      <c r="AF413" s="191">
        <v>8</v>
      </c>
      <c r="AG413" s="117">
        <v>600000013</v>
      </c>
      <c r="AH413" s="103">
        <f>справочники!$C$5</f>
        <v>0.14099999999999999</v>
      </c>
      <c r="AI413" s="62">
        <f t="shared" si="530"/>
        <v>4</v>
      </c>
      <c r="AJ413" s="122">
        <f t="shared" si="531"/>
        <v>4.2210000000000001</v>
      </c>
      <c r="AK413" s="37">
        <v>12</v>
      </c>
      <c r="AL413" s="38">
        <v>14</v>
      </c>
      <c r="AM413" s="40">
        <f>AK413*AL413</f>
        <v>168</v>
      </c>
      <c r="AN413" s="135">
        <f>IF(D413="ШТ",кол_во_инд.__упак_к*итого_г_у,ROUNDDOWN(номин.вес_нетто_г_у__кг*итого_г_у,1))</f>
        <v>1344</v>
      </c>
      <c r="AO413" s="204">
        <f t="shared" si="548"/>
        <v>1657</v>
      </c>
    </row>
    <row r="414" spans="1:41" ht="178.5" x14ac:dyDescent="0.2">
      <c r="A414" s="22">
        <f t="shared" si="547"/>
        <v>7381</v>
      </c>
      <c r="B414" s="116">
        <v>1001066967381</v>
      </c>
      <c r="C414" s="48" t="s">
        <v>1398</v>
      </c>
      <c r="D414" s="49" t="s">
        <v>3</v>
      </c>
      <c r="E414" s="146" t="s">
        <v>373</v>
      </c>
      <c r="F414" s="112" t="s">
        <v>353</v>
      </c>
      <c r="G414" s="224" t="s">
        <v>2</v>
      </c>
      <c r="H414" s="49" t="s">
        <v>278</v>
      </c>
      <c r="I414" s="155" t="s">
        <v>1065</v>
      </c>
      <c r="J414" s="150" t="s">
        <v>418</v>
      </c>
      <c r="K414" s="83" t="s">
        <v>1322</v>
      </c>
      <c r="L414" s="84">
        <v>13</v>
      </c>
      <c r="M414" s="85">
        <v>35</v>
      </c>
      <c r="N414" s="91">
        <v>5</v>
      </c>
      <c r="O414" s="88" t="s">
        <v>1323</v>
      </c>
      <c r="P414" s="113" t="s">
        <v>104</v>
      </c>
      <c r="Q414" s="49">
        <v>120</v>
      </c>
      <c r="R414" s="56" t="s">
        <v>51</v>
      </c>
      <c r="S414" s="239">
        <v>2325770000004</v>
      </c>
      <c r="T414" s="344">
        <v>12325770000001</v>
      </c>
      <c r="U414" s="46">
        <v>4630362181817</v>
      </c>
      <c r="V414" s="46">
        <v>14630362181814</v>
      </c>
      <c r="W414" s="259" t="s">
        <v>1232</v>
      </c>
      <c r="X414" s="68">
        <v>130</v>
      </c>
      <c r="Y414" s="60">
        <v>45</v>
      </c>
      <c r="Z414" s="65">
        <v>0.255</v>
      </c>
      <c r="AA414" s="271">
        <v>5.0000000000000001E-3</v>
      </c>
      <c r="AB414" s="66">
        <f t="shared" ref="AB414" si="586">Z414+AA414</f>
        <v>0.26</v>
      </c>
      <c r="AC414" s="59">
        <v>230</v>
      </c>
      <c r="AD414" s="60">
        <v>216</v>
      </c>
      <c r="AE414" s="60">
        <v>138</v>
      </c>
      <c r="AF414" s="191">
        <v>8</v>
      </c>
      <c r="AG414" s="117">
        <v>600000390</v>
      </c>
      <c r="AH414" s="104">
        <f>справочники!$C$90</f>
        <v>0.14699999999999999</v>
      </c>
      <c r="AI414" s="62">
        <f t="shared" si="530"/>
        <v>2.04</v>
      </c>
      <c r="AJ414" s="122">
        <f t="shared" si="531"/>
        <v>2.2269999999999999</v>
      </c>
      <c r="AK414" s="37">
        <v>15</v>
      </c>
      <c r="AL414" s="38">
        <v>11</v>
      </c>
      <c r="AM414" s="40">
        <f t="shared" ref="AM414" si="587">AK414*AL414</f>
        <v>165</v>
      </c>
      <c r="AN414" s="272">
        <f t="shared" ref="AN414" si="588">IF(D414="ШТ",кол_во_инд.__упак_к*итого_г_у,ROUNDDOWN(номин.вес_нетто_г_у__кг*итого_г_у,1))</f>
        <v>336.6</v>
      </c>
      <c r="AO414" s="204">
        <f t="shared" si="548"/>
        <v>1663</v>
      </c>
    </row>
    <row r="415" spans="1:41" ht="102" customHeight="1" x14ac:dyDescent="0.2">
      <c r="A415" s="22">
        <f t="shared" si="547"/>
        <v>7295</v>
      </c>
      <c r="B415" s="116">
        <v>1001066497295</v>
      </c>
      <c r="C415" s="48" t="s">
        <v>1264</v>
      </c>
      <c r="D415" s="49" t="s">
        <v>4</v>
      </c>
      <c r="E415" s="146" t="s">
        <v>373</v>
      </c>
      <c r="F415" s="112" t="s">
        <v>353</v>
      </c>
      <c r="G415" s="224" t="s">
        <v>6</v>
      </c>
      <c r="H415" s="58" t="s">
        <v>278</v>
      </c>
      <c r="I415" s="155" t="s">
        <v>1065</v>
      </c>
      <c r="J415" s="150" t="s">
        <v>418</v>
      </c>
      <c r="K415" s="83" t="s">
        <v>1251</v>
      </c>
      <c r="L415" s="52">
        <v>19</v>
      </c>
      <c r="M415" s="53">
        <v>49</v>
      </c>
      <c r="N415" s="54">
        <v>2</v>
      </c>
      <c r="O415" s="88" t="s">
        <v>1252</v>
      </c>
      <c r="P415" s="113" t="s">
        <v>104</v>
      </c>
      <c r="Q415" s="49">
        <v>90</v>
      </c>
      <c r="R415" s="82" t="s">
        <v>51</v>
      </c>
      <c r="S415" s="237">
        <v>4607958079575</v>
      </c>
      <c r="T415" s="332">
        <v>14607958079572</v>
      </c>
      <c r="U415" s="46">
        <v>4607958079575</v>
      </c>
      <c r="V415" s="46">
        <v>14607958079572</v>
      </c>
      <c r="W415" s="258">
        <v>240</v>
      </c>
      <c r="X415" s="68">
        <v>65</v>
      </c>
      <c r="Y415" s="60">
        <v>44</v>
      </c>
      <c r="Z415" s="65">
        <v>0.22</v>
      </c>
      <c r="AA415" s="271">
        <v>5.0000000000000001E-3</v>
      </c>
      <c r="AB415" s="66">
        <f t="shared" ref="AB415" si="589">Z415+AA415</f>
        <v>0.22500000000000001</v>
      </c>
      <c r="AC415" s="59">
        <v>218</v>
      </c>
      <c r="AD415" s="60">
        <v>193</v>
      </c>
      <c r="AE415" s="60">
        <v>108</v>
      </c>
      <c r="AF415" s="191">
        <v>8</v>
      </c>
      <c r="AG415" s="117">
        <v>600000150</v>
      </c>
      <c r="AH415" s="104">
        <f>справочники!$C$43</f>
        <v>8.5999999999999993E-2</v>
      </c>
      <c r="AI415" s="62">
        <f t="shared" si="530"/>
        <v>1.76</v>
      </c>
      <c r="AJ415" s="122">
        <f t="shared" si="531"/>
        <v>1.8860000000000001</v>
      </c>
      <c r="AK415" s="37">
        <v>20</v>
      </c>
      <c r="AL415" s="38">
        <v>14</v>
      </c>
      <c r="AM415" s="40">
        <f t="shared" ref="AM415" si="590">AK415*AL415</f>
        <v>280</v>
      </c>
      <c r="AN415" s="206">
        <f t="shared" ref="AN415" si="591">IF(D415="ШТ",кол_во_инд.__упак_к*итого_г_у,ROUNDDOWN(номин.вес_нетто_г_у__кг*итого_г_у,1))</f>
        <v>2240</v>
      </c>
      <c r="AO415" s="204">
        <f t="shared" si="548"/>
        <v>1657</v>
      </c>
    </row>
    <row r="416" spans="1:41" ht="102" customHeight="1" x14ac:dyDescent="0.2">
      <c r="A416" s="22">
        <f t="shared" si="547"/>
        <v>7526</v>
      </c>
      <c r="B416" s="116">
        <v>1001066497526</v>
      </c>
      <c r="C416" s="48" t="s">
        <v>1620</v>
      </c>
      <c r="D416" s="49" t="s">
        <v>4</v>
      </c>
      <c r="E416" s="146" t="s">
        <v>373</v>
      </c>
      <c r="F416" s="112" t="s">
        <v>353</v>
      </c>
      <c r="G416" s="224" t="s">
        <v>6</v>
      </c>
      <c r="H416" s="58" t="s">
        <v>278</v>
      </c>
      <c r="I416" s="155" t="s">
        <v>1065</v>
      </c>
      <c r="J416" s="150" t="s">
        <v>418</v>
      </c>
      <c r="K416" s="83" t="s">
        <v>1251</v>
      </c>
      <c r="L416" s="52">
        <v>19</v>
      </c>
      <c r="M416" s="53">
        <v>49</v>
      </c>
      <c r="N416" s="54">
        <v>2</v>
      </c>
      <c r="O416" s="88" t="s">
        <v>1252</v>
      </c>
      <c r="P416" s="113" t="s">
        <v>104</v>
      </c>
      <c r="Q416" s="49">
        <v>30</v>
      </c>
      <c r="R416" s="82"/>
      <c r="S416" s="237">
        <v>4607958079575</v>
      </c>
      <c r="T416" s="332">
        <v>24607958079579</v>
      </c>
      <c r="U416" s="46" t="s">
        <v>1874</v>
      </c>
      <c r="V416" s="46" t="s">
        <v>1874</v>
      </c>
      <c r="W416" s="258">
        <v>240</v>
      </c>
      <c r="X416" s="68">
        <v>65</v>
      </c>
      <c r="Y416" s="60">
        <v>44</v>
      </c>
      <c r="Z416" s="65">
        <v>0.22</v>
      </c>
      <c r="AA416" s="271">
        <v>5.0000000000000001E-3</v>
      </c>
      <c r="AB416" s="66">
        <f t="shared" ref="AB416" si="592">Z416+AA416</f>
        <v>0.22500000000000001</v>
      </c>
      <c r="AC416" s="59">
        <v>410</v>
      </c>
      <c r="AD416" s="60">
        <v>292</v>
      </c>
      <c r="AE416" s="60">
        <v>242</v>
      </c>
      <c r="AF416" s="191">
        <v>48</v>
      </c>
      <c r="AG416" s="117">
        <v>600000411</v>
      </c>
      <c r="AH416" s="104">
        <f>справочники!$C$102</f>
        <v>0.433</v>
      </c>
      <c r="AI416" s="62">
        <f t="shared" si="530"/>
        <v>10.56</v>
      </c>
      <c r="AJ416" s="122">
        <f t="shared" si="531"/>
        <v>11.233000000000001</v>
      </c>
      <c r="AK416" s="37">
        <v>8</v>
      </c>
      <c r="AL416" s="38">
        <v>6</v>
      </c>
      <c r="AM416" s="40">
        <f t="shared" ref="AM416" si="593">AK416*AL416</f>
        <v>48</v>
      </c>
      <c r="AN416" s="206">
        <f t="shared" ref="AN416" si="594">IF(D416="ШТ",кол_во_инд.__упак_к*итого_г_у,ROUNDDOWN(номин.вес_нетто_г_у__кг*итого_г_у,1))</f>
        <v>2304</v>
      </c>
      <c r="AO416" s="204">
        <f t="shared" si="548"/>
        <v>1597</v>
      </c>
    </row>
    <row r="417" spans="1:41" ht="140.25" x14ac:dyDescent="0.2">
      <c r="A417" s="22">
        <f t="shared" si="547"/>
        <v>5931</v>
      </c>
      <c r="B417" s="116">
        <v>1001060755931</v>
      </c>
      <c r="C417" s="48" t="s">
        <v>270</v>
      </c>
      <c r="D417" s="49" t="s">
        <v>4</v>
      </c>
      <c r="E417" s="146" t="s">
        <v>373</v>
      </c>
      <c r="F417" s="112" t="s">
        <v>353</v>
      </c>
      <c r="G417" s="224" t="s">
        <v>6</v>
      </c>
      <c r="H417" s="58" t="s">
        <v>292</v>
      </c>
      <c r="I417" s="155" t="s">
        <v>1065</v>
      </c>
      <c r="J417" s="150" t="s">
        <v>418</v>
      </c>
      <c r="K417" s="83" t="s">
        <v>1246</v>
      </c>
      <c r="L417" s="52">
        <v>20</v>
      </c>
      <c r="M417" s="53">
        <v>40</v>
      </c>
      <c r="N417" s="54"/>
      <c r="O417" s="88" t="s">
        <v>262</v>
      </c>
      <c r="P417" s="113" t="s">
        <v>104</v>
      </c>
      <c r="Q417" s="49">
        <v>120</v>
      </c>
      <c r="R417" s="82" t="s">
        <v>51</v>
      </c>
      <c r="S417" s="237">
        <v>4607958073665</v>
      </c>
      <c r="T417" s="332">
        <v>14607958073662</v>
      </c>
      <c r="U417" s="46">
        <v>4607958073665</v>
      </c>
      <c r="V417" s="46">
        <v>14607958073662</v>
      </c>
      <c r="W417" s="258">
        <v>240</v>
      </c>
      <c r="X417" s="68">
        <v>65</v>
      </c>
      <c r="Y417" s="60">
        <v>44</v>
      </c>
      <c r="Z417" s="65">
        <v>0.22</v>
      </c>
      <c r="AA417" s="271">
        <v>5.0000000000000001E-3</v>
      </c>
      <c r="AB417" s="66">
        <f t="shared" si="533"/>
        <v>0.22500000000000001</v>
      </c>
      <c r="AC417" s="59">
        <v>218</v>
      </c>
      <c r="AD417" s="60">
        <v>193</v>
      </c>
      <c r="AE417" s="60">
        <v>108</v>
      </c>
      <c r="AF417" s="191">
        <v>8</v>
      </c>
      <c r="AG417" s="117">
        <v>600000150</v>
      </c>
      <c r="AH417" s="104">
        <f>справочники!$C$43</f>
        <v>8.5999999999999993E-2</v>
      </c>
      <c r="AI417" s="62">
        <f t="shared" si="530"/>
        <v>1.76</v>
      </c>
      <c r="AJ417" s="122">
        <f t="shared" si="531"/>
        <v>1.8860000000000001</v>
      </c>
      <c r="AK417" s="37">
        <v>20</v>
      </c>
      <c r="AL417" s="38">
        <v>14</v>
      </c>
      <c r="AM417" s="40">
        <f t="shared" si="532"/>
        <v>280</v>
      </c>
      <c r="AN417" s="206">
        <f t="shared" si="534"/>
        <v>2240</v>
      </c>
      <c r="AO417" s="204">
        <f t="shared" si="548"/>
        <v>1657</v>
      </c>
    </row>
    <row r="418" spans="1:41" ht="140.25" x14ac:dyDescent="0.2">
      <c r="A418" s="22">
        <f t="shared" si="547"/>
        <v>7211</v>
      </c>
      <c r="B418" s="116">
        <v>1001060757211</v>
      </c>
      <c r="C418" s="48" t="s">
        <v>1166</v>
      </c>
      <c r="D418" s="49" t="s">
        <v>4</v>
      </c>
      <c r="E418" s="146" t="s">
        <v>373</v>
      </c>
      <c r="F418" s="112" t="s">
        <v>353</v>
      </c>
      <c r="G418" s="224" t="s">
        <v>6</v>
      </c>
      <c r="H418" s="58" t="s">
        <v>136</v>
      </c>
      <c r="I418" s="155" t="s">
        <v>1065</v>
      </c>
      <c r="J418" s="150" t="s">
        <v>418</v>
      </c>
      <c r="K418" s="83" t="s">
        <v>1246</v>
      </c>
      <c r="L418" s="52">
        <v>20</v>
      </c>
      <c r="M418" s="53">
        <v>40</v>
      </c>
      <c r="N418" s="54">
        <v>0</v>
      </c>
      <c r="O418" s="88" t="s">
        <v>262</v>
      </c>
      <c r="P418" s="113" t="s">
        <v>104</v>
      </c>
      <c r="Q418" s="49">
        <v>120</v>
      </c>
      <c r="R418" s="82" t="s">
        <v>51</v>
      </c>
      <c r="S418" s="237">
        <v>4607958073665</v>
      </c>
      <c r="T418" s="332">
        <v>14607958073662</v>
      </c>
      <c r="U418" s="46">
        <v>4607958073665</v>
      </c>
      <c r="V418" s="46">
        <v>14607958073662</v>
      </c>
      <c r="W418" s="258">
        <v>240</v>
      </c>
      <c r="X418" s="68">
        <v>65</v>
      </c>
      <c r="Y418" s="60">
        <v>44</v>
      </c>
      <c r="Z418" s="65">
        <v>0.22</v>
      </c>
      <c r="AA418" s="271">
        <v>5.0000000000000001E-3</v>
      </c>
      <c r="AB418" s="66">
        <f t="shared" ref="AB418" si="595">Z418+AA418</f>
        <v>0.22500000000000001</v>
      </c>
      <c r="AC418" s="59">
        <v>218</v>
      </c>
      <c r="AD418" s="60">
        <v>193</v>
      </c>
      <c r="AE418" s="60">
        <v>108</v>
      </c>
      <c r="AF418" s="191">
        <v>8</v>
      </c>
      <c r="AG418" s="117">
        <v>600000150</v>
      </c>
      <c r="AH418" s="104">
        <f>справочники!$C$43</f>
        <v>8.5999999999999993E-2</v>
      </c>
      <c r="AI418" s="62">
        <f t="shared" si="530"/>
        <v>1.76</v>
      </c>
      <c r="AJ418" s="122">
        <f t="shared" si="531"/>
        <v>1.8860000000000001</v>
      </c>
      <c r="AK418" s="37">
        <v>20</v>
      </c>
      <c r="AL418" s="38">
        <v>14</v>
      </c>
      <c r="AM418" s="40">
        <f t="shared" ref="AM418" si="596">AK418*AL418</f>
        <v>280</v>
      </c>
      <c r="AN418" s="206">
        <f t="shared" ref="AN418" si="597">IF(D418="ШТ",кол_во_инд.__упак_к*итого_г_у,ROUNDDOWN(номин.вес_нетто_г_у__кг*итого_г_у,1))</f>
        <v>2240</v>
      </c>
      <c r="AO418" s="204">
        <f t="shared" si="548"/>
        <v>1657</v>
      </c>
    </row>
    <row r="419" spans="1:41" ht="140.25" x14ac:dyDescent="0.2">
      <c r="A419" s="22">
        <f t="shared" si="547"/>
        <v>6032</v>
      </c>
      <c r="B419" s="116">
        <v>1001060756032</v>
      </c>
      <c r="C419" s="48" t="s">
        <v>333</v>
      </c>
      <c r="D419" s="49" t="s">
        <v>4</v>
      </c>
      <c r="E419" s="146" t="s">
        <v>373</v>
      </c>
      <c r="F419" s="112" t="s">
        <v>353</v>
      </c>
      <c r="G419" s="224" t="s">
        <v>6</v>
      </c>
      <c r="H419" s="49" t="s">
        <v>278</v>
      </c>
      <c r="I419" s="155" t="s">
        <v>1065</v>
      </c>
      <c r="J419" s="150" t="s">
        <v>418</v>
      </c>
      <c r="K419" s="83" t="s">
        <v>1246</v>
      </c>
      <c r="L419" s="52">
        <v>20</v>
      </c>
      <c r="M419" s="53">
        <v>40</v>
      </c>
      <c r="N419" s="54"/>
      <c r="O419" s="88" t="s">
        <v>262</v>
      </c>
      <c r="P419" s="113" t="s">
        <v>104</v>
      </c>
      <c r="Q419" s="87">
        <v>120</v>
      </c>
      <c r="R419" s="82" t="s">
        <v>51</v>
      </c>
      <c r="S419" s="237">
        <v>4607958073665</v>
      </c>
      <c r="T419" s="332">
        <v>24607958073669</v>
      </c>
      <c r="U419" s="46" t="s">
        <v>1874</v>
      </c>
      <c r="V419" s="46" t="s">
        <v>1874</v>
      </c>
      <c r="W419" s="258">
        <v>240</v>
      </c>
      <c r="X419" s="68">
        <v>65</v>
      </c>
      <c r="Y419" s="68">
        <v>44</v>
      </c>
      <c r="Z419" s="65">
        <v>0.22</v>
      </c>
      <c r="AA419" s="271">
        <v>5.0000000000000001E-3</v>
      </c>
      <c r="AB419" s="66">
        <f t="shared" si="533"/>
        <v>0.22500000000000001</v>
      </c>
      <c r="AC419" s="59">
        <v>410</v>
      </c>
      <c r="AD419" s="60">
        <v>292</v>
      </c>
      <c r="AE419" s="60">
        <v>242</v>
      </c>
      <c r="AF419" s="191">
        <v>48</v>
      </c>
      <c r="AG419" s="117">
        <v>600000411</v>
      </c>
      <c r="AH419" s="104">
        <f>справочники!$C$102</f>
        <v>0.433</v>
      </c>
      <c r="AI419" s="61">
        <f t="shared" si="530"/>
        <v>10.56</v>
      </c>
      <c r="AJ419" s="122">
        <f t="shared" si="531"/>
        <v>11.233000000000001</v>
      </c>
      <c r="AK419" s="37">
        <v>8</v>
      </c>
      <c r="AL419" s="38">
        <v>6</v>
      </c>
      <c r="AM419" s="40">
        <f t="shared" si="532"/>
        <v>48</v>
      </c>
      <c r="AN419" s="206">
        <f t="shared" si="534"/>
        <v>2304</v>
      </c>
      <c r="AO419" s="204">
        <f t="shared" si="548"/>
        <v>1597</v>
      </c>
    </row>
    <row r="420" spans="1:41" ht="165.75" x14ac:dyDescent="0.2">
      <c r="A420" s="22">
        <f t="shared" si="547"/>
        <v>6288</v>
      </c>
      <c r="B420" s="116">
        <v>1001060756288</v>
      </c>
      <c r="C420" s="48" t="s">
        <v>334</v>
      </c>
      <c r="D420" s="49" t="s">
        <v>3</v>
      </c>
      <c r="E420" s="146" t="s">
        <v>373</v>
      </c>
      <c r="F420" s="112" t="s">
        <v>353</v>
      </c>
      <c r="G420" s="224" t="s">
        <v>6</v>
      </c>
      <c r="H420" s="49" t="s">
        <v>1</v>
      </c>
      <c r="I420" s="154" t="s">
        <v>1940</v>
      </c>
      <c r="J420" s="150" t="s">
        <v>418</v>
      </c>
      <c r="K420" s="83" t="s">
        <v>2020</v>
      </c>
      <c r="L420" s="52">
        <v>17</v>
      </c>
      <c r="M420" s="53">
        <v>41</v>
      </c>
      <c r="N420" s="54">
        <v>7</v>
      </c>
      <c r="O420" s="88" t="s">
        <v>2021</v>
      </c>
      <c r="P420" s="113" t="s">
        <v>106</v>
      </c>
      <c r="Q420" s="87">
        <v>120</v>
      </c>
      <c r="R420" s="82" t="s">
        <v>52</v>
      </c>
      <c r="S420" s="239">
        <v>2800954000006</v>
      </c>
      <c r="T420" s="344">
        <v>12800954000003</v>
      </c>
      <c r="U420" s="46" t="s">
        <v>1874</v>
      </c>
      <c r="V420" s="46" t="s">
        <v>1874</v>
      </c>
      <c r="W420" s="258">
        <v>405</v>
      </c>
      <c r="X420" s="68">
        <v>70</v>
      </c>
      <c r="Y420" s="68">
        <v>45</v>
      </c>
      <c r="Z420" s="65">
        <v>0.5</v>
      </c>
      <c r="AA420" s="271">
        <v>0.01</v>
      </c>
      <c r="AB420" s="66">
        <f t="shared" si="533"/>
        <v>0.51</v>
      </c>
      <c r="AC420" s="59">
        <v>410</v>
      </c>
      <c r="AD420" s="60">
        <v>292</v>
      </c>
      <c r="AE420" s="60">
        <v>242</v>
      </c>
      <c r="AF420" s="191">
        <v>30</v>
      </c>
      <c r="AG420" s="117">
        <v>600000411</v>
      </c>
      <c r="AH420" s="104">
        <f>справочники!$C$102</f>
        <v>0.433</v>
      </c>
      <c r="AI420" s="61">
        <f t="shared" si="530"/>
        <v>15</v>
      </c>
      <c r="AJ420" s="122">
        <f t="shared" si="531"/>
        <v>15.733000000000001</v>
      </c>
      <c r="AK420" s="37">
        <v>8</v>
      </c>
      <c r="AL420" s="38">
        <v>6</v>
      </c>
      <c r="AM420" s="40">
        <f t="shared" si="532"/>
        <v>48</v>
      </c>
      <c r="AN420" s="214">
        <f t="shared" si="534"/>
        <v>720</v>
      </c>
      <c r="AO420" s="204">
        <f t="shared" si="548"/>
        <v>1597</v>
      </c>
    </row>
    <row r="421" spans="1:41" ht="191.25" x14ac:dyDescent="0.2">
      <c r="A421" s="22">
        <f t="shared" si="547"/>
        <v>7672</v>
      </c>
      <c r="B421" s="116">
        <v>1001060757672</v>
      </c>
      <c r="C421" s="48" t="s">
        <v>2055</v>
      </c>
      <c r="D421" s="49" t="s">
        <v>3</v>
      </c>
      <c r="E421" s="146" t="s">
        <v>373</v>
      </c>
      <c r="F421" s="112" t="s">
        <v>353</v>
      </c>
      <c r="G421" s="224" t="s">
        <v>6</v>
      </c>
      <c r="H421" s="49" t="s">
        <v>278</v>
      </c>
      <c r="I421" s="154" t="s">
        <v>1065</v>
      </c>
      <c r="J421" s="150" t="s">
        <v>418</v>
      </c>
      <c r="K421" s="83" t="s">
        <v>1412</v>
      </c>
      <c r="L421" s="52">
        <v>20</v>
      </c>
      <c r="M421" s="53">
        <v>40</v>
      </c>
      <c r="N421" s="54">
        <v>0</v>
      </c>
      <c r="O421" s="88" t="s">
        <v>262</v>
      </c>
      <c r="P421" s="113" t="s">
        <v>104</v>
      </c>
      <c r="Q421" s="87">
        <v>30</v>
      </c>
      <c r="R421" s="82"/>
      <c r="S421" s="239">
        <v>2800954000006</v>
      </c>
      <c r="T421" s="344">
        <v>12800954000003</v>
      </c>
      <c r="U421" s="46" t="s">
        <v>1874</v>
      </c>
      <c r="V421" s="46" t="s">
        <v>1874</v>
      </c>
      <c r="W421" s="258"/>
      <c r="X421" s="68"/>
      <c r="Y421" s="68"/>
      <c r="Z421" s="65">
        <v>5</v>
      </c>
      <c r="AA421" s="271">
        <v>4.3999999999999997E-2</v>
      </c>
      <c r="AB421" s="66">
        <f t="shared" ref="AB421" si="598">Z421+AA421</f>
        <v>5.0439999999999996</v>
      </c>
      <c r="AC421" s="59">
        <v>938</v>
      </c>
      <c r="AD421" s="60">
        <v>178</v>
      </c>
      <c r="AE421" s="60">
        <v>178</v>
      </c>
      <c r="AF421" s="191">
        <v>2</v>
      </c>
      <c r="AG421" s="117">
        <v>600000313</v>
      </c>
      <c r="AH421" s="104">
        <f>справочники!$C$62</f>
        <v>0.53100000000000003</v>
      </c>
      <c r="AI421" s="61">
        <f t="shared" si="530"/>
        <v>10</v>
      </c>
      <c r="AJ421" s="122">
        <f t="shared" si="531"/>
        <v>10.619</v>
      </c>
      <c r="AK421" s="37">
        <v>4</v>
      </c>
      <c r="AL421" s="38">
        <v>6</v>
      </c>
      <c r="AM421" s="40">
        <f t="shared" ref="AM421" si="599">AK421*AL421</f>
        <v>24</v>
      </c>
      <c r="AN421" s="214">
        <f t="shared" ref="AN421" si="600">IF(D421="ШТ",кол_во_инд.__упак_к*итого_г_у,ROUNDDOWN(номин.вес_нетто_г_у__кг*итого_г_у,1))</f>
        <v>240</v>
      </c>
      <c r="AO421" s="204">
        <f t="shared" si="548"/>
        <v>1213</v>
      </c>
    </row>
    <row r="422" spans="1:41" ht="127.5" x14ac:dyDescent="0.2">
      <c r="A422" s="22">
        <f t="shared" si="547"/>
        <v>5708</v>
      </c>
      <c r="B422" s="116">
        <v>1001063145708</v>
      </c>
      <c r="C422" s="48" t="s">
        <v>242</v>
      </c>
      <c r="D422" s="49" t="s">
        <v>3</v>
      </c>
      <c r="E422" s="146" t="s">
        <v>373</v>
      </c>
      <c r="F422" s="112" t="s">
        <v>353</v>
      </c>
      <c r="G422" s="224" t="s">
        <v>6</v>
      </c>
      <c r="H422" s="49" t="s">
        <v>1</v>
      </c>
      <c r="I422" s="155" t="s">
        <v>2033</v>
      </c>
      <c r="J422" s="150" t="s">
        <v>2034</v>
      </c>
      <c r="K422" s="51" t="s">
        <v>1279</v>
      </c>
      <c r="L422" s="52">
        <v>21</v>
      </c>
      <c r="M422" s="53">
        <v>42</v>
      </c>
      <c r="N422" s="54"/>
      <c r="O422" s="88" t="s">
        <v>262</v>
      </c>
      <c r="P422" s="31" t="s">
        <v>106</v>
      </c>
      <c r="Q422" s="49">
        <v>120</v>
      </c>
      <c r="R422" s="56" t="s">
        <v>52</v>
      </c>
      <c r="S422" s="239">
        <v>2321065000001</v>
      </c>
      <c r="T422" s="344">
        <v>12321065000008</v>
      </c>
      <c r="U422" s="46">
        <v>4630362181824</v>
      </c>
      <c r="V422" s="46">
        <v>14630362181821</v>
      </c>
      <c r="W422" s="258">
        <v>405</v>
      </c>
      <c r="X422" s="68">
        <v>70</v>
      </c>
      <c r="Y422" s="60">
        <v>45</v>
      </c>
      <c r="Z422" s="65">
        <v>0.5</v>
      </c>
      <c r="AA422" s="271">
        <v>0.01</v>
      </c>
      <c r="AB422" s="66">
        <f t="shared" si="533"/>
        <v>0.51</v>
      </c>
      <c r="AC422" s="59">
        <v>388</v>
      </c>
      <c r="AD422" s="60">
        <v>193</v>
      </c>
      <c r="AE422" s="60">
        <v>108</v>
      </c>
      <c r="AF422" s="191">
        <v>8</v>
      </c>
      <c r="AG422" s="117">
        <v>600000013</v>
      </c>
      <c r="AH422" s="104">
        <f>справочники!$C$5</f>
        <v>0.14099999999999999</v>
      </c>
      <c r="AI422" s="62">
        <f t="shared" si="530"/>
        <v>4</v>
      </c>
      <c r="AJ422" s="122">
        <f t="shared" si="531"/>
        <v>4.2210000000000001</v>
      </c>
      <c r="AK422" s="37">
        <v>12</v>
      </c>
      <c r="AL422" s="38">
        <v>14</v>
      </c>
      <c r="AM422" s="40">
        <f t="shared" si="532"/>
        <v>168</v>
      </c>
      <c r="AN422" s="214">
        <f t="shared" si="534"/>
        <v>672</v>
      </c>
      <c r="AO422" s="204">
        <f t="shared" si="548"/>
        <v>1657</v>
      </c>
    </row>
    <row r="423" spans="1:41" ht="127.5" x14ac:dyDescent="0.2">
      <c r="A423" s="22">
        <f t="shared" si="547"/>
        <v>7247</v>
      </c>
      <c r="B423" s="116">
        <v>1001063147247</v>
      </c>
      <c r="C423" s="48" t="s">
        <v>1206</v>
      </c>
      <c r="D423" s="49" t="s">
        <v>4</v>
      </c>
      <c r="E423" s="146" t="s">
        <v>373</v>
      </c>
      <c r="F423" s="112" t="s">
        <v>353</v>
      </c>
      <c r="G423" s="224" t="s">
        <v>6</v>
      </c>
      <c r="H423" s="49" t="s">
        <v>1</v>
      </c>
      <c r="I423" s="155" t="s">
        <v>2033</v>
      </c>
      <c r="J423" s="150" t="s">
        <v>2034</v>
      </c>
      <c r="K423" s="51" t="s">
        <v>1279</v>
      </c>
      <c r="L423" s="52">
        <v>21</v>
      </c>
      <c r="M423" s="53">
        <v>42</v>
      </c>
      <c r="N423" s="54"/>
      <c r="O423" s="88" t="s">
        <v>262</v>
      </c>
      <c r="P423" s="31" t="s">
        <v>106</v>
      </c>
      <c r="Q423" s="49">
        <v>120</v>
      </c>
      <c r="R423" s="56" t="s">
        <v>52</v>
      </c>
      <c r="S423" s="239">
        <v>4607958079469</v>
      </c>
      <c r="T423" s="344">
        <v>14607958079466</v>
      </c>
      <c r="U423" s="46">
        <v>4607958079469</v>
      </c>
      <c r="V423" s="46">
        <v>14607958079466</v>
      </c>
      <c r="W423" s="258">
        <v>405</v>
      </c>
      <c r="X423" s="68">
        <v>70</v>
      </c>
      <c r="Y423" s="60">
        <v>45</v>
      </c>
      <c r="Z423" s="65">
        <v>0.5</v>
      </c>
      <c r="AA423" s="271">
        <v>0.01</v>
      </c>
      <c r="AB423" s="66">
        <f t="shared" ref="AB423" si="601">Z423+AA423</f>
        <v>0.51</v>
      </c>
      <c r="AC423" s="59">
        <v>388</v>
      </c>
      <c r="AD423" s="60">
        <v>193</v>
      </c>
      <c r="AE423" s="60">
        <v>108</v>
      </c>
      <c r="AF423" s="191">
        <v>8</v>
      </c>
      <c r="AG423" s="117">
        <v>600000013</v>
      </c>
      <c r="AH423" s="104">
        <f>справочники!$C$5</f>
        <v>0.14099999999999999</v>
      </c>
      <c r="AI423" s="62">
        <f t="shared" si="530"/>
        <v>4</v>
      </c>
      <c r="AJ423" s="122">
        <f t="shared" si="531"/>
        <v>4.2210000000000001</v>
      </c>
      <c r="AK423" s="37">
        <v>12</v>
      </c>
      <c r="AL423" s="38">
        <v>14</v>
      </c>
      <c r="AM423" s="40">
        <f t="shared" ref="AM423" si="602">AK423*AL423</f>
        <v>168</v>
      </c>
      <c r="AN423" s="206">
        <f t="shared" ref="AN423" si="603">IF(D423="ШТ",кол_во_инд.__упак_к*итого_г_у,ROUNDDOWN(номин.вес_нетто_г_у__кг*итого_г_у,1))</f>
        <v>1344</v>
      </c>
      <c r="AO423" s="204">
        <f t="shared" si="548"/>
        <v>1657</v>
      </c>
    </row>
    <row r="424" spans="1:41" ht="127.5" x14ac:dyDescent="0.2">
      <c r="A424" s="22">
        <f t="shared" si="547"/>
        <v>7579</v>
      </c>
      <c r="B424" s="116">
        <v>1001063147579</v>
      </c>
      <c r="C424" s="48" t="s">
        <v>1728</v>
      </c>
      <c r="D424" s="49" t="s">
        <v>4</v>
      </c>
      <c r="E424" s="146" t="s">
        <v>373</v>
      </c>
      <c r="F424" s="112" t="s">
        <v>353</v>
      </c>
      <c r="G424" s="224" t="s">
        <v>6</v>
      </c>
      <c r="H424" s="49" t="s">
        <v>1</v>
      </c>
      <c r="I424" s="155" t="s">
        <v>2033</v>
      </c>
      <c r="J424" s="150" t="s">
        <v>2034</v>
      </c>
      <c r="K424" s="51" t="s">
        <v>1279</v>
      </c>
      <c r="L424" s="52">
        <v>21</v>
      </c>
      <c r="M424" s="53">
        <v>42</v>
      </c>
      <c r="N424" s="54"/>
      <c r="O424" s="88" t="s">
        <v>262</v>
      </c>
      <c r="P424" s="31" t="s">
        <v>106</v>
      </c>
      <c r="Q424" s="49">
        <v>120</v>
      </c>
      <c r="R424" s="56" t="s">
        <v>52</v>
      </c>
      <c r="S424" s="239">
        <v>4607958079469</v>
      </c>
      <c r="T424" s="344">
        <v>14607958079466</v>
      </c>
      <c r="U424" s="46">
        <v>4607958079469</v>
      </c>
      <c r="V424" s="46">
        <v>14607958079466</v>
      </c>
      <c r="W424" s="258">
        <v>405</v>
      </c>
      <c r="X424" s="68">
        <v>70</v>
      </c>
      <c r="Y424" s="60">
        <v>45</v>
      </c>
      <c r="Z424" s="65">
        <v>0.5</v>
      </c>
      <c r="AA424" s="271">
        <v>0.01</v>
      </c>
      <c r="AB424" s="66">
        <f t="shared" ref="AB424" si="604">Z424+AA424</f>
        <v>0.51</v>
      </c>
      <c r="AC424" s="59">
        <v>198</v>
      </c>
      <c r="AD424" s="60">
        <v>394</v>
      </c>
      <c r="AE424" s="60">
        <v>103</v>
      </c>
      <c r="AF424" s="191">
        <v>8</v>
      </c>
      <c r="AG424" s="117">
        <v>600000611</v>
      </c>
      <c r="AH424" s="104">
        <f>справочники!$C$199</f>
        <v>0.13500000000000001</v>
      </c>
      <c r="AI424" s="62">
        <f t="shared" si="530"/>
        <v>4</v>
      </c>
      <c r="AJ424" s="122">
        <f t="shared" si="531"/>
        <v>4.2149999999999999</v>
      </c>
      <c r="AK424" s="37">
        <v>12</v>
      </c>
      <c r="AL424" s="38">
        <v>16</v>
      </c>
      <c r="AM424" s="40">
        <f t="shared" ref="AM424" si="605">AK424*AL424</f>
        <v>192</v>
      </c>
      <c r="AN424" s="206">
        <f t="shared" ref="AN424" si="606">IF(D424="ШТ",кол_во_инд.__упак_к*итого_г_у,ROUNDDOWN(номин.вес_нетто_г_у__кг*итого_г_у,1))</f>
        <v>1536</v>
      </c>
      <c r="AO424" s="204">
        <f t="shared" si="548"/>
        <v>1793</v>
      </c>
    </row>
    <row r="425" spans="1:41" ht="127.5" x14ac:dyDescent="0.2">
      <c r="A425" s="22">
        <f t="shared" si="547"/>
        <v>7281</v>
      </c>
      <c r="B425" s="116">
        <v>1001063147281</v>
      </c>
      <c r="C425" s="48" t="s">
        <v>1245</v>
      </c>
      <c r="D425" s="49" t="s">
        <v>4</v>
      </c>
      <c r="E425" s="146" t="s">
        <v>373</v>
      </c>
      <c r="F425" s="112" t="s">
        <v>353</v>
      </c>
      <c r="G425" s="224" t="s">
        <v>6</v>
      </c>
      <c r="H425" s="49" t="s">
        <v>1</v>
      </c>
      <c r="I425" s="155" t="s">
        <v>2033</v>
      </c>
      <c r="J425" s="150" t="s">
        <v>2034</v>
      </c>
      <c r="K425" s="51" t="s">
        <v>1279</v>
      </c>
      <c r="L425" s="52">
        <v>21</v>
      </c>
      <c r="M425" s="53">
        <v>42</v>
      </c>
      <c r="N425" s="54"/>
      <c r="O425" s="88" t="s">
        <v>262</v>
      </c>
      <c r="P425" s="31" t="s">
        <v>106</v>
      </c>
      <c r="Q425" s="49">
        <v>120</v>
      </c>
      <c r="R425" s="56" t="s">
        <v>52</v>
      </c>
      <c r="S425" s="239">
        <v>4607958079469</v>
      </c>
      <c r="T425" s="344">
        <v>24607958079463</v>
      </c>
      <c r="U425" s="46" t="s">
        <v>1874</v>
      </c>
      <c r="V425" s="46" t="s">
        <v>1874</v>
      </c>
      <c r="W425" s="258">
        <v>405</v>
      </c>
      <c r="X425" s="68">
        <v>70</v>
      </c>
      <c r="Y425" s="60">
        <v>45</v>
      </c>
      <c r="Z425" s="65">
        <v>0.5</v>
      </c>
      <c r="AA425" s="271">
        <v>0.01</v>
      </c>
      <c r="AB425" s="66">
        <f t="shared" ref="AB425" si="607">Z425+AA425</f>
        <v>0.51</v>
      </c>
      <c r="AC425" s="59">
        <v>410</v>
      </c>
      <c r="AD425" s="60">
        <v>292</v>
      </c>
      <c r="AE425" s="60">
        <v>242</v>
      </c>
      <c r="AF425" s="191">
        <v>30</v>
      </c>
      <c r="AG425" s="117">
        <v>600000411</v>
      </c>
      <c r="AH425" s="104">
        <f>справочники!$C$102</f>
        <v>0.433</v>
      </c>
      <c r="AI425" s="62">
        <f t="shared" si="530"/>
        <v>15</v>
      </c>
      <c r="AJ425" s="122">
        <f t="shared" si="531"/>
        <v>15.733000000000001</v>
      </c>
      <c r="AK425" s="37">
        <v>8</v>
      </c>
      <c r="AL425" s="38">
        <v>6</v>
      </c>
      <c r="AM425" s="40">
        <f t="shared" ref="AM425" si="608">AK425*AL425</f>
        <v>48</v>
      </c>
      <c r="AN425" s="206">
        <f t="shared" ref="AN425" si="609">IF(D425="ШТ",кол_во_инд.__упак_к*итого_г_у,ROUNDDOWN(номин.вес_нетто_г_у__кг*итого_г_у,1))</f>
        <v>1440</v>
      </c>
      <c r="AO425" s="204">
        <f t="shared" si="548"/>
        <v>1597</v>
      </c>
    </row>
    <row r="426" spans="1:41" ht="153" x14ac:dyDescent="0.2">
      <c r="A426" s="22">
        <f t="shared" si="547"/>
        <v>614</v>
      </c>
      <c r="B426" s="116">
        <v>1001060720614</v>
      </c>
      <c r="C426" s="48" t="s">
        <v>166</v>
      </c>
      <c r="D426" s="49" t="s">
        <v>3</v>
      </c>
      <c r="E426" s="146" t="s">
        <v>373</v>
      </c>
      <c r="F426" s="112" t="s">
        <v>353</v>
      </c>
      <c r="G426" s="224" t="s">
        <v>2</v>
      </c>
      <c r="H426" s="58" t="s">
        <v>1118</v>
      </c>
      <c r="I426" s="155" t="s">
        <v>1065</v>
      </c>
      <c r="J426" s="150" t="s">
        <v>418</v>
      </c>
      <c r="K426" s="51" t="s">
        <v>1291</v>
      </c>
      <c r="L426" s="52">
        <v>22</v>
      </c>
      <c r="M426" s="53">
        <v>49</v>
      </c>
      <c r="N426" s="54"/>
      <c r="O426" s="88" t="s">
        <v>249</v>
      </c>
      <c r="P426" s="113" t="s">
        <v>106</v>
      </c>
      <c r="Q426" s="49">
        <v>120</v>
      </c>
      <c r="R426" s="56" t="s">
        <v>52</v>
      </c>
      <c r="S426" s="239">
        <v>2410980000002</v>
      </c>
      <c r="T426" s="344">
        <v>12410980000009</v>
      </c>
      <c r="U426" s="46">
        <v>4607958078110</v>
      </c>
      <c r="V426" s="46">
        <v>14607958078117</v>
      </c>
      <c r="W426" s="258">
        <v>440</v>
      </c>
      <c r="X426" s="68">
        <v>115</v>
      </c>
      <c r="Y426" s="60">
        <v>45</v>
      </c>
      <c r="Z426" s="65">
        <v>0.52</v>
      </c>
      <c r="AA426" s="271">
        <v>7.0000000000000001E-3</v>
      </c>
      <c r="AB426" s="66">
        <f t="shared" si="533"/>
        <v>0.52700000000000002</v>
      </c>
      <c r="AC426" s="59">
        <v>383</v>
      </c>
      <c r="AD426" s="60">
        <v>193</v>
      </c>
      <c r="AE426" s="60">
        <v>133</v>
      </c>
      <c r="AF426" s="191">
        <v>7</v>
      </c>
      <c r="AG426" s="117">
        <v>600000230</v>
      </c>
      <c r="AH426" s="104">
        <f>справочники!$C$51</f>
        <v>0.152</v>
      </c>
      <c r="AI426" s="62">
        <f t="shared" si="530"/>
        <v>3.64</v>
      </c>
      <c r="AJ426" s="122">
        <f t="shared" si="531"/>
        <v>3.8410000000000002</v>
      </c>
      <c r="AK426" s="37">
        <v>12</v>
      </c>
      <c r="AL426" s="38">
        <v>11</v>
      </c>
      <c r="AM426" s="40">
        <f t="shared" si="532"/>
        <v>132</v>
      </c>
      <c r="AN426" s="214">
        <f t="shared" si="534"/>
        <v>480.4</v>
      </c>
      <c r="AO426" s="204">
        <f t="shared" si="548"/>
        <v>1608</v>
      </c>
    </row>
    <row r="427" spans="1:41" ht="153" x14ac:dyDescent="0.2">
      <c r="A427" s="22">
        <f t="shared" si="547"/>
        <v>7320</v>
      </c>
      <c r="B427" s="116">
        <v>1001060727320</v>
      </c>
      <c r="C427" s="48" t="s">
        <v>1294</v>
      </c>
      <c r="D427" s="49" t="s">
        <v>3</v>
      </c>
      <c r="E427" s="146" t="s">
        <v>373</v>
      </c>
      <c r="F427" s="112" t="s">
        <v>353</v>
      </c>
      <c r="G427" s="224" t="s">
        <v>2</v>
      </c>
      <c r="H427" s="58" t="s">
        <v>1118</v>
      </c>
      <c r="I427" s="155" t="s">
        <v>1065</v>
      </c>
      <c r="J427" s="150" t="s">
        <v>418</v>
      </c>
      <c r="K427" s="51" t="s">
        <v>1291</v>
      </c>
      <c r="L427" s="52">
        <v>22</v>
      </c>
      <c r="M427" s="53">
        <v>49</v>
      </c>
      <c r="N427" s="54"/>
      <c r="O427" s="88" t="s">
        <v>249</v>
      </c>
      <c r="P427" s="113" t="s">
        <v>106</v>
      </c>
      <c r="Q427" s="49">
        <v>120</v>
      </c>
      <c r="R427" s="56" t="s">
        <v>52</v>
      </c>
      <c r="S427" s="239">
        <v>2989370000002</v>
      </c>
      <c r="T427" s="344">
        <v>12989370000009</v>
      </c>
      <c r="U427" s="46">
        <v>4607958078110</v>
      </c>
      <c r="V427" s="46">
        <v>14607958078117</v>
      </c>
      <c r="W427" s="258">
        <v>440</v>
      </c>
      <c r="X427" s="68">
        <v>115</v>
      </c>
      <c r="Y427" s="60">
        <v>45</v>
      </c>
      <c r="Z427" s="65">
        <v>0.52</v>
      </c>
      <c r="AA427" s="271">
        <v>7.0000000000000001E-3</v>
      </c>
      <c r="AB427" s="66">
        <f t="shared" ref="AB427" si="610">Z427+AA427</f>
        <v>0.52700000000000002</v>
      </c>
      <c r="AC427" s="59">
        <v>383</v>
      </c>
      <c r="AD427" s="60">
        <v>193</v>
      </c>
      <c r="AE427" s="60">
        <v>133</v>
      </c>
      <c r="AF427" s="191">
        <v>7</v>
      </c>
      <c r="AG427" s="117">
        <v>600000230</v>
      </c>
      <c r="AH427" s="104">
        <f>справочники!$C$51</f>
        <v>0.152</v>
      </c>
      <c r="AI427" s="62">
        <f t="shared" si="530"/>
        <v>3.64</v>
      </c>
      <c r="AJ427" s="122">
        <f t="shared" si="531"/>
        <v>3.8410000000000002</v>
      </c>
      <c r="AK427" s="37">
        <v>12</v>
      </c>
      <c r="AL427" s="38">
        <v>11</v>
      </c>
      <c r="AM427" s="40">
        <f t="shared" ref="AM427" si="611">AK427*AL427</f>
        <v>132</v>
      </c>
      <c r="AN427" s="214">
        <f t="shared" ref="AN427" si="612">IF(D427="ШТ",кол_во_инд.__упак_к*итого_г_у,ROUNDDOWN(номин.вес_нетто_г_у__кг*итого_г_у,1))</f>
        <v>480.4</v>
      </c>
      <c r="AO427" s="204">
        <f t="shared" si="548"/>
        <v>1608</v>
      </c>
    </row>
    <row r="428" spans="1:41" ht="153" x14ac:dyDescent="0.2">
      <c r="A428" s="22">
        <f t="shared" si="547"/>
        <v>4399</v>
      </c>
      <c r="B428" s="116">
        <v>1001060724399</v>
      </c>
      <c r="C428" s="48" t="s">
        <v>167</v>
      </c>
      <c r="D428" s="49" t="s">
        <v>3</v>
      </c>
      <c r="E428" s="146" t="s">
        <v>373</v>
      </c>
      <c r="F428" s="112" t="s">
        <v>353</v>
      </c>
      <c r="G428" s="224" t="s">
        <v>2</v>
      </c>
      <c r="H428" s="58" t="s">
        <v>1118</v>
      </c>
      <c r="I428" s="155" t="s">
        <v>1065</v>
      </c>
      <c r="J428" s="150" t="s">
        <v>418</v>
      </c>
      <c r="K428" s="51" t="s">
        <v>1291</v>
      </c>
      <c r="L428" s="52">
        <v>22</v>
      </c>
      <c r="M428" s="53">
        <v>49</v>
      </c>
      <c r="N428" s="54"/>
      <c r="O428" s="88" t="s">
        <v>249</v>
      </c>
      <c r="P428" s="113" t="s">
        <v>106</v>
      </c>
      <c r="Q428" s="49">
        <v>120</v>
      </c>
      <c r="R428" s="56" t="s">
        <v>52</v>
      </c>
      <c r="S428" s="239">
        <v>2578714000008</v>
      </c>
      <c r="T428" s="344">
        <v>12578714000005</v>
      </c>
      <c r="U428" s="46">
        <v>4607958078110</v>
      </c>
      <c r="V428" s="46">
        <v>14607958078117</v>
      </c>
      <c r="W428" s="258">
        <v>440</v>
      </c>
      <c r="X428" s="68">
        <v>115</v>
      </c>
      <c r="Y428" s="60">
        <v>45</v>
      </c>
      <c r="Z428" s="65">
        <v>0.52</v>
      </c>
      <c r="AA428" s="271">
        <v>7.0000000000000001E-3</v>
      </c>
      <c r="AB428" s="66">
        <f t="shared" si="533"/>
        <v>0.52700000000000002</v>
      </c>
      <c r="AC428" s="59">
        <v>383</v>
      </c>
      <c r="AD428" s="60">
        <v>193</v>
      </c>
      <c r="AE428" s="60">
        <v>133</v>
      </c>
      <c r="AF428" s="191">
        <v>7</v>
      </c>
      <c r="AG428" s="117">
        <v>600000230</v>
      </c>
      <c r="AH428" s="104">
        <f>справочники!$C$51</f>
        <v>0.152</v>
      </c>
      <c r="AI428" s="62">
        <f t="shared" si="530"/>
        <v>3.64</v>
      </c>
      <c r="AJ428" s="122">
        <f t="shared" si="531"/>
        <v>3.8410000000000002</v>
      </c>
      <c r="AK428" s="37">
        <v>12</v>
      </c>
      <c r="AL428" s="38">
        <v>11</v>
      </c>
      <c r="AM428" s="40">
        <f t="shared" si="532"/>
        <v>132</v>
      </c>
      <c r="AN428" s="214">
        <f t="shared" si="534"/>
        <v>480.4</v>
      </c>
      <c r="AO428" s="204">
        <f t="shared" si="548"/>
        <v>1608</v>
      </c>
    </row>
    <row r="429" spans="1:41" ht="153" x14ac:dyDescent="0.2">
      <c r="A429" s="22">
        <f t="shared" si="547"/>
        <v>6971</v>
      </c>
      <c r="B429" s="116">
        <v>1001060726971</v>
      </c>
      <c r="C429" s="48" t="s">
        <v>1231</v>
      </c>
      <c r="D429" s="49" t="s">
        <v>3</v>
      </c>
      <c r="E429" s="146" t="s">
        <v>373</v>
      </c>
      <c r="F429" s="112" t="s">
        <v>353</v>
      </c>
      <c r="G429" s="224" t="s">
        <v>2</v>
      </c>
      <c r="H429" s="58" t="s">
        <v>278</v>
      </c>
      <c r="I429" s="155" t="s">
        <v>1065</v>
      </c>
      <c r="J429" s="150" t="s">
        <v>418</v>
      </c>
      <c r="K429" s="51" t="s">
        <v>1291</v>
      </c>
      <c r="L429" s="52">
        <v>22</v>
      </c>
      <c r="M429" s="53">
        <v>49</v>
      </c>
      <c r="N429" s="54"/>
      <c r="O429" s="88" t="s">
        <v>249</v>
      </c>
      <c r="P429" s="113" t="s">
        <v>104</v>
      </c>
      <c r="Q429" s="49">
        <v>120</v>
      </c>
      <c r="R429" s="56" t="s">
        <v>51</v>
      </c>
      <c r="S429" s="239">
        <v>2323356000004</v>
      </c>
      <c r="T429" s="344">
        <v>12323356000001</v>
      </c>
      <c r="U429" s="46">
        <v>4630362181831</v>
      </c>
      <c r="V429" s="46">
        <v>14630362181838</v>
      </c>
      <c r="W429" s="259" t="s">
        <v>1232</v>
      </c>
      <c r="X429" s="68">
        <v>130</v>
      </c>
      <c r="Y429" s="60">
        <v>45</v>
      </c>
      <c r="Z429" s="65">
        <v>0.255</v>
      </c>
      <c r="AA429" s="271">
        <v>5.0000000000000001E-3</v>
      </c>
      <c r="AB429" s="66">
        <f t="shared" si="533"/>
        <v>0.26</v>
      </c>
      <c r="AC429" s="59">
        <v>230</v>
      </c>
      <c r="AD429" s="60">
        <v>216</v>
      </c>
      <c r="AE429" s="60">
        <v>138</v>
      </c>
      <c r="AF429" s="191">
        <v>8</v>
      </c>
      <c r="AG429" s="117">
        <v>600000390</v>
      </c>
      <c r="AH429" s="104">
        <f>справочники!$C$90</f>
        <v>0.14699999999999999</v>
      </c>
      <c r="AI429" s="62">
        <f t="shared" si="530"/>
        <v>2.04</v>
      </c>
      <c r="AJ429" s="122">
        <f t="shared" si="531"/>
        <v>2.2269999999999999</v>
      </c>
      <c r="AK429" s="37">
        <v>15</v>
      </c>
      <c r="AL429" s="38">
        <v>11</v>
      </c>
      <c r="AM429" s="40">
        <f t="shared" si="532"/>
        <v>165</v>
      </c>
      <c r="AN429" s="214">
        <f t="shared" si="534"/>
        <v>336.6</v>
      </c>
      <c r="AO429" s="204">
        <f t="shared" si="548"/>
        <v>1663</v>
      </c>
    </row>
    <row r="430" spans="1:41" ht="153" x14ac:dyDescent="0.2">
      <c r="A430" s="22">
        <f t="shared" si="547"/>
        <v>7318</v>
      </c>
      <c r="B430" s="116">
        <v>1001060727318</v>
      </c>
      <c r="C430" s="48" t="s">
        <v>1290</v>
      </c>
      <c r="D430" s="49" t="s">
        <v>4</v>
      </c>
      <c r="E430" s="146" t="s">
        <v>373</v>
      </c>
      <c r="F430" s="112" t="s">
        <v>353</v>
      </c>
      <c r="G430" s="224" t="s">
        <v>2</v>
      </c>
      <c r="H430" s="49" t="s">
        <v>278</v>
      </c>
      <c r="I430" s="155" t="s">
        <v>398</v>
      </c>
      <c r="J430" s="150" t="s">
        <v>418</v>
      </c>
      <c r="K430" s="51" t="s">
        <v>1291</v>
      </c>
      <c r="L430" s="52">
        <v>22</v>
      </c>
      <c r="M430" s="53">
        <v>49</v>
      </c>
      <c r="N430" s="54"/>
      <c r="O430" s="88" t="s">
        <v>249</v>
      </c>
      <c r="P430" s="113" t="s">
        <v>104</v>
      </c>
      <c r="Q430" s="49">
        <v>120</v>
      </c>
      <c r="R430" s="56" t="s">
        <v>51</v>
      </c>
      <c r="S430" s="239">
        <v>4607958079803</v>
      </c>
      <c r="T430" s="344">
        <v>14607958079800</v>
      </c>
      <c r="U430" s="46">
        <v>4607958079803</v>
      </c>
      <c r="V430" s="46">
        <v>14607958079800</v>
      </c>
      <c r="W430" s="259" t="s">
        <v>1232</v>
      </c>
      <c r="X430" s="68">
        <v>130</v>
      </c>
      <c r="Y430" s="60">
        <v>45</v>
      </c>
      <c r="Z430" s="65">
        <v>0.27</v>
      </c>
      <c r="AA430" s="271">
        <v>5.0000000000000001E-3</v>
      </c>
      <c r="AB430" s="66">
        <f t="shared" ref="AB430" si="613">Z430+AA430</f>
        <v>0.27500000000000002</v>
      </c>
      <c r="AC430" s="59">
        <v>230</v>
      </c>
      <c r="AD430" s="60">
        <v>216</v>
      </c>
      <c r="AE430" s="60">
        <v>138</v>
      </c>
      <c r="AF430" s="191">
        <v>8</v>
      </c>
      <c r="AG430" s="117">
        <v>600000390</v>
      </c>
      <c r="AH430" s="104">
        <f>справочники!$C$90</f>
        <v>0.14699999999999999</v>
      </c>
      <c r="AI430" s="62">
        <f t="shared" si="530"/>
        <v>2.16</v>
      </c>
      <c r="AJ430" s="122">
        <f t="shared" si="531"/>
        <v>2.347</v>
      </c>
      <c r="AK430" s="37">
        <v>15</v>
      </c>
      <c r="AL430" s="38">
        <v>11</v>
      </c>
      <c r="AM430" s="40">
        <f t="shared" ref="AM430" si="614">AK430*AL430</f>
        <v>165</v>
      </c>
      <c r="AN430" s="206">
        <f t="shared" ref="AN430" si="615">IF(D430="ШТ",кол_во_инд.__упак_к*итого_г_у,ROUNDDOWN(номин.вес_нетто_г_у__кг*итого_г_у,1))</f>
        <v>1320</v>
      </c>
      <c r="AO430" s="204">
        <f t="shared" si="548"/>
        <v>1663</v>
      </c>
    </row>
    <row r="431" spans="1:41" ht="153" x14ac:dyDescent="0.2">
      <c r="A431" s="22">
        <f t="shared" si="547"/>
        <v>7389</v>
      </c>
      <c r="B431" s="116">
        <v>1001060727389</v>
      </c>
      <c r="C431" s="48" t="s">
        <v>1409</v>
      </c>
      <c r="D431" s="49" t="s">
        <v>4</v>
      </c>
      <c r="E431" s="146" t="s">
        <v>373</v>
      </c>
      <c r="F431" s="112" t="s">
        <v>353</v>
      </c>
      <c r="G431" s="224" t="s">
        <v>2</v>
      </c>
      <c r="H431" s="49" t="s">
        <v>278</v>
      </c>
      <c r="I431" s="155" t="s">
        <v>1065</v>
      </c>
      <c r="J431" s="150" t="s">
        <v>418</v>
      </c>
      <c r="K431" s="51" t="s">
        <v>1291</v>
      </c>
      <c r="L431" s="52">
        <v>22</v>
      </c>
      <c r="M431" s="53">
        <v>49</v>
      </c>
      <c r="N431" s="54"/>
      <c r="O431" s="88" t="s">
        <v>249</v>
      </c>
      <c r="P431" s="113" t="s">
        <v>104</v>
      </c>
      <c r="Q431" s="49">
        <v>30</v>
      </c>
      <c r="R431" s="56" t="s">
        <v>51</v>
      </c>
      <c r="S431" s="239">
        <v>4607958079803</v>
      </c>
      <c r="T431" s="344">
        <v>24607958079807</v>
      </c>
      <c r="U431" s="46" t="s">
        <v>1874</v>
      </c>
      <c r="V431" s="46" t="s">
        <v>1874</v>
      </c>
      <c r="W431" s="259" t="s">
        <v>1232</v>
      </c>
      <c r="X431" s="68">
        <v>130</v>
      </c>
      <c r="Y431" s="60">
        <v>45</v>
      </c>
      <c r="Z431" s="65">
        <v>0.27</v>
      </c>
      <c r="AA431" s="271">
        <v>5.0000000000000001E-3</v>
      </c>
      <c r="AB431" s="66">
        <f t="shared" ref="AB431" si="616">Z431+AA431</f>
        <v>0.27500000000000002</v>
      </c>
      <c r="AC431" s="59">
        <v>410</v>
      </c>
      <c r="AD431" s="60">
        <v>292</v>
      </c>
      <c r="AE431" s="60">
        <v>242</v>
      </c>
      <c r="AF431" s="191">
        <v>40</v>
      </c>
      <c r="AG431" s="117">
        <v>600000411</v>
      </c>
      <c r="AH431" s="104">
        <f>справочники!$C$102</f>
        <v>0.433</v>
      </c>
      <c r="AI431" s="62">
        <f t="shared" si="530"/>
        <v>10.8</v>
      </c>
      <c r="AJ431" s="122">
        <f t="shared" si="531"/>
        <v>11.433</v>
      </c>
      <c r="AK431" s="37">
        <v>8</v>
      </c>
      <c r="AL431" s="38">
        <v>6</v>
      </c>
      <c r="AM431" s="40">
        <f t="shared" ref="AM431" si="617">AK431*AL431</f>
        <v>48</v>
      </c>
      <c r="AN431" s="206">
        <f t="shared" ref="AN431" si="618">IF(D431="ШТ",кол_во_инд.__упак_к*итого_г_у,ROUNDDOWN(номин.вес_нетто_г_у__кг*итого_г_у,1))</f>
        <v>1920</v>
      </c>
      <c r="AO431" s="204">
        <f t="shared" si="548"/>
        <v>1597</v>
      </c>
    </row>
    <row r="432" spans="1:41" ht="153" x14ac:dyDescent="0.2">
      <c r="A432" s="22">
        <f t="shared" si="547"/>
        <v>7316</v>
      </c>
      <c r="B432" s="116">
        <v>1001060727316</v>
      </c>
      <c r="C432" s="48" t="s">
        <v>1289</v>
      </c>
      <c r="D432" s="49" t="s">
        <v>4</v>
      </c>
      <c r="E432" s="146" t="s">
        <v>373</v>
      </c>
      <c r="F432" s="112" t="s">
        <v>353</v>
      </c>
      <c r="G432" s="224" t="s">
        <v>2</v>
      </c>
      <c r="H432" s="49" t="s">
        <v>278</v>
      </c>
      <c r="I432" s="155" t="s">
        <v>1065</v>
      </c>
      <c r="J432" s="150" t="s">
        <v>418</v>
      </c>
      <c r="K432" s="51" t="s">
        <v>1291</v>
      </c>
      <c r="L432" s="52">
        <v>22</v>
      </c>
      <c r="M432" s="53">
        <v>49</v>
      </c>
      <c r="N432" s="54"/>
      <c r="O432" s="88" t="s">
        <v>249</v>
      </c>
      <c r="P432" s="113" t="s">
        <v>106</v>
      </c>
      <c r="Q432" s="49">
        <v>120</v>
      </c>
      <c r="R432" s="56" t="s">
        <v>52</v>
      </c>
      <c r="S432" s="239">
        <v>4607958079810</v>
      </c>
      <c r="T432" s="344">
        <v>14607958079817</v>
      </c>
      <c r="U432" s="46">
        <v>4607958079810</v>
      </c>
      <c r="V432" s="46">
        <v>14607958079817</v>
      </c>
      <c r="W432" s="258">
        <v>440</v>
      </c>
      <c r="X432" s="68">
        <v>115</v>
      </c>
      <c r="Y432" s="60">
        <v>45</v>
      </c>
      <c r="Z432" s="65">
        <v>0.54</v>
      </c>
      <c r="AA432" s="271">
        <v>7.0000000000000001E-3</v>
      </c>
      <c r="AB432" s="66">
        <f t="shared" ref="AB432" si="619">Z432+AA432</f>
        <v>0.54700000000000004</v>
      </c>
      <c r="AC432" s="59">
        <v>383</v>
      </c>
      <c r="AD432" s="60">
        <v>193</v>
      </c>
      <c r="AE432" s="60">
        <v>133</v>
      </c>
      <c r="AF432" s="191">
        <v>7</v>
      </c>
      <c r="AG432" s="117">
        <v>600000230</v>
      </c>
      <c r="AH432" s="104">
        <f>справочники!$C$51</f>
        <v>0.152</v>
      </c>
      <c r="AI432" s="62">
        <f t="shared" si="530"/>
        <v>3.78</v>
      </c>
      <c r="AJ432" s="122">
        <f t="shared" si="531"/>
        <v>3.9810000000000003</v>
      </c>
      <c r="AK432" s="37">
        <v>12</v>
      </c>
      <c r="AL432" s="38">
        <v>11</v>
      </c>
      <c r="AM432" s="40">
        <f t="shared" ref="AM432" si="620">AK432*AL432</f>
        <v>132</v>
      </c>
      <c r="AN432" s="135">
        <f t="shared" ref="AN432" si="621">IF(D432="ШТ",кол_во_инд.__упак_к*итого_г_у,ROUNDDOWN(номин.вес_нетто_г_у__кг*итого_г_у,1))</f>
        <v>924</v>
      </c>
      <c r="AO432" s="204">
        <f t="shared" si="548"/>
        <v>1608</v>
      </c>
    </row>
    <row r="433" spans="1:41" ht="153" x14ac:dyDescent="0.2">
      <c r="A433" s="22">
        <f t="shared" si="547"/>
        <v>7388</v>
      </c>
      <c r="B433" s="116">
        <v>1001060727388</v>
      </c>
      <c r="C433" s="48" t="s">
        <v>1410</v>
      </c>
      <c r="D433" s="49" t="s">
        <v>4</v>
      </c>
      <c r="E433" s="146" t="s">
        <v>373</v>
      </c>
      <c r="F433" s="112" t="s">
        <v>353</v>
      </c>
      <c r="G433" s="224" t="s">
        <v>2</v>
      </c>
      <c r="H433" s="49" t="s">
        <v>278</v>
      </c>
      <c r="I433" s="155" t="s">
        <v>1065</v>
      </c>
      <c r="J433" s="150" t="s">
        <v>418</v>
      </c>
      <c r="K433" s="51" t="s">
        <v>1291</v>
      </c>
      <c r="L433" s="52">
        <v>22</v>
      </c>
      <c r="M433" s="53">
        <v>49</v>
      </c>
      <c r="N433" s="54"/>
      <c r="O433" s="88" t="s">
        <v>249</v>
      </c>
      <c r="P433" s="113" t="s">
        <v>106</v>
      </c>
      <c r="Q433" s="49">
        <v>120</v>
      </c>
      <c r="R433" s="56" t="s">
        <v>52</v>
      </c>
      <c r="S433" s="239">
        <v>4607958079810</v>
      </c>
      <c r="T433" s="344">
        <v>24607958079814</v>
      </c>
      <c r="U433" s="46" t="s">
        <v>1874</v>
      </c>
      <c r="V433" s="46" t="s">
        <v>1874</v>
      </c>
      <c r="W433" s="258">
        <v>440</v>
      </c>
      <c r="X433" s="68">
        <v>115</v>
      </c>
      <c r="Y433" s="60">
        <v>45</v>
      </c>
      <c r="Z433" s="65">
        <v>0.54</v>
      </c>
      <c r="AA433" s="271">
        <v>7.0000000000000001E-3</v>
      </c>
      <c r="AB433" s="66">
        <f t="shared" ref="AB433" si="622">Z433+AA433</f>
        <v>0.54700000000000004</v>
      </c>
      <c r="AC433" s="59">
        <v>410</v>
      </c>
      <c r="AD433" s="60">
        <v>292</v>
      </c>
      <c r="AE433" s="60">
        <v>242</v>
      </c>
      <c r="AF433" s="191">
        <v>22</v>
      </c>
      <c r="AG433" s="117">
        <v>600000411</v>
      </c>
      <c r="AH433" s="104">
        <f>справочники!$C$102</f>
        <v>0.433</v>
      </c>
      <c r="AI433" s="62">
        <f t="shared" si="530"/>
        <v>11.88</v>
      </c>
      <c r="AJ433" s="122">
        <f t="shared" si="531"/>
        <v>12.467000000000001</v>
      </c>
      <c r="AK433" s="37">
        <v>8</v>
      </c>
      <c r="AL433" s="38">
        <v>6</v>
      </c>
      <c r="AM433" s="40">
        <f t="shared" ref="AM433" si="623">AK433*AL433</f>
        <v>48</v>
      </c>
      <c r="AN433" s="206">
        <f t="shared" ref="AN433" si="624">IF(D433="ШТ",кол_во_инд.__упак_к*итого_г_у,ROUNDDOWN(номин.вес_нетто_г_у__кг*итого_г_у,1))</f>
        <v>1056</v>
      </c>
      <c r="AO433" s="204">
        <f t="shared" si="548"/>
        <v>1597</v>
      </c>
    </row>
    <row r="434" spans="1:41" ht="78" customHeight="1" x14ac:dyDescent="0.2">
      <c r="A434" s="22">
        <f t="shared" si="547"/>
        <v>3684</v>
      </c>
      <c r="B434" s="116">
        <v>1001062353684</v>
      </c>
      <c r="C434" s="48" t="s">
        <v>58</v>
      </c>
      <c r="D434" s="49" t="s">
        <v>4</v>
      </c>
      <c r="E434" s="146" t="s">
        <v>373</v>
      </c>
      <c r="F434" s="112" t="s">
        <v>353</v>
      </c>
      <c r="G434" s="224" t="s">
        <v>2</v>
      </c>
      <c r="H434" s="58" t="s">
        <v>2035</v>
      </c>
      <c r="I434" s="155" t="s">
        <v>1940</v>
      </c>
      <c r="J434" s="150" t="s">
        <v>418</v>
      </c>
      <c r="K434" s="51" t="s">
        <v>2036</v>
      </c>
      <c r="L434" s="52">
        <v>20</v>
      </c>
      <c r="M434" s="53">
        <v>42</v>
      </c>
      <c r="N434" s="54">
        <v>5</v>
      </c>
      <c r="O434" s="88" t="s">
        <v>2037</v>
      </c>
      <c r="P434" s="113" t="s">
        <v>104</v>
      </c>
      <c r="Q434" s="49">
        <v>120</v>
      </c>
      <c r="R434" s="82" t="s">
        <v>51</v>
      </c>
      <c r="S434" s="46">
        <v>4607958074907</v>
      </c>
      <c r="T434" s="46">
        <v>14607958074904</v>
      </c>
      <c r="U434" s="46">
        <v>4607958074907</v>
      </c>
      <c r="V434" s="46">
        <v>14607958074904</v>
      </c>
      <c r="W434" s="258">
        <v>240</v>
      </c>
      <c r="X434" s="68">
        <v>65</v>
      </c>
      <c r="Y434" s="68">
        <v>44</v>
      </c>
      <c r="Z434" s="65">
        <v>0.25</v>
      </c>
      <c r="AA434" s="271">
        <v>5.0000000000000001E-3</v>
      </c>
      <c r="AB434" s="66">
        <f t="shared" si="533"/>
        <v>0.255</v>
      </c>
      <c r="AC434" s="59">
        <v>218</v>
      </c>
      <c r="AD434" s="60">
        <v>193</v>
      </c>
      <c r="AE434" s="60">
        <v>108</v>
      </c>
      <c r="AF434" s="191">
        <v>8</v>
      </c>
      <c r="AG434" s="117">
        <v>600000150</v>
      </c>
      <c r="AH434" s="104">
        <f>справочники!$C$43</f>
        <v>8.5999999999999993E-2</v>
      </c>
      <c r="AI434" s="61">
        <f t="shared" si="530"/>
        <v>2</v>
      </c>
      <c r="AJ434" s="122">
        <f t="shared" si="531"/>
        <v>2.1259999999999999</v>
      </c>
      <c r="AK434" s="37">
        <v>20</v>
      </c>
      <c r="AL434" s="38">
        <v>14</v>
      </c>
      <c r="AM434" s="40">
        <f t="shared" si="532"/>
        <v>280</v>
      </c>
      <c r="AN434" s="206">
        <f t="shared" si="534"/>
        <v>2240</v>
      </c>
      <c r="AO434" s="204">
        <f t="shared" si="548"/>
        <v>1657</v>
      </c>
    </row>
    <row r="435" spans="1:41" ht="77.25" customHeight="1" x14ac:dyDescent="0.2">
      <c r="A435" s="22">
        <f t="shared" si="547"/>
        <v>7519</v>
      </c>
      <c r="B435" s="116">
        <v>1001062357519</v>
      </c>
      <c r="C435" s="48" t="s">
        <v>1706</v>
      </c>
      <c r="D435" s="49" t="s">
        <v>3</v>
      </c>
      <c r="E435" s="146" t="s">
        <v>373</v>
      </c>
      <c r="F435" s="112" t="s">
        <v>353</v>
      </c>
      <c r="G435" s="224" t="s">
        <v>2</v>
      </c>
      <c r="H435" s="58" t="s">
        <v>136</v>
      </c>
      <c r="I435" s="155" t="s">
        <v>1940</v>
      </c>
      <c r="J435" s="150" t="s">
        <v>418</v>
      </c>
      <c r="K435" s="51" t="s">
        <v>2036</v>
      </c>
      <c r="L435" s="52">
        <v>20</v>
      </c>
      <c r="M435" s="53">
        <v>42</v>
      </c>
      <c r="N435" s="54">
        <v>5</v>
      </c>
      <c r="O435" s="88" t="s">
        <v>2037</v>
      </c>
      <c r="P435" s="113" t="s">
        <v>104</v>
      </c>
      <c r="Q435" s="49">
        <v>120</v>
      </c>
      <c r="R435" s="82" t="s">
        <v>51</v>
      </c>
      <c r="S435" s="237">
        <v>2326033000007</v>
      </c>
      <c r="T435" s="332">
        <v>12326033000004</v>
      </c>
      <c r="U435" s="46">
        <v>4630362182593</v>
      </c>
      <c r="V435" s="46">
        <v>14630362182590</v>
      </c>
      <c r="W435" s="258">
        <v>240</v>
      </c>
      <c r="X435" s="68">
        <v>65</v>
      </c>
      <c r="Y435" s="68">
        <v>44</v>
      </c>
      <c r="Z435" s="65">
        <v>0.25</v>
      </c>
      <c r="AA435" s="271">
        <v>5.0000000000000001E-3</v>
      </c>
      <c r="AB435" s="66">
        <f t="shared" ref="AB435" si="625">Z435+AA435</f>
        <v>0.255</v>
      </c>
      <c r="AC435" s="59">
        <v>218</v>
      </c>
      <c r="AD435" s="60">
        <v>193</v>
      </c>
      <c r="AE435" s="60">
        <v>108</v>
      </c>
      <c r="AF435" s="191">
        <v>8</v>
      </c>
      <c r="AG435" s="117">
        <v>600000150</v>
      </c>
      <c r="AH435" s="104">
        <f>справочники!$C$43</f>
        <v>8.5999999999999993E-2</v>
      </c>
      <c r="AI435" s="61">
        <f t="shared" si="530"/>
        <v>2</v>
      </c>
      <c r="AJ435" s="122">
        <f t="shared" si="531"/>
        <v>2.1259999999999999</v>
      </c>
      <c r="AK435" s="37">
        <v>20</v>
      </c>
      <c r="AL435" s="38">
        <v>14</v>
      </c>
      <c r="AM435" s="40">
        <f t="shared" ref="AM435" si="626">AK435*AL435</f>
        <v>280</v>
      </c>
      <c r="AN435" s="272">
        <f t="shared" ref="AN435" si="627">IF(D435="ШТ",кол_во_инд.__упак_к*итого_г_у,ROUNDDOWN(номин.вес_нетто_г_у__кг*итого_г_у,1))</f>
        <v>560</v>
      </c>
      <c r="AO435" s="204">
        <f t="shared" si="548"/>
        <v>1657</v>
      </c>
    </row>
    <row r="436" spans="1:41" ht="78.599999999999994" customHeight="1" x14ac:dyDescent="0.2">
      <c r="A436" s="22">
        <f t="shared" si="547"/>
        <v>5040</v>
      </c>
      <c r="B436" s="116">
        <v>1001062355040</v>
      </c>
      <c r="C436" s="48" t="s">
        <v>335</v>
      </c>
      <c r="D436" s="49" t="s">
        <v>3</v>
      </c>
      <c r="E436" s="146" t="s">
        <v>373</v>
      </c>
      <c r="F436" s="112" t="s">
        <v>353</v>
      </c>
      <c r="G436" s="224" t="s">
        <v>2</v>
      </c>
      <c r="H436" s="49" t="s">
        <v>1</v>
      </c>
      <c r="I436" s="154" t="s">
        <v>1940</v>
      </c>
      <c r="J436" s="151" t="s">
        <v>418</v>
      </c>
      <c r="K436" s="51" t="s">
        <v>2036</v>
      </c>
      <c r="L436" s="52">
        <v>20</v>
      </c>
      <c r="M436" s="53">
        <v>42</v>
      </c>
      <c r="N436" s="54">
        <v>5</v>
      </c>
      <c r="O436" s="88" t="s">
        <v>2037</v>
      </c>
      <c r="P436" s="113" t="s">
        <v>106</v>
      </c>
      <c r="Q436" s="87">
        <v>120</v>
      </c>
      <c r="R436" s="82" t="s">
        <v>52</v>
      </c>
      <c r="S436" s="239">
        <v>2800766000003</v>
      </c>
      <c r="T436" s="344">
        <v>12800766000000</v>
      </c>
      <c r="U436" s="46" t="s">
        <v>1874</v>
      </c>
      <c r="V436" s="46" t="s">
        <v>1874</v>
      </c>
      <c r="W436" s="258">
        <v>405</v>
      </c>
      <c r="X436" s="68">
        <v>70</v>
      </c>
      <c r="Y436" s="68">
        <v>45</v>
      </c>
      <c r="Z436" s="65">
        <v>0.5</v>
      </c>
      <c r="AA436" s="271">
        <v>0.01</v>
      </c>
      <c r="AB436" s="66">
        <f t="shared" si="533"/>
        <v>0.51</v>
      </c>
      <c r="AC436" s="59">
        <v>410</v>
      </c>
      <c r="AD436" s="60">
        <v>292</v>
      </c>
      <c r="AE436" s="60">
        <v>242</v>
      </c>
      <c r="AF436" s="191">
        <v>30</v>
      </c>
      <c r="AG436" s="117">
        <v>600000411</v>
      </c>
      <c r="AH436" s="104">
        <f>справочники!$C$102</f>
        <v>0.433</v>
      </c>
      <c r="AI436" s="61">
        <f t="shared" si="530"/>
        <v>15</v>
      </c>
      <c r="AJ436" s="122">
        <f t="shared" si="531"/>
        <v>15.733000000000001</v>
      </c>
      <c r="AK436" s="37">
        <v>8</v>
      </c>
      <c r="AL436" s="38">
        <v>6</v>
      </c>
      <c r="AM436" s="40">
        <f t="shared" si="532"/>
        <v>48</v>
      </c>
      <c r="AN436" s="214">
        <f t="shared" si="534"/>
        <v>720</v>
      </c>
      <c r="AO436" s="204">
        <f t="shared" si="548"/>
        <v>1597</v>
      </c>
    </row>
    <row r="437" spans="1:41" ht="78" customHeight="1" x14ac:dyDescent="0.2">
      <c r="A437" s="22">
        <f t="shared" si="547"/>
        <v>6572</v>
      </c>
      <c r="B437" s="116">
        <v>1001062356572</v>
      </c>
      <c r="C437" s="48" t="s">
        <v>611</v>
      </c>
      <c r="D437" s="49" t="s">
        <v>4</v>
      </c>
      <c r="E437" s="146" t="s">
        <v>373</v>
      </c>
      <c r="F437" s="112" t="s">
        <v>353</v>
      </c>
      <c r="G437" s="224" t="s">
        <v>2</v>
      </c>
      <c r="H437" s="58" t="s">
        <v>1118</v>
      </c>
      <c r="I437" s="155" t="s">
        <v>1940</v>
      </c>
      <c r="J437" s="151" t="s">
        <v>418</v>
      </c>
      <c r="K437" s="51" t="s">
        <v>2036</v>
      </c>
      <c r="L437" s="52">
        <v>20</v>
      </c>
      <c r="M437" s="53">
        <v>42</v>
      </c>
      <c r="N437" s="54">
        <v>5</v>
      </c>
      <c r="O437" s="88" t="s">
        <v>2037</v>
      </c>
      <c r="P437" s="113" t="s">
        <v>104</v>
      </c>
      <c r="Q437" s="87">
        <v>120</v>
      </c>
      <c r="R437" s="82" t="s">
        <v>51</v>
      </c>
      <c r="S437" s="237">
        <v>4601296004480</v>
      </c>
      <c r="T437" s="332">
        <v>14601296004487</v>
      </c>
      <c r="U437" s="46" t="s">
        <v>1874</v>
      </c>
      <c r="V437" s="46" t="s">
        <v>1874</v>
      </c>
      <c r="W437" s="258">
        <v>240</v>
      </c>
      <c r="X437" s="68">
        <v>65</v>
      </c>
      <c r="Y437" s="68">
        <v>44</v>
      </c>
      <c r="Z437" s="65">
        <v>0.25</v>
      </c>
      <c r="AA437" s="271">
        <v>5.0000000000000001E-3</v>
      </c>
      <c r="AB437" s="66">
        <f>Z437+AA437</f>
        <v>0.255</v>
      </c>
      <c r="AC437" s="59">
        <v>410</v>
      </c>
      <c r="AD437" s="60">
        <v>292</v>
      </c>
      <c r="AE437" s="60">
        <v>242</v>
      </c>
      <c r="AF437" s="191">
        <v>48</v>
      </c>
      <c r="AG437" s="117">
        <v>600000411</v>
      </c>
      <c r="AH437" s="104">
        <f>справочники!$C$102</f>
        <v>0.433</v>
      </c>
      <c r="AI437" s="61">
        <f t="shared" si="530"/>
        <v>12</v>
      </c>
      <c r="AJ437" s="122">
        <f t="shared" si="531"/>
        <v>12.673</v>
      </c>
      <c r="AK437" s="37">
        <v>8</v>
      </c>
      <c r="AL437" s="38">
        <v>6</v>
      </c>
      <c r="AM437" s="40">
        <f>AK437*AL437</f>
        <v>48</v>
      </c>
      <c r="AN437" s="206">
        <f>IF(D437="ШТ",кол_во_инд.__упак_к*итого_г_у,ROUNDDOWN(номин.вес_нетто_г_у__кг*итого_г_у,1))</f>
        <v>2304</v>
      </c>
      <c r="AO437" s="204">
        <f t="shared" si="548"/>
        <v>1597</v>
      </c>
    </row>
    <row r="438" spans="1:41" ht="79.150000000000006" customHeight="1" x14ac:dyDescent="0.2">
      <c r="A438" s="22">
        <f t="shared" si="547"/>
        <v>3679</v>
      </c>
      <c r="B438" s="116">
        <v>1001062353679</v>
      </c>
      <c r="C438" s="55" t="s">
        <v>1509</v>
      </c>
      <c r="D438" s="87" t="s">
        <v>3</v>
      </c>
      <c r="E438" s="146" t="s">
        <v>373</v>
      </c>
      <c r="F438" s="112" t="s">
        <v>353</v>
      </c>
      <c r="G438" s="226" t="s">
        <v>2</v>
      </c>
      <c r="H438" s="87" t="s">
        <v>1</v>
      </c>
      <c r="I438" s="155" t="s">
        <v>1940</v>
      </c>
      <c r="J438" s="150" t="s">
        <v>418</v>
      </c>
      <c r="K438" s="51" t="s">
        <v>2036</v>
      </c>
      <c r="L438" s="52">
        <v>20</v>
      </c>
      <c r="M438" s="53">
        <v>42</v>
      </c>
      <c r="N438" s="54">
        <v>5</v>
      </c>
      <c r="O438" s="88" t="s">
        <v>2037</v>
      </c>
      <c r="P438" s="113" t="s">
        <v>106</v>
      </c>
      <c r="Q438" s="87">
        <v>120</v>
      </c>
      <c r="R438" s="82" t="s">
        <v>52</v>
      </c>
      <c r="S438" s="239">
        <v>2450846000005</v>
      </c>
      <c r="T438" s="344">
        <v>12450846000002</v>
      </c>
      <c r="U438" s="46">
        <v>4630362181848</v>
      </c>
      <c r="V438" s="46">
        <v>14630362181845</v>
      </c>
      <c r="W438" s="258">
        <v>405</v>
      </c>
      <c r="X438" s="68">
        <v>70</v>
      </c>
      <c r="Y438" s="68">
        <v>45</v>
      </c>
      <c r="Z438" s="92">
        <v>0.49399999999999999</v>
      </c>
      <c r="AA438" s="271">
        <v>0.01</v>
      </c>
      <c r="AB438" s="66">
        <f t="shared" ref="AB438" si="628">Z438+AA438</f>
        <v>0.504</v>
      </c>
      <c r="AC438" s="67">
        <v>388</v>
      </c>
      <c r="AD438" s="68">
        <v>193</v>
      </c>
      <c r="AE438" s="68">
        <v>108</v>
      </c>
      <c r="AF438" s="194">
        <v>8</v>
      </c>
      <c r="AG438" s="117">
        <v>600000013</v>
      </c>
      <c r="AH438" s="105">
        <f>справочники!$C$5</f>
        <v>0.14099999999999999</v>
      </c>
      <c r="AI438" s="61">
        <f t="shared" si="530"/>
        <v>3.95</v>
      </c>
      <c r="AJ438" s="122">
        <f t="shared" si="531"/>
        <v>4.173</v>
      </c>
      <c r="AK438" s="33">
        <v>12</v>
      </c>
      <c r="AL438" s="34">
        <v>14</v>
      </c>
      <c r="AM438" s="40">
        <f t="shared" ref="AM438" si="629">AK438*AL438</f>
        <v>168</v>
      </c>
      <c r="AN438" s="214">
        <f t="shared" ref="AN438" si="630">IF(D438="ШТ",кол_во_инд.__упак_к*итого_г_у,ROUNDDOWN(номин.вес_нетто_г_у__кг*итого_г_у,1))</f>
        <v>663.6</v>
      </c>
      <c r="AO438" s="204">
        <f t="shared" si="548"/>
        <v>1657</v>
      </c>
    </row>
    <row r="439" spans="1:41" ht="81" customHeight="1" x14ac:dyDescent="0.2">
      <c r="A439" s="22">
        <f t="shared" si="547"/>
        <v>5996</v>
      </c>
      <c r="B439" s="116">
        <v>1001062355996</v>
      </c>
      <c r="C439" s="55" t="s">
        <v>273</v>
      </c>
      <c r="D439" s="87" t="s">
        <v>3</v>
      </c>
      <c r="E439" s="146" t="s">
        <v>373</v>
      </c>
      <c r="F439" s="112" t="s">
        <v>353</v>
      </c>
      <c r="G439" s="226" t="s">
        <v>2</v>
      </c>
      <c r="H439" s="87" t="s">
        <v>1</v>
      </c>
      <c r="I439" s="155" t="s">
        <v>1940</v>
      </c>
      <c r="J439" s="150" t="s">
        <v>418</v>
      </c>
      <c r="K439" s="51" t="s">
        <v>2036</v>
      </c>
      <c r="L439" s="52">
        <v>20</v>
      </c>
      <c r="M439" s="53">
        <v>42</v>
      </c>
      <c r="N439" s="54">
        <v>5</v>
      </c>
      <c r="O439" s="88" t="s">
        <v>2037</v>
      </c>
      <c r="P439" s="113" t="s">
        <v>106</v>
      </c>
      <c r="Q439" s="87">
        <v>120</v>
      </c>
      <c r="R439" s="82" t="s">
        <v>52</v>
      </c>
      <c r="S439" s="239">
        <v>2908470000002</v>
      </c>
      <c r="T439" s="344">
        <v>12908470000009</v>
      </c>
      <c r="U439" s="46">
        <v>4630362181848</v>
      </c>
      <c r="V439" s="46">
        <v>14630362181845</v>
      </c>
      <c r="W439" s="258">
        <v>405</v>
      </c>
      <c r="X439" s="68">
        <v>70</v>
      </c>
      <c r="Y439" s="68">
        <v>45</v>
      </c>
      <c r="Z439" s="92">
        <v>0.49399999999999999</v>
      </c>
      <c r="AA439" s="271">
        <v>0.01</v>
      </c>
      <c r="AB439" s="66">
        <f t="shared" si="533"/>
        <v>0.504</v>
      </c>
      <c r="AC439" s="67">
        <v>388</v>
      </c>
      <c r="AD439" s="68">
        <v>193</v>
      </c>
      <c r="AE439" s="68">
        <v>108</v>
      </c>
      <c r="AF439" s="194">
        <v>8</v>
      </c>
      <c r="AG439" s="117">
        <v>600000013</v>
      </c>
      <c r="AH439" s="105">
        <f>справочники!$C$5</f>
        <v>0.14099999999999999</v>
      </c>
      <c r="AI439" s="61">
        <f t="shared" si="530"/>
        <v>3.95</v>
      </c>
      <c r="AJ439" s="122">
        <f t="shared" si="531"/>
        <v>4.173</v>
      </c>
      <c r="AK439" s="33">
        <v>12</v>
      </c>
      <c r="AL439" s="34">
        <v>14</v>
      </c>
      <c r="AM439" s="40">
        <f t="shared" si="532"/>
        <v>168</v>
      </c>
      <c r="AN439" s="214">
        <f t="shared" si="534"/>
        <v>663.6</v>
      </c>
      <c r="AO439" s="204">
        <f t="shared" si="548"/>
        <v>1657</v>
      </c>
    </row>
    <row r="440" spans="1:41" ht="178.5" x14ac:dyDescent="0.2">
      <c r="A440" s="22">
        <f t="shared" si="547"/>
        <v>3680</v>
      </c>
      <c r="B440" s="116">
        <v>1001062353680</v>
      </c>
      <c r="C440" s="55" t="s">
        <v>168</v>
      </c>
      <c r="D440" s="87" t="s">
        <v>3</v>
      </c>
      <c r="E440" s="146" t="s">
        <v>373</v>
      </c>
      <c r="F440" s="112" t="s">
        <v>353</v>
      </c>
      <c r="G440" s="226" t="s">
        <v>2</v>
      </c>
      <c r="H440" s="140" t="s">
        <v>1118</v>
      </c>
      <c r="I440" s="155" t="s">
        <v>1065</v>
      </c>
      <c r="J440" s="150" t="s">
        <v>418</v>
      </c>
      <c r="K440" s="83" t="s">
        <v>1322</v>
      </c>
      <c r="L440" s="84">
        <v>13</v>
      </c>
      <c r="M440" s="85">
        <v>35</v>
      </c>
      <c r="N440" s="91">
        <v>5</v>
      </c>
      <c r="O440" s="88" t="s">
        <v>1323</v>
      </c>
      <c r="P440" s="113" t="s">
        <v>106</v>
      </c>
      <c r="Q440" s="87">
        <v>120</v>
      </c>
      <c r="R440" s="82" t="s">
        <v>52</v>
      </c>
      <c r="S440" s="239">
        <v>2774300000005</v>
      </c>
      <c r="T440" s="344">
        <v>12774300000002</v>
      </c>
      <c r="U440" s="46">
        <v>4607958078141</v>
      </c>
      <c r="V440" s="46">
        <v>14607958078148</v>
      </c>
      <c r="W440" s="258">
        <v>440</v>
      </c>
      <c r="X440" s="68">
        <v>115</v>
      </c>
      <c r="Y440" s="68">
        <v>45</v>
      </c>
      <c r="Z440" s="92">
        <v>0.52</v>
      </c>
      <c r="AA440" s="271">
        <v>7.0000000000000001E-3</v>
      </c>
      <c r="AB440" s="66">
        <f t="shared" si="533"/>
        <v>0.52700000000000002</v>
      </c>
      <c r="AC440" s="59">
        <v>383</v>
      </c>
      <c r="AD440" s="60">
        <v>193</v>
      </c>
      <c r="AE440" s="60">
        <v>133</v>
      </c>
      <c r="AF440" s="194">
        <v>7</v>
      </c>
      <c r="AG440" s="117">
        <v>600000230</v>
      </c>
      <c r="AH440" s="105">
        <f>справочники!$C$5</f>
        <v>0.14099999999999999</v>
      </c>
      <c r="AI440" s="61">
        <f t="shared" si="530"/>
        <v>3.64</v>
      </c>
      <c r="AJ440" s="122">
        <f t="shared" si="531"/>
        <v>3.83</v>
      </c>
      <c r="AK440" s="33">
        <v>12</v>
      </c>
      <c r="AL440" s="34">
        <v>11</v>
      </c>
      <c r="AM440" s="40">
        <f t="shared" si="532"/>
        <v>132</v>
      </c>
      <c r="AN440" s="214">
        <f t="shared" si="534"/>
        <v>480.4</v>
      </c>
      <c r="AO440" s="204">
        <f t="shared" si="548"/>
        <v>1608</v>
      </c>
    </row>
    <row r="441" spans="1:41" ht="178.5" x14ac:dyDescent="0.2">
      <c r="A441" s="22">
        <f t="shared" si="547"/>
        <v>3691</v>
      </c>
      <c r="B441" s="116">
        <v>1001062353691</v>
      </c>
      <c r="C441" s="55" t="s">
        <v>170</v>
      </c>
      <c r="D441" s="87" t="s">
        <v>3</v>
      </c>
      <c r="E441" s="146" t="s">
        <v>373</v>
      </c>
      <c r="F441" s="112" t="s">
        <v>353</v>
      </c>
      <c r="G441" s="226" t="s">
        <v>2</v>
      </c>
      <c r="H441" s="140" t="s">
        <v>1118</v>
      </c>
      <c r="I441" s="155" t="s">
        <v>1065</v>
      </c>
      <c r="J441" s="150" t="s">
        <v>418</v>
      </c>
      <c r="K441" s="83" t="s">
        <v>1322</v>
      </c>
      <c r="L441" s="84">
        <v>13</v>
      </c>
      <c r="M441" s="85">
        <v>35</v>
      </c>
      <c r="N441" s="91">
        <v>5</v>
      </c>
      <c r="O441" s="88" t="s">
        <v>1323</v>
      </c>
      <c r="P441" s="113" t="s">
        <v>106</v>
      </c>
      <c r="Q441" s="87">
        <v>120</v>
      </c>
      <c r="R441" s="82" t="s">
        <v>52</v>
      </c>
      <c r="S441" s="239">
        <v>2533767000009</v>
      </c>
      <c r="T441" s="344">
        <v>12533767000006</v>
      </c>
      <c r="U441" s="46">
        <v>4607958078141</v>
      </c>
      <c r="V441" s="46">
        <v>14607958078148</v>
      </c>
      <c r="W441" s="258">
        <v>440</v>
      </c>
      <c r="X441" s="68">
        <v>115</v>
      </c>
      <c r="Y441" s="68">
        <v>45</v>
      </c>
      <c r="Z441" s="92">
        <v>0.52</v>
      </c>
      <c r="AA441" s="271">
        <v>7.0000000000000001E-3</v>
      </c>
      <c r="AB441" s="66">
        <f t="shared" si="533"/>
        <v>0.52700000000000002</v>
      </c>
      <c r="AC441" s="59">
        <v>383</v>
      </c>
      <c r="AD441" s="60">
        <v>193</v>
      </c>
      <c r="AE441" s="60">
        <v>133</v>
      </c>
      <c r="AF441" s="194">
        <v>7</v>
      </c>
      <c r="AG441" s="117">
        <v>600000230</v>
      </c>
      <c r="AH441" s="105">
        <f>справочники!$C$5</f>
        <v>0.14099999999999999</v>
      </c>
      <c r="AI441" s="61">
        <f t="shared" si="530"/>
        <v>3.64</v>
      </c>
      <c r="AJ441" s="122">
        <f t="shared" si="531"/>
        <v>3.83</v>
      </c>
      <c r="AK441" s="33">
        <v>12</v>
      </c>
      <c r="AL441" s="34">
        <v>11</v>
      </c>
      <c r="AM441" s="40">
        <f t="shared" si="532"/>
        <v>132</v>
      </c>
      <c r="AN441" s="214">
        <f t="shared" si="534"/>
        <v>480.4</v>
      </c>
      <c r="AO441" s="204">
        <f t="shared" si="548"/>
        <v>1608</v>
      </c>
    </row>
    <row r="442" spans="1:41" ht="178.5" x14ac:dyDescent="0.2">
      <c r="A442" s="22">
        <f t="shared" si="547"/>
        <v>3692</v>
      </c>
      <c r="B442" s="116">
        <v>1001062353692</v>
      </c>
      <c r="C442" s="55" t="s">
        <v>169</v>
      </c>
      <c r="D442" s="87" t="s">
        <v>3</v>
      </c>
      <c r="E442" s="146" t="s">
        <v>373</v>
      </c>
      <c r="F442" s="112" t="s">
        <v>353</v>
      </c>
      <c r="G442" s="226" t="s">
        <v>2</v>
      </c>
      <c r="H442" s="140" t="s">
        <v>1118</v>
      </c>
      <c r="I442" s="155" t="s">
        <v>1065</v>
      </c>
      <c r="J442" s="150" t="s">
        <v>418</v>
      </c>
      <c r="K442" s="83" t="s">
        <v>1322</v>
      </c>
      <c r="L442" s="84">
        <v>13</v>
      </c>
      <c r="M442" s="85">
        <v>35</v>
      </c>
      <c r="N442" s="91">
        <v>5</v>
      </c>
      <c r="O442" s="88" t="s">
        <v>1323</v>
      </c>
      <c r="P442" s="113" t="s">
        <v>106</v>
      </c>
      <c r="Q442" s="87">
        <v>120</v>
      </c>
      <c r="R442" s="82" t="s">
        <v>52</v>
      </c>
      <c r="S442" s="239">
        <v>2965365000004</v>
      </c>
      <c r="T442" s="344">
        <v>12965365000001</v>
      </c>
      <c r="U442" s="46">
        <v>4607958078141</v>
      </c>
      <c r="V442" s="46">
        <v>14607958078148</v>
      </c>
      <c r="W442" s="258">
        <v>440</v>
      </c>
      <c r="X442" s="68">
        <v>115</v>
      </c>
      <c r="Y442" s="68">
        <v>45</v>
      </c>
      <c r="Z442" s="92">
        <v>0.5</v>
      </c>
      <c r="AA442" s="271">
        <v>7.0000000000000001E-3</v>
      </c>
      <c r="AB442" s="66">
        <f t="shared" si="533"/>
        <v>0.50700000000000001</v>
      </c>
      <c r="AC442" s="59">
        <v>383</v>
      </c>
      <c r="AD442" s="60">
        <v>193</v>
      </c>
      <c r="AE442" s="60">
        <v>133</v>
      </c>
      <c r="AF442" s="194">
        <v>7</v>
      </c>
      <c r="AG442" s="117">
        <v>600000230</v>
      </c>
      <c r="AH442" s="105">
        <f>справочники!$C$5</f>
        <v>0.14099999999999999</v>
      </c>
      <c r="AI442" s="61">
        <f t="shared" si="530"/>
        <v>3.5</v>
      </c>
      <c r="AJ442" s="122">
        <f t="shared" si="531"/>
        <v>3.69</v>
      </c>
      <c r="AK442" s="33">
        <v>12</v>
      </c>
      <c r="AL442" s="34">
        <v>11</v>
      </c>
      <c r="AM442" s="40">
        <f t="shared" si="532"/>
        <v>132</v>
      </c>
      <c r="AN442" s="214">
        <f t="shared" si="534"/>
        <v>462</v>
      </c>
      <c r="AO442" s="204">
        <f t="shared" si="548"/>
        <v>1608</v>
      </c>
    </row>
    <row r="443" spans="1:41" ht="178.5" x14ac:dyDescent="0.2">
      <c r="A443" s="22">
        <f t="shared" si="547"/>
        <v>7317</v>
      </c>
      <c r="B443" s="116">
        <v>1001066567317</v>
      </c>
      <c r="C443" s="55" t="s">
        <v>1292</v>
      </c>
      <c r="D443" s="87" t="s">
        <v>4</v>
      </c>
      <c r="E443" s="146" t="s">
        <v>373</v>
      </c>
      <c r="F443" s="112" t="s">
        <v>353</v>
      </c>
      <c r="G443" s="226" t="s">
        <v>2</v>
      </c>
      <c r="H443" s="140" t="s">
        <v>1118</v>
      </c>
      <c r="I443" s="155" t="s">
        <v>1065</v>
      </c>
      <c r="J443" s="150" t="s">
        <v>418</v>
      </c>
      <c r="K443" s="83" t="s">
        <v>1322</v>
      </c>
      <c r="L443" s="84">
        <v>13</v>
      </c>
      <c r="M443" s="85">
        <v>35</v>
      </c>
      <c r="N443" s="91">
        <v>5</v>
      </c>
      <c r="O443" s="88" t="s">
        <v>1323</v>
      </c>
      <c r="P443" s="113" t="s">
        <v>106</v>
      </c>
      <c r="Q443" s="87">
        <v>120</v>
      </c>
      <c r="R443" s="82" t="s">
        <v>52</v>
      </c>
      <c r="S443" s="239">
        <v>4607958079827</v>
      </c>
      <c r="T443" s="344">
        <v>14607958079824</v>
      </c>
      <c r="U443" s="46">
        <v>4607958079827</v>
      </c>
      <c r="V443" s="46">
        <v>14607958079824</v>
      </c>
      <c r="W443" s="258">
        <v>440</v>
      </c>
      <c r="X443" s="68">
        <v>115</v>
      </c>
      <c r="Y443" s="68">
        <v>45</v>
      </c>
      <c r="Z443" s="92">
        <v>0.54</v>
      </c>
      <c r="AA443" s="271">
        <v>7.0000000000000001E-3</v>
      </c>
      <c r="AB443" s="66">
        <f t="shared" ref="AB443" si="631">Z443+AA443</f>
        <v>0.54700000000000004</v>
      </c>
      <c r="AC443" s="59">
        <v>383</v>
      </c>
      <c r="AD443" s="60">
        <v>193</v>
      </c>
      <c r="AE443" s="60">
        <v>133</v>
      </c>
      <c r="AF443" s="194">
        <v>7</v>
      </c>
      <c r="AG443" s="117">
        <v>600000230</v>
      </c>
      <c r="AH443" s="105">
        <f>справочники!$C$51</f>
        <v>0.152</v>
      </c>
      <c r="AI443" s="61">
        <f t="shared" si="530"/>
        <v>3.78</v>
      </c>
      <c r="AJ443" s="122">
        <f t="shared" si="531"/>
        <v>3.9810000000000003</v>
      </c>
      <c r="AK443" s="33">
        <v>12</v>
      </c>
      <c r="AL443" s="34">
        <v>11</v>
      </c>
      <c r="AM443" s="40">
        <f t="shared" ref="AM443" si="632">AK443*AL443</f>
        <v>132</v>
      </c>
      <c r="AN443" s="135">
        <f t="shared" ref="AN443" si="633">IF(D443="ШТ",кол_во_инд.__упак_к*итого_г_у,ROUNDDOWN(номин.вес_нетто_г_у__кг*итого_г_у,1))</f>
        <v>924</v>
      </c>
      <c r="AO443" s="204">
        <f t="shared" si="548"/>
        <v>1608</v>
      </c>
    </row>
    <row r="444" spans="1:41" ht="178.5" x14ac:dyDescent="0.2">
      <c r="A444" s="22">
        <f t="shared" si="547"/>
        <v>7537</v>
      </c>
      <c r="B444" s="116">
        <v>1001066567537</v>
      </c>
      <c r="C444" s="55" t="s">
        <v>1643</v>
      </c>
      <c r="D444" s="87" t="s">
        <v>4</v>
      </c>
      <c r="E444" s="146" t="s">
        <v>373</v>
      </c>
      <c r="F444" s="112" t="s">
        <v>353</v>
      </c>
      <c r="G444" s="226" t="s">
        <v>2</v>
      </c>
      <c r="H444" s="140" t="s">
        <v>1118</v>
      </c>
      <c r="I444" s="155" t="s">
        <v>1065</v>
      </c>
      <c r="J444" s="150" t="s">
        <v>418</v>
      </c>
      <c r="K444" s="83" t="s">
        <v>1322</v>
      </c>
      <c r="L444" s="84">
        <v>13</v>
      </c>
      <c r="M444" s="85">
        <v>35</v>
      </c>
      <c r="N444" s="91">
        <v>5</v>
      </c>
      <c r="O444" s="88" t="s">
        <v>1323</v>
      </c>
      <c r="P444" s="113" t="s">
        <v>106</v>
      </c>
      <c r="Q444" s="87">
        <v>30</v>
      </c>
      <c r="R444" s="82"/>
      <c r="S444" s="239">
        <v>4607958079827</v>
      </c>
      <c r="T444" s="344">
        <v>24607958079821</v>
      </c>
      <c r="U444" s="46" t="s">
        <v>1874</v>
      </c>
      <c r="V444" s="46" t="s">
        <v>1874</v>
      </c>
      <c r="W444" s="258">
        <v>440</v>
      </c>
      <c r="X444" s="68">
        <v>115</v>
      </c>
      <c r="Y444" s="68">
        <v>45</v>
      </c>
      <c r="Z444" s="92">
        <v>0.54</v>
      </c>
      <c r="AA444" s="271">
        <v>7.0000000000000001E-3</v>
      </c>
      <c r="AB444" s="66">
        <f t="shared" ref="AB444" si="634">Z444+AA444</f>
        <v>0.54700000000000004</v>
      </c>
      <c r="AC444" s="59">
        <v>410</v>
      </c>
      <c r="AD444" s="60">
        <v>292</v>
      </c>
      <c r="AE444" s="60">
        <v>242</v>
      </c>
      <c r="AF444" s="194">
        <v>22</v>
      </c>
      <c r="AG444" s="117">
        <v>600000411</v>
      </c>
      <c r="AH444" s="105">
        <f>справочники!$C$102</f>
        <v>0.433</v>
      </c>
      <c r="AI444" s="61">
        <f t="shared" si="530"/>
        <v>11.88</v>
      </c>
      <c r="AJ444" s="122">
        <f t="shared" si="531"/>
        <v>12.467000000000001</v>
      </c>
      <c r="AK444" s="33">
        <v>8</v>
      </c>
      <c r="AL444" s="34">
        <v>6</v>
      </c>
      <c r="AM444" s="40">
        <f t="shared" ref="AM444" si="635">AK444*AL444</f>
        <v>48</v>
      </c>
      <c r="AN444" s="206">
        <f t="shared" ref="AN444" si="636">IF(D444="ШТ",кол_во_инд.__упак_к*итого_г_у,ROUNDDOWN(номин.вес_нетто_г_у__кг*итого_г_у,1))</f>
        <v>1056</v>
      </c>
      <c r="AO444" s="204">
        <f t="shared" si="548"/>
        <v>1597</v>
      </c>
    </row>
    <row r="445" spans="1:41" ht="81.599999999999994" customHeight="1" x14ac:dyDescent="0.2">
      <c r="A445" s="22">
        <f t="shared" si="547"/>
        <v>6507</v>
      </c>
      <c r="B445" s="116">
        <v>1001060746507</v>
      </c>
      <c r="C445" s="55" t="s">
        <v>581</v>
      </c>
      <c r="D445" s="87" t="s">
        <v>4</v>
      </c>
      <c r="E445" s="146" t="s">
        <v>373</v>
      </c>
      <c r="F445" s="112" t="s">
        <v>353</v>
      </c>
      <c r="G445" s="226" t="s">
        <v>2</v>
      </c>
      <c r="H445" s="140" t="s">
        <v>1118</v>
      </c>
      <c r="I445" s="155" t="s">
        <v>1065</v>
      </c>
      <c r="J445" s="150" t="s">
        <v>418</v>
      </c>
      <c r="K445" s="83" t="s">
        <v>1415</v>
      </c>
      <c r="L445" s="84">
        <v>13</v>
      </c>
      <c r="M445" s="85">
        <v>35</v>
      </c>
      <c r="N445" s="91">
        <v>2</v>
      </c>
      <c r="O445" s="88" t="s">
        <v>1416</v>
      </c>
      <c r="P445" s="113" t="s">
        <v>104</v>
      </c>
      <c r="Q445" s="87">
        <v>120</v>
      </c>
      <c r="R445" s="82" t="s">
        <v>51</v>
      </c>
      <c r="S445" s="237">
        <v>4607958074655</v>
      </c>
      <c r="T445" s="332">
        <v>24607958074659</v>
      </c>
      <c r="U445" s="46">
        <v>4607958074655</v>
      </c>
      <c r="V445" s="46">
        <v>24607958074659</v>
      </c>
      <c r="W445" s="258">
        <v>240</v>
      </c>
      <c r="X445" s="68">
        <v>65</v>
      </c>
      <c r="Y445" s="68">
        <v>44</v>
      </c>
      <c r="Z445" s="92">
        <v>0.25</v>
      </c>
      <c r="AA445" s="271">
        <v>5.0000000000000001E-3</v>
      </c>
      <c r="AB445" s="66">
        <f t="shared" si="533"/>
        <v>0.255</v>
      </c>
      <c r="AC445" s="67">
        <v>228</v>
      </c>
      <c r="AD445" s="68">
        <v>198</v>
      </c>
      <c r="AE445" s="68">
        <v>208</v>
      </c>
      <c r="AF445" s="194">
        <v>16</v>
      </c>
      <c r="AG445" s="117">
        <v>600000422</v>
      </c>
      <c r="AH445" s="105">
        <f>справочники!$C$105</f>
        <v>0.14099999999999999</v>
      </c>
      <c r="AI445" s="61">
        <f t="shared" si="530"/>
        <v>4</v>
      </c>
      <c r="AJ445" s="122">
        <f t="shared" si="531"/>
        <v>4.2210000000000001</v>
      </c>
      <c r="AK445" s="33">
        <v>20</v>
      </c>
      <c r="AL445" s="34">
        <v>7</v>
      </c>
      <c r="AM445" s="40">
        <f t="shared" ref="AM445:AM446" si="637">AK445*AL445</f>
        <v>140</v>
      </c>
      <c r="AN445" s="206">
        <f t="shared" ref="AN445:AN446" si="638">IF(D445="ШТ",кол_во_инд.__упак_к*итого_г_у,ROUNDDOWN(номин.вес_нетто_г_у__кг*итого_г_у,1))</f>
        <v>2240</v>
      </c>
      <c r="AO445" s="204">
        <f t="shared" si="548"/>
        <v>1601</v>
      </c>
    </row>
    <row r="446" spans="1:41" ht="140.25" x14ac:dyDescent="0.2">
      <c r="A446" s="22">
        <f t="shared" si="547"/>
        <v>7147</v>
      </c>
      <c r="B446" s="116">
        <v>1001063237147</v>
      </c>
      <c r="C446" s="55" t="s">
        <v>1119</v>
      </c>
      <c r="D446" s="87" t="s">
        <v>4</v>
      </c>
      <c r="E446" s="146" t="s">
        <v>373</v>
      </c>
      <c r="F446" s="112" t="s">
        <v>353</v>
      </c>
      <c r="G446" s="226" t="s">
        <v>2</v>
      </c>
      <c r="H446" s="87" t="s">
        <v>278</v>
      </c>
      <c r="I446" s="155" t="s">
        <v>973</v>
      </c>
      <c r="J446" s="150" t="s">
        <v>418</v>
      </c>
      <c r="K446" s="51" t="s">
        <v>1391</v>
      </c>
      <c r="L446" s="52">
        <v>23</v>
      </c>
      <c r="M446" s="53">
        <v>41</v>
      </c>
      <c r="N446" s="54">
        <v>2</v>
      </c>
      <c r="O446" s="88" t="s">
        <v>1392</v>
      </c>
      <c r="P446" s="113" t="s">
        <v>104</v>
      </c>
      <c r="Q446" s="87">
        <v>120</v>
      </c>
      <c r="R446" s="82" t="s">
        <v>51</v>
      </c>
      <c r="S446" s="237">
        <v>4607958079063</v>
      </c>
      <c r="T446" s="332">
        <v>14607958079060</v>
      </c>
      <c r="U446" s="46">
        <v>4607958079063</v>
      </c>
      <c r="V446" s="46">
        <v>14607958079060</v>
      </c>
      <c r="W446" s="258">
        <v>240</v>
      </c>
      <c r="X446" s="68">
        <v>65</v>
      </c>
      <c r="Y446" s="68">
        <v>44</v>
      </c>
      <c r="Z446" s="92">
        <v>0.22</v>
      </c>
      <c r="AA446" s="271">
        <v>5.0000000000000001E-3</v>
      </c>
      <c r="AB446" s="66">
        <f t="shared" ref="AB446:AB448" si="639">Z446+AA446</f>
        <v>0.22500000000000001</v>
      </c>
      <c r="AC446" s="67">
        <v>218</v>
      </c>
      <c r="AD446" s="68">
        <v>193</v>
      </c>
      <c r="AE446" s="68">
        <v>108</v>
      </c>
      <c r="AF446" s="194">
        <v>8</v>
      </c>
      <c r="AG446" s="117">
        <v>600000150</v>
      </c>
      <c r="AH446" s="105">
        <f>справочники!$C$43</f>
        <v>8.5999999999999993E-2</v>
      </c>
      <c r="AI446" s="61">
        <f t="shared" si="530"/>
        <v>1.76</v>
      </c>
      <c r="AJ446" s="122">
        <f t="shared" si="531"/>
        <v>1.8860000000000001</v>
      </c>
      <c r="AK446" s="33">
        <v>20</v>
      </c>
      <c r="AL446" s="34">
        <v>14</v>
      </c>
      <c r="AM446" s="40">
        <f t="shared" si="637"/>
        <v>280</v>
      </c>
      <c r="AN446" s="206">
        <f t="shared" si="638"/>
        <v>2240</v>
      </c>
      <c r="AO446" s="204">
        <f t="shared" si="548"/>
        <v>1657</v>
      </c>
    </row>
    <row r="447" spans="1:41" ht="140.25" x14ac:dyDescent="0.2">
      <c r="A447" s="22">
        <f t="shared" si="547"/>
        <v>7465</v>
      </c>
      <c r="B447" s="116">
        <v>1001063237465</v>
      </c>
      <c r="C447" s="55" t="s">
        <v>1539</v>
      </c>
      <c r="D447" s="87" t="s">
        <v>4</v>
      </c>
      <c r="E447" s="146" t="s">
        <v>373</v>
      </c>
      <c r="F447" s="112" t="s">
        <v>353</v>
      </c>
      <c r="G447" s="226" t="s">
        <v>2</v>
      </c>
      <c r="H447" s="87" t="s">
        <v>278</v>
      </c>
      <c r="I447" s="155" t="s">
        <v>973</v>
      </c>
      <c r="J447" s="150" t="s">
        <v>418</v>
      </c>
      <c r="K447" s="51" t="s">
        <v>1391</v>
      </c>
      <c r="L447" s="52">
        <v>23</v>
      </c>
      <c r="M447" s="53">
        <v>41</v>
      </c>
      <c r="N447" s="54">
        <v>2</v>
      </c>
      <c r="O447" s="88" t="s">
        <v>1392</v>
      </c>
      <c r="P447" s="113" t="s">
        <v>104</v>
      </c>
      <c r="Q447" s="87">
        <v>120</v>
      </c>
      <c r="R447" s="82" t="s">
        <v>51</v>
      </c>
      <c r="S447" s="237">
        <v>4607958079063</v>
      </c>
      <c r="T447" s="332">
        <v>14607958079060</v>
      </c>
      <c r="U447" s="46">
        <v>4607958079063</v>
      </c>
      <c r="V447" s="46">
        <v>14607958079060</v>
      </c>
      <c r="W447" s="258">
        <v>240</v>
      </c>
      <c r="X447" s="68">
        <v>65</v>
      </c>
      <c r="Y447" s="68">
        <v>44</v>
      </c>
      <c r="Z447" s="92">
        <v>0.22</v>
      </c>
      <c r="AA447" s="271">
        <v>5.0000000000000001E-3</v>
      </c>
      <c r="AB447" s="66">
        <f t="shared" ref="AB447" si="640">Z447+AA447</f>
        <v>0.22500000000000001</v>
      </c>
      <c r="AC447" s="67">
        <v>218</v>
      </c>
      <c r="AD447" s="68">
        <v>193</v>
      </c>
      <c r="AE447" s="68">
        <v>108</v>
      </c>
      <c r="AF447" s="194">
        <v>8</v>
      </c>
      <c r="AG447" s="117">
        <v>600000150</v>
      </c>
      <c r="AH447" s="105">
        <f>справочники!$C$43</f>
        <v>8.5999999999999993E-2</v>
      </c>
      <c r="AI447" s="61">
        <f t="shared" si="530"/>
        <v>1.76</v>
      </c>
      <c r="AJ447" s="122">
        <f t="shared" si="531"/>
        <v>1.8860000000000001</v>
      </c>
      <c r="AK447" s="33">
        <v>20</v>
      </c>
      <c r="AL447" s="34">
        <v>14</v>
      </c>
      <c r="AM447" s="40">
        <f t="shared" ref="AM447" si="641">AK447*AL447</f>
        <v>280</v>
      </c>
      <c r="AN447" s="206">
        <f t="shared" ref="AN447" si="642">IF(D447="ШТ",кол_во_инд.__упак_к*итого_г_у,ROUNDDOWN(номин.вес_нетто_г_у__кг*итого_г_у,1))</f>
        <v>2240</v>
      </c>
      <c r="AO447" s="204">
        <f t="shared" si="548"/>
        <v>1657</v>
      </c>
    </row>
    <row r="448" spans="1:41" ht="140.25" x14ac:dyDescent="0.2">
      <c r="A448" s="22">
        <f t="shared" si="547"/>
        <v>7324</v>
      </c>
      <c r="B448" s="116">
        <v>1001063237324</v>
      </c>
      <c r="C448" s="48" t="s">
        <v>1295</v>
      </c>
      <c r="D448" s="49" t="s">
        <v>3</v>
      </c>
      <c r="E448" s="146" t="s">
        <v>373</v>
      </c>
      <c r="F448" s="112" t="s">
        <v>353</v>
      </c>
      <c r="G448" s="226" t="s">
        <v>2</v>
      </c>
      <c r="H448" s="49" t="s">
        <v>278</v>
      </c>
      <c r="I448" s="155" t="s">
        <v>973</v>
      </c>
      <c r="J448" s="150" t="s">
        <v>418</v>
      </c>
      <c r="K448" s="51" t="s">
        <v>1391</v>
      </c>
      <c r="L448" s="52">
        <v>23</v>
      </c>
      <c r="M448" s="53">
        <v>41</v>
      </c>
      <c r="N448" s="54">
        <v>2</v>
      </c>
      <c r="O448" s="88" t="s">
        <v>1392</v>
      </c>
      <c r="P448" s="113" t="s">
        <v>106</v>
      </c>
      <c r="Q448" s="49">
        <v>120</v>
      </c>
      <c r="R448" s="56" t="s">
        <v>52</v>
      </c>
      <c r="S448" s="243">
        <v>2800551000003</v>
      </c>
      <c r="T448" s="340">
        <v>12800551000000</v>
      </c>
      <c r="U448" s="46" t="s">
        <v>1874</v>
      </c>
      <c r="V448" s="46" t="s">
        <v>1874</v>
      </c>
      <c r="W448" s="93"/>
      <c r="X448" s="68"/>
      <c r="Y448" s="68"/>
      <c r="Z448" s="65">
        <v>13.2</v>
      </c>
      <c r="AA448" s="271">
        <v>6.5000000000000002E-2</v>
      </c>
      <c r="AB448" s="66">
        <f t="shared" si="639"/>
        <v>13.264999999999999</v>
      </c>
      <c r="AC448" s="59">
        <v>388</v>
      </c>
      <c r="AD448" s="60">
        <v>292</v>
      </c>
      <c r="AE448" s="60">
        <v>240</v>
      </c>
      <c r="AF448" s="191">
        <v>1</v>
      </c>
      <c r="AG448" s="117">
        <v>600000017</v>
      </c>
      <c r="AH448" s="103">
        <f>справочники!$C$9</f>
        <v>0.34899999999999998</v>
      </c>
      <c r="AI448" s="62">
        <f t="shared" si="530"/>
        <v>13.2</v>
      </c>
      <c r="AJ448" s="122">
        <f t="shared" si="531"/>
        <v>13.613999999999999</v>
      </c>
      <c r="AK448" s="37">
        <v>8</v>
      </c>
      <c r="AL448" s="38">
        <v>5</v>
      </c>
      <c r="AM448" s="40">
        <f t="shared" ref="AM448:AM449" si="643">AK448*AL448</f>
        <v>40</v>
      </c>
      <c r="AN448" s="272">
        <f t="shared" ref="AN448:AN449" si="644">IF(D448="ШТ",кол_во_инд.__упак_к*итого_г_у,ROUNDDOWN(номин.вес_нетто_г_у__кг*итого_г_у,1))</f>
        <v>528</v>
      </c>
      <c r="AO448" s="204">
        <f t="shared" si="548"/>
        <v>1345</v>
      </c>
    </row>
    <row r="449" spans="1:41" ht="306" x14ac:dyDescent="0.2">
      <c r="A449" s="22">
        <f t="shared" si="547"/>
        <v>7417</v>
      </c>
      <c r="B449" s="116">
        <v>1001307147417</v>
      </c>
      <c r="C449" s="55" t="s">
        <v>1515</v>
      </c>
      <c r="D449" s="87" t="s">
        <v>4</v>
      </c>
      <c r="E449" s="146" t="s">
        <v>373</v>
      </c>
      <c r="F449" s="112" t="s">
        <v>353</v>
      </c>
      <c r="G449" s="226" t="s">
        <v>2</v>
      </c>
      <c r="H449" s="87" t="s">
        <v>278</v>
      </c>
      <c r="I449" s="155" t="s">
        <v>1001</v>
      </c>
      <c r="J449" s="150" t="s">
        <v>418</v>
      </c>
      <c r="K449" s="51" t="s">
        <v>1520</v>
      </c>
      <c r="L449" s="110" t="s">
        <v>1516</v>
      </c>
      <c r="M449" s="111" t="s">
        <v>1517</v>
      </c>
      <c r="N449" s="327" t="s">
        <v>1518</v>
      </c>
      <c r="O449" s="328" t="s">
        <v>1519</v>
      </c>
      <c r="P449" s="113" t="s">
        <v>104</v>
      </c>
      <c r="Q449" s="87">
        <v>90</v>
      </c>
      <c r="R449" s="82" t="s">
        <v>51</v>
      </c>
      <c r="S449" s="237">
        <v>4630362180636</v>
      </c>
      <c r="T449" s="332">
        <v>14630362180633</v>
      </c>
      <c r="U449" s="46">
        <v>4630362180636</v>
      </c>
      <c r="V449" s="46">
        <v>14630362180633</v>
      </c>
      <c r="W449" s="258">
        <v>200</v>
      </c>
      <c r="X449" s="68">
        <v>100</v>
      </c>
      <c r="Y449" s="68">
        <v>45</v>
      </c>
      <c r="Z449" s="92">
        <v>0.44</v>
      </c>
      <c r="AA449" s="271">
        <v>3.5999999999999997E-2</v>
      </c>
      <c r="AB449" s="66">
        <f t="shared" ref="AB449" si="645">Z449+AA449</f>
        <v>0.47599999999999998</v>
      </c>
      <c r="AC449" s="59">
        <v>218</v>
      </c>
      <c r="AD449" s="60">
        <v>193</v>
      </c>
      <c r="AE449" s="60">
        <v>108</v>
      </c>
      <c r="AF449" s="194">
        <v>4</v>
      </c>
      <c r="AG449" s="117">
        <v>600000150</v>
      </c>
      <c r="AH449" s="105">
        <f>справочники!$C$43</f>
        <v>8.5999999999999993E-2</v>
      </c>
      <c r="AI449" s="61">
        <f t="shared" si="530"/>
        <v>1.76</v>
      </c>
      <c r="AJ449" s="122">
        <f t="shared" si="531"/>
        <v>1.99</v>
      </c>
      <c r="AK449" s="33">
        <v>20</v>
      </c>
      <c r="AL449" s="34">
        <v>14</v>
      </c>
      <c r="AM449" s="40">
        <f t="shared" si="643"/>
        <v>280</v>
      </c>
      <c r="AN449" s="206">
        <f t="shared" si="644"/>
        <v>1120</v>
      </c>
      <c r="AO449" s="204">
        <f t="shared" si="548"/>
        <v>1657</v>
      </c>
    </row>
    <row r="450" spans="1:41" ht="165.75" x14ac:dyDescent="0.2">
      <c r="A450" s="22">
        <f t="shared" si="547"/>
        <v>7339</v>
      </c>
      <c r="B450" s="116">
        <v>1001066857339</v>
      </c>
      <c r="C450" s="48" t="s">
        <v>1306</v>
      </c>
      <c r="D450" s="49" t="s">
        <v>4</v>
      </c>
      <c r="E450" s="146" t="s">
        <v>373</v>
      </c>
      <c r="F450" s="112" t="s">
        <v>353</v>
      </c>
      <c r="G450" s="224" t="s">
        <v>6</v>
      </c>
      <c r="H450" s="49" t="s">
        <v>1</v>
      </c>
      <c r="I450" s="155" t="s">
        <v>1940</v>
      </c>
      <c r="J450" s="150" t="s">
        <v>418</v>
      </c>
      <c r="K450" s="51" t="s">
        <v>2020</v>
      </c>
      <c r="L450" s="52">
        <v>17</v>
      </c>
      <c r="M450" s="53">
        <v>41</v>
      </c>
      <c r="N450" s="54">
        <v>7</v>
      </c>
      <c r="O450" s="88" t="s">
        <v>2021</v>
      </c>
      <c r="P450" s="113" t="s">
        <v>104</v>
      </c>
      <c r="Q450" s="49">
        <v>120</v>
      </c>
      <c r="R450" s="82" t="s">
        <v>51</v>
      </c>
      <c r="S450" s="243">
        <v>4607958079865</v>
      </c>
      <c r="T450" s="340">
        <v>14607958079862</v>
      </c>
      <c r="U450" s="46">
        <v>4607958079865</v>
      </c>
      <c r="V450" s="46">
        <v>14607958079862</v>
      </c>
      <c r="W450" s="93">
        <v>240</v>
      </c>
      <c r="X450" s="60">
        <v>65</v>
      </c>
      <c r="Y450" s="60">
        <v>44</v>
      </c>
      <c r="Z450" s="65">
        <v>0.25</v>
      </c>
      <c r="AA450" s="271">
        <v>5.0000000000000001E-3</v>
      </c>
      <c r="AB450" s="66">
        <f>Z450+AA450</f>
        <v>0.255</v>
      </c>
      <c r="AC450" s="59">
        <v>218</v>
      </c>
      <c r="AD450" s="60">
        <v>193</v>
      </c>
      <c r="AE450" s="60">
        <v>108</v>
      </c>
      <c r="AF450" s="191">
        <v>8</v>
      </c>
      <c r="AG450" s="117">
        <v>600000150</v>
      </c>
      <c r="AH450" s="104">
        <f>справочники!$C$43</f>
        <v>8.5999999999999993E-2</v>
      </c>
      <c r="AI450" s="61">
        <f t="shared" si="530"/>
        <v>2</v>
      </c>
      <c r="AJ450" s="122">
        <f t="shared" si="531"/>
        <v>2.1259999999999999</v>
      </c>
      <c r="AK450" s="33">
        <v>20</v>
      </c>
      <c r="AL450" s="34">
        <v>14</v>
      </c>
      <c r="AM450" s="40">
        <f>AK450*AL450</f>
        <v>280</v>
      </c>
      <c r="AN450" s="206">
        <f>IF(D450="ШТ",кол_во_инд.__упак_к*итого_г_у,ROUNDDOWN(номин.вес_нетто_г_у__кг*итого_г_у,1))</f>
        <v>2240</v>
      </c>
      <c r="AO450" s="204">
        <f t="shared" si="548"/>
        <v>1657</v>
      </c>
    </row>
    <row r="451" spans="1:41" ht="153" x14ac:dyDescent="0.2">
      <c r="A451" s="22">
        <f t="shared" si="547"/>
        <v>3287</v>
      </c>
      <c r="B451" s="116">
        <v>1001060763287</v>
      </c>
      <c r="C451" s="55" t="s">
        <v>172</v>
      </c>
      <c r="D451" s="87" t="s">
        <v>3</v>
      </c>
      <c r="E451" s="146" t="s">
        <v>373</v>
      </c>
      <c r="F451" s="112" t="s">
        <v>353</v>
      </c>
      <c r="G451" s="226" t="s">
        <v>2</v>
      </c>
      <c r="H451" s="87" t="s">
        <v>1</v>
      </c>
      <c r="I451" s="155" t="s">
        <v>1940</v>
      </c>
      <c r="J451" s="150" t="s">
        <v>418</v>
      </c>
      <c r="K451" s="83" t="s">
        <v>2025</v>
      </c>
      <c r="L451" s="84">
        <v>18</v>
      </c>
      <c r="M451" s="85">
        <v>42</v>
      </c>
      <c r="N451" s="91">
        <v>5</v>
      </c>
      <c r="O451" s="86" t="s">
        <v>2024</v>
      </c>
      <c r="P451" s="113" t="s">
        <v>106</v>
      </c>
      <c r="Q451" s="87">
        <v>120</v>
      </c>
      <c r="R451" s="82" t="s">
        <v>52</v>
      </c>
      <c r="S451" s="120">
        <v>2817960000005</v>
      </c>
      <c r="T451" s="342">
        <v>12817960000002</v>
      </c>
      <c r="U451" s="46">
        <v>4630362181855</v>
      </c>
      <c r="V451" s="46">
        <v>14630362181852</v>
      </c>
      <c r="W451" s="93">
        <v>405</v>
      </c>
      <c r="X451" s="60">
        <v>70</v>
      </c>
      <c r="Y451" s="60">
        <v>45</v>
      </c>
      <c r="Z451" s="65">
        <v>0.48799999999999999</v>
      </c>
      <c r="AA451" s="271">
        <v>0.01</v>
      </c>
      <c r="AB451" s="66">
        <f t="shared" si="533"/>
        <v>0.498</v>
      </c>
      <c r="AC451" s="59">
        <v>388</v>
      </c>
      <c r="AD451" s="60">
        <v>193</v>
      </c>
      <c r="AE451" s="60">
        <v>108</v>
      </c>
      <c r="AF451" s="191">
        <v>8</v>
      </c>
      <c r="AG451" s="117">
        <v>600000013</v>
      </c>
      <c r="AH451" s="104">
        <f>справочники!$C$5</f>
        <v>0.14099999999999999</v>
      </c>
      <c r="AI451" s="61">
        <f t="shared" si="530"/>
        <v>3.9</v>
      </c>
      <c r="AJ451" s="122">
        <f t="shared" si="531"/>
        <v>4.125</v>
      </c>
      <c r="AK451" s="33">
        <v>12</v>
      </c>
      <c r="AL451" s="34">
        <v>14</v>
      </c>
      <c r="AM451" s="40">
        <f t="shared" si="532"/>
        <v>168</v>
      </c>
      <c r="AN451" s="214">
        <f t="shared" si="534"/>
        <v>655.20000000000005</v>
      </c>
      <c r="AO451" s="204">
        <f t="shared" si="548"/>
        <v>1657</v>
      </c>
    </row>
    <row r="452" spans="1:41" ht="153" x14ac:dyDescent="0.2">
      <c r="A452" s="22">
        <f t="shared" ref="A452:A515" si="646">VALUE(RIGHT(B452,4))</f>
        <v>4993</v>
      </c>
      <c r="B452" s="116">
        <v>1001060764993</v>
      </c>
      <c r="C452" s="48" t="s">
        <v>179</v>
      </c>
      <c r="D452" s="49" t="s">
        <v>4</v>
      </c>
      <c r="E452" s="146" t="s">
        <v>373</v>
      </c>
      <c r="F452" s="112" t="s">
        <v>353</v>
      </c>
      <c r="G452" s="224" t="s">
        <v>2</v>
      </c>
      <c r="H452" s="49" t="s">
        <v>1</v>
      </c>
      <c r="I452" s="155" t="s">
        <v>1940</v>
      </c>
      <c r="J452" s="150" t="s">
        <v>418</v>
      </c>
      <c r="K452" s="83" t="s">
        <v>2025</v>
      </c>
      <c r="L452" s="84">
        <v>18</v>
      </c>
      <c r="M452" s="85">
        <v>42</v>
      </c>
      <c r="N452" s="91">
        <v>5</v>
      </c>
      <c r="O452" s="86" t="s">
        <v>2024</v>
      </c>
      <c r="P452" s="113" t="s">
        <v>104</v>
      </c>
      <c r="Q452" s="49">
        <v>120</v>
      </c>
      <c r="R452" s="82" t="s">
        <v>51</v>
      </c>
      <c r="S452" s="46">
        <v>4607958074884</v>
      </c>
      <c r="T452" s="46">
        <v>14607958074881</v>
      </c>
      <c r="U452" s="46">
        <v>4607958074884</v>
      </c>
      <c r="V452" s="46">
        <v>14607958074881</v>
      </c>
      <c r="W452" s="93">
        <v>240</v>
      </c>
      <c r="X452" s="60">
        <v>65</v>
      </c>
      <c r="Y452" s="60">
        <v>44</v>
      </c>
      <c r="Z452" s="65">
        <v>0.25</v>
      </c>
      <c r="AA452" s="271">
        <v>5.0000000000000001E-3</v>
      </c>
      <c r="AB452" s="66">
        <f t="shared" si="533"/>
        <v>0.255</v>
      </c>
      <c r="AC452" s="59">
        <v>218</v>
      </c>
      <c r="AD452" s="60">
        <v>193</v>
      </c>
      <c r="AE452" s="60">
        <v>108</v>
      </c>
      <c r="AF452" s="191">
        <v>8</v>
      </c>
      <c r="AG452" s="117">
        <v>600000150</v>
      </c>
      <c r="AH452" s="104">
        <f>справочники!$C$43</f>
        <v>8.5999999999999993E-2</v>
      </c>
      <c r="AI452" s="61">
        <f t="shared" ref="AI452:AI511" si="647">ROUNDDOWN(номин.вес_нетто__кг*кол_во_инд.__упак_к,2)</f>
        <v>2</v>
      </c>
      <c r="AJ452" s="122">
        <f t="shared" ref="AJ452:AJ511" si="648">(номин.вес_брутто__кг*кол_во_инд.__упак_к)+вес_короба__кг</f>
        <v>2.1259999999999999</v>
      </c>
      <c r="AK452" s="37">
        <v>20</v>
      </c>
      <c r="AL452" s="38">
        <v>14</v>
      </c>
      <c r="AM452" s="40">
        <f t="shared" ref="AM452:AM506" si="649">AK452*AL452</f>
        <v>280</v>
      </c>
      <c r="AN452" s="206">
        <f t="shared" si="534"/>
        <v>2240</v>
      </c>
      <c r="AO452" s="204">
        <f t="shared" si="548"/>
        <v>1657</v>
      </c>
    </row>
    <row r="453" spans="1:41" ht="153" x14ac:dyDescent="0.2">
      <c r="A453" s="22">
        <f t="shared" si="646"/>
        <v>5178</v>
      </c>
      <c r="B453" s="116">
        <v>1001060765178</v>
      </c>
      <c r="C453" s="48" t="s">
        <v>1016</v>
      </c>
      <c r="D453" s="49" t="s">
        <v>4</v>
      </c>
      <c r="E453" s="146" t="s">
        <v>373</v>
      </c>
      <c r="F453" s="112" t="s">
        <v>353</v>
      </c>
      <c r="G453" s="224" t="s">
        <v>2</v>
      </c>
      <c r="H453" s="49" t="s">
        <v>1</v>
      </c>
      <c r="I453" s="155" t="s">
        <v>1940</v>
      </c>
      <c r="J453" s="150" t="s">
        <v>418</v>
      </c>
      <c r="K453" s="83" t="s">
        <v>2025</v>
      </c>
      <c r="L453" s="84">
        <v>18</v>
      </c>
      <c r="M453" s="85">
        <v>42</v>
      </c>
      <c r="N453" s="91">
        <v>5</v>
      </c>
      <c r="O453" s="86" t="s">
        <v>2024</v>
      </c>
      <c r="P453" s="113" t="s">
        <v>104</v>
      </c>
      <c r="Q453" s="49">
        <v>120</v>
      </c>
      <c r="R453" s="82" t="s">
        <v>51</v>
      </c>
      <c r="S453" s="243">
        <v>4607958074884</v>
      </c>
      <c r="T453" s="340">
        <v>14607958074881</v>
      </c>
      <c r="U453" s="46">
        <v>4607958074884</v>
      </c>
      <c r="V453" s="46">
        <v>14607958074881</v>
      </c>
      <c r="W453" s="93">
        <v>240</v>
      </c>
      <c r="X453" s="60">
        <v>65</v>
      </c>
      <c r="Y453" s="60">
        <v>44</v>
      </c>
      <c r="Z453" s="65">
        <v>0.25</v>
      </c>
      <c r="AA453" s="271">
        <v>5.0000000000000001E-3</v>
      </c>
      <c r="AB453" s="66">
        <f>Z453+AA453</f>
        <v>0.255</v>
      </c>
      <c r="AC453" s="59">
        <v>218</v>
      </c>
      <c r="AD453" s="60">
        <v>193</v>
      </c>
      <c r="AE453" s="60">
        <v>108</v>
      </c>
      <c r="AF453" s="191">
        <v>8</v>
      </c>
      <c r="AG453" s="117">
        <v>600000150</v>
      </c>
      <c r="AH453" s="104">
        <f>справочники!$C$43</f>
        <v>8.5999999999999993E-2</v>
      </c>
      <c r="AI453" s="61">
        <f t="shared" si="647"/>
        <v>2</v>
      </c>
      <c r="AJ453" s="122">
        <f t="shared" si="648"/>
        <v>2.1259999999999999</v>
      </c>
      <c r="AK453" s="37">
        <v>20</v>
      </c>
      <c r="AL453" s="38">
        <v>14</v>
      </c>
      <c r="AM453" s="40">
        <f>AK453*AL453</f>
        <v>280</v>
      </c>
      <c r="AN453" s="206">
        <f>IF(D453="ШТ",кол_во_инд.__упак_к*итого_г_у,ROUNDDOWN(номин.вес_нетто_г_у__кг*итого_г_у,1))</f>
        <v>2240</v>
      </c>
      <c r="AO453" s="204">
        <f t="shared" si="548"/>
        <v>1657</v>
      </c>
    </row>
    <row r="454" spans="1:41" ht="153" x14ac:dyDescent="0.2">
      <c r="A454" s="22">
        <f t="shared" si="646"/>
        <v>5861</v>
      </c>
      <c r="B454" s="116">
        <v>1001060765861</v>
      </c>
      <c r="C454" s="48" t="s">
        <v>788</v>
      </c>
      <c r="D454" s="49" t="s">
        <v>4</v>
      </c>
      <c r="E454" s="146" t="s">
        <v>373</v>
      </c>
      <c r="F454" s="112" t="s">
        <v>353</v>
      </c>
      <c r="G454" s="224" t="s">
        <v>2</v>
      </c>
      <c r="H454" s="49" t="s">
        <v>1</v>
      </c>
      <c r="I454" s="155" t="s">
        <v>1940</v>
      </c>
      <c r="J454" s="150" t="s">
        <v>418</v>
      </c>
      <c r="K454" s="83" t="s">
        <v>2025</v>
      </c>
      <c r="L454" s="84">
        <v>18</v>
      </c>
      <c r="M454" s="85">
        <v>42</v>
      </c>
      <c r="N454" s="91">
        <v>5</v>
      </c>
      <c r="O454" s="86" t="s">
        <v>2024</v>
      </c>
      <c r="P454" s="113" t="s">
        <v>104</v>
      </c>
      <c r="Q454" s="49">
        <v>120</v>
      </c>
      <c r="R454" s="82" t="s">
        <v>51</v>
      </c>
      <c r="S454" s="243">
        <v>4601296009577</v>
      </c>
      <c r="T454" s="340">
        <v>14601296009574</v>
      </c>
      <c r="U454" s="46" t="s">
        <v>1874</v>
      </c>
      <c r="V454" s="46" t="s">
        <v>1874</v>
      </c>
      <c r="W454" s="93">
        <v>240</v>
      </c>
      <c r="X454" s="60">
        <v>65</v>
      </c>
      <c r="Y454" s="60">
        <v>44</v>
      </c>
      <c r="Z454" s="65">
        <v>0.25</v>
      </c>
      <c r="AA454" s="271">
        <v>5.0000000000000001E-3</v>
      </c>
      <c r="AB454" s="66">
        <f>Z454+AA454</f>
        <v>0.255</v>
      </c>
      <c r="AC454" s="59">
        <v>410</v>
      </c>
      <c r="AD454" s="60">
        <v>292</v>
      </c>
      <c r="AE454" s="60">
        <v>242</v>
      </c>
      <c r="AF454" s="191">
        <v>48</v>
      </c>
      <c r="AG454" s="117">
        <v>600000411</v>
      </c>
      <c r="AH454" s="104">
        <f>справочники!$C$102</f>
        <v>0.433</v>
      </c>
      <c r="AI454" s="61">
        <f t="shared" si="647"/>
        <v>12</v>
      </c>
      <c r="AJ454" s="122">
        <f t="shared" si="648"/>
        <v>12.673</v>
      </c>
      <c r="AK454" s="37">
        <v>8</v>
      </c>
      <c r="AL454" s="38">
        <v>6</v>
      </c>
      <c r="AM454" s="40">
        <f>AK454*AL454</f>
        <v>48</v>
      </c>
      <c r="AN454" s="206">
        <f>IF(D454="ШТ",кол_во_инд.__упак_к*итого_г_у,ROUNDDOWN(номин.вес_нетто_г_у__кг*итого_г_у,1))</f>
        <v>2304</v>
      </c>
      <c r="AO454" s="204">
        <f t="shared" si="548"/>
        <v>1597</v>
      </c>
    </row>
    <row r="455" spans="1:41" ht="127.5" x14ac:dyDescent="0.2">
      <c r="A455" s="22">
        <f t="shared" si="646"/>
        <v>5911</v>
      </c>
      <c r="B455" s="116">
        <v>1001060765911</v>
      </c>
      <c r="C455" s="48" t="s">
        <v>574</v>
      </c>
      <c r="D455" s="87" t="s">
        <v>3</v>
      </c>
      <c r="E455" s="146" t="s">
        <v>373</v>
      </c>
      <c r="F455" s="112" t="s">
        <v>353</v>
      </c>
      <c r="G455" s="226" t="s">
        <v>2</v>
      </c>
      <c r="H455" s="140" t="s">
        <v>1031</v>
      </c>
      <c r="I455" s="155" t="s">
        <v>398</v>
      </c>
      <c r="J455" s="150" t="s">
        <v>418</v>
      </c>
      <c r="K455" s="83" t="s">
        <v>1005</v>
      </c>
      <c r="L455" s="84">
        <v>16</v>
      </c>
      <c r="M455" s="85">
        <v>50</v>
      </c>
      <c r="N455" s="91"/>
      <c r="O455" s="88" t="s">
        <v>126</v>
      </c>
      <c r="P455" s="113" t="s">
        <v>106</v>
      </c>
      <c r="Q455" s="87">
        <v>120</v>
      </c>
      <c r="R455" s="82" t="s">
        <v>52</v>
      </c>
      <c r="S455" s="243">
        <v>2800630000009</v>
      </c>
      <c r="T455" s="340">
        <v>12800630000006</v>
      </c>
      <c r="U455" s="46" t="s">
        <v>1874</v>
      </c>
      <c r="V455" s="46" t="s">
        <v>1874</v>
      </c>
      <c r="W455" s="93"/>
      <c r="X455" s="60"/>
      <c r="Y455" s="60"/>
      <c r="Z455" s="65">
        <v>13.5</v>
      </c>
      <c r="AA455" s="271">
        <v>0.15</v>
      </c>
      <c r="AB455" s="66">
        <f t="shared" si="533"/>
        <v>13.65</v>
      </c>
      <c r="AC455" s="59">
        <v>938</v>
      </c>
      <c r="AD455" s="60">
        <v>178</v>
      </c>
      <c r="AE455" s="60">
        <v>178</v>
      </c>
      <c r="AF455" s="191">
        <v>1</v>
      </c>
      <c r="AG455" s="117">
        <v>600000313</v>
      </c>
      <c r="AH455" s="104">
        <f>справочники!$C$62</f>
        <v>0.53100000000000003</v>
      </c>
      <c r="AI455" s="61">
        <f t="shared" si="647"/>
        <v>13.5</v>
      </c>
      <c r="AJ455" s="122">
        <f t="shared" si="648"/>
        <v>14.181000000000001</v>
      </c>
      <c r="AK455" s="37">
        <v>4</v>
      </c>
      <c r="AL455" s="38">
        <v>6</v>
      </c>
      <c r="AM455" s="40">
        <f t="shared" si="649"/>
        <v>24</v>
      </c>
      <c r="AN455" s="272">
        <f t="shared" si="534"/>
        <v>324</v>
      </c>
      <c r="AO455" s="204">
        <f t="shared" si="548"/>
        <v>1213</v>
      </c>
    </row>
    <row r="456" spans="1:41" ht="153" x14ac:dyDescent="0.2">
      <c r="A456" s="22">
        <f t="shared" si="646"/>
        <v>7373</v>
      </c>
      <c r="B456" s="116">
        <v>1001060767373</v>
      </c>
      <c r="C456" s="48" t="s">
        <v>1388</v>
      </c>
      <c r="D456" s="49" t="s">
        <v>3</v>
      </c>
      <c r="E456" s="146" t="s">
        <v>373</v>
      </c>
      <c r="F456" s="112" t="s">
        <v>353</v>
      </c>
      <c r="G456" s="224" t="s">
        <v>2</v>
      </c>
      <c r="H456" s="49" t="s">
        <v>1</v>
      </c>
      <c r="I456" s="155" t="s">
        <v>1940</v>
      </c>
      <c r="J456" s="150" t="s">
        <v>418</v>
      </c>
      <c r="K456" s="83" t="s">
        <v>2025</v>
      </c>
      <c r="L456" s="84">
        <v>18</v>
      </c>
      <c r="M456" s="85">
        <v>42</v>
      </c>
      <c r="N456" s="91">
        <v>5</v>
      </c>
      <c r="O456" s="86" t="s">
        <v>2024</v>
      </c>
      <c r="P456" s="113" t="s">
        <v>106</v>
      </c>
      <c r="Q456" s="49">
        <v>120</v>
      </c>
      <c r="R456" s="82" t="s">
        <v>52</v>
      </c>
      <c r="S456" s="120">
        <v>2561351000005</v>
      </c>
      <c r="T456" s="342">
        <v>12561351000002</v>
      </c>
      <c r="U456" s="46">
        <v>4630362181855</v>
      </c>
      <c r="V456" s="46">
        <v>14630362181852</v>
      </c>
      <c r="W456" s="93">
        <v>405</v>
      </c>
      <c r="X456" s="60">
        <v>70</v>
      </c>
      <c r="Y456" s="60">
        <v>45</v>
      </c>
      <c r="Z456" s="65">
        <v>0.49399999999999999</v>
      </c>
      <c r="AA456" s="271">
        <v>0.01</v>
      </c>
      <c r="AB456" s="66">
        <f t="shared" ref="AB456" si="650">Z456+AA456</f>
        <v>0.504</v>
      </c>
      <c r="AC456" s="59">
        <v>388</v>
      </c>
      <c r="AD456" s="60">
        <v>193</v>
      </c>
      <c r="AE456" s="60">
        <v>108</v>
      </c>
      <c r="AF456" s="191">
        <v>8</v>
      </c>
      <c r="AG456" s="117">
        <v>600000013</v>
      </c>
      <c r="AH456" s="104">
        <f>справочники!$C$5</f>
        <v>0.14099999999999999</v>
      </c>
      <c r="AI456" s="61">
        <f t="shared" si="647"/>
        <v>3.95</v>
      </c>
      <c r="AJ456" s="122">
        <f t="shared" si="648"/>
        <v>4.173</v>
      </c>
      <c r="AK456" s="37">
        <v>12</v>
      </c>
      <c r="AL456" s="38">
        <v>14</v>
      </c>
      <c r="AM456" s="40">
        <f t="shared" ref="AM456" si="651">AK456*AL456</f>
        <v>168</v>
      </c>
      <c r="AN456" s="214">
        <f t="shared" ref="AN456" si="652">IF(D456="ШТ",кол_во_инд.__упак_к*итого_г_у,ROUNDDOWN(номин.вес_нетто_г_у__кг*итого_г_у,1))</f>
        <v>663.6</v>
      </c>
      <c r="AO456" s="204">
        <f t="shared" si="548"/>
        <v>1657</v>
      </c>
    </row>
    <row r="457" spans="1:41" ht="153" x14ac:dyDescent="0.2">
      <c r="A457" s="22">
        <f t="shared" si="646"/>
        <v>6187</v>
      </c>
      <c r="B457" s="116">
        <v>1001060766187</v>
      </c>
      <c r="C457" s="48" t="s">
        <v>313</v>
      </c>
      <c r="D457" s="49" t="s">
        <v>3</v>
      </c>
      <c r="E457" s="146" t="s">
        <v>373</v>
      </c>
      <c r="F457" s="112" t="s">
        <v>353</v>
      </c>
      <c r="G457" s="224" t="s">
        <v>2</v>
      </c>
      <c r="H457" s="49" t="s">
        <v>1</v>
      </c>
      <c r="I457" s="155" t="s">
        <v>1940</v>
      </c>
      <c r="J457" s="150" t="s">
        <v>418</v>
      </c>
      <c r="K457" s="83" t="s">
        <v>2025</v>
      </c>
      <c r="L457" s="84">
        <v>18</v>
      </c>
      <c r="M457" s="85">
        <v>42</v>
      </c>
      <c r="N457" s="91">
        <v>5</v>
      </c>
      <c r="O457" s="86" t="s">
        <v>2024</v>
      </c>
      <c r="P457" s="113" t="s">
        <v>106</v>
      </c>
      <c r="Q457" s="49">
        <v>120</v>
      </c>
      <c r="R457" s="82" t="s">
        <v>52</v>
      </c>
      <c r="S457" s="120">
        <v>2776810000001</v>
      </c>
      <c r="T457" s="342">
        <v>12776810000008</v>
      </c>
      <c r="U457" s="46">
        <v>4630362181855</v>
      </c>
      <c r="V457" s="46">
        <v>14630362181852</v>
      </c>
      <c r="W457" s="93">
        <v>405</v>
      </c>
      <c r="X457" s="60">
        <v>70</v>
      </c>
      <c r="Y457" s="60">
        <v>45</v>
      </c>
      <c r="Z457" s="65">
        <v>0.47499999999999998</v>
      </c>
      <c r="AA457" s="271">
        <v>0.01</v>
      </c>
      <c r="AB457" s="66">
        <f t="shared" si="533"/>
        <v>0.48499999999999999</v>
      </c>
      <c r="AC457" s="59">
        <v>388</v>
      </c>
      <c r="AD457" s="60">
        <v>193</v>
      </c>
      <c r="AE457" s="60">
        <v>108</v>
      </c>
      <c r="AF457" s="191">
        <v>8</v>
      </c>
      <c r="AG457" s="117">
        <v>600000013</v>
      </c>
      <c r="AH457" s="104">
        <f>справочники!$C$5</f>
        <v>0.14099999999999999</v>
      </c>
      <c r="AI457" s="61">
        <f t="shared" si="647"/>
        <v>3.8</v>
      </c>
      <c r="AJ457" s="122">
        <f t="shared" si="648"/>
        <v>4.0209999999999999</v>
      </c>
      <c r="AK457" s="37">
        <v>12</v>
      </c>
      <c r="AL457" s="38">
        <v>14</v>
      </c>
      <c r="AM457" s="40">
        <f t="shared" si="649"/>
        <v>168</v>
      </c>
      <c r="AN457" s="214">
        <f t="shared" si="534"/>
        <v>638.4</v>
      </c>
      <c r="AO457" s="204">
        <f t="shared" si="548"/>
        <v>1657</v>
      </c>
    </row>
    <row r="458" spans="1:41" ht="153" x14ac:dyDescent="0.2">
      <c r="A458" s="22">
        <f t="shared" si="646"/>
        <v>4082</v>
      </c>
      <c r="B458" s="116">
        <v>1001060764082</v>
      </c>
      <c r="C458" s="48" t="s">
        <v>174</v>
      </c>
      <c r="D458" s="49" t="s">
        <v>3</v>
      </c>
      <c r="E458" s="146" t="s">
        <v>373</v>
      </c>
      <c r="F458" s="112" t="s">
        <v>353</v>
      </c>
      <c r="G458" s="224" t="s">
        <v>2</v>
      </c>
      <c r="H458" s="49" t="s">
        <v>1</v>
      </c>
      <c r="I458" s="155" t="s">
        <v>1940</v>
      </c>
      <c r="J458" s="150" t="s">
        <v>418</v>
      </c>
      <c r="K458" s="83" t="s">
        <v>2025</v>
      </c>
      <c r="L458" s="84">
        <v>18</v>
      </c>
      <c r="M458" s="85">
        <v>42</v>
      </c>
      <c r="N458" s="91">
        <v>5</v>
      </c>
      <c r="O458" s="86" t="s">
        <v>2024</v>
      </c>
      <c r="P458" s="113" t="s">
        <v>106</v>
      </c>
      <c r="Q458" s="49">
        <v>120</v>
      </c>
      <c r="R458" s="56" t="s">
        <v>52</v>
      </c>
      <c r="S458" s="120">
        <v>2817960000005</v>
      </c>
      <c r="T458" s="342">
        <v>12817960000002</v>
      </c>
      <c r="U458" s="46">
        <v>4630362181855</v>
      </c>
      <c r="V458" s="46">
        <v>14630362181852</v>
      </c>
      <c r="W458" s="93">
        <v>405</v>
      </c>
      <c r="X458" s="68">
        <v>70</v>
      </c>
      <c r="Y458" s="68">
        <v>45</v>
      </c>
      <c r="Z458" s="65">
        <v>0.48799999999999999</v>
      </c>
      <c r="AA458" s="271">
        <v>0.01</v>
      </c>
      <c r="AB458" s="66">
        <f t="shared" si="533"/>
        <v>0.498</v>
      </c>
      <c r="AC458" s="59">
        <v>388</v>
      </c>
      <c r="AD458" s="60">
        <v>193</v>
      </c>
      <c r="AE458" s="60">
        <v>108</v>
      </c>
      <c r="AF458" s="191">
        <v>8</v>
      </c>
      <c r="AG458" s="117">
        <v>600000013</v>
      </c>
      <c r="AH458" s="104">
        <f>справочники!$C$5</f>
        <v>0.14099999999999999</v>
      </c>
      <c r="AI458" s="62">
        <f t="shared" si="647"/>
        <v>3.9</v>
      </c>
      <c r="AJ458" s="122">
        <f t="shared" si="648"/>
        <v>4.125</v>
      </c>
      <c r="AK458" s="37">
        <v>12</v>
      </c>
      <c r="AL458" s="38">
        <v>14</v>
      </c>
      <c r="AM458" s="40">
        <f t="shared" si="649"/>
        <v>168</v>
      </c>
      <c r="AN458" s="214">
        <f t="shared" si="534"/>
        <v>655.20000000000005</v>
      </c>
      <c r="AO458" s="204">
        <f t="shared" si="548"/>
        <v>1657</v>
      </c>
    </row>
    <row r="459" spans="1:41" ht="153" x14ac:dyDescent="0.2">
      <c r="A459" s="22">
        <f t="shared" si="646"/>
        <v>3382</v>
      </c>
      <c r="B459" s="116">
        <v>1001060763382</v>
      </c>
      <c r="C459" s="48" t="s">
        <v>173</v>
      </c>
      <c r="D459" s="49" t="s">
        <v>3</v>
      </c>
      <c r="E459" s="146" t="s">
        <v>373</v>
      </c>
      <c r="F459" s="112" t="s">
        <v>353</v>
      </c>
      <c r="G459" s="224" t="s">
        <v>2</v>
      </c>
      <c r="H459" s="49" t="s">
        <v>1</v>
      </c>
      <c r="I459" s="155" t="s">
        <v>1940</v>
      </c>
      <c r="J459" s="150" t="s">
        <v>418</v>
      </c>
      <c r="K459" s="83" t="s">
        <v>2025</v>
      </c>
      <c r="L459" s="84">
        <v>18</v>
      </c>
      <c r="M459" s="85">
        <v>42</v>
      </c>
      <c r="N459" s="91">
        <v>5</v>
      </c>
      <c r="O459" s="86" t="s">
        <v>2024</v>
      </c>
      <c r="P459" s="113" t="s">
        <v>106</v>
      </c>
      <c r="Q459" s="49">
        <v>120</v>
      </c>
      <c r="R459" s="82" t="s">
        <v>52</v>
      </c>
      <c r="S459" s="239">
        <v>2914062000008</v>
      </c>
      <c r="T459" s="344">
        <v>12914062000005</v>
      </c>
      <c r="U459" s="46">
        <v>4630362181855</v>
      </c>
      <c r="V459" s="46">
        <v>14630362181852</v>
      </c>
      <c r="W459" s="258">
        <v>405</v>
      </c>
      <c r="X459" s="68">
        <v>70</v>
      </c>
      <c r="Y459" s="60">
        <v>45</v>
      </c>
      <c r="Z459" s="65">
        <v>0.48799999999999999</v>
      </c>
      <c r="AA459" s="271">
        <v>0.01</v>
      </c>
      <c r="AB459" s="66">
        <f t="shared" si="533"/>
        <v>0.498</v>
      </c>
      <c r="AC459" s="59">
        <v>388</v>
      </c>
      <c r="AD459" s="60">
        <v>193</v>
      </c>
      <c r="AE459" s="60">
        <v>108</v>
      </c>
      <c r="AF459" s="191">
        <v>8</v>
      </c>
      <c r="AG459" s="117">
        <v>600000013</v>
      </c>
      <c r="AH459" s="104">
        <f>справочники!$C$5</f>
        <v>0.14099999999999999</v>
      </c>
      <c r="AI459" s="61">
        <f t="shared" si="647"/>
        <v>3.9</v>
      </c>
      <c r="AJ459" s="122">
        <f t="shared" si="648"/>
        <v>4.125</v>
      </c>
      <c r="AK459" s="37">
        <v>12</v>
      </c>
      <c r="AL459" s="38">
        <v>14</v>
      </c>
      <c r="AM459" s="40">
        <f t="shared" si="649"/>
        <v>168</v>
      </c>
      <c r="AN459" s="214">
        <f t="shared" si="534"/>
        <v>655.20000000000005</v>
      </c>
      <c r="AO459" s="204">
        <f t="shared" si="548"/>
        <v>1657</v>
      </c>
    </row>
    <row r="460" spans="1:41" ht="153" x14ac:dyDescent="0.2">
      <c r="A460" s="22">
        <f t="shared" si="646"/>
        <v>5041</v>
      </c>
      <c r="B460" s="116">
        <v>1001060765041</v>
      </c>
      <c r="C460" s="48" t="s">
        <v>336</v>
      </c>
      <c r="D460" s="49" t="s">
        <v>3</v>
      </c>
      <c r="E460" s="146" t="s">
        <v>373</v>
      </c>
      <c r="F460" s="112" t="s">
        <v>353</v>
      </c>
      <c r="G460" s="224" t="s">
        <v>2</v>
      </c>
      <c r="H460" s="49" t="s">
        <v>1</v>
      </c>
      <c r="I460" s="154" t="s">
        <v>1940</v>
      </c>
      <c r="J460" s="151" t="s">
        <v>418</v>
      </c>
      <c r="K460" s="83" t="s">
        <v>2025</v>
      </c>
      <c r="L460" s="84">
        <v>18</v>
      </c>
      <c r="M460" s="85">
        <v>42</v>
      </c>
      <c r="N460" s="91">
        <v>5</v>
      </c>
      <c r="O460" s="86" t="s">
        <v>2024</v>
      </c>
      <c r="P460" s="113" t="s">
        <v>106</v>
      </c>
      <c r="Q460" s="87">
        <v>120</v>
      </c>
      <c r="R460" s="82" t="s">
        <v>52</v>
      </c>
      <c r="S460" s="239">
        <v>2800630000009</v>
      </c>
      <c r="T460" s="344">
        <v>12800630000006</v>
      </c>
      <c r="U460" s="46" t="s">
        <v>1874</v>
      </c>
      <c r="V460" s="46" t="s">
        <v>1874</v>
      </c>
      <c r="W460" s="258">
        <v>405</v>
      </c>
      <c r="X460" s="68">
        <v>70</v>
      </c>
      <c r="Y460" s="68">
        <v>45</v>
      </c>
      <c r="Z460" s="65">
        <v>0.52500000000000002</v>
      </c>
      <c r="AA460" s="271">
        <v>0.01</v>
      </c>
      <c r="AB460" s="66">
        <f t="shared" si="533"/>
        <v>0.53500000000000003</v>
      </c>
      <c r="AC460" s="59">
        <v>410</v>
      </c>
      <c r="AD460" s="60">
        <v>292</v>
      </c>
      <c r="AE460" s="60">
        <v>242</v>
      </c>
      <c r="AF460" s="191">
        <v>30</v>
      </c>
      <c r="AG460" s="117">
        <v>600000411</v>
      </c>
      <c r="AH460" s="104">
        <f>справочники!$C$102</f>
        <v>0.433</v>
      </c>
      <c r="AI460" s="61">
        <f t="shared" si="647"/>
        <v>15.75</v>
      </c>
      <c r="AJ460" s="122">
        <f t="shared" si="648"/>
        <v>16.483000000000001</v>
      </c>
      <c r="AK460" s="37">
        <v>8</v>
      </c>
      <c r="AL460" s="38">
        <v>6</v>
      </c>
      <c r="AM460" s="40">
        <f t="shared" si="649"/>
        <v>48</v>
      </c>
      <c r="AN460" s="214">
        <f t="shared" ref="AN460:AN496" si="653">IF(D460="ШТ",кол_во_инд.__упак_к*итого_г_у,ROUNDDOWN(номин.вес_нетто_г_у__кг*итого_г_у,1))</f>
        <v>756</v>
      </c>
      <c r="AO460" s="204">
        <f t="shared" si="548"/>
        <v>1597</v>
      </c>
    </row>
    <row r="461" spans="1:41" ht="91.5" customHeight="1" x14ac:dyDescent="0.2">
      <c r="A461" s="22">
        <f t="shared" si="646"/>
        <v>4621</v>
      </c>
      <c r="B461" s="116">
        <v>1001060784621</v>
      </c>
      <c r="C461" s="80" t="s">
        <v>177</v>
      </c>
      <c r="D461" s="81" t="s">
        <v>3</v>
      </c>
      <c r="E461" s="146" t="s">
        <v>373</v>
      </c>
      <c r="F461" s="112" t="s">
        <v>353</v>
      </c>
      <c r="G461" s="224" t="s">
        <v>2</v>
      </c>
      <c r="H461" s="49" t="s">
        <v>1</v>
      </c>
      <c r="I461" s="155" t="s">
        <v>1940</v>
      </c>
      <c r="J461" s="150" t="s">
        <v>418</v>
      </c>
      <c r="K461" s="83" t="s">
        <v>2026</v>
      </c>
      <c r="L461" s="84">
        <v>17</v>
      </c>
      <c r="M461" s="85">
        <v>40</v>
      </c>
      <c r="N461" s="91">
        <v>6</v>
      </c>
      <c r="O461" s="86" t="s">
        <v>2027</v>
      </c>
      <c r="P461" s="113" t="s">
        <v>106</v>
      </c>
      <c r="Q461" s="49">
        <v>120</v>
      </c>
      <c r="R461" s="56" t="s">
        <v>52</v>
      </c>
      <c r="S461" s="120">
        <v>2552285000001</v>
      </c>
      <c r="T461" s="342">
        <v>12552285000008</v>
      </c>
      <c r="U461" s="46">
        <v>4630362181862</v>
      </c>
      <c r="V461" s="46">
        <v>14630362181869</v>
      </c>
      <c r="W461" s="93">
        <v>405</v>
      </c>
      <c r="X461" s="68">
        <v>70</v>
      </c>
      <c r="Y461" s="68">
        <v>45</v>
      </c>
      <c r="Z461" s="65">
        <v>0.48799999999999999</v>
      </c>
      <c r="AA461" s="271">
        <v>0.01</v>
      </c>
      <c r="AB461" s="66">
        <f t="shared" si="533"/>
        <v>0.498</v>
      </c>
      <c r="AC461" s="59">
        <v>388</v>
      </c>
      <c r="AD461" s="60">
        <v>193</v>
      </c>
      <c r="AE461" s="60">
        <v>108</v>
      </c>
      <c r="AF461" s="191">
        <v>8</v>
      </c>
      <c r="AG461" s="117">
        <v>600000013</v>
      </c>
      <c r="AH461" s="104">
        <f>справочники!$C$5</f>
        <v>0.14099999999999999</v>
      </c>
      <c r="AI461" s="62">
        <f t="shared" si="647"/>
        <v>3.9</v>
      </c>
      <c r="AJ461" s="122">
        <f t="shared" si="648"/>
        <v>4.125</v>
      </c>
      <c r="AK461" s="37">
        <v>12</v>
      </c>
      <c r="AL461" s="38">
        <v>14</v>
      </c>
      <c r="AM461" s="40">
        <f t="shared" si="649"/>
        <v>168</v>
      </c>
      <c r="AN461" s="214">
        <f t="shared" si="653"/>
        <v>655.20000000000005</v>
      </c>
      <c r="AO461" s="204">
        <f t="shared" si="548"/>
        <v>1657</v>
      </c>
    </row>
    <row r="462" spans="1:41" ht="90.75" customHeight="1" x14ac:dyDescent="0.2">
      <c r="A462" s="22">
        <f t="shared" si="646"/>
        <v>7352</v>
      </c>
      <c r="B462" s="116">
        <v>1001063117352</v>
      </c>
      <c r="C462" s="48" t="s">
        <v>1349</v>
      </c>
      <c r="D462" s="49" t="s">
        <v>3</v>
      </c>
      <c r="E462" s="146" t="s">
        <v>373</v>
      </c>
      <c r="F462" s="112" t="s">
        <v>353</v>
      </c>
      <c r="G462" s="224" t="s">
        <v>2</v>
      </c>
      <c r="H462" s="49" t="s">
        <v>1</v>
      </c>
      <c r="I462" s="155" t="s">
        <v>1065</v>
      </c>
      <c r="J462" s="150" t="s">
        <v>418</v>
      </c>
      <c r="K462" s="83" t="s">
        <v>2026</v>
      </c>
      <c r="L462" s="84">
        <v>17</v>
      </c>
      <c r="M462" s="85">
        <v>40</v>
      </c>
      <c r="N462" s="91">
        <v>6</v>
      </c>
      <c r="O462" s="86" t="s">
        <v>2027</v>
      </c>
      <c r="P462" s="113" t="s">
        <v>106</v>
      </c>
      <c r="Q462" s="49">
        <v>120</v>
      </c>
      <c r="R462" s="82" t="s">
        <v>52</v>
      </c>
      <c r="S462" s="239">
        <v>2778390000006</v>
      </c>
      <c r="T462" s="344">
        <v>12778390000003</v>
      </c>
      <c r="U462" s="46">
        <v>4630362181862</v>
      </c>
      <c r="V462" s="46">
        <v>14630362181869</v>
      </c>
      <c r="W462" s="258">
        <v>405</v>
      </c>
      <c r="X462" s="68">
        <v>70</v>
      </c>
      <c r="Y462" s="60">
        <v>45</v>
      </c>
      <c r="Z462" s="65">
        <v>0.48799999999999999</v>
      </c>
      <c r="AA462" s="271">
        <v>0.01</v>
      </c>
      <c r="AB462" s="66">
        <f t="shared" ref="AB462" si="654">Z462+AA462</f>
        <v>0.498</v>
      </c>
      <c r="AC462" s="59">
        <v>388</v>
      </c>
      <c r="AD462" s="60">
        <v>193</v>
      </c>
      <c r="AE462" s="60">
        <v>108</v>
      </c>
      <c r="AF462" s="191">
        <v>8</v>
      </c>
      <c r="AG462" s="117">
        <v>600000013</v>
      </c>
      <c r="AH462" s="104">
        <f>справочники!$C$5</f>
        <v>0.14099999999999999</v>
      </c>
      <c r="AI462" s="61">
        <f t="shared" si="647"/>
        <v>3.9</v>
      </c>
      <c r="AJ462" s="122">
        <f t="shared" si="648"/>
        <v>4.125</v>
      </c>
      <c r="AK462" s="37">
        <v>12</v>
      </c>
      <c r="AL462" s="38">
        <v>14</v>
      </c>
      <c r="AM462" s="40">
        <f t="shared" ref="AM462" si="655">AK462*AL462</f>
        <v>168</v>
      </c>
      <c r="AN462" s="214">
        <f t="shared" ref="AN462" si="656">IF(D462="ШТ",кол_во_инд.__упак_к*итого_г_у,ROUNDDOWN(номин.вес_нетто_г_у__кг*итого_г_у,1))</f>
        <v>655.20000000000005</v>
      </c>
      <c r="AO462" s="204">
        <f t="shared" si="548"/>
        <v>1657</v>
      </c>
    </row>
    <row r="463" spans="1:41" ht="90.75" customHeight="1" x14ac:dyDescent="0.2">
      <c r="A463" s="22">
        <f t="shared" si="646"/>
        <v>4118</v>
      </c>
      <c r="B463" s="116">
        <v>1001060784118</v>
      </c>
      <c r="C463" s="48" t="s">
        <v>171</v>
      </c>
      <c r="D463" s="49" t="s">
        <v>3</v>
      </c>
      <c r="E463" s="146" t="s">
        <v>373</v>
      </c>
      <c r="F463" s="112" t="s">
        <v>353</v>
      </c>
      <c r="G463" s="224" t="s">
        <v>2</v>
      </c>
      <c r="H463" s="49" t="s">
        <v>1</v>
      </c>
      <c r="I463" s="155" t="s">
        <v>1940</v>
      </c>
      <c r="J463" s="150" t="s">
        <v>418</v>
      </c>
      <c r="K463" s="83" t="s">
        <v>2026</v>
      </c>
      <c r="L463" s="84">
        <v>17</v>
      </c>
      <c r="M463" s="85">
        <v>40</v>
      </c>
      <c r="N463" s="91">
        <v>6</v>
      </c>
      <c r="O463" s="86" t="s">
        <v>2027</v>
      </c>
      <c r="P463" s="113" t="s">
        <v>106</v>
      </c>
      <c r="Q463" s="49">
        <v>120</v>
      </c>
      <c r="R463" s="56" t="s">
        <v>52</v>
      </c>
      <c r="S463" s="120">
        <v>2419101000006</v>
      </c>
      <c r="T463" s="342">
        <v>12419101000003</v>
      </c>
      <c r="U463" s="46">
        <v>4630362181862</v>
      </c>
      <c r="V463" s="46">
        <v>14630362181869</v>
      </c>
      <c r="W463" s="93">
        <v>405</v>
      </c>
      <c r="X463" s="68">
        <v>70</v>
      </c>
      <c r="Y463" s="68">
        <v>45</v>
      </c>
      <c r="Z463" s="65">
        <v>0.48799999999999999</v>
      </c>
      <c r="AA463" s="271">
        <v>0.01</v>
      </c>
      <c r="AB463" s="66">
        <f t="shared" si="533"/>
        <v>0.498</v>
      </c>
      <c r="AC463" s="59">
        <v>388</v>
      </c>
      <c r="AD463" s="60">
        <v>193</v>
      </c>
      <c r="AE463" s="60">
        <v>108</v>
      </c>
      <c r="AF463" s="191">
        <v>8</v>
      </c>
      <c r="AG463" s="117">
        <v>600000013</v>
      </c>
      <c r="AH463" s="104">
        <f>справочники!$C$5</f>
        <v>0.14099999999999999</v>
      </c>
      <c r="AI463" s="62">
        <f t="shared" si="647"/>
        <v>3.9</v>
      </c>
      <c r="AJ463" s="122">
        <f t="shared" si="648"/>
        <v>4.125</v>
      </c>
      <c r="AK463" s="37">
        <v>12</v>
      </c>
      <c r="AL463" s="38">
        <v>14</v>
      </c>
      <c r="AM463" s="40">
        <f t="shared" si="649"/>
        <v>168</v>
      </c>
      <c r="AN463" s="214">
        <f t="shared" si="653"/>
        <v>655.20000000000005</v>
      </c>
      <c r="AO463" s="204">
        <f t="shared" si="548"/>
        <v>1657</v>
      </c>
    </row>
    <row r="464" spans="1:41" ht="90.75" customHeight="1" x14ac:dyDescent="0.2">
      <c r="A464" s="22">
        <f t="shared" si="646"/>
        <v>6571</v>
      </c>
      <c r="B464" s="116">
        <v>1001063116571</v>
      </c>
      <c r="C464" s="48" t="s">
        <v>612</v>
      </c>
      <c r="D464" s="49" t="s">
        <v>4</v>
      </c>
      <c r="E464" s="146" t="s">
        <v>373</v>
      </c>
      <c r="F464" s="112" t="s">
        <v>353</v>
      </c>
      <c r="G464" s="224" t="s">
        <v>2</v>
      </c>
      <c r="H464" s="49" t="s">
        <v>1</v>
      </c>
      <c r="I464" s="155" t="s">
        <v>1940</v>
      </c>
      <c r="J464" s="150" t="s">
        <v>418</v>
      </c>
      <c r="K464" s="83" t="s">
        <v>2026</v>
      </c>
      <c r="L464" s="84">
        <v>17</v>
      </c>
      <c r="M464" s="85">
        <v>40</v>
      </c>
      <c r="N464" s="91">
        <v>6</v>
      </c>
      <c r="O464" s="86" t="s">
        <v>2027</v>
      </c>
      <c r="P464" s="113" t="s">
        <v>106</v>
      </c>
      <c r="Q464" s="49">
        <v>120</v>
      </c>
      <c r="R464" s="82" t="s">
        <v>52</v>
      </c>
      <c r="S464" s="239">
        <v>4607958075812</v>
      </c>
      <c r="T464" s="344">
        <v>14607958075819</v>
      </c>
      <c r="U464" s="46">
        <v>4607958075812</v>
      </c>
      <c r="V464" s="46">
        <v>14607958075819</v>
      </c>
      <c r="W464" s="258">
        <v>405</v>
      </c>
      <c r="X464" s="68">
        <v>70</v>
      </c>
      <c r="Y464" s="60">
        <v>45</v>
      </c>
      <c r="Z464" s="65">
        <v>0.5</v>
      </c>
      <c r="AA464" s="271">
        <v>0.01</v>
      </c>
      <c r="AB464" s="66">
        <f t="shared" ref="AB464:AB498" si="657">Z464+AA464</f>
        <v>0.51</v>
      </c>
      <c r="AC464" s="59">
        <v>388</v>
      </c>
      <c r="AD464" s="60">
        <v>193</v>
      </c>
      <c r="AE464" s="60">
        <v>108</v>
      </c>
      <c r="AF464" s="191">
        <v>8</v>
      </c>
      <c r="AG464" s="117">
        <v>600000013</v>
      </c>
      <c r="AH464" s="104">
        <f>справочники!$C$5</f>
        <v>0.14099999999999999</v>
      </c>
      <c r="AI464" s="61">
        <f t="shared" si="647"/>
        <v>4</v>
      </c>
      <c r="AJ464" s="122">
        <f t="shared" si="648"/>
        <v>4.2210000000000001</v>
      </c>
      <c r="AK464" s="37">
        <v>12</v>
      </c>
      <c r="AL464" s="38">
        <v>14</v>
      </c>
      <c r="AM464" s="40">
        <f>AK464*AL464</f>
        <v>168</v>
      </c>
      <c r="AN464" s="206">
        <f t="shared" si="653"/>
        <v>1344</v>
      </c>
      <c r="AO464" s="204">
        <f t="shared" si="548"/>
        <v>1657</v>
      </c>
    </row>
    <row r="465" spans="1:41" ht="90" customHeight="1" x14ac:dyDescent="0.2">
      <c r="A465" s="22">
        <f t="shared" si="646"/>
        <v>5043</v>
      </c>
      <c r="B465" s="116">
        <v>1001063115043</v>
      </c>
      <c r="C465" s="48" t="s">
        <v>337</v>
      </c>
      <c r="D465" s="49" t="s">
        <v>3</v>
      </c>
      <c r="E465" s="146" t="s">
        <v>373</v>
      </c>
      <c r="F465" s="112" t="s">
        <v>353</v>
      </c>
      <c r="G465" s="224" t="s">
        <v>2</v>
      </c>
      <c r="H465" s="49" t="s">
        <v>1</v>
      </c>
      <c r="I465" s="155" t="s">
        <v>1940</v>
      </c>
      <c r="J465" s="151" t="s">
        <v>418</v>
      </c>
      <c r="K465" s="83" t="s">
        <v>2026</v>
      </c>
      <c r="L465" s="84">
        <v>17</v>
      </c>
      <c r="M465" s="85">
        <v>40</v>
      </c>
      <c r="N465" s="91">
        <v>6</v>
      </c>
      <c r="O465" s="86" t="s">
        <v>2027</v>
      </c>
      <c r="P465" s="113" t="s">
        <v>106</v>
      </c>
      <c r="Q465" s="87">
        <v>120</v>
      </c>
      <c r="R465" s="82" t="s">
        <v>52</v>
      </c>
      <c r="S465" s="239">
        <v>2800399000005</v>
      </c>
      <c r="T465" s="344">
        <v>12800399000002</v>
      </c>
      <c r="U465" s="46" t="s">
        <v>1874</v>
      </c>
      <c r="V465" s="46" t="s">
        <v>1874</v>
      </c>
      <c r="W465" s="258">
        <v>405</v>
      </c>
      <c r="X465" s="68">
        <v>70</v>
      </c>
      <c r="Y465" s="68">
        <v>45</v>
      </c>
      <c r="Z465" s="65">
        <v>0.52500000000000002</v>
      </c>
      <c r="AA465" s="271">
        <v>0.01</v>
      </c>
      <c r="AB465" s="66">
        <f t="shared" si="657"/>
        <v>0.53500000000000003</v>
      </c>
      <c r="AC465" s="59">
        <v>410</v>
      </c>
      <c r="AD465" s="60">
        <v>292</v>
      </c>
      <c r="AE465" s="60">
        <v>242</v>
      </c>
      <c r="AF465" s="191">
        <v>30</v>
      </c>
      <c r="AG465" s="117">
        <v>600000411</v>
      </c>
      <c r="AH465" s="104">
        <f>справочники!$C$102</f>
        <v>0.433</v>
      </c>
      <c r="AI465" s="61">
        <f t="shared" si="647"/>
        <v>15.75</v>
      </c>
      <c r="AJ465" s="122">
        <f t="shared" si="648"/>
        <v>16.483000000000001</v>
      </c>
      <c r="AK465" s="37">
        <v>8</v>
      </c>
      <c r="AL465" s="38">
        <v>6</v>
      </c>
      <c r="AM465" s="40">
        <f t="shared" si="649"/>
        <v>48</v>
      </c>
      <c r="AN465" s="214">
        <f t="shared" si="653"/>
        <v>756</v>
      </c>
      <c r="AO465" s="204">
        <f t="shared" ref="AO465:AO515" si="658">(высота__мм*кол_во_слоев_г_у)+145</f>
        <v>1597</v>
      </c>
    </row>
    <row r="466" spans="1:41" ht="153" x14ac:dyDescent="0.2">
      <c r="A466" s="22">
        <f t="shared" si="646"/>
        <v>5912</v>
      </c>
      <c r="B466" s="116">
        <v>1001063115912</v>
      </c>
      <c r="C466" s="48" t="s">
        <v>991</v>
      </c>
      <c r="D466" s="49" t="s">
        <v>3</v>
      </c>
      <c r="E466" s="146" t="s">
        <v>373</v>
      </c>
      <c r="F466" s="112" t="s">
        <v>353</v>
      </c>
      <c r="G466" s="224" t="s">
        <v>2</v>
      </c>
      <c r="H466" s="49" t="s">
        <v>1</v>
      </c>
      <c r="I466" s="155" t="s">
        <v>1065</v>
      </c>
      <c r="J466" s="151" t="s">
        <v>418</v>
      </c>
      <c r="K466" s="51" t="s">
        <v>1353</v>
      </c>
      <c r="L466" s="52">
        <v>13</v>
      </c>
      <c r="M466" s="53">
        <v>40</v>
      </c>
      <c r="N466" s="54">
        <v>0</v>
      </c>
      <c r="O466" s="88" t="s">
        <v>1354</v>
      </c>
      <c r="P466" s="31" t="s">
        <v>106</v>
      </c>
      <c r="Q466" s="87">
        <v>120</v>
      </c>
      <c r="R466" s="82" t="s">
        <v>52</v>
      </c>
      <c r="S466" s="239">
        <v>2800399000005</v>
      </c>
      <c r="T466" s="344">
        <v>12800399000002</v>
      </c>
      <c r="U466" s="46" t="s">
        <v>1874</v>
      </c>
      <c r="V466" s="46" t="s">
        <v>1874</v>
      </c>
      <c r="W466" s="258"/>
      <c r="X466" s="68"/>
      <c r="Y466" s="68"/>
      <c r="Z466" s="65">
        <v>13.5</v>
      </c>
      <c r="AA466" s="271">
        <v>0.15</v>
      </c>
      <c r="AB466" s="66">
        <f t="shared" si="657"/>
        <v>13.65</v>
      </c>
      <c r="AC466" s="59">
        <v>938</v>
      </c>
      <c r="AD466" s="60">
        <v>178</v>
      </c>
      <c r="AE466" s="60">
        <v>178</v>
      </c>
      <c r="AF466" s="191">
        <v>1</v>
      </c>
      <c r="AG466" s="117">
        <v>600000313</v>
      </c>
      <c r="AH466" s="104">
        <f>справочники!$C$62</f>
        <v>0.53100000000000003</v>
      </c>
      <c r="AI466" s="61">
        <f>ROUNDDOWN(номин.вес_нетто__кг*кол_во_инд.__упак_к,2)</f>
        <v>13.5</v>
      </c>
      <c r="AJ466" s="122">
        <f>(номин.вес_брутто__кг*кол_во_инд.__упак_к)+вес_короба__кг</f>
        <v>14.181000000000001</v>
      </c>
      <c r="AK466" s="37">
        <v>4</v>
      </c>
      <c r="AL466" s="38">
        <v>6</v>
      </c>
      <c r="AM466" s="40">
        <f t="shared" ref="AM466:AM478" si="659">AK466*AL466</f>
        <v>24</v>
      </c>
      <c r="AN466" s="214">
        <f t="shared" si="653"/>
        <v>324</v>
      </c>
      <c r="AO466" s="204">
        <f t="shared" si="206"/>
        <v>1213</v>
      </c>
    </row>
    <row r="467" spans="1:41" ht="153" x14ac:dyDescent="0.2">
      <c r="A467" s="22">
        <f t="shared" si="646"/>
        <v>7215</v>
      </c>
      <c r="B467" s="116">
        <v>1001063107215</v>
      </c>
      <c r="C467" s="48" t="s">
        <v>1170</v>
      </c>
      <c r="D467" s="49" t="s">
        <v>4</v>
      </c>
      <c r="E467" s="146" t="s">
        <v>373</v>
      </c>
      <c r="F467" s="112" t="s">
        <v>353</v>
      </c>
      <c r="G467" s="224" t="s">
        <v>6</v>
      </c>
      <c r="H467" s="49" t="s">
        <v>1</v>
      </c>
      <c r="I467" s="155" t="s">
        <v>1940</v>
      </c>
      <c r="J467" s="150" t="s">
        <v>418</v>
      </c>
      <c r="K467" s="83" t="s">
        <v>2025</v>
      </c>
      <c r="L467" s="84">
        <v>18</v>
      </c>
      <c r="M467" s="85">
        <v>42</v>
      </c>
      <c r="N467" s="91">
        <v>5</v>
      </c>
      <c r="O467" s="86" t="s">
        <v>2024</v>
      </c>
      <c r="P467" s="113" t="s">
        <v>104</v>
      </c>
      <c r="Q467" s="49">
        <v>120</v>
      </c>
      <c r="R467" s="56" t="s">
        <v>51</v>
      </c>
      <c r="S467" s="237">
        <v>4607958078172</v>
      </c>
      <c r="T467" s="332">
        <v>24607958078176</v>
      </c>
      <c r="U467" s="46" t="s">
        <v>1874</v>
      </c>
      <c r="V467" s="46" t="s">
        <v>1874</v>
      </c>
      <c r="W467" s="258">
        <v>240</v>
      </c>
      <c r="X467" s="68">
        <v>65</v>
      </c>
      <c r="Y467" s="60">
        <v>44</v>
      </c>
      <c r="Z467" s="65">
        <v>0.25</v>
      </c>
      <c r="AA467" s="271">
        <v>5.0000000000000001E-3</v>
      </c>
      <c r="AB467" s="66">
        <f t="shared" ref="AB467" si="660">Z467+AA467</f>
        <v>0.255</v>
      </c>
      <c r="AC467" s="59">
        <v>410</v>
      </c>
      <c r="AD467" s="60">
        <v>292</v>
      </c>
      <c r="AE467" s="60">
        <v>242</v>
      </c>
      <c r="AF467" s="191">
        <v>48</v>
      </c>
      <c r="AG467" s="117">
        <v>600000411</v>
      </c>
      <c r="AH467" s="104">
        <f>справочники!$C$102</f>
        <v>0.433</v>
      </c>
      <c r="AI467" s="61">
        <f t="shared" si="647"/>
        <v>12</v>
      </c>
      <c r="AJ467" s="122">
        <f t="shared" si="648"/>
        <v>12.673</v>
      </c>
      <c r="AK467" s="37">
        <v>8</v>
      </c>
      <c r="AL467" s="38">
        <v>6</v>
      </c>
      <c r="AM467" s="40">
        <f t="shared" ref="AM467" si="661">AK467*AL467</f>
        <v>48</v>
      </c>
      <c r="AN467" s="206">
        <f t="shared" ref="AN467" si="662">IF(D467="ШТ",кол_во_инд.__упак_к*итого_г_у,ROUNDDOWN(номин.вес_нетто_г_у__кг*итого_г_у,1))</f>
        <v>2304</v>
      </c>
      <c r="AO467" s="204">
        <f t="shared" si="658"/>
        <v>1597</v>
      </c>
    </row>
    <row r="468" spans="1:41" ht="153" x14ac:dyDescent="0.2">
      <c r="A468" s="22">
        <f t="shared" si="646"/>
        <v>6937</v>
      </c>
      <c r="B468" s="116">
        <v>1001063106937</v>
      </c>
      <c r="C468" s="48" t="s">
        <v>937</v>
      </c>
      <c r="D468" s="49" t="s">
        <v>4</v>
      </c>
      <c r="E468" s="146" t="s">
        <v>373</v>
      </c>
      <c r="F468" s="112" t="s">
        <v>353</v>
      </c>
      <c r="G468" s="224" t="s">
        <v>6</v>
      </c>
      <c r="H468" s="49" t="s">
        <v>1</v>
      </c>
      <c r="I468" s="155" t="s">
        <v>1940</v>
      </c>
      <c r="J468" s="150" t="s">
        <v>418</v>
      </c>
      <c r="K468" s="83" t="s">
        <v>2025</v>
      </c>
      <c r="L468" s="84">
        <v>18</v>
      </c>
      <c r="M468" s="85">
        <v>42</v>
      </c>
      <c r="N468" s="91">
        <v>5</v>
      </c>
      <c r="O468" s="86" t="s">
        <v>2024</v>
      </c>
      <c r="P468" s="113" t="s">
        <v>104</v>
      </c>
      <c r="Q468" s="49">
        <v>120</v>
      </c>
      <c r="R468" s="56" t="s">
        <v>51</v>
      </c>
      <c r="S468" s="237">
        <v>4607958078172</v>
      </c>
      <c r="T468" s="332">
        <v>14607958078179</v>
      </c>
      <c r="U468" s="46">
        <v>4607958078172</v>
      </c>
      <c r="V468" s="46">
        <v>14607958078179</v>
      </c>
      <c r="W468" s="258">
        <v>240</v>
      </c>
      <c r="X468" s="68">
        <v>65</v>
      </c>
      <c r="Y468" s="60">
        <v>44</v>
      </c>
      <c r="Z468" s="65">
        <v>0.25</v>
      </c>
      <c r="AA468" s="271">
        <v>5.0000000000000001E-3</v>
      </c>
      <c r="AB468" s="66">
        <f t="shared" si="657"/>
        <v>0.255</v>
      </c>
      <c r="AC468" s="59">
        <v>218</v>
      </c>
      <c r="AD468" s="60">
        <v>193</v>
      </c>
      <c r="AE468" s="60">
        <v>108</v>
      </c>
      <c r="AF468" s="191">
        <v>8</v>
      </c>
      <c r="AG468" s="117">
        <v>600000150</v>
      </c>
      <c r="AH468" s="104">
        <f>справочники!$C$43</f>
        <v>8.5999999999999993E-2</v>
      </c>
      <c r="AI468" s="61">
        <f t="shared" si="647"/>
        <v>2</v>
      </c>
      <c r="AJ468" s="122">
        <f t="shared" si="648"/>
        <v>2.1259999999999999</v>
      </c>
      <c r="AK468" s="37">
        <v>20</v>
      </c>
      <c r="AL468" s="38">
        <v>14</v>
      </c>
      <c r="AM468" s="40">
        <f t="shared" si="659"/>
        <v>280</v>
      </c>
      <c r="AN468" s="206">
        <f t="shared" si="653"/>
        <v>2240</v>
      </c>
      <c r="AO468" s="204">
        <f t="shared" si="658"/>
        <v>1657</v>
      </c>
    </row>
    <row r="469" spans="1:41" ht="153" x14ac:dyDescent="0.2">
      <c r="A469" s="22">
        <f t="shared" si="646"/>
        <v>7213</v>
      </c>
      <c r="B469" s="116">
        <v>1001063107213</v>
      </c>
      <c r="C469" s="48" t="s">
        <v>1168</v>
      </c>
      <c r="D469" s="49" t="s">
        <v>4</v>
      </c>
      <c r="E469" s="146" t="s">
        <v>373</v>
      </c>
      <c r="F469" s="112" t="s">
        <v>353</v>
      </c>
      <c r="G469" s="224" t="s">
        <v>6</v>
      </c>
      <c r="H469" s="49" t="s">
        <v>1</v>
      </c>
      <c r="I469" s="155" t="s">
        <v>1940</v>
      </c>
      <c r="J469" s="150" t="s">
        <v>418</v>
      </c>
      <c r="K469" s="83" t="s">
        <v>2025</v>
      </c>
      <c r="L469" s="84">
        <v>18</v>
      </c>
      <c r="M469" s="85">
        <v>42</v>
      </c>
      <c r="N469" s="91">
        <v>5</v>
      </c>
      <c r="O469" s="86" t="s">
        <v>2024</v>
      </c>
      <c r="P469" s="113" t="s">
        <v>104</v>
      </c>
      <c r="Q469" s="49">
        <v>120</v>
      </c>
      <c r="R469" s="56" t="s">
        <v>51</v>
      </c>
      <c r="S469" s="237">
        <v>4607958078172</v>
      </c>
      <c r="T469" s="332">
        <v>14607958078179</v>
      </c>
      <c r="U469" s="46">
        <v>4607958078172</v>
      </c>
      <c r="V469" s="46">
        <v>14607958078179</v>
      </c>
      <c r="W469" s="258">
        <v>240</v>
      </c>
      <c r="X469" s="68">
        <v>65</v>
      </c>
      <c r="Y469" s="60">
        <v>44</v>
      </c>
      <c r="Z469" s="65">
        <v>0.25</v>
      </c>
      <c r="AA469" s="271">
        <v>5.0000000000000001E-3</v>
      </c>
      <c r="AB469" s="66">
        <f t="shared" ref="AB469:AB473" si="663">Z469+AA469</f>
        <v>0.255</v>
      </c>
      <c r="AC469" s="59">
        <v>218</v>
      </c>
      <c r="AD469" s="60">
        <v>193</v>
      </c>
      <c r="AE469" s="60">
        <v>108</v>
      </c>
      <c r="AF469" s="191">
        <v>8</v>
      </c>
      <c r="AG469" s="117">
        <v>600000150</v>
      </c>
      <c r="AH469" s="104">
        <f>справочники!$C$43</f>
        <v>8.5999999999999993E-2</v>
      </c>
      <c r="AI469" s="61">
        <f t="shared" si="647"/>
        <v>2</v>
      </c>
      <c r="AJ469" s="122">
        <f t="shared" si="648"/>
        <v>2.1259999999999999</v>
      </c>
      <c r="AK469" s="37">
        <v>20</v>
      </c>
      <c r="AL469" s="38">
        <v>14</v>
      </c>
      <c r="AM469" s="40">
        <f t="shared" ref="AM469:AM473" si="664">AK469*AL469</f>
        <v>280</v>
      </c>
      <c r="AN469" s="206">
        <f t="shared" ref="AN469:AN473" si="665">IF(D469="ШТ",кол_во_инд.__упак_к*итого_г_у,ROUNDDOWN(номин.вес_нетто_г_у__кг*итого_г_у,1))</f>
        <v>2240</v>
      </c>
      <c r="AO469" s="204">
        <f t="shared" si="658"/>
        <v>1657</v>
      </c>
    </row>
    <row r="470" spans="1:41" ht="191.25" x14ac:dyDescent="0.2">
      <c r="A470" s="22">
        <f t="shared" si="646"/>
        <v>4299</v>
      </c>
      <c r="B470" s="116">
        <v>1001063104299</v>
      </c>
      <c r="C470" s="48" t="s">
        <v>1411</v>
      </c>
      <c r="D470" s="49" t="s">
        <v>3</v>
      </c>
      <c r="E470" s="146" t="s">
        <v>373</v>
      </c>
      <c r="F470" s="112" t="s">
        <v>353</v>
      </c>
      <c r="G470" s="224" t="s">
        <v>935</v>
      </c>
      <c r="H470" s="49" t="s">
        <v>1</v>
      </c>
      <c r="I470" s="155" t="s">
        <v>1940</v>
      </c>
      <c r="J470" s="150" t="s">
        <v>418</v>
      </c>
      <c r="K470" s="51" t="s">
        <v>1412</v>
      </c>
      <c r="L470" s="52">
        <v>20</v>
      </c>
      <c r="M470" s="53">
        <v>40</v>
      </c>
      <c r="N470" s="54">
        <v>0</v>
      </c>
      <c r="O470" s="88" t="s">
        <v>262</v>
      </c>
      <c r="P470" s="113" t="s">
        <v>106</v>
      </c>
      <c r="Q470" s="49">
        <v>120</v>
      </c>
      <c r="R470" s="82" t="s">
        <v>52</v>
      </c>
      <c r="S470" s="239">
        <v>2800394000000</v>
      </c>
      <c r="T470" s="344">
        <v>12800394000007</v>
      </c>
      <c r="U470" s="46">
        <v>4630362181879</v>
      </c>
      <c r="V470" s="46">
        <v>14630362181876</v>
      </c>
      <c r="W470" s="258">
        <v>405</v>
      </c>
      <c r="X470" s="68">
        <v>70</v>
      </c>
      <c r="Y470" s="60">
        <v>45</v>
      </c>
      <c r="Z470" s="65">
        <v>0.5</v>
      </c>
      <c r="AA470" s="271">
        <v>0.01</v>
      </c>
      <c r="AB470" s="66">
        <f t="shared" si="663"/>
        <v>0.51</v>
      </c>
      <c r="AC470" s="59">
        <v>410</v>
      </c>
      <c r="AD470" s="60">
        <v>292</v>
      </c>
      <c r="AE470" s="60">
        <v>242</v>
      </c>
      <c r="AF470" s="191">
        <v>30</v>
      </c>
      <c r="AG470" s="117">
        <v>600000411</v>
      </c>
      <c r="AH470" s="104">
        <f>справочники!$C$102</f>
        <v>0.433</v>
      </c>
      <c r="AI470" s="61">
        <f t="shared" si="647"/>
        <v>15</v>
      </c>
      <c r="AJ470" s="122">
        <f t="shared" si="648"/>
        <v>15.733000000000001</v>
      </c>
      <c r="AK470" s="37">
        <v>8</v>
      </c>
      <c r="AL470" s="38">
        <v>6</v>
      </c>
      <c r="AM470" s="40">
        <f t="shared" si="664"/>
        <v>48</v>
      </c>
      <c r="AN470" s="214">
        <f t="shared" si="665"/>
        <v>720</v>
      </c>
      <c r="AO470" s="204">
        <f t="shared" si="658"/>
        <v>1597</v>
      </c>
    </row>
    <row r="471" spans="1:41" ht="105.6" customHeight="1" x14ac:dyDescent="0.2">
      <c r="A471" s="22">
        <f t="shared" si="646"/>
        <v>7456</v>
      </c>
      <c r="B471" s="116">
        <v>1001063097456</v>
      </c>
      <c r="C471" s="48" t="s">
        <v>1561</v>
      </c>
      <c r="D471" s="49" t="s">
        <v>4</v>
      </c>
      <c r="E471" s="146" t="s">
        <v>373</v>
      </c>
      <c r="F471" s="112" t="s">
        <v>353</v>
      </c>
      <c r="G471" s="224" t="s">
        <v>6</v>
      </c>
      <c r="H471" s="49" t="s">
        <v>278</v>
      </c>
      <c r="I471" s="155" t="s">
        <v>1065</v>
      </c>
      <c r="J471" s="150" t="s">
        <v>418</v>
      </c>
      <c r="K471" s="83" t="s">
        <v>1551</v>
      </c>
      <c r="L471" s="52">
        <v>15</v>
      </c>
      <c r="M471" s="53">
        <v>24</v>
      </c>
      <c r="N471" s="54">
        <v>1</v>
      </c>
      <c r="O471" s="88" t="s">
        <v>674</v>
      </c>
      <c r="P471" s="31" t="s">
        <v>1241</v>
      </c>
      <c r="Q471" s="87">
        <v>90</v>
      </c>
      <c r="R471" s="56" t="s">
        <v>44</v>
      </c>
      <c r="S471" s="243">
        <v>4630362180827</v>
      </c>
      <c r="T471" s="340">
        <v>14630362180824</v>
      </c>
      <c r="U471" s="46">
        <v>4630362180827</v>
      </c>
      <c r="V471" s="46">
        <v>14630362180824</v>
      </c>
      <c r="W471" s="93">
        <v>257</v>
      </c>
      <c r="X471" s="68">
        <v>56</v>
      </c>
      <c r="Y471" s="96" t="s">
        <v>1180</v>
      </c>
      <c r="Z471" s="65">
        <v>0.15</v>
      </c>
      <c r="AA471" s="271">
        <v>5.0000000000000001E-3</v>
      </c>
      <c r="AB471" s="66">
        <f t="shared" si="663"/>
        <v>0.155</v>
      </c>
      <c r="AC471" s="37">
        <v>198</v>
      </c>
      <c r="AD471" s="38">
        <v>110</v>
      </c>
      <c r="AE471" s="38">
        <v>246</v>
      </c>
      <c r="AF471" s="191">
        <v>12</v>
      </c>
      <c r="AG471" s="117">
        <v>600000493</v>
      </c>
      <c r="AH471" s="103">
        <f>справочники!$C$151</f>
        <v>0.09</v>
      </c>
      <c r="AI471" s="62">
        <f t="shared" si="647"/>
        <v>1.8</v>
      </c>
      <c r="AJ471" s="122">
        <f t="shared" si="648"/>
        <v>1.95</v>
      </c>
      <c r="AK471" s="37">
        <v>43</v>
      </c>
      <c r="AL471" s="38">
        <v>6</v>
      </c>
      <c r="AM471" s="40">
        <f t="shared" si="664"/>
        <v>258</v>
      </c>
      <c r="AN471" s="206">
        <f t="shared" si="665"/>
        <v>3096</v>
      </c>
      <c r="AO471" s="204">
        <f t="shared" si="658"/>
        <v>1621</v>
      </c>
    </row>
    <row r="472" spans="1:41" ht="106.15" customHeight="1" x14ac:dyDescent="0.2">
      <c r="A472" s="22">
        <f t="shared" si="646"/>
        <v>7525</v>
      </c>
      <c r="B472" s="116">
        <v>1001063097525</v>
      </c>
      <c r="C472" s="48" t="s">
        <v>1619</v>
      </c>
      <c r="D472" s="49" t="s">
        <v>4</v>
      </c>
      <c r="E472" s="146" t="s">
        <v>373</v>
      </c>
      <c r="F472" s="112" t="s">
        <v>353</v>
      </c>
      <c r="G472" s="224" t="s">
        <v>6</v>
      </c>
      <c r="H472" s="49" t="s">
        <v>278</v>
      </c>
      <c r="I472" s="155" t="s">
        <v>1065</v>
      </c>
      <c r="J472" s="150" t="s">
        <v>418</v>
      </c>
      <c r="K472" s="83" t="s">
        <v>1551</v>
      </c>
      <c r="L472" s="52">
        <v>15</v>
      </c>
      <c r="M472" s="53">
        <v>24</v>
      </c>
      <c r="N472" s="54">
        <v>1</v>
      </c>
      <c r="O472" s="88" t="s">
        <v>674</v>
      </c>
      <c r="P472" s="31" t="s">
        <v>104</v>
      </c>
      <c r="Q472" s="87">
        <v>30</v>
      </c>
      <c r="R472" s="56"/>
      <c r="S472" s="243">
        <v>4630362180827</v>
      </c>
      <c r="T472" s="340">
        <v>24630362180821</v>
      </c>
      <c r="U472" s="46" t="s">
        <v>1874</v>
      </c>
      <c r="V472" s="46" t="s">
        <v>1874</v>
      </c>
      <c r="W472" s="93"/>
      <c r="X472" s="68"/>
      <c r="Y472" s="96"/>
      <c r="Z472" s="65">
        <v>1.65</v>
      </c>
      <c r="AA472" s="271">
        <v>3.0000000000000001E-3</v>
      </c>
      <c r="AB472" s="66">
        <f t="shared" ref="AB472" si="666">Z472+AA472</f>
        <v>1.6529999999999998</v>
      </c>
      <c r="AC472" s="67">
        <v>388</v>
      </c>
      <c r="AD472" s="68">
        <v>292</v>
      </c>
      <c r="AE472" s="68">
        <v>240</v>
      </c>
      <c r="AF472" s="191">
        <v>7</v>
      </c>
      <c r="AG472" s="117">
        <v>600000017</v>
      </c>
      <c r="AH472" s="103">
        <f>справочники!$C$9</f>
        <v>0.34899999999999998</v>
      </c>
      <c r="AI472" s="62">
        <f t="shared" si="647"/>
        <v>11.55</v>
      </c>
      <c r="AJ472" s="122">
        <f t="shared" si="648"/>
        <v>11.919999999999998</v>
      </c>
      <c r="AK472" s="37">
        <v>8</v>
      </c>
      <c r="AL472" s="38">
        <v>6</v>
      </c>
      <c r="AM472" s="40">
        <f t="shared" ref="AM472" si="667">AK472*AL472</f>
        <v>48</v>
      </c>
      <c r="AN472" s="206">
        <f t="shared" ref="AN472" si="668">IF(D472="ШТ",кол_во_инд.__упак_к*итого_г_у,ROUNDDOWN(номин.вес_нетто_г_у__кг*итого_г_у,1))</f>
        <v>336</v>
      </c>
      <c r="AO472" s="204">
        <f t="shared" si="658"/>
        <v>1585</v>
      </c>
    </row>
    <row r="473" spans="1:41" ht="153" x14ac:dyDescent="0.2">
      <c r="A473" s="22">
        <f t="shared" si="646"/>
        <v>7383</v>
      </c>
      <c r="B473" s="116">
        <v>1001065467383</v>
      </c>
      <c r="C473" s="55" t="s">
        <v>1400</v>
      </c>
      <c r="D473" s="87" t="s">
        <v>4</v>
      </c>
      <c r="E473" s="146" t="s">
        <v>373</v>
      </c>
      <c r="F473" s="112" t="s">
        <v>353</v>
      </c>
      <c r="G473" s="226" t="s">
        <v>2</v>
      </c>
      <c r="H473" s="87" t="s">
        <v>278</v>
      </c>
      <c r="I473" s="155" t="s">
        <v>672</v>
      </c>
      <c r="J473" s="150" t="s">
        <v>675</v>
      </c>
      <c r="K473" s="51" t="s">
        <v>1401</v>
      </c>
      <c r="L473" s="52">
        <v>13</v>
      </c>
      <c r="M473" s="53">
        <v>23</v>
      </c>
      <c r="N473" s="54">
        <v>2</v>
      </c>
      <c r="O473" s="88" t="s">
        <v>148</v>
      </c>
      <c r="P473" s="113" t="s">
        <v>104</v>
      </c>
      <c r="Q473" s="87">
        <v>90</v>
      </c>
      <c r="R473" s="56" t="s">
        <v>44</v>
      </c>
      <c r="S473" s="237">
        <v>4630362180186</v>
      </c>
      <c r="T473" s="332">
        <v>14630362180183</v>
      </c>
      <c r="U473" s="46">
        <v>4630362180186</v>
      </c>
      <c r="V473" s="46">
        <v>14630362180183</v>
      </c>
      <c r="W473" s="258">
        <v>240</v>
      </c>
      <c r="X473" s="68">
        <v>65</v>
      </c>
      <c r="Y473" s="68">
        <v>44</v>
      </c>
      <c r="Z473" s="92">
        <v>0.22</v>
      </c>
      <c r="AA473" s="271">
        <v>5.0000000000000001E-3</v>
      </c>
      <c r="AB473" s="66">
        <f t="shared" si="663"/>
        <v>0.22500000000000001</v>
      </c>
      <c r="AC473" s="67">
        <v>218</v>
      </c>
      <c r="AD473" s="68">
        <v>193</v>
      </c>
      <c r="AE473" s="68">
        <v>108</v>
      </c>
      <c r="AF473" s="194">
        <v>8</v>
      </c>
      <c r="AG473" s="117">
        <v>600000150</v>
      </c>
      <c r="AH473" s="105">
        <f>справочники!$C$43</f>
        <v>8.5999999999999993E-2</v>
      </c>
      <c r="AI473" s="61">
        <f t="shared" si="647"/>
        <v>1.76</v>
      </c>
      <c r="AJ473" s="122">
        <f t="shared" si="648"/>
        <v>1.8860000000000001</v>
      </c>
      <c r="AK473" s="33">
        <v>20</v>
      </c>
      <c r="AL473" s="34">
        <v>14</v>
      </c>
      <c r="AM473" s="40">
        <f t="shared" si="664"/>
        <v>280</v>
      </c>
      <c r="AN473" s="206">
        <f t="shared" si="665"/>
        <v>2240</v>
      </c>
      <c r="AO473" s="204">
        <f t="shared" si="658"/>
        <v>1657</v>
      </c>
    </row>
    <row r="474" spans="1:41" ht="153" x14ac:dyDescent="0.2">
      <c r="A474" s="22">
        <f t="shared" si="646"/>
        <v>7666</v>
      </c>
      <c r="B474" s="116">
        <v>1001065467666</v>
      </c>
      <c r="C474" s="55" t="s">
        <v>2114</v>
      </c>
      <c r="D474" s="87" t="s">
        <v>3</v>
      </c>
      <c r="E474" s="146" t="s">
        <v>373</v>
      </c>
      <c r="F474" s="112" t="s">
        <v>353</v>
      </c>
      <c r="G474" s="226" t="s">
        <v>2</v>
      </c>
      <c r="H474" s="87" t="s">
        <v>278</v>
      </c>
      <c r="I474" s="155" t="s">
        <v>1940</v>
      </c>
      <c r="J474" s="150" t="s">
        <v>675</v>
      </c>
      <c r="K474" s="51" t="s">
        <v>2116</v>
      </c>
      <c r="L474" s="52">
        <v>22</v>
      </c>
      <c r="M474" s="53">
        <v>28</v>
      </c>
      <c r="N474" s="54">
        <v>5</v>
      </c>
      <c r="O474" s="88" t="s">
        <v>2115</v>
      </c>
      <c r="P474" s="113" t="s">
        <v>104</v>
      </c>
      <c r="Q474" s="87">
        <v>90</v>
      </c>
      <c r="R474" s="56" t="s">
        <v>44</v>
      </c>
      <c r="S474" s="237"/>
      <c r="T474" s="332"/>
      <c r="U474" s="46"/>
      <c r="V474" s="46"/>
      <c r="W474" s="258">
        <v>240</v>
      </c>
      <c r="X474" s="68">
        <v>65</v>
      </c>
      <c r="Y474" s="68">
        <v>44</v>
      </c>
      <c r="Z474" s="92">
        <v>0.22</v>
      </c>
      <c r="AA474" s="271">
        <v>5.0000000000000001E-3</v>
      </c>
      <c r="AB474" s="66">
        <f t="shared" ref="AB474" si="669">Z474+AA474</f>
        <v>0.22500000000000001</v>
      </c>
      <c r="AC474" s="67">
        <v>218</v>
      </c>
      <c r="AD474" s="68">
        <v>193</v>
      </c>
      <c r="AE474" s="68">
        <v>108</v>
      </c>
      <c r="AF474" s="194">
        <v>8</v>
      </c>
      <c r="AG474" s="117">
        <v>600000150</v>
      </c>
      <c r="AH474" s="105">
        <f>справочники!$C$43</f>
        <v>8.5999999999999993E-2</v>
      </c>
      <c r="AI474" s="61">
        <f t="shared" si="647"/>
        <v>1.76</v>
      </c>
      <c r="AJ474" s="122">
        <f t="shared" si="648"/>
        <v>1.8860000000000001</v>
      </c>
      <c r="AK474" s="33">
        <v>20</v>
      </c>
      <c r="AL474" s="34">
        <v>14</v>
      </c>
      <c r="AM474" s="40">
        <f t="shared" ref="AM474" si="670">AK474*AL474</f>
        <v>280</v>
      </c>
      <c r="AN474" s="272">
        <f t="shared" ref="AN474" si="671">IF(D474="ШТ",кол_во_инд.__упак_к*итого_г_у,ROUNDDOWN(номин.вес_нетто_г_у__кг*итого_г_у,1))</f>
        <v>492.8</v>
      </c>
      <c r="AO474" s="204">
        <f t="shared" si="658"/>
        <v>1657</v>
      </c>
    </row>
    <row r="475" spans="1:41" ht="153" x14ac:dyDescent="0.2">
      <c r="A475" s="22">
        <f t="shared" si="646"/>
        <v>7394</v>
      </c>
      <c r="B475" s="116">
        <v>1001065467394</v>
      </c>
      <c r="C475" s="55" t="s">
        <v>1413</v>
      </c>
      <c r="D475" s="87" t="s">
        <v>3</v>
      </c>
      <c r="E475" s="146" t="s">
        <v>373</v>
      </c>
      <c r="F475" s="112" t="s">
        <v>353</v>
      </c>
      <c r="G475" s="226" t="s">
        <v>2</v>
      </c>
      <c r="H475" s="87" t="s">
        <v>278</v>
      </c>
      <c r="I475" s="155" t="s">
        <v>672</v>
      </c>
      <c r="J475" s="150" t="s">
        <v>675</v>
      </c>
      <c r="K475" s="51" t="s">
        <v>1401</v>
      </c>
      <c r="L475" s="52">
        <v>13</v>
      </c>
      <c r="M475" s="53">
        <v>23</v>
      </c>
      <c r="N475" s="54">
        <v>2</v>
      </c>
      <c r="O475" s="88" t="s">
        <v>148</v>
      </c>
      <c r="P475" s="113" t="s">
        <v>104</v>
      </c>
      <c r="Q475" s="87">
        <v>15</v>
      </c>
      <c r="R475" s="56" t="s">
        <v>44</v>
      </c>
      <c r="S475" s="237">
        <v>2800046000006</v>
      </c>
      <c r="T475" s="332">
        <v>12800046000003</v>
      </c>
      <c r="U475" s="46" t="s">
        <v>1874</v>
      </c>
      <c r="V475" s="46" t="s">
        <v>1874</v>
      </c>
      <c r="W475" s="258"/>
      <c r="X475" s="68"/>
      <c r="Y475" s="68"/>
      <c r="Z475" s="92">
        <v>2.2000000000000002</v>
      </c>
      <c r="AA475" s="271">
        <v>2.1999999999999999E-2</v>
      </c>
      <c r="AB475" s="66">
        <f t="shared" ref="AB475:AB476" si="672">Z475+AA475</f>
        <v>2.222</v>
      </c>
      <c r="AC475" s="59">
        <v>410</v>
      </c>
      <c r="AD475" s="60">
        <v>292</v>
      </c>
      <c r="AE475" s="60">
        <v>242</v>
      </c>
      <c r="AF475" s="194">
        <v>6</v>
      </c>
      <c r="AG475" s="117">
        <v>600000411</v>
      </c>
      <c r="AH475" s="105">
        <f>справочники!$C$102</f>
        <v>0.433</v>
      </c>
      <c r="AI475" s="61">
        <f t="shared" si="647"/>
        <v>13.2</v>
      </c>
      <c r="AJ475" s="122">
        <f t="shared" si="648"/>
        <v>13.765000000000001</v>
      </c>
      <c r="AK475" s="33">
        <v>8</v>
      </c>
      <c r="AL475" s="34">
        <v>6</v>
      </c>
      <c r="AM475" s="40">
        <f t="shared" ref="AM475:AM476" si="673">AK475*AL475</f>
        <v>48</v>
      </c>
      <c r="AN475" s="272">
        <f t="shared" ref="AN475:AN476" si="674">IF(D475="ШТ",кол_во_инд.__упак_к*итого_г_у,ROUNDDOWN(номин.вес_нетто_г_у__кг*итого_г_у,1))</f>
        <v>633.6</v>
      </c>
      <c r="AO475" s="204">
        <f t="shared" si="658"/>
        <v>1597</v>
      </c>
    </row>
    <row r="476" spans="1:41" ht="76.5" x14ac:dyDescent="0.2">
      <c r="A476" s="22">
        <f t="shared" si="646"/>
        <v>6657</v>
      </c>
      <c r="B476" s="116">
        <v>1001065236657</v>
      </c>
      <c r="C476" s="48" t="s">
        <v>1527</v>
      </c>
      <c r="D476" s="49" t="s">
        <v>4</v>
      </c>
      <c r="E476" s="146" t="s">
        <v>373</v>
      </c>
      <c r="F476" s="112" t="s">
        <v>353</v>
      </c>
      <c r="G476" s="224" t="s">
        <v>2</v>
      </c>
      <c r="H476" s="49" t="s">
        <v>278</v>
      </c>
      <c r="I476" s="155" t="s">
        <v>54</v>
      </c>
      <c r="J476" s="150" t="s">
        <v>411</v>
      </c>
      <c r="K476" s="51" t="s">
        <v>1114</v>
      </c>
      <c r="L476" s="52">
        <v>12</v>
      </c>
      <c r="M476" s="53">
        <v>65</v>
      </c>
      <c r="N476" s="54"/>
      <c r="O476" s="88" t="s">
        <v>1113</v>
      </c>
      <c r="P476" s="113" t="s">
        <v>104</v>
      </c>
      <c r="Q476" s="49">
        <v>30</v>
      </c>
      <c r="R476" s="56" t="s">
        <v>51</v>
      </c>
      <c r="S476" s="237">
        <v>4606038085956</v>
      </c>
      <c r="T476" s="332">
        <v>14606038085953</v>
      </c>
      <c r="U476" s="46" t="s">
        <v>1874</v>
      </c>
      <c r="V476" s="46" t="s">
        <v>1874</v>
      </c>
      <c r="W476" s="258">
        <v>240</v>
      </c>
      <c r="X476" s="68">
        <v>65</v>
      </c>
      <c r="Y476" s="60">
        <v>50</v>
      </c>
      <c r="Z476" s="65">
        <v>0.25</v>
      </c>
      <c r="AA476" s="271">
        <v>5.0000000000000001E-3</v>
      </c>
      <c r="AB476" s="66">
        <f t="shared" si="672"/>
        <v>0.255</v>
      </c>
      <c r="AC476" s="59">
        <v>410</v>
      </c>
      <c r="AD476" s="60">
        <v>292</v>
      </c>
      <c r="AE476" s="60">
        <v>242</v>
      </c>
      <c r="AF476" s="191">
        <v>48</v>
      </c>
      <c r="AG476" s="117">
        <v>600000411</v>
      </c>
      <c r="AH476" s="104">
        <f>справочники!$C$102</f>
        <v>0.433</v>
      </c>
      <c r="AI476" s="61">
        <f t="shared" si="647"/>
        <v>12</v>
      </c>
      <c r="AJ476" s="122">
        <f t="shared" si="648"/>
        <v>12.673</v>
      </c>
      <c r="AK476" s="33">
        <v>8</v>
      </c>
      <c r="AL476" s="34">
        <v>6</v>
      </c>
      <c r="AM476" s="40">
        <f t="shared" si="673"/>
        <v>48</v>
      </c>
      <c r="AN476" s="206">
        <f t="shared" si="674"/>
        <v>2304</v>
      </c>
      <c r="AO476" s="204">
        <f t="shared" si="658"/>
        <v>1597</v>
      </c>
    </row>
    <row r="477" spans="1:41" ht="40.5" customHeight="1" x14ac:dyDescent="0.2">
      <c r="A477" s="22">
        <f t="shared" si="646"/>
        <v>6702</v>
      </c>
      <c r="B477" s="116">
        <v>1001065236702</v>
      </c>
      <c r="C477" s="48" t="s">
        <v>629</v>
      </c>
      <c r="D477" s="49" t="s">
        <v>4</v>
      </c>
      <c r="E477" s="146" t="s">
        <v>373</v>
      </c>
      <c r="F477" s="112" t="s">
        <v>353</v>
      </c>
      <c r="G477" s="224" t="s">
        <v>520</v>
      </c>
      <c r="H477" s="49" t="s">
        <v>1</v>
      </c>
      <c r="I477" s="155" t="s">
        <v>54</v>
      </c>
      <c r="J477" s="150" t="s">
        <v>411</v>
      </c>
      <c r="K477" s="51" t="s">
        <v>2038</v>
      </c>
      <c r="L477" s="52">
        <v>11</v>
      </c>
      <c r="M477" s="53">
        <v>58</v>
      </c>
      <c r="N477" s="54">
        <v>0</v>
      </c>
      <c r="O477" s="88" t="s">
        <v>630</v>
      </c>
      <c r="P477" s="113" t="s">
        <v>104</v>
      </c>
      <c r="Q477" s="49">
        <v>120</v>
      </c>
      <c r="R477" s="56" t="s">
        <v>51</v>
      </c>
      <c r="S477" s="237">
        <v>4606038085956</v>
      </c>
      <c r="T477" s="332">
        <v>14606038085953</v>
      </c>
      <c r="U477" s="46">
        <v>4630362182807</v>
      </c>
      <c r="V477" s="46">
        <v>14630362182804</v>
      </c>
      <c r="W477" s="258">
        <v>240</v>
      </c>
      <c r="X477" s="68">
        <v>65</v>
      </c>
      <c r="Y477" s="60">
        <v>50</v>
      </c>
      <c r="Z477" s="65">
        <v>0.25</v>
      </c>
      <c r="AA477" s="271">
        <v>5.0000000000000001E-3</v>
      </c>
      <c r="AB477" s="66">
        <f t="shared" ref="AB477" si="675">Z477+AA477</f>
        <v>0.255</v>
      </c>
      <c r="AC477" s="59">
        <v>226</v>
      </c>
      <c r="AD477" s="60">
        <v>196</v>
      </c>
      <c r="AE477" s="60">
        <v>159</v>
      </c>
      <c r="AF477" s="191">
        <v>12</v>
      </c>
      <c r="AG477" s="117">
        <v>600000451</v>
      </c>
      <c r="AH477" s="104">
        <f>справочники!$C$153</f>
        <v>0.113</v>
      </c>
      <c r="AI477" s="61">
        <f t="shared" si="647"/>
        <v>3</v>
      </c>
      <c r="AJ477" s="122">
        <f t="shared" si="648"/>
        <v>3.173</v>
      </c>
      <c r="AK477" s="37">
        <v>20</v>
      </c>
      <c r="AL477" s="38">
        <v>10</v>
      </c>
      <c r="AM477" s="40">
        <f t="shared" ref="AM477" si="676">AK477*AL477</f>
        <v>200</v>
      </c>
      <c r="AN477" s="206">
        <f t="shared" ref="AN477" si="677">IF(D477="ШТ",кол_во_инд.__упак_к*итого_г_у,ROUNDDOWN(номин.вес_нетто_г_у__кг*итого_г_у,1))</f>
        <v>2400</v>
      </c>
      <c r="AO477" s="204">
        <f t="shared" si="658"/>
        <v>1735</v>
      </c>
    </row>
    <row r="478" spans="1:41" ht="76.5" x14ac:dyDescent="0.2">
      <c r="A478" s="22">
        <f t="shared" si="646"/>
        <v>7248</v>
      </c>
      <c r="B478" s="116">
        <v>1001065237248</v>
      </c>
      <c r="C478" s="48" t="s">
        <v>1210</v>
      </c>
      <c r="D478" s="49" t="s">
        <v>4</v>
      </c>
      <c r="E478" s="146" t="s">
        <v>373</v>
      </c>
      <c r="F478" s="112" t="s">
        <v>353</v>
      </c>
      <c r="G478" s="224" t="s">
        <v>2</v>
      </c>
      <c r="H478" s="49" t="s">
        <v>1</v>
      </c>
      <c r="I478" s="155" t="s">
        <v>54</v>
      </c>
      <c r="J478" s="150" t="s">
        <v>411</v>
      </c>
      <c r="K478" s="51" t="s">
        <v>1114</v>
      </c>
      <c r="L478" s="52">
        <v>12</v>
      </c>
      <c r="M478" s="53">
        <v>65</v>
      </c>
      <c r="N478" s="54">
        <v>0</v>
      </c>
      <c r="O478" s="88" t="s">
        <v>1113</v>
      </c>
      <c r="P478" s="113" t="s">
        <v>106</v>
      </c>
      <c r="Q478" s="49">
        <v>120</v>
      </c>
      <c r="R478" s="56" t="s">
        <v>52</v>
      </c>
      <c r="S478" s="239">
        <v>4607958079452</v>
      </c>
      <c r="T478" s="344">
        <v>14607958079459</v>
      </c>
      <c r="U478" s="46">
        <v>4607958079452</v>
      </c>
      <c r="V478" s="46">
        <v>14607958079459</v>
      </c>
      <c r="W478" s="258">
        <v>405</v>
      </c>
      <c r="X478" s="68">
        <v>70</v>
      </c>
      <c r="Y478" s="60">
        <v>50</v>
      </c>
      <c r="Z478" s="65">
        <v>0.5</v>
      </c>
      <c r="AA478" s="271">
        <v>0.01</v>
      </c>
      <c r="AB478" s="66">
        <f t="shared" ref="AB478" si="678">Z478+AA478</f>
        <v>0.51</v>
      </c>
      <c r="AC478" s="59">
        <v>388</v>
      </c>
      <c r="AD478" s="60">
        <v>193</v>
      </c>
      <c r="AE478" s="60">
        <v>108</v>
      </c>
      <c r="AF478" s="191">
        <v>8</v>
      </c>
      <c r="AG478" s="117">
        <v>600000013</v>
      </c>
      <c r="AH478" s="104">
        <f>справочники!$C$5</f>
        <v>0.14099999999999999</v>
      </c>
      <c r="AI478" s="61">
        <f t="shared" si="647"/>
        <v>4</v>
      </c>
      <c r="AJ478" s="122">
        <f t="shared" si="648"/>
        <v>4.2210000000000001</v>
      </c>
      <c r="AK478" s="37">
        <v>12</v>
      </c>
      <c r="AL478" s="38">
        <v>14</v>
      </c>
      <c r="AM478" s="40">
        <f t="shared" si="659"/>
        <v>168</v>
      </c>
      <c r="AN478" s="206">
        <f t="shared" ref="AN478" si="679">IF(D478="ШТ",кол_во_инд.__упак_к*итого_г_у,ROUNDDOWN(номин.вес_нетто_г_у__кг*итого_г_у,1))</f>
        <v>1344</v>
      </c>
      <c r="AO478" s="204">
        <f t="shared" si="658"/>
        <v>1657</v>
      </c>
    </row>
    <row r="479" spans="1:41" ht="76.5" x14ac:dyDescent="0.2">
      <c r="A479" s="22">
        <f t="shared" si="646"/>
        <v>7140</v>
      </c>
      <c r="B479" s="116">
        <v>1001065237140</v>
      </c>
      <c r="C479" s="48" t="s">
        <v>1115</v>
      </c>
      <c r="D479" s="49" t="s">
        <v>3</v>
      </c>
      <c r="E479" s="146" t="s">
        <v>373</v>
      </c>
      <c r="F479" s="112" t="s">
        <v>353</v>
      </c>
      <c r="G479" s="224" t="s">
        <v>2</v>
      </c>
      <c r="H479" s="49" t="s">
        <v>1</v>
      </c>
      <c r="I479" s="155" t="s">
        <v>54</v>
      </c>
      <c r="J479" s="150" t="s">
        <v>411</v>
      </c>
      <c r="K479" s="51" t="s">
        <v>1114</v>
      </c>
      <c r="L479" s="52">
        <v>12</v>
      </c>
      <c r="M479" s="53">
        <v>65</v>
      </c>
      <c r="N479" s="54">
        <v>0</v>
      </c>
      <c r="O479" s="88" t="s">
        <v>1113</v>
      </c>
      <c r="P479" s="113" t="s">
        <v>106</v>
      </c>
      <c r="Q479" s="49">
        <v>120</v>
      </c>
      <c r="R479" s="56" t="s">
        <v>52</v>
      </c>
      <c r="S479" s="239">
        <v>2800242000008</v>
      </c>
      <c r="T479" s="344">
        <v>12800242000005</v>
      </c>
      <c r="U479" s="46">
        <v>4630362181886</v>
      </c>
      <c r="V479" s="46">
        <v>14630362181883</v>
      </c>
      <c r="W479" s="258">
        <v>405</v>
      </c>
      <c r="X479" s="68">
        <v>70</v>
      </c>
      <c r="Y479" s="60">
        <v>50</v>
      </c>
      <c r="Z479" s="65">
        <v>0.5</v>
      </c>
      <c r="AA479" s="271">
        <v>0.01</v>
      </c>
      <c r="AB479" s="66">
        <f t="shared" ref="AB479" si="680">Z479+AA479</f>
        <v>0.51</v>
      </c>
      <c r="AC479" s="59">
        <v>388</v>
      </c>
      <c r="AD479" s="60">
        <v>193</v>
      </c>
      <c r="AE479" s="60">
        <v>108</v>
      </c>
      <c r="AF479" s="191">
        <v>8</v>
      </c>
      <c r="AG479" s="117">
        <v>600000013</v>
      </c>
      <c r="AH479" s="104">
        <f>справочники!$C$5</f>
        <v>0.14099999999999999</v>
      </c>
      <c r="AI479" s="61">
        <f t="shared" si="647"/>
        <v>4</v>
      </c>
      <c r="AJ479" s="122">
        <f t="shared" si="648"/>
        <v>4.2210000000000001</v>
      </c>
      <c r="AK479" s="37">
        <v>12</v>
      </c>
      <c r="AL479" s="38">
        <v>14</v>
      </c>
      <c r="AM479" s="40">
        <f t="shared" ref="AM479" si="681">AK479*AL479</f>
        <v>168</v>
      </c>
      <c r="AN479" s="214">
        <f t="shared" ref="AN479" si="682">IF(D479="ШТ",кол_во_инд.__упак_к*итого_г_у,ROUNDDOWN(номин.вес_нетто_г_у__кг*итого_г_у,1))</f>
        <v>672</v>
      </c>
      <c r="AO479" s="204">
        <f t="shared" si="658"/>
        <v>1657</v>
      </c>
    </row>
    <row r="480" spans="1:41" ht="76.5" x14ac:dyDescent="0.2">
      <c r="A480" s="22">
        <f t="shared" si="646"/>
        <v>7652</v>
      </c>
      <c r="B480" s="116">
        <v>1001065237652</v>
      </c>
      <c r="C480" s="48" t="s">
        <v>1876</v>
      </c>
      <c r="D480" s="49" t="s">
        <v>3</v>
      </c>
      <c r="E480" s="146" t="s">
        <v>373</v>
      </c>
      <c r="F480" s="112" t="s">
        <v>353</v>
      </c>
      <c r="G480" s="224" t="s">
        <v>2</v>
      </c>
      <c r="H480" s="49" t="s">
        <v>278</v>
      </c>
      <c r="I480" s="155" t="s">
        <v>54</v>
      </c>
      <c r="J480" s="150" t="s">
        <v>411</v>
      </c>
      <c r="K480" s="51" t="s">
        <v>1114</v>
      </c>
      <c r="L480" s="52">
        <v>12</v>
      </c>
      <c r="M480" s="53">
        <v>65</v>
      </c>
      <c r="N480" s="54"/>
      <c r="O480" s="88" t="s">
        <v>1113</v>
      </c>
      <c r="P480" s="113" t="s">
        <v>106</v>
      </c>
      <c r="Q480" s="49">
        <v>30</v>
      </c>
      <c r="R480" s="56"/>
      <c r="S480" s="239">
        <v>2800995000003</v>
      </c>
      <c r="T480" s="344">
        <v>12800995000000</v>
      </c>
      <c r="U480" s="46" t="s">
        <v>1874</v>
      </c>
      <c r="V480" s="46" t="s">
        <v>1874</v>
      </c>
      <c r="W480" s="258"/>
      <c r="X480" s="68"/>
      <c r="Y480" s="60"/>
      <c r="Z480" s="65">
        <v>5</v>
      </c>
      <c r="AA480" s="271">
        <v>2.1999999999999999E-2</v>
      </c>
      <c r="AB480" s="66">
        <f t="shared" ref="AB480" si="683">Z480+AA480</f>
        <v>5.0220000000000002</v>
      </c>
      <c r="AC480" s="59">
        <v>938</v>
      </c>
      <c r="AD480" s="60">
        <v>178</v>
      </c>
      <c r="AE480" s="60">
        <v>178</v>
      </c>
      <c r="AF480" s="191">
        <v>2</v>
      </c>
      <c r="AG480" s="117">
        <v>600000313</v>
      </c>
      <c r="AH480" s="104">
        <f>справочники!$C$62</f>
        <v>0.53100000000000003</v>
      </c>
      <c r="AI480" s="61">
        <f t="shared" si="647"/>
        <v>10</v>
      </c>
      <c r="AJ480" s="122">
        <f t="shared" si="648"/>
        <v>10.575000000000001</v>
      </c>
      <c r="AK480" s="37">
        <v>4</v>
      </c>
      <c r="AL480" s="38">
        <v>6</v>
      </c>
      <c r="AM480" s="40">
        <f t="shared" ref="AM480" si="684">AK480*AL480</f>
        <v>24</v>
      </c>
      <c r="AN480" s="214">
        <f t="shared" ref="AN480" si="685">IF(D480="ШТ",кол_во_инд.__упак_к*итого_г_у,ROUNDDOWN(номин.вес_нетто_г_у__кг*итого_г_у,1))</f>
        <v>240</v>
      </c>
      <c r="AO480" s="204">
        <f t="shared" si="658"/>
        <v>1213</v>
      </c>
    </row>
    <row r="481" spans="1:41" ht="153" x14ac:dyDescent="0.2">
      <c r="A481" s="22">
        <f t="shared" si="646"/>
        <v>7364</v>
      </c>
      <c r="B481" s="116">
        <v>1001063217364</v>
      </c>
      <c r="C481" s="55" t="s">
        <v>1370</v>
      </c>
      <c r="D481" s="87" t="s">
        <v>4</v>
      </c>
      <c r="E481" s="146" t="s">
        <v>373</v>
      </c>
      <c r="F481" s="112" t="s">
        <v>353</v>
      </c>
      <c r="G481" s="226" t="s">
        <v>2</v>
      </c>
      <c r="H481" s="87" t="s">
        <v>278</v>
      </c>
      <c r="I481" s="155" t="s">
        <v>382</v>
      </c>
      <c r="J481" s="150" t="s">
        <v>418</v>
      </c>
      <c r="K481" s="51" t="s">
        <v>1371</v>
      </c>
      <c r="L481" s="52">
        <v>12</v>
      </c>
      <c r="M481" s="53">
        <v>26</v>
      </c>
      <c r="N481" s="54">
        <v>2</v>
      </c>
      <c r="O481" s="88" t="s">
        <v>669</v>
      </c>
      <c r="P481" s="113" t="s">
        <v>104</v>
      </c>
      <c r="Q481" s="87">
        <v>90</v>
      </c>
      <c r="R481" s="82" t="s">
        <v>51</v>
      </c>
      <c r="S481" s="237">
        <v>4630362180179</v>
      </c>
      <c r="T481" s="332">
        <v>14630362180176</v>
      </c>
      <c r="U481" s="46">
        <v>4630362180179</v>
      </c>
      <c r="V481" s="46">
        <v>14630362180176</v>
      </c>
      <c r="W481" s="258">
        <v>240</v>
      </c>
      <c r="X481" s="68">
        <v>65</v>
      </c>
      <c r="Y481" s="68">
        <v>44</v>
      </c>
      <c r="Z481" s="92">
        <v>0.22</v>
      </c>
      <c r="AA481" s="271">
        <v>5.0000000000000001E-3</v>
      </c>
      <c r="AB481" s="66">
        <f t="shared" si="657"/>
        <v>0.22500000000000001</v>
      </c>
      <c r="AC481" s="67">
        <v>218</v>
      </c>
      <c r="AD481" s="68">
        <v>193</v>
      </c>
      <c r="AE481" s="68">
        <v>108</v>
      </c>
      <c r="AF481" s="194">
        <v>8</v>
      </c>
      <c r="AG481" s="117">
        <v>600000150</v>
      </c>
      <c r="AH481" s="105">
        <f>справочники!$C$43</f>
        <v>8.5999999999999993E-2</v>
      </c>
      <c r="AI481" s="61">
        <f t="shared" si="647"/>
        <v>1.76</v>
      </c>
      <c r="AJ481" s="122">
        <f t="shared" si="648"/>
        <v>1.8860000000000001</v>
      </c>
      <c r="AK481" s="33">
        <v>20</v>
      </c>
      <c r="AL481" s="34">
        <v>14</v>
      </c>
      <c r="AM481" s="40">
        <f t="shared" ref="AM481" si="686">AK481*AL481</f>
        <v>280</v>
      </c>
      <c r="AN481" s="206">
        <f t="shared" si="653"/>
        <v>2240</v>
      </c>
      <c r="AO481" s="204">
        <f t="shared" si="658"/>
        <v>1657</v>
      </c>
    </row>
    <row r="482" spans="1:41" ht="153" x14ac:dyDescent="0.2">
      <c r="A482" s="22">
        <f t="shared" si="646"/>
        <v>7464</v>
      </c>
      <c r="B482" s="116">
        <v>1001063217464</v>
      </c>
      <c r="C482" s="55" t="s">
        <v>1538</v>
      </c>
      <c r="D482" s="87" t="s">
        <v>4</v>
      </c>
      <c r="E482" s="146" t="s">
        <v>373</v>
      </c>
      <c r="F482" s="112" t="s">
        <v>353</v>
      </c>
      <c r="G482" s="226" t="s">
        <v>2</v>
      </c>
      <c r="H482" s="87" t="s">
        <v>278</v>
      </c>
      <c r="I482" s="155" t="s">
        <v>382</v>
      </c>
      <c r="J482" s="150" t="s">
        <v>418</v>
      </c>
      <c r="K482" s="51" t="s">
        <v>1371</v>
      </c>
      <c r="L482" s="52">
        <v>12</v>
      </c>
      <c r="M482" s="53">
        <v>26</v>
      </c>
      <c r="N482" s="54">
        <v>2</v>
      </c>
      <c r="O482" s="88" t="s">
        <v>669</v>
      </c>
      <c r="P482" s="113" t="s">
        <v>104</v>
      </c>
      <c r="Q482" s="87">
        <v>90</v>
      </c>
      <c r="R482" s="82" t="s">
        <v>51</v>
      </c>
      <c r="S482" s="237">
        <v>4630362180179</v>
      </c>
      <c r="T482" s="332">
        <v>14630362180176</v>
      </c>
      <c r="U482" s="46">
        <v>4630362180179</v>
      </c>
      <c r="V482" s="46">
        <v>14630362180176</v>
      </c>
      <c r="W482" s="258">
        <v>240</v>
      </c>
      <c r="X482" s="68">
        <v>65</v>
      </c>
      <c r="Y482" s="68">
        <v>44</v>
      </c>
      <c r="Z482" s="92">
        <v>0.22</v>
      </c>
      <c r="AA482" s="271">
        <v>5.0000000000000001E-3</v>
      </c>
      <c r="AB482" s="66">
        <f t="shared" ref="AB482" si="687">Z482+AA482</f>
        <v>0.22500000000000001</v>
      </c>
      <c r="AC482" s="67">
        <v>218</v>
      </c>
      <c r="AD482" s="68">
        <v>193</v>
      </c>
      <c r="AE482" s="68">
        <v>108</v>
      </c>
      <c r="AF482" s="194">
        <v>8</v>
      </c>
      <c r="AG482" s="117">
        <v>600000150</v>
      </c>
      <c r="AH482" s="105">
        <f>справочники!$C$43</f>
        <v>8.5999999999999993E-2</v>
      </c>
      <c r="AI482" s="61">
        <f t="shared" si="647"/>
        <v>1.76</v>
      </c>
      <c r="AJ482" s="122">
        <f t="shared" si="648"/>
        <v>1.8860000000000001</v>
      </c>
      <c r="AK482" s="33">
        <v>20</v>
      </c>
      <c r="AL482" s="34">
        <v>14</v>
      </c>
      <c r="AM482" s="40">
        <f t="shared" ref="AM482" si="688">AK482*AL482</f>
        <v>280</v>
      </c>
      <c r="AN482" s="206">
        <f t="shared" ref="AN482" si="689">IF(D482="ШТ",кол_во_инд.__упак_к*итого_г_у,ROUNDDOWN(номин.вес_нетто_г_у__кг*итого_г_у,1))</f>
        <v>2240</v>
      </c>
      <c r="AO482" s="204">
        <f t="shared" si="658"/>
        <v>1657</v>
      </c>
    </row>
    <row r="483" spans="1:41" ht="153" x14ac:dyDescent="0.2">
      <c r="A483" s="22">
        <f t="shared" si="646"/>
        <v>7366</v>
      </c>
      <c r="B483" s="116">
        <v>1001063217366</v>
      </c>
      <c r="C483" s="55" t="s">
        <v>1378</v>
      </c>
      <c r="D483" s="87" t="s">
        <v>3</v>
      </c>
      <c r="E483" s="146" t="s">
        <v>373</v>
      </c>
      <c r="F483" s="112" t="s">
        <v>353</v>
      </c>
      <c r="G483" s="226" t="s">
        <v>2</v>
      </c>
      <c r="H483" s="87" t="s">
        <v>278</v>
      </c>
      <c r="I483" s="155" t="s">
        <v>382</v>
      </c>
      <c r="J483" s="150" t="s">
        <v>418</v>
      </c>
      <c r="K483" s="51" t="s">
        <v>1371</v>
      </c>
      <c r="L483" s="52">
        <v>12</v>
      </c>
      <c r="M483" s="53">
        <v>26</v>
      </c>
      <c r="N483" s="54">
        <v>2</v>
      </c>
      <c r="O483" s="88" t="s">
        <v>669</v>
      </c>
      <c r="P483" s="113" t="s">
        <v>106</v>
      </c>
      <c r="Q483" s="87">
        <v>90</v>
      </c>
      <c r="R483" s="82" t="s">
        <v>52</v>
      </c>
      <c r="S483" s="237">
        <v>2800113000007</v>
      </c>
      <c r="T483" s="332">
        <v>12800113000004</v>
      </c>
      <c r="U483" s="46" t="s">
        <v>1874</v>
      </c>
      <c r="V483" s="46" t="s">
        <v>1874</v>
      </c>
      <c r="W483" s="258"/>
      <c r="X483" s="68"/>
      <c r="Y483" s="68"/>
      <c r="Z483" s="92">
        <v>13.2</v>
      </c>
      <c r="AA483" s="271">
        <v>6.5000000000000002E-2</v>
      </c>
      <c r="AB483" s="66">
        <f t="shared" si="657"/>
        <v>13.264999999999999</v>
      </c>
      <c r="AC483" s="67">
        <v>388</v>
      </c>
      <c r="AD483" s="68">
        <v>292</v>
      </c>
      <c r="AE483" s="68">
        <v>240</v>
      </c>
      <c r="AF483" s="194">
        <v>1</v>
      </c>
      <c r="AG483" s="117">
        <v>600000017</v>
      </c>
      <c r="AH483" s="105">
        <f>справочники!$C$9</f>
        <v>0.34899999999999998</v>
      </c>
      <c r="AI483" s="61">
        <f t="shared" si="647"/>
        <v>13.2</v>
      </c>
      <c r="AJ483" s="122">
        <f t="shared" si="648"/>
        <v>13.613999999999999</v>
      </c>
      <c r="AK483" s="33">
        <v>8</v>
      </c>
      <c r="AL483" s="34">
        <v>5</v>
      </c>
      <c r="AM483" s="40">
        <f t="shared" ref="AM483" si="690">AK483*AL483</f>
        <v>40</v>
      </c>
      <c r="AN483" s="272">
        <f t="shared" ref="AN483" si="691">IF(D483="ШТ",кол_во_инд.__упак_к*итого_г_у,ROUNDDOWN(номин.вес_нетто_г_у__кг*итого_г_у,1))</f>
        <v>528</v>
      </c>
      <c r="AO483" s="204">
        <f t="shared" si="658"/>
        <v>1345</v>
      </c>
    </row>
    <row r="484" spans="1:41" ht="102.75" customHeight="1" x14ac:dyDescent="0.2">
      <c r="A484" s="22">
        <f t="shared" si="646"/>
        <v>5483</v>
      </c>
      <c r="B484" s="116">
        <v>1001062505483</v>
      </c>
      <c r="C484" s="48" t="s">
        <v>207</v>
      </c>
      <c r="D484" s="49" t="s">
        <v>4</v>
      </c>
      <c r="E484" s="146" t="s">
        <v>373</v>
      </c>
      <c r="F484" s="112" t="s">
        <v>353</v>
      </c>
      <c r="G484" s="224" t="s">
        <v>6</v>
      </c>
      <c r="H484" s="49" t="s">
        <v>1</v>
      </c>
      <c r="I484" s="155" t="s">
        <v>1940</v>
      </c>
      <c r="J484" s="150" t="s">
        <v>418</v>
      </c>
      <c r="K484" s="83" t="s">
        <v>2029</v>
      </c>
      <c r="L484" s="84">
        <v>18</v>
      </c>
      <c r="M484" s="85">
        <v>38</v>
      </c>
      <c r="N484" s="91">
        <v>3</v>
      </c>
      <c r="O484" s="86" t="s">
        <v>2028</v>
      </c>
      <c r="P484" s="113" t="s">
        <v>104</v>
      </c>
      <c r="Q484" s="49">
        <v>120</v>
      </c>
      <c r="R484" s="56" t="s">
        <v>51</v>
      </c>
      <c r="S484" s="237">
        <v>4607958071968</v>
      </c>
      <c r="T484" s="332">
        <v>14607958071965</v>
      </c>
      <c r="U484" s="46">
        <v>4607958071968</v>
      </c>
      <c r="V484" s="46">
        <v>14607958071965</v>
      </c>
      <c r="W484" s="258">
        <v>240</v>
      </c>
      <c r="X484" s="68">
        <v>67</v>
      </c>
      <c r="Y484" s="60">
        <v>44</v>
      </c>
      <c r="Z484" s="65">
        <v>0.25</v>
      </c>
      <c r="AA484" s="271">
        <v>5.0000000000000001E-3</v>
      </c>
      <c r="AB484" s="66">
        <f t="shared" si="657"/>
        <v>0.255</v>
      </c>
      <c r="AC484" s="59">
        <v>218</v>
      </c>
      <c r="AD484" s="60">
        <v>193</v>
      </c>
      <c r="AE484" s="60">
        <v>108</v>
      </c>
      <c r="AF484" s="191">
        <v>8</v>
      </c>
      <c r="AG484" s="117">
        <v>600000150</v>
      </c>
      <c r="AH484" s="104">
        <f>справочники!$C$43</f>
        <v>8.5999999999999993E-2</v>
      </c>
      <c r="AI484" s="62">
        <f t="shared" si="647"/>
        <v>2</v>
      </c>
      <c r="AJ484" s="122">
        <f t="shared" si="648"/>
        <v>2.1259999999999999</v>
      </c>
      <c r="AK484" s="37">
        <v>20</v>
      </c>
      <c r="AL484" s="38">
        <v>14</v>
      </c>
      <c r="AM484" s="40">
        <f t="shared" si="649"/>
        <v>280</v>
      </c>
      <c r="AN484" s="206">
        <f t="shared" si="653"/>
        <v>2240</v>
      </c>
      <c r="AO484" s="204">
        <f t="shared" si="658"/>
        <v>1657</v>
      </c>
    </row>
    <row r="485" spans="1:41" ht="165.75" x14ac:dyDescent="0.2">
      <c r="A485" s="22">
        <f t="shared" si="646"/>
        <v>7463</v>
      </c>
      <c r="B485" s="116">
        <v>1001062507463</v>
      </c>
      <c r="C485" s="48" t="s">
        <v>1537</v>
      </c>
      <c r="D485" s="49" t="s">
        <v>4</v>
      </c>
      <c r="E485" s="146" t="s">
        <v>373</v>
      </c>
      <c r="F485" s="112" t="s">
        <v>353</v>
      </c>
      <c r="G485" s="224" t="s">
        <v>6</v>
      </c>
      <c r="H485" s="49" t="s">
        <v>1</v>
      </c>
      <c r="I485" s="155" t="s">
        <v>1940</v>
      </c>
      <c r="J485" s="150" t="s">
        <v>418</v>
      </c>
      <c r="K485" s="83" t="s">
        <v>2029</v>
      </c>
      <c r="L485" s="84">
        <v>18</v>
      </c>
      <c r="M485" s="85">
        <v>38</v>
      </c>
      <c r="N485" s="91">
        <v>3</v>
      </c>
      <c r="O485" s="86" t="s">
        <v>2028</v>
      </c>
      <c r="P485" s="113" t="s">
        <v>104</v>
      </c>
      <c r="Q485" s="49">
        <v>120</v>
      </c>
      <c r="R485" s="56" t="s">
        <v>51</v>
      </c>
      <c r="S485" s="237">
        <v>4607958071968</v>
      </c>
      <c r="T485" s="332">
        <v>14607958071965</v>
      </c>
      <c r="U485" s="46">
        <v>4607958071968</v>
      </c>
      <c r="V485" s="46">
        <v>14607958071965</v>
      </c>
      <c r="W485" s="258">
        <v>240</v>
      </c>
      <c r="X485" s="68">
        <v>67</v>
      </c>
      <c r="Y485" s="60">
        <v>44</v>
      </c>
      <c r="Z485" s="65">
        <v>0.25</v>
      </c>
      <c r="AA485" s="271">
        <v>5.0000000000000001E-3</v>
      </c>
      <c r="AB485" s="66">
        <f t="shared" ref="AB485" si="692">Z485+AA485</f>
        <v>0.255</v>
      </c>
      <c r="AC485" s="59">
        <v>218</v>
      </c>
      <c r="AD485" s="60">
        <v>193</v>
      </c>
      <c r="AE485" s="60">
        <v>108</v>
      </c>
      <c r="AF485" s="191">
        <v>8</v>
      </c>
      <c r="AG485" s="117">
        <v>600000150</v>
      </c>
      <c r="AH485" s="104">
        <f>справочники!$C$43</f>
        <v>8.5999999999999993E-2</v>
      </c>
      <c r="AI485" s="62">
        <f t="shared" si="647"/>
        <v>2</v>
      </c>
      <c r="AJ485" s="122">
        <f t="shared" si="648"/>
        <v>2.1259999999999999</v>
      </c>
      <c r="AK485" s="37">
        <v>20</v>
      </c>
      <c r="AL485" s="38">
        <v>14</v>
      </c>
      <c r="AM485" s="40">
        <f t="shared" ref="AM485" si="693">AK485*AL485</f>
        <v>280</v>
      </c>
      <c r="AN485" s="206">
        <f t="shared" ref="AN485" si="694">IF(D485="ШТ",кол_во_инд.__упак_к*итого_г_у,ROUNDDOWN(номин.вес_нетто_г_у__кг*итого_г_у,1))</f>
        <v>2240</v>
      </c>
      <c r="AO485" s="204">
        <f t="shared" si="658"/>
        <v>1657</v>
      </c>
    </row>
    <row r="486" spans="1:41" ht="102.75" customHeight="1" x14ac:dyDescent="0.2">
      <c r="A486" s="22">
        <f t="shared" si="646"/>
        <v>4117</v>
      </c>
      <c r="B486" s="116">
        <v>1001062504117</v>
      </c>
      <c r="C486" s="48" t="s">
        <v>222</v>
      </c>
      <c r="D486" s="49" t="s">
        <v>3</v>
      </c>
      <c r="E486" s="146" t="s">
        <v>373</v>
      </c>
      <c r="F486" s="112" t="s">
        <v>353</v>
      </c>
      <c r="G486" s="224" t="s">
        <v>6</v>
      </c>
      <c r="H486" s="49" t="s">
        <v>1</v>
      </c>
      <c r="I486" s="155" t="s">
        <v>1940</v>
      </c>
      <c r="J486" s="150" t="s">
        <v>418</v>
      </c>
      <c r="K486" s="83" t="s">
        <v>2029</v>
      </c>
      <c r="L486" s="84">
        <v>18</v>
      </c>
      <c r="M486" s="85">
        <v>38</v>
      </c>
      <c r="N486" s="91">
        <v>3</v>
      </c>
      <c r="O486" s="86" t="s">
        <v>2028</v>
      </c>
      <c r="P486" s="113" t="s">
        <v>106</v>
      </c>
      <c r="Q486" s="49">
        <v>120</v>
      </c>
      <c r="R486" s="56" t="s">
        <v>52</v>
      </c>
      <c r="S486" s="245">
        <v>2412112000003</v>
      </c>
      <c r="T486" s="345">
        <v>12412112000000</v>
      </c>
      <c r="U486" s="46">
        <v>4630362181893</v>
      </c>
      <c r="V486" s="46">
        <v>14630362181890</v>
      </c>
      <c r="W486" s="258">
        <v>405</v>
      </c>
      <c r="X486" s="68">
        <v>70</v>
      </c>
      <c r="Y486" s="60">
        <v>45</v>
      </c>
      <c r="Z486" s="65">
        <v>0.49399999999999999</v>
      </c>
      <c r="AA486" s="271">
        <v>0.01</v>
      </c>
      <c r="AB486" s="66">
        <f t="shared" si="657"/>
        <v>0.504</v>
      </c>
      <c r="AC486" s="59">
        <v>388</v>
      </c>
      <c r="AD486" s="60">
        <v>193</v>
      </c>
      <c r="AE486" s="60">
        <v>108</v>
      </c>
      <c r="AF486" s="191">
        <v>8</v>
      </c>
      <c r="AG486" s="117">
        <v>600000013</v>
      </c>
      <c r="AH486" s="104">
        <f>справочники!$C$5</f>
        <v>0.14099999999999999</v>
      </c>
      <c r="AI486" s="62">
        <f t="shared" si="647"/>
        <v>3.95</v>
      </c>
      <c r="AJ486" s="122">
        <f t="shared" si="648"/>
        <v>4.173</v>
      </c>
      <c r="AK486" s="37">
        <v>12</v>
      </c>
      <c r="AL486" s="38">
        <v>14</v>
      </c>
      <c r="AM486" s="40">
        <f t="shared" si="649"/>
        <v>168</v>
      </c>
      <c r="AN486" s="214">
        <f t="shared" si="653"/>
        <v>663.6</v>
      </c>
      <c r="AO486" s="204">
        <f t="shared" si="658"/>
        <v>1657</v>
      </c>
    </row>
    <row r="487" spans="1:41" ht="76.5" x14ac:dyDescent="0.2">
      <c r="A487" s="22">
        <f t="shared" si="646"/>
        <v>7635</v>
      </c>
      <c r="B487" s="116">
        <v>1001065237635</v>
      </c>
      <c r="C487" s="48" t="s">
        <v>2109</v>
      </c>
      <c r="D487" s="87" t="s">
        <v>4</v>
      </c>
      <c r="E487" s="146" t="s">
        <v>373</v>
      </c>
      <c r="F487" s="112" t="s">
        <v>353</v>
      </c>
      <c r="G487" s="224" t="s">
        <v>2</v>
      </c>
      <c r="H487" s="49" t="s">
        <v>278</v>
      </c>
      <c r="I487" s="155" t="s">
        <v>54</v>
      </c>
      <c r="J487" s="150" t="s">
        <v>411</v>
      </c>
      <c r="K487" s="51" t="s">
        <v>1114</v>
      </c>
      <c r="L487" s="52">
        <v>12</v>
      </c>
      <c r="M487" s="53">
        <v>65</v>
      </c>
      <c r="N487" s="54"/>
      <c r="O487" s="88" t="s">
        <v>1113</v>
      </c>
      <c r="P487" s="113" t="s">
        <v>106</v>
      </c>
      <c r="Q487" s="49">
        <v>30</v>
      </c>
      <c r="R487" s="56"/>
      <c r="S487" s="239">
        <v>4607958079452</v>
      </c>
      <c r="T487" s="344">
        <v>24607958079456</v>
      </c>
      <c r="U487" s="46" t="s">
        <v>1874</v>
      </c>
      <c r="V487" s="46" t="s">
        <v>1874</v>
      </c>
      <c r="W487" s="258"/>
      <c r="X487" s="68"/>
      <c r="Y487" s="60"/>
      <c r="Z487" s="65">
        <v>0.5</v>
      </c>
      <c r="AA487" s="271">
        <v>2.1999999999999999E-2</v>
      </c>
      <c r="AB487" s="66">
        <f t="shared" ref="AB487" si="695">Z487+AA487</f>
        <v>0.52200000000000002</v>
      </c>
      <c r="AC487" s="59">
        <v>410</v>
      </c>
      <c r="AD487" s="60">
        <v>292</v>
      </c>
      <c r="AE487" s="60">
        <v>242</v>
      </c>
      <c r="AF487" s="191">
        <v>30</v>
      </c>
      <c r="AG487" s="117">
        <v>600000411</v>
      </c>
      <c r="AH487" s="104">
        <f>справочники!$C$102</f>
        <v>0.433</v>
      </c>
      <c r="AI487" s="61">
        <f t="shared" si="647"/>
        <v>15</v>
      </c>
      <c r="AJ487" s="122">
        <f t="shared" si="648"/>
        <v>16.093</v>
      </c>
      <c r="AK487" s="37">
        <v>8</v>
      </c>
      <c r="AL487" s="38">
        <v>6</v>
      </c>
      <c r="AM487" s="40">
        <f t="shared" ref="AM487" si="696">AK487*AL487</f>
        <v>48</v>
      </c>
      <c r="AN487" s="206">
        <f t="shared" ref="AN487" si="697">IF(D487="ШТ",кол_во_инд.__упак_к*итого_г_у,ROUNDDOWN(номин.вес_нетто_г_у__кг*итого_г_у,1))</f>
        <v>1440</v>
      </c>
      <c r="AO487" s="204">
        <f t="shared" si="658"/>
        <v>1597</v>
      </c>
    </row>
    <row r="488" spans="1:41" ht="102.75" customHeight="1" x14ac:dyDescent="0.2">
      <c r="A488" s="22">
        <f t="shared" si="646"/>
        <v>4674</v>
      </c>
      <c r="B488" s="116">
        <v>1001062504674</v>
      </c>
      <c r="C488" s="55" t="s">
        <v>345</v>
      </c>
      <c r="D488" s="87" t="s">
        <v>3</v>
      </c>
      <c r="E488" s="146" t="s">
        <v>373</v>
      </c>
      <c r="F488" s="112" t="s">
        <v>353</v>
      </c>
      <c r="G488" s="226" t="s">
        <v>6</v>
      </c>
      <c r="H488" s="87" t="s">
        <v>1</v>
      </c>
      <c r="I488" s="155" t="s">
        <v>1940</v>
      </c>
      <c r="J488" s="150" t="s">
        <v>418</v>
      </c>
      <c r="K488" s="83" t="s">
        <v>2029</v>
      </c>
      <c r="L488" s="84">
        <v>18</v>
      </c>
      <c r="M488" s="85">
        <v>38</v>
      </c>
      <c r="N488" s="91">
        <v>3</v>
      </c>
      <c r="O488" s="86" t="s">
        <v>2028</v>
      </c>
      <c r="P488" s="113" t="s">
        <v>106</v>
      </c>
      <c r="Q488" s="87">
        <v>120</v>
      </c>
      <c r="R488" s="82" t="s">
        <v>52</v>
      </c>
      <c r="S488" s="245">
        <v>2800441000007</v>
      </c>
      <c r="T488" s="345">
        <v>12800441000004</v>
      </c>
      <c r="U488" s="46" t="s">
        <v>1874</v>
      </c>
      <c r="V488" s="46" t="s">
        <v>1874</v>
      </c>
      <c r="W488" s="258">
        <v>405</v>
      </c>
      <c r="X488" s="68">
        <v>70</v>
      </c>
      <c r="Y488" s="68">
        <v>45</v>
      </c>
      <c r="Z488" s="92">
        <v>0.5</v>
      </c>
      <c r="AA488" s="271">
        <v>0.01</v>
      </c>
      <c r="AB488" s="94">
        <f t="shared" si="657"/>
        <v>0.51</v>
      </c>
      <c r="AC488" s="59">
        <v>410</v>
      </c>
      <c r="AD488" s="68">
        <v>292</v>
      </c>
      <c r="AE488" s="68">
        <v>242</v>
      </c>
      <c r="AF488" s="194">
        <v>30</v>
      </c>
      <c r="AG488" s="117">
        <v>600000411</v>
      </c>
      <c r="AH488" s="104">
        <f>справочники!$C$102</f>
        <v>0.433</v>
      </c>
      <c r="AI488" s="61">
        <f t="shared" si="647"/>
        <v>15</v>
      </c>
      <c r="AJ488" s="123">
        <f t="shared" si="648"/>
        <v>15.733000000000001</v>
      </c>
      <c r="AK488" s="33">
        <v>8</v>
      </c>
      <c r="AL488" s="34">
        <v>6</v>
      </c>
      <c r="AM488" s="40">
        <f t="shared" si="649"/>
        <v>48</v>
      </c>
      <c r="AN488" s="214">
        <f t="shared" si="653"/>
        <v>720</v>
      </c>
      <c r="AO488" s="204">
        <f t="shared" si="658"/>
        <v>1597</v>
      </c>
    </row>
    <row r="489" spans="1:41" ht="153" x14ac:dyDescent="0.2">
      <c r="A489" s="22">
        <f t="shared" si="646"/>
        <v>5913</v>
      </c>
      <c r="B489" s="116">
        <v>1001062505913</v>
      </c>
      <c r="C489" s="48" t="s">
        <v>992</v>
      </c>
      <c r="D489" s="49" t="s">
        <v>3</v>
      </c>
      <c r="E489" s="146" t="s">
        <v>373</v>
      </c>
      <c r="F489" s="112" t="s">
        <v>353</v>
      </c>
      <c r="G489" s="224" t="s">
        <v>2</v>
      </c>
      <c r="H489" s="58" t="s">
        <v>1118</v>
      </c>
      <c r="I489" s="154" t="s">
        <v>398</v>
      </c>
      <c r="J489" s="151" t="s">
        <v>418</v>
      </c>
      <c r="K489" s="51" t="s">
        <v>968</v>
      </c>
      <c r="L489" s="84">
        <v>23</v>
      </c>
      <c r="M489" s="85">
        <v>32</v>
      </c>
      <c r="N489" s="91"/>
      <c r="O489" s="86" t="s">
        <v>354</v>
      </c>
      <c r="P489" s="31" t="s">
        <v>106</v>
      </c>
      <c r="Q489" s="87">
        <v>120</v>
      </c>
      <c r="R489" s="82" t="s">
        <v>52</v>
      </c>
      <c r="S489" s="239">
        <v>2800441000007</v>
      </c>
      <c r="T489" s="344">
        <v>12800441000004</v>
      </c>
      <c r="U489" s="46" t="s">
        <v>1874</v>
      </c>
      <c r="V489" s="46" t="s">
        <v>1874</v>
      </c>
      <c r="W489" s="258"/>
      <c r="X489" s="68"/>
      <c r="Y489" s="68"/>
      <c r="Z489" s="65">
        <v>13.5</v>
      </c>
      <c r="AA489" s="271">
        <v>0.15</v>
      </c>
      <c r="AB489" s="66">
        <f t="shared" si="657"/>
        <v>13.65</v>
      </c>
      <c r="AC489" s="59">
        <v>938</v>
      </c>
      <c r="AD489" s="60">
        <v>178</v>
      </c>
      <c r="AE489" s="60">
        <v>178</v>
      </c>
      <c r="AF489" s="191">
        <v>1</v>
      </c>
      <c r="AG489" s="117">
        <v>600000313</v>
      </c>
      <c r="AH489" s="104">
        <f>справочники!$C$62</f>
        <v>0.53100000000000003</v>
      </c>
      <c r="AI489" s="61">
        <f t="shared" si="647"/>
        <v>13.5</v>
      </c>
      <c r="AJ489" s="122">
        <f t="shared" si="648"/>
        <v>14.181000000000001</v>
      </c>
      <c r="AK489" s="37">
        <v>4</v>
      </c>
      <c r="AL489" s="38">
        <v>6</v>
      </c>
      <c r="AM489" s="40">
        <f>AK489*AL489</f>
        <v>24</v>
      </c>
      <c r="AN489" s="214">
        <f t="shared" si="653"/>
        <v>324</v>
      </c>
      <c r="AO489" s="204">
        <f t="shared" si="658"/>
        <v>1213</v>
      </c>
    </row>
    <row r="490" spans="1:41" ht="102" customHeight="1" x14ac:dyDescent="0.2">
      <c r="A490" s="22">
        <f t="shared" si="646"/>
        <v>6575</v>
      </c>
      <c r="B490" s="116">
        <v>1001062506575</v>
      </c>
      <c r="C490" s="48" t="s">
        <v>346</v>
      </c>
      <c r="D490" s="49" t="s">
        <v>4</v>
      </c>
      <c r="E490" s="146" t="s">
        <v>373</v>
      </c>
      <c r="F490" s="112" t="s">
        <v>353</v>
      </c>
      <c r="G490" s="224" t="s">
        <v>6</v>
      </c>
      <c r="H490" s="49" t="s">
        <v>1</v>
      </c>
      <c r="I490" s="155" t="s">
        <v>1940</v>
      </c>
      <c r="J490" s="150" t="s">
        <v>418</v>
      </c>
      <c r="K490" s="83" t="s">
        <v>2029</v>
      </c>
      <c r="L490" s="84">
        <v>18</v>
      </c>
      <c r="M490" s="85">
        <v>38</v>
      </c>
      <c r="N490" s="91">
        <v>3</v>
      </c>
      <c r="O490" s="86" t="s">
        <v>2028</v>
      </c>
      <c r="P490" s="113" t="s">
        <v>104</v>
      </c>
      <c r="Q490" s="49">
        <v>120</v>
      </c>
      <c r="R490" s="56" t="s">
        <v>51</v>
      </c>
      <c r="S490" s="237">
        <v>4607958071968</v>
      </c>
      <c r="T490" s="332">
        <v>14607958071965</v>
      </c>
      <c r="U490" s="46" t="s">
        <v>1874</v>
      </c>
      <c r="V490" s="46" t="s">
        <v>1874</v>
      </c>
      <c r="W490" s="258">
        <v>240</v>
      </c>
      <c r="X490" s="68">
        <v>67</v>
      </c>
      <c r="Y490" s="60">
        <v>44</v>
      </c>
      <c r="Z490" s="65">
        <v>0.25</v>
      </c>
      <c r="AA490" s="271">
        <v>5.0000000000000001E-3</v>
      </c>
      <c r="AB490" s="66">
        <f t="shared" si="657"/>
        <v>0.255</v>
      </c>
      <c r="AC490" s="59">
        <v>410</v>
      </c>
      <c r="AD490" s="60">
        <v>292</v>
      </c>
      <c r="AE490" s="60">
        <v>242</v>
      </c>
      <c r="AF490" s="191">
        <v>48</v>
      </c>
      <c r="AG490" s="117">
        <v>600000411</v>
      </c>
      <c r="AH490" s="104">
        <f>справочники!$C$102</f>
        <v>0.433</v>
      </c>
      <c r="AI490" s="62">
        <f t="shared" si="647"/>
        <v>12</v>
      </c>
      <c r="AJ490" s="123">
        <f t="shared" si="648"/>
        <v>12.673</v>
      </c>
      <c r="AK490" s="37">
        <v>8</v>
      </c>
      <c r="AL490" s="38">
        <v>6</v>
      </c>
      <c r="AM490" s="40">
        <f>AK490*AL490</f>
        <v>48</v>
      </c>
      <c r="AN490" s="206">
        <f t="shared" si="653"/>
        <v>2304</v>
      </c>
      <c r="AO490" s="204">
        <f t="shared" si="658"/>
        <v>1597</v>
      </c>
    </row>
    <row r="491" spans="1:41" ht="140.25" x14ac:dyDescent="0.2">
      <c r="A491" s="22">
        <f t="shared" si="646"/>
        <v>4023</v>
      </c>
      <c r="B491" s="116">
        <v>1001062474023</v>
      </c>
      <c r="C491" s="48" t="s">
        <v>59</v>
      </c>
      <c r="D491" s="49" t="s">
        <v>4</v>
      </c>
      <c r="E491" s="146" t="s">
        <v>373</v>
      </c>
      <c r="F491" s="112" t="s">
        <v>353</v>
      </c>
      <c r="G491" s="224" t="s">
        <v>2</v>
      </c>
      <c r="H491" s="49" t="s">
        <v>1</v>
      </c>
      <c r="I491" s="155" t="s">
        <v>1940</v>
      </c>
      <c r="J491" s="150" t="s">
        <v>418</v>
      </c>
      <c r="K491" s="51" t="s">
        <v>2040</v>
      </c>
      <c r="L491" s="52">
        <v>20</v>
      </c>
      <c r="M491" s="53">
        <v>39</v>
      </c>
      <c r="N491" s="54">
        <v>5</v>
      </c>
      <c r="O491" s="88" t="s">
        <v>2039</v>
      </c>
      <c r="P491" s="113" t="s">
        <v>104</v>
      </c>
      <c r="Q491" s="49">
        <v>120</v>
      </c>
      <c r="R491" s="56" t="s">
        <v>51</v>
      </c>
      <c r="S491" s="46">
        <v>4607958074891</v>
      </c>
      <c r="T491" s="46">
        <v>14607958074898</v>
      </c>
      <c r="U491" s="46">
        <v>4607958074891</v>
      </c>
      <c r="V491" s="46">
        <v>14607958074898</v>
      </c>
      <c r="W491" s="258">
        <v>240</v>
      </c>
      <c r="X491" s="68">
        <v>67</v>
      </c>
      <c r="Y491" s="60">
        <v>44</v>
      </c>
      <c r="Z491" s="65">
        <v>0.25</v>
      </c>
      <c r="AA491" s="271">
        <v>5.0000000000000001E-3</v>
      </c>
      <c r="AB491" s="66">
        <f t="shared" si="657"/>
        <v>0.255</v>
      </c>
      <c r="AC491" s="59">
        <v>218</v>
      </c>
      <c r="AD491" s="60">
        <v>193</v>
      </c>
      <c r="AE491" s="60">
        <v>108</v>
      </c>
      <c r="AF491" s="191">
        <v>8</v>
      </c>
      <c r="AG491" s="117">
        <v>600000150</v>
      </c>
      <c r="AH491" s="104">
        <f>справочники!$C$43</f>
        <v>8.5999999999999993E-2</v>
      </c>
      <c r="AI491" s="62">
        <f t="shared" si="647"/>
        <v>2</v>
      </c>
      <c r="AJ491" s="122">
        <f t="shared" si="648"/>
        <v>2.1259999999999999</v>
      </c>
      <c r="AK491" s="37">
        <v>20</v>
      </c>
      <c r="AL491" s="38">
        <v>14</v>
      </c>
      <c r="AM491" s="40">
        <f t="shared" si="649"/>
        <v>280</v>
      </c>
      <c r="AN491" s="206">
        <f t="shared" si="653"/>
        <v>2240</v>
      </c>
      <c r="AO491" s="204">
        <f t="shared" si="658"/>
        <v>1657</v>
      </c>
    </row>
    <row r="492" spans="1:41" ht="140.25" x14ac:dyDescent="0.2">
      <c r="A492" s="22">
        <f t="shared" si="646"/>
        <v>4767</v>
      </c>
      <c r="B492" s="116">
        <v>1001062474767</v>
      </c>
      <c r="C492" s="48" t="s">
        <v>1380</v>
      </c>
      <c r="D492" s="49" t="s">
        <v>4</v>
      </c>
      <c r="E492" s="146" t="s">
        <v>373</v>
      </c>
      <c r="F492" s="112" t="s">
        <v>353</v>
      </c>
      <c r="G492" s="224" t="s">
        <v>2</v>
      </c>
      <c r="H492" s="49" t="s">
        <v>1</v>
      </c>
      <c r="I492" s="155" t="s">
        <v>1940</v>
      </c>
      <c r="J492" s="150" t="s">
        <v>418</v>
      </c>
      <c r="K492" s="51" t="s">
        <v>2040</v>
      </c>
      <c r="L492" s="52">
        <v>20</v>
      </c>
      <c r="M492" s="53">
        <v>39</v>
      </c>
      <c r="N492" s="54">
        <v>5</v>
      </c>
      <c r="O492" s="88" t="s">
        <v>2039</v>
      </c>
      <c r="P492" s="113" t="s">
        <v>104</v>
      </c>
      <c r="Q492" s="49">
        <v>120</v>
      </c>
      <c r="R492" s="56" t="s">
        <v>51</v>
      </c>
      <c r="S492" s="237">
        <v>4607958074891</v>
      </c>
      <c r="T492" s="332">
        <v>14607958074898</v>
      </c>
      <c r="U492" s="46">
        <v>4607958074891</v>
      </c>
      <c r="V492" s="46">
        <v>14607958074898</v>
      </c>
      <c r="W492" s="258">
        <v>240</v>
      </c>
      <c r="X492" s="68">
        <v>67</v>
      </c>
      <c r="Y492" s="60">
        <v>44</v>
      </c>
      <c r="Z492" s="65">
        <v>0.25</v>
      </c>
      <c r="AA492" s="271">
        <v>5.0000000000000001E-3</v>
      </c>
      <c r="AB492" s="66">
        <f t="shared" ref="AB492" si="698">Z492+AA492</f>
        <v>0.255</v>
      </c>
      <c r="AC492" s="59">
        <v>218</v>
      </c>
      <c r="AD492" s="60">
        <v>193</v>
      </c>
      <c r="AE492" s="60">
        <v>108</v>
      </c>
      <c r="AF492" s="191">
        <v>8</v>
      </c>
      <c r="AG492" s="117">
        <v>600000150</v>
      </c>
      <c r="AH492" s="104">
        <f>справочники!$C$43</f>
        <v>8.5999999999999993E-2</v>
      </c>
      <c r="AI492" s="62">
        <f t="shared" si="647"/>
        <v>2</v>
      </c>
      <c r="AJ492" s="122">
        <f t="shared" si="648"/>
        <v>2.1259999999999999</v>
      </c>
      <c r="AK492" s="37">
        <v>20</v>
      </c>
      <c r="AL492" s="38">
        <v>14</v>
      </c>
      <c r="AM492" s="40">
        <f t="shared" ref="AM492" si="699">AK492*AL492</f>
        <v>280</v>
      </c>
      <c r="AN492" s="206">
        <f t="shared" ref="AN492" si="700">IF(D492="ШТ",кол_во_инд.__упак_к*итого_г_у,ROUNDDOWN(номин.вес_нетто_г_у__кг*итого_г_у,1))</f>
        <v>2240</v>
      </c>
      <c r="AO492" s="204">
        <f t="shared" si="658"/>
        <v>1657</v>
      </c>
    </row>
    <row r="493" spans="1:41" ht="140.25" x14ac:dyDescent="0.2">
      <c r="A493" s="22">
        <f t="shared" si="646"/>
        <v>3970</v>
      </c>
      <c r="B493" s="116">
        <v>1001062473970</v>
      </c>
      <c r="C493" s="48" t="s">
        <v>175</v>
      </c>
      <c r="D493" s="49" t="s">
        <v>3</v>
      </c>
      <c r="E493" s="146" t="s">
        <v>373</v>
      </c>
      <c r="F493" s="112" t="s">
        <v>353</v>
      </c>
      <c r="G493" s="224" t="s">
        <v>2</v>
      </c>
      <c r="H493" s="49" t="s">
        <v>1</v>
      </c>
      <c r="I493" s="155" t="s">
        <v>1940</v>
      </c>
      <c r="J493" s="150" t="s">
        <v>418</v>
      </c>
      <c r="K493" s="51" t="s">
        <v>2040</v>
      </c>
      <c r="L493" s="52">
        <v>20</v>
      </c>
      <c r="M493" s="53">
        <v>39</v>
      </c>
      <c r="N493" s="54">
        <v>5</v>
      </c>
      <c r="O493" s="88" t="s">
        <v>2039</v>
      </c>
      <c r="P493" s="113" t="s">
        <v>106</v>
      </c>
      <c r="Q493" s="49">
        <v>120</v>
      </c>
      <c r="R493" s="56" t="s">
        <v>52</v>
      </c>
      <c r="S493" s="120">
        <v>2517908000004</v>
      </c>
      <c r="T493" s="342">
        <v>12517908000001</v>
      </c>
      <c r="U493" s="46">
        <v>4630362181909</v>
      </c>
      <c r="V493" s="46">
        <v>14630362181906</v>
      </c>
      <c r="W493" s="93">
        <v>405</v>
      </c>
      <c r="X493" s="60">
        <v>70</v>
      </c>
      <c r="Y493" s="60">
        <v>45</v>
      </c>
      <c r="Z493" s="65">
        <v>0.48799999999999999</v>
      </c>
      <c r="AA493" s="271">
        <v>0.01</v>
      </c>
      <c r="AB493" s="66">
        <f t="shared" si="657"/>
        <v>0.498</v>
      </c>
      <c r="AC493" s="59">
        <v>388</v>
      </c>
      <c r="AD493" s="60">
        <v>193</v>
      </c>
      <c r="AE493" s="60">
        <v>108</v>
      </c>
      <c r="AF493" s="191">
        <v>8</v>
      </c>
      <c r="AG493" s="117">
        <v>600000013</v>
      </c>
      <c r="AH493" s="104">
        <f>справочники!$C$5</f>
        <v>0.14099999999999999</v>
      </c>
      <c r="AI493" s="62">
        <f t="shared" si="647"/>
        <v>3.9</v>
      </c>
      <c r="AJ493" s="122">
        <f t="shared" si="648"/>
        <v>4.125</v>
      </c>
      <c r="AK493" s="37">
        <v>12</v>
      </c>
      <c r="AL493" s="38">
        <v>14</v>
      </c>
      <c r="AM493" s="40">
        <f t="shared" si="649"/>
        <v>168</v>
      </c>
      <c r="AN493" s="214">
        <f t="shared" si="653"/>
        <v>655.20000000000005</v>
      </c>
      <c r="AO493" s="204">
        <f t="shared" si="658"/>
        <v>1657</v>
      </c>
    </row>
    <row r="494" spans="1:41" ht="140.25" x14ac:dyDescent="0.2">
      <c r="A494" s="22">
        <f t="shared" si="646"/>
        <v>5047</v>
      </c>
      <c r="B494" s="116">
        <v>1001062475047</v>
      </c>
      <c r="C494" s="55" t="s">
        <v>347</v>
      </c>
      <c r="D494" s="87" t="s">
        <v>3</v>
      </c>
      <c r="E494" s="146" t="s">
        <v>373</v>
      </c>
      <c r="F494" s="112" t="s">
        <v>353</v>
      </c>
      <c r="G494" s="226" t="s">
        <v>2</v>
      </c>
      <c r="H494" s="87" t="s">
        <v>1</v>
      </c>
      <c r="I494" s="155" t="s">
        <v>1940</v>
      </c>
      <c r="J494" s="150" t="s">
        <v>418</v>
      </c>
      <c r="K494" s="51" t="s">
        <v>2040</v>
      </c>
      <c r="L494" s="52">
        <v>20</v>
      </c>
      <c r="M494" s="53">
        <v>39</v>
      </c>
      <c r="N494" s="54">
        <v>5</v>
      </c>
      <c r="O494" s="88" t="s">
        <v>2039</v>
      </c>
      <c r="P494" s="113" t="s">
        <v>106</v>
      </c>
      <c r="Q494" s="87">
        <v>120</v>
      </c>
      <c r="R494" s="82" t="s">
        <v>52</v>
      </c>
      <c r="S494" s="239">
        <v>2800335000007</v>
      </c>
      <c r="T494" s="344">
        <v>12800335000004</v>
      </c>
      <c r="U494" s="46" t="s">
        <v>1874</v>
      </c>
      <c r="V494" s="46" t="s">
        <v>1874</v>
      </c>
      <c r="W494" s="258">
        <v>405</v>
      </c>
      <c r="X494" s="68">
        <v>70</v>
      </c>
      <c r="Y494" s="68">
        <v>45</v>
      </c>
      <c r="Z494" s="92">
        <v>0.5</v>
      </c>
      <c r="AA494" s="271">
        <v>0.01</v>
      </c>
      <c r="AB494" s="94">
        <f t="shared" si="657"/>
        <v>0.51</v>
      </c>
      <c r="AC494" s="59">
        <v>410</v>
      </c>
      <c r="AD494" s="68">
        <v>292</v>
      </c>
      <c r="AE494" s="68">
        <v>242</v>
      </c>
      <c r="AF494" s="194">
        <v>30</v>
      </c>
      <c r="AG494" s="117">
        <v>600000411</v>
      </c>
      <c r="AH494" s="104">
        <f>справочники!$C$102</f>
        <v>0.433</v>
      </c>
      <c r="AI494" s="61">
        <f t="shared" si="647"/>
        <v>15</v>
      </c>
      <c r="AJ494" s="123">
        <f t="shared" si="648"/>
        <v>15.733000000000001</v>
      </c>
      <c r="AK494" s="33">
        <v>8</v>
      </c>
      <c r="AL494" s="34">
        <v>6</v>
      </c>
      <c r="AM494" s="40">
        <f t="shared" si="649"/>
        <v>48</v>
      </c>
      <c r="AN494" s="214">
        <f t="shared" si="653"/>
        <v>720</v>
      </c>
      <c r="AO494" s="204">
        <f t="shared" si="658"/>
        <v>1597</v>
      </c>
    </row>
    <row r="495" spans="1:41" ht="140.25" x14ac:dyDescent="0.2">
      <c r="A495" s="22">
        <f t="shared" si="646"/>
        <v>6300</v>
      </c>
      <c r="B495" s="116">
        <v>1001062476300</v>
      </c>
      <c r="C495" s="55" t="s">
        <v>631</v>
      </c>
      <c r="D495" s="87" t="s">
        <v>4</v>
      </c>
      <c r="E495" s="146" t="s">
        <v>373</v>
      </c>
      <c r="F495" s="112" t="s">
        <v>353</v>
      </c>
      <c r="G495" s="226" t="s">
        <v>2</v>
      </c>
      <c r="H495" s="87" t="s">
        <v>1</v>
      </c>
      <c r="I495" s="155" t="s">
        <v>1940</v>
      </c>
      <c r="J495" s="150" t="s">
        <v>418</v>
      </c>
      <c r="K495" s="51" t="s">
        <v>2040</v>
      </c>
      <c r="L495" s="52">
        <v>20</v>
      </c>
      <c r="M495" s="53">
        <v>39</v>
      </c>
      <c r="N495" s="54">
        <v>5</v>
      </c>
      <c r="O495" s="88" t="s">
        <v>2039</v>
      </c>
      <c r="P495" s="113" t="s">
        <v>104</v>
      </c>
      <c r="Q495" s="87">
        <v>120</v>
      </c>
      <c r="R495" s="82" t="s">
        <v>51</v>
      </c>
      <c r="S495" s="237">
        <v>4601296008990</v>
      </c>
      <c r="T495" s="332">
        <v>14601296008997</v>
      </c>
      <c r="U495" s="46" t="s">
        <v>1874</v>
      </c>
      <c r="V495" s="46" t="s">
        <v>1874</v>
      </c>
      <c r="W495" s="258">
        <v>240</v>
      </c>
      <c r="X495" s="68">
        <v>67</v>
      </c>
      <c r="Y495" s="68">
        <v>44</v>
      </c>
      <c r="Z495" s="92">
        <v>0.25</v>
      </c>
      <c r="AA495" s="271">
        <v>5.0000000000000001E-3</v>
      </c>
      <c r="AB495" s="94">
        <f t="shared" si="657"/>
        <v>0.255</v>
      </c>
      <c r="AC495" s="67">
        <v>410</v>
      </c>
      <c r="AD495" s="68">
        <v>292</v>
      </c>
      <c r="AE495" s="68">
        <v>242</v>
      </c>
      <c r="AF495" s="194">
        <v>48</v>
      </c>
      <c r="AG495" s="117">
        <v>600000411</v>
      </c>
      <c r="AH495" s="105">
        <f>справочники!$C$102</f>
        <v>0.433</v>
      </c>
      <c r="AI495" s="61">
        <f t="shared" si="647"/>
        <v>12</v>
      </c>
      <c r="AJ495" s="123">
        <f t="shared" si="648"/>
        <v>12.673</v>
      </c>
      <c r="AK495" s="33">
        <v>8</v>
      </c>
      <c r="AL495" s="34">
        <v>6</v>
      </c>
      <c r="AM495" s="40">
        <f t="shared" ref="AM495:AM500" si="701">AK495*AL495</f>
        <v>48</v>
      </c>
      <c r="AN495" s="206">
        <f t="shared" si="653"/>
        <v>2304</v>
      </c>
      <c r="AO495" s="204">
        <f t="shared" si="658"/>
        <v>1597</v>
      </c>
    </row>
    <row r="496" spans="1:41" ht="90.75" customHeight="1" x14ac:dyDescent="0.2">
      <c r="A496" s="22">
        <f t="shared" si="646"/>
        <v>7180</v>
      </c>
      <c r="B496" s="116">
        <v>1001066357180</v>
      </c>
      <c r="C496" s="48" t="s">
        <v>1144</v>
      </c>
      <c r="D496" s="49" t="s">
        <v>3</v>
      </c>
      <c r="E496" s="146" t="s">
        <v>373</v>
      </c>
      <c r="F496" s="112" t="s">
        <v>353</v>
      </c>
      <c r="G496" s="226" t="s">
        <v>2</v>
      </c>
      <c r="H496" s="87" t="s">
        <v>278</v>
      </c>
      <c r="I496" s="155" t="s">
        <v>382</v>
      </c>
      <c r="J496" s="150" t="s">
        <v>418</v>
      </c>
      <c r="K496" s="83" t="s">
        <v>1079</v>
      </c>
      <c r="L496" s="286">
        <v>22</v>
      </c>
      <c r="M496" s="287">
        <v>38</v>
      </c>
      <c r="N496" s="91">
        <v>2</v>
      </c>
      <c r="O496" s="162" t="s">
        <v>1080</v>
      </c>
      <c r="P496" s="31" t="s">
        <v>104</v>
      </c>
      <c r="Q496" s="49">
        <v>60</v>
      </c>
      <c r="R496" s="56" t="s">
        <v>52</v>
      </c>
      <c r="S496" s="120">
        <v>2800188000001</v>
      </c>
      <c r="T496" s="342">
        <v>12800188000008</v>
      </c>
      <c r="U496" s="46" t="s">
        <v>1874</v>
      </c>
      <c r="V496" s="46" t="s">
        <v>1874</v>
      </c>
      <c r="W496" s="93"/>
      <c r="X496" s="60"/>
      <c r="Y496" s="60"/>
      <c r="Z496" s="77">
        <v>2.7</v>
      </c>
      <c r="AA496" s="271">
        <v>2.5000000000000001E-2</v>
      </c>
      <c r="AB496" s="66">
        <f t="shared" ref="AB496" si="702">Z496+AA496</f>
        <v>2.7250000000000001</v>
      </c>
      <c r="AC496" s="67">
        <v>938</v>
      </c>
      <c r="AD496" s="68">
        <v>178</v>
      </c>
      <c r="AE496" s="68">
        <v>178</v>
      </c>
      <c r="AF496" s="194">
        <v>4</v>
      </c>
      <c r="AG496" s="117">
        <v>600000313</v>
      </c>
      <c r="AH496" s="105">
        <f>справочники!$C$62</f>
        <v>0.53100000000000003</v>
      </c>
      <c r="AI496" s="61">
        <f t="shared" si="647"/>
        <v>10.8</v>
      </c>
      <c r="AJ496" s="123">
        <f t="shared" si="648"/>
        <v>11.431000000000001</v>
      </c>
      <c r="AK496" s="33">
        <v>4</v>
      </c>
      <c r="AL496" s="34">
        <v>6</v>
      </c>
      <c r="AM496" s="40">
        <f t="shared" ref="AM496" si="703">AK496*AL496</f>
        <v>24</v>
      </c>
      <c r="AN496" s="214">
        <f t="shared" si="653"/>
        <v>259.2</v>
      </c>
      <c r="AO496" s="204">
        <f t="shared" si="658"/>
        <v>1213</v>
      </c>
    </row>
    <row r="497" spans="1:41" ht="165.75" x14ac:dyDescent="0.2">
      <c r="A497" s="22">
        <f t="shared" si="646"/>
        <v>6943</v>
      </c>
      <c r="B497" s="116">
        <v>1001065466943</v>
      </c>
      <c r="C497" s="48" t="s">
        <v>993</v>
      </c>
      <c r="D497" s="49" t="s">
        <v>3</v>
      </c>
      <c r="E497" s="146" t="s">
        <v>373</v>
      </c>
      <c r="F497" s="112" t="s">
        <v>353</v>
      </c>
      <c r="G497" s="226" t="s">
        <v>2</v>
      </c>
      <c r="H497" s="87" t="s">
        <v>278</v>
      </c>
      <c r="I497" s="155" t="s">
        <v>672</v>
      </c>
      <c r="J497" s="150" t="s">
        <v>675</v>
      </c>
      <c r="K497" s="71" t="s">
        <v>673</v>
      </c>
      <c r="L497" s="52">
        <v>16</v>
      </c>
      <c r="M497" s="53">
        <v>24</v>
      </c>
      <c r="N497" s="53"/>
      <c r="O497" s="54" t="s">
        <v>674</v>
      </c>
      <c r="P497" s="31" t="s">
        <v>104</v>
      </c>
      <c r="Q497" s="49">
        <v>65</v>
      </c>
      <c r="R497" s="56" t="s">
        <v>52</v>
      </c>
      <c r="S497" s="120">
        <v>2800641000005</v>
      </c>
      <c r="T497" s="342">
        <v>12800641000002</v>
      </c>
      <c r="U497" s="46" t="s">
        <v>1874</v>
      </c>
      <c r="V497" s="46" t="s">
        <v>1874</v>
      </c>
      <c r="W497" s="93"/>
      <c r="X497" s="60"/>
      <c r="Y497" s="60"/>
      <c r="Z497" s="77">
        <v>2.7</v>
      </c>
      <c r="AA497" s="271">
        <v>2.5000000000000001E-2</v>
      </c>
      <c r="AB497" s="66">
        <f t="shared" si="657"/>
        <v>2.7250000000000001</v>
      </c>
      <c r="AC497" s="67">
        <v>938</v>
      </c>
      <c r="AD497" s="68">
        <v>178</v>
      </c>
      <c r="AE497" s="68">
        <v>178</v>
      </c>
      <c r="AF497" s="194">
        <v>4</v>
      </c>
      <c r="AG497" s="117">
        <v>600000313</v>
      </c>
      <c r="AH497" s="105">
        <f>справочники!$C$62</f>
        <v>0.53100000000000003</v>
      </c>
      <c r="AI497" s="61">
        <f t="shared" si="647"/>
        <v>10.8</v>
      </c>
      <c r="AJ497" s="123">
        <f t="shared" si="648"/>
        <v>11.431000000000001</v>
      </c>
      <c r="AK497" s="33">
        <v>4</v>
      </c>
      <c r="AL497" s="34">
        <v>6</v>
      </c>
      <c r="AM497" s="40">
        <f t="shared" si="701"/>
        <v>24</v>
      </c>
      <c r="AN497" s="214">
        <f t="shared" ref="AN497:AN523" si="704">IF(D497="ШТ",кол_во_инд.__упак_к*итого_г_у,ROUNDDOWN(номин.вес_нетто_г_у__кг*итого_г_у,1))</f>
        <v>259.2</v>
      </c>
      <c r="AO497" s="204">
        <f t="shared" si="658"/>
        <v>1213</v>
      </c>
    </row>
    <row r="498" spans="1:41" ht="90.75" customHeight="1" x14ac:dyDescent="0.2">
      <c r="A498" s="22">
        <f t="shared" si="646"/>
        <v>6940</v>
      </c>
      <c r="B498" s="116">
        <v>1001063206940</v>
      </c>
      <c r="C498" s="48" t="s">
        <v>947</v>
      </c>
      <c r="D498" s="49" t="s">
        <v>3</v>
      </c>
      <c r="E498" s="146" t="s">
        <v>373</v>
      </c>
      <c r="F498" s="112" t="s">
        <v>353</v>
      </c>
      <c r="G498" s="226" t="s">
        <v>2</v>
      </c>
      <c r="H498" s="87" t="s">
        <v>278</v>
      </c>
      <c r="I498" s="155" t="s">
        <v>382</v>
      </c>
      <c r="J498" s="150" t="s">
        <v>418</v>
      </c>
      <c r="K498" s="71" t="s">
        <v>676</v>
      </c>
      <c r="L498" s="52">
        <v>17</v>
      </c>
      <c r="M498" s="53">
        <v>19</v>
      </c>
      <c r="N498" s="53"/>
      <c r="O498" s="54" t="s">
        <v>610</v>
      </c>
      <c r="P498" s="31" t="s">
        <v>104</v>
      </c>
      <c r="Q498" s="49">
        <v>65</v>
      </c>
      <c r="R498" s="56" t="s">
        <v>52</v>
      </c>
      <c r="S498" s="120">
        <v>2800637000002</v>
      </c>
      <c r="T498" s="342">
        <v>12800637000009</v>
      </c>
      <c r="U498" s="46" t="s">
        <v>1874</v>
      </c>
      <c r="V498" s="46" t="s">
        <v>1874</v>
      </c>
      <c r="W498" s="93"/>
      <c r="X498" s="60"/>
      <c r="Y498" s="60"/>
      <c r="Z498" s="77">
        <v>2.7</v>
      </c>
      <c r="AA498" s="271">
        <v>2.5000000000000001E-2</v>
      </c>
      <c r="AB498" s="66">
        <f t="shared" si="657"/>
        <v>2.7250000000000001</v>
      </c>
      <c r="AC498" s="67">
        <v>938</v>
      </c>
      <c r="AD498" s="68">
        <v>178</v>
      </c>
      <c r="AE498" s="68">
        <v>178</v>
      </c>
      <c r="AF498" s="194">
        <v>4</v>
      </c>
      <c r="AG498" s="117">
        <v>600000313</v>
      </c>
      <c r="AH498" s="105">
        <f>справочники!$C$62</f>
        <v>0.53100000000000003</v>
      </c>
      <c r="AI498" s="61">
        <f t="shared" si="647"/>
        <v>10.8</v>
      </c>
      <c r="AJ498" s="123">
        <f t="shared" si="648"/>
        <v>11.431000000000001</v>
      </c>
      <c r="AK498" s="33">
        <v>4</v>
      </c>
      <c r="AL498" s="34">
        <v>6</v>
      </c>
      <c r="AM498" s="40">
        <f t="shared" si="701"/>
        <v>24</v>
      </c>
      <c r="AN498" s="214">
        <f t="shared" si="704"/>
        <v>259.2</v>
      </c>
      <c r="AO498" s="204">
        <f t="shared" si="658"/>
        <v>1213</v>
      </c>
    </row>
    <row r="499" spans="1:41" ht="103.5" customHeight="1" x14ac:dyDescent="0.2">
      <c r="A499" s="22">
        <f t="shared" si="646"/>
        <v>6941</v>
      </c>
      <c r="B499" s="116">
        <v>1001065446941</v>
      </c>
      <c r="C499" s="48" t="s">
        <v>948</v>
      </c>
      <c r="D499" s="49" t="s">
        <v>3</v>
      </c>
      <c r="E499" s="146" t="s">
        <v>373</v>
      </c>
      <c r="F499" s="112" t="s">
        <v>353</v>
      </c>
      <c r="G499" s="226" t="s">
        <v>2</v>
      </c>
      <c r="H499" s="87" t="s">
        <v>278</v>
      </c>
      <c r="I499" s="155" t="s">
        <v>382</v>
      </c>
      <c r="J499" s="150" t="s">
        <v>418</v>
      </c>
      <c r="K499" s="71" t="s">
        <v>677</v>
      </c>
      <c r="L499" s="52">
        <v>15</v>
      </c>
      <c r="M499" s="53">
        <v>26</v>
      </c>
      <c r="N499" s="53"/>
      <c r="O499" s="54" t="s">
        <v>678</v>
      </c>
      <c r="P499" s="31" t="s">
        <v>104</v>
      </c>
      <c r="Q499" s="49">
        <v>65</v>
      </c>
      <c r="R499" s="56" t="s">
        <v>52</v>
      </c>
      <c r="S499" s="120">
        <v>2800638000001</v>
      </c>
      <c r="T499" s="342">
        <v>12800638000008</v>
      </c>
      <c r="U499" s="46" t="s">
        <v>1874</v>
      </c>
      <c r="V499" s="46" t="s">
        <v>1874</v>
      </c>
      <c r="W499" s="93"/>
      <c r="X499" s="60"/>
      <c r="Y499" s="60"/>
      <c r="Z499" s="77">
        <v>2.7</v>
      </c>
      <c r="AA499" s="271">
        <v>2.5000000000000001E-2</v>
      </c>
      <c r="AB499" s="66">
        <f t="shared" ref="AB499:AB526" si="705">Z499+AA499</f>
        <v>2.7250000000000001</v>
      </c>
      <c r="AC499" s="67">
        <v>938</v>
      </c>
      <c r="AD499" s="68">
        <v>178</v>
      </c>
      <c r="AE499" s="68">
        <v>178</v>
      </c>
      <c r="AF499" s="194">
        <v>4</v>
      </c>
      <c r="AG499" s="117">
        <v>600000313</v>
      </c>
      <c r="AH499" s="105">
        <f>справочники!$C$62</f>
        <v>0.53100000000000003</v>
      </c>
      <c r="AI499" s="61">
        <f t="shared" si="647"/>
        <v>10.8</v>
      </c>
      <c r="AJ499" s="123">
        <f t="shared" si="648"/>
        <v>11.431000000000001</v>
      </c>
      <c r="AK499" s="33">
        <v>4</v>
      </c>
      <c r="AL499" s="34">
        <v>6</v>
      </c>
      <c r="AM499" s="40">
        <f t="shared" si="701"/>
        <v>24</v>
      </c>
      <c r="AN499" s="214">
        <f t="shared" si="704"/>
        <v>259.2</v>
      </c>
      <c r="AO499" s="204">
        <f t="shared" si="658"/>
        <v>1213</v>
      </c>
    </row>
    <row r="500" spans="1:41" ht="114" customHeight="1" x14ac:dyDescent="0.2">
      <c r="A500" s="22">
        <f t="shared" si="646"/>
        <v>6942</v>
      </c>
      <c r="B500" s="116">
        <v>1001065456942</v>
      </c>
      <c r="C500" s="48" t="s">
        <v>994</v>
      </c>
      <c r="D500" s="49" t="s">
        <v>3</v>
      </c>
      <c r="E500" s="146" t="s">
        <v>373</v>
      </c>
      <c r="F500" s="112" t="s">
        <v>353</v>
      </c>
      <c r="G500" s="226" t="s">
        <v>2</v>
      </c>
      <c r="H500" s="87" t="s">
        <v>278</v>
      </c>
      <c r="I500" s="155" t="s">
        <v>672</v>
      </c>
      <c r="J500" s="150" t="s">
        <v>675</v>
      </c>
      <c r="K500" s="71" t="s">
        <v>679</v>
      </c>
      <c r="L500" s="52">
        <v>15</v>
      </c>
      <c r="M500" s="53">
        <v>26</v>
      </c>
      <c r="N500" s="53"/>
      <c r="O500" s="54" t="s">
        <v>678</v>
      </c>
      <c r="P500" s="31" t="s">
        <v>104</v>
      </c>
      <c r="Q500" s="49">
        <v>65</v>
      </c>
      <c r="R500" s="56" t="s">
        <v>52</v>
      </c>
      <c r="S500" s="120">
        <v>2800639000000</v>
      </c>
      <c r="T500" s="342">
        <v>12800639000007</v>
      </c>
      <c r="U500" s="46" t="s">
        <v>1874</v>
      </c>
      <c r="V500" s="46" t="s">
        <v>1874</v>
      </c>
      <c r="W500" s="93"/>
      <c r="X500" s="60"/>
      <c r="Y500" s="60"/>
      <c r="Z500" s="77">
        <v>2.7</v>
      </c>
      <c r="AA500" s="271">
        <v>2.5000000000000001E-2</v>
      </c>
      <c r="AB500" s="66">
        <f t="shared" si="705"/>
        <v>2.7250000000000001</v>
      </c>
      <c r="AC500" s="67">
        <v>938</v>
      </c>
      <c r="AD500" s="68">
        <v>178</v>
      </c>
      <c r="AE500" s="68">
        <v>178</v>
      </c>
      <c r="AF500" s="194">
        <v>4</v>
      </c>
      <c r="AG500" s="117">
        <v>600000313</v>
      </c>
      <c r="AH500" s="105">
        <f>справочники!$C$62</f>
        <v>0.53100000000000003</v>
      </c>
      <c r="AI500" s="61">
        <f t="shared" si="647"/>
        <v>10.8</v>
      </c>
      <c r="AJ500" s="123">
        <f t="shared" si="648"/>
        <v>11.431000000000001</v>
      </c>
      <c r="AK500" s="33">
        <v>4</v>
      </c>
      <c r="AL500" s="34">
        <v>6</v>
      </c>
      <c r="AM500" s="40">
        <f t="shared" si="701"/>
        <v>24</v>
      </c>
      <c r="AN500" s="214">
        <f t="shared" si="704"/>
        <v>259.2</v>
      </c>
      <c r="AO500" s="204">
        <f t="shared" si="658"/>
        <v>1213</v>
      </c>
    </row>
    <row r="501" spans="1:41" ht="76.5" x14ac:dyDescent="0.2">
      <c r="A501" s="22">
        <f t="shared" si="646"/>
        <v>3917</v>
      </c>
      <c r="B501" s="116">
        <v>1001060653917</v>
      </c>
      <c r="C501" s="48" t="s">
        <v>176</v>
      </c>
      <c r="D501" s="49" t="s">
        <v>3</v>
      </c>
      <c r="E501" s="146" t="s">
        <v>373</v>
      </c>
      <c r="F501" s="112" t="s">
        <v>353</v>
      </c>
      <c r="G501" s="224" t="s">
        <v>2</v>
      </c>
      <c r="H501" s="49" t="s">
        <v>1</v>
      </c>
      <c r="I501" s="155" t="s">
        <v>1941</v>
      </c>
      <c r="J501" s="150" t="s">
        <v>2043</v>
      </c>
      <c r="K501" s="51" t="s">
        <v>2042</v>
      </c>
      <c r="L501" s="52">
        <v>41</v>
      </c>
      <c r="M501" s="53">
        <v>7</v>
      </c>
      <c r="N501" s="54">
        <v>2</v>
      </c>
      <c r="O501" s="88" t="s">
        <v>2041</v>
      </c>
      <c r="P501" s="113" t="s">
        <v>106</v>
      </c>
      <c r="Q501" s="49">
        <v>120</v>
      </c>
      <c r="R501" s="56" t="s">
        <v>52</v>
      </c>
      <c r="S501" s="120">
        <v>2909560000001</v>
      </c>
      <c r="T501" s="342">
        <v>12909560000008</v>
      </c>
      <c r="U501" s="46">
        <v>4630362181916</v>
      </c>
      <c r="V501" s="46">
        <v>14630362181913</v>
      </c>
      <c r="W501" s="256" t="s">
        <v>60</v>
      </c>
      <c r="X501" s="165" t="s">
        <v>61</v>
      </c>
      <c r="Y501" s="165" t="s">
        <v>62</v>
      </c>
      <c r="Z501" s="65">
        <v>0.26900000000000002</v>
      </c>
      <c r="AA501" s="271">
        <v>8.9999999999999993E-3</v>
      </c>
      <c r="AB501" s="66">
        <f t="shared" si="705"/>
        <v>0.27800000000000002</v>
      </c>
      <c r="AC501" s="59">
        <v>378</v>
      </c>
      <c r="AD501" s="60">
        <v>156</v>
      </c>
      <c r="AE501" s="60">
        <v>138</v>
      </c>
      <c r="AF501" s="191">
        <v>8</v>
      </c>
      <c r="AG501" s="117">
        <v>600000019</v>
      </c>
      <c r="AH501" s="104">
        <f>справочники!$C$11</f>
        <v>0.114</v>
      </c>
      <c r="AI501" s="62">
        <f t="shared" si="647"/>
        <v>2.15</v>
      </c>
      <c r="AJ501" s="122">
        <f t="shared" si="648"/>
        <v>2.3380000000000001</v>
      </c>
      <c r="AK501" s="37">
        <v>15</v>
      </c>
      <c r="AL501" s="38">
        <v>11</v>
      </c>
      <c r="AM501" s="40">
        <f t="shared" si="649"/>
        <v>165</v>
      </c>
      <c r="AN501" s="214">
        <f t="shared" si="704"/>
        <v>354.7</v>
      </c>
      <c r="AO501" s="204">
        <f t="shared" si="658"/>
        <v>1663</v>
      </c>
    </row>
    <row r="502" spans="1:41" ht="76.5" x14ac:dyDescent="0.2">
      <c r="A502" s="22">
        <f t="shared" si="646"/>
        <v>6289</v>
      </c>
      <c r="B502" s="116">
        <v>1001070656289</v>
      </c>
      <c r="C502" s="48" t="s">
        <v>322</v>
      </c>
      <c r="D502" s="49" t="s">
        <v>3</v>
      </c>
      <c r="E502" s="146" t="s">
        <v>373</v>
      </c>
      <c r="F502" s="112" t="s">
        <v>353</v>
      </c>
      <c r="G502" s="224" t="s">
        <v>2</v>
      </c>
      <c r="H502" s="49" t="s">
        <v>1</v>
      </c>
      <c r="I502" s="155" t="s">
        <v>1941</v>
      </c>
      <c r="J502" s="150" t="s">
        <v>2043</v>
      </c>
      <c r="K502" s="51" t="s">
        <v>2042</v>
      </c>
      <c r="L502" s="52">
        <v>41</v>
      </c>
      <c r="M502" s="53">
        <v>7</v>
      </c>
      <c r="N502" s="54">
        <v>2</v>
      </c>
      <c r="O502" s="88" t="s">
        <v>2041</v>
      </c>
      <c r="P502" s="113" t="s">
        <v>106</v>
      </c>
      <c r="Q502" s="49">
        <v>120</v>
      </c>
      <c r="R502" s="56" t="s">
        <v>52</v>
      </c>
      <c r="S502" s="239">
        <v>2306921000005</v>
      </c>
      <c r="T502" s="344">
        <v>12306921000002</v>
      </c>
      <c r="U502" s="46">
        <v>4630362181916</v>
      </c>
      <c r="V502" s="46">
        <v>14630362181913</v>
      </c>
      <c r="W502" s="260" t="s">
        <v>60</v>
      </c>
      <c r="X502" s="95" t="s">
        <v>61</v>
      </c>
      <c r="Y502" s="165" t="s">
        <v>62</v>
      </c>
      <c r="Z502" s="65">
        <v>0.26900000000000002</v>
      </c>
      <c r="AA502" s="271">
        <v>8.9999999999999993E-3</v>
      </c>
      <c r="AB502" s="66">
        <f t="shared" si="705"/>
        <v>0.27800000000000002</v>
      </c>
      <c r="AC502" s="59">
        <v>378</v>
      </c>
      <c r="AD502" s="60">
        <v>156</v>
      </c>
      <c r="AE502" s="60">
        <v>138</v>
      </c>
      <c r="AF502" s="191">
        <v>8</v>
      </c>
      <c r="AG502" s="117">
        <v>600000019</v>
      </c>
      <c r="AH502" s="104">
        <f>справочники!$C$11</f>
        <v>0.114</v>
      </c>
      <c r="AI502" s="62">
        <f t="shared" si="647"/>
        <v>2.15</v>
      </c>
      <c r="AJ502" s="122">
        <f t="shared" si="648"/>
        <v>2.3380000000000001</v>
      </c>
      <c r="AK502" s="37">
        <v>15</v>
      </c>
      <c r="AL502" s="38">
        <v>11</v>
      </c>
      <c r="AM502" s="40">
        <f t="shared" si="649"/>
        <v>165</v>
      </c>
      <c r="AN502" s="214">
        <f t="shared" si="704"/>
        <v>354.7</v>
      </c>
      <c r="AO502" s="204">
        <f t="shared" si="658"/>
        <v>1663</v>
      </c>
    </row>
    <row r="503" spans="1:41" ht="76.5" x14ac:dyDescent="0.2">
      <c r="A503" s="22">
        <f t="shared" si="646"/>
        <v>6752</v>
      </c>
      <c r="B503" s="116">
        <v>1001070656752</v>
      </c>
      <c r="C503" s="48" t="s">
        <v>961</v>
      </c>
      <c r="D503" s="49" t="s">
        <v>3</v>
      </c>
      <c r="E503" s="146" t="s">
        <v>373</v>
      </c>
      <c r="F503" s="112" t="s">
        <v>353</v>
      </c>
      <c r="G503" s="224" t="s">
        <v>2</v>
      </c>
      <c r="H503" s="49" t="s">
        <v>1</v>
      </c>
      <c r="I503" s="155" t="s">
        <v>1941</v>
      </c>
      <c r="J503" s="150" t="s">
        <v>2043</v>
      </c>
      <c r="K503" s="51" t="s">
        <v>2042</v>
      </c>
      <c r="L503" s="52">
        <v>41</v>
      </c>
      <c r="M503" s="53">
        <v>7</v>
      </c>
      <c r="N503" s="54">
        <v>2</v>
      </c>
      <c r="O503" s="88" t="s">
        <v>2041</v>
      </c>
      <c r="P503" s="113" t="s">
        <v>106</v>
      </c>
      <c r="Q503" s="49">
        <v>120</v>
      </c>
      <c r="R503" s="56" t="s">
        <v>52</v>
      </c>
      <c r="S503" s="239">
        <v>2777780000008</v>
      </c>
      <c r="T503" s="344">
        <v>12777780000005</v>
      </c>
      <c r="U503" s="46">
        <v>4630362181916</v>
      </c>
      <c r="V503" s="46">
        <v>14630362181913</v>
      </c>
      <c r="W503" s="260" t="s">
        <v>60</v>
      </c>
      <c r="X503" s="95" t="s">
        <v>61</v>
      </c>
      <c r="Y503" s="165" t="s">
        <v>62</v>
      </c>
      <c r="Z503" s="65">
        <v>0.26900000000000002</v>
      </c>
      <c r="AA503" s="271">
        <v>8.9999999999999993E-3</v>
      </c>
      <c r="AB503" s="66">
        <f t="shared" si="705"/>
        <v>0.27800000000000002</v>
      </c>
      <c r="AC503" s="59">
        <v>378</v>
      </c>
      <c r="AD503" s="60">
        <v>156</v>
      </c>
      <c r="AE503" s="60">
        <v>138</v>
      </c>
      <c r="AF503" s="191">
        <v>8</v>
      </c>
      <c r="AG503" s="117">
        <v>600000019</v>
      </c>
      <c r="AH503" s="104">
        <f>справочники!$C$11</f>
        <v>0.114</v>
      </c>
      <c r="AI503" s="62">
        <f t="shared" si="647"/>
        <v>2.15</v>
      </c>
      <c r="AJ503" s="122">
        <f t="shared" si="648"/>
        <v>2.3380000000000001</v>
      </c>
      <c r="AK503" s="37">
        <v>15</v>
      </c>
      <c r="AL503" s="38">
        <v>11</v>
      </c>
      <c r="AM503" s="40">
        <f>AK503*AL503</f>
        <v>165</v>
      </c>
      <c r="AN503" s="214">
        <f t="shared" si="704"/>
        <v>354.7</v>
      </c>
      <c r="AO503" s="204">
        <f t="shared" si="658"/>
        <v>1663</v>
      </c>
    </row>
    <row r="504" spans="1:41" ht="76.5" x14ac:dyDescent="0.2">
      <c r="A504" s="22">
        <f t="shared" si="646"/>
        <v>6118</v>
      </c>
      <c r="B504" s="116">
        <v>1001070656118</v>
      </c>
      <c r="C504" s="48" t="s">
        <v>952</v>
      </c>
      <c r="D504" s="49" t="s">
        <v>3</v>
      </c>
      <c r="E504" s="146" t="s">
        <v>373</v>
      </c>
      <c r="F504" s="112" t="s">
        <v>353</v>
      </c>
      <c r="G504" s="224" t="s">
        <v>2</v>
      </c>
      <c r="H504" s="49" t="s">
        <v>1</v>
      </c>
      <c r="I504" s="155" t="s">
        <v>1941</v>
      </c>
      <c r="J504" s="150" t="s">
        <v>2043</v>
      </c>
      <c r="K504" s="51" t="s">
        <v>2042</v>
      </c>
      <c r="L504" s="52">
        <v>41</v>
      </c>
      <c r="M504" s="53">
        <v>7</v>
      </c>
      <c r="N504" s="54">
        <v>2</v>
      </c>
      <c r="O504" s="88" t="s">
        <v>2041</v>
      </c>
      <c r="P504" s="113" t="s">
        <v>106</v>
      </c>
      <c r="Q504" s="49">
        <v>120</v>
      </c>
      <c r="R504" s="56" t="s">
        <v>52</v>
      </c>
      <c r="S504" s="120">
        <v>2417081000009</v>
      </c>
      <c r="T504" s="342">
        <v>12417081000006</v>
      </c>
      <c r="U504" s="46">
        <v>4630362181916</v>
      </c>
      <c r="V504" s="46">
        <v>14630362181913</v>
      </c>
      <c r="W504" s="256" t="s">
        <v>60</v>
      </c>
      <c r="X504" s="165" t="s">
        <v>61</v>
      </c>
      <c r="Y504" s="165" t="s">
        <v>62</v>
      </c>
      <c r="Z504" s="65">
        <v>0.26800000000000002</v>
      </c>
      <c r="AA504" s="271">
        <v>8.9999999999999993E-3</v>
      </c>
      <c r="AB504" s="66">
        <f t="shared" si="705"/>
        <v>0.27700000000000002</v>
      </c>
      <c r="AC504" s="59">
        <v>378</v>
      </c>
      <c r="AD504" s="60">
        <v>156</v>
      </c>
      <c r="AE504" s="60">
        <v>138</v>
      </c>
      <c r="AF504" s="191">
        <v>8</v>
      </c>
      <c r="AG504" s="117">
        <v>600000019</v>
      </c>
      <c r="AH504" s="104">
        <f>справочники!$C$11</f>
        <v>0.114</v>
      </c>
      <c r="AI504" s="62">
        <f t="shared" si="647"/>
        <v>2.14</v>
      </c>
      <c r="AJ504" s="122">
        <f t="shared" si="648"/>
        <v>2.33</v>
      </c>
      <c r="AK504" s="37">
        <v>15</v>
      </c>
      <c r="AL504" s="38">
        <v>11</v>
      </c>
      <c r="AM504" s="40">
        <f>AK504*AL504</f>
        <v>165</v>
      </c>
      <c r="AN504" s="214">
        <f t="shared" si="704"/>
        <v>353.1</v>
      </c>
      <c r="AO504" s="204">
        <f t="shared" si="658"/>
        <v>1663</v>
      </c>
    </row>
    <row r="505" spans="1:41" ht="76.5" x14ac:dyDescent="0.2">
      <c r="A505" s="22">
        <f t="shared" si="646"/>
        <v>6152</v>
      </c>
      <c r="B505" s="116">
        <v>1001070656152</v>
      </c>
      <c r="C505" s="48" t="s">
        <v>327</v>
      </c>
      <c r="D505" s="49" t="s">
        <v>3</v>
      </c>
      <c r="E505" s="146" t="s">
        <v>373</v>
      </c>
      <c r="F505" s="112" t="s">
        <v>353</v>
      </c>
      <c r="G505" s="224" t="s">
        <v>2</v>
      </c>
      <c r="H505" s="49" t="s">
        <v>1</v>
      </c>
      <c r="I505" s="155" t="s">
        <v>1941</v>
      </c>
      <c r="J505" s="150" t="s">
        <v>2043</v>
      </c>
      <c r="K505" s="51" t="s">
        <v>2042</v>
      </c>
      <c r="L505" s="52">
        <v>41</v>
      </c>
      <c r="M505" s="53">
        <v>7</v>
      </c>
      <c r="N505" s="54">
        <v>2</v>
      </c>
      <c r="O505" s="88" t="s">
        <v>2041</v>
      </c>
      <c r="P505" s="113" t="s">
        <v>106</v>
      </c>
      <c r="Q505" s="49">
        <v>120</v>
      </c>
      <c r="R505" s="56" t="s">
        <v>52</v>
      </c>
      <c r="S505" s="239">
        <v>2417081000009</v>
      </c>
      <c r="T505" s="344">
        <v>12417081000006</v>
      </c>
      <c r="U505" s="46" t="s">
        <v>1874</v>
      </c>
      <c r="V505" s="46" t="s">
        <v>1874</v>
      </c>
      <c r="W505" s="260" t="s">
        <v>60</v>
      </c>
      <c r="X505" s="95" t="s">
        <v>61</v>
      </c>
      <c r="Y505" s="165" t="s">
        <v>62</v>
      </c>
      <c r="Z505" s="65">
        <v>0.26800000000000002</v>
      </c>
      <c r="AA505" s="271">
        <v>8.9999999999999993E-3</v>
      </c>
      <c r="AB505" s="66">
        <f t="shared" si="705"/>
        <v>0.27700000000000002</v>
      </c>
      <c r="AC505" s="59">
        <v>378</v>
      </c>
      <c r="AD505" s="60">
        <v>156</v>
      </c>
      <c r="AE505" s="60">
        <v>138</v>
      </c>
      <c r="AF505" s="191">
        <v>8</v>
      </c>
      <c r="AG505" s="117">
        <v>600000019</v>
      </c>
      <c r="AH505" s="104">
        <f>справочники!$C$11</f>
        <v>0.114</v>
      </c>
      <c r="AI505" s="62">
        <f t="shared" si="647"/>
        <v>2.14</v>
      </c>
      <c r="AJ505" s="122">
        <f t="shared" si="648"/>
        <v>2.33</v>
      </c>
      <c r="AK505" s="37">
        <v>15</v>
      </c>
      <c r="AL505" s="38">
        <v>11</v>
      </c>
      <c r="AM505" s="40">
        <f t="shared" si="649"/>
        <v>165</v>
      </c>
      <c r="AN505" s="214">
        <f t="shared" si="704"/>
        <v>353.1</v>
      </c>
      <c r="AO505" s="204">
        <f t="shared" si="658"/>
        <v>1663</v>
      </c>
    </row>
    <row r="506" spans="1:41" ht="216.75" x14ac:dyDescent="0.2">
      <c r="A506" s="22">
        <f t="shared" si="646"/>
        <v>7001</v>
      </c>
      <c r="B506" s="116">
        <v>1001035937001</v>
      </c>
      <c r="C506" s="48" t="s">
        <v>996</v>
      </c>
      <c r="D506" s="49" t="s">
        <v>3</v>
      </c>
      <c r="E506" s="146" t="s">
        <v>373</v>
      </c>
      <c r="F506" s="112" t="s">
        <v>41</v>
      </c>
      <c r="G506" s="224" t="s">
        <v>6</v>
      </c>
      <c r="H506" s="49" t="s">
        <v>1</v>
      </c>
      <c r="I506" s="153" t="s">
        <v>1936</v>
      </c>
      <c r="J506" s="150" t="s">
        <v>639</v>
      </c>
      <c r="K506" s="51" t="s">
        <v>1938</v>
      </c>
      <c r="L506" s="52">
        <v>9</v>
      </c>
      <c r="M506" s="53">
        <v>15</v>
      </c>
      <c r="N506" s="54">
        <v>6</v>
      </c>
      <c r="O506" s="88" t="s">
        <v>1937</v>
      </c>
      <c r="P506" s="31" t="s">
        <v>104</v>
      </c>
      <c r="Q506" s="49">
        <v>45</v>
      </c>
      <c r="R506" s="56" t="s">
        <v>29</v>
      </c>
      <c r="S506" s="237">
        <v>2100956000005</v>
      </c>
      <c r="T506" s="332">
        <v>12100956000002</v>
      </c>
      <c r="U506" s="46">
        <v>4630362181534</v>
      </c>
      <c r="V506" s="46">
        <v>14630362181531</v>
      </c>
      <c r="W506" s="258">
        <v>300</v>
      </c>
      <c r="X506" s="68">
        <v>193</v>
      </c>
      <c r="Y506" s="60">
        <v>80</v>
      </c>
      <c r="Z506" s="65">
        <v>1</v>
      </c>
      <c r="AA506" s="271">
        <v>1.4E-2</v>
      </c>
      <c r="AB506" s="66">
        <f t="shared" si="705"/>
        <v>1.014</v>
      </c>
      <c r="AC506" s="59">
        <v>292</v>
      </c>
      <c r="AD506" s="60">
        <v>178</v>
      </c>
      <c r="AE506" s="60">
        <v>178</v>
      </c>
      <c r="AF506" s="191">
        <v>3</v>
      </c>
      <c r="AG506" s="117">
        <v>600000029</v>
      </c>
      <c r="AH506" s="104">
        <f>справочники!$C$21</f>
        <v>0.125</v>
      </c>
      <c r="AI506" s="62">
        <f t="shared" si="647"/>
        <v>3</v>
      </c>
      <c r="AJ506" s="122">
        <f t="shared" si="648"/>
        <v>3.1669999999999998</v>
      </c>
      <c r="AK506" s="37">
        <v>16</v>
      </c>
      <c r="AL506" s="38">
        <v>8</v>
      </c>
      <c r="AM506" s="40">
        <f t="shared" si="649"/>
        <v>128</v>
      </c>
      <c r="AN506" s="214">
        <f t="shared" si="704"/>
        <v>384</v>
      </c>
      <c r="AO506" s="204">
        <f t="shared" si="658"/>
        <v>1569</v>
      </c>
    </row>
    <row r="507" spans="1:41" ht="140.25" x14ac:dyDescent="0.2">
      <c r="A507" s="22">
        <f t="shared" si="646"/>
        <v>7050</v>
      </c>
      <c r="B507" s="116">
        <v>1001031017050</v>
      </c>
      <c r="C507" s="48" t="s">
        <v>1064</v>
      </c>
      <c r="D507" s="49" t="s">
        <v>4</v>
      </c>
      <c r="E507" s="146" t="s">
        <v>373</v>
      </c>
      <c r="F507" s="112" t="s">
        <v>41</v>
      </c>
      <c r="G507" s="146" t="s">
        <v>2</v>
      </c>
      <c r="H507" s="58" t="s">
        <v>136</v>
      </c>
      <c r="I507" s="160" t="s">
        <v>1566</v>
      </c>
      <c r="J507" s="149" t="s">
        <v>408</v>
      </c>
      <c r="K507" s="51" t="s">
        <v>1625</v>
      </c>
      <c r="L507" s="52">
        <v>14</v>
      </c>
      <c r="M507" s="53">
        <v>15</v>
      </c>
      <c r="N507" s="54">
        <v>2</v>
      </c>
      <c r="O507" s="88" t="s">
        <v>1641</v>
      </c>
      <c r="P507" s="31" t="s">
        <v>104</v>
      </c>
      <c r="Q507" s="49">
        <v>45</v>
      </c>
      <c r="R507" s="82" t="s">
        <v>51</v>
      </c>
      <c r="S507" s="234">
        <v>4607958078905</v>
      </c>
      <c r="T507" s="338">
        <v>14607958078902</v>
      </c>
      <c r="U507" s="46">
        <v>4607958078905</v>
      </c>
      <c r="V507" s="46">
        <v>14607958078902</v>
      </c>
      <c r="W507" s="258">
        <v>220</v>
      </c>
      <c r="X507" s="68">
        <v>135</v>
      </c>
      <c r="Y507" s="68">
        <v>37</v>
      </c>
      <c r="Z507" s="65">
        <v>0.32</v>
      </c>
      <c r="AA507" s="271">
        <v>1.7000000000000001E-2</v>
      </c>
      <c r="AB507" s="66">
        <f t="shared" ref="AB507" si="706">Z507+AA507</f>
        <v>0.33700000000000002</v>
      </c>
      <c r="AC507" s="59">
        <v>230</v>
      </c>
      <c r="AD507" s="60">
        <v>216</v>
      </c>
      <c r="AE507" s="60">
        <v>138</v>
      </c>
      <c r="AF507" s="191">
        <v>6</v>
      </c>
      <c r="AG507" s="117">
        <v>600000390</v>
      </c>
      <c r="AH507" s="104">
        <f>справочники!$C$90</f>
        <v>0.14699999999999999</v>
      </c>
      <c r="AI507" s="61">
        <f t="shared" si="647"/>
        <v>1.92</v>
      </c>
      <c r="AJ507" s="122">
        <f t="shared" si="648"/>
        <v>2.169</v>
      </c>
      <c r="AK507" s="37">
        <v>15</v>
      </c>
      <c r="AL507" s="38">
        <v>11</v>
      </c>
      <c r="AM507" s="40">
        <f t="shared" ref="AM507" si="707">AK507*AL507</f>
        <v>165</v>
      </c>
      <c r="AN507" s="206">
        <f t="shared" ref="AN507" si="708">IF(D507="ШТ",кол_во_инд.__упак_к*итого_г_у,ROUNDDOWN(номин.вес_нетто_г_у__кг*итого_г_у,1))</f>
        <v>990</v>
      </c>
      <c r="AO507" s="204">
        <f t="shared" si="658"/>
        <v>1663</v>
      </c>
    </row>
    <row r="508" spans="1:41" ht="140.25" x14ac:dyDescent="0.2">
      <c r="A508" s="22">
        <f t="shared" si="646"/>
        <v>7503</v>
      </c>
      <c r="B508" s="116">
        <v>1001031017503</v>
      </c>
      <c r="C508" s="48" t="s">
        <v>1624</v>
      </c>
      <c r="D508" s="49" t="s">
        <v>4</v>
      </c>
      <c r="E508" s="146" t="s">
        <v>373</v>
      </c>
      <c r="F508" s="112" t="s">
        <v>41</v>
      </c>
      <c r="G508" s="146" t="s">
        <v>1582</v>
      </c>
      <c r="H508" s="58" t="s">
        <v>292</v>
      </c>
      <c r="I508" s="160" t="s">
        <v>1566</v>
      </c>
      <c r="J508" s="149" t="s">
        <v>408</v>
      </c>
      <c r="K508" s="51" t="s">
        <v>1625</v>
      </c>
      <c r="L508" s="52">
        <v>14</v>
      </c>
      <c r="M508" s="53">
        <v>15</v>
      </c>
      <c r="N508" s="54">
        <v>2</v>
      </c>
      <c r="O508" s="88">
        <v>827998</v>
      </c>
      <c r="P508" s="31" t="s">
        <v>104</v>
      </c>
      <c r="Q508" s="49">
        <v>45</v>
      </c>
      <c r="R508" s="82" t="s">
        <v>51</v>
      </c>
      <c r="S508" s="234">
        <v>4630362181480</v>
      </c>
      <c r="T508" s="338">
        <v>14630362181487</v>
      </c>
      <c r="U508" s="46">
        <v>4630362181480</v>
      </c>
      <c r="V508" s="46">
        <v>14630362181487</v>
      </c>
      <c r="W508" s="258">
        <v>220</v>
      </c>
      <c r="X508" s="68">
        <v>135</v>
      </c>
      <c r="Y508" s="68">
        <v>37</v>
      </c>
      <c r="Z508" s="65">
        <v>0.32</v>
      </c>
      <c r="AA508" s="271">
        <v>1.7000000000000001E-2</v>
      </c>
      <c r="AB508" s="66">
        <f t="shared" ref="AB508" si="709">Z508+AA508</f>
        <v>0.33700000000000002</v>
      </c>
      <c r="AC508" s="59">
        <v>200</v>
      </c>
      <c r="AD508" s="60">
        <v>150</v>
      </c>
      <c r="AE508" s="68">
        <v>156</v>
      </c>
      <c r="AF508" s="191">
        <v>4</v>
      </c>
      <c r="AG508" s="117">
        <v>600000424</v>
      </c>
      <c r="AH508" s="104">
        <f>справочники!$C$107</f>
        <v>7.3999999999999996E-2</v>
      </c>
      <c r="AI508" s="61">
        <f t="shared" si="647"/>
        <v>1.28</v>
      </c>
      <c r="AJ508" s="122">
        <f t="shared" si="648"/>
        <v>1.4220000000000002</v>
      </c>
      <c r="AK508" s="37">
        <v>30</v>
      </c>
      <c r="AL508" s="38">
        <v>10</v>
      </c>
      <c r="AM508" s="40">
        <f t="shared" ref="AM508" si="710">AK508*AL508</f>
        <v>300</v>
      </c>
      <c r="AN508" s="206">
        <f t="shared" ref="AN508" si="711">IF(D508="ШТ",кол_во_инд.__упак_к*итого_г_у,ROUNDDOWN(номин.вес_нетто_г_у__кг*итого_г_у,1))</f>
        <v>1200</v>
      </c>
      <c r="AO508" s="204">
        <f t="shared" si="658"/>
        <v>1705</v>
      </c>
    </row>
    <row r="509" spans="1:41" ht="132" customHeight="1" x14ac:dyDescent="0.2">
      <c r="A509" s="22">
        <f t="shared" si="646"/>
        <v>6549</v>
      </c>
      <c r="B509" s="116">
        <v>1001032736549</v>
      </c>
      <c r="C509" s="48" t="s">
        <v>603</v>
      </c>
      <c r="D509" s="49" t="s">
        <v>3</v>
      </c>
      <c r="E509" s="146" t="s">
        <v>373</v>
      </c>
      <c r="F509" s="112" t="s">
        <v>41</v>
      </c>
      <c r="G509" s="224" t="s">
        <v>6</v>
      </c>
      <c r="H509" s="49" t="s">
        <v>1</v>
      </c>
      <c r="I509" s="160" t="s">
        <v>1566</v>
      </c>
      <c r="J509" s="149" t="s">
        <v>412</v>
      </c>
      <c r="K509" s="51" t="s">
        <v>1267</v>
      </c>
      <c r="L509" s="52">
        <v>11</v>
      </c>
      <c r="M509" s="53">
        <v>16</v>
      </c>
      <c r="N509" s="54">
        <v>2</v>
      </c>
      <c r="O509" s="88" t="s">
        <v>552</v>
      </c>
      <c r="P509" s="31" t="s">
        <v>104</v>
      </c>
      <c r="Q509" s="49">
        <v>45</v>
      </c>
      <c r="R509" s="56" t="s">
        <v>51</v>
      </c>
      <c r="S509" s="237">
        <v>2577818000006</v>
      </c>
      <c r="T509" s="332">
        <v>12577818000003</v>
      </c>
      <c r="U509" s="46">
        <v>4630362181923</v>
      </c>
      <c r="V509" s="46">
        <v>14630362181920</v>
      </c>
      <c r="W509" s="258">
        <v>300</v>
      </c>
      <c r="X509" s="68">
        <v>193</v>
      </c>
      <c r="Y509" s="60">
        <v>80</v>
      </c>
      <c r="Z509" s="65">
        <v>1</v>
      </c>
      <c r="AA509" s="271">
        <v>1.4E-2</v>
      </c>
      <c r="AB509" s="66">
        <f t="shared" si="705"/>
        <v>1.014</v>
      </c>
      <c r="AC509" s="59">
        <v>292</v>
      </c>
      <c r="AD509" s="60">
        <v>178</v>
      </c>
      <c r="AE509" s="60">
        <v>178</v>
      </c>
      <c r="AF509" s="191">
        <v>3</v>
      </c>
      <c r="AG509" s="117">
        <v>600000029</v>
      </c>
      <c r="AH509" s="104">
        <f>справочники!$C$21</f>
        <v>0.125</v>
      </c>
      <c r="AI509" s="62">
        <f t="shared" si="647"/>
        <v>3</v>
      </c>
      <c r="AJ509" s="122">
        <f t="shared" si="648"/>
        <v>3.1669999999999998</v>
      </c>
      <c r="AK509" s="37">
        <v>16</v>
      </c>
      <c r="AL509" s="38">
        <v>8</v>
      </c>
      <c r="AM509" s="40">
        <f t="shared" ref="AM509:AM555" si="712">AK509*AL509</f>
        <v>128</v>
      </c>
      <c r="AN509" s="214">
        <f t="shared" si="704"/>
        <v>384</v>
      </c>
      <c r="AO509" s="204">
        <f t="shared" si="658"/>
        <v>1569</v>
      </c>
    </row>
    <row r="510" spans="1:41" ht="132" customHeight="1" x14ac:dyDescent="0.2">
      <c r="A510" s="22">
        <f t="shared" si="646"/>
        <v>6529</v>
      </c>
      <c r="B510" s="116">
        <v>1001032736529</v>
      </c>
      <c r="C510" s="48" t="s">
        <v>597</v>
      </c>
      <c r="D510" s="49" t="s">
        <v>3</v>
      </c>
      <c r="E510" s="146" t="s">
        <v>373</v>
      </c>
      <c r="F510" s="112" t="s">
        <v>41</v>
      </c>
      <c r="G510" s="224" t="s">
        <v>6</v>
      </c>
      <c r="H510" s="49" t="s">
        <v>1</v>
      </c>
      <c r="I510" s="160" t="s">
        <v>1566</v>
      </c>
      <c r="J510" s="149" t="s">
        <v>412</v>
      </c>
      <c r="K510" s="51" t="s">
        <v>1267</v>
      </c>
      <c r="L510" s="52">
        <v>11</v>
      </c>
      <c r="M510" s="53">
        <v>16</v>
      </c>
      <c r="N510" s="54">
        <v>2</v>
      </c>
      <c r="O510" s="88" t="s">
        <v>552</v>
      </c>
      <c r="P510" s="31" t="s">
        <v>104</v>
      </c>
      <c r="Q510" s="49">
        <v>45</v>
      </c>
      <c r="R510" s="56" t="s">
        <v>51</v>
      </c>
      <c r="S510" s="237">
        <v>2417082000008</v>
      </c>
      <c r="T510" s="332">
        <v>12417082000005</v>
      </c>
      <c r="U510" s="46">
        <v>4630362181923</v>
      </c>
      <c r="V510" s="46">
        <v>14630362181920</v>
      </c>
      <c r="W510" s="258">
        <v>300</v>
      </c>
      <c r="X510" s="68">
        <v>193</v>
      </c>
      <c r="Y510" s="60">
        <v>80</v>
      </c>
      <c r="Z510" s="65">
        <v>1</v>
      </c>
      <c r="AA510" s="271">
        <v>1.4E-2</v>
      </c>
      <c r="AB510" s="66">
        <f t="shared" si="705"/>
        <v>1.014</v>
      </c>
      <c r="AC510" s="59">
        <v>292</v>
      </c>
      <c r="AD510" s="60">
        <v>178</v>
      </c>
      <c r="AE510" s="60">
        <v>178</v>
      </c>
      <c r="AF510" s="191">
        <v>3</v>
      </c>
      <c r="AG510" s="117">
        <v>600000029</v>
      </c>
      <c r="AH510" s="104">
        <f>справочники!$C$21</f>
        <v>0.125</v>
      </c>
      <c r="AI510" s="62">
        <f t="shared" si="647"/>
        <v>3</v>
      </c>
      <c r="AJ510" s="122">
        <f t="shared" si="648"/>
        <v>3.1669999999999998</v>
      </c>
      <c r="AK510" s="37">
        <v>14</v>
      </c>
      <c r="AL510" s="38">
        <v>8</v>
      </c>
      <c r="AM510" s="40">
        <f t="shared" si="712"/>
        <v>112</v>
      </c>
      <c r="AN510" s="214">
        <f t="shared" si="704"/>
        <v>336</v>
      </c>
      <c r="AO510" s="204">
        <f t="shared" si="658"/>
        <v>1569</v>
      </c>
    </row>
    <row r="511" spans="1:41" ht="133.15" customHeight="1" x14ac:dyDescent="0.2">
      <c r="A511" s="22">
        <f t="shared" si="646"/>
        <v>6550</v>
      </c>
      <c r="B511" s="116">
        <v>1001032736550</v>
      </c>
      <c r="C511" s="48" t="s">
        <v>604</v>
      </c>
      <c r="D511" s="49" t="s">
        <v>3</v>
      </c>
      <c r="E511" s="146" t="s">
        <v>373</v>
      </c>
      <c r="F511" s="112" t="s">
        <v>41</v>
      </c>
      <c r="G511" s="224" t="s">
        <v>6</v>
      </c>
      <c r="H511" s="49" t="s">
        <v>1</v>
      </c>
      <c r="I511" s="160" t="s">
        <v>1566</v>
      </c>
      <c r="J511" s="149" t="s">
        <v>412</v>
      </c>
      <c r="K511" s="51" t="s">
        <v>1267</v>
      </c>
      <c r="L511" s="52">
        <v>11</v>
      </c>
      <c r="M511" s="53">
        <v>16</v>
      </c>
      <c r="N511" s="54">
        <v>2</v>
      </c>
      <c r="O511" s="88" t="s">
        <v>552</v>
      </c>
      <c r="P511" s="31" t="s">
        <v>104</v>
      </c>
      <c r="Q511" s="49">
        <v>45</v>
      </c>
      <c r="R511" s="56" t="s">
        <v>51</v>
      </c>
      <c r="S511" s="237">
        <v>2903270000009</v>
      </c>
      <c r="T511" s="332">
        <v>12903270000006</v>
      </c>
      <c r="U511" s="46">
        <v>4630362181923</v>
      </c>
      <c r="V511" s="46">
        <v>14630362181920</v>
      </c>
      <c r="W511" s="258">
        <v>300</v>
      </c>
      <c r="X511" s="68">
        <v>193</v>
      </c>
      <c r="Y511" s="60">
        <v>80</v>
      </c>
      <c r="Z511" s="65">
        <v>1</v>
      </c>
      <c r="AA511" s="271">
        <v>1.4E-2</v>
      </c>
      <c r="AB511" s="66">
        <f t="shared" si="705"/>
        <v>1.014</v>
      </c>
      <c r="AC511" s="59">
        <v>292</v>
      </c>
      <c r="AD511" s="60">
        <v>178</v>
      </c>
      <c r="AE511" s="60">
        <v>178</v>
      </c>
      <c r="AF511" s="191">
        <v>3</v>
      </c>
      <c r="AG511" s="117">
        <v>600000029</v>
      </c>
      <c r="AH511" s="104">
        <f>справочники!$C$21</f>
        <v>0.125</v>
      </c>
      <c r="AI511" s="62">
        <f t="shared" si="647"/>
        <v>3</v>
      </c>
      <c r="AJ511" s="122">
        <f t="shared" si="648"/>
        <v>3.1669999999999998</v>
      </c>
      <c r="AK511" s="37">
        <v>16</v>
      </c>
      <c r="AL511" s="38">
        <v>8</v>
      </c>
      <c r="AM511" s="40">
        <f t="shared" si="712"/>
        <v>128</v>
      </c>
      <c r="AN511" s="214">
        <f t="shared" si="704"/>
        <v>384</v>
      </c>
      <c r="AO511" s="204">
        <f t="shared" si="658"/>
        <v>1569</v>
      </c>
    </row>
    <row r="512" spans="1:41" ht="191.25" x14ac:dyDescent="0.2">
      <c r="A512" s="22">
        <f t="shared" si="646"/>
        <v>6608</v>
      </c>
      <c r="B512" s="116">
        <v>1001033856608</v>
      </c>
      <c r="C512" s="48" t="s">
        <v>618</v>
      </c>
      <c r="D512" s="49" t="s">
        <v>3</v>
      </c>
      <c r="E512" s="146" t="s">
        <v>373</v>
      </c>
      <c r="F512" s="112" t="s">
        <v>41</v>
      </c>
      <c r="G512" s="224" t="s">
        <v>6</v>
      </c>
      <c r="H512" s="49" t="s">
        <v>1</v>
      </c>
      <c r="I512" s="160" t="s">
        <v>1566</v>
      </c>
      <c r="J512" s="149" t="s">
        <v>413</v>
      </c>
      <c r="K512" s="51" t="s">
        <v>1579</v>
      </c>
      <c r="L512" s="52">
        <v>11</v>
      </c>
      <c r="M512" s="53">
        <v>15</v>
      </c>
      <c r="N512" s="54">
        <v>3</v>
      </c>
      <c r="O512" s="88" t="s">
        <v>902</v>
      </c>
      <c r="P512" s="31" t="s">
        <v>104</v>
      </c>
      <c r="Q512" s="49">
        <v>45</v>
      </c>
      <c r="R512" s="56" t="s">
        <v>51</v>
      </c>
      <c r="S512" s="237">
        <v>2800951000009</v>
      </c>
      <c r="T512" s="332">
        <v>12800951000006</v>
      </c>
      <c r="U512" s="46">
        <v>4630362180063</v>
      </c>
      <c r="V512" s="46">
        <v>14630362180060</v>
      </c>
      <c r="W512" s="258">
        <v>300</v>
      </c>
      <c r="X512" s="68">
        <v>193</v>
      </c>
      <c r="Y512" s="68">
        <v>80</v>
      </c>
      <c r="Z512" s="65">
        <v>1</v>
      </c>
      <c r="AA512" s="271">
        <v>1.4E-2</v>
      </c>
      <c r="AB512" s="66">
        <f t="shared" si="705"/>
        <v>1.014</v>
      </c>
      <c r="AC512" s="59">
        <v>292</v>
      </c>
      <c r="AD512" s="60">
        <v>178</v>
      </c>
      <c r="AE512" s="60">
        <v>178</v>
      </c>
      <c r="AF512" s="191">
        <v>3</v>
      </c>
      <c r="AG512" s="117">
        <v>600000029</v>
      </c>
      <c r="AH512" s="104">
        <f>справочники!$C$21</f>
        <v>0.125</v>
      </c>
      <c r="AI512" s="61">
        <f t="shared" ref="AI512:AI590" si="713">ROUNDDOWN(номин.вес_нетто__кг*кол_во_инд.__упак_к,2)</f>
        <v>3</v>
      </c>
      <c r="AJ512" s="122">
        <f t="shared" ref="AJ512:AJ590" si="714">(номин.вес_брутто__кг*кол_во_инд.__упак_к)+вес_короба__кг</f>
        <v>3.1669999999999998</v>
      </c>
      <c r="AK512" s="37">
        <v>16</v>
      </c>
      <c r="AL512" s="38">
        <v>8</v>
      </c>
      <c r="AM512" s="40">
        <f t="shared" si="712"/>
        <v>128</v>
      </c>
      <c r="AN512" s="214">
        <f t="shared" si="704"/>
        <v>384</v>
      </c>
      <c r="AO512" s="204">
        <f t="shared" si="658"/>
        <v>1569</v>
      </c>
    </row>
    <row r="513" spans="1:41" ht="216.75" x14ac:dyDescent="0.2">
      <c r="A513" s="22">
        <f t="shared" si="646"/>
        <v>7646</v>
      </c>
      <c r="B513" s="116">
        <v>1001035027646</v>
      </c>
      <c r="C513" s="48" t="s">
        <v>2077</v>
      </c>
      <c r="D513" s="49" t="s">
        <v>4</v>
      </c>
      <c r="E513" s="146" t="s">
        <v>373</v>
      </c>
      <c r="F513" s="112" t="s">
        <v>41</v>
      </c>
      <c r="G513" s="224" t="s">
        <v>6</v>
      </c>
      <c r="H513" s="49" t="s">
        <v>278</v>
      </c>
      <c r="I513" s="153" t="s">
        <v>387</v>
      </c>
      <c r="J513" s="149" t="s">
        <v>639</v>
      </c>
      <c r="K513" s="51" t="s">
        <v>2078</v>
      </c>
      <c r="L513" s="52">
        <v>10</v>
      </c>
      <c r="M513" s="53">
        <v>12</v>
      </c>
      <c r="N513" s="54">
        <v>4</v>
      </c>
      <c r="O513" s="88" t="s">
        <v>778</v>
      </c>
      <c r="P513" s="31" t="s">
        <v>104</v>
      </c>
      <c r="Q513" s="49">
        <v>60</v>
      </c>
      <c r="R513" s="56" t="s">
        <v>37</v>
      </c>
      <c r="S513" s="237">
        <v>4630362183125</v>
      </c>
      <c r="T513" s="332">
        <v>14630362183122</v>
      </c>
      <c r="U513" s="46">
        <v>4630362183125</v>
      </c>
      <c r="V513" s="46">
        <v>14630362183122</v>
      </c>
      <c r="W513" s="258">
        <v>158</v>
      </c>
      <c r="X513" s="68">
        <v>150</v>
      </c>
      <c r="Y513" s="60">
        <v>40</v>
      </c>
      <c r="Z513" s="65">
        <v>0.3</v>
      </c>
      <c r="AA513" s="271">
        <v>1.4999999999999999E-2</v>
      </c>
      <c r="AB513" s="66">
        <f t="shared" si="705"/>
        <v>0.315</v>
      </c>
      <c r="AC513" s="37">
        <v>315</v>
      </c>
      <c r="AD513" s="38">
        <v>168</v>
      </c>
      <c r="AE513" s="38">
        <v>188</v>
      </c>
      <c r="AF513" s="191">
        <v>8</v>
      </c>
      <c r="AG513" s="117">
        <v>600000428</v>
      </c>
      <c r="AH513" s="104">
        <f>справочники!$C$114</f>
        <v>0.123</v>
      </c>
      <c r="AI513" s="62">
        <f t="shared" si="713"/>
        <v>2.4</v>
      </c>
      <c r="AJ513" s="122">
        <f t="shared" si="714"/>
        <v>2.6429999999999998</v>
      </c>
      <c r="AK513" s="37">
        <v>17</v>
      </c>
      <c r="AL513" s="38">
        <v>8</v>
      </c>
      <c r="AM513" s="40">
        <f t="shared" si="712"/>
        <v>136</v>
      </c>
      <c r="AN513" s="206">
        <f t="shared" si="704"/>
        <v>1088</v>
      </c>
      <c r="AO513" s="204">
        <f t="shared" si="658"/>
        <v>1649</v>
      </c>
    </row>
    <row r="514" spans="1:41" ht="103.5" customHeight="1" x14ac:dyDescent="0.2">
      <c r="A514" s="22">
        <f t="shared" si="646"/>
        <v>6527</v>
      </c>
      <c r="B514" s="116">
        <v>1001031076527</v>
      </c>
      <c r="C514" s="48" t="s">
        <v>596</v>
      </c>
      <c r="D514" s="49" t="s">
        <v>3</v>
      </c>
      <c r="E514" s="146" t="s">
        <v>373</v>
      </c>
      <c r="F514" s="112" t="s">
        <v>41</v>
      </c>
      <c r="G514" s="224" t="s">
        <v>6</v>
      </c>
      <c r="H514" s="49" t="s">
        <v>1</v>
      </c>
      <c r="I514" s="153" t="s">
        <v>1566</v>
      </c>
      <c r="J514" s="149" t="s">
        <v>412</v>
      </c>
      <c r="K514" s="83" t="s">
        <v>816</v>
      </c>
      <c r="L514" s="52">
        <v>9</v>
      </c>
      <c r="M514" s="53">
        <v>26</v>
      </c>
      <c r="N514" s="54"/>
      <c r="O514" s="88" t="s">
        <v>274</v>
      </c>
      <c r="P514" s="31" t="s">
        <v>104</v>
      </c>
      <c r="Q514" s="49">
        <v>45</v>
      </c>
      <c r="R514" s="56" t="s">
        <v>51</v>
      </c>
      <c r="S514" s="237">
        <v>2101254000001</v>
      </c>
      <c r="T514" s="332">
        <v>12101254000008</v>
      </c>
      <c r="U514" s="46">
        <v>4630362181930</v>
      </c>
      <c r="V514" s="46">
        <v>14630362181937</v>
      </c>
      <c r="W514" s="258">
        <v>300</v>
      </c>
      <c r="X514" s="68">
        <v>193</v>
      </c>
      <c r="Y514" s="60">
        <v>80</v>
      </c>
      <c r="Z514" s="65">
        <v>1</v>
      </c>
      <c r="AA514" s="271">
        <v>1.4E-2</v>
      </c>
      <c r="AB514" s="66">
        <f t="shared" si="705"/>
        <v>1.014</v>
      </c>
      <c r="AC514" s="59">
        <v>292</v>
      </c>
      <c r="AD514" s="60">
        <v>178</v>
      </c>
      <c r="AE514" s="60">
        <v>178</v>
      </c>
      <c r="AF514" s="191">
        <v>3</v>
      </c>
      <c r="AG514" s="117">
        <v>600000029</v>
      </c>
      <c r="AH514" s="104">
        <f>справочники!$C$21</f>
        <v>0.125</v>
      </c>
      <c r="AI514" s="62">
        <f t="shared" si="713"/>
        <v>3</v>
      </c>
      <c r="AJ514" s="122">
        <f t="shared" si="714"/>
        <v>3.1669999999999998</v>
      </c>
      <c r="AK514" s="37">
        <v>14</v>
      </c>
      <c r="AL514" s="38">
        <v>8</v>
      </c>
      <c r="AM514" s="40">
        <f t="shared" si="712"/>
        <v>112</v>
      </c>
      <c r="AN514" s="214">
        <f t="shared" si="704"/>
        <v>336</v>
      </c>
      <c r="AO514" s="204">
        <f t="shared" si="658"/>
        <v>1569</v>
      </c>
    </row>
    <row r="515" spans="1:41" ht="103.5" customHeight="1" x14ac:dyDescent="0.2">
      <c r="A515" s="22">
        <f t="shared" si="646"/>
        <v>6548</v>
      </c>
      <c r="B515" s="116">
        <v>1001031076548</v>
      </c>
      <c r="C515" s="48" t="s">
        <v>2083</v>
      </c>
      <c r="D515" s="49" t="s">
        <v>3</v>
      </c>
      <c r="E515" s="146" t="s">
        <v>373</v>
      </c>
      <c r="F515" s="112" t="s">
        <v>41</v>
      </c>
      <c r="G515" s="224" t="s">
        <v>6</v>
      </c>
      <c r="H515" s="49" t="s">
        <v>1</v>
      </c>
      <c r="I515" s="153" t="s">
        <v>1566</v>
      </c>
      <c r="J515" s="149" t="s">
        <v>412</v>
      </c>
      <c r="K515" s="83" t="s">
        <v>816</v>
      </c>
      <c r="L515" s="52">
        <v>9</v>
      </c>
      <c r="M515" s="53">
        <v>26</v>
      </c>
      <c r="N515" s="54"/>
      <c r="O515" s="88" t="s">
        <v>274</v>
      </c>
      <c r="P515" s="31" t="s">
        <v>104</v>
      </c>
      <c r="Q515" s="49">
        <v>45</v>
      </c>
      <c r="R515" s="56" t="s">
        <v>51</v>
      </c>
      <c r="S515" s="237">
        <v>2340764000006</v>
      </c>
      <c r="T515" s="332">
        <v>12340764000003</v>
      </c>
      <c r="U515" s="46">
        <v>4630362181930</v>
      </c>
      <c r="V515" s="46">
        <v>14630362181937</v>
      </c>
      <c r="W515" s="258">
        <v>300</v>
      </c>
      <c r="X515" s="68">
        <v>193</v>
      </c>
      <c r="Y515" s="60">
        <v>80</v>
      </c>
      <c r="Z515" s="65">
        <v>1</v>
      </c>
      <c r="AA515" s="271">
        <v>1.4E-2</v>
      </c>
      <c r="AB515" s="66">
        <f t="shared" si="705"/>
        <v>1.014</v>
      </c>
      <c r="AC515" s="59">
        <v>292</v>
      </c>
      <c r="AD515" s="60">
        <v>178</v>
      </c>
      <c r="AE515" s="60">
        <v>178</v>
      </c>
      <c r="AF515" s="191">
        <v>3</v>
      </c>
      <c r="AG515" s="117">
        <v>600000029</v>
      </c>
      <c r="AH515" s="104">
        <f>справочники!$C$21</f>
        <v>0.125</v>
      </c>
      <c r="AI515" s="62">
        <f t="shared" si="713"/>
        <v>3</v>
      </c>
      <c r="AJ515" s="122">
        <f t="shared" si="714"/>
        <v>3.1669999999999998</v>
      </c>
      <c r="AK515" s="37">
        <v>14</v>
      </c>
      <c r="AL515" s="38">
        <v>8</v>
      </c>
      <c r="AM515" s="40">
        <f t="shared" si="712"/>
        <v>112</v>
      </c>
      <c r="AN515" s="214">
        <f t="shared" si="704"/>
        <v>336</v>
      </c>
      <c r="AO515" s="204">
        <f t="shared" si="658"/>
        <v>1569</v>
      </c>
    </row>
    <row r="516" spans="1:41" ht="216.75" x14ac:dyDescent="0.2">
      <c r="A516" s="22">
        <f t="shared" ref="A516:A579" si="715">VALUE(RIGHT(B516,4))</f>
        <v>7056</v>
      </c>
      <c r="B516" s="116">
        <v>1001031897056</v>
      </c>
      <c r="C516" s="48" t="s">
        <v>1039</v>
      </c>
      <c r="D516" s="49" t="s">
        <v>3</v>
      </c>
      <c r="E516" s="146" t="s">
        <v>373</v>
      </c>
      <c r="F516" s="112" t="s">
        <v>41</v>
      </c>
      <c r="G516" s="224" t="s">
        <v>6</v>
      </c>
      <c r="H516" s="58" t="s">
        <v>278</v>
      </c>
      <c r="I516" s="153" t="s">
        <v>387</v>
      </c>
      <c r="J516" s="149" t="s">
        <v>639</v>
      </c>
      <c r="K516" s="51" t="s">
        <v>1640</v>
      </c>
      <c r="L516" s="52">
        <v>10</v>
      </c>
      <c r="M516" s="53">
        <v>17</v>
      </c>
      <c r="N516" s="54">
        <v>4</v>
      </c>
      <c r="O516" s="88" t="s">
        <v>561</v>
      </c>
      <c r="P516" s="31" t="s">
        <v>104</v>
      </c>
      <c r="Q516" s="49">
        <v>60</v>
      </c>
      <c r="R516" s="56" t="s">
        <v>78</v>
      </c>
      <c r="S516" s="237">
        <v>2100180000000</v>
      </c>
      <c r="T516" s="332">
        <v>12100180000007</v>
      </c>
      <c r="U516" s="46">
        <v>4630362181947</v>
      </c>
      <c r="V516" s="46">
        <v>14630362181944</v>
      </c>
      <c r="W516" s="258">
        <v>300</v>
      </c>
      <c r="X516" s="68">
        <v>193</v>
      </c>
      <c r="Y516" s="60">
        <v>80</v>
      </c>
      <c r="Z516" s="65">
        <v>1.0339999999999998</v>
      </c>
      <c r="AA516" s="271">
        <v>1.4E-2</v>
      </c>
      <c r="AB516" s="66">
        <f t="shared" ref="AB516" si="716">Z516+AA516</f>
        <v>1.0479999999999998</v>
      </c>
      <c r="AC516" s="59">
        <v>292</v>
      </c>
      <c r="AD516" s="60">
        <v>178</v>
      </c>
      <c r="AE516" s="60">
        <v>178</v>
      </c>
      <c r="AF516" s="191">
        <v>3</v>
      </c>
      <c r="AG516" s="117">
        <v>600000029</v>
      </c>
      <c r="AH516" s="104">
        <f>справочники!$C$21</f>
        <v>0.125</v>
      </c>
      <c r="AI516" s="62">
        <f t="shared" si="713"/>
        <v>3.1</v>
      </c>
      <c r="AJ516" s="122">
        <f t="shared" si="714"/>
        <v>3.2689999999999992</v>
      </c>
      <c r="AK516" s="37">
        <v>16</v>
      </c>
      <c r="AL516" s="38">
        <v>8</v>
      </c>
      <c r="AM516" s="40">
        <f t="shared" ref="AM516" si="717">AK516*AL516</f>
        <v>128</v>
      </c>
      <c r="AN516" s="214">
        <f t="shared" ref="AN516" si="718">IF(D516="ШТ",кол_во_инд.__упак_к*итого_г_у,ROUNDDOWN(номин.вес_нетто_г_у__кг*итого_г_у,1))</f>
        <v>396.8</v>
      </c>
      <c r="AO516" s="204">
        <f t="shared" ref="AO516:AO606" si="719">(высота__мм*кол_во_слоев_г_у)+145</f>
        <v>1569</v>
      </c>
    </row>
    <row r="517" spans="1:41" ht="216.75" x14ac:dyDescent="0.2">
      <c r="A517" s="22">
        <f t="shared" si="715"/>
        <v>7057</v>
      </c>
      <c r="B517" s="116">
        <v>1001031897057</v>
      </c>
      <c r="C517" s="48" t="s">
        <v>1040</v>
      </c>
      <c r="D517" s="49" t="s">
        <v>4</v>
      </c>
      <c r="E517" s="146" t="s">
        <v>373</v>
      </c>
      <c r="F517" s="112" t="s">
        <v>41</v>
      </c>
      <c r="G517" s="224" t="s">
        <v>6</v>
      </c>
      <c r="H517" s="49" t="s">
        <v>278</v>
      </c>
      <c r="I517" s="153" t="s">
        <v>387</v>
      </c>
      <c r="J517" s="149" t="s">
        <v>639</v>
      </c>
      <c r="K517" s="51" t="s">
        <v>1640</v>
      </c>
      <c r="L517" s="52">
        <v>10</v>
      </c>
      <c r="M517" s="53">
        <v>17</v>
      </c>
      <c r="N517" s="54">
        <v>4</v>
      </c>
      <c r="O517" s="88" t="s">
        <v>561</v>
      </c>
      <c r="P517" s="31" t="s">
        <v>104</v>
      </c>
      <c r="Q517" s="49">
        <v>60</v>
      </c>
      <c r="R517" s="56" t="s">
        <v>78</v>
      </c>
      <c r="S517" s="237">
        <v>4607958076130</v>
      </c>
      <c r="T517" s="332">
        <v>14607958076137</v>
      </c>
      <c r="U517" s="46">
        <v>4607958076130</v>
      </c>
      <c r="V517" s="46">
        <v>14607958076137</v>
      </c>
      <c r="W517" s="258">
        <v>158</v>
      </c>
      <c r="X517" s="68">
        <v>150</v>
      </c>
      <c r="Y517" s="60">
        <v>40</v>
      </c>
      <c r="Z517" s="65">
        <v>0.3</v>
      </c>
      <c r="AA517" s="271">
        <v>6.0000000000000001E-3</v>
      </c>
      <c r="AB517" s="66">
        <f t="shared" ref="AB517" si="720">Z517+AA517</f>
        <v>0.30599999999999999</v>
      </c>
      <c r="AC517" s="59">
        <v>315</v>
      </c>
      <c r="AD517" s="60">
        <v>168</v>
      </c>
      <c r="AE517" s="60">
        <v>188</v>
      </c>
      <c r="AF517" s="191">
        <v>8</v>
      </c>
      <c r="AG517" s="117">
        <v>600000428</v>
      </c>
      <c r="AH517" s="104">
        <f>справочники!$C$114</f>
        <v>0.123</v>
      </c>
      <c r="AI517" s="62">
        <f t="shared" si="713"/>
        <v>2.4</v>
      </c>
      <c r="AJ517" s="122">
        <f t="shared" si="714"/>
        <v>2.5709999999999997</v>
      </c>
      <c r="AK517" s="37">
        <v>17</v>
      </c>
      <c r="AL517" s="38">
        <v>8</v>
      </c>
      <c r="AM517" s="40">
        <f t="shared" ref="AM517" si="721">AK517*AL517</f>
        <v>136</v>
      </c>
      <c r="AN517" s="135">
        <f t="shared" ref="AN517" si="722">IF(D517="ШТ",кол_во_инд.__упак_к*итого_г_у,ROUNDDOWN(номин.вес_нетто_г_у__кг*итого_г_у,1))</f>
        <v>1088</v>
      </c>
      <c r="AO517" s="204">
        <f t="shared" si="719"/>
        <v>1649</v>
      </c>
    </row>
    <row r="518" spans="1:41" ht="265.89999999999998" customHeight="1" x14ac:dyDescent="0.2">
      <c r="A518" s="22">
        <f t="shared" si="715"/>
        <v>7055</v>
      </c>
      <c r="B518" s="116">
        <v>1001035267055</v>
      </c>
      <c r="C518" s="48" t="s">
        <v>1553</v>
      </c>
      <c r="D518" s="49" t="s">
        <v>4</v>
      </c>
      <c r="E518" s="146" t="s">
        <v>373</v>
      </c>
      <c r="F518" s="112" t="s">
        <v>41</v>
      </c>
      <c r="G518" s="224" t="s">
        <v>6</v>
      </c>
      <c r="H518" s="49" t="s">
        <v>278</v>
      </c>
      <c r="I518" s="153" t="s">
        <v>387</v>
      </c>
      <c r="J518" s="149" t="s">
        <v>639</v>
      </c>
      <c r="K518" s="51" t="s">
        <v>1642</v>
      </c>
      <c r="L518" s="52">
        <v>11</v>
      </c>
      <c r="M518" s="53">
        <v>13</v>
      </c>
      <c r="N518" s="54">
        <v>4</v>
      </c>
      <c r="O518" s="88" t="s">
        <v>798</v>
      </c>
      <c r="P518" s="31" t="s">
        <v>104</v>
      </c>
      <c r="Q518" s="49">
        <v>60</v>
      </c>
      <c r="R518" s="56" t="s">
        <v>78</v>
      </c>
      <c r="S518" s="237">
        <v>4607958076147</v>
      </c>
      <c r="T518" s="332">
        <v>14607958076144</v>
      </c>
      <c r="U518" s="46">
        <v>4607958076147</v>
      </c>
      <c r="V518" s="46">
        <v>14607958076144</v>
      </c>
      <c r="W518" s="258">
        <v>158</v>
      </c>
      <c r="X518" s="68">
        <v>150</v>
      </c>
      <c r="Y518" s="60">
        <v>40</v>
      </c>
      <c r="Z518" s="65">
        <v>0.3</v>
      </c>
      <c r="AA518" s="271">
        <v>6.0000000000000001E-3</v>
      </c>
      <c r="AB518" s="66">
        <f t="shared" ref="AB518" si="723">Z518+AA518</f>
        <v>0.30599999999999999</v>
      </c>
      <c r="AC518" s="59">
        <v>315</v>
      </c>
      <c r="AD518" s="60">
        <v>168</v>
      </c>
      <c r="AE518" s="60">
        <v>188</v>
      </c>
      <c r="AF518" s="191">
        <v>8</v>
      </c>
      <c r="AG518" s="117">
        <v>600000428</v>
      </c>
      <c r="AH518" s="104">
        <f>справочники!$C$114</f>
        <v>0.123</v>
      </c>
      <c r="AI518" s="62">
        <f t="shared" si="713"/>
        <v>2.4</v>
      </c>
      <c r="AJ518" s="122">
        <f t="shared" si="714"/>
        <v>2.5709999999999997</v>
      </c>
      <c r="AK518" s="37">
        <v>17</v>
      </c>
      <c r="AL518" s="38">
        <v>8</v>
      </c>
      <c r="AM518" s="40">
        <f t="shared" ref="AM518" si="724">AK518*AL518</f>
        <v>136</v>
      </c>
      <c r="AN518" s="135">
        <f t="shared" ref="AN518" si="725">IF(D518="ШТ",кол_во_инд.__упак_к*итого_г_у,ROUNDDOWN(номин.вес_нетто_г_у__кг*итого_г_у,1))</f>
        <v>1088</v>
      </c>
      <c r="AO518" s="204">
        <f t="shared" si="719"/>
        <v>1649</v>
      </c>
    </row>
    <row r="519" spans="1:41" ht="102" customHeight="1" x14ac:dyDescent="0.2">
      <c r="A519" s="22">
        <f t="shared" si="715"/>
        <v>7058</v>
      </c>
      <c r="B519" s="116">
        <v>1001035277058</v>
      </c>
      <c r="C519" s="48" t="s">
        <v>1041</v>
      </c>
      <c r="D519" s="49" t="s">
        <v>3</v>
      </c>
      <c r="E519" s="146" t="s">
        <v>373</v>
      </c>
      <c r="F519" s="112" t="s">
        <v>41</v>
      </c>
      <c r="G519" s="224" t="s">
        <v>6</v>
      </c>
      <c r="H519" s="58" t="s">
        <v>278</v>
      </c>
      <c r="I519" s="153" t="s">
        <v>387</v>
      </c>
      <c r="J519" s="149" t="s">
        <v>639</v>
      </c>
      <c r="K519" s="51" t="s">
        <v>873</v>
      </c>
      <c r="L519" s="52">
        <v>10</v>
      </c>
      <c r="M519" s="53">
        <v>20</v>
      </c>
      <c r="N519" s="54">
        <v>3</v>
      </c>
      <c r="O519" s="88" t="s">
        <v>40</v>
      </c>
      <c r="P519" s="31" t="s">
        <v>104</v>
      </c>
      <c r="Q519" s="49">
        <v>60</v>
      </c>
      <c r="R519" s="56" t="s">
        <v>78</v>
      </c>
      <c r="S519" s="237">
        <v>2322714000007</v>
      </c>
      <c r="T519" s="332">
        <v>12322714000004</v>
      </c>
      <c r="U519" s="46">
        <v>4630362180018</v>
      </c>
      <c r="V519" s="46">
        <v>14630362180015</v>
      </c>
      <c r="W519" s="258">
        <v>300</v>
      </c>
      <c r="X519" s="68">
        <v>193</v>
      </c>
      <c r="Y519" s="60">
        <v>80</v>
      </c>
      <c r="Z519" s="65">
        <v>1.0339999999999998</v>
      </c>
      <c r="AA519" s="271">
        <v>1.4E-2</v>
      </c>
      <c r="AB519" s="66">
        <f t="shared" ref="AB519" si="726">Z519+AA519</f>
        <v>1.0479999999999998</v>
      </c>
      <c r="AC519" s="59">
        <v>292</v>
      </c>
      <c r="AD519" s="60">
        <v>178</v>
      </c>
      <c r="AE519" s="60">
        <v>178</v>
      </c>
      <c r="AF519" s="191">
        <v>3</v>
      </c>
      <c r="AG519" s="117">
        <v>600000029</v>
      </c>
      <c r="AH519" s="104">
        <f>справочники!$C$21</f>
        <v>0.125</v>
      </c>
      <c r="AI519" s="62">
        <f t="shared" si="713"/>
        <v>3.1</v>
      </c>
      <c r="AJ519" s="122">
        <f t="shared" si="714"/>
        <v>3.2689999999999992</v>
      </c>
      <c r="AK519" s="37">
        <v>16</v>
      </c>
      <c r="AL519" s="38">
        <v>8</v>
      </c>
      <c r="AM519" s="40">
        <f t="shared" ref="AM519" si="727">AK519*AL519</f>
        <v>128</v>
      </c>
      <c r="AN519" s="214">
        <f t="shared" ref="AN519" si="728">IF(D519="ШТ",кол_во_инд.__упак_к*итого_г_у,ROUNDDOWN(номин.вес_нетто_г_у__кг*итого_г_у,1))</f>
        <v>396.8</v>
      </c>
      <c r="AO519" s="204">
        <f t="shared" si="719"/>
        <v>1569</v>
      </c>
    </row>
    <row r="520" spans="1:41" ht="229.5" x14ac:dyDescent="0.2">
      <c r="A520" s="22">
        <f t="shared" si="715"/>
        <v>7059</v>
      </c>
      <c r="B520" s="116">
        <v>1001035277059</v>
      </c>
      <c r="C520" s="48" t="s">
        <v>1042</v>
      </c>
      <c r="D520" s="49" t="s">
        <v>4</v>
      </c>
      <c r="E520" s="146" t="s">
        <v>373</v>
      </c>
      <c r="F520" s="112" t="s">
        <v>41</v>
      </c>
      <c r="G520" s="224" t="s">
        <v>6</v>
      </c>
      <c r="H520" s="49" t="s">
        <v>278</v>
      </c>
      <c r="I520" s="153" t="s">
        <v>387</v>
      </c>
      <c r="J520" s="149" t="s">
        <v>639</v>
      </c>
      <c r="K520" s="51" t="s">
        <v>1510</v>
      </c>
      <c r="L520" s="52">
        <v>10</v>
      </c>
      <c r="M520" s="53">
        <v>20</v>
      </c>
      <c r="N520" s="54">
        <v>3</v>
      </c>
      <c r="O520" s="88" t="s">
        <v>40</v>
      </c>
      <c r="P520" s="31" t="s">
        <v>104</v>
      </c>
      <c r="Q520" s="49">
        <v>60</v>
      </c>
      <c r="R520" s="56" t="s">
        <v>78</v>
      </c>
      <c r="S520" s="237">
        <v>4607958076154</v>
      </c>
      <c r="T520" s="332">
        <v>14607958076151</v>
      </c>
      <c r="U520" s="46">
        <v>4607958076154</v>
      </c>
      <c r="V520" s="46">
        <v>14607958076151</v>
      </c>
      <c r="W520" s="258">
        <v>158</v>
      </c>
      <c r="X520" s="68">
        <v>150</v>
      </c>
      <c r="Y520" s="60">
        <v>40</v>
      </c>
      <c r="Z520" s="65">
        <v>0.3</v>
      </c>
      <c r="AA520" s="271">
        <v>1.4999999999999999E-2</v>
      </c>
      <c r="AB520" s="66">
        <f t="shared" ref="AB520" si="729">Z520+AA520</f>
        <v>0.315</v>
      </c>
      <c r="AC520" s="37">
        <v>315</v>
      </c>
      <c r="AD520" s="38">
        <v>168</v>
      </c>
      <c r="AE520" s="38">
        <v>188</v>
      </c>
      <c r="AF520" s="191">
        <v>8</v>
      </c>
      <c r="AG520" s="117">
        <v>600000428</v>
      </c>
      <c r="AH520" s="104">
        <f>справочники!$C$114</f>
        <v>0.123</v>
      </c>
      <c r="AI520" s="62">
        <f t="shared" si="713"/>
        <v>2.4</v>
      </c>
      <c r="AJ520" s="122">
        <f t="shared" si="714"/>
        <v>2.6429999999999998</v>
      </c>
      <c r="AK520" s="37">
        <v>17</v>
      </c>
      <c r="AL520" s="38">
        <v>8</v>
      </c>
      <c r="AM520" s="40">
        <f t="shared" ref="AM520" si="730">AK520*AL520</f>
        <v>136</v>
      </c>
      <c r="AN520" s="206">
        <f t="shared" ref="AN520" si="731">IF(D520="ШТ",кол_во_инд.__упак_к*итого_г_у,ROUNDDOWN(номин.вес_нетто_г_у__кг*итого_г_у,1))</f>
        <v>1088</v>
      </c>
      <c r="AO520" s="204">
        <f t="shared" si="719"/>
        <v>1649</v>
      </c>
    </row>
    <row r="521" spans="1:41" ht="178.5" x14ac:dyDescent="0.2">
      <c r="A521" s="22">
        <f t="shared" si="715"/>
        <v>6609</v>
      </c>
      <c r="B521" s="116">
        <v>1001033856609</v>
      </c>
      <c r="C521" s="48" t="s">
        <v>619</v>
      </c>
      <c r="D521" s="49" t="s">
        <v>4</v>
      </c>
      <c r="E521" s="146" t="s">
        <v>373</v>
      </c>
      <c r="F521" s="112" t="s">
        <v>41</v>
      </c>
      <c r="G521" s="224" t="s">
        <v>6</v>
      </c>
      <c r="H521" s="49" t="s">
        <v>1</v>
      </c>
      <c r="I521" s="153" t="s">
        <v>1566</v>
      </c>
      <c r="J521" s="149" t="s">
        <v>413</v>
      </c>
      <c r="K521" s="51" t="s">
        <v>1314</v>
      </c>
      <c r="L521" s="52">
        <v>9</v>
      </c>
      <c r="M521" s="53">
        <v>16</v>
      </c>
      <c r="N521" s="54">
        <v>2</v>
      </c>
      <c r="O521" s="88" t="s">
        <v>281</v>
      </c>
      <c r="P521" s="31" t="s">
        <v>104</v>
      </c>
      <c r="Q521" s="49">
        <v>45</v>
      </c>
      <c r="R521" s="56" t="s">
        <v>51</v>
      </c>
      <c r="S521" s="243">
        <v>4607958073900</v>
      </c>
      <c r="T521" s="340">
        <v>14607958073907</v>
      </c>
      <c r="U521" s="46">
        <v>4607958073900</v>
      </c>
      <c r="V521" s="46">
        <v>14607958073907</v>
      </c>
      <c r="W521" s="93">
        <v>220</v>
      </c>
      <c r="X521" s="68">
        <v>101</v>
      </c>
      <c r="Y521" s="68">
        <v>40</v>
      </c>
      <c r="Z521" s="65">
        <v>0.4</v>
      </c>
      <c r="AA521" s="271">
        <v>1.2999999999999999E-2</v>
      </c>
      <c r="AB521" s="66">
        <f t="shared" si="705"/>
        <v>0.41300000000000003</v>
      </c>
      <c r="AC521" s="59">
        <v>230</v>
      </c>
      <c r="AD521" s="60">
        <v>216</v>
      </c>
      <c r="AE521" s="60">
        <v>138</v>
      </c>
      <c r="AF521" s="191">
        <v>6</v>
      </c>
      <c r="AG521" s="117">
        <v>600000390</v>
      </c>
      <c r="AH521" s="104">
        <f>справочники!$C$90</f>
        <v>0.14699999999999999</v>
      </c>
      <c r="AI521" s="62">
        <f t="shared" si="713"/>
        <v>2.4</v>
      </c>
      <c r="AJ521" s="122">
        <f t="shared" si="714"/>
        <v>2.625</v>
      </c>
      <c r="AK521" s="37">
        <v>15</v>
      </c>
      <c r="AL521" s="38">
        <v>11</v>
      </c>
      <c r="AM521" s="40">
        <f t="shared" si="712"/>
        <v>165</v>
      </c>
      <c r="AN521" s="206">
        <f t="shared" si="704"/>
        <v>990</v>
      </c>
      <c r="AO521" s="204">
        <f t="shared" si="719"/>
        <v>1663</v>
      </c>
    </row>
    <row r="522" spans="1:41" ht="79.900000000000006" customHeight="1" x14ac:dyDescent="0.2">
      <c r="A522" s="22">
        <f t="shared" si="715"/>
        <v>6836</v>
      </c>
      <c r="B522" s="116">
        <v>1001034206836</v>
      </c>
      <c r="C522" s="48" t="s">
        <v>1300</v>
      </c>
      <c r="D522" s="49" t="s">
        <v>3</v>
      </c>
      <c r="E522" s="146" t="s">
        <v>373</v>
      </c>
      <c r="F522" s="112" t="s">
        <v>41</v>
      </c>
      <c r="G522" s="224" t="s">
        <v>2</v>
      </c>
      <c r="H522" s="49" t="s">
        <v>1</v>
      </c>
      <c r="I522" s="153" t="s">
        <v>189</v>
      </c>
      <c r="J522" s="149" t="s">
        <v>408</v>
      </c>
      <c r="K522" s="83" t="s">
        <v>1081</v>
      </c>
      <c r="L522" s="52">
        <v>10</v>
      </c>
      <c r="M522" s="53">
        <v>30</v>
      </c>
      <c r="N522" s="54">
        <v>0</v>
      </c>
      <c r="O522" s="88" t="s">
        <v>191</v>
      </c>
      <c r="P522" s="31" t="s">
        <v>104</v>
      </c>
      <c r="Q522" s="49">
        <v>35</v>
      </c>
      <c r="R522" s="56" t="s">
        <v>78</v>
      </c>
      <c r="S522" s="237">
        <v>2800721000000</v>
      </c>
      <c r="T522" s="332">
        <v>12800721000007</v>
      </c>
      <c r="U522" s="46">
        <v>4630362181954</v>
      </c>
      <c r="V522" s="46">
        <v>14630362181951</v>
      </c>
      <c r="W522" s="258">
        <v>300</v>
      </c>
      <c r="X522" s="68">
        <v>193</v>
      </c>
      <c r="Y522" s="60">
        <v>80</v>
      </c>
      <c r="Z522" s="65">
        <v>1</v>
      </c>
      <c r="AA522" s="271">
        <v>1.4E-2</v>
      </c>
      <c r="AB522" s="66">
        <f t="shared" si="705"/>
        <v>1.014</v>
      </c>
      <c r="AC522" s="59">
        <v>292</v>
      </c>
      <c r="AD522" s="60">
        <v>178</v>
      </c>
      <c r="AE522" s="60">
        <v>178</v>
      </c>
      <c r="AF522" s="191">
        <v>3</v>
      </c>
      <c r="AG522" s="117">
        <v>600000029</v>
      </c>
      <c r="AH522" s="104">
        <f>справочники!$C$21</f>
        <v>0.125</v>
      </c>
      <c r="AI522" s="62">
        <f t="shared" si="713"/>
        <v>3</v>
      </c>
      <c r="AJ522" s="122">
        <f t="shared" si="714"/>
        <v>3.1669999999999998</v>
      </c>
      <c r="AK522" s="37">
        <v>16</v>
      </c>
      <c r="AL522" s="38">
        <v>8</v>
      </c>
      <c r="AM522" s="40">
        <f t="shared" si="712"/>
        <v>128</v>
      </c>
      <c r="AN522" s="214">
        <f t="shared" si="704"/>
        <v>384</v>
      </c>
      <c r="AO522" s="204">
        <f t="shared" si="719"/>
        <v>1569</v>
      </c>
    </row>
    <row r="523" spans="1:41" ht="140.25" x14ac:dyDescent="0.2">
      <c r="A523" s="22">
        <f t="shared" si="715"/>
        <v>6618</v>
      </c>
      <c r="B523" s="116">
        <v>1001034206618</v>
      </c>
      <c r="C523" s="48" t="s">
        <v>697</v>
      </c>
      <c r="D523" s="49" t="s">
        <v>4</v>
      </c>
      <c r="E523" s="146" t="s">
        <v>373</v>
      </c>
      <c r="F523" s="112" t="s">
        <v>41</v>
      </c>
      <c r="G523" s="224" t="s">
        <v>520</v>
      </c>
      <c r="H523" s="49" t="s">
        <v>1</v>
      </c>
      <c r="I523" s="153" t="s">
        <v>189</v>
      </c>
      <c r="J523" s="149" t="s">
        <v>408</v>
      </c>
      <c r="K523" s="51" t="s">
        <v>1081</v>
      </c>
      <c r="L523" s="52">
        <v>10</v>
      </c>
      <c r="M523" s="53">
        <v>30</v>
      </c>
      <c r="N523" s="54"/>
      <c r="O523" s="88" t="s">
        <v>191</v>
      </c>
      <c r="P523" s="31" t="s">
        <v>104</v>
      </c>
      <c r="Q523" s="49">
        <v>35</v>
      </c>
      <c r="R523" s="56" t="s">
        <v>78</v>
      </c>
      <c r="S523" s="243">
        <v>4606038086670</v>
      </c>
      <c r="T523" s="340">
        <v>24606038086674</v>
      </c>
      <c r="U523" s="46">
        <v>4630362182814</v>
      </c>
      <c r="V523" s="46">
        <v>14630362182811</v>
      </c>
      <c r="W523" s="93">
        <v>220</v>
      </c>
      <c r="X523" s="68">
        <v>135</v>
      </c>
      <c r="Y523" s="68">
        <v>45</v>
      </c>
      <c r="Z523" s="65">
        <v>0.5</v>
      </c>
      <c r="AA523" s="271">
        <v>1.7000000000000001E-2</v>
      </c>
      <c r="AB523" s="66">
        <f t="shared" si="705"/>
        <v>0.51700000000000002</v>
      </c>
      <c r="AC523" s="59">
        <v>394</v>
      </c>
      <c r="AD523" s="60">
        <v>232</v>
      </c>
      <c r="AE523" s="60">
        <v>172</v>
      </c>
      <c r="AF523" s="191">
        <v>12</v>
      </c>
      <c r="AG523" s="117">
        <v>600000497</v>
      </c>
      <c r="AH523" s="104">
        <f>справочники!$C$152</f>
        <v>0.26700000000000002</v>
      </c>
      <c r="AI523" s="62">
        <f t="shared" si="713"/>
        <v>6</v>
      </c>
      <c r="AJ523" s="122">
        <f t="shared" si="714"/>
        <v>6.471000000000001</v>
      </c>
      <c r="AK523" s="37">
        <v>10</v>
      </c>
      <c r="AL523" s="38">
        <v>9</v>
      </c>
      <c r="AM523" s="40">
        <f t="shared" si="712"/>
        <v>90</v>
      </c>
      <c r="AN523" s="206">
        <f t="shared" si="704"/>
        <v>1080</v>
      </c>
      <c r="AO523" s="204">
        <f t="shared" si="719"/>
        <v>1693</v>
      </c>
    </row>
    <row r="524" spans="1:41" ht="140.25" x14ac:dyDescent="0.2">
      <c r="A524" s="22">
        <f t="shared" si="715"/>
        <v>7633</v>
      </c>
      <c r="B524" s="116">
        <v>1001034207633</v>
      </c>
      <c r="C524" s="48" t="s">
        <v>1859</v>
      </c>
      <c r="D524" s="49" t="s">
        <v>4</v>
      </c>
      <c r="E524" s="146" t="s">
        <v>373</v>
      </c>
      <c r="F524" s="112" t="s">
        <v>41</v>
      </c>
      <c r="G524" s="224" t="s">
        <v>520</v>
      </c>
      <c r="H524" s="49" t="s">
        <v>1</v>
      </c>
      <c r="I524" s="153" t="s">
        <v>189</v>
      </c>
      <c r="J524" s="149" t="s">
        <v>408</v>
      </c>
      <c r="K524" s="51" t="s">
        <v>1081</v>
      </c>
      <c r="L524" s="52">
        <v>10</v>
      </c>
      <c r="M524" s="53">
        <v>30</v>
      </c>
      <c r="N524" s="54"/>
      <c r="O524" s="88" t="s">
        <v>191</v>
      </c>
      <c r="P524" s="31" t="s">
        <v>104</v>
      </c>
      <c r="Q524" s="49">
        <v>45</v>
      </c>
      <c r="R524" s="56" t="s">
        <v>78</v>
      </c>
      <c r="S524" s="243">
        <v>4606038086670</v>
      </c>
      <c r="T524" s="340">
        <v>24606038086674</v>
      </c>
      <c r="U524" s="46">
        <v>4630362182814</v>
      </c>
      <c r="V524" s="46">
        <v>14630362182811</v>
      </c>
      <c r="W524" s="93">
        <v>220</v>
      </c>
      <c r="X524" s="68">
        <v>135</v>
      </c>
      <c r="Y524" s="68">
        <v>45</v>
      </c>
      <c r="Z524" s="65">
        <v>0.5</v>
      </c>
      <c r="AA524" s="271">
        <v>1.7000000000000001E-2</v>
      </c>
      <c r="AB524" s="66">
        <f t="shared" ref="AB524" si="732">Z524+AA524</f>
        <v>0.51700000000000002</v>
      </c>
      <c r="AC524" s="59">
        <v>394</v>
      </c>
      <c r="AD524" s="60">
        <v>232</v>
      </c>
      <c r="AE524" s="60">
        <v>172</v>
      </c>
      <c r="AF524" s="191">
        <v>12</v>
      </c>
      <c r="AG524" s="117">
        <v>600000497</v>
      </c>
      <c r="AH524" s="104">
        <f>справочники!$C$152</f>
        <v>0.26700000000000002</v>
      </c>
      <c r="AI524" s="62">
        <f t="shared" si="713"/>
        <v>6</v>
      </c>
      <c r="AJ524" s="122">
        <f t="shared" si="714"/>
        <v>6.471000000000001</v>
      </c>
      <c r="AK524" s="37">
        <v>10</v>
      </c>
      <c r="AL524" s="38">
        <v>9</v>
      </c>
      <c r="AM524" s="40">
        <f t="shared" ref="AM524" si="733">AK524*AL524</f>
        <v>90</v>
      </c>
      <c r="AN524" s="206">
        <f t="shared" ref="AN524" si="734">IF(D524="ШТ",кол_во_инд.__упак_к*итого_г_у,ROUNDDOWN(номин.вес_нетто_г_у__кг*итого_г_у,1))</f>
        <v>1080</v>
      </c>
      <c r="AO524" s="204">
        <f t="shared" si="719"/>
        <v>1693</v>
      </c>
    </row>
    <row r="525" spans="1:41" ht="140.25" x14ac:dyDescent="0.2">
      <c r="A525" s="22">
        <f t="shared" si="715"/>
        <v>7634</v>
      </c>
      <c r="B525" s="116">
        <v>1001034207634</v>
      </c>
      <c r="C525" s="48" t="s">
        <v>1858</v>
      </c>
      <c r="D525" s="49" t="s">
        <v>4</v>
      </c>
      <c r="E525" s="146" t="s">
        <v>373</v>
      </c>
      <c r="F525" s="112" t="s">
        <v>41</v>
      </c>
      <c r="G525" s="224" t="s">
        <v>2</v>
      </c>
      <c r="H525" s="49" t="s">
        <v>1</v>
      </c>
      <c r="I525" s="153" t="s">
        <v>189</v>
      </c>
      <c r="J525" s="149" t="s">
        <v>408</v>
      </c>
      <c r="K525" s="83" t="s">
        <v>1081</v>
      </c>
      <c r="L525" s="52">
        <v>10</v>
      </c>
      <c r="M525" s="53">
        <v>30</v>
      </c>
      <c r="N525" s="54">
        <v>0</v>
      </c>
      <c r="O525" s="88" t="s">
        <v>191</v>
      </c>
      <c r="P525" s="31" t="s">
        <v>104</v>
      </c>
      <c r="Q525" s="49">
        <v>45</v>
      </c>
      <c r="R525" s="56" t="s">
        <v>78</v>
      </c>
      <c r="S525" s="243">
        <v>4607958078806</v>
      </c>
      <c r="T525" s="340">
        <v>14607958078803</v>
      </c>
      <c r="U525" s="46">
        <v>4607958078806</v>
      </c>
      <c r="V525" s="46">
        <v>14607958078803</v>
      </c>
      <c r="W525" s="93">
        <v>220</v>
      </c>
      <c r="X525" s="68">
        <v>135</v>
      </c>
      <c r="Y525" s="68">
        <v>45</v>
      </c>
      <c r="Z525" s="65">
        <v>0.4</v>
      </c>
      <c r="AA525" s="271">
        <v>1.7000000000000001E-2</v>
      </c>
      <c r="AB525" s="66">
        <f t="shared" ref="AB525" si="735">Z525+AA525</f>
        <v>0.41700000000000004</v>
      </c>
      <c r="AC525" s="59">
        <v>299</v>
      </c>
      <c r="AD525" s="60">
        <v>141</v>
      </c>
      <c r="AE525" s="60">
        <v>232</v>
      </c>
      <c r="AF525" s="191">
        <v>6</v>
      </c>
      <c r="AG525" s="117">
        <v>600000520</v>
      </c>
      <c r="AH525" s="104">
        <f>справочники!$C$160</f>
        <v>0.16</v>
      </c>
      <c r="AI525" s="62">
        <f t="shared" si="713"/>
        <v>2.4</v>
      </c>
      <c r="AJ525" s="122">
        <f t="shared" si="714"/>
        <v>2.6620000000000004</v>
      </c>
      <c r="AK525" s="37">
        <v>20</v>
      </c>
      <c r="AL525" s="38">
        <v>7</v>
      </c>
      <c r="AM525" s="40">
        <f t="shared" ref="AM525" si="736">AK525*AL525</f>
        <v>140</v>
      </c>
      <c r="AN525" s="206">
        <f t="shared" ref="AN525" si="737">IF(D525="ШТ",кол_во_инд.__упак_к*итого_г_у,ROUNDDOWN(номин.вес_нетто_г_у__кг*итого_г_у,1))</f>
        <v>840</v>
      </c>
      <c r="AO525" s="204">
        <f t="shared" si="719"/>
        <v>1769</v>
      </c>
    </row>
    <row r="526" spans="1:41" ht="204" x14ac:dyDescent="0.2">
      <c r="A526" s="22">
        <f t="shared" si="715"/>
        <v>6528</v>
      </c>
      <c r="B526" s="116">
        <v>1001031076528</v>
      </c>
      <c r="C526" s="48" t="s">
        <v>595</v>
      </c>
      <c r="D526" s="49" t="s">
        <v>4</v>
      </c>
      <c r="E526" s="146" t="s">
        <v>373</v>
      </c>
      <c r="F526" s="112" t="s">
        <v>41</v>
      </c>
      <c r="G526" s="224" t="s">
        <v>6</v>
      </c>
      <c r="H526" s="49" t="s">
        <v>1</v>
      </c>
      <c r="I526" s="153" t="s">
        <v>1566</v>
      </c>
      <c r="J526" s="149" t="s">
        <v>412</v>
      </c>
      <c r="K526" s="51" t="s">
        <v>1419</v>
      </c>
      <c r="L526" s="52">
        <v>10</v>
      </c>
      <c r="M526" s="53">
        <v>20</v>
      </c>
      <c r="N526" s="54">
        <v>1</v>
      </c>
      <c r="O526" s="88" t="s">
        <v>946</v>
      </c>
      <c r="P526" s="31" t="s">
        <v>104</v>
      </c>
      <c r="Q526" s="49">
        <v>45</v>
      </c>
      <c r="R526" s="56" t="s">
        <v>51</v>
      </c>
      <c r="S526" s="243">
        <v>4607958071425</v>
      </c>
      <c r="T526" s="340">
        <v>14607958071422</v>
      </c>
      <c r="U526" s="46">
        <v>4607958071425</v>
      </c>
      <c r="V526" s="46">
        <v>14607958071422</v>
      </c>
      <c r="W526" s="93">
        <v>220</v>
      </c>
      <c r="X526" s="68">
        <v>101</v>
      </c>
      <c r="Y526" s="68">
        <v>40</v>
      </c>
      <c r="Z526" s="65">
        <v>0.4</v>
      </c>
      <c r="AA526" s="271">
        <v>1.2999999999999999E-2</v>
      </c>
      <c r="AB526" s="66">
        <f t="shared" si="705"/>
        <v>0.41300000000000003</v>
      </c>
      <c r="AC526" s="59">
        <v>230</v>
      </c>
      <c r="AD526" s="60">
        <v>216</v>
      </c>
      <c r="AE526" s="60">
        <v>138</v>
      </c>
      <c r="AF526" s="191">
        <v>6</v>
      </c>
      <c r="AG526" s="117">
        <v>600000390</v>
      </c>
      <c r="AH526" s="104">
        <f>справочники!$C$90</f>
        <v>0.14699999999999999</v>
      </c>
      <c r="AI526" s="62">
        <f t="shared" si="713"/>
        <v>2.4</v>
      </c>
      <c r="AJ526" s="122">
        <f t="shared" si="714"/>
        <v>2.625</v>
      </c>
      <c r="AK526" s="37">
        <v>15</v>
      </c>
      <c r="AL526" s="38">
        <v>11</v>
      </c>
      <c r="AM526" s="40">
        <f t="shared" si="712"/>
        <v>165</v>
      </c>
      <c r="AN526" s="206">
        <f t="shared" ref="AN526:AN580" si="738">IF(D526="ШТ",кол_во_инд.__упак_к*итого_г_у,ROUNDDOWN(номин.вес_нетто_г_у__кг*итого_г_у,1))</f>
        <v>990</v>
      </c>
      <c r="AO526" s="204">
        <f t="shared" si="719"/>
        <v>1663</v>
      </c>
    </row>
    <row r="527" spans="1:41" ht="229.5" x14ac:dyDescent="0.2">
      <c r="A527" s="22">
        <f t="shared" si="715"/>
        <v>7060</v>
      </c>
      <c r="B527" s="116">
        <v>1001035667060</v>
      </c>
      <c r="C527" s="48" t="s">
        <v>1043</v>
      </c>
      <c r="D527" s="49" t="s">
        <v>4</v>
      </c>
      <c r="E527" s="146" t="s">
        <v>373</v>
      </c>
      <c r="F527" s="112" t="s">
        <v>41</v>
      </c>
      <c r="G527" s="224" t="s">
        <v>5</v>
      </c>
      <c r="H527" s="58" t="s">
        <v>278</v>
      </c>
      <c r="I527" s="153" t="s">
        <v>387</v>
      </c>
      <c r="J527" s="149" t="s">
        <v>639</v>
      </c>
      <c r="K527" s="51" t="s">
        <v>1510</v>
      </c>
      <c r="L527" s="52">
        <v>10</v>
      </c>
      <c r="M527" s="53">
        <v>20</v>
      </c>
      <c r="N527" s="54">
        <v>3</v>
      </c>
      <c r="O527" s="88" t="s">
        <v>40</v>
      </c>
      <c r="P527" s="31" t="s">
        <v>104</v>
      </c>
      <c r="Q527" s="49">
        <v>60</v>
      </c>
      <c r="R527" s="56" t="s">
        <v>78</v>
      </c>
      <c r="S527" s="237">
        <v>4607958077861</v>
      </c>
      <c r="T527" s="332">
        <v>14607958077868</v>
      </c>
      <c r="U527" s="46">
        <v>4607958077861</v>
      </c>
      <c r="V527" s="46">
        <v>14607958077868</v>
      </c>
      <c r="W527" s="258">
        <v>300</v>
      </c>
      <c r="X527" s="68">
        <v>155</v>
      </c>
      <c r="Y527" s="60">
        <v>40</v>
      </c>
      <c r="Z527" s="65">
        <v>0.8</v>
      </c>
      <c r="AA527" s="271">
        <v>1.2E-2</v>
      </c>
      <c r="AB527" s="66">
        <f t="shared" ref="AB527:AB531" si="739">Z527+AA527</f>
        <v>0.81200000000000006</v>
      </c>
      <c r="AC527" s="59">
        <v>292</v>
      </c>
      <c r="AD527" s="60">
        <v>178</v>
      </c>
      <c r="AE527" s="60">
        <v>178</v>
      </c>
      <c r="AF527" s="191">
        <v>4</v>
      </c>
      <c r="AG527" s="117">
        <v>600000029</v>
      </c>
      <c r="AH527" s="104">
        <f>справочники!$C$21</f>
        <v>0.125</v>
      </c>
      <c r="AI527" s="62">
        <f t="shared" si="713"/>
        <v>3.2</v>
      </c>
      <c r="AJ527" s="122">
        <f t="shared" si="714"/>
        <v>3.3730000000000002</v>
      </c>
      <c r="AK527" s="37">
        <v>16</v>
      </c>
      <c r="AL527" s="38">
        <v>8</v>
      </c>
      <c r="AM527" s="40">
        <f t="shared" ref="AM527:AM531" si="740">AK527*AL527</f>
        <v>128</v>
      </c>
      <c r="AN527" s="206">
        <f t="shared" ref="AN527:AN531" si="741">IF(D527="ШТ",кол_во_инд.__упак_к*итого_г_у,ROUNDDOWN(номин.вес_нетто_г_у__кг*итого_г_у,1))</f>
        <v>512</v>
      </c>
      <c r="AO527" s="204">
        <f t="shared" si="719"/>
        <v>1569</v>
      </c>
    </row>
    <row r="528" spans="1:41" ht="409.5" x14ac:dyDescent="0.2">
      <c r="A528" s="22">
        <f t="shared" si="715"/>
        <v>7478</v>
      </c>
      <c r="B528" s="116">
        <v>1001027317478</v>
      </c>
      <c r="C528" s="48" t="s">
        <v>1611</v>
      </c>
      <c r="D528" s="49" t="s">
        <v>4</v>
      </c>
      <c r="E528" s="146" t="s">
        <v>373</v>
      </c>
      <c r="F528" s="112" t="s">
        <v>39</v>
      </c>
      <c r="G528" s="146" t="s">
        <v>6</v>
      </c>
      <c r="H528" s="49" t="s">
        <v>278</v>
      </c>
      <c r="I528" s="153" t="s">
        <v>1566</v>
      </c>
      <c r="J528" s="149" t="s">
        <v>412</v>
      </c>
      <c r="K528" s="51" t="s">
        <v>1615</v>
      </c>
      <c r="L528" s="110" t="s">
        <v>1612</v>
      </c>
      <c r="M528" s="111" t="s">
        <v>1613</v>
      </c>
      <c r="N528" s="327" t="s">
        <v>1614</v>
      </c>
      <c r="O528" s="328" t="s">
        <v>1616</v>
      </c>
      <c r="P528" s="31" t="s">
        <v>104</v>
      </c>
      <c r="Q528" s="87">
        <v>45</v>
      </c>
      <c r="R528" s="87" t="s">
        <v>37</v>
      </c>
      <c r="S528" s="189">
        <v>4630362182104</v>
      </c>
      <c r="T528" s="337">
        <v>24630362182108</v>
      </c>
      <c r="U528" s="46">
        <v>4630362182104</v>
      </c>
      <c r="V528" s="46">
        <v>24630362182108</v>
      </c>
      <c r="W528" s="258">
        <v>150</v>
      </c>
      <c r="X528" s="68">
        <v>144</v>
      </c>
      <c r="Y528" s="68">
        <v>45</v>
      </c>
      <c r="Z528" s="65">
        <v>0.4</v>
      </c>
      <c r="AA528" s="271">
        <v>1.4999999999999999E-2</v>
      </c>
      <c r="AB528" s="66">
        <f t="shared" si="739"/>
        <v>0.41500000000000004</v>
      </c>
      <c r="AC528" s="37">
        <v>315</v>
      </c>
      <c r="AD528" s="38">
        <v>168</v>
      </c>
      <c r="AE528" s="38">
        <v>188</v>
      </c>
      <c r="AF528" s="191">
        <v>8</v>
      </c>
      <c r="AG528" s="117">
        <v>600000428</v>
      </c>
      <c r="AH528" s="103">
        <f>справочники!$C$114</f>
        <v>0.123</v>
      </c>
      <c r="AI528" s="61">
        <f t="shared" si="713"/>
        <v>3.2</v>
      </c>
      <c r="AJ528" s="122">
        <f t="shared" si="714"/>
        <v>3.4430000000000005</v>
      </c>
      <c r="AK528" s="37">
        <v>17</v>
      </c>
      <c r="AL528" s="38">
        <v>8</v>
      </c>
      <c r="AM528" s="40">
        <f t="shared" si="740"/>
        <v>136</v>
      </c>
      <c r="AN528" s="206">
        <f t="shared" si="741"/>
        <v>1088</v>
      </c>
      <c r="AO528" s="204">
        <f t="shared" si="719"/>
        <v>1649</v>
      </c>
    </row>
    <row r="529" spans="1:41" ht="409.5" x14ac:dyDescent="0.2">
      <c r="A529" s="22">
        <f t="shared" si="715"/>
        <v>7492</v>
      </c>
      <c r="B529" s="116">
        <v>1001027427492</v>
      </c>
      <c r="C529" s="48" t="s">
        <v>1667</v>
      </c>
      <c r="D529" s="49" t="s">
        <v>4</v>
      </c>
      <c r="E529" s="146" t="s">
        <v>373</v>
      </c>
      <c r="F529" s="112" t="s">
        <v>39</v>
      </c>
      <c r="G529" s="146" t="s">
        <v>6</v>
      </c>
      <c r="H529" s="49" t="s">
        <v>278</v>
      </c>
      <c r="I529" s="153" t="s">
        <v>387</v>
      </c>
      <c r="J529" s="149" t="s">
        <v>639</v>
      </c>
      <c r="K529" s="329" t="s">
        <v>1846</v>
      </c>
      <c r="L529" s="110" t="s">
        <v>1847</v>
      </c>
      <c r="M529" s="111" t="s">
        <v>1848</v>
      </c>
      <c r="N529" s="327" t="s">
        <v>1668</v>
      </c>
      <c r="O529" s="328" t="s">
        <v>1849</v>
      </c>
      <c r="P529" s="31" t="s">
        <v>104</v>
      </c>
      <c r="Q529" s="87">
        <v>45</v>
      </c>
      <c r="R529" s="87" t="s">
        <v>37</v>
      </c>
      <c r="S529" s="189">
        <v>4630362182111</v>
      </c>
      <c r="T529" s="337">
        <v>24630362182115</v>
      </c>
      <c r="U529" s="46">
        <v>4630362182111</v>
      </c>
      <c r="V529" s="46">
        <v>24630362182115</v>
      </c>
      <c r="W529" s="258">
        <v>150</v>
      </c>
      <c r="X529" s="68">
        <v>144</v>
      </c>
      <c r="Y529" s="68">
        <v>45</v>
      </c>
      <c r="Z529" s="65">
        <v>0.4</v>
      </c>
      <c r="AA529" s="271">
        <v>1.4999999999999999E-2</v>
      </c>
      <c r="AB529" s="66">
        <f t="shared" ref="AB529" si="742">Z529+AA529</f>
        <v>0.41500000000000004</v>
      </c>
      <c r="AC529" s="37">
        <v>315</v>
      </c>
      <c r="AD529" s="38">
        <v>168</v>
      </c>
      <c r="AE529" s="38">
        <v>188</v>
      </c>
      <c r="AF529" s="191">
        <v>8</v>
      </c>
      <c r="AG529" s="117">
        <v>600000428</v>
      </c>
      <c r="AH529" s="103">
        <f>справочники!$C$114</f>
        <v>0.123</v>
      </c>
      <c r="AI529" s="61">
        <f t="shared" si="713"/>
        <v>3.2</v>
      </c>
      <c r="AJ529" s="122">
        <f t="shared" si="714"/>
        <v>3.4430000000000005</v>
      </c>
      <c r="AK529" s="37">
        <v>17</v>
      </c>
      <c r="AL529" s="38">
        <v>8</v>
      </c>
      <c r="AM529" s="40">
        <f t="shared" ref="AM529" si="743">AK529*AL529</f>
        <v>136</v>
      </c>
      <c r="AN529" s="206">
        <f t="shared" ref="AN529" si="744">IF(D529="ШТ",кол_во_инд.__упак_к*итого_г_у,ROUNDDOWN(номин.вес_нетто_г_у__кг*итого_г_у,1))</f>
        <v>1088</v>
      </c>
      <c r="AO529" s="204">
        <f t="shared" si="719"/>
        <v>1649</v>
      </c>
    </row>
    <row r="530" spans="1:41" ht="127.5" customHeight="1" x14ac:dyDescent="0.2">
      <c r="A530" s="22">
        <f t="shared" si="715"/>
        <v>7371</v>
      </c>
      <c r="B530" s="116">
        <v>1001026947371</v>
      </c>
      <c r="C530" s="48" t="s">
        <v>1386</v>
      </c>
      <c r="D530" s="49" t="s">
        <v>4</v>
      </c>
      <c r="E530" s="146" t="s">
        <v>373</v>
      </c>
      <c r="F530" s="112" t="s">
        <v>39</v>
      </c>
      <c r="G530" s="146" t="s">
        <v>935</v>
      </c>
      <c r="H530" s="49" t="s">
        <v>278</v>
      </c>
      <c r="I530" s="153" t="s">
        <v>1936</v>
      </c>
      <c r="J530" s="149" t="s">
        <v>639</v>
      </c>
      <c r="K530" s="71" t="s">
        <v>2098</v>
      </c>
      <c r="L530" s="72">
        <v>10</v>
      </c>
      <c r="M530" s="73">
        <v>12</v>
      </c>
      <c r="N530" s="74">
        <v>6</v>
      </c>
      <c r="O530" s="89" t="s">
        <v>2099</v>
      </c>
      <c r="P530" s="31" t="s">
        <v>104</v>
      </c>
      <c r="Q530" s="49">
        <v>45</v>
      </c>
      <c r="R530" s="49" t="s">
        <v>37</v>
      </c>
      <c r="S530" s="238">
        <v>4630362180407</v>
      </c>
      <c r="T530" s="339">
        <v>14630362180404</v>
      </c>
      <c r="U530" s="46">
        <v>4630362180407</v>
      </c>
      <c r="V530" s="46">
        <v>14630362180404</v>
      </c>
      <c r="W530" s="258">
        <v>193</v>
      </c>
      <c r="X530" s="68">
        <v>150</v>
      </c>
      <c r="Y530" s="68">
        <v>25</v>
      </c>
      <c r="Z530" s="65">
        <v>0.3</v>
      </c>
      <c r="AA530" s="271">
        <v>5.0000000000000001E-3</v>
      </c>
      <c r="AB530" s="66">
        <f t="shared" si="739"/>
        <v>0.30499999999999999</v>
      </c>
      <c r="AC530" s="59">
        <v>378</v>
      </c>
      <c r="AD530" s="60">
        <v>156</v>
      </c>
      <c r="AE530" s="68">
        <v>111</v>
      </c>
      <c r="AF530" s="191">
        <v>8</v>
      </c>
      <c r="AG530" s="117">
        <v>600000220</v>
      </c>
      <c r="AH530" s="104">
        <f>справочники!$C$49</f>
        <v>0.105</v>
      </c>
      <c r="AI530" s="61">
        <f t="shared" si="713"/>
        <v>2.4</v>
      </c>
      <c r="AJ530" s="122">
        <f t="shared" si="714"/>
        <v>2.5449999999999999</v>
      </c>
      <c r="AK530" s="37">
        <v>15</v>
      </c>
      <c r="AL530" s="38">
        <v>14</v>
      </c>
      <c r="AM530" s="40">
        <f t="shared" si="740"/>
        <v>210</v>
      </c>
      <c r="AN530" s="206">
        <f t="shared" si="741"/>
        <v>1680</v>
      </c>
      <c r="AO530" s="204">
        <f t="shared" si="719"/>
        <v>1699</v>
      </c>
    </row>
    <row r="531" spans="1:41" ht="140.25" x14ac:dyDescent="0.2">
      <c r="A531" s="22">
        <f t="shared" si="715"/>
        <v>7062</v>
      </c>
      <c r="B531" s="116">
        <v>1001020867062</v>
      </c>
      <c r="C531" s="48" t="s">
        <v>1046</v>
      </c>
      <c r="D531" s="81" t="s">
        <v>3</v>
      </c>
      <c r="E531" s="146" t="s">
        <v>373</v>
      </c>
      <c r="F531" s="112" t="s">
        <v>39</v>
      </c>
      <c r="G531" s="224" t="s">
        <v>2</v>
      </c>
      <c r="H531" s="49" t="s">
        <v>1</v>
      </c>
      <c r="I531" s="153" t="s">
        <v>1566</v>
      </c>
      <c r="J531" s="149" t="s">
        <v>408</v>
      </c>
      <c r="K531" s="71" t="s">
        <v>1044</v>
      </c>
      <c r="L531" s="72">
        <v>12</v>
      </c>
      <c r="M531" s="73">
        <v>20</v>
      </c>
      <c r="N531" s="74"/>
      <c r="O531" s="89" t="s">
        <v>267</v>
      </c>
      <c r="P531" s="31" t="s">
        <v>104</v>
      </c>
      <c r="Q531" s="87">
        <v>45</v>
      </c>
      <c r="R531" s="56" t="s">
        <v>37</v>
      </c>
      <c r="S531" s="239">
        <v>2531699000005</v>
      </c>
      <c r="T531" s="344">
        <v>12531699000002</v>
      </c>
      <c r="U531" s="46">
        <v>4630362181961</v>
      </c>
      <c r="V531" s="46">
        <v>14630362181968</v>
      </c>
      <c r="W531" s="258">
        <v>350</v>
      </c>
      <c r="X531" s="68">
        <v>190</v>
      </c>
      <c r="Y531" s="68">
        <v>50</v>
      </c>
      <c r="Z531" s="65">
        <v>1</v>
      </c>
      <c r="AA531" s="271">
        <v>1.2E-2</v>
      </c>
      <c r="AB531" s="66">
        <f t="shared" si="739"/>
        <v>1.012</v>
      </c>
      <c r="AC531" s="67">
        <v>388</v>
      </c>
      <c r="AD531" s="68">
        <v>193</v>
      </c>
      <c r="AE531" s="68">
        <v>158</v>
      </c>
      <c r="AF531" s="194">
        <v>4</v>
      </c>
      <c r="AG531" s="117">
        <v>600000018</v>
      </c>
      <c r="AH531" s="105">
        <f>справочники!$C$10</f>
        <v>0.161</v>
      </c>
      <c r="AI531" s="61">
        <f t="shared" si="713"/>
        <v>4</v>
      </c>
      <c r="AJ531" s="141">
        <f t="shared" si="714"/>
        <v>4.2089999999999996</v>
      </c>
      <c r="AK531" s="157">
        <v>12</v>
      </c>
      <c r="AL531" s="34">
        <v>9</v>
      </c>
      <c r="AM531" s="40">
        <f t="shared" si="740"/>
        <v>108</v>
      </c>
      <c r="AN531" s="272">
        <f t="shared" si="741"/>
        <v>432</v>
      </c>
      <c r="AO531" s="204">
        <f t="shared" si="719"/>
        <v>1567</v>
      </c>
    </row>
    <row r="532" spans="1:41" ht="153" x14ac:dyDescent="0.2">
      <c r="A532" s="22">
        <f t="shared" si="715"/>
        <v>7123</v>
      </c>
      <c r="B532" s="116">
        <v>1001020867123</v>
      </c>
      <c r="C532" s="48" t="s">
        <v>1257</v>
      </c>
      <c r="D532" s="49" t="s">
        <v>4</v>
      </c>
      <c r="E532" s="146" t="s">
        <v>373</v>
      </c>
      <c r="F532" s="112" t="s">
        <v>39</v>
      </c>
      <c r="G532" s="224" t="s">
        <v>2</v>
      </c>
      <c r="H532" s="49" t="s">
        <v>1</v>
      </c>
      <c r="I532" s="153" t="s">
        <v>1566</v>
      </c>
      <c r="J532" s="149" t="s">
        <v>408</v>
      </c>
      <c r="K532" s="71" t="s">
        <v>1420</v>
      </c>
      <c r="L532" s="72">
        <v>13</v>
      </c>
      <c r="M532" s="73">
        <v>17</v>
      </c>
      <c r="N532" s="74">
        <v>5</v>
      </c>
      <c r="O532" s="89" t="s">
        <v>1634</v>
      </c>
      <c r="P532" s="31" t="s">
        <v>104</v>
      </c>
      <c r="Q532" s="87">
        <v>45</v>
      </c>
      <c r="R532" s="56" t="s">
        <v>37</v>
      </c>
      <c r="S532" s="239">
        <v>4607958079100</v>
      </c>
      <c r="T532" s="344">
        <v>14607958079107</v>
      </c>
      <c r="U532" s="46">
        <v>4607958079100</v>
      </c>
      <c r="V532" s="46">
        <v>14607958079107</v>
      </c>
      <c r="W532" s="258">
        <v>220</v>
      </c>
      <c r="X532" s="68">
        <v>135</v>
      </c>
      <c r="Y532" s="68">
        <v>20</v>
      </c>
      <c r="Z532" s="65">
        <v>0.3</v>
      </c>
      <c r="AA532" s="271">
        <v>1.7000000000000001E-2</v>
      </c>
      <c r="AB532" s="66">
        <f t="shared" ref="AB532:AB533" si="745">Z532+AA532</f>
        <v>0.317</v>
      </c>
      <c r="AC532" s="59">
        <v>230</v>
      </c>
      <c r="AD532" s="60">
        <v>216</v>
      </c>
      <c r="AE532" s="68">
        <v>138</v>
      </c>
      <c r="AF532" s="194">
        <v>6</v>
      </c>
      <c r="AG532" s="117">
        <v>600000390</v>
      </c>
      <c r="AH532" s="105">
        <f>справочники!$C$90</f>
        <v>0.14699999999999999</v>
      </c>
      <c r="AI532" s="61">
        <f t="shared" si="713"/>
        <v>1.8</v>
      </c>
      <c r="AJ532" s="141">
        <f t="shared" si="714"/>
        <v>2.0489999999999999</v>
      </c>
      <c r="AK532" s="37">
        <v>15</v>
      </c>
      <c r="AL532" s="38">
        <v>11</v>
      </c>
      <c r="AM532" s="40">
        <f t="shared" ref="AM532:AM533" si="746">AK532*AL532</f>
        <v>165</v>
      </c>
      <c r="AN532" s="206">
        <f t="shared" ref="AN532:AN533" si="747">IF(D532="ШТ",кол_во_инд.__упак_к*итого_г_у,ROUNDDOWN(номин.вес_нетто_г_у__кг*итого_г_у,1))</f>
        <v>990</v>
      </c>
      <c r="AO532" s="204">
        <f t="shared" si="719"/>
        <v>1663</v>
      </c>
    </row>
    <row r="533" spans="1:41" ht="229.5" x14ac:dyDescent="0.2">
      <c r="A533" s="22">
        <f t="shared" si="715"/>
        <v>7524</v>
      </c>
      <c r="B533" s="116">
        <v>1001027517524</v>
      </c>
      <c r="C533" s="48" t="s">
        <v>1655</v>
      </c>
      <c r="D533" s="49" t="s">
        <v>4</v>
      </c>
      <c r="E533" s="146" t="s">
        <v>373</v>
      </c>
      <c r="F533" s="112" t="s">
        <v>39</v>
      </c>
      <c r="G533" s="146" t="s">
        <v>6</v>
      </c>
      <c r="H533" s="58" t="s">
        <v>278</v>
      </c>
      <c r="I533" s="153" t="s">
        <v>387</v>
      </c>
      <c r="J533" s="149" t="s">
        <v>639</v>
      </c>
      <c r="K533" s="51" t="s">
        <v>1618</v>
      </c>
      <c r="L533" s="52">
        <v>8</v>
      </c>
      <c r="M533" s="53">
        <v>10</v>
      </c>
      <c r="N533" s="54">
        <v>5</v>
      </c>
      <c r="O533" s="88" t="s">
        <v>1240</v>
      </c>
      <c r="P533" s="31" t="s">
        <v>104</v>
      </c>
      <c r="Q533" s="87">
        <v>45</v>
      </c>
      <c r="R533" s="87" t="s">
        <v>37</v>
      </c>
      <c r="S533" s="189">
        <v>4630362182128</v>
      </c>
      <c r="T533" s="337">
        <v>14630362182125</v>
      </c>
      <c r="U533" s="46">
        <v>4630362182128</v>
      </c>
      <c r="V533" s="46">
        <v>14630362182125</v>
      </c>
      <c r="W533" s="258">
        <v>150</v>
      </c>
      <c r="X533" s="68">
        <v>154</v>
      </c>
      <c r="Y533" s="68">
        <v>55</v>
      </c>
      <c r="Z533" s="65">
        <v>0.6</v>
      </c>
      <c r="AA533" s="271">
        <v>1.4999999999999999E-2</v>
      </c>
      <c r="AB533" s="66">
        <f t="shared" si="745"/>
        <v>0.61499999999999999</v>
      </c>
      <c r="AC533" s="59">
        <v>306</v>
      </c>
      <c r="AD533" s="60">
        <v>166</v>
      </c>
      <c r="AE533" s="60">
        <v>246</v>
      </c>
      <c r="AF533" s="191">
        <v>8</v>
      </c>
      <c r="AG533" s="117">
        <v>600000436</v>
      </c>
      <c r="AH533" s="104">
        <f>справочники!$C$132</f>
        <v>0.154</v>
      </c>
      <c r="AI533" s="61">
        <f t="shared" si="713"/>
        <v>4.8</v>
      </c>
      <c r="AJ533" s="122">
        <f t="shared" si="714"/>
        <v>5.0739999999999998</v>
      </c>
      <c r="AK533" s="37">
        <v>17</v>
      </c>
      <c r="AL533" s="38">
        <v>6</v>
      </c>
      <c r="AM533" s="40">
        <f t="shared" si="746"/>
        <v>102</v>
      </c>
      <c r="AN533" s="206">
        <f t="shared" si="747"/>
        <v>816</v>
      </c>
      <c r="AO533" s="204">
        <f t="shared" si="719"/>
        <v>1621</v>
      </c>
    </row>
    <row r="534" spans="1:41" ht="52.9" customHeight="1" x14ac:dyDescent="0.2">
      <c r="A534" s="22">
        <f t="shared" si="715"/>
        <v>7284</v>
      </c>
      <c r="B534" s="116">
        <v>1001025767284</v>
      </c>
      <c r="C534" s="48" t="s">
        <v>1250</v>
      </c>
      <c r="D534" s="81" t="s">
        <v>4</v>
      </c>
      <c r="E534" s="146" t="s">
        <v>373</v>
      </c>
      <c r="F534" s="112" t="s">
        <v>39</v>
      </c>
      <c r="G534" s="224" t="s">
        <v>2</v>
      </c>
      <c r="H534" s="49" t="s">
        <v>278</v>
      </c>
      <c r="I534" s="153" t="s">
        <v>953</v>
      </c>
      <c r="J534" s="149" t="s">
        <v>954</v>
      </c>
      <c r="K534" s="71" t="s">
        <v>960</v>
      </c>
      <c r="L534" s="72">
        <v>12</v>
      </c>
      <c r="M534" s="73">
        <v>22</v>
      </c>
      <c r="N534" s="74">
        <v>0</v>
      </c>
      <c r="O534" s="89" t="s">
        <v>955</v>
      </c>
      <c r="P534" s="31" t="s">
        <v>104</v>
      </c>
      <c r="Q534" s="87">
        <v>30</v>
      </c>
      <c r="R534" s="87" t="s">
        <v>37</v>
      </c>
      <c r="S534" s="239">
        <v>4607958078059</v>
      </c>
      <c r="T534" s="344">
        <v>24607958078053</v>
      </c>
      <c r="U534" s="46">
        <v>4607958078059</v>
      </c>
      <c r="V534" s="46">
        <v>24607958078053</v>
      </c>
      <c r="W534" s="258">
        <v>150</v>
      </c>
      <c r="X534" s="68">
        <v>154</v>
      </c>
      <c r="Y534" s="68">
        <v>28</v>
      </c>
      <c r="Z534" s="65">
        <v>0.33</v>
      </c>
      <c r="AA534" s="271">
        <v>1.4999999999999999E-2</v>
      </c>
      <c r="AB534" s="66">
        <f t="shared" ref="AB534:AB540" si="748">Z534+AA534</f>
        <v>0.34500000000000003</v>
      </c>
      <c r="AC534" s="59">
        <v>348</v>
      </c>
      <c r="AD534" s="60">
        <v>153</v>
      </c>
      <c r="AE534" s="60">
        <v>108</v>
      </c>
      <c r="AF534" s="194">
        <v>6</v>
      </c>
      <c r="AG534" s="117">
        <v>600000033</v>
      </c>
      <c r="AH534" s="105">
        <f>справочники!$C$25</f>
        <v>0.104</v>
      </c>
      <c r="AI534" s="61">
        <f t="shared" si="713"/>
        <v>1.98</v>
      </c>
      <c r="AJ534" s="141">
        <f t="shared" si="714"/>
        <v>2.1740000000000004</v>
      </c>
      <c r="AK534" s="157">
        <v>16</v>
      </c>
      <c r="AL534" s="34">
        <v>13</v>
      </c>
      <c r="AM534" s="40">
        <f t="shared" ref="AM534:AM540" si="749">AK534*AL534</f>
        <v>208</v>
      </c>
      <c r="AN534" s="206">
        <f t="shared" ref="AN534:AN540" si="750">IF(D534="ШТ",кол_во_инд.__упак_к*итого_г_у,ROUNDDOWN(номин.вес_нетто_г_у__кг*итого_г_у,1))</f>
        <v>1248</v>
      </c>
      <c r="AO534" s="204">
        <f t="shared" si="719"/>
        <v>1549</v>
      </c>
    </row>
    <row r="535" spans="1:41" ht="89.25" x14ac:dyDescent="0.2">
      <c r="A535" s="22">
        <f t="shared" si="715"/>
        <v>7659</v>
      </c>
      <c r="B535" s="116">
        <v>1001025767659</v>
      </c>
      <c r="C535" s="48" t="s">
        <v>1924</v>
      </c>
      <c r="D535" s="81" t="s">
        <v>4</v>
      </c>
      <c r="E535" s="146" t="s">
        <v>373</v>
      </c>
      <c r="F535" s="112" t="s">
        <v>39</v>
      </c>
      <c r="G535" s="224" t="s">
        <v>2</v>
      </c>
      <c r="H535" s="49" t="s">
        <v>278</v>
      </c>
      <c r="I535" s="153" t="s">
        <v>953</v>
      </c>
      <c r="J535" s="149" t="s">
        <v>954</v>
      </c>
      <c r="K535" s="71" t="s">
        <v>1639</v>
      </c>
      <c r="L535" s="72">
        <v>12</v>
      </c>
      <c r="M535" s="73">
        <v>22</v>
      </c>
      <c r="N535" s="74">
        <v>0</v>
      </c>
      <c r="O535" s="89" t="s">
        <v>955</v>
      </c>
      <c r="P535" s="31" t="s">
        <v>104</v>
      </c>
      <c r="Q535" s="87">
        <v>30</v>
      </c>
      <c r="R535" s="87" t="s">
        <v>37</v>
      </c>
      <c r="S535" s="239">
        <v>4630362182418</v>
      </c>
      <c r="T535" s="344">
        <v>24630362182412</v>
      </c>
      <c r="U535" s="46">
        <v>4630362182418</v>
      </c>
      <c r="V535" s="46">
        <v>24630362182412</v>
      </c>
      <c r="W535" s="258">
        <v>150</v>
      </c>
      <c r="X535" s="68">
        <v>154</v>
      </c>
      <c r="Y535" s="68">
        <v>28</v>
      </c>
      <c r="Z535" s="65">
        <v>0.26400000000000001</v>
      </c>
      <c r="AA535" s="271">
        <v>1.4999999999999999E-2</v>
      </c>
      <c r="AB535" s="66">
        <f t="shared" ref="AB535" si="751">Z535+AA535</f>
        <v>0.27900000000000003</v>
      </c>
      <c r="AC535" s="59">
        <v>381</v>
      </c>
      <c r="AD535" s="60">
        <v>166</v>
      </c>
      <c r="AE535" s="60">
        <v>157</v>
      </c>
      <c r="AF535" s="194">
        <v>12</v>
      </c>
      <c r="AG535" s="117">
        <v>600000621</v>
      </c>
      <c r="AH535" s="105">
        <f>справочники!$C$217</f>
        <v>0.25</v>
      </c>
      <c r="AI535" s="61">
        <f t="shared" si="713"/>
        <v>3.16</v>
      </c>
      <c r="AJ535" s="141">
        <f t="shared" si="714"/>
        <v>3.5980000000000003</v>
      </c>
      <c r="AK535" s="157">
        <v>14</v>
      </c>
      <c r="AL535" s="34">
        <v>10</v>
      </c>
      <c r="AM535" s="40">
        <f t="shared" ref="AM535" si="752">AK535*AL535</f>
        <v>140</v>
      </c>
      <c r="AN535" s="206">
        <f t="shared" ref="AN535" si="753">IF(D535="ШТ",кол_во_инд.__упак_к*итого_г_у,ROUNDDOWN(номин.вес_нетто_г_у__кг*итого_г_у,1))</f>
        <v>1680</v>
      </c>
      <c r="AO535" s="204">
        <f t="shared" si="719"/>
        <v>1715</v>
      </c>
    </row>
    <row r="536" spans="1:41" ht="89.25" x14ac:dyDescent="0.2">
      <c r="A536" s="22">
        <f t="shared" si="715"/>
        <v>7461</v>
      </c>
      <c r="B536" s="116">
        <v>1001025767461</v>
      </c>
      <c r="C536" s="48" t="s">
        <v>1578</v>
      </c>
      <c r="D536" s="81" t="s">
        <v>4</v>
      </c>
      <c r="E536" s="146" t="s">
        <v>373</v>
      </c>
      <c r="F536" s="112" t="s">
        <v>39</v>
      </c>
      <c r="G536" s="224" t="s">
        <v>6</v>
      </c>
      <c r="H536" s="49" t="s">
        <v>278</v>
      </c>
      <c r="I536" s="153" t="s">
        <v>953</v>
      </c>
      <c r="J536" s="149" t="s">
        <v>954</v>
      </c>
      <c r="K536" s="71" t="s">
        <v>1639</v>
      </c>
      <c r="L536" s="72">
        <v>12</v>
      </c>
      <c r="M536" s="73">
        <v>22</v>
      </c>
      <c r="N536" s="74">
        <v>0</v>
      </c>
      <c r="O536" s="89" t="s">
        <v>955</v>
      </c>
      <c r="P536" s="31" t="s">
        <v>104</v>
      </c>
      <c r="Q536" s="87">
        <v>30</v>
      </c>
      <c r="R536" s="87" t="s">
        <v>37</v>
      </c>
      <c r="S536" s="239">
        <v>4630362181053</v>
      </c>
      <c r="T536" s="344">
        <v>14630362181050</v>
      </c>
      <c r="U536" s="46">
        <v>4630362181053</v>
      </c>
      <c r="V536" s="46">
        <v>14630362181050</v>
      </c>
      <c r="W536" s="258">
        <v>150</v>
      </c>
      <c r="X536" s="68">
        <v>154</v>
      </c>
      <c r="Y536" s="68">
        <v>28</v>
      </c>
      <c r="Z536" s="65">
        <v>0.33</v>
      </c>
      <c r="AA536" s="271">
        <v>1.4999999999999999E-2</v>
      </c>
      <c r="AB536" s="66">
        <f t="shared" ref="AB536" si="754">Z536+AA536</f>
        <v>0.34500000000000003</v>
      </c>
      <c r="AC536" s="59">
        <v>348</v>
      </c>
      <c r="AD536" s="60">
        <v>153</v>
      </c>
      <c r="AE536" s="60">
        <v>108</v>
      </c>
      <c r="AF536" s="194">
        <v>6</v>
      </c>
      <c r="AG536" s="117">
        <v>600000033</v>
      </c>
      <c r="AH536" s="105">
        <f>справочники!$C$25</f>
        <v>0.104</v>
      </c>
      <c r="AI536" s="61">
        <f t="shared" si="713"/>
        <v>1.98</v>
      </c>
      <c r="AJ536" s="141">
        <f t="shared" si="714"/>
        <v>2.1740000000000004</v>
      </c>
      <c r="AK536" s="157">
        <v>16</v>
      </c>
      <c r="AL536" s="34">
        <v>13</v>
      </c>
      <c r="AM536" s="40">
        <f t="shared" ref="AM536" si="755">AK536*AL536</f>
        <v>208</v>
      </c>
      <c r="AN536" s="206">
        <f t="shared" ref="AN536" si="756">IF(D536="ШТ",кол_во_инд.__упак_к*итого_г_у,ROUNDDOWN(номин.вес_нетто_г_у__кг*итого_г_у,1))</f>
        <v>1248</v>
      </c>
      <c r="AO536" s="204">
        <f t="shared" si="719"/>
        <v>1549</v>
      </c>
    </row>
    <row r="537" spans="1:41" ht="89.25" x14ac:dyDescent="0.2">
      <c r="A537" s="22">
        <f t="shared" si="715"/>
        <v>7601</v>
      </c>
      <c r="B537" s="116">
        <v>1001025767601</v>
      </c>
      <c r="C537" s="48" t="s">
        <v>1765</v>
      </c>
      <c r="D537" s="81" t="s">
        <v>4</v>
      </c>
      <c r="E537" s="146" t="s">
        <v>373</v>
      </c>
      <c r="F537" s="112" t="s">
        <v>39</v>
      </c>
      <c r="G537" s="224" t="s">
        <v>6</v>
      </c>
      <c r="H537" s="49" t="s">
        <v>278</v>
      </c>
      <c r="I537" s="153" t="s">
        <v>953</v>
      </c>
      <c r="J537" s="149" t="s">
        <v>954</v>
      </c>
      <c r="K537" s="71" t="s">
        <v>1639</v>
      </c>
      <c r="L537" s="72">
        <v>12</v>
      </c>
      <c r="M537" s="73">
        <v>22</v>
      </c>
      <c r="N537" s="74">
        <v>0</v>
      </c>
      <c r="O537" s="89" t="s">
        <v>955</v>
      </c>
      <c r="P537" s="31" t="s">
        <v>104</v>
      </c>
      <c r="Q537" s="87">
        <v>30</v>
      </c>
      <c r="R537" s="87" t="s">
        <v>37</v>
      </c>
      <c r="S537" s="239">
        <v>4630362182326</v>
      </c>
      <c r="T537" s="344">
        <v>14630362182323</v>
      </c>
      <c r="U537" s="46">
        <v>4630362182326</v>
      </c>
      <c r="V537" s="46">
        <v>14630362182323</v>
      </c>
      <c r="W537" s="258">
        <v>150</v>
      </c>
      <c r="X537" s="68">
        <v>154</v>
      </c>
      <c r="Y537" s="68">
        <v>28</v>
      </c>
      <c r="Z537" s="65">
        <v>0.26400000000000001</v>
      </c>
      <c r="AA537" s="271">
        <v>1.4999999999999999E-2</v>
      </c>
      <c r="AB537" s="66">
        <f t="shared" ref="AB537" si="757">Z537+AA537</f>
        <v>0.27900000000000003</v>
      </c>
      <c r="AC537" s="59">
        <v>348</v>
      </c>
      <c r="AD537" s="60">
        <v>153</v>
      </c>
      <c r="AE537" s="60">
        <v>108</v>
      </c>
      <c r="AF537" s="194">
        <v>6</v>
      </c>
      <c r="AG537" s="117">
        <v>600000033</v>
      </c>
      <c r="AH537" s="105">
        <f>справочники!$C$25</f>
        <v>0.104</v>
      </c>
      <c r="AI537" s="61">
        <f t="shared" si="713"/>
        <v>1.58</v>
      </c>
      <c r="AJ537" s="141">
        <f t="shared" si="714"/>
        <v>1.7780000000000002</v>
      </c>
      <c r="AK537" s="157">
        <v>16</v>
      </c>
      <c r="AL537" s="34">
        <v>13</v>
      </c>
      <c r="AM537" s="40">
        <f t="shared" ref="AM537" si="758">AK537*AL537</f>
        <v>208</v>
      </c>
      <c r="AN537" s="206">
        <f t="shared" ref="AN537" si="759">IF(D537="ШТ",кол_во_инд.__упак_к*итого_г_у,ROUNDDOWN(номин.вес_нетто_г_у__кг*итого_г_у,1))</f>
        <v>1248</v>
      </c>
      <c r="AO537" s="204">
        <f t="shared" si="719"/>
        <v>1549</v>
      </c>
    </row>
    <row r="538" spans="1:41" s="22" customFormat="1" ht="178.5" x14ac:dyDescent="0.2">
      <c r="A538" s="22">
        <f t="shared" si="715"/>
        <v>7469</v>
      </c>
      <c r="B538" s="116">
        <v>1001027267469</v>
      </c>
      <c r="C538" s="48" t="s">
        <v>1562</v>
      </c>
      <c r="D538" s="49" t="s">
        <v>4</v>
      </c>
      <c r="E538" s="146" t="s">
        <v>373</v>
      </c>
      <c r="F538" s="112" t="s">
        <v>39</v>
      </c>
      <c r="G538" s="146" t="s">
        <v>6</v>
      </c>
      <c r="H538" s="49" t="s">
        <v>1</v>
      </c>
      <c r="I538" s="153" t="s">
        <v>1566</v>
      </c>
      <c r="J538" s="149" t="s">
        <v>408</v>
      </c>
      <c r="K538" s="51" t="s">
        <v>1564</v>
      </c>
      <c r="L538" s="52">
        <v>12</v>
      </c>
      <c r="M538" s="53">
        <v>15</v>
      </c>
      <c r="N538" s="54">
        <v>4</v>
      </c>
      <c r="O538" s="88" t="s">
        <v>1563</v>
      </c>
      <c r="P538" s="31" t="s">
        <v>104</v>
      </c>
      <c r="Q538" s="87">
        <v>45</v>
      </c>
      <c r="R538" s="82" t="s">
        <v>37</v>
      </c>
      <c r="S538" s="238">
        <v>4630362180919</v>
      </c>
      <c r="T538" s="339">
        <v>14630362180916</v>
      </c>
      <c r="U538" s="46">
        <v>4630362180919</v>
      </c>
      <c r="V538" s="46">
        <v>14630362180916</v>
      </c>
      <c r="W538" s="258">
        <v>220</v>
      </c>
      <c r="X538" s="68">
        <v>135</v>
      </c>
      <c r="Y538" s="68">
        <v>37</v>
      </c>
      <c r="Z538" s="65">
        <v>0.32</v>
      </c>
      <c r="AA538" s="271">
        <v>5.0000000000000001E-3</v>
      </c>
      <c r="AB538" s="66">
        <f t="shared" si="748"/>
        <v>0.32500000000000001</v>
      </c>
      <c r="AC538" s="59">
        <v>378</v>
      </c>
      <c r="AD538" s="60">
        <v>156</v>
      </c>
      <c r="AE538" s="60">
        <v>111</v>
      </c>
      <c r="AF538" s="191">
        <v>8</v>
      </c>
      <c r="AG538" s="117">
        <v>600000220</v>
      </c>
      <c r="AH538" s="104">
        <f>справочники!$C$49</f>
        <v>0.105</v>
      </c>
      <c r="AI538" s="61">
        <f t="shared" si="713"/>
        <v>2.56</v>
      </c>
      <c r="AJ538" s="122">
        <f t="shared" si="714"/>
        <v>2.7050000000000001</v>
      </c>
      <c r="AK538" s="37">
        <v>15</v>
      </c>
      <c r="AL538" s="38">
        <v>14</v>
      </c>
      <c r="AM538" s="40">
        <f t="shared" si="749"/>
        <v>210</v>
      </c>
      <c r="AN538" s="206">
        <f t="shared" si="750"/>
        <v>1680</v>
      </c>
      <c r="AO538" s="204">
        <f t="shared" si="719"/>
        <v>1699</v>
      </c>
    </row>
    <row r="539" spans="1:41" s="22" customFormat="1" ht="153" x14ac:dyDescent="0.2">
      <c r="A539" s="22">
        <f t="shared" si="715"/>
        <v>7467</v>
      </c>
      <c r="B539" s="116">
        <v>1001027257467</v>
      </c>
      <c r="C539" s="48" t="s">
        <v>1565</v>
      </c>
      <c r="D539" s="49" t="s">
        <v>4</v>
      </c>
      <c r="E539" s="146" t="s">
        <v>373</v>
      </c>
      <c r="F539" s="112" t="s">
        <v>39</v>
      </c>
      <c r="G539" s="146" t="s">
        <v>6</v>
      </c>
      <c r="H539" s="49" t="s">
        <v>1</v>
      </c>
      <c r="I539" s="153" t="s">
        <v>1936</v>
      </c>
      <c r="J539" s="150" t="s">
        <v>639</v>
      </c>
      <c r="K539" s="51" t="s">
        <v>1296</v>
      </c>
      <c r="L539" s="52">
        <v>15</v>
      </c>
      <c r="M539" s="53">
        <v>13</v>
      </c>
      <c r="N539" s="54">
        <v>2</v>
      </c>
      <c r="O539" s="88" t="s">
        <v>1297</v>
      </c>
      <c r="P539" s="31" t="s">
        <v>104</v>
      </c>
      <c r="Q539" s="87">
        <v>45</v>
      </c>
      <c r="R539" s="82" t="s">
        <v>37</v>
      </c>
      <c r="S539" s="238">
        <v>4630362180872</v>
      </c>
      <c r="T539" s="339">
        <v>14630362180879</v>
      </c>
      <c r="U539" s="46">
        <v>4630362180872</v>
      </c>
      <c r="V539" s="46">
        <v>14630362180879</v>
      </c>
      <c r="W539" s="258">
        <v>220</v>
      </c>
      <c r="X539" s="68">
        <v>135</v>
      </c>
      <c r="Y539" s="68">
        <v>37</v>
      </c>
      <c r="Z539" s="65">
        <v>0.32</v>
      </c>
      <c r="AA539" s="271">
        <v>5.0000000000000001E-3</v>
      </c>
      <c r="AB539" s="66">
        <f t="shared" si="748"/>
        <v>0.32500000000000001</v>
      </c>
      <c r="AC539" s="59">
        <v>378</v>
      </c>
      <c r="AD539" s="60">
        <v>156</v>
      </c>
      <c r="AE539" s="60">
        <v>111</v>
      </c>
      <c r="AF539" s="191">
        <v>8</v>
      </c>
      <c r="AG539" s="117">
        <v>600000220</v>
      </c>
      <c r="AH539" s="104">
        <f>справочники!$C$49</f>
        <v>0.105</v>
      </c>
      <c r="AI539" s="61">
        <f t="shared" si="713"/>
        <v>2.56</v>
      </c>
      <c r="AJ539" s="122">
        <f t="shared" si="714"/>
        <v>2.7050000000000001</v>
      </c>
      <c r="AK539" s="37">
        <v>15</v>
      </c>
      <c r="AL539" s="38">
        <v>14</v>
      </c>
      <c r="AM539" s="40">
        <f t="shared" si="749"/>
        <v>210</v>
      </c>
      <c r="AN539" s="206">
        <f t="shared" si="750"/>
        <v>1680</v>
      </c>
      <c r="AO539" s="204">
        <f t="shared" si="719"/>
        <v>1699</v>
      </c>
    </row>
    <row r="540" spans="1:41" s="22" customFormat="1" ht="140.25" x14ac:dyDescent="0.2">
      <c r="A540" s="22">
        <f t="shared" si="715"/>
        <v>7468</v>
      </c>
      <c r="B540" s="116">
        <v>1001027277468</v>
      </c>
      <c r="C540" s="48" t="s">
        <v>1567</v>
      </c>
      <c r="D540" s="49" t="s">
        <v>4</v>
      </c>
      <c r="E540" s="146" t="s">
        <v>373</v>
      </c>
      <c r="F540" s="112" t="s">
        <v>39</v>
      </c>
      <c r="G540" s="146" t="s">
        <v>6</v>
      </c>
      <c r="H540" s="49" t="s">
        <v>1</v>
      </c>
      <c r="I540" s="153" t="s">
        <v>1566</v>
      </c>
      <c r="J540" s="149" t="s">
        <v>408</v>
      </c>
      <c r="K540" s="51" t="s">
        <v>1568</v>
      </c>
      <c r="L540" s="52">
        <v>13</v>
      </c>
      <c r="M540" s="53">
        <v>19</v>
      </c>
      <c r="N540" s="54">
        <v>4</v>
      </c>
      <c r="O540" s="88" t="s">
        <v>610</v>
      </c>
      <c r="P540" s="31" t="s">
        <v>104</v>
      </c>
      <c r="Q540" s="87">
        <v>45</v>
      </c>
      <c r="R540" s="82" t="s">
        <v>37</v>
      </c>
      <c r="S540" s="238">
        <v>4630362180889</v>
      </c>
      <c r="T540" s="339">
        <v>14630362180886</v>
      </c>
      <c r="U540" s="46">
        <v>4630362180889</v>
      </c>
      <c r="V540" s="46">
        <v>14630362180886</v>
      </c>
      <c r="W540" s="258">
        <v>220</v>
      </c>
      <c r="X540" s="68">
        <v>135</v>
      </c>
      <c r="Y540" s="68">
        <v>37</v>
      </c>
      <c r="Z540" s="65">
        <v>0.32</v>
      </c>
      <c r="AA540" s="271">
        <v>5.0000000000000001E-3</v>
      </c>
      <c r="AB540" s="66">
        <f t="shared" si="748"/>
        <v>0.32500000000000001</v>
      </c>
      <c r="AC540" s="59">
        <v>378</v>
      </c>
      <c r="AD540" s="60">
        <v>156</v>
      </c>
      <c r="AE540" s="60">
        <v>111</v>
      </c>
      <c r="AF540" s="191">
        <v>8</v>
      </c>
      <c r="AG540" s="117">
        <v>600000220</v>
      </c>
      <c r="AH540" s="104">
        <f>справочники!$C$49</f>
        <v>0.105</v>
      </c>
      <c r="AI540" s="61">
        <f t="shared" si="713"/>
        <v>2.56</v>
      </c>
      <c r="AJ540" s="122">
        <f t="shared" si="714"/>
        <v>2.7050000000000001</v>
      </c>
      <c r="AK540" s="37">
        <v>15</v>
      </c>
      <c r="AL540" s="38">
        <v>14</v>
      </c>
      <c r="AM540" s="40">
        <f t="shared" si="749"/>
        <v>210</v>
      </c>
      <c r="AN540" s="206">
        <f t="shared" si="750"/>
        <v>1680</v>
      </c>
      <c r="AO540" s="204">
        <f t="shared" si="719"/>
        <v>1699</v>
      </c>
    </row>
    <row r="541" spans="1:41" ht="242.25" x14ac:dyDescent="0.2">
      <c r="A541" s="22">
        <f t="shared" si="715"/>
        <v>7501</v>
      </c>
      <c r="B541" s="116">
        <v>1001020837501</v>
      </c>
      <c r="C541" s="80" t="s">
        <v>1584</v>
      </c>
      <c r="D541" s="81" t="s">
        <v>4</v>
      </c>
      <c r="E541" s="146" t="s">
        <v>373</v>
      </c>
      <c r="F541" s="112" t="s">
        <v>39</v>
      </c>
      <c r="G541" s="224" t="s">
        <v>1582</v>
      </c>
      <c r="H541" s="49" t="s">
        <v>278</v>
      </c>
      <c r="I541" s="153" t="s">
        <v>1566</v>
      </c>
      <c r="J541" s="149" t="s">
        <v>413</v>
      </c>
      <c r="K541" s="51" t="s">
        <v>1659</v>
      </c>
      <c r="L541" s="52">
        <v>10</v>
      </c>
      <c r="M541" s="53">
        <v>12</v>
      </c>
      <c r="N541" s="54">
        <v>3</v>
      </c>
      <c r="O541" s="88" t="s">
        <v>1660</v>
      </c>
      <c r="P541" s="31" t="s">
        <v>104</v>
      </c>
      <c r="Q541" s="87">
        <v>50</v>
      </c>
      <c r="R541" s="49" t="s">
        <v>37</v>
      </c>
      <c r="S541" s="237">
        <v>4630362181442</v>
      </c>
      <c r="T541" s="332">
        <v>14630362181449</v>
      </c>
      <c r="U541" s="46">
        <v>4630362181442</v>
      </c>
      <c r="V541" s="46">
        <v>14630362181449</v>
      </c>
      <c r="W541" s="258">
        <v>150</v>
      </c>
      <c r="X541" s="68">
        <v>154</v>
      </c>
      <c r="Y541" s="68">
        <v>45</v>
      </c>
      <c r="Z541" s="65">
        <v>0.5</v>
      </c>
      <c r="AA541" s="271">
        <v>1.4999999999999999E-2</v>
      </c>
      <c r="AB541" s="66">
        <f t="shared" ref="AB541" si="760">Z541+AA541</f>
        <v>0.51500000000000001</v>
      </c>
      <c r="AC541" s="59">
        <v>315</v>
      </c>
      <c r="AD541" s="60">
        <v>168</v>
      </c>
      <c r="AE541" s="60">
        <v>248</v>
      </c>
      <c r="AF541" s="191">
        <v>10</v>
      </c>
      <c r="AG541" s="117">
        <v>600000429</v>
      </c>
      <c r="AH541" s="104">
        <f>справочники!$C$115</f>
        <v>0.14299999999999999</v>
      </c>
      <c r="AI541" s="61">
        <f t="shared" si="713"/>
        <v>5</v>
      </c>
      <c r="AJ541" s="122">
        <f t="shared" si="714"/>
        <v>5.2930000000000001</v>
      </c>
      <c r="AK541" s="37">
        <v>17</v>
      </c>
      <c r="AL541" s="38">
        <v>6</v>
      </c>
      <c r="AM541" s="40">
        <f t="shared" ref="AM541" si="761">AK541*AL541</f>
        <v>102</v>
      </c>
      <c r="AN541" s="206">
        <f t="shared" ref="AN541" si="762">IF(D541="ШТ",кол_во_инд.__упак_к*итого_г_у,ROUNDDOWN(номин.вес_нетто_г_у__кг*итого_г_у,1))</f>
        <v>1020</v>
      </c>
      <c r="AO541" s="204">
        <f t="shared" si="719"/>
        <v>1633</v>
      </c>
    </row>
    <row r="542" spans="1:41" ht="242.25" x14ac:dyDescent="0.2">
      <c r="A542" s="22">
        <f t="shared" si="715"/>
        <v>7676</v>
      </c>
      <c r="B542" s="116">
        <v>1001020837676</v>
      </c>
      <c r="C542" s="80" t="s">
        <v>2076</v>
      </c>
      <c r="D542" s="81" t="s">
        <v>4</v>
      </c>
      <c r="E542" s="146" t="s">
        <v>373</v>
      </c>
      <c r="F542" s="112" t="s">
        <v>39</v>
      </c>
      <c r="G542" s="224" t="s">
        <v>1582</v>
      </c>
      <c r="H542" s="49" t="s">
        <v>278</v>
      </c>
      <c r="I542" s="153" t="s">
        <v>1566</v>
      </c>
      <c r="J542" s="149" t="s">
        <v>413</v>
      </c>
      <c r="K542" s="51" t="s">
        <v>1659</v>
      </c>
      <c r="L542" s="52">
        <v>10</v>
      </c>
      <c r="M542" s="53">
        <v>12</v>
      </c>
      <c r="N542" s="54">
        <v>3</v>
      </c>
      <c r="O542" s="88" t="s">
        <v>1660</v>
      </c>
      <c r="P542" s="31" t="s">
        <v>104</v>
      </c>
      <c r="Q542" s="87">
        <v>50</v>
      </c>
      <c r="R542" s="49" t="s">
        <v>37</v>
      </c>
      <c r="S542" s="237">
        <v>4630362181442</v>
      </c>
      <c r="T542" s="332">
        <v>24630362181446</v>
      </c>
      <c r="U542" s="46">
        <v>4630362181442</v>
      </c>
      <c r="V542" s="46">
        <v>24630362181446</v>
      </c>
      <c r="W542" s="258">
        <v>150</v>
      </c>
      <c r="X542" s="68">
        <v>154</v>
      </c>
      <c r="Y542" s="68">
        <v>45</v>
      </c>
      <c r="Z542" s="65">
        <v>0.5</v>
      </c>
      <c r="AA542" s="271">
        <v>1.4999999999999999E-2</v>
      </c>
      <c r="AB542" s="66">
        <f t="shared" ref="AB542" si="763">Z542+AA542</f>
        <v>0.51500000000000001</v>
      </c>
      <c r="AC542" s="37">
        <v>315</v>
      </c>
      <c r="AD542" s="38">
        <v>168</v>
      </c>
      <c r="AE542" s="38">
        <v>188</v>
      </c>
      <c r="AF542" s="191">
        <v>8</v>
      </c>
      <c r="AG542" s="117">
        <v>600000428</v>
      </c>
      <c r="AH542" s="104">
        <f>справочники!$C$114</f>
        <v>0.123</v>
      </c>
      <c r="AI542" s="61">
        <f t="shared" si="713"/>
        <v>4</v>
      </c>
      <c r="AJ542" s="122">
        <f t="shared" si="714"/>
        <v>4.2430000000000003</v>
      </c>
      <c r="AK542" s="37">
        <v>17</v>
      </c>
      <c r="AL542" s="38">
        <v>8</v>
      </c>
      <c r="AM542" s="40">
        <f t="shared" ref="AM542" si="764">AK542*AL542</f>
        <v>136</v>
      </c>
      <c r="AN542" s="206">
        <f t="shared" ref="AN542" si="765">IF(D542="ШТ",кол_во_инд.__упак_к*итого_г_у,ROUNDDOWN(номин.вес_нетто_г_у__кг*итого_г_у,1))</f>
        <v>1088</v>
      </c>
      <c r="AO542" s="204">
        <f t="shared" si="719"/>
        <v>1649</v>
      </c>
    </row>
    <row r="543" spans="1:41" ht="153.75" customHeight="1" x14ac:dyDescent="0.2">
      <c r="A543" s="22">
        <f t="shared" si="715"/>
        <v>7074</v>
      </c>
      <c r="B543" s="116">
        <v>1001022657074</v>
      </c>
      <c r="C543" s="80" t="s">
        <v>1052</v>
      </c>
      <c r="D543" s="81" t="s">
        <v>4</v>
      </c>
      <c r="E543" s="146" t="s">
        <v>373</v>
      </c>
      <c r="F543" s="112" t="s">
        <v>39</v>
      </c>
      <c r="G543" s="224" t="s">
        <v>6</v>
      </c>
      <c r="H543" s="49" t="s">
        <v>278</v>
      </c>
      <c r="I543" s="153" t="s">
        <v>1566</v>
      </c>
      <c r="J543" s="149" t="s">
        <v>413</v>
      </c>
      <c r="K543" s="51" t="s">
        <v>1438</v>
      </c>
      <c r="L543" s="52">
        <v>10</v>
      </c>
      <c r="M543" s="53">
        <v>12</v>
      </c>
      <c r="N543" s="54">
        <v>3</v>
      </c>
      <c r="O543" s="88" t="s">
        <v>632</v>
      </c>
      <c r="P543" s="31" t="s">
        <v>104</v>
      </c>
      <c r="Q543" s="87">
        <v>50</v>
      </c>
      <c r="R543" s="49" t="s">
        <v>37</v>
      </c>
      <c r="S543" s="237">
        <v>4607958077854</v>
      </c>
      <c r="T543" s="332">
        <v>14607958077851</v>
      </c>
      <c r="U543" s="46">
        <v>4607958077854</v>
      </c>
      <c r="V543" s="46">
        <v>14607958077851</v>
      </c>
      <c r="W543" s="258">
        <v>150</v>
      </c>
      <c r="X543" s="68">
        <v>154</v>
      </c>
      <c r="Y543" s="68">
        <v>55</v>
      </c>
      <c r="Z543" s="65">
        <v>0.6</v>
      </c>
      <c r="AA543" s="271">
        <v>1.4999999999999999E-2</v>
      </c>
      <c r="AB543" s="66">
        <f t="shared" ref="AB543" si="766">Z543+AA543</f>
        <v>0.61499999999999999</v>
      </c>
      <c r="AC543" s="59">
        <v>315</v>
      </c>
      <c r="AD543" s="60">
        <v>168</v>
      </c>
      <c r="AE543" s="60">
        <v>248</v>
      </c>
      <c r="AF543" s="191">
        <v>8</v>
      </c>
      <c r="AG543" s="117">
        <v>600000429</v>
      </c>
      <c r="AH543" s="104">
        <f>справочники!$C$115</f>
        <v>0.14299999999999999</v>
      </c>
      <c r="AI543" s="61">
        <f t="shared" si="713"/>
        <v>4.8</v>
      </c>
      <c r="AJ543" s="122">
        <f t="shared" si="714"/>
        <v>5.0629999999999997</v>
      </c>
      <c r="AK543" s="37">
        <v>17</v>
      </c>
      <c r="AL543" s="38">
        <v>6</v>
      </c>
      <c r="AM543" s="40">
        <f t="shared" ref="AM543" si="767">AK543*AL543</f>
        <v>102</v>
      </c>
      <c r="AN543" s="206">
        <f t="shared" ref="AN543" si="768">IF(D543="ШТ",кол_во_инд.__упак_к*итого_г_у,ROUNDDOWN(номин.вес_нетто_г_у__кг*итого_г_у,1))</f>
        <v>816</v>
      </c>
      <c r="AO543" s="204">
        <f t="shared" si="719"/>
        <v>1633</v>
      </c>
    </row>
    <row r="544" spans="1:41" ht="129" customHeight="1" x14ac:dyDescent="0.2">
      <c r="A544" s="22">
        <f t="shared" si="715"/>
        <v>6303</v>
      </c>
      <c r="B544" s="116">
        <v>1001022726303</v>
      </c>
      <c r="C544" s="48" t="s">
        <v>656</v>
      </c>
      <c r="D544" s="49" t="s">
        <v>3</v>
      </c>
      <c r="E544" s="146" t="s">
        <v>373</v>
      </c>
      <c r="F544" s="112" t="s">
        <v>39</v>
      </c>
      <c r="G544" s="146" t="s">
        <v>6</v>
      </c>
      <c r="H544" s="49" t="s">
        <v>278</v>
      </c>
      <c r="I544" s="153" t="s">
        <v>1566</v>
      </c>
      <c r="J544" s="149" t="s">
        <v>412</v>
      </c>
      <c r="K544" s="51" t="s">
        <v>1439</v>
      </c>
      <c r="L544" s="52">
        <v>10</v>
      </c>
      <c r="M544" s="53">
        <v>13</v>
      </c>
      <c r="N544" s="54">
        <v>5</v>
      </c>
      <c r="O544" s="88" t="s">
        <v>798</v>
      </c>
      <c r="P544" s="31" t="s">
        <v>104</v>
      </c>
      <c r="Q544" s="87">
        <v>45</v>
      </c>
      <c r="R544" s="56" t="s">
        <v>37</v>
      </c>
      <c r="S544" s="236">
        <v>2800589000006</v>
      </c>
      <c r="T544" s="346">
        <v>12800589000003</v>
      </c>
      <c r="U544" s="46">
        <v>4630362181978</v>
      </c>
      <c r="V544" s="46">
        <v>14630362181975</v>
      </c>
      <c r="W544" s="258">
        <v>350</v>
      </c>
      <c r="X544" s="68">
        <v>190</v>
      </c>
      <c r="Y544" s="68">
        <v>50</v>
      </c>
      <c r="Z544" s="65">
        <v>1.5</v>
      </c>
      <c r="AA544" s="271">
        <v>1.4999999999999999E-2</v>
      </c>
      <c r="AB544" s="66">
        <f t="shared" ref="AB544:AB586" si="769">Z544+AA544</f>
        <v>1.5149999999999999</v>
      </c>
      <c r="AC544" s="59">
        <v>388</v>
      </c>
      <c r="AD544" s="60">
        <v>193</v>
      </c>
      <c r="AE544" s="60">
        <v>158</v>
      </c>
      <c r="AF544" s="191">
        <v>3</v>
      </c>
      <c r="AG544" s="117">
        <v>600000018</v>
      </c>
      <c r="AH544" s="104">
        <f>справочники!$C$10</f>
        <v>0.161</v>
      </c>
      <c r="AI544" s="61">
        <f t="shared" si="713"/>
        <v>4.5</v>
      </c>
      <c r="AJ544" s="122">
        <f t="shared" si="714"/>
        <v>4.7059999999999995</v>
      </c>
      <c r="AK544" s="37">
        <v>12</v>
      </c>
      <c r="AL544" s="38">
        <v>9</v>
      </c>
      <c r="AM544" s="40">
        <f t="shared" si="712"/>
        <v>108</v>
      </c>
      <c r="AN544" s="214">
        <f t="shared" si="738"/>
        <v>486</v>
      </c>
      <c r="AO544" s="204">
        <f t="shared" si="719"/>
        <v>1567</v>
      </c>
    </row>
    <row r="545" spans="1:41" ht="191.25" x14ac:dyDescent="0.2">
      <c r="A545" s="22">
        <f t="shared" si="715"/>
        <v>7272</v>
      </c>
      <c r="B545" s="116">
        <v>1001025507272</v>
      </c>
      <c r="C545" s="48" t="s">
        <v>1233</v>
      </c>
      <c r="D545" s="49" t="s">
        <v>4</v>
      </c>
      <c r="E545" s="146" t="s">
        <v>373</v>
      </c>
      <c r="F545" s="112" t="s">
        <v>39</v>
      </c>
      <c r="G545" s="223" t="s">
        <v>6</v>
      </c>
      <c r="H545" s="49" t="s">
        <v>278</v>
      </c>
      <c r="I545" s="153" t="s">
        <v>1566</v>
      </c>
      <c r="J545" s="149" t="s">
        <v>412</v>
      </c>
      <c r="K545" s="51" t="s">
        <v>1654</v>
      </c>
      <c r="L545" s="52">
        <v>10</v>
      </c>
      <c r="M545" s="53">
        <v>12</v>
      </c>
      <c r="N545" s="54">
        <v>4</v>
      </c>
      <c r="O545" s="88" t="s">
        <v>778</v>
      </c>
      <c r="P545" s="31" t="s">
        <v>104</v>
      </c>
      <c r="Q545" s="87">
        <v>50</v>
      </c>
      <c r="R545" s="87" t="s">
        <v>37</v>
      </c>
      <c r="S545" s="80">
        <v>4607958079520</v>
      </c>
      <c r="T545" s="347">
        <v>14607958079527</v>
      </c>
      <c r="U545" s="46">
        <v>4607958079520</v>
      </c>
      <c r="V545" s="46">
        <v>14607958079527</v>
      </c>
      <c r="W545" s="93">
        <v>300</v>
      </c>
      <c r="X545" s="60">
        <v>160</v>
      </c>
      <c r="Y545" s="60">
        <v>40</v>
      </c>
      <c r="Z545" s="65">
        <v>1</v>
      </c>
      <c r="AA545" s="271">
        <v>1.2E-2</v>
      </c>
      <c r="AB545" s="66">
        <f t="shared" ref="AB545:AB548" si="770">Z545+AA545</f>
        <v>1.012</v>
      </c>
      <c r="AC545" s="59">
        <v>388</v>
      </c>
      <c r="AD545" s="60">
        <v>292</v>
      </c>
      <c r="AE545" s="60">
        <v>148</v>
      </c>
      <c r="AF545" s="191">
        <v>6</v>
      </c>
      <c r="AG545" s="117">
        <v>600000021</v>
      </c>
      <c r="AH545" s="104">
        <f>справочники!$C$13</f>
        <v>0.26800000000000002</v>
      </c>
      <c r="AI545" s="61">
        <f t="shared" si="713"/>
        <v>6</v>
      </c>
      <c r="AJ545" s="122">
        <f t="shared" si="714"/>
        <v>6.34</v>
      </c>
      <c r="AK545" s="37">
        <v>8</v>
      </c>
      <c r="AL545" s="38">
        <v>10</v>
      </c>
      <c r="AM545" s="40">
        <f t="shared" si="712"/>
        <v>80</v>
      </c>
      <c r="AN545" s="135">
        <f t="shared" ref="AN545:AN548" si="771">IF(D545="ШТ",кол_во_инд.__упак_к*итого_г_у,ROUNDDOWN(номин.вес_нетто_г_у__кг*итого_г_у,1))</f>
        <v>480</v>
      </c>
      <c r="AO545" s="204">
        <f t="shared" si="719"/>
        <v>1625</v>
      </c>
    </row>
    <row r="546" spans="1:41" ht="191.25" x14ac:dyDescent="0.2">
      <c r="A546" s="22">
        <f t="shared" si="715"/>
        <v>7271</v>
      </c>
      <c r="B546" s="116">
        <v>1001025507271</v>
      </c>
      <c r="C546" s="48" t="s">
        <v>1234</v>
      </c>
      <c r="D546" s="49" t="s">
        <v>3</v>
      </c>
      <c r="E546" s="146" t="s">
        <v>373</v>
      </c>
      <c r="F546" s="112" t="s">
        <v>39</v>
      </c>
      <c r="G546" s="223" t="s">
        <v>6</v>
      </c>
      <c r="H546" s="49" t="s">
        <v>278</v>
      </c>
      <c r="I546" s="153" t="s">
        <v>1566</v>
      </c>
      <c r="J546" s="149" t="s">
        <v>412</v>
      </c>
      <c r="K546" s="51" t="s">
        <v>1654</v>
      </c>
      <c r="L546" s="52">
        <v>10</v>
      </c>
      <c r="M546" s="53">
        <v>12</v>
      </c>
      <c r="N546" s="54">
        <v>4</v>
      </c>
      <c r="O546" s="88" t="s">
        <v>778</v>
      </c>
      <c r="P546" s="31" t="s">
        <v>104</v>
      </c>
      <c r="Q546" s="87">
        <v>50</v>
      </c>
      <c r="R546" s="87" t="s">
        <v>37</v>
      </c>
      <c r="S546" s="80">
        <v>2451714000004</v>
      </c>
      <c r="T546" s="347">
        <v>12451714000001</v>
      </c>
      <c r="U546" s="46">
        <v>4630362181985</v>
      </c>
      <c r="V546" s="46">
        <v>14630362181982</v>
      </c>
      <c r="W546" s="258">
        <v>300</v>
      </c>
      <c r="X546" s="68">
        <v>190</v>
      </c>
      <c r="Y546" s="68">
        <v>50</v>
      </c>
      <c r="Z546" s="65">
        <v>1.5</v>
      </c>
      <c r="AA546" s="271">
        <v>1.4999999999999999E-2</v>
      </c>
      <c r="AB546" s="66">
        <f t="shared" si="770"/>
        <v>1.5149999999999999</v>
      </c>
      <c r="AC546" s="59">
        <v>388</v>
      </c>
      <c r="AD546" s="60">
        <v>292</v>
      </c>
      <c r="AE546" s="60">
        <v>148</v>
      </c>
      <c r="AF546" s="191">
        <v>4</v>
      </c>
      <c r="AG546" s="117">
        <v>600000021</v>
      </c>
      <c r="AH546" s="104">
        <f>справочники!$C$13</f>
        <v>0.26800000000000002</v>
      </c>
      <c r="AI546" s="61">
        <f t="shared" si="713"/>
        <v>6</v>
      </c>
      <c r="AJ546" s="122">
        <f t="shared" si="714"/>
        <v>6.3279999999999994</v>
      </c>
      <c r="AK546" s="37">
        <v>8</v>
      </c>
      <c r="AL546" s="38">
        <v>10</v>
      </c>
      <c r="AM546" s="40">
        <f t="shared" si="712"/>
        <v>80</v>
      </c>
      <c r="AN546" s="214">
        <f t="shared" si="771"/>
        <v>480</v>
      </c>
      <c r="AO546" s="204">
        <f t="shared" si="719"/>
        <v>1625</v>
      </c>
    </row>
    <row r="547" spans="1:41" ht="229.5" x14ac:dyDescent="0.2">
      <c r="A547" s="22">
        <f t="shared" si="715"/>
        <v>7473</v>
      </c>
      <c r="B547" s="116">
        <v>1001027287473</v>
      </c>
      <c r="C547" s="48" t="s">
        <v>1572</v>
      </c>
      <c r="D547" s="49" t="s">
        <v>4</v>
      </c>
      <c r="E547" s="146" t="s">
        <v>373</v>
      </c>
      <c r="F547" s="112" t="s">
        <v>39</v>
      </c>
      <c r="G547" s="146" t="s">
        <v>6</v>
      </c>
      <c r="H547" s="58" t="s">
        <v>278</v>
      </c>
      <c r="I547" s="153" t="s">
        <v>1566</v>
      </c>
      <c r="J547" s="149" t="s">
        <v>412</v>
      </c>
      <c r="K547" s="51" t="s">
        <v>1573</v>
      </c>
      <c r="L547" s="52">
        <v>10</v>
      </c>
      <c r="M547" s="53">
        <v>13</v>
      </c>
      <c r="N547" s="54">
        <v>5</v>
      </c>
      <c r="O547" s="88" t="s">
        <v>798</v>
      </c>
      <c r="P547" s="31" t="s">
        <v>104</v>
      </c>
      <c r="Q547" s="87">
        <v>50</v>
      </c>
      <c r="R547" s="87" t="s">
        <v>37</v>
      </c>
      <c r="S547" s="189">
        <v>4630362180988</v>
      </c>
      <c r="T547" s="337">
        <v>14630362180985</v>
      </c>
      <c r="U547" s="46">
        <v>4630362180988</v>
      </c>
      <c r="V547" s="46">
        <v>14630362180985</v>
      </c>
      <c r="W547" s="258">
        <v>150</v>
      </c>
      <c r="X547" s="68">
        <v>154</v>
      </c>
      <c r="Y547" s="68">
        <v>45</v>
      </c>
      <c r="Z547" s="65">
        <v>0.5</v>
      </c>
      <c r="AA547" s="271">
        <v>1.4999999999999999E-2</v>
      </c>
      <c r="AB547" s="66">
        <f t="shared" si="770"/>
        <v>0.51500000000000001</v>
      </c>
      <c r="AC547" s="67">
        <v>315</v>
      </c>
      <c r="AD547" s="68">
        <v>168</v>
      </c>
      <c r="AE547" s="68">
        <v>248</v>
      </c>
      <c r="AF547" s="191">
        <v>10</v>
      </c>
      <c r="AG547" s="117">
        <v>600000429</v>
      </c>
      <c r="AH547" s="104">
        <f>справочники!$C$115</f>
        <v>0.14299999999999999</v>
      </c>
      <c r="AI547" s="61">
        <f t="shared" si="713"/>
        <v>5</v>
      </c>
      <c r="AJ547" s="122">
        <f t="shared" si="714"/>
        <v>5.2930000000000001</v>
      </c>
      <c r="AK547" s="37">
        <v>17</v>
      </c>
      <c r="AL547" s="38">
        <v>6</v>
      </c>
      <c r="AM547" s="40">
        <f t="shared" si="712"/>
        <v>102</v>
      </c>
      <c r="AN547" s="206">
        <f t="shared" si="771"/>
        <v>1020</v>
      </c>
      <c r="AO547" s="204">
        <f t="shared" si="719"/>
        <v>1633</v>
      </c>
    </row>
    <row r="548" spans="1:41" ht="293.25" x14ac:dyDescent="0.2">
      <c r="A548" s="22">
        <f t="shared" si="715"/>
        <v>7460</v>
      </c>
      <c r="B548" s="116">
        <v>1001027247460</v>
      </c>
      <c r="C548" s="48" t="s">
        <v>1575</v>
      </c>
      <c r="D548" s="81" t="s">
        <v>4</v>
      </c>
      <c r="E548" s="146" t="s">
        <v>373</v>
      </c>
      <c r="F548" s="112" t="s">
        <v>39</v>
      </c>
      <c r="G548" s="146" t="s">
        <v>6</v>
      </c>
      <c r="H548" s="49" t="s">
        <v>278</v>
      </c>
      <c r="I548" s="153" t="s">
        <v>387</v>
      </c>
      <c r="J548" s="149" t="s">
        <v>639</v>
      </c>
      <c r="K548" s="71" t="s">
        <v>1577</v>
      </c>
      <c r="L548" s="72">
        <v>10</v>
      </c>
      <c r="M548" s="73">
        <v>12</v>
      </c>
      <c r="N548" s="74">
        <v>4</v>
      </c>
      <c r="O548" s="89" t="s">
        <v>1576</v>
      </c>
      <c r="P548" s="31" t="s">
        <v>104</v>
      </c>
      <c r="Q548" s="87">
        <v>45</v>
      </c>
      <c r="R548" s="87" t="s">
        <v>37</v>
      </c>
      <c r="S548" s="239">
        <v>4630362181046</v>
      </c>
      <c r="T548" s="344">
        <v>14630362181043</v>
      </c>
      <c r="U548" s="46">
        <v>4630362181046</v>
      </c>
      <c r="V548" s="46">
        <v>14630362181043</v>
      </c>
      <c r="W548" s="258">
        <v>150</v>
      </c>
      <c r="X548" s="68">
        <v>154</v>
      </c>
      <c r="Y548" s="68">
        <v>28</v>
      </c>
      <c r="Z548" s="65">
        <v>0.33</v>
      </c>
      <c r="AA548" s="271">
        <v>1.4999999999999999E-2</v>
      </c>
      <c r="AB548" s="66">
        <f t="shared" si="770"/>
        <v>0.34500000000000003</v>
      </c>
      <c r="AC548" s="75">
        <v>378</v>
      </c>
      <c r="AD548" s="76">
        <v>156</v>
      </c>
      <c r="AE548" s="76">
        <v>138</v>
      </c>
      <c r="AF548" s="194">
        <v>8</v>
      </c>
      <c r="AG548" s="117">
        <v>600000019</v>
      </c>
      <c r="AH548" s="105">
        <f>справочники!$C$11</f>
        <v>0.114</v>
      </c>
      <c r="AI548" s="61">
        <f t="shared" si="713"/>
        <v>2.64</v>
      </c>
      <c r="AJ548" s="141">
        <f t="shared" si="714"/>
        <v>2.8740000000000001</v>
      </c>
      <c r="AK548" s="157">
        <v>15</v>
      </c>
      <c r="AL548" s="34">
        <v>11</v>
      </c>
      <c r="AM548" s="40">
        <f t="shared" si="712"/>
        <v>165</v>
      </c>
      <c r="AN548" s="206">
        <f t="shared" si="771"/>
        <v>1320</v>
      </c>
      <c r="AO548" s="204">
        <f t="shared" si="719"/>
        <v>1663</v>
      </c>
    </row>
    <row r="549" spans="1:41" ht="229.5" x14ac:dyDescent="0.2">
      <c r="A549" s="22">
        <f t="shared" si="715"/>
        <v>7475</v>
      </c>
      <c r="B549" s="116">
        <v>1001027327475</v>
      </c>
      <c r="C549" s="48" t="s">
        <v>1675</v>
      </c>
      <c r="D549" s="81" t="s">
        <v>4</v>
      </c>
      <c r="E549" s="146" t="s">
        <v>373</v>
      </c>
      <c r="F549" s="112" t="s">
        <v>39</v>
      </c>
      <c r="G549" s="146" t="s">
        <v>6</v>
      </c>
      <c r="H549" s="49" t="s">
        <v>278</v>
      </c>
      <c r="I549" s="153" t="s">
        <v>387</v>
      </c>
      <c r="J549" s="149" t="s">
        <v>639</v>
      </c>
      <c r="K549" s="71" t="s">
        <v>1676</v>
      </c>
      <c r="L549" s="72">
        <v>10</v>
      </c>
      <c r="M549" s="73">
        <v>12</v>
      </c>
      <c r="N549" s="74">
        <v>5</v>
      </c>
      <c r="O549" s="89" t="s">
        <v>1599</v>
      </c>
      <c r="P549" s="31" t="s">
        <v>104</v>
      </c>
      <c r="Q549" s="87">
        <v>45</v>
      </c>
      <c r="R549" s="87" t="s">
        <v>37</v>
      </c>
      <c r="S549" s="239">
        <v>4630362182234</v>
      </c>
      <c r="T549" s="344">
        <v>14630362182231</v>
      </c>
      <c r="U549" s="46">
        <v>4630362182234</v>
      </c>
      <c r="V549" s="46">
        <v>14630362182231</v>
      </c>
      <c r="W549" s="258">
        <v>150</v>
      </c>
      <c r="X549" s="68">
        <v>154</v>
      </c>
      <c r="Y549" s="68">
        <v>28</v>
      </c>
      <c r="Z549" s="65">
        <v>0.33</v>
      </c>
      <c r="AA549" s="271">
        <v>1.4999999999999999E-2</v>
      </c>
      <c r="AB549" s="66">
        <f t="shared" ref="AB549" si="772">Z549+AA549</f>
        <v>0.34500000000000003</v>
      </c>
      <c r="AC549" s="75">
        <v>378</v>
      </c>
      <c r="AD549" s="76">
        <v>156</v>
      </c>
      <c r="AE549" s="76">
        <v>138</v>
      </c>
      <c r="AF549" s="194">
        <v>8</v>
      </c>
      <c r="AG549" s="117">
        <v>600000019</v>
      </c>
      <c r="AH549" s="105">
        <f>справочники!$C$11</f>
        <v>0.114</v>
      </c>
      <c r="AI549" s="61">
        <f t="shared" si="713"/>
        <v>2.64</v>
      </c>
      <c r="AJ549" s="141">
        <f t="shared" si="714"/>
        <v>2.8740000000000001</v>
      </c>
      <c r="AK549" s="157">
        <v>15</v>
      </c>
      <c r="AL549" s="34">
        <v>11</v>
      </c>
      <c r="AM549" s="40">
        <f t="shared" ref="AM549" si="773">AK549*AL549</f>
        <v>165</v>
      </c>
      <c r="AN549" s="206">
        <f t="shared" ref="AN549" si="774">IF(D549="ШТ",кол_во_инд.__упак_к*итого_г_у,ROUNDDOWN(номин.вес_нетто_г_у__кг*итого_г_у,1))</f>
        <v>1320</v>
      </c>
      <c r="AO549" s="204">
        <f t="shared" si="719"/>
        <v>1663</v>
      </c>
    </row>
    <row r="550" spans="1:41" ht="242.25" x14ac:dyDescent="0.2">
      <c r="A550" s="22">
        <f t="shared" si="715"/>
        <v>7642</v>
      </c>
      <c r="B550" s="116">
        <v>1001027697642</v>
      </c>
      <c r="C550" s="48" t="s">
        <v>1899</v>
      </c>
      <c r="D550" s="81" t="s">
        <v>4</v>
      </c>
      <c r="E550" s="146" t="s">
        <v>373</v>
      </c>
      <c r="F550" s="112" t="s">
        <v>39</v>
      </c>
      <c r="G550" s="146" t="s">
        <v>6</v>
      </c>
      <c r="H550" s="49" t="s">
        <v>278</v>
      </c>
      <c r="I550" s="153" t="s">
        <v>387</v>
      </c>
      <c r="J550" s="149" t="s">
        <v>639</v>
      </c>
      <c r="K550" s="71" t="s">
        <v>1900</v>
      </c>
      <c r="L550" s="72">
        <v>9</v>
      </c>
      <c r="M550" s="73">
        <v>10</v>
      </c>
      <c r="N550" s="74">
        <v>4</v>
      </c>
      <c r="O550" s="89" t="s">
        <v>1240</v>
      </c>
      <c r="P550" s="31" t="s">
        <v>104</v>
      </c>
      <c r="Q550" s="87">
        <v>45</v>
      </c>
      <c r="R550" s="87" t="s">
        <v>37</v>
      </c>
      <c r="S550" s="239">
        <v>4630362182906</v>
      </c>
      <c r="T550" s="344">
        <v>14630362182903</v>
      </c>
      <c r="U550" s="239">
        <v>4630362182906</v>
      </c>
      <c r="V550" s="120">
        <v>14630362182903</v>
      </c>
      <c r="W550" s="258">
        <v>150</v>
      </c>
      <c r="X550" s="68">
        <v>154</v>
      </c>
      <c r="Y550" s="68">
        <v>28</v>
      </c>
      <c r="Z550" s="65">
        <v>0.26400000000000001</v>
      </c>
      <c r="AA550" s="271">
        <v>1.4999999999999999E-2</v>
      </c>
      <c r="AB550" s="66">
        <f t="shared" ref="AB550" si="775">Z550+AA550</f>
        <v>0.27900000000000003</v>
      </c>
      <c r="AC550" s="75">
        <v>378</v>
      </c>
      <c r="AD550" s="76">
        <v>156</v>
      </c>
      <c r="AE550" s="76">
        <v>138</v>
      </c>
      <c r="AF550" s="194">
        <v>8</v>
      </c>
      <c r="AG550" s="117">
        <v>600000019</v>
      </c>
      <c r="AH550" s="105">
        <f>справочники!$C$11</f>
        <v>0.114</v>
      </c>
      <c r="AI550" s="61">
        <f t="shared" si="713"/>
        <v>2.11</v>
      </c>
      <c r="AJ550" s="141">
        <f t="shared" si="714"/>
        <v>2.3460000000000001</v>
      </c>
      <c r="AK550" s="157">
        <v>15</v>
      </c>
      <c r="AL550" s="34">
        <v>11</v>
      </c>
      <c r="AM550" s="40">
        <f t="shared" ref="AM550" si="776">AK550*AL550</f>
        <v>165</v>
      </c>
      <c r="AN550" s="206">
        <f t="shared" ref="AN550" si="777">IF(D550="ШТ",кол_во_инд.__упак_к*итого_г_у,ROUNDDOWN(номин.вес_нетто_г_у__кг*итого_г_у,1))</f>
        <v>1320</v>
      </c>
      <c r="AO550" s="204">
        <f t="shared" si="719"/>
        <v>1663</v>
      </c>
    </row>
    <row r="551" spans="1:41" ht="229.5" x14ac:dyDescent="0.2">
      <c r="A551" s="22">
        <f t="shared" si="715"/>
        <v>7065</v>
      </c>
      <c r="B551" s="116">
        <v>1001022377065</v>
      </c>
      <c r="C551" s="48" t="s">
        <v>1060</v>
      </c>
      <c r="D551" s="49" t="s">
        <v>4</v>
      </c>
      <c r="E551" s="146" t="s">
        <v>373</v>
      </c>
      <c r="F551" s="112" t="s">
        <v>39</v>
      </c>
      <c r="G551" s="146" t="s">
        <v>6</v>
      </c>
      <c r="H551" s="58" t="s">
        <v>278</v>
      </c>
      <c r="I551" s="153" t="s">
        <v>1566</v>
      </c>
      <c r="J551" s="149" t="s">
        <v>412</v>
      </c>
      <c r="K551" s="51" t="s">
        <v>1426</v>
      </c>
      <c r="L551" s="52">
        <v>10</v>
      </c>
      <c r="M551" s="53">
        <v>13</v>
      </c>
      <c r="N551" s="54">
        <v>5</v>
      </c>
      <c r="O551" s="88" t="s">
        <v>798</v>
      </c>
      <c r="P551" s="31" t="s">
        <v>104</v>
      </c>
      <c r="Q551" s="87">
        <v>50</v>
      </c>
      <c r="R551" s="87" t="s">
        <v>37</v>
      </c>
      <c r="S551" s="189">
        <v>4607958072491</v>
      </c>
      <c r="T551" s="337">
        <v>14607958072498</v>
      </c>
      <c r="U551" s="46">
        <v>4607958072491</v>
      </c>
      <c r="V551" s="46">
        <v>14607958072498</v>
      </c>
      <c r="W551" s="258">
        <v>150</v>
      </c>
      <c r="X551" s="68">
        <v>154</v>
      </c>
      <c r="Y551" s="68">
        <v>55</v>
      </c>
      <c r="Z551" s="65">
        <v>0.6</v>
      </c>
      <c r="AA551" s="271">
        <v>1.4999999999999999E-2</v>
      </c>
      <c r="AB551" s="66">
        <f t="shared" ref="AB551" si="778">Z551+AA551</f>
        <v>0.61499999999999999</v>
      </c>
      <c r="AC551" s="59">
        <v>306</v>
      </c>
      <c r="AD551" s="60">
        <v>166</v>
      </c>
      <c r="AE551" s="60">
        <v>246</v>
      </c>
      <c r="AF551" s="191">
        <v>8</v>
      </c>
      <c r="AG551" s="117">
        <v>600000524</v>
      </c>
      <c r="AH551" s="104">
        <f>справочники!$C$125</f>
        <v>0.17499999999999999</v>
      </c>
      <c r="AI551" s="61">
        <f t="shared" si="713"/>
        <v>4.8</v>
      </c>
      <c r="AJ551" s="122">
        <f t="shared" si="714"/>
        <v>5.0949999999999998</v>
      </c>
      <c r="AK551" s="37">
        <v>17</v>
      </c>
      <c r="AL551" s="38">
        <v>6</v>
      </c>
      <c r="AM551" s="40">
        <f t="shared" ref="AM551" si="779">AK551*AL551</f>
        <v>102</v>
      </c>
      <c r="AN551" s="206">
        <f t="shared" ref="AN551" si="780">IF(D551="ШТ",кол_во_инд.__упак_к*итого_г_у,ROUNDDOWN(номин.вес_нетто_г_у__кг*итого_г_у,1))</f>
        <v>816</v>
      </c>
      <c r="AO551" s="204">
        <f t="shared" si="719"/>
        <v>1621</v>
      </c>
    </row>
    <row r="552" spans="1:41" ht="255" x14ac:dyDescent="0.2">
      <c r="A552" s="22">
        <f t="shared" si="715"/>
        <v>6713</v>
      </c>
      <c r="B552" s="116">
        <v>1001022246713</v>
      </c>
      <c r="C552" s="48" t="s">
        <v>635</v>
      </c>
      <c r="D552" s="49" t="s">
        <v>4</v>
      </c>
      <c r="E552" s="146" t="s">
        <v>373</v>
      </c>
      <c r="F552" s="112" t="s">
        <v>39</v>
      </c>
      <c r="G552" s="146" t="s">
        <v>6</v>
      </c>
      <c r="H552" s="49" t="s">
        <v>278</v>
      </c>
      <c r="I552" s="153" t="s">
        <v>1566</v>
      </c>
      <c r="J552" s="149" t="s">
        <v>412</v>
      </c>
      <c r="K552" s="51" t="s">
        <v>1434</v>
      </c>
      <c r="L552" s="52">
        <v>9</v>
      </c>
      <c r="M552" s="53">
        <v>13</v>
      </c>
      <c r="N552" s="54">
        <v>5</v>
      </c>
      <c r="O552" s="88" t="s">
        <v>893</v>
      </c>
      <c r="P552" s="31" t="s">
        <v>104</v>
      </c>
      <c r="Q552" s="87">
        <v>45</v>
      </c>
      <c r="R552" s="87" t="s">
        <v>37</v>
      </c>
      <c r="S552" s="189">
        <v>4607958076031</v>
      </c>
      <c r="T552" s="337">
        <v>14607958076038</v>
      </c>
      <c r="U552" s="46">
        <v>4607958076031</v>
      </c>
      <c r="V552" s="46">
        <v>14607958076038</v>
      </c>
      <c r="W552" s="258">
        <v>150</v>
      </c>
      <c r="X552" s="68">
        <v>154</v>
      </c>
      <c r="Y552" s="68">
        <v>45</v>
      </c>
      <c r="Z552" s="65">
        <v>0.41</v>
      </c>
      <c r="AA552" s="271">
        <v>1.4999999999999999E-2</v>
      </c>
      <c r="AB552" s="66">
        <f t="shared" si="769"/>
        <v>0.42499999999999999</v>
      </c>
      <c r="AC552" s="37">
        <v>315</v>
      </c>
      <c r="AD552" s="38">
        <v>168</v>
      </c>
      <c r="AE552" s="38">
        <v>188</v>
      </c>
      <c r="AF552" s="191">
        <v>8</v>
      </c>
      <c r="AG552" s="117">
        <v>600000428</v>
      </c>
      <c r="AH552" s="103">
        <f>справочники!$C$114</f>
        <v>0.123</v>
      </c>
      <c r="AI552" s="61">
        <f t="shared" si="713"/>
        <v>3.28</v>
      </c>
      <c r="AJ552" s="122">
        <f t="shared" si="714"/>
        <v>3.5229999999999997</v>
      </c>
      <c r="AK552" s="37">
        <v>17</v>
      </c>
      <c r="AL552" s="38">
        <v>8</v>
      </c>
      <c r="AM552" s="40">
        <f t="shared" si="712"/>
        <v>136</v>
      </c>
      <c r="AN552" s="206">
        <f t="shared" si="738"/>
        <v>1088</v>
      </c>
      <c r="AO552" s="204">
        <f t="shared" si="719"/>
        <v>1649</v>
      </c>
    </row>
    <row r="553" spans="1:41" ht="255" x14ac:dyDescent="0.2">
      <c r="A553" s="22">
        <f t="shared" si="715"/>
        <v>7490</v>
      </c>
      <c r="B553" s="116">
        <v>1001027417490</v>
      </c>
      <c r="C553" s="48" t="s">
        <v>1600</v>
      </c>
      <c r="D553" s="49" t="s">
        <v>4</v>
      </c>
      <c r="E553" s="146" t="s">
        <v>373</v>
      </c>
      <c r="F553" s="112" t="s">
        <v>39</v>
      </c>
      <c r="G553" s="146" t="s">
        <v>6</v>
      </c>
      <c r="H553" s="49" t="s">
        <v>278</v>
      </c>
      <c r="I553" s="153" t="s">
        <v>380</v>
      </c>
      <c r="J553" s="149" t="s">
        <v>412</v>
      </c>
      <c r="K553" s="51" t="s">
        <v>1434</v>
      </c>
      <c r="L553" s="52">
        <v>9</v>
      </c>
      <c r="M553" s="53">
        <v>13</v>
      </c>
      <c r="N553" s="54">
        <v>5</v>
      </c>
      <c r="O553" s="88" t="s">
        <v>893</v>
      </c>
      <c r="P553" s="31" t="s">
        <v>104</v>
      </c>
      <c r="Q553" s="87">
        <v>45</v>
      </c>
      <c r="R553" s="87" t="s">
        <v>78</v>
      </c>
      <c r="S553" s="189">
        <v>4607958076031</v>
      </c>
      <c r="T553" s="337">
        <v>14607958076038</v>
      </c>
      <c r="U553" s="46">
        <v>4607958076031</v>
      </c>
      <c r="V553" s="46">
        <v>14607958076038</v>
      </c>
      <c r="W553" s="258">
        <v>150</v>
      </c>
      <c r="X553" s="68">
        <v>144</v>
      </c>
      <c r="Y553" s="68">
        <v>45</v>
      </c>
      <c r="Z553" s="65">
        <v>0.41</v>
      </c>
      <c r="AA553" s="271">
        <v>1.4999999999999999E-2</v>
      </c>
      <c r="AB553" s="66">
        <f t="shared" ref="AB553" si="781">Z553+AA553</f>
        <v>0.42499999999999999</v>
      </c>
      <c r="AC553" s="37">
        <v>315</v>
      </c>
      <c r="AD553" s="38">
        <v>168</v>
      </c>
      <c r="AE553" s="38">
        <v>188</v>
      </c>
      <c r="AF553" s="191">
        <v>8</v>
      </c>
      <c r="AG553" s="117">
        <v>600000428</v>
      </c>
      <c r="AH553" s="103">
        <f>справочники!$C$114</f>
        <v>0.123</v>
      </c>
      <c r="AI553" s="61">
        <f t="shared" si="713"/>
        <v>3.28</v>
      </c>
      <c r="AJ553" s="122">
        <f t="shared" si="714"/>
        <v>3.5229999999999997</v>
      </c>
      <c r="AK553" s="37">
        <v>17</v>
      </c>
      <c r="AL553" s="38">
        <v>8</v>
      </c>
      <c r="AM553" s="40">
        <f t="shared" ref="AM553" si="782">AK553*AL553</f>
        <v>136</v>
      </c>
      <c r="AN553" s="206">
        <f t="shared" ref="AN553" si="783">IF(D553="ШТ",кол_во_инд.__упак_к*итого_г_у,ROUNDDOWN(номин.вес_нетто_г_у__кг*итого_г_у,1))</f>
        <v>1088</v>
      </c>
      <c r="AO553" s="204">
        <f t="shared" si="719"/>
        <v>1649</v>
      </c>
    </row>
    <row r="554" spans="1:41" ht="255" x14ac:dyDescent="0.2">
      <c r="A554" s="22">
        <f t="shared" si="715"/>
        <v>6958</v>
      </c>
      <c r="B554" s="116">
        <v>1001022246958</v>
      </c>
      <c r="C554" s="48" t="s">
        <v>956</v>
      </c>
      <c r="D554" s="49" t="s">
        <v>3</v>
      </c>
      <c r="E554" s="146" t="s">
        <v>373</v>
      </c>
      <c r="F554" s="112" t="s">
        <v>39</v>
      </c>
      <c r="G554" s="146" t="s">
        <v>6</v>
      </c>
      <c r="H554" s="49" t="s">
        <v>278</v>
      </c>
      <c r="I554" s="153" t="s">
        <v>380</v>
      </c>
      <c r="J554" s="149" t="s">
        <v>412</v>
      </c>
      <c r="K554" s="51" t="s">
        <v>1434</v>
      </c>
      <c r="L554" s="52">
        <v>9</v>
      </c>
      <c r="M554" s="53">
        <v>13</v>
      </c>
      <c r="N554" s="54">
        <v>5</v>
      </c>
      <c r="O554" s="88" t="s">
        <v>893</v>
      </c>
      <c r="P554" s="31" t="s">
        <v>104</v>
      </c>
      <c r="Q554" s="87">
        <v>45</v>
      </c>
      <c r="R554" s="49" t="s">
        <v>78</v>
      </c>
      <c r="S554" s="80">
        <v>2761920000003</v>
      </c>
      <c r="T554" s="347">
        <v>12761920000000</v>
      </c>
      <c r="U554" s="46">
        <v>4630362181992</v>
      </c>
      <c r="V554" s="46">
        <v>14630362181999</v>
      </c>
      <c r="W554" s="258">
        <v>300</v>
      </c>
      <c r="X554" s="68">
        <v>190</v>
      </c>
      <c r="Y554" s="68">
        <v>50</v>
      </c>
      <c r="Z554" s="65">
        <v>1.55</v>
      </c>
      <c r="AA554" s="271">
        <v>1.4999999999999999E-2</v>
      </c>
      <c r="AB554" s="66">
        <f t="shared" si="769"/>
        <v>1.5649999999999999</v>
      </c>
      <c r="AC554" s="59">
        <v>388</v>
      </c>
      <c r="AD554" s="60">
        <v>292</v>
      </c>
      <c r="AE554" s="60">
        <v>148</v>
      </c>
      <c r="AF554" s="191">
        <v>4</v>
      </c>
      <c r="AG554" s="117">
        <v>600000021</v>
      </c>
      <c r="AH554" s="104">
        <f>справочники!$C$13</f>
        <v>0.26800000000000002</v>
      </c>
      <c r="AI554" s="61">
        <f t="shared" si="713"/>
        <v>6.2</v>
      </c>
      <c r="AJ554" s="122">
        <f t="shared" si="714"/>
        <v>6.5279999999999996</v>
      </c>
      <c r="AK554" s="37">
        <v>8</v>
      </c>
      <c r="AL554" s="38">
        <v>10</v>
      </c>
      <c r="AM554" s="40">
        <f t="shared" si="712"/>
        <v>80</v>
      </c>
      <c r="AN554" s="214">
        <f t="shared" si="738"/>
        <v>496</v>
      </c>
      <c r="AO554" s="204">
        <f t="shared" si="719"/>
        <v>1625</v>
      </c>
    </row>
    <row r="555" spans="1:41" ht="255" x14ac:dyDescent="0.2">
      <c r="A555" s="22">
        <f t="shared" si="715"/>
        <v>6959</v>
      </c>
      <c r="B555" s="116">
        <v>1001022246959</v>
      </c>
      <c r="C555" s="48" t="s">
        <v>957</v>
      </c>
      <c r="D555" s="49" t="s">
        <v>3</v>
      </c>
      <c r="E555" s="146" t="s">
        <v>373</v>
      </c>
      <c r="F555" s="112" t="s">
        <v>39</v>
      </c>
      <c r="G555" s="146" t="s">
        <v>6</v>
      </c>
      <c r="H555" s="49" t="s">
        <v>278</v>
      </c>
      <c r="I555" s="153" t="s">
        <v>380</v>
      </c>
      <c r="J555" s="149" t="s">
        <v>412</v>
      </c>
      <c r="K555" s="51" t="s">
        <v>1434</v>
      </c>
      <c r="L555" s="52">
        <v>9</v>
      </c>
      <c r="M555" s="53">
        <v>13</v>
      </c>
      <c r="N555" s="54">
        <v>5</v>
      </c>
      <c r="O555" s="88" t="s">
        <v>893</v>
      </c>
      <c r="P555" s="31" t="s">
        <v>104</v>
      </c>
      <c r="Q555" s="87">
        <v>45</v>
      </c>
      <c r="R555" s="49" t="s">
        <v>78</v>
      </c>
      <c r="S555" s="234">
        <v>2512907000000</v>
      </c>
      <c r="T555" s="338">
        <v>12512907000007</v>
      </c>
      <c r="U555" s="46">
        <v>4630362181992</v>
      </c>
      <c r="V555" s="46">
        <v>14630362181999</v>
      </c>
      <c r="W555" s="258">
        <v>300</v>
      </c>
      <c r="X555" s="68">
        <v>190</v>
      </c>
      <c r="Y555" s="68">
        <v>50</v>
      </c>
      <c r="Z555" s="65">
        <v>1.55</v>
      </c>
      <c r="AA555" s="271">
        <v>1.4999999999999999E-2</v>
      </c>
      <c r="AB555" s="66">
        <f t="shared" si="769"/>
        <v>1.5649999999999999</v>
      </c>
      <c r="AC555" s="59">
        <v>388</v>
      </c>
      <c r="AD555" s="60">
        <v>292</v>
      </c>
      <c r="AE555" s="60">
        <v>148</v>
      </c>
      <c r="AF555" s="191">
        <v>4</v>
      </c>
      <c r="AG555" s="117">
        <v>600000021</v>
      </c>
      <c r="AH555" s="104">
        <f>справочники!$C$13</f>
        <v>0.26800000000000002</v>
      </c>
      <c r="AI555" s="61">
        <f t="shared" si="713"/>
        <v>6.2</v>
      </c>
      <c r="AJ555" s="122">
        <f t="shared" si="714"/>
        <v>6.5279999999999996</v>
      </c>
      <c r="AK555" s="37">
        <v>8</v>
      </c>
      <c r="AL555" s="38">
        <v>10</v>
      </c>
      <c r="AM555" s="40">
        <f t="shared" si="712"/>
        <v>80</v>
      </c>
      <c r="AN555" s="214">
        <f t="shared" si="738"/>
        <v>496</v>
      </c>
      <c r="AO555" s="204">
        <f t="shared" si="719"/>
        <v>1625</v>
      </c>
    </row>
    <row r="556" spans="1:41" ht="255" x14ac:dyDescent="0.2">
      <c r="A556" s="22">
        <f t="shared" si="715"/>
        <v>6661</v>
      </c>
      <c r="B556" s="116">
        <v>1001022246661</v>
      </c>
      <c r="C556" s="48" t="s">
        <v>644</v>
      </c>
      <c r="D556" s="49" t="s">
        <v>3</v>
      </c>
      <c r="E556" s="146" t="s">
        <v>373</v>
      </c>
      <c r="F556" s="112" t="s">
        <v>39</v>
      </c>
      <c r="G556" s="146" t="s">
        <v>6</v>
      </c>
      <c r="H556" s="49" t="s">
        <v>278</v>
      </c>
      <c r="I556" s="153" t="s">
        <v>380</v>
      </c>
      <c r="J556" s="149" t="s">
        <v>412</v>
      </c>
      <c r="K556" s="51" t="s">
        <v>1434</v>
      </c>
      <c r="L556" s="52">
        <v>9</v>
      </c>
      <c r="M556" s="53">
        <v>13</v>
      </c>
      <c r="N556" s="54">
        <v>5</v>
      </c>
      <c r="O556" s="88" t="s">
        <v>893</v>
      </c>
      <c r="P556" s="31" t="s">
        <v>104</v>
      </c>
      <c r="Q556" s="87">
        <v>45</v>
      </c>
      <c r="R556" s="49" t="s">
        <v>78</v>
      </c>
      <c r="S556" s="234">
        <v>2102731000002</v>
      </c>
      <c r="T556" s="338">
        <v>12102731000009</v>
      </c>
      <c r="U556" s="46">
        <v>4630362181992</v>
      </c>
      <c r="V556" s="46">
        <v>14630362181999</v>
      </c>
      <c r="W556" s="258">
        <v>300</v>
      </c>
      <c r="X556" s="68">
        <v>190</v>
      </c>
      <c r="Y556" s="68">
        <v>50</v>
      </c>
      <c r="Z556" s="65">
        <v>1.5</v>
      </c>
      <c r="AA556" s="271">
        <v>1.4999999999999999E-2</v>
      </c>
      <c r="AB556" s="66">
        <f t="shared" si="769"/>
        <v>1.5149999999999999</v>
      </c>
      <c r="AC556" s="59">
        <v>388</v>
      </c>
      <c r="AD556" s="60">
        <v>292</v>
      </c>
      <c r="AE556" s="60">
        <v>148</v>
      </c>
      <c r="AF556" s="191">
        <v>4</v>
      </c>
      <c r="AG556" s="117">
        <v>600000021</v>
      </c>
      <c r="AH556" s="104">
        <f>справочники!$C$13</f>
        <v>0.26800000000000002</v>
      </c>
      <c r="AI556" s="61">
        <f t="shared" si="713"/>
        <v>6</v>
      </c>
      <c r="AJ556" s="122">
        <f t="shared" si="714"/>
        <v>6.3279999999999994</v>
      </c>
      <c r="AK556" s="37">
        <v>8</v>
      </c>
      <c r="AL556" s="38">
        <v>10</v>
      </c>
      <c r="AM556" s="40">
        <f t="shared" ref="AM556:AM593" si="784">AK556*AL556</f>
        <v>80</v>
      </c>
      <c r="AN556" s="214">
        <f t="shared" si="738"/>
        <v>480</v>
      </c>
      <c r="AO556" s="204">
        <f t="shared" si="719"/>
        <v>1625</v>
      </c>
    </row>
    <row r="557" spans="1:41" ht="255" x14ac:dyDescent="0.2">
      <c r="A557" s="22">
        <f t="shared" si="715"/>
        <v>7643</v>
      </c>
      <c r="B557" s="116">
        <v>1001027417643</v>
      </c>
      <c r="C557" s="48" t="s">
        <v>1882</v>
      </c>
      <c r="D557" s="49" t="s">
        <v>4</v>
      </c>
      <c r="E557" s="146" t="s">
        <v>373</v>
      </c>
      <c r="F557" s="112" t="s">
        <v>39</v>
      </c>
      <c r="G557" s="146" t="s">
        <v>6</v>
      </c>
      <c r="H557" s="49" t="s">
        <v>278</v>
      </c>
      <c r="I557" s="153" t="s">
        <v>380</v>
      </c>
      <c r="J557" s="149" t="s">
        <v>412</v>
      </c>
      <c r="K557" s="51" t="s">
        <v>1434</v>
      </c>
      <c r="L557" s="52">
        <v>9</v>
      </c>
      <c r="M557" s="53">
        <v>13</v>
      </c>
      <c r="N557" s="54">
        <v>5</v>
      </c>
      <c r="O557" s="88" t="s">
        <v>893</v>
      </c>
      <c r="P557" s="31" t="s">
        <v>104</v>
      </c>
      <c r="Q557" s="87">
        <v>45</v>
      </c>
      <c r="R557" s="49" t="s">
        <v>78</v>
      </c>
      <c r="S557" s="80">
        <v>4630362182524</v>
      </c>
      <c r="T557" s="347">
        <v>14630362182521</v>
      </c>
      <c r="U557" s="80">
        <v>4630362182524</v>
      </c>
      <c r="V557" s="347">
        <v>14630362182521</v>
      </c>
      <c r="W557" s="258">
        <v>300</v>
      </c>
      <c r="X557" s="68">
        <v>190</v>
      </c>
      <c r="Y557" s="68">
        <v>43</v>
      </c>
      <c r="Z557" s="65">
        <v>0.8</v>
      </c>
      <c r="AA557" s="271">
        <v>1.2E-2</v>
      </c>
      <c r="AB557" s="66">
        <f t="shared" ref="AB557" si="785">Z557+AA557</f>
        <v>0.81200000000000006</v>
      </c>
      <c r="AC557" s="59">
        <v>315</v>
      </c>
      <c r="AD557" s="60">
        <v>168</v>
      </c>
      <c r="AE557" s="60">
        <v>248</v>
      </c>
      <c r="AF557" s="191">
        <v>5</v>
      </c>
      <c r="AG557" s="117">
        <v>600000429</v>
      </c>
      <c r="AH557" s="104">
        <f>справочники!$C$115</f>
        <v>0.14299999999999999</v>
      </c>
      <c r="AI557" s="61">
        <f t="shared" si="713"/>
        <v>4</v>
      </c>
      <c r="AJ557" s="122">
        <f t="shared" si="714"/>
        <v>4.2030000000000003</v>
      </c>
      <c r="AK557" s="37">
        <v>17</v>
      </c>
      <c r="AL557" s="38">
        <v>6</v>
      </c>
      <c r="AM557" s="40">
        <f t="shared" si="784"/>
        <v>102</v>
      </c>
      <c r="AN557" s="135">
        <f t="shared" ref="AN557" si="786">IF(D557="ШТ",кол_во_инд.__упак_к*итого_г_у,ROUNDDOWN(номин.вес_нетто_г_у__кг*итого_г_у,1))</f>
        <v>510</v>
      </c>
      <c r="AO557" s="204">
        <f t="shared" si="719"/>
        <v>1633</v>
      </c>
    </row>
    <row r="558" spans="1:41" ht="255" x14ac:dyDescent="0.2">
      <c r="A558" s="22">
        <f t="shared" si="715"/>
        <v>7319</v>
      </c>
      <c r="B558" s="116">
        <v>1001026797319</v>
      </c>
      <c r="C558" s="48" t="s">
        <v>1293</v>
      </c>
      <c r="D558" s="49" t="s">
        <v>4</v>
      </c>
      <c r="E558" s="146" t="s">
        <v>373</v>
      </c>
      <c r="F558" s="112" t="s">
        <v>39</v>
      </c>
      <c r="G558" s="146" t="s">
        <v>6</v>
      </c>
      <c r="H558" s="49" t="s">
        <v>278</v>
      </c>
      <c r="I558" s="153" t="s">
        <v>380</v>
      </c>
      <c r="J558" s="149" t="s">
        <v>412</v>
      </c>
      <c r="K558" s="51" t="s">
        <v>1434</v>
      </c>
      <c r="L558" s="52">
        <v>9</v>
      </c>
      <c r="M558" s="53">
        <v>13</v>
      </c>
      <c r="N558" s="54">
        <v>5</v>
      </c>
      <c r="O558" s="88" t="s">
        <v>893</v>
      </c>
      <c r="P558" s="31" t="s">
        <v>104</v>
      </c>
      <c r="Q558" s="87">
        <v>45</v>
      </c>
      <c r="R558" s="87" t="s">
        <v>37</v>
      </c>
      <c r="S558" s="189">
        <v>4607958079773</v>
      </c>
      <c r="T558" s="337">
        <v>14607958079770</v>
      </c>
      <c r="U558" s="46">
        <v>4607958079773</v>
      </c>
      <c r="V558" s="46">
        <v>14607958079770</v>
      </c>
      <c r="W558" s="258">
        <v>150</v>
      </c>
      <c r="X558" s="68">
        <v>154</v>
      </c>
      <c r="Y558" s="68">
        <v>45</v>
      </c>
      <c r="Z558" s="65">
        <v>0.41</v>
      </c>
      <c r="AA558" s="271">
        <v>1.4999999999999999E-2</v>
      </c>
      <c r="AB558" s="66">
        <f t="shared" ref="AB558" si="787">Z558+AA558</f>
        <v>0.42499999999999999</v>
      </c>
      <c r="AC558" s="37">
        <v>315</v>
      </c>
      <c r="AD558" s="38">
        <v>168</v>
      </c>
      <c r="AE558" s="38">
        <v>188</v>
      </c>
      <c r="AF558" s="191">
        <v>8</v>
      </c>
      <c r="AG558" s="117">
        <v>600000428</v>
      </c>
      <c r="AH558" s="103">
        <f>справочники!$C$114</f>
        <v>0.123</v>
      </c>
      <c r="AI558" s="61">
        <f t="shared" si="713"/>
        <v>3.28</v>
      </c>
      <c r="AJ558" s="122">
        <f t="shared" si="714"/>
        <v>3.5229999999999997</v>
      </c>
      <c r="AK558" s="37">
        <v>17</v>
      </c>
      <c r="AL558" s="38">
        <v>8</v>
      </c>
      <c r="AM558" s="40">
        <f t="shared" si="784"/>
        <v>136</v>
      </c>
      <c r="AN558" s="206">
        <f t="shared" ref="AN558" si="788">IF(D558="ШТ",кол_во_инд.__упак_к*итого_г_у,ROUNDDOWN(номин.вес_нетто_г_у__кг*итого_г_у,1))</f>
        <v>1088</v>
      </c>
      <c r="AO558" s="204">
        <f t="shared" si="719"/>
        <v>1649</v>
      </c>
    </row>
    <row r="559" spans="1:41" ht="229.5" x14ac:dyDescent="0.2">
      <c r="A559" s="22">
        <f t="shared" si="715"/>
        <v>6987</v>
      </c>
      <c r="B559" s="116">
        <v>1001025886987</v>
      </c>
      <c r="C559" s="48" t="s">
        <v>966</v>
      </c>
      <c r="D559" s="49" t="s">
        <v>4</v>
      </c>
      <c r="E559" s="146" t="s">
        <v>373</v>
      </c>
      <c r="F559" s="112" t="s">
        <v>39</v>
      </c>
      <c r="G559" s="146" t="s">
        <v>6</v>
      </c>
      <c r="H559" s="58" t="s">
        <v>278</v>
      </c>
      <c r="I559" s="153" t="s">
        <v>387</v>
      </c>
      <c r="J559" s="149" t="s">
        <v>639</v>
      </c>
      <c r="K559" s="51" t="s">
        <v>1618</v>
      </c>
      <c r="L559" s="52">
        <v>8</v>
      </c>
      <c r="M559" s="53">
        <v>10</v>
      </c>
      <c r="N559" s="54">
        <v>5</v>
      </c>
      <c r="O559" s="88" t="s">
        <v>1240</v>
      </c>
      <c r="P559" s="31" t="s">
        <v>104</v>
      </c>
      <c r="Q559" s="87">
        <v>45</v>
      </c>
      <c r="R559" s="87" t="s">
        <v>78</v>
      </c>
      <c r="S559" s="189">
        <v>4607958078455</v>
      </c>
      <c r="T559" s="337">
        <v>14607958078452</v>
      </c>
      <c r="U559" s="46">
        <v>4607958078455</v>
      </c>
      <c r="V559" s="46">
        <v>14607958078452</v>
      </c>
      <c r="W559" s="258">
        <v>150</v>
      </c>
      <c r="X559" s="68">
        <v>154</v>
      </c>
      <c r="Y559" s="68">
        <v>55</v>
      </c>
      <c r="Z559" s="65">
        <v>0.6</v>
      </c>
      <c r="AA559" s="271">
        <v>1.4999999999999999E-2</v>
      </c>
      <c r="AB559" s="66">
        <f t="shared" si="769"/>
        <v>0.61499999999999999</v>
      </c>
      <c r="AC559" s="59">
        <v>306</v>
      </c>
      <c r="AD559" s="60">
        <v>166</v>
      </c>
      <c r="AE559" s="60">
        <v>246</v>
      </c>
      <c r="AF559" s="191">
        <v>8</v>
      </c>
      <c r="AG559" s="117">
        <v>600000436</v>
      </c>
      <c r="AH559" s="104">
        <f>справочники!$C$132</f>
        <v>0.154</v>
      </c>
      <c r="AI559" s="61">
        <f t="shared" si="713"/>
        <v>4.8</v>
      </c>
      <c r="AJ559" s="122">
        <f t="shared" si="714"/>
        <v>5.0739999999999998</v>
      </c>
      <c r="AK559" s="37">
        <v>17</v>
      </c>
      <c r="AL559" s="38">
        <v>6</v>
      </c>
      <c r="AM559" s="40">
        <f t="shared" si="784"/>
        <v>102</v>
      </c>
      <c r="AN559" s="206">
        <f t="shared" si="738"/>
        <v>816</v>
      </c>
      <c r="AO559" s="204">
        <f t="shared" si="719"/>
        <v>1621</v>
      </c>
    </row>
    <row r="560" spans="1:41" ht="267.75" x14ac:dyDescent="0.2">
      <c r="A560" s="22">
        <f t="shared" si="715"/>
        <v>7662</v>
      </c>
      <c r="B560" s="116">
        <v>1001026617662</v>
      </c>
      <c r="C560" s="48" t="s">
        <v>1925</v>
      </c>
      <c r="D560" s="49" t="s">
        <v>4</v>
      </c>
      <c r="E560" s="146" t="s">
        <v>373</v>
      </c>
      <c r="F560" s="112" t="s">
        <v>39</v>
      </c>
      <c r="G560" s="146" t="s">
        <v>6</v>
      </c>
      <c r="H560" s="58" t="s">
        <v>278</v>
      </c>
      <c r="I560" s="153" t="s">
        <v>387</v>
      </c>
      <c r="J560" s="149" t="s">
        <v>639</v>
      </c>
      <c r="K560" s="71" t="s">
        <v>1926</v>
      </c>
      <c r="L560" s="72">
        <v>10</v>
      </c>
      <c r="M560" s="73">
        <v>11</v>
      </c>
      <c r="N560" s="74">
        <v>2</v>
      </c>
      <c r="O560" s="89" t="s">
        <v>1927</v>
      </c>
      <c r="P560" s="31" t="s">
        <v>104</v>
      </c>
      <c r="Q560" s="87">
        <v>45</v>
      </c>
      <c r="R560" s="87" t="s">
        <v>37</v>
      </c>
      <c r="S560" s="189">
        <v>4630362182968</v>
      </c>
      <c r="T560" s="337">
        <v>14630362182965</v>
      </c>
      <c r="U560" s="46">
        <v>4630362182968</v>
      </c>
      <c r="V560" s="46">
        <v>14630362182965</v>
      </c>
      <c r="W560" s="258">
        <v>150</v>
      </c>
      <c r="X560" s="68">
        <v>154</v>
      </c>
      <c r="Y560" s="68">
        <v>28</v>
      </c>
      <c r="Z560" s="65">
        <v>0.26400000000000001</v>
      </c>
      <c r="AA560" s="271">
        <v>1.4999999999999999E-2</v>
      </c>
      <c r="AB560" s="66">
        <f t="shared" si="769"/>
        <v>0.27900000000000003</v>
      </c>
      <c r="AC560" s="59">
        <v>348</v>
      </c>
      <c r="AD560" s="60">
        <v>153</v>
      </c>
      <c r="AE560" s="60">
        <v>108</v>
      </c>
      <c r="AF560" s="191">
        <v>6</v>
      </c>
      <c r="AG560" s="117">
        <v>600000033</v>
      </c>
      <c r="AH560" s="104">
        <f>справочники!$C$25</f>
        <v>0.104</v>
      </c>
      <c r="AI560" s="61">
        <f t="shared" si="713"/>
        <v>1.58</v>
      </c>
      <c r="AJ560" s="122">
        <f t="shared" si="714"/>
        <v>1.7780000000000002</v>
      </c>
      <c r="AK560" s="37">
        <v>16</v>
      </c>
      <c r="AL560" s="38">
        <v>13</v>
      </c>
      <c r="AM560" s="40">
        <f t="shared" si="784"/>
        <v>208</v>
      </c>
      <c r="AN560" s="206">
        <f t="shared" si="738"/>
        <v>1248</v>
      </c>
      <c r="AO560" s="204">
        <f t="shared" si="719"/>
        <v>1549</v>
      </c>
    </row>
    <row r="561" spans="1:41" ht="229.5" x14ac:dyDescent="0.2">
      <c r="A561" s="22">
        <f t="shared" si="715"/>
        <v>7494</v>
      </c>
      <c r="B561" s="116">
        <v>1001025887494</v>
      </c>
      <c r="C561" s="48" t="s">
        <v>1617</v>
      </c>
      <c r="D561" s="49" t="s">
        <v>3</v>
      </c>
      <c r="E561" s="146" t="s">
        <v>373</v>
      </c>
      <c r="F561" s="112" t="s">
        <v>39</v>
      </c>
      <c r="G561" s="146" t="s">
        <v>6</v>
      </c>
      <c r="H561" s="58" t="s">
        <v>278</v>
      </c>
      <c r="I561" s="153" t="s">
        <v>387</v>
      </c>
      <c r="J561" s="149" t="s">
        <v>639</v>
      </c>
      <c r="K561" s="71" t="s">
        <v>1618</v>
      </c>
      <c r="L561" s="72">
        <v>8</v>
      </c>
      <c r="M561" s="73">
        <v>10</v>
      </c>
      <c r="N561" s="74">
        <v>5</v>
      </c>
      <c r="O561" s="89" t="s">
        <v>1240</v>
      </c>
      <c r="P561" s="31" t="s">
        <v>104</v>
      </c>
      <c r="Q561" s="87">
        <v>45</v>
      </c>
      <c r="R561" s="87" t="s">
        <v>78</v>
      </c>
      <c r="S561" s="237">
        <v>2800597000005</v>
      </c>
      <c r="T561" s="332">
        <v>12800597000002</v>
      </c>
      <c r="U561" s="46">
        <v>4630362182647</v>
      </c>
      <c r="V561" s="46">
        <v>14630362182644</v>
      </c>
      <c r="W561" s="258">
        <v>300</v>
      </c>
      <c r="X561" s="68">
        <v>190</v>
      </c>
      <c r="Y561" s="68">
        <v>50</v>
      </c>
      <c r="Z561" s="65">
        <v>1.5</v>
      </c>
      <c r="AA561" s="271">
        <v>1.4999999999999999E-2</v>
      </c>
      <c r="AB561" s="66">
        <f t="shared" si="769"/>
        <v>1.5149999999999999</v>
      </c>
      <c r="AC561" s="59">
        <v>388</v>
      </c>
      <c r="AD561" s="60">
        <v>292</v>
      </c>
      <c r="AE561" s="60">
        <v>240</v>
      </c>
      <c r="AF561" s="191">
        <v>6</v>
      </c>
      <c r="AG561" s="117">
        <v>600000017</v>
      </c>
      <c r="AH561" s="104">
        <f>справочники!$C$9</f>
        <v>0.34899999999999998</v>
      </c>
      <c r="AI561" s="61">
        <f t="shared" si="713"/>
        <v>9</v>
      </c>
      <c r="AJ561" s="122">
        <f t="shared" si="714"/>
        <v>9.4390000000000001</v>
      </c>
      <c r="AK561" s="37">
        <v>8</v>
      </c>
      <c r="AL561" s="38">
        <v>6</v>
      </c>
      <c r="AM561" s="40">
        <f t="shared" si="784"/>
        <v>48</v>
      </c>
      <c r="AN561" s="214">
        <f t="shared" si="738"/>
        <v>432</v>
      </c>
      <c r="AO561" s="204">
        <f t="shared" si="719"/>
        <v>1585</v>
      </c>
    </row>
    <row r="562" spans="1:41" ht="229.5" x14ac:dyDescent="0.2">
      <c r="A562" s="22">
        <f t="shared" si="715"/>
        <v>7661</v>
      </c>
      <c r="B562" s="116">
        <v>1001025887661</v>
      </c>
      <c r="C562" s="48" t="s">
        <v>2073</v>
      </c>
      <c r="D562" s="49" t="s">
        <v>4</v>
      </c>
      <c r="E562" s="146" t="s">
        <v>373</v>
      </c>
      <c r="F562" s="112" t="s">
        <v>39</v>
      </c>
      <c r="G562" s="146" t="s">
        <v>6</v>
      </c>
      <c r="H562" s="58" t="s">
        <v>278</v>
      </c>
      <c r="I562" s="153" t="s">
        <v>387</v>
      </c>
      <c r="J562" s="149" t="s">
        <v>639</v>
      </c>
      <c r="K562" s="71" t="s">
        <v>1618</v>
      </c>
      <c r="L562" s="72">
        <v>8</v>
      </c>
      <c r="M562" s="73">
        <v>10</v>
      </c>
      <c r="N562" s="74">
        <v>5</v>
      </c>
      <c r="O562" s="89" t="s">
        <v>1240</v>
      </c>
      <c r="P562" s="31" t="s">
        <v>104</v>
      </c>
      <c r="Q562" s="87">
        <v>45</v>
      </c>
      <c r="R562" s="87" t="s">
        <v>78</v>
      </c>
      <c r="S562" s="237">
        <v>4630362183057</v>
      </c>
      <c r="T562" s="332">
        <v>14630362183054</v>
      </c>
      <c r="U562" s="46">
        <v>4630362183057</v>
      </c>
      <c r="V562" s="46">
        <v>14630362183054</v>
      </c>
      <c r="W562" s="93">
        <v>300</v>
      </c>
      <c r="X562" s="60">
        <v>160</v>
      </c>
      <c r="Y562" s="60">
        <v>40</v>
      </c>
      <c r="Z562" s="65">
        <v>0.84</v>
      </c>
      <c r="AA562" s="271">
        <v>1.2E-2</v>
      </c>
      <c r="AB562" s="66">
        <f t="shared" ref="AB562" si="789">Z562+AA562</f>
        <v>0.85199999999999998</v>
      </c>
      <c r="AC562" s="59">
        <v>315</v>
      </c>
      <c r="AD562" s="60">
        <v>168</v>
      </c>
      <c r="AE562" s="60">
        <v>248</v>
      </c>
      <c r="AF562" s="191">
        <v>5</v>
      </c>
      <c r="AG562" s="117">
        <v>600000429</v>
      </c>
      <c r="AH562" s="104">
        <f>справочники!$C$115</f>
        <v>0.14299999999999999</v>
      </c>
      <c r="AI562" s="61">
        <f t="shared" si="713"/>
        <v>4.2</v>
      </c>
      <c r="AJ562" s="122">
        <f t="shared" si="714"/>
        <v>4.4029999999999996</v>
      </c>
      <c r="AK562" s="37">
        <v>17</v>
      </c>
      <c r="AL562" s="38">
        <v>6</v>
      </c>
      <c r="AM562" s="40">
        <f t="shared" ref="AM562" si="790">AK562*AL562</f>
        <v>102</v>
      </c>
      <c r="AN562" s="135">
        <f t="shared" ref="AN562" si="791">IF(D562="ШТ",кол_во_инд.__упак_к*итого_г_у,ROUNDDOWN(номин.вес_нетто_г_у__кг*итого_г_у,1))</f>
        <v>510</v>
      </c>
      <c r="AO562" s="204">
        <f t="shared" si="719"/>
        <v>1633</v>
      </c>
    </row>
    <row r="563" spans="1:41" ht="129" customHeight="1" x14ac:dyDescent="0.2">
      <c r="A563" s="22">
        <f t="shared" si="715"/>
        <v>7121</v>
      </c>
      <c r="B563" s="116">
        <v>1001022557121</v>
      </c>
      <c r="C563" s="48" t="s">
        <v>1099</v>
      </c>
      <c r="D563" s="49" t="s">
        <v>4</v>
      </c>
      <c r="E563" s="146" t="s">
        <v>373</v>
      </c>
      <c r="F563" s="112" t="s">
        <v>39</v>
      </c>
      <c r="G563" s="146" t="s">
        <v>6</v>
      </c>
      <c r="H563" s="58" t="s">
        <v>292</v>
      </c>
      <c r="I563" s="153" t="s">
        <v>1936</v>
      </c>
      <c r="J563" s="149" t="s">
        <v>639</v>
      </c>
      <c r="K563" s="51" t="s">
        <v>2101</v>
      </c>
      <c r="L563" s="52">
        <v>11</v>
      </c>
      <c r="M563" s="53">
        <v>12</v>
      </c>
      <c r="N563" s="54">
        <v>4</v>
      </c>
      <c r="O563" s="89" t="s">
        <v>1599</v>
      </c>
      <c r="P563" s="31" t="s">
        <v>104</v>
      </c>
      <c r="Q563" s="87">
        <v>45</v>
      </c>
      <c r="R563" s="87" t="s">
        <v>78</v>
      </c>
      <c r="S563" s="237">
        <v>4607958079094</v>
      </c>
      <c r="T563" s="332">
        <v>14607958079091</v>
      </c>
      <c r="U563" s="46">
        <v>4607958079094</v>
      </c>
      <c r="V563" s="46">
        <v>14607958079091</v>
      </c>
      <c r="W563" s="258">
        <v>200</v>
      </c>
      <c r="X563" s="68">
        <v>130</v>
      </c>
      <c r="Y563" s="68">
        <v>20</v>
      </c>
      <c r="Z563" s="65">
        <v>0.27</v>
      </c>
      <c r="AA563" s="271">
        <v>5.0000000000000001E-3</v>
      </c>
      <c r="AB563" s="66">
        <f t="shared" ref="AB563" si="792">Z563+AA563</f>
        <v>0.27500000000000002</v>
      </c>
      <c r="AC563" s="59">
        <v>200</v>
      </c>
      <c r="AD563" s="60">
        <v>150</v>
      </c>
      <c r="AE563" s="68">
        <v>156</v>
      </c>
      <c r="AF563" s="191">
        <v>8</v>
      </c>
      <c r="AG563" s="117">
        <v>600000424</v>
      </c>
      <c r="AH563" s="104">
        <f>справочники!$C$107</f>
        <v>7.3999999999999996E-2</v>
      </c>
      <c r="AI563" s="61">
        <f t="shared" si="713"/>
        <v>2.16</v>
      </c>
      <c r="AJ563" s="122">
        <f t="shared" si="714"/>
        <v>2.274</v>
      </c>
      <c r="AK563" s="37">
        <v>30</v>
      </c>
      <c r="AL563" s="38">
        <v>10</v>
      </c>
      <c r="AM563" s="40">
        <f t="shared" ref="AM563" si="793">AK563*AL563</f>
        <v>300</v>
      </c>
      <c r="AN563" s="206">
        <f t="shared" ref="AN563" si="794">IF(D563="ШТ",кол_во_инд.__упак_к*итого_г_у,ROUNDDOWN(номин.вес_нетто_г_у__кг*итого_г_у,1))</f>
        <v>2400</v>
      </c>
      <c r="AO563" s="204">
        <f t="shared" si="719"/>
        <v>1705</v>
      </c>
    </row>
    <row r="564" spans="1:41" s="22" customFormat="1" ht="178.5" x14ac:dyDescent="0.2">
      <c r="A564" s="22">
        <f t="shared" si="715"/>
        <v>7257</v>
      </c>
      <c r="B564" s="116">
        <v>1001022557257</v>
      </c>
      <c r="C564" s="48" t="s">
        <v>1220</v>
      </c>
      <c r="D564" s="49" t="s">
        <v>4</v>
      </c>
      <c r="E564" s="146" t="s">
        <v>373</v>
      </c>
      <c r="F564" s="112" t="s">
        <v>39</v>
      </c>
      <c r="G564" s="146" t="s">
        <v>6</v>
      </c>
      <c r="H564" s="49" t="s">
        <v>278</v>
      </c>
      <c r="I564" s="153" t="s">
        <v>387</v>
      </c>
      <c r="J564" s="149" t="s">
        <v>639</v>
      </c>
      <c r="K564" s="51" t="s">
        <v>1221</v>
      </c>
      <c r="L564" s="52">
        <v>12</v>
      </c>
      <c r="M564" s="53">
        <v>14</v>
      </c>
      <c r="N564" s="54">
        <v>1</v>
      </c>
      <c r="O564" s="88" t="s">
        <v>704</v>
      </c>
      <c r="P564" s="31" t="s">
        <v>104</v>
      </c>
      <c r="Q564" s="87">
        <v>45</v>
      </c>
      <c r="R564" s="82" t="s">
        <v>78</v>
      </c>
      <c r="S564" s="238">
        <v>4607958079445</v>
      </c>
      <c r="T564" s="339">
        <v>14607958079442</v>
      </c>
      <c r="U564" s="46">
        <v>4607958079445</v>
      </c>
      <c r="V564" s="46">
        <v>14607958079442</v>
      </c>
      <c r="W564" s="258">
        <v>150</v>
      </c>
      <c r="X564" s="68">
        <v>154</v>
      </c>
      <c r="Y564" s="68">
        <v>28</v>
      </c>
      <c r="Z564" s="65">
        <v>0.33</v>
      </c>
      <c r="AA564" s="271">
        <v>1.9E-2</v>
      </c>
      <c r="AB564" s="66">
        <f t="shared" ref="AB564" si="795">Z564+AA564</f>
        <v>0.34900000000000003</v>
      </c>
      <c r="AC564" s="67">
        <v>315</v>
      </c>
      <c r="AD564" s="68">
        <v>168</v>
      </c>
      <c r="AE564" s="68">
        <v>248</v>
      </c>
      <c r="AF564" s="191">
        <v>8</v>
      </c>
      <c r="AG564" s="117">
        <v>600000429</v>
      </c>
      <c r="AH564" s="104">
        <f>справочники!$C$115</f>
        <v>0.14299999999999999</v>
      </c>
      <c r="AI564" s="61">
        <f t="shared" si="713"/>
        <v>2.64</v>
      </c>
      <c r="AJ564" s="122">
        <f t="shared" si="714"/>
        <v>2.9350000000000001</v>
      </c>
      <c r="AK564" s="37">
        <v>17</v>
      </c>
      <c r="AL564" s="38">
        <v>6</v>
      </c>
      <c r="AM564" s="40">
        <f t="shared" ref="AM564" si="796">AK564*AL564</f>
        <v>102</v>
      </c>
      <c r="AN564" s="206">
        <f t="shared" ref="AN564" si="797">IF(D564="ШТ",кол_во_инд.__упак_к*итого_г_у,ROUNDDOWN(номин.вес_нетто_г_у__кг*итого_г_у,1))</f>
        <v>816</v>
      </c>
      <c r="AO564" s="204">
        <f t="shared" si="719"/>
        <v>1633</v>
      </c>
    </row>
    <row r="565" spans="1:41" ht="191.25" x14ac:dyDescent="0.2">
      <c r="A565" s="22">
        <f t="shared" si="715"/>
        <v>6837</v>
      </c>
      <c r="B565" s="116">
        <v>1001022556837</v>
      </c>
      <c r="C565" s="48" t="s">
        <v>821</v>
      </c>
      <c r="D565" s="49" t="s">
        <v>4</v>
      </c>
      <c r="E565" s="146" t="s">
        <v>373</v>
      </c>
      <c r="F565" s="112" t="s">
        <v>39</v>
      </c>
      <c r="G565" s="146" t="s">
        <v>6</v>
      </c>
      <c r="H565" s="58" t="s">
        <v>292</v>
      </c>
      <c r="I565" s="153" t="s">
        <v>387</v>
      </c>
      <c r="J565" s="149" t="s">
        <v>639</v>
      </c>
      <c r="K565" s="51" t="s">
        <v>1196</v>
      </c>
      <c r="L565" s="52">
        <v>12</v>
      </c>
      <c r="M565" s="53">
        <v>14</v>
      </c>
      <c r="N565" s="54">
        <v>1</v>
      </c>
      <c r="O565" s="88" t="s">
        <v>704</v>
      </c>
      <c r="P565" s="31" t="s">
        <v>104</v>
      </c>
      <c r="Q565" s="87">
        <v>45</v>
      </c>
      <c r="R565" s="87" t="s">
        <v>78</v>
      </c>
      <c r="S565" s="237">
        <v>4607958077717</v>
      </c>
      <c r="T565" s="332">
        <v>14607958077714</v>
      </c>
      <c r="U565" s="46">
        <v>4607958077717</v>
      </c>
      <c r="V565" s="46">
        <v>14607958077714</v>
      </c>
      <c r="W565" s="258">
        <v>154</v>
      </c>
      <c r="X565" s="68">
        <v>150</v>
      </c>
      <c r="Y565" s="68">
        <v>34</v>
      </c>
      <c r="Z565" s="65">
        <v>0.4</v>
      </c>
      <c r="AA565" s="271">
        <v>1.4999999999999999E-2</v>
      </c>
      <c r="AB565" s="66">
        <f t="shared" si="769"/>
        <v>0.41500000000000004</v>
      </c>
      <c r="AC565" s="59">
        <v>378</v>
      </c>
      <c r="AD565" s="60">
        <v>156</v>
      </c>
      <c r="AE565" s="68">
        <v>111</v>
      </c>
      <c r="AF565" s="191">
        <v>6</v>
      </c>
      <c r="AG565" s="117">
        <v>600000220</v>
      </c>
      <c r="AH565" s="104">
        <f>справочники!$C$49</f>
        <v>0.105</v>
      </c>
      <c r="AI565" s="61">
        <f t="shared" si="713"/>
        <v>2.4</v>
      </c>
      <c r="AJ565" s="122">
        <f t="shared" si="714"/>
        <v>2.5950000000000002</v>
      </c>
      <c r="AK565" s="37">
        <v>15</v>
      </c>
      <c r="AL565" s="38">
        <v>14</v>
      </c>
      <c r="AM565" s="40">
        <f t="shared" si="784"/>
        <v>210</v>
      </c>
      <c r="AN565" s="206">
        <f t="shared" si="738"/>
        <v>1260</v>
      </c>
      <c r="AO565" s="204">
        <f t="shared" si="719"/>
        <v>1699</v>
      </c>
    </row>
    <row r="566" spans="1:41" ht="293.25" x14ac:dyDescent="0.2">
      <c r="A566" s="22">
        <f t="shared" si="715"/>
        <v>7385</v>
      </c>
      <c r="B566" s="116">
        <v>1001027067385</v>
      </c>
      <c r="C566" s="48" t="s">
        <v>1424</v>
      </c>
      <c r="D566" s="81" t="s">
        <v>4</v>
      </c>
      <c r="E566" s="146" t="s">
        <v>373</v>
      </c>
      <c r="F566" s="112" t="s">
        <v>39</v>
      </c>
      <c r="G566" s="146" t="s">
        <v>6</v>
      </c>
      <c r="H566" s="49" t="s">
        <v>278</v>
      </c>
      <c r="I566" s="153" t="s">
        <v>387</v>
      </c>
      <c r="J566" s="149" t="s">
        <v>639</v>
      </c>
      <c r="K566" s="71" t="s">
        <v>1425</v>
      </c>
      <c r="L566" s="72">
        <v>10</v>
      </c>
      <c r="M566" s="73">
        <v>12</v>
      </c>
      <c r="N566" s="74">
        <v>3</v>
      </c>
      <c r="O566" s="89" t="s">
        <v>632</v>
      </c>
      <c r="P566" s="31" t="s">
        <v>104</v>
      </c>
      <c r="Q566" s="87">
        <v>45</v>
      </c>
      <c r="R566" s="87" t="s">
        <v>37</v>
      </c>
      <c r="S566" s="239">
        <v>4630362180605</v>
      </c>
      <c r="T566" s="344">
        <v>14630362180602</v>
      </c>
      <c r="U566" s="46">
        <v>4630362180605</v>
      </c>
      <c r="V566" s="46">
        <v>14630362180602</v>
      </c>
      <c r="W566" s="258">
        <v>150</v>
      </c>
      <c r="X566" s="68">
        <v>154</v>
      </c>
      <c r="Y566" s="68">
        <v>28</v>
      </c>
      <c r="Z566" s="65">
        <v>0.33</v>
      </c>
      <c r="AA566" s="271">
        <v>1.4999999999999999E-2</v>
      </c>
      <c r="AB566" s="66">
        <f t="shared" si="769"/>
        <v>0.34500000000000003</v>
      </c>
      <c r="AC566" s="75">
        <v>378</v>
      </c>
      <c r="AD566" s="76">
        <v>156</v>
      </c>
      <c r="AE566" s="76">
        <v>138</v>
      </c>
      <c r="AF566" s="194">
        <v>8</v>
      </c>
      <c r="AG566" s="117">
        <v>600000019</v>
      </c>
      <c r="AH566" s="105">
        <f>справочники!$C$11</f>
        <v>0.114</v>
      </c>
      <c r="AI566" s="61">
        <f t="shared" si="713"/>
        <v>2.64</v>
      </c>
      <c r="AJ566" s="141">
        <f t="shared" si="714"/>
        <v>2.8740000000000001</v>
      </c>
      <c r="AK566" s="157">
        <v>15</v>
      </c>
      <c r="AL566" s="34">
        <v>11</v>
      </c>
      <c r="AM566" s="40">
        <f t="shared" ref="AM566" si="798">AK566*AL566</f>
        <v>165</v>
      </c>
      <c r="AN566" s="206">
        <f t="shared" si="738"/>
        <v>1320</v>
      </c>
      <c r="AO566" s="204">
        <f t="shared" si="719"/>
        <v>1663</v>
      </c>
    </row>
    <row r="567" spans="1:41" ht="409.5" x14ac:dyDescent="0.2">
      <c r="A567" s="22">
        <f t="shared" si="715"/>
        <v>7542</v>
      </c>
      <c r="B567" s="116">
        <v>1001027577542</v>
      </c>
      <c r="C567" s="48" t="s">
        <v>1685</v>
      </c>
      <c r="D567" s="49" t="s">
        <v>4</v>
      </c>
      <c r="E567" s="146" t="s">
        <v>373</v>
      </c>
      <c r="F567" s="112" t="s">
        <v>39</v>
      </c>
      <c r="G567" s="146" t="s">
        <v>6</v>
      </c>
      <c r="H567" s="58" t="s">
        <v>136</v>
      </c>
      <c r="I567" s="153" t="s">
        <v>1936</v>
      </c>
      <c r="J567" s="149" t="s">
        <v>639</v>
      </c>
      <c r="K567" s="51" t="s">
        <v>1593</v>
      </c>
      <c r="L567" s="52">
        <v>12</v>
      </c>
      <c r="M567" s="53">
        <v>13</v>
      </c>
      <c r="N567" s="54">
        <v>4</v>
      </c>
      <c r="O567" s="88" t="s">
        <v>1202</v>
      </c>
      <c r="P567" s="31" t="s">
        <v>104</v>
      </c>
      <c r="Q567" s="87">
        <v>45</v>
      </c>
      <c r="R567" s="87" t="s">
        <v>37</v>
      </c>
      <c r="S567" s="237">
        <v>4630362182197</v>
      </c>
      <c r="T567" s="332">
        <v>14630362182194</v>
      </c>
      <c r="U567" s="46">
        <v>4630362182197</v>
      </c>
      <c r="V567" s="46">
        <v>14630362182194</v>
      </c>
      <c r="W567" s="258">
        <v>135</v>
      </c>
      <c r="X567" s="68">
        <v>110</v>
      </c>
      <c r="Y567" s="68">
        <v>70</v>
      </c>
      <c r="Z567" s="65">
        <v>0.3</v>
      </c>
      <c r="AA567" s="271">
        <v>1.4999999999999999E-2</v>
      </c>
      <c r="AB567" s="66">
        <f t="shared" si="769"/>
        <v>0.315</v>
      </c>
      <c r="AC567" s="59">
        <v>348</v>
      </c>
      <c r="AD567" s="60">
        <v>153</v>
      </c>
      <c r="AE567" s="60">
        <v>108</v>
      </c>
      <c r="AF567" s="191">
        <v>6</v>
      </c>
      <c r="AG567" s="117">
        <v>600000033</v>
      </c>
      <c r="AH567" s="104">
        <f>справочники!$C$25</f>
        <v>0.104</v>
      </c>
      <c r="AI567" s="61">
        <f t="shared" si="713"/>
        <v>1.8</v>
      </c>
      <c r="AJ567" s="122">
        <f t="shared" si="714"/>
        <v>1.9940000000000002</v>
      </c>
      <c r="AK567" s="37">
        <v>16</v>
      </c>
      <c r="AL567" s="38">
        <v>13</v>
      </c>
      <c r="AM567" s="40">
        <f t="shared" ref="AM567" si="799">AK567*AL567</f>
        <v>208</v>
      </c>
      <c r="AN567" s="206">
        <f t="shared" si="738"/>
        <v>1248</v>
      </c>
      <c r="AO567" s="204">
        <f t="shared" si="719"/>
        <v>1549</v>
      </c>
    </row>
    <row r="568" spans="1:41" ht="184.15" customHeight="1" x14ac:dyDescent="0.2">
      <c r="A568" s="22">
        <f t="shared" si="715"/>
        <v>6475</v>
      </c>
      <c r="B568" s="116">
        <v>1001025176475</v>
      </c>
      <c r="C568" s="48" t="s">
        <v>593</v>
      </c>
      <c r="D568" s="49" t="s">
        <v>4</v>
      </c>
      <c r="E568" s="146" t="s">
        <v>373</v>
      </c>
      <c r="F568" s="112" t="s">
        <v>39</v>
      </c>
      <c r="G568" s="146" t="s">
        <v>6</v>
      </c>
      <c r="H568" s="58" t="s">
        <v>292</v>
      </c>
      <c r="I568" s="153" t="s">
        <v>387</v>
      </c>
      <c r="J568" s="149" t="s">
        <v>639</v>
      </c>
      <c r="K568" s="51" t="s">
        <v>1764</v>
      </c>
      <c r="L568" s="52">
        <v>10</v>
      </c>
      <c r="M568" s="53">
        <v>18</v>
      </c>
      <c r="N568" s="54">
        <v>4</v>
      </c>
      <c r="O568" s="88" t="s">
        <v>290</v>
      </c>
      <c r="P568" s="31" t="s">
        <v>104</v>
      </c>
      <c r="Q568" s="87">
        <v>45</v>
      </c>
      <c r="R568" s="87" t="s">
        <v>78</v>
      </c>
      <c r="S568" s="237">
        <v>4607958075461</v>
      </c>
      <c r="T568" s="332">
        <v>14607958075468</v>
      </c>
      <c r="U568" s="46">
        <v>4607958075461</v>
      </c>
      <c r="V568" s="46">
        <v>14607958075468</v>
      </c>
      <c r="W568" s="258">
        <v>150</v>
      </c>
      <c r="X568" s="68">
        <v>154</v>
      </c>
      <c r="Y568" s="68">
        <v>45</v>
      </c>
      <c r="Z568" s="65">
        <v>0.4</v>
      </c>
      <c r="AA568" s="271">
        <v>1.4999999999999999E-2</v>
      </c>
      <c r="AB568" s="66">
        <f t="shared" si="769"/>
        <v>0.41500000000000004</v>
      </c>
      <c r="AC568" s="75">
        <v>378</v>
      </c>
      <c r="AD568" s="76">
        <v>156</v>
      </c>
      <c r="AE568" s="76">
        <v>138</v>
      </c>
      <c r="AF568" s="191">
        <v>6</v>
      </c>
      <c r="AG568" s="117">
        <v>600000019</v>
      </c>
      <c r="AH568" s="104">
        <f>справочники!$C$11</f>
        <v>0.114</v>
      </c>
      <c r="AI568" s="61">
        <f t="shared" si="713"/>
        <v>2.4</v>
      </c>
      <c r="AJ568" s="122">
        <f t="shared" si="714"/>
        <v>2.6040000000000001</v>
      </c>
      <c r="AK568" s="37">
        <v>15</v>
      </c>
      <c r="AL568" s="38">
        <v>11</v>
      </c>
      <c r="AM568" s="40">
        <f t="shared" si="784"/>
        <v>165</v>
      </c>
      <c r="AN568" s="206">
        <f t="shared" si="738"/>
        <v>990</v>
      </c>
      <c r="AO568" s="204">
        <f t="shared" si="719"/>
        <v>1663</v>
      </c>
    </row>
    <row r="569" spans="1:41" ht="184.9" customHeight="1" x14ac:dyDescent="0.2">
      <c r="A569" s="22">
        <f t="shared" si="715"/>
        <v>7297</v>
      </c>
      <c r="B569" s="116">
        <v>1001025177297</v>
      </c>
      <c r="C569" s="48" t="s">
        <v>1266</v>
      </c>
      <c r="D569" s="49" t="s">
        <v>4</v>
      </c>
      <c r="E569" s="146" t="s">
        <v>373</v>
      </c>
      <c r="F569" s="112" t="s">
        <v>39</v>
      </c>
      <c r="G569" s="146" t="s">
        <v>6</v>
      </c>
      <c r="H569" s="58" t="s">
        <v>292</v>
      </c>
      <c r="I569" s="153" t="s">
        <v>387</v>
      </c>
      <c r="J569" s="149" t="s">
        <v>639</v>
      </c>
      <c r="K569" s="51" t="s">
        <v>1764</v>
      </c>
      <c r="L569" s="52">
        <v>10</v>
      </c>
      <c r="M569" s="53">
        <v>18</v>
      </c>
      <c r="N569" s="54">
        <v>4</v>
      </c>
      <c r="O569" s="88" t="s">
        <v>290</v>
      </c>
      <c r="P569" s="31" t="s">
        <v>104</v>
      </c>
      <c r="Q569" s="87">
        <v>45</v>
      </c>
      <c r="R569" s="87" t="s">
        <v>78</v>
      </c>
      <c r="S569" s="237">
        <v>4607958075461</v>
      </c>
      <c r="T569" s="332">
        <v>14607958075468</v>
      </c>
      <c r="U569" s="46">
        <v>4607958075461</v>
      </c>
      <c r="V569" s="46">
        <v>14607958075468</v>
      </c>
      <c r="W569" s="258">
        <v>150</v>
      </c>
      <c r="X569" s="68">
        <v>154</v>
      </c>
      <c r="Y569" s="68">
        <v>45</v>
      </c>
      <c r="Z569" s="65">
        <v>0.4</v>
      </c>
      <c r="AA569" s="271">
        <v>1.4999999999999999E-2</v>
      </c>
      <c r="AB569" s="66">
        <f t="shared" ref="AB569:AB570" si="800">Z569+AA569</f>
        <v>0.41500000000000004</v>
      </c>
      <c r="AC569" s="75">
        <v>378</v>
      </c>
      <c r="AD569" s="76">
        <v>156</v>
      </c>
      <c r="AE569" s="76">
        <v>138</v>
      </c>
      <c r="AF569" s="191">
        <v>6</v>
      </c>
      <c r="AG569" s="117">
        <v>600000019</v>
      </c>
      <c r="AH569" s="104">
        <f>справочники!$C$11</f>
        <v>0.114</v>
      </c>
      <c r="AI569" s="61">
        <f t="shared" si="713"/>
        <v>2.4</v>
      </c>
      <c r="AJ569" s="122">
        <f t="shared" si="714"/>
        <v>2.6040000000000001</v>
      </c>
      <c r="AK569" s="37">
        <v>15</v>
      </c>
      <c r="AL569" s="38">
        <v>11</v>
      </c>
      <c r="AM569" s="40">
        <f t="shared" ref="AM569:AM570" si="801">AK569*AL569</f>
        <v>165</v>
      </c>
      <c r="AN569" s="206">
        <f t="shared" ref="AN569:AN570" si="802">IF(D569="ШТ",кол_во_инд.__упак_к*итого_г_у,ROUNDDOWN(номин.вес_нетто_г_у__кг*итого_г_у,1))</f>
        <v>990</v>
      </c>
      <c r="AO569" s="204">
        <f t="shared" si="719"/>
        <v>1663</v>
      </c>
    </row>
    <row r="570" spans="1:41" ht="186.6" customHeight="1" x14ac:dyDescent="0.2">
      <c r="A570" s="22">
        <f t="shared" si="715"/>
        <v>7563</v>
      </c>
      <c r="B570" s="116">
        <v>1001025177563</v>
      </c>
      <c r="C570" s="48" t="s">
        <v>1763</v>
      </c>
      <c r="D570" s="49" t="s">
        <v>4</v>
      </c>
      <c r="E570" s="146" t="s">
        <v>373</v>
      </c>
      <c r="F570" s="112" t="s">
        <v>39</v>
      </c>
      <c r="G570" s="146" t="s">
        <v>6</v>
      </c>
      <c r="H570" s="58" t="s">
        <v>292</v>
      </c>
      <c r="I570" s="153" t="s">
        <v>387</v>
      </c>
      <c r="J570" s="149" t="s">
        <v>639</v>
      </c>
      <c r="K570" s="51" t="s">
        <v>1764</v>
      </c>
      <c r="L570" s="52">
        <v>10</v>
      </c>
      <c r="M570" s="53">
        <v>18</v>
      </c>
      <c r="N570" s="54">
        <v>4</v>
      </c>
      <c r="O570" s="88" t="s">
        <v>290</v>
      </c>
      <c r="P570" s="31" t="s">
        <v>104</v>
      </c>
      <c r="Q570" s="87">
        <v>45</v>
      </c>
      <c r="R570" s="87" t="s">
        <v>78</v>
      </c>
      <c r="S570" s="237">
        <v>4630362181022</v>
      </c>
      <c r="T570" s="332">
        <v>14630362181029</v>
      </c>
      <c r="U570" s="46">
        <v>4630362181022</v>
      </c>
      <c r="V570" s="46">
        <v>14630362181029</v>
      </c>
      <c r="W570" s="258">
        <v>135</v>
      </c>
      <c r="X570" s="68">
        <v>110</v>
      </c>
      <c r="Y570" s="68">
        <v>70</v>
      </c>
      <c r="Z570" s="65">
        <v>0.3</v>
      </c>
      <c r="AA570" s="271">
        <v>1.4999999999999999E-2</v>
      </c>
      <c r="AB570" s="66">
        <f t="shared" si="800"/>
        <v>0.315</v>
      </c>
      <c r="AC570" s="37">
        <v>381</v>
      </c>
      <c r="AD570" s="38">
        <v>166</v>
      </c>
      <c r="AE570" s="38">
        <v>157</v>
      </c>
      <c r="AF570" s="191">
        <v>12</v>
      </c>
      <c r="AG570" s="117">
        <v>600000618</v>
      </c>
      <c r="AH570" s="104">
        <f>справочники!$C$216</f>
        <v>0.25</v>
      </c>
      <c r="AI570" s="61">
        <f t="shared" si="713"/>
        <v>3.6</v>
      </c>
      <c r="AJ570" s="122">
        <f t="shared" si="714"/>
        <v>4.03</v>
      </c>
      <c r="AK570" s="37">
        <v>14</v>
      </c>
      <c r="AL570" s="38">
        <v>10</v>
      </c>
      <c r="AM570" s="40">
        <f t="shared" si="801"/>
        <v>140</v>
      </c>
      <c r="AN570" s="206">
        <f t="shared" si="802"/>
        <v>1680</v>
      </c>
      <c r="AO570" s="204">
        <f t="shared" si="719"/>
        <v>1715</v>
      </c>
    </row>
    <row r="571" spans="1:41" ht="165.75" x14ac:dyDescent="0.2">
      <c r="A571" s="22">
        <f t="shared" si="715"/>
        <v>6708</v>
      </c>
      <c r="B571" s="116">
        <v>1001022556708</v>
      </c>
      <c r="C571" s="48" t="s">
        <v>657</v>
      </c>
      <c r="D571" s="49" t="s">
        <v>4</v>
      </c>
      <c r="E571" s="146" t="s">
        <v>373</v>
      </c>
      <c r="F571" s="112" t="s">
        <v>39</v>
      </c>
      <c r="G571" s="146" t="s">
        <v>6</v>
      </c>
      <c r="H571" s="58" t="s">
        <v>292</v>
      </c>
      <c r="I571" s="153" t="s">
        <v>387</v>
      </c>
      <c r="J571" s="150" t="s">
        <v>896</v>
      </c>
      <c r="K571" s="51" t="s">
        <v>904</v>
      </c>
      <c r="L571" s="52">
        <v>10</v>
      </c>
      <c r="M571" s="53">
        <v>13</v>
      </c>
      <c r="N571" s="54">
        <v>3</v>
      </c>
      <c r="O571" s="88" t="s">
        <v>774</v>
      </c>
      <c r="P571" s="31" t="s">
        <v>104</v>
      </c>
      <c r="Q571" s="87">
        <v>45</v>
      </c>
      <c r="R571" s="87" t="s">
        <v>78</v>
      </c>
      <c r="S571" s="237">
        <v>4606068669744</v>
      </c>
      <c r="T571" s="332">
        <v>14606068669741</v>
      </c>
      <c r="U571" s="359" t="s">
        <v>1875</v>
      </c>
      <c r="V571" s="359" t="s">
        <v>1875</v>
      </c>
      <c r="W571" s="258">
        <v>164</v>
      </c>
      <c r="X571" s="68">
        <v>150</v>
      </c>
      <c r="Y571" s="68">
        <v>30</v>
      </c>
      <c r="Z571" s="65">
        <v>0.4</v>
      </c>
      <c r="AA571" s="271">
        <v>1.4999999999999999E-2</v>
      </c>
      <c r="AB571" s="66">
        <f t="shared" si="769"/>
        <v>0.41500000000000004</v>
      </c>
      <c r="AC571" s="59">
        <v>378</v>
      </c>
      <c r="AD571" s="60">
        <v>156</v>
      </c>
      <c r="AE571" s="68">
        <v>111</v>
      </c>
      <c r="AF571" s="191">
        <v>6</v>
      </c>
      <c r="AG571" s="117">
        <v>600000220</v>
      </c>
      <c r="AH571" s="104">
        <f>справочники!$C$49</f>
        <v>0.105</v>
      </c>
      <c r="AI571" s="61">
        <f t="shared" si="713"/>
        <v>2.4</v>
      </c>
      <c r="AJ571" s="122">
        <f t="shared" si="714"/>
        <v>2.5950000000000002</v>
      </c>
      <c r="AK571" s="37">
        <v>15</v>
      </c>
      <c r="AL571" s="38">
        <v>14</v>
      </c>
      <c r="AM571" s="40">
        <f t="shared" si="784"/>
        <v>210</v>
      </c>
      <c r="AN571" s="206">
        <f t="shared" si="738"/>
        <v>1260</v>
      </c>
      <c r="AO571" s="204">
        <f t="shared" si="719"/>
        <v>1699</v>
      </c>
    </row>
    <row r="572" spans="1:41" ht="102.75" customHeight="1" x14ac:dyDescent="0.2">
      <c r="A572" s="22">
        <f t="shared" si="715"/>
        <v>7296</v>
      </c>
      <c r="B572" s="116">
        <v>1001023857296</v>
      </c>
      <c r="C572" s="48" t="s">
        <v>1414</v>
      </c>
      <c r="D572" s="49" t="s">
        <v>4</v>
      </c>
      <c r="E572" s="146" t="s">
        <v>373</v>
      </c>
      <c r="F572" s="112" t="s">
        <v>39</v>
      </c>
      <c r="G572" s="223" t="s">
        <v>6</v>
      </c>
      <c r="H572" s="49" t="s">
        <v>278</v>
      </c>
      <c r="I572" s="153" t="s">
        <v>380</v>
      </c>
      <c r="J572" s="149" t="s">
        <v>413</v>
      </c>
      <c r="K572" s="51" t="s">
        <v>1198</v>
      </c>
      <c r="L572" s="52">
        <v>7</v>
      </c>
      <c r="M572" s="53">
        <v>10</v>
      </c>
      <c r="N572" s="54">
        <v>3</v>
      </c>
      <c r="O572" s="88" t="s">
        <v>997</v>
      </c>
      <c r="P572" s="31" t="s">
        <v>104</v>
      </c>
      <c r="Q572" s="87">
        <v>50</v>
      </c>
      <c r="R572" s="87" t="s">
        <v>78</v>
      </c>
      <c r="S572" s="80">
        <v>4607958079698</v>
      </c>
      <c r="T572" s="347">
        <v>14607958079695</v>
      </c>
      <c r="U572" s="46">
        <v>4607958079698</v>
      </c>
      <c r="V572" s="46">
        <v>14607958079695</v>
      </c>
      <c r="W572" s="93">
        <v>300</v>
      </c>
      <c r="X572" s="60">
        <v>160</v>
      </c>
      <c r="Y572" s="60">
        <v>40</v>
      </c>
      <c r="Z572" s="65">
        <v>0.8</v>
      </c>
      <c r="AA572" s="271">
        <v>1.2E-2</v>
      </c>
      <c r="AB572" s="66">
        <f t="shared" ref="AB572" si="803">Z572+AA572</f>
        <v>0.81200000000000006</v>
      </c>
      <c r="AC572" s="59">
        <v>315</v>
      </c>
      <c r="AD572" s="60">
        <v>168</v>
      </c>
      <c r="AE572" s="60">
        <v>248</v>
      </c>
      <c r="AF572" s="191">
        <v>6</v>
      </c>
      <c r="AG572" s="117">
        <v>600000429</v>
      </c>
      <c r="AH572" s="104">
        <f>справочники!$C$115</f>
        <v>0.14299999999999999</v>
      </c>
      <c r="AI572" s="61">
        <f t="shared" si="713"/>
        <v>4.8</v>
      </c>
      <c r="AJ572" s="122">
        <f t="shared" si="714"/>
        <v>5.0149999999999997</v>
      </c>
      <c r="AK572" s="37">
        <v>17</v>
      </c>
      <c r="AL572" s="38">
        <v>6</v>
      </c>
      <c r="AM572" s="40">
        <f t="shared" ref="AM572" si="804">AK572*AL572</f>
        <v>102</v>
      </c>
      <c r="AN572" s="135">
        <f t="shared" ref="AN572" si="805">IF(D572="ШТ",кол_во_инд.__упак_к*итого_г_у,ROUNDDOWN(номин.вес_нетто_г_у__кг*итого_г_у,1))</f>
        <v>612</v>
      </c>
      <c r="AO572" s="204">
        <f t="shared" si="719"/>
        <v>1633</v>
      </c>
    </row>
    <row r="573" spans="1:41" ht="102.75" customHeight="1" x14ac:dyDescent="0.2">
      <c r="A573" s="22">
        <f t="shared" si="715"/>
        <v>7578</v>
      </c>
      <c r="B573" s="116">
        <v>1001023857578</v>
      </c>
      <c r="C573" s="48" t="s">
        <v>1727</v>
      </c>
      <c r="D573" s="49" t="s">
        <v>4</v>
      </c>
      <c r="E573" s="146" t="s">
        <v>373</v>
      </c>
      <c r="F573" s="112" t="s">
        <v>39</v>
      </c>
      <c r="G573" s="223" t="s">
        <v>6</v>
      </c>
      <c r="H573" s="49" t="s">
        <v>278</v>
      </c>
      <c r="I573" s="153" t="s">
        <v>380</v>
      </c>
      <c r="J573" s="149" t="s">
        <v>413</v>
      </c>
      <c r="K573" s="51" t="s">
        <v>1198</v>
      </c>
      <c r="L573" s="52">
        <v>7</v>
      </c>
      <c r="M573" s="53">
        <v>10</v>
      </c>
      <c r="N573" s="54">
        <v>3</v>
      </c>
      <c r="O573" s="88" t="s">
        <v>997</v>
      </c>
      <c r="P573" s="31" t="s">
        <v>104</v>
      </c>
      <c r="Q573" s="87">
        <v>50</v>
      </c>
      <c r="R573" s="87" t="s">
        <v>78</v>
      </c>
      <c r="S573" s="80">
        <v>4607958079698</v>
      </c>
      <c r="T573" s="347">
        <v>14607958079695</v>
      </c>
      <c r="U573" s="46">
        <v>4607958079698</v>
      </c>
      <c r="V573" s="46">
        <v>14607958079695</v>
      </c>
      <c r="W573" s="93">
        <v>300</v>
      </c>
      <c r="X573" s="60">
        <v>160</v>
      </c>
      <c r="Y573" s="60">
        <v>40</v>
      </c>
      <c r="Z573" s="65">
        <v>0.8</v>
      </c>
      <c r="AA573" s="271">
        <v>1.2E-2</v>
      </c>
      <c r="AB573" s="66">
        <f t="shared" ref="AB573" si="806">Z573+AA573</f>
        <v>0.81200000000000006</v>
      </c>
      <c r="AC573" s="59">
        <v>293</v>
      </c>
      <c r="AD573" s="60">
        <v>394</v>
      </c>
      <c r="AE573" s="60">
        <v>135</v>
      </c>
      <c r="AF573" s="191">
        <v>6</v>
      </c>
      <c r="AG573" s="117">
        <v>600000615</v>
      </c>
      <c r="AH573" s="104">
        <f>справочники!$C$203</f>
        <v>0.23499999999999999</v>
      </c>
      <c r="AI573" s="61">
        <f t="shared" si="713"/>
        <v>4.8</v>
      </c>
      <c r="AJ573" s="122">
        <f t="shared" si="714"/>
        <v>5.1070000000000002</v>
      </c>
      <c r="AK573" s="37">
        <v>8</v>
      </c>
      <c r="AL573" s="38">
        <v>12</v>
      </c>
      <c r="AM573" s="40">
        <f t="shared" ref="AM573" si="807">AK573*AL573</f>
        <v>96</v>
      </c>
      <c r="AN573" s="135">
        <f t="shared" ref="AN573" si="808">IF(D573="ШТ",кол_во_инд.__упак_к*итого_г_у,ROUNDDOWN(номин.вес_нетто_г_у__кг*итого_г_у,1))</f>
        <v>576</v>
      </c>
      <c r="AO573" s="204">
        <f t="shared" si="719"/>
        <v>1765</v>
      </c>
    </row>
    <row r="574" spans="1:41" ht="102.75" customHeight="1" x14ac:dyDescent="0.2">
      <c r="A574" s="22">
        <f t="shared" si="715"/>
        <v>7405</v>
      </c>
      <c r="B574" s="46">
        <v>1001023857405</v>
      </c>
      <c r="C574" s="55" t="s">
        <v>1465</v>
      </c>
      <c r="D574" s="87" t="s">
        <v>4</v>
      </c>
      <c r="E574" s="146" t="s">
        <v>373</v>
      </c>
      <c r="F574" s="112" t="s">
        <v>39</v>
      </c>
      <c r="G574" s="146" t="s">
        <v>1453</v>
      </c>
      <c r="H574" s="140" t="s">
        <v>1454</v>
      </c>
      <c r="I574" s="153" t="s">
        <v>1455</v>
      </c>
      <c r="J574" s="149" t="s">
        <v>639</v>
      </c>
      <c r="K574" s="51" t="s">
        <v>1467</v>
      </c>
      <c r="L574" s="52">
        <v>12</v>
      </c>
      <c r="M574" s="53">
        <v>10</v>
      </c>
      <c r="N574" s="54">
        <v>2</v>
      </c>
      <c r="O574" s="88" t="s">
        <v>1468</v>
      </c>
      <c r="P574" s="31" t="s">
        <v>104</v>
      </c>
      <c r="Q574" s="87">
        <v>45</v>
      </c>
      <c r="R574" s="101" t="s">
        <v>37</v>
      </c>
      <c r="S574" s="189">
        <v>4630362180278</v>
      </c>
      <c r="T574" s="337">
        <v>14630362180275</v>
      </c>
      <c r="U574" s="46">
        <v>4630362180278</v>
      </c>
      <c r="V574" s="46">
        <v>14630362180275</v>
      </c>
      <c r="W574" s="258">
        <v>150</v>
      </c>
      <c r="X574" s="68">
        <v>150</v>
      </c>
      <c r="Y574" s="68">
        <v>45</v>
      </c>
      <c r="Z574" s="92">
        <v>0.41</v>
      </c>
      <c r="AA574" s="271">
        <v>2.7E-2</v>
      </c>
      <c r="AB574" s="94">
        <f t="shared" ref="AB574:AB576" si="809">Z574+AA574</f>
        <v>0.437</v>
      </c>
      <c r="AC574" s="67">
        <v>315</v>
      </c>
      <c r="AD574" s="68">
        <v>168</v>
      </c>
      <c r="AE574" s="68">
        <v>248</v>
      </c>
      <c r="AF574" s="194">
        <v>10</v>
      </c>
      <c r="AG574" s="117">
        <v>600000563</v>
      </c>
      <c r="AH574" s="105">
        <f>справочники!$C$181</f>
        <v>0.14000000000000001</v>
      </c>
      <c r="AI574" s="61">
        <f t="shared" si="713"/>
        <v>4.0999999999999996</v>
      </c>
      <c r="AJ574" s="141">
        <f t="shared" si="714"/>
        <v>4.51</v>
      </c>
      <c r="AK574" s="157">
        <v>17</v>
      </c>
      <c r="AL574" s="34">
        <v>6</v>
      </c>
      <c r="AM574" s="40">
        <f t="shared" ref="AM574:AM576" si="810">AK574*AL574</f>
        <v>102</v>
      </c>
      <c r="AN574" s="206">
        <f t="shared" ref="AN574:AN576" si="811">IF(D574="ШТ",кол_во_инд.__упак_к*итого_г_у,ROUNDDOWN(номин.вес_нетто_г_у__кг*итого_г_у,1))</f>
        <v>1020</v>
      </c>
      <c r="AO574" s="204">
        <f t="shared" si="719"/>
        <v>1633</v>
      </c>
    </row>
    <row r="575" spans="1:41" ht="102" customHeight="1" x14ac:dyDescent="0.2">
      <c r="A575" s="22">
        <f t="shared" si="715"/>
        <v>7407</v>
      </c>
      <c r="B575" s="46">
        <v>1001023857407</v>
      </c>
      <c r="C575" s="55" t="s">
        <v>1466</v>
      </c>
      <c r="D575" s="87" t="s">
        <v>4</v>
      </c>
      <c r="E575" s="146" t="s">
        <v>373</v>
      </c>
      <c r="F575" s="112" t="s">
        <v>39</v>
      </c>
      <c r="G575" s="146" t="s">
        <v>1453</v>
      </c>
      <c r="H575" s="140" t="s">
        <v>1454</v>
      </c>
      <c r="I575" s="153" t="s">
        <v>1455</v>
      </c>
      <c r="J575" s="149" t="s">
        <v>639</v>
      </c>
      <c r="K575" s="51" t="s">
        <v>1467</v>
      </c>
      <c r="L575" s="52">
        <v>12</v>
      </c>
      <c r="M575" s="53">
        <v>10</v>
      </c>
      <c r="N575" s="54">
        <v>2</v>
      </c>
      <c r="O575" s="88" t="s">
        <v>1468</v>
      </c>
      <c r="P575" s="31" t="s">
        <v>104</v>
      </c>
      <c r="Q575" s="87">
        <v>45</v>
      </c>
      <c r="R575" s="101" t="s">
        <v>37</v>
      </c>
      <c r="S575" s="189">
        <v>4630362180599</v>
      </c>
      <c r="T575" s="337">
        <v>14630362180596</v>
      </c>
      <c r="U575" s="46">
        <v>4630362180599</v>
      </c>
      <c r="V575" s="46">
        <v>14630362180596</v>
      </c>
      <c r="W575" s="258">
        <v>300</v>
      </c>
      <c r="X575" s="68">
        <v>190</v>
      </c>
      <c r="Y575" s="68">
        <v>45</v>
      </c>
      <c r="Z575" s="92">
        <v>1.0249999999999999</v>
      </c>
      <c r="AA575" s="271">
        <v>1.4999999999999999E-2</v>
      </c>
      <c r="AB575" s="94">
        <f t="shared" si="809"/>
        <v>1.0399999999999998</v>
      </c>
      <c r="AC575" s="67">
        <v>388</v>
      </c>
      <c r="AD575" s="68">
        <v>292</v>
      </c>
      <c r="AE575" s="68">
        <v>148</v>
      </c>
      <c r="AF575" s="194">
        <v>6</v>
      </c>
      <c r="AG575" s="117">
        <v>600000562</v>
      </c>
      <c r="AH575" s="105">
        <f>справочники!$C$180</f>
        <v>0.29199999999999998</v>
      </c>
      <c r="AI575" s="61">
        <f t="shared" si="713"/>
        <v>6.15</v>
      </c>
      <c r="AJ575" s="141">
        <f t="shared" si="714"/>
        <v>6.5319999999999983</v>
      </c>
      <c r="AK575" s="157">
        <v>8</v>
      </c>
      <c r="AL575" s="34">
        <v>10</v>
      </c>
      <c r="AM575" s="40">
        <f t="shared" si="810"/>
        <v>80</v>
      </c>
      <c r="AN575" s="206">
        <f t="shared" si="811"/>
        <v>480</v>
      </c>
      <c r="AO575" s="204">
        <f t="shared" si="719"/>
        <v>1625</v>
      </c>
    </row>
    <row r="576" spans="1:41" ht="119.45" customHeight="1" x14ac:dyDescent="0.2">
      <c r="A576" s="22">
        <f t="shared" si="715"/>
        <v>7476</v>
      </c>
      <c r="B576" s="116">
        <v>1001023857476</v>
      </c>
      <c r="C576" s="48" t="s">
        <v>1569</v>
      </c>
      <c r="D576" s="49" t="s">
        <v>4</v>
      </c>
      <c r="E576" s="146" t="s">
        <v>373</v>
      </c>
      <c r="F576" s="112" t="s">
        <v>39</v>
      </c>
      <c r="G576" s="146" t="s">
        <v>6</v>
      </c>
      <c r="H576" s="58" t="s">
        <v>278</v>
      </c>
      <c r="I576" s="153" t="s">
        <v>1566</v>
      </c>
      <c r="J576" s="149" t="s">
        <v>413</v>
      </c>
      <c r="K576" s="51" t="s">
        <v>1570</v>
      </c>
      <c r="L576" s="52">
        <v>10</v>
      </c>
      <c r="M576" s="53">
        <v>13</v>
      </c>
      <c r="N576" s="54">
        <v>1</v>
      </c>
      <c r="O576" s="88" t="s">
        <v>357</v>
      </c>
      <c r="P576" s="31" t="s">
        <v>104</v>
      </c>
      <c r="Q576" s="87">
        <v>50</v>
      </c>
      <c r="R576" s="87" t="s">
        <v>37</v>
      </c>
      <c r="S576" s="189">
        <v>4630362181060</v>
      </c>
      <c r="T576" s="337">
        <v>14630362181067</v>
      </c>
      <c r="U576" s="46">
        <v>4630362181060</v>
      </c>
      <c r="V576" s="46">
        <v>14630362181067</v>
      </c>
      <c r="W576" s="258">
        <v>150</v>
      </c>
      <c r="X576" s="68">
        <v>154</v>
      </c>
      <c r="Y576" s="68">
        <v>45</v>
      </c>
      <c r="Z576" s="65">
        <v>0.4</v>
      </c>
      <c r="AA576" s="271">
        <v>1.9E-2</v>
      </c>
      <c r="AB576" s="66">
        <f t="shared" si="809"/>
        <v>0.41900000000000004</v>
      </c>
      <c r="AC576" s="67">
        <v>315</v>
      </c>
      <c r="AD576" s="68">
        <v>168</v>
      </c>
      <c r="AE576" s="68">
        <v>248</v>
      </c>
      <c r="AF576" s="191">
        <v>10</v>
      </c>
      <c r="AG576" s="117">
        <v>600000429</v>
      </c>
      <c r="AH576" s="103">
        <f>справочники!$C$115</f>
        <v>0.14299999999999999</v>
      </c>
      <c r="AI576" s="61">
        <f t="shared" si="713"/>
        <v>4</v>
      </c>
      <c r="AJ576" s="122">
        <f t="shared" si="714"/>
        <v>4.3330000000000002</v>
      </c>
      <c r="AK576" s="37">
        <v>17</v>
      </c>
      <c r="AL576" s="38">
        <v>6</v>
      </c>
      <c r="AM576" s="40">
        <f t="shared" si="810"/>
        <v>102</v>
      </c>
      <c r="AN576" s="206">
        <f t="shared" si="811"/>
        <v>1020</v>
      </c>
      <c r="AO576" s="204">
        <f t="shared" si="719"/>
        <v>1633</v>
      </c>
    </row>
    <row r="577" spans="1:41" ht="119.45" customHeight="1" x14ac:dyDescent="0.2">
      <c r="A577" s="22">
        <f t="shared" si="715"/>
        <v>7631</v>
      </c>
      <c r="B577" s="116">
        <v>1001023857631</v>
      </c>
      <c r="C577" s="48" t="s">
        <v>1819</v>
      </c>
      <c r="D577" s="49" t="s">
        <v>4</v>
      </c>
      <c r="E577" s="146" t="s">
        <v>373</v>
      </c>
      <c r="F577" s="112" t="s">
        <v>39</v>
      </c>
      <c r="G577" s="146" t="s">
        <v>6</v>
      </c>
      <c r="H577" s="58" t="s">
        <v>278</v>
      </c>
      <c r="I577" s="153" t="s">
        <v>1566</v>
      </c>
      <c r="J577" s="149" t="s">
        <v>413</v>
      </c>
      <c r="K577" s="51" t="s">
        <v>1570</v>
      </c>
      <c r="L577" s="52">
        <v>10</v>
      </c>
      <c r="M577" s="53">
        <v>13</v>
      </c>
      <c r="N577" s="54">
        <v>1</v>
      </c>
      <c r="O577" s="88" t="s">
        <v>357</v>
      </c>
      <c r="P577" s="31" t="s">
        <v>104</v>
      </c>
      <c r="Q577" s="87">
        <v>50</v>
      </c>
      <c r="R577" s="87" t="s">
        <v>37</v>
      </c>
      <c r="S577" s="189">
        <v>4630362182425</v>
      </c>
      <c r="T577" s="337">
        <v>14630362182422</v>
      </c>
      <c r="U577" s="46">
        <v>4630362182425</v>
      </c>
      <c r="V577" s="46">
        <v>14630362182422</v>
      </c>
      <c r="W577" s="258">
        <v>150</v>
      </c>
      <c r="X577" s="68">
        <v>155</v>
      </c>
      <c r="Y577" s="68">
        <v>30</v>
      </c>
      <c r="Z577" s="65">
        <v>0.25</v>
      </c>
      <c r="AA577" s="271">
        <v>1.4999999999999999E-2</v>
      </c>
      <c r="AB577" s="66">
        <f t="shared" ref="AB577" si="812">Z577+AA577</f>
        <v>0.26500000000000001</v>
      </c>
      <c r="AC577" s="75">
        <v>378</v>
      </c>
      <c r="AD577" s="76">
        <v>156</v>
      </c>
      <c r="AE577" s="76">
        <v>138</v>
      </c>
      <c r="AF577" s="191">
        <v>8</v>
      </c>
      <c r="AG577" s="117">
        <v>600000019</v>
      </c>
      <c r="AH577" s="103">
        <f>справочники!$C$11</f>
        <v>0.114</v>
      </c>
      <c r="AI577" s="61">
        <f t="shared" si="713"/>
        <v>2</v>
      </c>
      <c r="AJ577" s="122">
        <f t="shared" si="714"/>
        <v>2.234</v>
      </c>
      <c r="AK577" s="37">
        <v>15</v>
      </c>
      <c r="AL577" s="38">
        <v>11</v>
      </c>
      <c r="AM577" s="40">
        <f t="shared" ref="AM577" si="813">AK577*AL577</f>
        <v>165</v>
      </c>
      <c r="AN577" s="206">
        <f t="shared" ref="AN577" si="814">IF(D577="ШТ",кол_во_инд.__упак_к*итого_г_у,ROUNDDOWN(номин.вес_нетто_г_у__кг*итого_г_у,1))</f>
        <v>1320</v>
      </c>
      <c r="AO577" s="204">
        <f t="shared" si="719"/>
        <v>1663</v>
      </c>
    </row>
    <row r="578" spans="1:41" ht="127.5" customHeight="1" x14ac:dyDescent="0.2">
      <c r="A578" s="22">
        <f t="shared" si="715"/>
        <v>7040</v>
      </c>
      <c r="B578" s="116">
        <v>1001025027040</v>
      </c>
      <c r="C578" s="48" t="s">
        <v>1015</v>
      </c>
      <c r="D578" s="49" t="s">
        <v>4</v>
      </c>
      <c r="E578" s="146" t="s">
        <v>373</v>
      </c>
      <c r="F578" s="112" t="s">
        <v>39</v>
      </c>
      <c r="G578" s="146" t="s">
        <v>6</v>
      </c>
      <c r="H578" s="58" t="s">
        <v>292</v>
      </c>
      <c r="I578" s="153" t="s">
        <v>1936</v>
      </c>
      <c r="J578" s="150" t="s">
        <v>639</v>
      </c>
      <c r="K578" s="51" t="s">
        <v>1598</v>
      </c>
      <c r="L578" s="52">
        <v>11</v>
      </c>
      <c r="M578" s="53">
        <v>12</v>
      </c>
      <c r="N578" s="54">
        <v>4</v>
      </c>
      <c r="O578" s="88" t="s">
        <v>1599</v>
      </c>
      <c r="P578" s="31" t="s">
        <v>104</v>
      </c>
      <c r="Q578" s="87">
        <v>45</v>
      </c>
      <c r="R578" s="87" t="s">
        <v>37</v>
      </c>
      <c r="S578" s="237">
        <v>4607958078714</v>
      </c>
      <c r="T578" s="332">
        <v>14607958078711</v>
      </c>
      <c r="U578" s="46">
        <v>4607958078714</v>
      </c>
      <c r="V578" s="46">
        <v>14607958078711</v>
      </c>
      <c r="W578" s="258">
        <v>200</v>
      </c>
      <c r="X578" s="68">
        <v>130</v>
      </c>
      <c r="Y578" s="68">
        <v>20</v>
      </c>
      <c r="Z578" s="65">
        <v>0.27</v>
      </c>
      <c r="AA578" s="271">
        <v>5.0000000000000001E-3</v>
      </c>
      <c r="AB578" s="66">
        <f t="shared" si="769"/>
        <v>0.27500000000000002</v>
      </c>
      <c r="AC578" s="59">
        <v>200</v>
      </c>
      <c r="AD578" s="60">
        <v>150</v>
      </c>
      <c r="AE578" s="68">
        <v>156</v>
      </c>
      <c r="AF578" s="191">
        <v>8</v>
      </c>
      <c r="AG578" s="117">
        <v>600000424</v>
      </c>
      <c r="AH578" s="104">
        <f>справочники!$C$107</f>
        <v>7.3999999999999996E-2</v>
      </c>
      <c r="AI578" s="61">
        <f t="shared" si="713"/>
        <v>2.16</v>
      </c>
      <c r="AJ578" s="122">
        <f t="shared" si="714"/>
        <v>2.274</v>
      </c>
      <c r="AK578" s="37">
        <v>30</v>
      </c>
      <c r="AL578" s="38">
        <v>10</v>
      </c>
      <c r="AM578" s="40">
        <f t="shared" si="784"/>
        <v>300</v>
      </c>
      <c r="AN578" s="206">
        <f t="shared" si="738"/>
        <v>2400</v>
      </c>
      <c r="AO578" s="204">
        <f t="shared" si="719"/>
        <v>1705</v>
      </c>
    </row>
    <row r="579" spans="1:41" ht="127.5" customHeight="1" x14ac:dyDescent="0.2">
      <c r="A579" s="22">
        <f t="shared" si="715"/>
        <v>7658</v>
      </c>
      <c r="B579" s="116">
        <v>1001025027658</v>
      </c>
      <c r="C579" s="48" t="s">
        <v>1923</v>
      </c>
      <c r="D579" s="49" t="s">
        <v>4</v>
      </c>
      <c r="E579" s="146" t="s">
        <v>373</v>
      </c>
      <c r="F579" s="112" t="s">
        <v>39</v>
      </c>
      <c r="G579" s="146" t="s">
        <v>6</v>
      </c>
      <c r="H579" s="58" t="s">
        <v>292</v>
      </c>
      <c r="I579" s="153" t="s">
        <v>387</v>
      </c>
      <c r="J579" s="150" t="s">
        <v>639</v>
      </c>
      <c r="K579" s="51" t="s">
        <v>1598</v>
      </c>
      <c r="L579" s="52">
        <v>11</v>
      </c>
      <c r="M579" s="53">
        <v>12</v>
      </c>
      <c r="N579" s="54">
        <v>4</v>
      </c>
      <c r="O579" s="88" t="s">
        <v>1599</v>
      </c>
      <c r="P579" s="31" t="s">
        <v>104</v>
      </c>
      <c r="Q579" s="87">
        <v>45</v>
      </c>
      <c r="R579" s="87" t="s">
        <v>37</v>
      </c>
      <c r="S579" s="237">
        <v>4630362182920</v>
      </c>
      <c r="T579" s="332">
        <v>14630362182927</v>
      </c>
      <c r="U579" s="46">
        <v>4630362182920</v>
      </c>
      <c r="V579" s="46">
        <v>14630362182927</v>
      </c>
      <c r="W579" s="258">
        <v>150</v>
      </c>
      <c r="X579" s="68">
        <v>154</v>
      </c>
      <c r="Y579" s="68">
        <v>28</v>
      </c>
      <c r="Z579" s="65">
        <v>0.33</v>
      </c>
      <c r="AA579" s="271">
        <v>1.9E-2</v>
      </c>
      <c r="AB579" s="66">
        <f t="shared" ref="AB579" si="815">Z579+AA579</f>
        <v>0.34900000000000003</v>
      </c>
      <c r="AC579" s="67">
        <v>315</v>
      </c>
      <c r="AD579" s="68">
        <v>168</v>
      </c>
      <c r="AE579" s="68">
        <v>248</v>
      </c>
      <c r="AF579" s="191">
        <v>8</v>
      </c>
      <c r="AG579" s="117">
        <v>600000429</v>
      </c>
      <c r="AH579" s="104">
        <f>справочники!$C$115</f>
        <v>0.14299999999999999</v>
      </c>
      <c r="AI579" s="61">
        <f t="shared" si="713"/>
        <v>2.64</v>
      </c>
      <c r="AJ579" s="122">
        <f t="shared" si="714"/>
        <v>2.9350000000000001</v>
      </c>
      <c r="AK579" s="37">
        <v>17</v>
      </c>
      <c r="AL579" s="38">
        <v>6</v>
      </c>
      <c r="AM579" s="40">
        <f t="shared" ref="AM579" si="816">AK579*AL579</f>
        <v>102</v>
      </c>
      <c r="AN579" s="206">
        <f t="shared" ref="AN579" si="817">IF(D579="ШТ",кол_во_инд.__упак_к*итого_г_у,ROUNDDOWN(номин.вес_нетто_г_у__кг*итого_г_у,1))</f>
        <v>816</v>
      </c>
      <c r="AO579" s="204">
        <f t="shared" si="719"/>
        <v>1633</v>
      </c>
    </row>
    <row r="580" spans="1:41" ht="158.44999999999999" customHeight="1" x14ac:dyDescent="0.2">
      <c r="A580" s="22">
        <f t="shared" ref="A580:A643" si="818">VALUE(RIGHT(B580,4))</f>
        <v>6853</v>
      </c>
      <c r="B580" s="116">
        <v>1001022656853</v>
      </c>
      <c r="C580" s="48" t="s">
        <v>1274</v>
      </c>
      <c r="D580" s="49" t="s">
        <v>3</v>
      </c>
      <c r="E580" s="146" t="s">
        <v>373</v>
      </c>
      <c r="F580" s="112" t="s">
        <v>39</v>
      </c>
      <c r="G580" s="224" t="s">
        <v>6</v>
      </c>
      <c r="H580" s="58" t="s">
        <v>278</v>
      </c>
      <c r="I580" s="153" t="s">
        <v>1566</v>
      </c>
      <c r="J580" s="149" t="s">
        <v>413</v>
      </c>
      <c r="K580" s="51" t="s">
        <v>1438</v>
      </c>
      <c r="L580" s="52">
        <v>10</v>
      </c>
      <c r="M580" s="53">
        <v>12</v>
      </c>
      <c r="N580" s="54">
        <v>3</v>
      </c>
      <c r="O580" s="88" t="s">
        <v>632</v>
      </c>
      <c r="P580" s="31" t="s">
        <v>104</v>
      </c>
      <c r="Q580" s="87">
        <v>50</v>
      </c>
      <c r="R580" s="87" t="s">
        <v>37</v>
      </c>
      <c r="S580" s="80">
        <v>2450727000001</v>
      </c>
      <c r="T580" s="347">
        <v>12450727000008</v>
      </c>
      <c r="U580" s="46">
        <v>4630362182005</v>
      </c>
      <c r="V580" s="46">
        <v>14630362182002</v>
      </c>
      <c r="W580" s="93">
        <v>300</v>
      </c>
      <c r="X580" s="60">
        <v>190</v>
      </c>
      <c r="Y580" s="60">
        <v>40</v>
      </c>
      <c r="Z580" s="65">
        <v>1</v>
      </c>
      <c r="AA580" s="271">
        <v>1.4999999999999999E-2</v>
      </c>
      <c r="AB580" s="66">
        <f t="shared" si="769"/>
        <v>1.0149999999999999</v>
      </c>
      <c r="AC580" s="59">
        <v>388</v>
      </c>
      <c r="AD580" s="60">
        <v>292</v>
      </c>
      <c r="AE580" s="60">
        <v>148</v>
      </c>
      <c r="AF580" s="191">
        <v>6</v>
      </c>
      <c r="AG580" s="117">
        <v>600000021</v>
      </c>
      <c r="AH580" s="104">
        <f>справочники!$C$13</f>
        <v>0.26800000000000002</v>
      </c>
      <c r="AI580" s="61">
        <f t="shared" si="713"/>
        <v>6</v>
      </c>
      <c r="AJ580" s="122">
        <f t="shared" si="714"/>
        <v>6.3579999999999997</v>
      </c>
      <c r="AK580" s="37">
        <v>8</v>
      </c>
      <c r="AL580" s="38">
        <v>10</v>
      </c>
      <c r="AM580" s="40">
        <f t="shared" si="784"/>
        <v>80</v>
      </c>
      <c r="AN580" s="214">
        <f t="shared" si="738"/>
        <v>480</v>
      </c>
      <c r="AO580" s="204">
        <f t="shared" si="719"/>
        <v>1625</v>
      </c>
    </row>
    <row r="581" spans="1:41" ht="158.44999999999999" customHeight="1" x14ac:dyDescent="0.2">
      <c r="A581" s="22">
        <f t="shared" si="818"/>
        <v>7075</v>
      </c>
      <c r="B581" s="116">
        <v>1001022657075</v>
      </c>
      <c r="C581" s="48" t="s">
        <v>1053</v>
      </c>
      <c r="D581" s="49" t="s">
        <v>3</v>
      </c>
      <c r="E581" s="146" t="s">
        <v>373</v>
      </c>
      <c r="F581" s="112" t="s">
        <v>39</v>
      </c>
      <c r="G581" s="224" t="s">
        <v>6</v>
      </c>
      <c r="H581" s="58" t="s">
        <v>278</v>
      </c>
      <c r="I581" s="153" t="s">
        <v>1566</v>
      </c>
      <c r="J581" s="149" t="s">
        <v>413</v>
      </c>
      <c r="K581" s="51" t="s">
        <v>1438</v>
      </c>
      <c r="L581" s="52">
        <v>10</v>
      </c>
      <c r="M581" s="53">
        <v>12</v>
      </c>
      <c r="N581" s="54">
        <v>3</v>
      </c>
      <c r="O581" s="88" t="s">
        <v>632</v>
      </c>
      <c r="P581" s="31" t="s">
        <v>104</v>
      </c>
      <c r="Q581" s="87">
        <v>50</v>
      </c>
      <c r="R581" s="87" t="s">
        <v>37</v>
      </c>
      <c r="S581" s="80">
        <v>2909782000001</v>
      </c>
      <c r="T581" s="347">
        <v>12909782000008</v>
      </c>
      <c r="U581" s="46">
        <v>4630362182005</v>
      </c>
      <c r="V581" s="46">
        <v>14630362182002</v>
      </c>
      <c r="W581" s="93">
        <v>300</v>
      </c>
      <c r="X581" s="60">
        <v>190</v>
      </c>
      <c r="Y581" s="60">
        <v>50</v>
      </c>
      <c r="Z581" s="65">
        <v>1.5</v>
      </c>
      <c r="AA581" s="271">
        <v>1.4999999999999999E-2</v>
      </c>
      <c r="AB581" s="66">
        <f t="shared" ref="AB581" si="819">Z581+AA581</f>
        <v>1.5149999999999999</v>
      </c>
      <c r="AC581" s="59">
        <v>388</v>
      </c>
      <c r="AD581" s="60">
        <v>292</v>
      </c>
      <c r="AE581" s="60">
        <v>148</v>
      </c>
      <c r="AF581" s="191">
        <v>4</v>
      </c>
      <c r="AG581" s="117">
        <v>600000021</v>
      </c>
      <c r="AH581" s="104">
        <f>справочники!$C$13</f>
        <v>0.26800000000000002</v>
      </c>
      <c r="AI581" s="61">
        <f t="shared" si="713"/>
        <v>6</v>
      </c>
      <c r="AJ581" s="122">
        <f t="shared" si="714"/>
        <v>6.3279999999999994</v>
      </c>
      <c r="AK581" s="37">
        <v>8</v>
      </c>
      <c r="AL581" s="38">
        <v>10</v>
      </c>
      <c r="AM581" s="40">
        <f t="shared" ref="AM581" si="820">AK581*AL581</f>
        <v>80</v>
      </c>
      <c r="AN581" s="214">
        <f t="shared" ref="AN581" si="821">IF(D581="ШТ",кол_во_инд.__упак_к*итого_г_у,ROUNDDOWN(номин.вес_нетто_г_у__кг*итого_г_у,1))</f>
        <v>480</v>
      </c>
      <c r="AO581" s="204">
        <f t="shared" si="719"/>
        <v>1625</v>
      </c>
    </row>
    <row r="582" spans="1:41" ht="160.15" customHeight="1" x14ac:dyDescent="0.2">
      <c r="A582" s="22">
        <f t="shared" si="818"/>
        <v>7076</v>
      </c>
      <c r="B582" s="116">
        <v>1001022657076</v>
      </c>
      <c r="C582" s="48" t="s">
        <v>1054</v>
      </c>
      <c r="D582" s="49" t="s">
        <v>3</v>
      </c>
      <c r="E582" s="146" t="s">
        <v>373</v>
      </c>
      <c r="F582" s="112" t="s">
        <v>39</v>
      </c>
      <c r="G582" s="224" t="s">
        <v>6</v>
      </c>
      <c r="H582" s="58" t="s">
        <v>278</v>
      </c>
      <c r="I582" s="153" t="s">
        <v>1566</v>
      </c>
      <c r="J582" s="149" t="s">
        <v>413</v>
      </c>
      <c r="K582" s="51" t="s">
        <v>1438</v>
      </c>
      <c r="L582" s="52">
        <v>10</v>
      </c>
      <c r="M582" s="53">
        <v>12</v>
      </c>
      <c r="N582" s="54">
        <v>3</v>
      </c>
      <c r="O582" s="88" t="s">
        <v>632</v>
      </c>
      <c r="P582" s="31" t="s">
        <v>104</v>
      </c>
      <c r="Q582" s="87">
        <v>50</v>
      </c>
      <c r="R582" s="87" t="s">
        <v>37</v>
      </c>
      <c r="S582" s="80">
        <v>2761910000006</v>
      </c>
      <c r="T582" s="347">
        <v>12761910000003</v>
      </c>
      <c r="U582" s="46">
        <v>4630362182005</v>
      </c>
      <c r="V582" s="46">
        <v>14630362182002</v>
      </c>
      <c r="W582" s="93">
        <v>300</v>
      </c>
      <c r="X582" s="60">
        <v>190</v>
      </c>
      <c r="Y582" s="60">
        <v>50</v>
      </c>
      <c r="Z582" s="65">
        <v>1.5</v>
      </c>
      <c r="AA582" s="271">
        <v>1.4999999999999999E-2</v>
      </c>
      <c r="AB582" s="66">
        <f t="shared" ref="AB582" si="822">Z582+AA582</f>
        <v>1.5149999999999999</v>
      </c>
      <c r="AC582" s="59">
        <v>388</v>
      </c>
      <c r="AD582" s="60">
        <v>292</v>
      </c>
      <c r="AE582" s="60">
        <v>148</v>
      </c>
      <c r="AF582" s="191">
        <v>4</v>
      </c>
      <c r="AG582" s="117">
        <v>600000021</v>
      </c>
      <c r="AH582" s="104">
        <f>справочники!$C$13</f>
        <v>0.26800000000000002</v>
      </c>
      <c r="AI582" s="61">
        <f t="shared" si="713"/>
        <v>6</v>
      </c>
      <c r="AJ582" s="122">
        <f t="shared" si="714"/>
        <v>6.3279999999999994</v>
      </c>
      <c r="AK582" s="37">
        <v>8</v>
      </c>
      <c r="AL582" s="38">
        <v>10</v>
      </c>
      <c r="AM582" s="40">
        <f t="shared" ref="AM582" si="823">AK582*AL582</f>
        <v>80</v>
      </c>
      <c r="AN582" s="214">
        <f t="shared" ref="AN582" si="824">IF(D582="ШТ",кол_во_инд.__упак_к*итого_г_у,ROUNDDOWN(номин.вес_нетто_г_у__кг*итого_г_у,1))</f>
        <v>480</v>
      </c>
      <c r="AO582" s="204">
        <f t="shared" si="719"/>
        <v>1625</v>
      </c>
    </row>
    <row r="583" spans="1:41" ht="115.5" customHeight="1" x14ac:dyDescent="0.2">
      <c r="A583" s="22">
        <f t="shared" si="818"/>
        <v>7079</v>
      </c>
      <c r="B583" s="116">
        <v>1001020967079</v>
      </c>
      <c r="C583" s="48" t="s">
        <v>1056</v>
      </c>
      <c r="D583" s="49" t="s">
        <v>3</v>
      </c>
      <c r="E583" s="146" t="s">
        <v>373</v>
      </c>
      <c r="F583" s="112" t="s">
        <v>39</v>
      </c>
      <c r="G583" s="224" t="s">
        <v>6</v>
      </c>
      <c r="H583" s="49" t="s">
        <v>278</v>
      </c>
      <c r="I583" s="153" t="s">
        <v>380</v>
      </c>
      <c r="J583" s="149" t="s">
        <v>413</v>
      </c>
      <c r="K583" s="51" t="s">
        <v>836</v>
      </c>
      <c r="L583" s="52">
        <v>10</v>
      </c>
      <c r="M583" s="53">
        <v>19</v>
      </c>
      <c r="N583" s="54"/>
      <c r="O583" s="88" t="s">
        <v>272</v>
      </c>
      <c r="P583" s="31" t="s">
        <v>104</v>
      </c>
      <c r="Q583" s="87">
        <v>50</v>
      </c>
      <c r="R583" s="87" t="s">
        <v>78</v>
      </c>
      <c r="S583" s="234">
        <v>2800035000000</v>
      </c>
      <c r="T583" s="338">
        <v>12800035000007</v>
      </c>
      <c r="U583" s="46">
        <v>4630362180056</v>
      </c>
      <c r="V583" s="46">
        <v>14630362180053</v>
      </c>
      <c r="W583" s="258">
        <v>300</v>
      </c>
      <c r="X583" s="68">
        <v>190</v>
      </c>
      <c r="Y583" s="68">
        <v>40</v>
      </c>
      <c r="Z583" s="65">
        <v>1.0669999999999999</v>
      </c>
      <c r="AA583" s="271">
        <v>1.4999999999999999E-2</v>
      </c>
      <c r="AB583" s="66">
        <f t="shared" ref="AB583" si="825">Z583+AA583</f>
        <v>1.0819999999999999</v>
      </c>
      <c r="AC583" s="59">
        <v>388</v>
      </c>
      <c r="AD583" s="60">
        <v>292</v>
      </c>
      <c r="AE583" s="60">
        <v>148</v>
      </c>
      <c r="AF583" s="191">
        <v>6</v>
      </c>
      <c r="AG583" s="117">
        <v>600000021</v>
      </c>
      <c r="AH583" s="104">
        <f>справочники!$C$13</f>
        <v>0.26800000000000002</v>
      </c>
      <c r="AI583" s="61">
        <f t="shared" si="713"/>
        <v>6.4</v>
      </c>
      <c r="AJ583" s="122">
        <f t="shared" si="714"/>
        <v>6.7599999999999989</v>
      </c>
      <c r="AK583" s="37">
        <v>8</v>
      </c>
      <c r="AL583" s="38">
        <v>10</v>
      </c>
      <c r="AM583" s="40">
        <f t="shared" ref="AM583" si="826">AK583*AL583</f>
        <v>80</v>
      </c>
      <c r="AN583" s="214">
        <f t="shared" ref="AN583" si="827">IF(D583="ШТ",кол_во_инд.__упак_к*итого_г_у,ROUNDDOWN(номин.вес_нетто_г_у__кг*итого_г_у,1))</f>
        <v>512</v>
      </c>
      <c r="AO583" s="204">
        <f t="shared" si="719"/>
        <v>1625</v>
      </c>
    </row>
    <row r="584" spans="1:41" ht="127.5" customHeight="1" x14ac:dyDescent="0.2">
      <c r="A584" s="22">
        <f t="shared" si="818"/>
        <v>6765</v>
      </c>
      <c r="B584" s="116">
        <v>1001023696765</v>
      </c>
      <c r="C584" s="48" t="s">
        <v>803</v>
      </c>
      <c r="D584" s="49" t="s">
        <v>4</v>
      </c>
      <c r="E584" s="146" t="s">
        <v>373</v>
      </c>
      <c r="F584" s="112" t="s">
        <v>39</v>
      </c>
      <c r="G584" s="146" t="s">
        <v>2</v>
      </c>
      <c r="H584" s="49" t="s">
        <v>1</v>
      </c>
      <c r="I584" s="153" t="s">
        <v>1566</v>
      </c>
      <c r="J584" s="149" t="s">
        <v>408</v>
      </c>
      <c r="K584" s="51" t="s">
        <v>1588</v>
      </c>
      <c r="L584" s="52">
        <v>14</v>
      </c>
      <c r="M584" s="53">
        <v>15</v>
      </c>
      <c r="N584" s="54">
        <v>3</v>
      </c>
      <c r="O584" s="88" t="s">
        <v>252</v>
      </c>
      <c r="P584" s="31" t="s">
        <v>104</v>
      </c>
      <c r="Q584" s="87">
        <v>45</v>
      </c>
      <c r="R584" s="49" t="s">
        <v>37</v>
      </c>
      <c r="S584" s="189">
        <v>4607958077069</v>
      </c>
      <c r="T584" s="337">
        <v>14607958077066</v>
      </c>
      <c r="U584" s="46">
        <v>4607958077069</v>
      </c>
      <c r="V584" s="46">
        <v>14607958077066</v>
      </c>
      <c r="W584" s="258">
        <v>220</v>
      </c>
      <c r="X584" s="68">
        <v>135</v>
      </c>
      <c r="Y584" s="68">
        <v>37</v>
      </c>
      <c r="Z584" s="65">
        <v>0.36</v>
      </c>
      <c r="AA584" s="271">
        <v>1.7000000000000001E-2</v>
      </c>
      <c r="AB584" s="66">
        <f t="shared" si="769"/>
        <v>0.377</v>
      </c>
      <c r="AC584" s="59">
        <v>248</v>
      </c>
      <c r="AD584" s="60">
        <v>149</v>
      </c>
      <c r="AE584" s="68">
        <v>233</v>
      </c>
      <c r="AF584" s="191">
        <v>6</v>
      </c>
      <c r="AG584" s="117">
        <v>600000416</v>
      </c>
      <c r="AH584" s="104">
        <f>справочники!$C$126</f>
        <v>0.16500000000000001</v>
      </c>
      <c r="AI584" s="61">
        <f t="shared" si="713"/>
        <v>2.16</v>
      </c>
      <c r="AJ584" s="122">
        <f t="shared" si="714"/>
        <v>2.427</v>
      </c>
      <c r="AK584" s="37">
        <v>24</v>
      </c>
      <c r="AL584" s="38">
        <v>6</v>
      </c>
      <c r="AM584" s="40">
        <f t="shared" si="784"/>
        <v>144</v>
      </c>
      <c r="AN584" s="206">
        <f t="shared" ref="AN584:AN611" si="828">IF(D584="ШТ",кол_во_инд.__упак_к*итого_г_у,ROUNDDOWN(номин.вес_нетто_г_у__кг*итого_г_у,1))</f>
        <v>864</v>
      </c>
      <c r="AO584" s="204">
        <f t="shared" si="719"/>
        <v>1543</v>
      </c>
    </row>
    <row r="585" spans="1:41" ht="133.15" customHeight="1" x14ac:dyDescent="0.2">
      <c r="A585" s="22">
        <f t="shared" si="818"/>
        <v>7520</v>
      </c>
      <c r="B585" s="116">
        <v>1001023697520</v>
      </c>
      <c r="C585" s="48" t="s">
        <v>1635</v>
      </c>
      <c r="D585" s="49" t="s">
        <v>4</v>
      </c>
      <c r="E585" s="146" t="s">
        <v>373</v>
      </c>
      <c r="F585" s="112" t="s">
        <v>39</v>
      </c>
      <c r="G585" s="146" t="s">
        <v>2</v>
      </c>
      <c r="H585" s="49" t="s">
        <v>278</v>
      </c>
      <c r="I585" s="153" t="s">
        <v>1566</v>
      </c>
      <c r="J585" s="149" t="s">
        <v>408</v>
      </c>
      <c r="K585" s="51" t="s">
        <v>1588</v>
      </c>
      <c r="L585" s="52">
        <v>14</v>
      </c>
      <c r="M585" s="53">
        <v>15</v>
      </c>
      <c r="N585" s="54">
        <v>3</v>
      </c>
      <c r="O585" s="88" t="s">
        <v>252</v>
      </c>
      <c r="P585" s="31" t="s">
        <v>104</v>
      </c>
      <c r="Q585" s="87">
        <v>45</v>
      </c>
      <c r="R585" s="49" t="s">
        <v>37</v>
      </c>
      <c r="S585" s="189">
        <v>4630362182159</v>
      </c>
      <c r="T585" s="337">
        <v>14630362182156</v>
      </c>
      <c r="U585" s="46">
        <v>4630362182159</v>
      </c>
      <c r="V585" s="46">
        <v>14630362182156</v>
      </c>
      <c r="W585" s="258">
        <v>185</v>
      </c>
      <c r="X585" s="68">
        <v>130</v>
      </c>
      <c r="Y585" s="68">
        <v>20</v>
      </c>
      <c r="Z585" s="65">
        <v>0.36</v>
      </c>
      <c r="AA585" s="271">
        <v>5.0000000000000001E-3</v>
      </c>
      <c r="AB585" s="66">
        <f t="shared" ref="AB585" si="829">Z585+AA585</f>
        <v>0.36499999999999999</v>
      </c>
      <c r="AC585" s="59">
        <v>348</v>
      </c>
      <c r="AD585" s="60">
        <v>153</v>
      </c>
      <c r="AE585" s="60">
        <v>108</v>
      </c>
      <c r="AF585" s="191">
        <v>8</v>
      </c>
      <c r="AG585" s="117">
        <v>600000033</v>
      </c>
      <c r="AH585" s="104">
        <f>справочники!$C$25</f>
        <v>0.104</v>
      </c>
      <c r="AI585" s="61">
        <f t="shared" si="713"/>
        <v>2.88</v>
      </c>
      <c r="AJ585" s="122">
        <f t="shared" si="714"/>
        <v>3.024</v>
      </c>
      <c r="AK585" s="37">
        <v>16</v>
      </c>
      <c r="AL585" s="38">
        <v>13</v>
      </c>
      <c r="AM585" s="40">
        <f t="shared" ref="AM585" si="830">AK585*AL585</f>
        <v>208</v>
      </c>
      <c r="AN585" s="206">
        <f t="shared" ref="AN585" si="831">IF(D585="ШТ",кол_во_инд.__упак_к*итого_г_у,ROUNDDOWN(номин.вес_нетто_г_у__кг*итого_г_у,1))</f>
        <v>1664</v>
      </c>
      <c r="AO585" s="204">
        <f t="shared" si="719"/>
        <v>1549</v>
      </c>
    </row>
    <row r="586" spans="1:41" ht="132" customHeight="1" x14ac:dyDescent="0.2">
      <c r="A586" s="22">
        <f t="shared" si="818"/>
        <v>6996</v>
      </c>
      <c r="B586" s="116">
        <v>1001023696996</v>
      </c>
      <c r="C586" s="48" t="s">
        <v>1000</v>
      </c>
      <c r="D586" s="49" t="s">
        <v>4</v>
      </c>
      <c r="E586" s="146" t="s">
        <v>373</v>
      </c>
      <c r="F586" s="112" t="s">
        <v>39</v>
      </c>
      <c r="G586" s="146" t="s">
        <v>2</v>
      </c>
      <c r="H586" s="49" t="s">
        <v>1</v>
      </c>
      <c r="I586" s="153" t="s">
        <v>1566</v>
      </c>
      <c r="J586" s="149" t="s">
        <v>408</v>
      </c>
      <c r="K586" s="51" t="s">
        <v>1588</v>
      </c>
      <c r="L586" s="52">
        <v>14</v>
      </c>
      <c r="M586" s="53">
        <v>15</v>
      </c>
      <c r="N586" s="54">
        <v>3</v>
      </c>
      <c r="O586" s="88" t="s">
        <v>252</v>
      </c>
      <c r="P586" s="31" t="s">
        <v>104</v>
      </c>
      <c r="Q586" s="87">
        <v>45</v>
      </c>
      <c r="R586" s="49" t="s">
        <v>37</v>
      </c>
      <c r="S586" s="189">
        <v>4607958078721</v>
      </c>
      <c r="T586" s="337">
        <v>14607958078728</v>
      </c>
      <c r="U586" s="46">
        <v>4607958078721</v>
      </c>
      <c r="V586" s="46">
        <v>14607958078728</v>
      </c>
      <c r="W586" s="258">
        <v>300</v>
      </c>
      <c r="X586" s="68">
        <v>190</v>
      </c>
      <c r="Y586" s="68">
        <v>35</v>
      </c>
      <c r="Z586" s="65">
        <v>0.72</v>
      </c>
      <c r="AA586" s="271">
        <v>1.4999999999999999E-2</v>
      </c>
      <c r="AB586" s="66">
        <f t="shared" si="769"/>
        <v>0.73499999999999999</v>
      </c>
      <c r="AC586" s="59">
        <v>315</v>
      </c>
      <c r="AD586" s="60">
        <v>168</v>
      </c>
      <c r="AE586" s="60">
        <v>248</v>
      </c>
      <c r="AF586" s="191">
        <v>4</v>
      </c>
      <c r="AG586" s="117">
        <v>600000429</v>
      </c>
      <c r="AH586" s="104">
        <f>справочники!$C$115</f>
        <v>0.14299999999999999</v>
      </c>
      <c r="AI586" s="61">
        <f t="shared" si="713"/>
        <v>2.88</v>
      </c>
      <c r="AJ586" s="122">
        <f t="shared" si="714"/>
        <v>3.0829999999999997</v>
      </c>
      <c r="AK586" s="37">
        <v>17</v>
      </c>
      <c r="AL586" s="38">
        <v>6</v>
      </c>
      <c r="AM586" s="40">
        <f t="shared" si="784"/>
        <v>102</v>
      </c>
      <c r="AN586" s="206">
        <f t="shared" si="828"/>
        <v>408</v>
      </c>
      <c r="AO586" s="204">
        <f t="shared" si="719"/>
        <v>1633</v>
      </c>
    </row>
    <row r="587" spans="1:41" ht="132.6" customHeight="1" x14ac:dyDescent="0.2">
      <c r="A587" s="22">
        <f t="shared" si="818"/>
        <v>6767</v>
      </c>
      <c r="B587" s="116">
        <v>1001023696767</v>
      </c>
      <c r="C587" s="48" t="s">
        <v>780</v>
      </c>
      <c r="D587" s="49" t="s">
        <v>3</v>
      </c>
      <c r="E587" s="146" t="s">
        <v>373</v>
      </c>
      <c r="F587" s="112" t="s">
        <v>39</v>
      </c>
      <c r="G587" s="146" t="s">
        <v>2</v>
      </c>
      <c r="H587" s="49" t="s">
        <v>1</v>
      </c>
      <c r="I587" s="153" t="s">
        <v>1566</v>
      </c>
      <c r="J587" s="149" t="s">
        <v>408</v>
      </c>
      <c r="K587" s="51" t="s">
        <v>1588</v>
      </c>
      <c r="L587" s="52">
        <v>14</v>
      </c>
      <c r="M587" s="53">
        <v>15</v>
      </c>
      <c r="N587" s="54">
        <v>3</v>
      </c>
      <c r="O587" s="88" t="s">
        <v>252</v>
      </c>
      <c r="P587" s="31" t="s">
        <v>104</v>
      </c>
      <c r="Q587" s="87">
        <v>45</v>
      </c>
      <c r="R587" s="49" t="s">
        <v>37</v>
      </c>
      <c r="S587" s="189">
        <v>2800819000004</v>
      </c>
      <c r="T587" s="337">
        <v>12800819000001</v>
      </c>
      <c r="U587" s="46">
        <v>4630362182029</v>
      </c>
      <c r="V587" s="46">
        <v>14630362182026</v>
      </c>
      <c r="W587" s="258">
        <v>300</v>
      </c>
      <c r="X587" s="68">
        <v>190</v>
      </c>
      <c r="Y587" s="68">
        <v>65</v>
      </c>
      <c r="Z587" s="65">
        <v>1.04</v>
      </c>
      <c r="AA587" s="271">
        <v>1.4999999999999999E-2</v>
      </c>
      <c r="AB587" s="66">
        <f t="shared" ref="AB587:AB611" si="832">Z587+AA587</f>
        <v>1.0549999999999999</v>
      </c>
      <c r="AC587" s="59">
        <v>315</v>
      </c>
      <c r="AD587" s="60">
        <v>168</v>
      </c>
      <c r="AE587" s="60">
        <v>248</v>
      </c>
      <c r="AF587" s="191">
        <v>4</v>
      </c>
      <c r="AG587" s="117">
        <v>600000429</v>
      </c>
      <c r="AH587" s="104">
        <f>справочники!$C$115</f>
        <v>0.14299999999999999</v>
      </c>
      <c r="AI587" s="61">
        <f t="shared" si="713"/>
        <v>4.16</v>
      </c>
      <c r="AJ587" s="122">
        <f t="shared" si="714"/>
        <v>4.3629999999999995</v>
      </c>
      <c r="AK587" s="37">
        <v>17</v>
      </c>
      <c r="AL587" s="38">
        <v>6</v>
      </c>
      <c r="AM587" s="40">
        <f t="shared" si="784"/>
        <v>102</v>
      </c>
      <c r="AN587" s="214">
        <f t="shared" si="828"/>
        <v>424.3</v>
      </c>
      <c r="AO587" s="204">
        <f t="shared" si="719"/>
        <v>1633</v>
      </c>
    </row>
    <row r="588" spans="1:41" ht="133.15" customHeight="1" x14ac:dyDescent="0.2">
      <c r="A588" s="22">
        <f t="shared" si="818"/>
        <v>7595</v>
      </c>
      <c r="B588" s="116">
        <v>1001023697595</v>
      </c>
      <c r="C588" s="48" t="s">
        <v>1752</v>
      </c>
      <c r="D588" s="49" t="s">
        <v>3</v>
      </c>
      <c r="E588" s="146" t="s">
        <v>373</v>
      </c>
      <c r="F588" s="112" t="s">
        <v>39</v>
      </c>
      <c r="G588" s="146" t="s">
        <v>2</v>
      </c>
      <c r="H588" s="49" t="s">
        <v>1</v>
      </c>
      <c r="I588" s="153" t="s">
        <v>1566</v>
      </c>
      <c r="J588" s="149" t="s">
        <v>408</v>
      </c>
      <c r="K588" s="51" t="s">
        <v>1588</v>
      </c>
      <c r="L588" s="52">
        <v>14</v>
      </c>
      <c r="M588" s="53">
        <v>15</v>
      </c>
      <c r="N588" s="54">
        <v>3</v>
      </c>
      <c r="O588" s="88" t="s">
        <v>252</v>
      </c>
      <c r="P588" s="31" t="s">
        <v>104</v>
      </c>
      <c r="Q588" s="87">
        <v>45</v>
      </c>
      <c r="R588" s="49" t="s">
        <v>37</v>
      </c>
      <c r="S588" s="189">
        <v>2800055000004</v>
      </c>
      <c r="T588" s="337">
        <v>12800055000001</v>
      </c>
      <c r="U588" s="46">
        <v>4630362182029</v>
      </c>
      <c r="V588" s="46">
        <v>14630362182026</v>
      </c>
      <c r="W588" s="258">
        <v>300</v>
      </c>
      <c r="X588" s="68">
        <v>190</v>
      </c>
      <c r="Y588" s="68">
        <v>65</v>
      </c>
      <c r="Z588" s="65">
        <v>1.04</v>
      </c>
      <c r="AA588" s="271">
        <v>1.4999999999999999E-2</v>
      </c>
      <c r="AB588" s="66">
        <f t="shared" ref="AB588" si="833">Z588+AA588</f>
        <v>1.0549999999999999</v>
      </c>
      <c r="AC588" s="59">
        <v>315</v>
      </c>
      <c r="AD588" s="60">
        <v>168</v>
      </c>
      <c r="AE588" s="60">
        <v>248</v>
      </c>
      <c r="AF588" s="191">
        <v>4</v>
      </c>
      <c r="AG588" s="117">
        <v>600000429</v>
      </c>
      <c r="AH588" s="104">
        <f>справочники!$C$115</f>
        <v>0.14299999999999999</v>
      </c>
      <c r="AI588" s="61">
        <f t="shared" si="713"/>
        <v>4.16</v>
      </c>
      <c r="AJ588" s="122">
        <f t="shared" si="714"/>
        <v>4.3629999999999995</v>
      </c>
      <c r="AK588" s="37">
        <v>17</v>
      </c>
      <c r="AL588" s="38">
        <v>6</v>
      </c>
      <c r="AM588" s="40">
        <f t="shared" ref="AM588" si="834">AK588*AL588</f>
        <v>102</v>
      </c>
      <c r="AN588" s="214">
        <f t="shared" ref="AN588" si="835">IF(D588="ШТ",кол_во_инд.__упак_к*итого_г_у,ROUNDDOWN(номин.вес_нетто_г_у__кг*итого_г_у,1))</f>
        <v>424.3</v>
      </c>
      <c r="AO588" s="204">
        <f t="shared" si="719"/>
        <v>1633</v>
      </c>
    </row>
    <row r="589" spans="1:41" ht="178.5" x14ac:dyDescent="0.2">
      <c r="A589" s="22">
        <f t="shared" si="818"/>
        <v>6764</v>
      </c>
      <c r="B589" s="116">
        <v>1001020846764</v>
      </c>
      <c r="C589" s="48" t="s">
        <v>777</v>
      </c>
      <c r="D589" s="49" t="s">
        <v>3</v>
      </c>
      <c r="E589" s="146" t="s">
        <v>373</v>
      </c>
      <c r="F589" s="112" t="s">
        <v>39</v>
      </c>
      <c r="G589" s="146" t="s">
        <v>2</v>
      </c>
      <c r="H589" s="58" t="s">
        <v>278</v>
      </c>
      <c r="I589" s="153" t="s">
        <v>1566</v>
      </c>
      <c r="J589" s="149" t="s">
        <v>408</v>
      </c>
      <c r="K589" s="51" t="s">
        <v>1597</v>
      </c>
      <c r="L589" s="52">
        <v>12</v>
      </c>
      <c r="M589" s="53">
        <v>10</v>
      </c>
      <c r="N589" s="54">
        <v>4</v>
      </c>
      <c r="O589" s="88" t="s">
        <v>876</v>
      </c>
      <c r="P589" s="31" t="s">
        <v>104</v>
      </c>
      <c r="Q589" s="87">
        <v>45</v>
      </c>
      <c r="R589" s="49" t="s">
        <v>37</v>
      </c>
      <c r="S589" s="189">
        <v>2989630000001</v>
      </c>
      <c r="T589" s="337">
        <v>12989630000008</v>
      </c>
      <c r="U589" s="46">
        <v>4607958070473</v>
      </c>
      <c r="V589" s="46">
        <v>14607958070470</v>
      </c>
      <c r="W589" s="258">
        <v>300</v>
      </c>
      <c r="X589" s="68">
        <v>190</v>
      </c>
      <c r="Y589" s="68">
        <v>40</v>
      </c>
      <c r="Z589" s="65">
        <v>1</v>
      </c>
      <c r="AA589" s="271">
        <v>1.4999999999999999E-2</v>
      </c>
      <c r="AB589" s="66">
        <f t="shared" si="832"/>
        <v>1.0149999999999999</v>
      </c>
      <c r="AC589" s="59">
        <v>292</v>
      </c>
      <c r="AD589" s="60">
        <v>178</v>
      </c>
      <c r="AE589" s="60">
        <v>178</v>
      </c>
      <c r="AF589" s="191">
        <v>4</v>
      </c>
      <c r="AG589" s="117">
        <v>600000029</v>
      </c>
      <c r="AH589" s="104">
        <f>справочники!$C$21</f>
        <v>0.125</v>
      </c>
      <c r="AI589" s="61">
        <f t="shared" si="713"/>
        <v>4</v>
      </c>
      <c r="AJ589" s="122">
        <f t="shared" si="714"/>
        <v>4.1849999999999996</v>
      </c>
      <c r="AK589" s="37">
        <v>16</v>
      </c>
      <c r="AL589" s="38">
        <v>8</v>
      </c>
      <c r="AM589" s="40">
        <f t="shared" si="784"/>
        <v>128</v>
      </c>
      <c r="AN589" s="214">
        <f t="shared" si="828"/>
        <v>512</v>
      </c>
      <c r="AO589" s="204">
        <f t="shared" si="719"/>
        <v>1569</v>
      </c>
    </row>
    <row r="590" spans="1:41" ht="178.5" x14ac:dyDescent="0.2">
      <c r="A590" s="22">
        <f t="shared" si="818"/>
        <v>6762</v>
      </c>
      <c r="B590" s="116">
        <v>1001020846762</v>
      </c>
      <c r="C590" s="48" t="s">
        <v>779</v>
      </c>
      <c r="D590" s="49" t="s">
        <v>4</v>
      </c>
      <c r="E590" s="146" t="s">
        <v>373</v>
      </c>
      <c r="F590" s="112" t="s">
        <v>39</v>
      </c>
      <c r="G590" s="146" t="s">
        <v>2</v>
      </c>
      <c r="H590" s="49" t="s">
        <v>278</v>
      </c>
      <c r="I590" s="153" t="s">
        <v>1566</v>
      </c>
      <c r="J590" s="149" t="s">
        <v>408</v>
      </c>
      <c r="K590" s="51" t="s">
        <v>1597</v>
      </c>
      <c r="L590" s="52">
        <v>12</v>
      </c>
      <c r="M590" s="53">
        <v>10</v>
      </c>
      <c r="N590" s="54">
        <v>4</v>
      </c>
      <c r="O590" s="88" t="s">
        <v>876</v>
      </c>
      <c r="P590" s="31" t="s">
        <v>104</v>
      </c>
      <c r="Q590" s="87">
        <v>45</v>
      </c>
      <c r="R590" s="49" t="s">
        <v>37</v>
      </c>
      <c r="S590" s="189">
        <v>4607958077045</v>
      </c>
      <c r="T590" s="337">
        <v>14607958077042</v>
      </c>
      <c r="U590" s="46">
        <v>4607958077045</v>
      </c>
      <c r="V590" s="46">
        <v>14607958077042</v>
      </c>
      <c r="W590" s="258">
        <v>150</v>
      </c>
      <c r="X590" s="68">
        <v>154</v>
      </c>
      <c r="Y590" s="68">
        <v>45</v>
      </c>
      <c r="Z590" s="65">
        <v>0.41</v>
      </c>
      <c r="AA590" s="271">
        <v>1.4999999999999999E-2</v>
      </c>
      <c r="AB590" s="66">
        <f t="shared" si="832"/>
        <v>0.42499999999999999</v>
      </c>
      <c r="AC590" s="67">
        <v>315</v>
      </c>
      <c r="AD590" s="68">
        <v>168</v>
      </c>
      <c r="AE590" s="68">
        <v>248</v>
      </c>
      <c r="AF590" s="191">
        <v>8</v>
      </c>
      <c r="AG590" s="117">
        <v>600000429</v>
      </c>
      <c r="AH590" s="105">
        <f>справочники!$C$115</f>
        <v>0.14299999999999999</v>
      </c>
      <c r="AI590" s="61">
        <f t="shared" si="713"/>
        <v>3.28</v>
      </c>
      <c r="AJ590" s="122">
        <f t="shared" si="714"/>
        <v>3.5429999999999997</v>
      </c>
      <c r="AK590" s="37">
        <v>17</v>
      </c>
      <c r="AL590" s="38">
        <v>6</v>
      </c>
      <c r="AM590" s="40">
        <f t="shared" si="784"/>
        <v>102</v>
      </c>
      <c r="AN590" s="206">
        <f t="shared" si="828"/>
        <v>816</v>
      </c>
      <c r="AO590" s="204">
        <f t="shared" si="719"/>
        <v>1633</v>
      </c>
    </row>
    <row r="591" spans="1:41" ht="117.6" customHeight="1" x14ac:dyDescent="0.2">
      <c r="A591" s="22">
        <f t="shared" si="818"/>
        <v>6530</v>
      </c>
      <c r="B591" s="116">
        <v>1001024976530</v>
      </c>
      <c r="C591" s="48" t="s">
        <v>607</v>
      </c>
      <c r="D591" s="49" t="s">
        <v>4</v>
      </c>
      <c r="E591" s="146" t="s">
        <v>373</v>
      </c>
      <c r="F591" s="112" t="s">
        <v>39</v>
      </c>
      <c r="G591" s="224" t="s">
        <v>6</v>
      </c>
      <c r="H591" s="58" t="s">
        <v>1118</v>
      </c>
      <c r="I591" s="153" t="s">
        <v>1936</v>
      </c>
      <c r="J591" s="149" t="s">
        <v>639</v>
      </c>
      <c r="K591" s="71" t="s">
        <v>783</v>
      </c>
      <c r="L591" s="72">
        <v>7</v>
      </c>
      <c r="M591" s="73">
        <v>16</v>
      </c>
      <c r="N591" s="74">
        <v>4</v>
      </c>
      <c r="O591" s="89" t="s">
        <v>281</v>
      </c>
      <c r="P591" s="31" t="s">
        <v>104</v>
      </c>
      <c r="Q591" s="87">
        <v>45</v>
      </c>
      <c r="R591" s="82" t="s">
        <v>37</v>
      </c>
      <c r="S591" s="80">
        <v>4607958075591</v>
      </c>
      <c r="T591" s="347">
        <v>14607958075598</v>
      </c>
      <c r="U591" s="46">
        <v>4607958075591</v>
      </c>
      <c r="V591" s="46">
        <v>14607958075598</v>
      </c>
      <c r="W591" s="93">
        <v>300</v>
      </c>
      <c r="X591" s="60">
        <v>190</v>
      </c>
      <c r="Y591" s="60">
        <v>43</v>
      </c>
      <c r="Z591" s="65">
        <v>0.8</v>
      </c>
      <c r="AA591" s="271">
        <v>1.2E-2</v>
      </c>
      <c r="AB591" s="66">
        <f t="shared" si="832"/>
        <v>0.81200000000000006</v>
      </c>
      <c r="AC591" s="59">
        <v>315</v>
      </c>
      <c r="AD591" s="60">
        <v>168</v>
      </c>
      <c r="AE591" s="60">
        <v>248</v>
      </c>
      <c r="AF591" s="191">
        <v>5</v>
      </c>
      <c r="AG591" s="117">
        <v>600000429</v>
      </c>
      <c r="AH591" s="104">
        <f>справочники!$C$115</f>
        <v>0.14299999999999999</v>
      </c>
      <c r="AI591" s="61">
        <f t="shared" ref="AI591:AI629" si="836">ROUNDDOWN(номин.вес_нетто__кг*кол_во_инд.__упак_к,2)</f>
        <v>4</v>
      </c>
      <c r="AJ591" s="122">
        <f t="shared" ref="AJ591:AJ629" si="837">(номин.вес_брутто__кг*кол_во_инд.__упак_к)+вес_короба__кг</f>
        <v>4.2030000000000003</v>
      </c>
      <c r="AK591" s="37">
        <v>17</v>
      </c>
      <c r="AL591" s="38">
        <v>6</v>
      </c>
      <c r="AM591" s="40">
        <f t="shared" si="784"/>
        <v>102</v>
      </c>
      <c r="AN591" s="135">
        <f t="shared" si="828"/>
        <v>510</v>
      </c>
      <c r="AO591" s="204">
        <f t="shared" si="719"/>
        <v>1633</v>
      </c>
    </row>
    <row r="592" spans="1:41" ht="117.6" customHeight="1" x14ac:dyDescent="0.2">
      <c r="A592" s="22">
        <f t="shared" si="818"/>
        <v>7674</v>
      </c>
      <c r="B592" s="116">
        <v>1001024977674</v>
      </c>
      <c r="C592" s="48" t="s">
        <v>2079</v>
      </c>
      <c r="D592" s="49" t="s">
        <v>4</v>
      </c>
      <c r="E592" s="146" t="s">
        <v>373</v>
      </c>
      <c r="F592" s="112" t="s">
        <v>39</v>
      </c>
      <c r="G592" s="224" t="s">
        <v>6</v>
      </c>
      <c r="H592" s="58" t="s">
        <v>1118</v>
      </c>
      <c r="I592" s="153" t="s">
        <v>387</v>
      </c>
      <c r="J592" s="149" t="s">
        <v>639</v>
      </c>
      <c r="K592" s="71" t="s">
        <v>783</v>
      </c>
      <c r="L592" s="72">
        <v>7</v>
      </c>
      <c r="M592" s="73">
        <v>16</v>
      </c>
      <c r="N592" s="74">
        <v>4</v>
      </c>
      <c r="O592" s="89" t="s">
        <v>281</v>
      </c>
      <c r="P592" s="31" t="s">
        <v>104</v>
      </c>
      <c r="Q592" s="87">
        <v>45</v>
      </c>
      <c r="R592" s="82" t="s">
        <v>37</v>
      </c>
      <c r="S592" s="80">
        <v>4607958075591</v>
      </c>
      <c r="T592" s="347">
        <v>24607958075595</v>
      </c>
      <c r="U592" s="46">
        <v>4607958075591</v>
      </c>
      <c r="V592" s="46">
        <v>24607958075595</v>
      </c>
      <c r="W592" s="93">
        <v>300</v>
      </c>
      <c r="X592" s="60">
        <v>190</v>
      </c>
      <c r="Y592" s="60">
        <v>43</v>
      </c>
      <c r="Z592" s="65">
        <v>0.8</v>
      </c>
      <c r="AA592" s="271">
        <v>1.2E-2</v>
      </c>
      <c r="AB592" s="66">
        <f t="shared" ref="AB592" si="838">Z592+AA592</f>
        <v>0.81200000000000006</v>
      </c>
      <c r="AC592" s="59">
        <v>388</v>
      </c>
      <c r="AD592" s="60">
        <v>292</v>
      </c>
      <c r="AE592" s="60">
        <v>148</v>
      </c>
      <c r="AF592" s="191">
        <v>6</v>
      </c>
      <c r="AG592" s="117">
        <v>600000021</v>
      </c>
      <c r="AH592" s="104">
        <f>справочники!$C$13</f>
        <v>0.26800000000000002</v>
      </c>
      <c r="AI592" s="61">
        <f t="shared" si="836"/>
        <v>4.8</v>
      </c>
      <c r="AJ592" s="122">
        <f t="shared" si="837"/>
        <v>5.14</v>
      </c>
      <c r="AK592" s="37">
        <v>8</v>
      </c>
      <c r="AL592" s="38">
        <v>10</v>
      </c>
      <c r="AM592" s="40">
        <f t="shared" ref="AM592" si="839">AK592*AL592</f>
        <v>80</v>
      </c>
      <c r="AN592" s="135">
        <f t="shared" ref="AN592" si="840">IF(D592="ШТ",кол_во_инд.__упак_к*итого_г_у,ROUNDDOWN(номин.вес_нетто_г_у__кг*итого_г_у,1))</f>
        <v>480</v>
      </c>
      <c r="AO592" s="204">
        <f t="shared" si="719"/>
        <v>1625</v>
      </c>
    </row>
    <row r="593" spans="1:41" ht="229.5" x14ac:dyDescent="0.2">
      <c r="A593" s="22">
        <f t="shared" si="818"/>
        <v>6616</v>
      </c>
      <c r="B593" s="116">
        <v>1001024976616</v>
      </c>
      <c r="C593" s="48" t="s">
        <v>628</v>
      </c>
      <c r="D593" s="49" t="s">
        <v>4</v>
      </c>
      <c r="E593" s="146" t="s">
        <v>373</v>
      </c>
      <c r="F593" s="112" t="s">
        <v>39</v>
      </c>
      <c r="G593" s="146" t="s">
        <v>6</v>
      </c>
      <c r="H593" s="49" t="s">
        <v>278</v>
      </c>
      <c r="I593" s="153" t="s">
        <v>1936</v>
      </c>
      <c r="J593" s="149" t="s">
        <v>639</v>
      </c>
      <c r="K593" s="71" t="s">
        <v>1387</v>
      </c>
      <c r="L593" s="72">
        <v>9</v>
      </c>
      <c r="M593" s="73">
        <v>15</v>
      </c>
      <c r="N593" s="74">
        <v>3</v>
      </c>
      <c r="O593" s="89" t="s">
        <v>617</v>
      </c>
      <c r="P593" s="31" t="s">
        <v>104</v>
      </c>
      <c r="Q593" s="49">
        <v>45</v>
      </c>
      <c r="R593" s="82" t="s">
        <v>37</v>
      </c>
      <c r="S593" s="238">
        <v>4607958075911</v>
      </c>
      <c r="T593" s="339">
        <v>14607958075918</v>
      </c>
      <c r="U593" s="46">
        <v>4607958075911</v>
      </c>
      <c r="V593" s="46">
        <v>14607958075918</v>
      </c>
      <c r="W593" s="258">
        <v>193</v>
      </c>
      <c r="X593" s="68">
        <v>150</v>
      </c>
      <c r="Y593" s="68">
        <v>25</v>
      </c>
      <c r="Z593" s="65">
        <v>0.3</v>
      </c>
      <c r="AA593" s="271">
        <v>5.0000000000000001E-3</v>
      </c>
      <c r="AB593" s="66">
        <f t="shared" si="832"/>
        <v>0.30499999999999999</v>
      </c>
      <c r="AC593" s="59">
        <v>378</v>
      </c>
      <c r="AD593" s="60">
        <v>156</v>
      </c>
      <c r="AE593" s="68">
        <v>111</v>
      </c>
      <c r="AF593" s="191">
        <v>8</v>
      </c>
      <c r="AG593" s="117">
        <v>600000220</v>
      </c>
      <c r="AH593" s="104">
        <f>справочники!$C$49</f>
        <v>0.105</v>
      </c>
      <c r="AI593" s="61">
        <f t="shared" si="836"/>
        <v>2.4</v>
      </c>
      <c r="AJ593" s="122">
        <f t="shared" si="837"/>
        <v>2.5449999999999999</v>
      </c>
      <c r="AK593" s="37">
        <v>15</v>
      </c>
      <c r="AL593" s="38">
        <v>14</v>
      </c>
      <c r="AM593" s="40">
        <f t="shared" si="784"/>
        <v>210</v>
      </c>
      <c r="AN593" s="206">
        <f t="shared" si="828"/>
        <v>1680</v>
      </c>
      <c r="AO593" s="204">
        <f t="shared" si="719"/>
        <v>1699</v>
      </c>
    </row>
    <row r="594" spans="1:41" ht="115.5" customHeight="1" x14ac:dyDescent="0.2">
      <c r="A594" s="22">
        <f t="shared" si="818"/>
        <v>6829</v>
      </c>
      <c r="B594" s="116">
        <v>1001024976829</v>
      </c>
      <c r="C594" s="48" t="s">
        <v>1316</v>
      </c>
      <c r="D594" s="49" t="s">
        <v>3</v>
      </c>
      <c r="E594" s="146" t="s">
        <v>373</v>
      </c>
      <c r="F594" s="112" t="s">
        <v>39</v>
      </c>
      <c r="G594" s="224" t="s">
        <v>6</v>
      </c>
      <c r="H594" s="58" t="s">
        <v>278</v>
      </c>
      <c r="I594" s="153" t="s">
        <v>387</v>
      </c>
      <c r="J594" s="149" t="s">
        <v>639</v>
      </c>
      <c r="K594" s="71" t="s">
        <v>783</v>
      </c>
      <c r="L594" s="72">
        <v>7</v>
      </c>
      <c r="M594" s="73">
        <v>16</v>
      </c>
      <c r="N594" s="74">
        <v>4</v>
      </c>
      <c r="O594" s="89" t="s">
        <v>281</v>
      </c>
      <c r="P594" s="31" t="s">
        <v>104</v>
      </c>
      <c r="Q594" s="87">
        <v>45</v>
      </c>
      <c r="R594" s="87" t="s">
        <v>78</v>
      </c>
      <c r="S594" s="80">
        <v>2314114000008</v>
      </c>
      <c r="T594" s="347">
        <v>12314114000005</v>
      </c>
      <c r="U594" s="46">
        <v>4630362182036</v>
      </c>
      <c r="V594" s="46">
        <v>14630362182033</v>
      </c>
      <c r="W594" s="93">
        <v>300</v>
      </c>
      <c r="X594" s="60">
        <v>190</v>
      </c>
      <c r="Y594" s="60">
        <v>80</v>
      </c>
      <c r="Z594" s="65">
        <v>2.1</v>
      </c>
      <c r="AA594" s="271">
        <v>1.2E-2</v>
      </c>
      <c r="AB594" s="66">
        <f t="shared" si="832"/>
        <v>2.1120000000000001</v>
      </c>
      <c r="AC594" s="59">
        <v>388</v>
      </c>
      <c r="AD594" s="60">
        <v>292</v>
      </c>
      <c r="AE594" s="60">
        <v>240</v>
      </c>
      <c r="AF594" s="191">
        <v>4</v>
      </c>
      <c r="AG594" s="117">
        <v>600000017</v>
      </c>
      <c r="AH594" s="104">
        <f>справочники!$C$9</f>
        <v>0.34899999999999998</v>
      </c>
      <c r="AI594" s="61">
        <f t="shared" si="836"/>
        <v>8.4</v>
      </c>
      <c r="AJ594" s="122">
        <f t="shared" si="837"/>
        <v>8.7970000000000006</v>
      </c>
      <c r="AK594" s="37">
        <v>8</v>
      </c>
      <c r="AL594" s="38">
        <v>6</v>
      </c>
      <c r="AM594" s="40">
        <f t="shared" ref="AM594:AM617" si="841">AK594*AL594</f>
        <v>48</v>
      </c>
      <c r="AN594" s="214">
        <f t="shared" si="828"/>
        <v>403.2</v>
      </c>
      <c r="AO594" s="204">
        <f t="shared" si="719"/>
        <v>1585</v>
      </c>
    </row>
    <row r="595" spans="1:41" ht="140.25" x14ac:dyDescent="0.2">
      <c r="A595" s="22">
        <f t="shared" si="818"/>
        <v>6973</v>
      </c>
      <c r="B595" s="116">
        <v>1001020836973</v>
      </c>
      <c r="C595" s="48" t="s">
        <v>962</v>
      </c>
      <c r="D595" s="81" t="s">
        <v>4</v>
      </c>
      <c r="E595" s="146" t="s">
        <v>373</v>
      </c>
      <c r="F595" s="112" t="s">
        <v>39</v>
      </c>
      <c r="G595" s="224" t="s">
        <v>6</v>
      </c>
      <c r="H595" s="49" t="s">
        <v>278</v>
      </c>
      <c r="I595" s="153" t="s">
        <v>189</v>
      </c>
      <c r="J595" s="149" t="s">
        <v>408</v>
      </c>
      <c r="K595" s="71" t="s">
        <v>1589</v>
      </c>
      <c r="L595" s="72">
        <v>11</v>
      </c>
      <c r="M595" s="73">
        <v>28</v>
      </c>
      <c r="N595" s="74">
        <v>0</v>
      </c>
      <c r="O595" s="89" t="s">
        <v>193</v>
      </c>
      <c r="P595" s="31" t="s">
        <v>104</v>
      </c>
      <c r="Q595" s="87">
        <v>55</v>
      </c>
      <c r="R595" s="87" t="s">
        <v>78</v>
      </c>
      <c r="S595" s="239">
        <v>4607958076260</v>
      </c>
      <c r="T595" s="344">
        <v>14607958076267</v>
      </c>
      <c r="U595" s="46">
        <v>4607958076260</v>
      </c>
      <c r="V595" s="46">
        <v>14607958076267</v>
      </c>
      <c r="W595" s="258">
        <v>158</v>
      </c>
      <c r="X595" s="68">
        <v>150</v>
      </c>
      <c r="Y595" s="68">
        <v>25</v>
      </c>
      <c r="Z595" s="65">
        <v>0.3</v>
      </c>
      <c r="AA595" s="271">
        <v>1.4999999999999999E-2</v>
      </c>
      <c r="AB595" s="66">
        <f t="shared" si="832"/>
        <v>0.315</v>
      </c>
      <c r="AC595" s="67">
        <v>297</v>
      </c>
      <c r="AD595" s="68">
        <v>153</v>
      </c>
      <c r="AE595" s="68">
        <v>182</v>
      </c>
      <c r="AF595" s="194">
        <v>7</v>
      </c>
      <c r="AG595" s="117">
        <v>600000448</v>
      </c>
      <c r="AH595" s="105">
        <f>справочники!$C$147</f>
        <v>0.11700000000000001</v>
      </c>
      <c r="AI595" s="61">
        <f t="shared" si="836"/>
        <v>2.1</v>
      </c>
      <c r="AJ595" s="141">
        <f t="shared" si="837"/>
        <v>2.3220000000000001</v>
      </c>
      <c r="AK595" s="157">
        <v>20</v>
      </c>
      <c r="AL595" s="34">
        <v>8</v>
      </c>
      <c r="AM595" s="40">
        <f t="shared" si="841"/>
        <v>160</v>
      </c>
      <c r="AN595" s="206">
        <f t="shared" si="828"/>
        <v>1120</v>
      </c>
      <c r="AO595" s="204">
        <f t="shared" si="719"/>
        <v>1601</v>
      </c>
    </row>
    <row r="596" spans="1:41" ht="114.75" x14ac:dyDescent="0.2">
      <c r="A596" s="22">
        <f t="shared" si="818"/>
        <v>6761</v>
      </c>
      <c r="B596" s="116">
        <v>1001020836761</v>
      </c>
      <c r="C596" s="48" t="s">
        <v>350</v>
      </c>
      <c r="D596" s="49" t="s">
        <v>3</v>
      </c>
      <c r="E596" s="146" t="s">
        <v>373</v>
      </c>
      <c r="F596" s="112" t="s">
        <v>39</v>
      </c>
      <c r="G596" s="146" t="s">
        <v>2</v>
      </c>
      <c r="H596" s="58" t="s">
        <v>278</v>
      </c>
      <c r="I596" s="153" t="s">
        <v>189</v>
      </c>
      <c r="J596" s="149" t="s">
        <v>408</v>
      </c>
      <c r="K596" s="71" t="s">
        <v>776</v>
      </c>
      <c r="L596" s="72">
        <v>11</v>
      </c>
      <c r="M596" s="73">
        <v>28</v>
      </c>
      <c r="N596" s="74"/>
      <c r="O596" s="89" t="s">
        <v>193</v>
      </c>
      <c r="P596" s="31" t="s">
        <v>104</v>
      </c>
      <c r="Q596" s="87">
        <v>30</v>
      </c>
      <c r="R596" s="87" t="s">
        <v>78</v>
      </c>
      <c r="S596" s="189">
        <v>2985050000003</v>
      </c>
      <c r="T596" s="337">
        <v>12985050000000</v>
      </c>
      <c r="U596" s="46">
        <v>4630362182043</v>
      </c>
      <c r="V596" s="46">
        <v>14630362182040</v>
      </c>
      <c r="W596" s="258">
        <v>300</v>
      </c>
      <c r="X596" s="68">
        <v>160</v>
      </c>
      <c r="Y596" s="68">
        <v>40</v>
      </c>
      <c r="Z596" s="65">
        <v>1</v>
      </c>
      <c r="AA596" s="271">
        <v>1.2E-2</v>
      </c>
      <c r="AB596" s="66">
        <f t="shared" si="832"/>
        <v>1.012</v>
      </c>
      <c r="AC596" s="59">
        <v>292</v>
      </c>
      <c r="AD596" s="60">
        <v>178</v>
      </c>
      <c r="AE596" s="60">
        <v>178</v>
      </c>
      <c r="AF596" s="191">
        <v>4</v>
      </c>
      <c r="AG596" s="117">
        <v>600000029</v>
      </c>
      <c r="AH596" s="104">
        <f>справочники!$C$21</f>
        <v>0.125</v>
      </c>
      <c r="AI596" s="61">
        <f t="shared" si="836"/>
        <v>4</v>
      </c>
      <c r="AJ596" s="122">
        <f t="shared" si="837"/>
        <v>4.173</v>
      </c>
      <c r="AK596" s="37">
        <v>16</v>
      </c>
      <c r="AL596" s="38">
        <v>8</v>
      </c>
      <c r="AM596" s="40">
        <f t="shared" si="841"/>
        <v>128</v>
      </c>
      <c r="AN596" s="214">
        <f t="shared" si="828"/>
        <v>512</v>
      </c>
      <c r="AO596" s="204">
        <f t="shared" si="719"/>
        <v>1569</v>
      </c>
    </row>
    <row r="597" spans="1:41" ht="114.75" x14ac:dyDescent="0.2">
      <c r="A597" s="22">
        <f t="shared" si="818"/>
        <v>7680</v>
      </c>
      <c r="B597" s="116">
        <v>1001026407680</v>
      </c>
      <c r="C597" s="48" t="s">
        <v>2094</v>
      </c>
      <c r="D597" s="49" t="s">
        <v>3</v>
      </c>
      <c r="E597" s="146" t="s">
        <v>373</v>
      </c>
      <c r="F597" s="112" t="s">
        <v>39</v>
      </c>
      <c r="G597" s="146" t="s">
        <v>2</v>
      </c>
      <c r="H597" s="58" t="s">
        <v>278</v>
      </c>
      <c r="I597" s="153" t="s">
        <v>189</v>
      </c>
      <c r="J597" s="149" t="s">
        <v>408</v>
      </c>
      <c r="K597" s="71" t="s">
        <v>776</v>
      </c>
      <c r="L597" s="72">
        <v>11</v>
      </c>
      <c r="M597" s="73">
        <v>28</v>
      </c>
      <c r="N597" s="74"/>
      <c r="O597" s="89" t="s">
        <v>193</v>
      </c>
      <c r="P597" s="31" t="s">
        <v>104</v>
      </c>
      <c r="Q597" s="87">
        <v>30</v>
      </c>
      <c r="R597" s="87" t="s">
        <v>78</v>
      </c>
      <c r="S597" s="189">
        <v>2453576000000</v>
      </c>
      <c r="T597" s="337">
        <v>12453576000007</v>
      </c>
      <c r="U597" s="46">
        <v>4630362182043</v>
      </c>
      <c r="V597" s="46">
        <v>14630362182040</v>
      </c>
      <c r="W597" s="258">
        <v>300</v>
      </c>
      <c r="X597" s="68">
        <v>160</v>
      </c>
      <c r="Y597" s="68">
        <v>40</v>
      </c>
      <c r="Z597" s="65">
        <v>1</v>
      </c>
      <c r="AA597" s="271">
        <v>1.2E-2</v>
      </c>
      <c r="AB597" s="66">
        <f t="shared" ref="AB597" si="842">Z597+AA597</f>
        <v>1.012</v>
      </c>
      <c r="AC597" s="59">
        <v>292</v>
      </c>
      <c r="AD597" s="60">
        <v>178</v>
      </c>
      <c r="AE597" s="60">
        <v>178</v>
      </c>
      <c r="AF597" s="191">
        <v>4</v>
      </c>
      <c r="AG597" s="117">
        <v>600000029</v>
      </c>
      <c r="AH597" s="104">
        <f>справочники!$C$21</f>
        <v>0.125</v>
      </c>
      <c r="AI597" s="61">
        <f t="shared" si="836"/>
        <v>4</v>
      </c>
      <c r="AJ597" s="122">
        <f t="shared" si="837"/>
        <v>4.173</v>
      </c>
      <c r="AK597" s="37">
        <v>14</v>
      </c>
      <c r="AL597" s="38">
        <v>8</v>
      </c>
      <c r="AM597" s="40">
        <f t="shared" ref="AM597" si="843">AK597*AL597</f>
        <v>112</v>
      </c>
      <c r="AN597" s="214">
        <f t="shared" ref="AN597" si="844">IF(D597="ШТ",кол_во_инд.__упак_к*итого_г_у,ROUNDDOWN(номин.вес_нетто_г_у__кг*итого_г_у,1))</f>
        <v>448</v>
      </c>
      <c r="AO597" s="204">
        <f t="shared" si="719"/>
        <v>1569</v>
      </c>
    </row>
    <row r="598" spans="1:41" ht="140.25" x14ac:dyDescent="0.2">
      <c r="A598" s="22">
        <f t="shared" si="818"/>
        <v>6759</v>
      </c>
      <c r="B598" s="116">
        <v>1001020836759</v>
      </c>
      <c r="C598" s="48" t="s">
        <v>802</v>
      </c>
      <c r="D598" s="81" t="s">
        <v>4</v>
      </c>
      <c r="E598" s="146" t="s">
        <v>373</v>
      </c>
      <c r="F598" s="112" t="s">
        <v>39</v>
      </c>
      <c r="G598" s="146" t="s">
        <v>2</v>
      </c>
      <c r="H598" s="58" t="s">
        <v>278</v>
      </c>
      <c r="I598" s="153" t="s">
        <v>189</v>
      </c>
      <c r="J598" s="149" t="s">
        <v>408</v>
      </c>
      <c r="K598" s="71" t="s">
        <v>1369</v>
      </c>
      <c r="L598" s="72">
        <v>11</v>
      </c>
      <c r="M598" s="73">
        <v>28</v>
      </c>
      <c r="N598" s="74">
        <v>0</v>
      </c>
      <c r="O598" s="89" t="s">
        <v>193</v>
      </c>
      <c r="P598" s="31" t="s">
        <v>104</v>
      </c>
      <c r="Q598" s="87">
        <v>30</v>
      </c>
      <c r="R598" s="87" t="s">
        <v>78</v>
      </c>
      <c r="S598" s="189">
        <v>4607958077038</v>
      </c>
      <c r="T598" s="337">
        <v>14607958077035</v>
      </c>
      <c r="U598" s="46">
        <v>4607958077038</v>
      </c>
      <c r="V598" s="46">
        <v>14607958077035</v>
      </c>
      <c r="W598" s="258">
        <v>150</v>
      </c>
      <c r="X598" s="68">
        <v>154</v>
      </c>
      <c r="Y598" s="68">
        <v>45</v>
      </c>
      <c r="Z598" s="65">
        <v>0.4</v>
      </c>
      <c r="AA598" s="271">
        <v>1.9E-2</v>
      </c>
      <c r="AB598" s="66">
        <f t="shared" si="832"/>
        <v>0.41900000000000004</v>
      </c>
      <c r="AC598" s="67">
        <v>315</v>
      </c>
      <c r="AD598" s="68">
        <v>168</v>
      </c>
      <c r="AE598" s="68">
        <v>188</v>
      </c>
      <c r="AF598" s="194">
        <v>7</v>
      </c>
      <c r="AG598" s="117">
        <v>600000428</v>
      </c>
      <c r="AH598" s="105">
        <f>справочники!$C$114</f>
        <v>0.123</v>
      </c>
      <c r="AI598" s="61">
        <f t="shared" si="836"/>
        <v>2.8</v>
      </c>
      <c r="AJ598" s="142">
        <f t="shared" si="837"/>
        <v>3.056</v>
      </c>
      <c r="AK598" s="157">
        <v>17</v>
      </c>
      <c r="AL598" s="34">
        <v>8</v>
      </c>
      <c r="AM598" s="40">
        <f t="shared" si="841"/>
        <v>136</v>
      </c>
      <c r="AN598" s="206">
        <f t="shared" si="828"/>
        <v>952</v>
      </c>
      <c r="AO598" s="204">
        <f t="shared" si="719"/>
        <v>1649</v>
      </c>
    </row>
    <row r="599" spans="1:41" ht="102" x14ac:dyDescent="0.2">
      <c r="A599" s="22">
        <f t="shared" si="818"/>
        <v>7061</v>
      </c>
      <c r="B599" s="116">
        <v>1001020837061</v>
      </c>
      <c r="C599" s="48" t="s">
        <v>695</v>
      </c>
      <c r="D599" s="81" t="s">
        <v>4</v>
      </c>
      <c r="E599" s="146" t="s">
        <v>373</v>
      </c>
      <c r="F599" s="112" t="s">
        <v>39</v>
      </c>
      <c r="G599" s="223" t="s">
        <v>520</v>
      </c>
      <c r="H599" s="58" t="s">
        <v>278</v>
      </c>
      <c r="I599" s="153" t="s">
        <v>189</v>
      </c>
      <c r="J599" s="149" t="s">
        <v>408</v>
      </c>
      <c r="K599" s="71" t="s">
        <v>696</v>
      </c>
      <c r="L599" s="72">
        <v>11</v>
      </c>
      <c r="M599" s="73">
        <v>28</v>
      </c>
      <c r="N599" s="74"/>
      <c r="O599" s="89" t="s">
        <v>193</v>
      </c>
      <c r="P599" s="31" t="s">
        <v>104</v>
      </c>
      <c r="Q599" s="87">
        <v>35</v>
      </c>
      <c r="R599" s="87" t="s">
        <v>78</v>
      </c>
      <c r="S599" s="239">
        <v>4606038086649</v>
      </c>
      <c r="T599" s="344">
        <v>24606038086643</v>
      </c>
      <c r="U599" s="46">
        <v>4630362182821</v>
      </c>
      <c r="V599" s="46">
        <v>14630362182828</v>
      </c>
      <c r="W599" s="258">
        <v>150</v>
      </c>
      <c r="X599" s="68">
        <v>154</v>
      </c>
      <c r="Y599" s="68">
        <v>45</v>
      </c>
      <c r="Z599" s="65">
        <v>0.5</v>
      </c>
      <c r="AA599" s="271">
        <v>1.4999999999999999E-2</v>
      </c>
      <c r="AB599" s="66">
        <f t="shared" ref="AB599" si="845">Z599+AA599</f>
        <v>0.51500000000000001</v>
      </c>
      <c r="AC599" s="67">
        <v>400</v>
      </c>
      <c r="AD599" s="68">
        <v>300</v>
      </c>
      <c r="AE599" s="68">
        <v>173</v>
      </c>
      <c r="AF599" s="194">
        <v>16</v>
      </c>
      <c r="AG599" s="117">
        <v>600000499</v>
      </c>
      <c r="AH599" s="105">
        <f>справочники!$C$159</f>
        <v>0.32</v>
      </c>
      <c r="AI599" s="61">
        <f t="shared" si="836"/>
        <v>8</v>
      </c>
      <c r="AJ599" s="141">
        <f t="shared" si="837"/>
        <v>8.56</v>
      </c>
      <c r="AK599" s="157">
        <v>8</v>
      </c>
      <c r="AL599" s="34">
        <v>7</v>
      </c>
      <c r="AM599" s="40">
        <f t="shared" ref="AM599" si="846">AK599*AL599</f>
        <v>56</v>
      </c>
      <c r="AN599" s="206">
        <f t="shared" ref="AN599" si="847">IF(D599="ШТ",кол_во_инд.__упак_к*итого_г_у,ROUNDDOWN(номин.вес_нетто_г_у__кг*итого_г_у,1))</f>
        <v>896</v>
      </c>
      <c r="AO599" s="204">
        <f t="shared" si="719"/>
        <v>1356</v>
      </c>
    </row>
    <row r="600" spans="1:41" ht="114.75" x14ac:dyDescent="0.2">
      <c r="A600" s="22">
        <f t="shared" si="818"/>
        <v>7172</v>
      </c>
      <c r="B600" s="116">
        <v>1001026407172</v>
      </c>
      <c r="C600" s="48" t="s">
        <v>1138</v>
      </c>
      <c r="D600" s="81" t="s">
        <v>4</v>
      </c>
      <c r="E600" s="146" t="s">
        <v>373</v>
      </c>
      <c r="F600" s="112" t="s">
        <v>39</v>
      </c>
      <c r="G600" s="223" t="s">
        <v>520</v>
      </c>
      <c r="H600" s="58" t="s">
        <v>278</v>
      </c>
      <c r="I600" s="153" t="s">
        <v>189</v>
      </c>
      <c r="J600" s="149" t="s">
        <v>408</v>
      </c>
      <c r="K600" s="71" t="s">
        <v>1139</v>
      </c>
      <c r="L600" s="72">
        <v>11</v>
      </c>
      <c r="M600" s="73">
        <v>28</v>
      </c>
      <c r="N600" s="74"/>
      <c r="O600" s="89" t="s">
        <v>193</v>
      </c>
      <c r="P600" s="31" t="s">
        <v>104</v>
      </c>
      <c r="Q600" s="87">
        <v>45</v>
      </c>
      <c r="R600" s="87" t="s">
        <v>78</v>
      </c>
      <c r="S600" s="189">
        <v>2000000001074</v>
      </c>
      <c r="T600" s="337">
        <v>12000000001071</v>
      </c>
      <c r="U600" s="359" t="s">
        <v>1875</v>
      </c>
      <c r="V600" s="359" t="s">
        <v>1875</v>
      </c>
      <c r="W600" s="258">
        <v>150</v>
      </c>
      <c r="X600" s="68">
        <v>154</v>
      </c>
      <c r="Y600" s="68">
        <v>55</v>
      </c>
      <c r="Z600" s="65">
        <v>0.6</v>
      </c>
      <c r="AA600" s="271">
        <v>1.4999999999999999E-2</v>
      </c>
      <c r="AB600" s="66">
        <f t="shared" ref="AB600" si="848">Z600+AA600</f>
        <v>0.61499999999999999</v>
      </c>
      <c r="AC600" s="37">
        <v>315</v>
      </c>
      <c r="AD600" s="38">
        <v>168</v>
      </c>
      <c r="AE600" s="38">
        <v>248</v>
      </c>
      <c r="AF600" s="194">
        <v>8</v>
      </c>
      <c r="AG600" s="117">
        <v>600000429</v>
      </c>
      <c r="AH600" s="105">
        <f>справочники!$C$115</f>
        <v>0.14299999999999999</v>
      </c>
      <c r="AI600" s="61">
        <f t="shared" si="836"/>
        <v>4.8</v>
      </c>
      <c r="AJ600" s="142">
        <f t="shared" si="837"/>
        <v>5.0629999999999997</v>
      </c>
      <c r="AK600" s="157">
        <v>17</v>
      </c>
      <c r="AL600" s="34">
        <v>6</v>
      </c>
      <c r="AM600" s="40">
        <f t="shared" ref="AM600" si="849">AK600*AL600</f>
        <v>102</v>
      </c>
      <c r="AN600" s="206">
        <f t="shared" ref="AN600" si="850">IF(D600="ШТ",кол_во_инд.__упак_к*итого_г_у,ROUNDDOWN(номин.вес_нетто_г_у__кг*итого_г_у,1))</f>
        <v>816</v>
      </c>
      <c r="AO600" s="204">
        <f t="shared" si="719"/>
        <v>1633</v>
      </c>
    </row>
    <row r="601" spans="1:41" ht="216.75" x14ac:dyDescent="0.2">
      <c r="A601" s="22">
        <f t="shared" si="818"/>
        <v>6250</v>
      </c>
      <c r="B601" s="116">
        <v>1001020836250</v>
      </c>
      <c r="C601" s="48" t="s">
        <v>786</v>
      </c>
      <c r="D601" s="49" t="s">
        <v>3</v>
      </c>
      <c r="E601" s="146" t="s">
        <v>373</v>
      </c>
      <c r="F601" s="112" t="s">
        <v>39</v>
      </c>
      <c r="G601" s="146" t="s">
        <v>5</v>
      </c>
      <c r="H601" s="58" t="s">
        <v>278</v>
      </c>
      <c r="I601" s="153" t="s">
        <v>380</v>
      </c>
      <c r="J601" s="149" t="s">
        <v>408</v>
      </c>
      <c r="K601" s="71" t="s">
        <v>963</v>
      </c>
      <c r="L601" s="72">
        <v>8</v>
      </c>
      <c r="M601" s="73">
        <v>12</v>
      </c>
      <c r="N601" s="74">
        <v>5</v>
      </c>
      <c r="O601" s="89" t="s">
        <v>632</v>
      </c>
      <c r="P601" s="31" t="s">
        <v>104</v>
      </c>
      <c r="Q601" s="87">
        <v>45</v>
      </c>
      <c r="R601" s="87" t="s">
        <v>78</v>
      </c>
      <c r="S601" s="237">
        <v>2101257000008</v>
      </c>
      <c r="T601" s="332">
        <v>12101257000005</v>
      </c>
      <c r="U601" s="46">
        <v>4630362182050</v>
      </c>
      <c r="V601" s="46">
        <v>14630362182057</v>
      </c>
      <c r="W601" s="258">
        <v>300</v>
      </c>
      <c r="X601" s="68">
        <v>160</v>
      </c>
      <c r="Y601" s="68">
        <v>60</v>
      </c>
      <c r="Z601" s="65">
        <v>1.5</v>
      </c>
      <c r="AA601" s="271">
        <v>1.2E-2</v>
      </c>
      <c r="AB601" s="66">
        <f t="shared" si="832"/>
        <v>1.512</v>
      </c>
      <c r="AC601" s="59">
        <v>388</v>
      </c>
      <c r="AD601" s="60">
        <v>292</v>
      </c>
      <c r="AE601" s="60">
        <v>240</v>
      </c>
      <c r="AF601" s="191">
        <v>6</v>
      </c>
      <c r="AG601" s="117">
        <v>600000017</v>
      </c>
      <c r="AH601" s="104">
        <f>справочники!$C$9</f>
        <v>0.34899999999999998</v>
      </c>
      <c r="AI601" s="61">
        <f t="shared" si="836"/>
        <v>9</v>
      </c>
      <c r="AJ601" s="122">
        <f t="shared" si="837"/>
        <v>9.4209999999999994</v>
      </c>
      <c r="AK601" s="37">
        <v>8</v>
      </c>
      <c r="AL601" s="38">
        <v>6</v>
      </c>
      <c r="AM601" s="40">
        <f t="shared" si="841"/>
        <v>48</v>
      </c>
      <c r="AN601" s="214">
        <f t="shared" si="828"/>
        <v>432</v>
      </c>
      <c r="AO601" s="204">
        <f t="shared" si="719"/>
        <v>1585</v>
      </c>
    </row>
    <row r="602" spans="1:41" ht="216.75" x14ac:dyDescent="0.2">
      <c r="A602" s="22">
        <f t="shared" si="818"/>
        <v>7575</v>
      </c>
      <c r="B602" s="116">
        <v>1001020837575</v>
      </c>
      <c r="C602" s="48" t="s">
        <v>1719</v>
      </c>
      <c r="D602" s="49" t="s">
        <v>3</v>
      </c>
      <c r="E602" s="146" t="s">
        <v>373</v>
      </c>
      <c r="F602" s="112" t="s">
        <v>39</v>
      </c>
      <c r="G602" s="146" t="s">
        <v>5</v>
      </c>
      <c r="H602" s="58" t="s">
        <v>278</v>
      </c>
      <c r="I602" s="153" t="s">
        <v>380</v>
      </c>
      <c r="J602" s="149" t="s">
        <v>408</v>
      </c>
      <c r="K602" s="71" t="s">
        <v>963</v>
      </c>
      <c r="L602" s="72">
        <v>8</v>
      </c>
      <c r="M602" s="73">
        <v>12</v>
      </c>
      <c r="N602" s="74">
        <v>5</v>
      </c>
      <c r="O602" s="89" t="s">
        <v>632</v>
      </c>
      <c r="P602" s="31" t="s">
        <v>104</v>
      </c>
      <c r="Q602" s="87">
        <v>45</v>
      </c>
      <c r="R602" s="87" t="s">
        <v>78</v>
      </c>
      <c r="S602" s="237">
        <v>2101257000008</v>
      </c>
      <c r="T602" s="332">
        <v>12101257000005</v>
      </c>
      <c r="U602" s="46">
        <v>4630362182050</v>
      </c>
      <c r="V602" s="46">
        <v>14630362182057</v>
      </c>
      <c r="W602" s="258">
        <v>300</v>
      </c>
      <c r="X602" s="68">
        <v>160</v>
      </c>
      <c r="Y602" s="68">
        <v>60</v>
      </c>
      <c r="Z602" s="65">
        <v>1.5</v>
      </c>
      <c r="AA602" s="271">
        <v>1.2E-2</v>
      </c>
      <c r="AB602" s="66">
        <f t="shared" ref="AB602" si="851">Z602+AA602</f>
        <v>1.512</v>
      </c>
      <c r="AC602" s="59">
        <v>293</v>
      </c>
      <c r="AD602" s="60">
        <v>394</v>
      </c>
      <c r="AE602" s="60">
        <v>188</v>
      </c>
      <c r="AF602" s="191">
        <v>6</v>
      </c>
      <c r="AG602" s="117">
        <v>600000614</v>
      </c>
      <c r="AH602" s="104">
        <f>справочники!$C$202</f>
        <v>0.25</v>
      </c>
      <c r="AI602" s="61">
        <f t="shared" si="836"/>
        <v>9</v>
      </c>
      <c r="AJ602" s="122">
        <f t="shared" si="837"/>
        <v>9.3219999999999992</v>
      </c>
      <c r="AK602" s="37">
        <v>8</v>
      </c>
      <c r="AL602" s="38">
        <v>8</v>
      </c>
      <c r="AM602" s="40">
        <f t="shared" ref="AM602" si="852">AK602*AL602</f>
        <v>64</v>
      </c>
      <c r="AN602" s="214">
        <f t="shared" ref="AN602" si="853">IF(D602="ШТ",кол_во_инд.__упак_к*итого_г_у,ROUNDDOWN(номин.вес_нетто_г_у__кг*итого_г_у,1))</f>
        <v>576</v>
      </c>
      <c r="AO602" s="204">
        <f t="shared" si="719"/>
        <v>1649</v>
      </c>
    </row>
    <row r="603" spans="1:41" ht="216.75" x14ac:dyDescent="0.2">
      <c r="A603" s="22">
        <f t="shared" si="818"/>
        <v>6234</v>
      </c>
      <c r="B603" s="116">
        <v>1001020836234</v>
      </c>
      <c r="C603" s="48" t="s">
        <v>651</v>
      </c>
      <c r="D603" s="49" t="s">
        <v>3</v>
      </c>
      <c r="E603" s="146" t="s">
        <v>373</v>
      </c>
      <c r="F603" s="112" t="s">
        <v>39</v>
      </c>
      <c r="G603" s="146" t="s">
        <v>5</v>
      </c>
      <c r="H603" s="58" t="s">
        <v>278</v>
      </c>
      <c r="I603" s="153" t="s">
        <v>380</v>
      </c>
      <c r="J603" s="149" t="s">
        <v>408</v>
      </c>
      <c r="K603" s="71" t="s">
        <v>963</v>
      </c>
      <c r="L603" s="72">
        <v>8</v>
      </c>
      <c r="M603" s="73">
        <v>12</v>
      </c>
      <c r="N603" s="74">
        <v>5</v>
      </c>
      <c r="O603" s="89" t="s">
        <v>632</v>
      </c>
      <c r="P603" s="31" t="s">
        <v>104</v>
      </c>
      <c r="Q603" s="87">
        <v>45</v>
      </c>
      <c r="R603" s="87" t="s">
        <v>78</v>
      </c>
      <c r="S603" s="237">
        <v>2102001000008</v>
      </c>
      <c r="T603" s="332">
        <v>12102001000005</v>
      </c>
      <c r="U603" s="46">
        <v>4630362182050</v>
      </c>
      <c r="V603" s="46">
        <v>14630362182057</v>
      </c>
      <c r="W603" s="258">
        <v>300</v>
      </c>
      <c r="X603" s="68">
        <v>160</v>
      </c>
      <c r="Y603" s="68">
        <v>60</v>
      </c>
      <c r="Z603" s="65">
        <v>1.5</v>
      </c>
      <c r="AA603" s="271">
        <v>1.2E-2</v>
      </c>
      <c r="AB603" s="66">
        <f t="shared" si="832"/>
        <v>1.512</v>
      </c>
      <c r="AC603" s="59">
        <v>388</v>
      </c>
      <c r="AD603" s="60">
        <v>292</v>
      </c>
      <c r="AE603" s="60">
        <v>240</v>
      </c>
      <c r="AF603" s="191">
        <v>6</v>
      </c>
      <c r="AG603" s="117">
        <v>600000017</v>
      </c>
      <c r="AH603" s="104">
        <f>справочники!$C$9</f>
        <v>0.34899999999999998</v>
      </c>
      <c r="AI603" s="61">
        <f t="shared" si="836"/>
        <v>9</v>
      </c>
      <c r="AJ603" s="122">
        <f t="shared" si="837"/>
        <v>9.4209999999999994</v>
      </c>
      <c r="AK603" s="37">
        <v>8</v>
      </c>
      <c r="AL603" s="38">
        <v>6</v>
      </c>
      <c r="AM603" s="40">
        <f t="shared" si="841"/>
        <v>48</v>
      </c>
      <c r="AN603" s="214">
        <f t="shared" si="828"/>
        <v>432</v>
      </c>
      <c r="AO603" s="204">
        <f t="shared" si="719"/>
        <v>1585</v>
      </c>
    </row>
    <row r="604" spans="1:41" ht="216.75" x14ac:dyDescent="0.2">
      <c r="A604" s="22">
        <f t="shared" si="818"/>
        <v>7573</v>
      </c>
      <c r="B604" s="116">
        <v>1001020837573</v>
      </c>
      <c r="C604" s="48" t="s">
        <v>1715</v>
      </c>
      <c r="D604" s="49" t="s">
        <v>3</v>
      </c>
      <c r="E604" s="146" t="s">
        <v>373</v>
      </c>
      <c r="F604" s="112" t="s">
        <v>39</v>
      </c>
      <c r="G604" s="146" t="s">
        <v>5</v>
      </c>
      <c r="H604" s="58" t="s">
        <v>278</v>
      </c>
      <c r="I604" s="153" t="s">
        <v>380</v>
      </c>
      <c r="J604" s="149" t="s">
        <v>408</v>
      </c>
      <c r="K604" s="71" t="s">
        <v>963</v>
      </c>
      <c r="L604" s="72">
        <v>8</v>
      </c>
      <c r="M604" s="73">
        <v>12</v>
      </c>
      <c r="N604" s="74">
        <v>5</v>
      </c>
      <c r="O604" s="89" t="s">
        <v>632</v>
      </c>
      <c r="P604" s="31" t="s">
        <v>104</v>
      </c>
      <c r="Q604" s="87">
        <v>45</v>
      </c>
      <c r="R604" s="87" t="s">
        <v>78</v>
      </c>
      <c r="S604" s="237">
        <v>2102001000008</v>
      </c>
      <c r="T604" s="332">
        <v>12102001000005</v>
      </c>
      <c r="U604" s="46">
        <v>4630362182050</v>
      </c>
      <c r="V604" s="46">
        <v>14630362182057</v>
      </c>
      <c r="W604" s="258">
        <v>300</v>
      </c>
      <c r="X604" s="68">
        <v>160</v>
      </c>
      <c r="Y604" s="68">
        <v>60</v>
      </c>
      <c r="Z604" s="65">
        <v>1.5</v>
      </c>
      <c r="AA604" s="271">
        <v>1.2E-2</v>
      </c>
      <c r="AB604" s="66">
        <f t="shared" ref="AB604" si="854">Z604+AA604</f>
        <v>1.512</v>
      </c>
      <c r="AC604" s="59">
        <v>293</v>
      </c>
      <c r="AD604" s="60">
        <v>394</v>
      </c>
      <c r="AE604" s="60">
        <v>188</v>
      </c>
      <c r="AF604" s="191">
        <v>6</v>
      </c>
      <c r="AG604" s="117">
        <v>600000614</v>
      </c>
      <c r="AH604" s="104">
        <f>справочники!$C$202</f>
        <v>0.25</v>
      </c>
      <c r="AI604" s="61">
        <f t="shared" si="836"/>
        <v>9</v>
      </c>
      <c r="AJ604" s="122">
        <f t="shared" si="837"/>
        <v>9.3219999999999992</v>
      </c>
      <c r="AK604" s="37">
        <v>8</v>
      </c>
      <c r="AL604" s="38">
        <v>8</v>
      </c>
      <c r="AM604" s="40">
        <f t="shared" ref="AM604" si="855">AK604*AL604</f>
        <v>64</v>
      </c>
      <c r="AN604" s="214">
        <f t="shared" ref="AN604" si="856">IF(D604="ШТ",кол_во_инд.__упак_к*итого_г_у,ROUNDDOWN(номин.вес_нетто_г_у__кг*итого_г_у,1))</f>
        <v>576</v>
      </c>
      <c r="AO604" s="204">
        <f t="shared" si="719"/>
        <v>1649</v>
      </c>
    </row>
    <row r="605" spans="1:41" ht="216.75" x14ac:dyDescent="0.2">
      <c r="A605" s="22">
        <f t="shared" si="818"/>
        <v>6709</v>
      </c>
      <c r="B605" s="116">
        <v>1001020836709</v>
      </c>
      <c r="C605" s="48" t="s">
        <v>1717</v>
      </c>
      <c r="D605" s="49" t="s">
        <v>3</v>
      </c>
      <c r="E605" s="146" t="s">
        <v>373</v>
      </c>
      <c r="F605" s="112" t="s">
        <v>39</v>
      </c>
      <c r="G605" s="146" t="s">
        <v>5</v>
      </c>
      <c r="H605" s="58" t="s">
        <v>278</v>
      </c>
      <c r="I605" s="153" t="s">
        <v>380</v>
      </c>
      <c r="J605" s="149" t="s">
        <v>408</v>
      </c>
      <c r="K605" s="71" t="s">
        <v>963</v>
      </c>
      <c r="L605" s="72">
        <v>8</v>
      </c>
      <c r="M605" s="73">
        <v>12</v>
      </c>
      <c r="N605" s="74">
        <v>5</v>
      </c>
      <c r="O605" s="89" t="s">
        <v>632</v>
      </c>
      <c r="P605" s="31" t="s">
        <v>104</v>
      </c>
      <c r="Q605" s="87">
        <v>45</v>
      </c>
      <c r="R605" s="87" t="s">
        <v>78</v>
      </c>
      <c r="S605" s="237">
        <v>2101920000007</v>
      </c>
      <c r="T605" s="332">
        <v>12101920000004</v>
      </c>
      <c r="U605" s="46">
        <v>4630362182050</v>
      </c>
      <c r="V605" s="46">
        <v>14630362182057</v>
      </c>
      <c r="W605" s="258">
        <v>300</v>
      </c>
      <c r="X605" s="68">
        <v>160</v>
      </c>
      <c r="Y605" s="68">
        <v>60</v>
      </c>
      <c r="Z605" s="65">
        <v>1.5</v>
      </c>
      <c r="AA605" s="271">
        <v>1.2E-2</v>
      </c>
      <c r="AB605" s="66">
        <f t="shared" si="832"/>
        <v>1.512</v>
      </c>
      <c r="AC605" s="59">
        <v>388</v>
      </c>
      <c r="AD605" s="60">
        <v>292</v>
      </c>
      <c r="AE605" s="60">
        <v>240</v>
      </c>
      <c r="AF605" s="191">
        <v>6</v>
      </c>
      <c r="AG605" s="117">
        <v>600000017</v>
      </c>
      <c r="AH605" s="104">
        <f>справочники!$C$9</f>
        <v>0.34899999999999998</v>
      </c>
      <c r="AI605" s="61">
        <f t="shared" si="836"/>
        <v>9</v>
      </c>
      <c r="AJ605" s="122">
        <f t="shared" si="837"/>
        <v>9.4209999999999994</v>
      </c>
      <c r="AK605" s="37">
        <v>8</v>
      </c>
      <c r="AL605" s="38">
        <v>6</v>
      </c>
      <c r="AM605" s="40">
        <f t="shared" si="841"/>
        <v>48</v>
      </c>
      <c r="AN605" s="214">
        <f t="shared" si="828"/>
        <v>432</v>
      </c>
      <c r="AO605" s="204">
        <f t="shared" si="719"/>
        <v>1585</v>
      </c>
    </row>
    <row r="606" spans="1:41" ht="216.75" x14ac:dyDescent="0.2">
      <c r="A606" s="22">
        <f t="shared" si="818"/>
        <v>7570</v>
      </c>
      <c r="B606" s="116">
        <v>1001020837570</v>
      </c>
      <c r="C606" s="48" t="s">
        <v>1718</v>
      </c>
      <c r="D606" s="49" t="s">
        <v>3</v>
      </c>
      <c r="E606" s="146" t="s">
        <v>373</v>
      </c>
      <c r="F606" s="112" t="s">
        <v>39</v>
      </c>
      <c r="G606" s="146" t="s">
        <v>5</v>
      </c>
      <c r="H606" s="58" t="s">
        <v>278</v>
      </c>
      <c r="I606" s="153" t="s">
        <v>380</v>
      </c>
      <c r="J606" s="149" t="s">
        <v>408</v>
      </c>
      <c r="K606" s="71" t="s">
        <v>963</v>
      </c>
      <c r="L606" s="72">
        <v>8</v>
      </c>
      <c r="M606" s="73">
        <v>12</v>
      </c>
      <c r="N606" s="74">
        <v>5</v>
      </c>
      <c r="O606" s="89" t="s">
        <v>632</v>
      </c>
      <c r="P606" s="31" t="s">
        <v>104</v>
      </c>
      <c r="Q606" s="87">
        <v>45</v>
      </c>
      <c r="R606" s="87" t="s">
        <v>78</v>
      </c>
      <c r="S606" s="237">
        <v>2101920000007</v>
      </c>
      <c r="T606" s="332">
        <v>12101920000004</v>
      </c>
      <c r="U606" s="46">
        <v>4630362182050</v>
      </c>
      <c r="V606" s="46">
        <v>14630362182057</v>
      </c>
      <c r="W606" s="258">
        <v>300</v>
      </c>
      <c r="X606" s="68">
        <v>160</v>
      </c>
      <c r="Y606" s="68">
        <v>60</v>
      </c>
      <c r="Z606" s="65">
        <v>1.5</v>
      </c>
      <c r="AA606" s="271">
        <v>1.2E-2</v>
      </c>
      <c r="AB606" s="66">
        <f t="shared" ref="AB606" si="857">Z606+AA606</f>
        <v>1.512</v>
      </c>
      <c r="AC606" s="59">
        <v>293</v>
      </c>
      <c r="AD606" s="60">
        <v>394</v>
      </c>
      <c r="AE606" s="60">
        <v>188</v>
      </c>
      <c r="AF606" s="191">
        <v>6</v>
      </c>
      <c r="AG606" s="117">
        <v>600000614</v>
      </c>
      <c r="AH606" s="104">
        <f>справочники!$C$202</f>
        <v>0.25</v>
      </c>
      <c r="AI606" s="61">
        <f t="shared" si="836"/>
        <v>9</v>
      </c>
      <c r="AJ606" s="122">
        <f t="shared" si="837"/>
        <v>9.3219999999999992</v>
      </c>
      <c r="AK606" s="37">
        <v>8</v>
      </c>
      <c r="AL606" s="38">
        <v>8</v>
      </c>
      <c r="AM606" s="40">
        <f t="shared" ref="AM606" si="858">AK606*AL606</f>
        <v>64</v>
      </c>
      <c r="AN606" s="214">
        <f t="shared" ref="AN606" si="859">IF(D606="ШТ",кол_во_инд.__упак_к*итого_г_у,ROUNDDOWN(номин.вес_нетто_г_у__кг*итого_г_у,1))</f>
        <v>576</v>
      </c>
      <c r="AO606" s="204">
        <f t="shared" si="719"/>
        <v>1649</v>
      </c>
    </row>
    <row r="607" spans="1:41" ht="255" x14ac:dyDescent="0.2">
      <c r="A607" s="22">
        <f t="shared" si="818"/>
        <v>6738</v>
      </c>
      <c r="B607" s="116">
        <v>1001022246738</v>
      </c>
      <c r="C607" s="48" t="s">
        <v>1265</v>
      </c>
      <c r="D607" s="49" t="s">
        <v>3</v>
      </c>
      <c r="E607" s="146" t="s">
        <v>373</v>
      </c>
      <c r="F607" s="112" t="s">
        <v>39</v>
      </c>
      <c r="G607" s="146" t="s">
        <v>6</v>
      </c>
      <c r="H607" s="58" t="s">
        <v>278</v>
      </c>
      <c r="I607" s="153" t="s">
        <v>1566</v>
      </c>
      <c r="J607" s="149" t="s">
        <v>412</v>
      </c>
      <c r="K607" s="51" t="s">
        <v>1434</v>
      </c>
      <c r="L607" s="52">
        <v>9</v>
      </c>
      <c r="M607" s="53">
        <v>13</v>
      </c>
      <c r="N607" s="54">
        <v>5</v>
      </c>
      <c r="O607" s="88" t="s">
        <v>893</v>
      </c>
      <c r="P607" s="31" t="s">
        <v>104</v>
      </c>
      <c r="Q607" s="87">
        <v>45</v>
      </c>
      <c r="R607" s="87" t="s">
        <v>37</v>
      </c>
      <c r="S607" s="189">
        <v>2800041000001</v>
      </c>
      <c r="T607" s="337">
        <v>22800041000005</v>
      </c>
      <c r="U607" s="46">
        <v>4630362180025</v>
      </c>
      <c r="V607" s="46">
        <v>14630362180022</v>
      </c>
      <c r="W607" s="258">
        <v>300</v>
      </c>
      <c r="X607" s="68">
        <v>190</v>
      </c>
      <c r="Y607" s="68">
        <v>40</v>
      </c>
      <c r="Z607" s="65">
        <v>1.2</v>
      </c>
      <c r="AA607" s="271">
        <v>1.4999999999999999E-2</v>
      </c>
      <c r="AB607" s="66">
        <f t="shared" si="832"/>
        <v>1.2149999999999999</v>
      </c>
      <c r="AC607" s="59">
        <v>383</v>
      </c>
      <c r="AD607" s="60">
        <v>283</v>
      </c>
      <c r="AE607" s="60">
        <v>183</v>
      </c>
      <c r="AF607" s="191">
        <v>6</v>
      </c>
      <c r="AG607" s="117">
        <v>600000023</v>
      </c>
      <c r="AH607" s="104">
        <f>справочники!$C$15</f>
        <v>0.26700000000000002</v>
      </c>
      <c r="AI607" s="61">
        <f t="shared" si="836"/>
        <v>7.2</v>
      </c>
      <c r="AJ607" s="122">
        <f t="shared" si="837"/>
        <v>7.5569999999999995</v>
      </c>
      <c r="AK607" s="37">
        <v>8</v>
      </c>
      <c r="AL607" s="38">
        <v>8</v>
      </c>
      <c r="AM607" s="40">
        <f t="shared" si="841"/>
        <v>64</v>
      </c>
      <c r="AN607" s="214">
        <f t="shared" si="828"/>
        <v>460.8</v>
      </c>
      <c r="AO607" s="204">
        <f t="shared" ref="AO607:AO637" si="860">(высота__мм*кол_во_слоев_г_у)+145</f>
        <v>1609</v>
      </c>
    </row>
    <row r="608" spans="1:41" ht="255" x14ac:dyDescent="0.2">
      <c r="A608" s="22">
        <f t="shared" si="818"/>
        <v>7576</v>
      </c>
      <c r="B608" s="116">
        <v>1001022247576</v>
      </c>
      <c r="C608" s="48" t="s">
        <v>1720</v>
      </c>
      <c r="D608" s="49" t="s">
        <v>3</v>
      </c>
      <c r="E608" s="146" t="s">
        <v>373</v>
      </c>
      <c r="F608" s="112" t="s">
        <v>39</v>
      </c>
      <c r="G608" s="146" t="s">
        <v>6</v>
      </c>
      <c r="H608" s="58" t="s">
        <v>278</v>
      </c>
      <c r="I608" s="153" t="s">
        <v>1566</v>
      </c>
      <c r="J608" s="149" t="s">
        <v>412</v>
      </c>
      <c r="K608" s="51" t="s">
        <v>1434</v>
      </c>
      <c r="L608" s="52">
        <v>9</v>
      </c>
      <c r="M608" s="53">
        <v>13</v>
      </c>
      <c r="N608" s="54">
        <v>5</v>
      </c>
      <c r="O608" s="88" t="s">
        <v>893</v>
      </c>
      <c r="P608" s="31" t="s">
        <v>104</v>
      </c>
      <c r="Q608" s="87">
        <v>45</v>
      </c>
      <c r="R608" s="87" t="s">
        <v>37</v>
      </c>
      <c r="S608" s="189">
        <v>2800041000001</v>
      </c>
      <c r="T608" s="337">
        <v>22800041000005</v>
      </c>
      <c r="U608" s="46">
        <v>4630362180025</v>
      </c>
      <c r="V608" s="46">
        <v>14630362180022</v>
      </c>
      <c r="W608" s="258">
        <v>300</v>
      </c>
      <c r="X608" s="68">
        <v>190</v>
      </c>
      <c r="Y608" s="68">
        <v>40</v>
      </c>
      <c r="Z608" s="65">
        <v>1.2</v>
      </c>
      <c r="AA608" s="271">
        <v>1.4999999999999999E-2</v>
      </c>
      <c r="AB608" s="66">
        <f t="shared" ref="AB608" si="861">Z608+AA608</f>
        <v>1.2149999999999999</v>
      </c>
      <c r="AC608" s="37">
        <v>293</v>
      </c>
      <c r="AD608" s="38">
        <v>394</v>
      </c>
      <c r="AE608" s="38">
        <v>158</v>
      </c>
      <c r="AF608" s="191">
        <v>6</v>
      </c>
      <c r="AG608" s="117">
        <v>600000607</v>
      </c>
      <c r="AH608" s="104">
        <f>справочники!$C$195</f>
        <v>0.23599999999999999</v>
      </c>
      <c r="AI608" s="61">
        <f t="shared" si="836"/>
        <v>7.2</v>
      </c>
      <c r="AJ608" s="122">
        <f t="shared" si="837"/>
        <v>7.5259999999999989</v>
      </c>
      <c r="AK608" s="37">
        <v>8</v>
      </c>
      <c r="AL608" s="38">
        <v>10</v>
      </c>
      <c r="AM608" s="40">
        <f t="shared" ref="AM608" si="862">AK608*AL608</f>
        <v>80</v>
      </c>
      <c r="AN608" s="214">
        <f t="shared" ref="AN608" si="863">IF(D608="ШТ",кол_во_инд.__упак_к*итого_г_у,ROUNDDOWN(номин.вес_нетто_г_у__кг*итого_г_у,1))</f>
        <v>576</v>
      </c>
      <c r="AO608" s="204">
        <f t="shared" si="860"/>
        <v>1725</v>
      </c>
    </row>
    <row r="609" spans="1:41" ht="229.5" x14ac:dyDescent="0.2">
      <c r="A609" s="22">
        <f t="shared" si="818"/>
        <v>6739</v>
      </c>
      <c r="B609" s="116">
        <v>1001022246739</v>
      </c>
      <c r="C609" s="48" t="s">
        <v>317</v>
      </c>
      <c r="D609" s="49" t="s">
        <v>3</v>
      </c>
      <c r="E609" s="146" t="s">
        <v>373</v>
      </c>
      <c r="F609" s="112" t="s">
        <v>39</v>
      </c>
      <c r="G609" s="146" t="s">
        <v>6</v>
      </c>
      <c r="H609" s="58" t="s">
        <v>278</v>
      </c>
      <c r="I609" s="153" t="s">
        <v>380</v>
      </c>
      <c r="J609" s="149" t="s">
        <v>412</v>
      </c>
      <c r="K609" s="51" t="s">
        <v>835</v>
      </c>
      <c r="L609" s="52">
        <v>10</v>
      </c>
      <c r="M609" s="53">
        <v>15</v>
      </c>
      <c r="N609" s="54">
        <v>3</v>
      </c>
      <c r="O609" s="88" t="s">
        <v>121</v>
      </c>
      <c r="P609" s="31" t="s">
        <v>104</v>
      </c>
      <c r="Q609" s="87">
        <v>45</v>
      </c>
      <c r="R609" s="87" t="s">
        <v>78</v>
      </c>
      <c r="S609" s="189">
        <v>2800683000001</v>
      </c>
      <c r="T609" s="337">
        <v>22800683000005</v>
      </c>
      <c r="U609" s="46">
        <v>4630362180049</v>
      </c>
      <c r="V609" s="46">
        <v>14630362180046</v>
      </c>
      <c r="W609" s="258">
        <v>300</v>
      </c>
      <c r="X609" s="68">
        <v>190</v>
      </c>
      <c r="Y609" s="68">
        <v>40</v>
      </c>
      <c r="Z609" s="65">
        <v>0.9</v>
      </c>
      <c r="AA609" s="271">
        <v>1.4999999999999999E-2</v>
      </c>
      <c r="AB609" s="66">
        <f t="shared" si="832"/>
        <v>0.91500000000000004</v>
      </c>
      <c r="AC609" s="59">
        <v>388</v>
      </c>
      <c r="AD609" s="60">
        <v>292</v>
      </c>
      <c r="AE609" s="60">
        <v>148</v>
      </c>
      <c r="AF609" s="191">
        <v>6</v>
      </c>
      <c r="AG609" s="117">
        <v>600000021</v>
      </c>
      <c r="AH609" s="104">
        <f>справочники!$C$13</f>
        <v>0.26800000000000002</v>
      </c>
      <c r="AI609" s="61">
        <f t="shared" si="836"/>
        <v>5.4</v>
      </c>
      <c r="AJ609" s="122">
        <f t="shared" si="837"/>
        <v>5.758</v>
      </c>
      <c r="AK609" s="37">
        <v>8</v>
      </c>
      <c r="AL609" s="38">
        <v>10</v>
      </c>
      <c r="AM609" s="40">
        <f t="shared" si="841"/>
        <v>80</v>
      </c>
      <c r="AN609" s="214">
        <f t="shared" si="828"/>
        <v>432</v>
      </c>
      <c r="AO609" s="204">
        <f t="shared" si="860"/>
        <v>1625</v>
      </c>
    </row>
    <row r="610" spans="1:41" ht="229.5" x14ac:dyDescent="0.2">
      <c r="A610" s="22">
        <f t="shared" si="818"/>
        <v>7581</v>
      </c>
      <c r="B610" s="116">
        <v>1001022247581</v>
      </c>
      <c r="C610" s="48" t="s">
        <v>1729</v>
      </c>
      <c r="D610" s="49" t="s">
        <v>3</v>
      </c>
      <c r="E610" s="146" t="s">
        <v>373</v>
      </c>
      <c r="F610" s="112" t="s">
        <v>39</v>
      </c>
      <c r="G610" s="146" t="s">
        <v>6</v>
      </c>
      <c r="H610" s="58" t="s">
        <v>278</v>
      </c>
      <c r="I610" s="153" t="s">
        <v>380</v>
      </c>
      <c r="J610" s="149" t="s">
        <v>412</v>
      </c>
      <c r="K610" s="51" t="s">
        <v>835</v>
      </c>
      <c r="L610" s="52">
        <v>10</v>
      </c>
      <c r="M610" s="53">
        <v>15</v>
      </c>
      <c r="N610" s="54">
        <v>3</v>
      </c>
      <c r="O610" s="88" t="s">
        <v>121</v>
      </c>
      <c r="P610" s="31" t="s">
        <v>104</v>
      </c>
      <c r="Q610" s="87">
        <v>45</v>
      </c>
      <c r="R610" s="87" t="s">
        <v>78</v>
      </c>
      <c r="S610" s="189">
        <v>2800683000001</v>
      </c>
      <c r="T610" s="337">
        <v>22800683000005</v>
      </c>
      <c r="U610" s="46">
        <v>4630362180049</v>
      </c>
      <c r="V610" s="46">
        <v>14630362180046</v>
      </c>
      <c r="W610" s="258">
        <v>300</v>
      </c>
      <c r="X610" s="68">
        <v>190</v>
      </c>
      <c r="Y610" s="68">
        <v>40</v>
      </c>
      <c r="Z610" s="65">
        <v>0.9</v>
      </c>
      <c r="AA610" s="271">
        <v>1.4999999999999999E-2</v>
      </c>
      <c r="AB610" s="66">
        <f t="shared" ref="AB610" si="864">Z610+AA610</f>
        <v>0.91500000000000004</v>
      </c>
      <c r="AC610" s="59">
        <v>293</v>
      </c>
      <c r="AD610" s="60">
        <v>394</v>
      </c>
      <c r="AE610" s="60">
        <v>135</v>
      </c>
      <c r="AF610" s="191">
        <v>6</v>
      </c>
      <c r="AG610" s="117">
        <v>600000615</v>
      </c>
      <c r="AH610" s="104">
        <f>справочники!$C$203</f>
        <v>0.23499999999999999</v>
      </c>
      <c r="AI610" s="61">
        <f t="shared" si="836"/>
        <v>5.4</v>
      </c>
      <c r="AJ610" s="122">
        <f t="shared" si="837"/>
        <v>5.7250000000000005</v>
      </c>
      <c r="AK610" s="37">
        <v>8</v>
      </c>
      <c r="AL610" s="38">
        <v>12</v>
      </c>
      <c r="AM610" s="40">
        <f t="shared" ref="AM610" si="865">AK610*AL610</f>
        <v>96</v>
      </c>
      <c r="AN610" s="214">
        <f t="shared" ref="AN610" si="866">IF(D610="ШТ",кол_во_инд.__упак_к*итого_г_у,ROUNDDOWN(номин.вес_нетто_г_у__кг*итого_г_у,1))</f>
        <v>518.4</v>
      </c>
      <c r="AO610" s="204">
        <f t="shared" si="860"/>
        <v>1765</v>
      </c>
    </row>
    <row r="611" spans="1:41" ht="216.75" x14ac:dyDescent="0.2">
      <c r="A611" s="22">
        <f t="shared" si="818"/>
        <v>6710</v>
      </c>
      <c r="B611" s="116">
        <v>1001020846710</v>
      </c>
      <c r="C611" s="48" t="s">
        <v>1014</v>
      </c>
      <c r="D611" s="49" t="s">
        <v>4</v>
      </c>
      <c r="E611" s="146" t="s">
        <v>373</v>
      </c>
      <c r="F611" s="112" t="s">
        <v>39</v>
      </c>
      <c r="G611" s="146" t="s">
        <v>5</v>
      </c>
      <c r="H611" s="58" t="s">
        <v>278</v>
      </c>
      <c r="I611" s="153" t="s">
        <v>380</v>
      </c>
      <c r="J611" s="149" t="s">
        <v>408</v>
      </c>
      <c r="K611" s="71" t="s">
        <v>963</v>
      </c>
      <c r="L611" s="72">
        <v>8</v>
      </c>
      <c r="M611" s="73">
        <v>12</v>
      </c>
      <c r="N611" s="74">
        <v>5</v>
      </c>
      <c r="O611" s="89" t="s">
        <v>632</v>
      </c>
      <c r="P611" s="31" t="s">
        <v>104</v>
      </c>
      <c r="Q611" s="87">
        <v>60</v>
      </c>
      <c r="R611" s="87" t="s">
        <v>78</v>
      </c>
      <c r="S611" s="237">
        <v>4607958078752</v>
      </c>
      <c r="T611" s="332">
        <v>14607958078759</v>
      </c>
      <c r="U611" s="46">
        <v>4607958078752</v>
      </c>
      <c r="V611" s="46">
        <v>14607958078759</v>
      </c>
      <c r="W611" s="258">
        <v>300</v>
      </c>
      <c r="X611" s="68">
        <v>160</v>
      </c>
      <c r="Y611" s="68">
        <v>43</v>
      </c>
      <c r="Z611" s="65">
        <v>0.8</v>
      </c>
      <c r="AA611" s="271">
        <v>1.2E-2</v>
      </c>
      <c r="AB611" s="66">
        <f t="shared" si="832"/>
        <v>0.81200000000000006</v>
      </c>
      <c r="AC611" s="59">
        <v>315</v>
      </c>
      <c r="AD611" s="60">
        <v>168</v>
      </c>
      <c r="AE611" s="60">
        <v>248</v>
      </c>
      <c r="AF611" s="191">
        <v>5</v>
      </c>
      <c r="AG611" s="117">
        <v>600000429</v>
      </c>
      <c r="AH611" s="104">
        <f>справочники!$C$115</f>
        <v>0.14299999999999999</v>
      </c>
      <c r="AI611" s="61">
        <f t="shared" si="836"/>
        <v>4</v>
      </c>
      <c r="AJ611" s="122">
        <f t="shared" si="837"/>
        <v>4.2030000000000003</v>
      </c>
      <c r="AK611" s="37">
        <v>17</v>
      </c>
      <c r="AL611" s="38">
        <v>6</v>
      </c>
      <c r="AM611" s="40">
        <f t="shared" si="841"/>
        <v>102</v>
      </c>
      <c r="AN611" s="135">
        <f t="shared" si="828"/>
        <v>510</v>
      </c>
      <c r="AO611" s="204">
        <f t="shared" si="860"/>
        <v>1633</v>
      </c>
    </row>
    <row r="612" spans="1:41" ht="216.75" x14ac:dyDescent="0.2">
      <c r="A612" s="22">
        <f t="shared" si="818"/>
        <v>7566</v>
      </c>
      <c r="B612" s="116">
        <v>1001020847566</v>
      </c>
      <c r="C612" s="48" t="s">
        <v>1707</v>
      </c>
      <c r="D612" s="49" t="s">
        <v>4</v>
      </c>
      <c r="E612" s="146" t="s">
        <v>373</v>
      </c>
      <c r="F612" s="112" t="s">
        <v>39</v>
      </c>
      <c r="G612" s="146" t="s">
        <v>5</v>
      </c>
      <c r="H612" s="58" t="s">
        <v>278</v>
      </c>
      <c r="I612" s="153" t="s">
        <v>380</v>
      </c>
      <c r="J612" s="149" t="s">
        <v>408</v>
      </c>
      <c r="K612" s="71" t="s">
        <v>963</v>
      </c>
      <c r="L612" s="72">
        <v>8</v>
      </c>
      <c r="M612" s="73">
        <v>12</v>
      </c>
      <c r="N612" s="74">
        <v>5</v>
      </c>
      <c r="O612" s="89" t="s">
        <v>632</v>
      </c>
      <c r="P612" s="31" t="s">
        <v>104</v>
      </c>
      <c r="Q612" s="87">
        <v>60</v>
      </c>
      <c r="R612" s="87" t="s">
        <v>78</v>
      </c>
      <c r="S612" s="237">
        <v>4607958078752</v>
      </c>
      <c r="T612" s="332">
        <v>24607958078756</v>
      </c>
      <c r="U612" s="46">
        <v>4607958078752</v>
      </c>
      <c r="V612" s="46">
        <v>24607958078756</v>
      </c>
      <c r="W612" s="258">
        <v>300</v>
      </c>
      <c r="X612" s="68">
        <v>160</v>
      </c>
      <c r="Y612" s="68">
        <v>43</v>
      </c>
      <c r="Z612" s="65">
        <v>0.8</v>
      </c>
      <c r="AA612" s="271">
        <v>1.2E-2</v>
      </c>
      <c r="AB612" s="66">
        <f t="shared" ref="AB612" si="867">Z612+AA612</f>
        <v>0.81200000000000006</v>
      </c>
      <c r="AC612" s="59">
        <v>265</v>
      </c>
      <c r="AD612" s="60">
        <v>394</v>
      </c>
      <c r="AE612" s="60">
        <v>135</v>
      </c>
      <c r="AF612" s="191">
        <v>6</v>
      </c>
      <c r="AG612" s="117">
        <v>600000608</v>
      </c>
      <c r="AH612" s="104">
        <f>справочники!$C$196</f>
        <v>0.19</v>
      </c>
      <c r="AI612" s="61">
        <f t="shared" si="836"/>
        <v>4.8</v>
      </c>
      <c r="AJ612" s="122">
        <f t="shared" si="837"/>
        <v>5.0620000000000003</v>
      </c>
      <c r="AK612" s="37">
        <v>9</v>
      </c>
      <c r="AL612" s="38">
        <v>12</v>
      </c>
      <c r="AM612" s="40">
        <f t="shared" ref="AM612" si="868">AK612*AL612</f>
        <v>108</v>
      </c>
      <c r="AN612" s="135">
        <f t="shared" ref="AN612" si="869">IF(D612="ШТ",кол_во_инд.__упак_к*итого_г_у,ROUNDDOWN(номин.вес_нетто_г_у__кг*итого_г_у,1))</f>
        <v>648</v>
      </c>
      <c r="AO612" s="204">
        <f t="shared" si="860"/>
        <v>1765</v>
      </c>
    </row>
    <row r="613" spans="1:41" ht="159.6" customHeight="1" x14ac:dyDescent="0.2">
      <c r="A613" s="22">
        <f t="shared" si="818"/>
        <v>7083</v>
      </c>
      <c r="B613" s="116">
        <v>1001022467083</v>
      </c>
      <c r="C613" s="48" t="s">
        <v>1058</v>
      </c>
      <c r="D613" s="49" t="s">
        <v>3</v>
      </c>
      <c r="E613" s="146" t="s">
        <v>373</v>
      </c>
      <c r="F613" s="112" t="s">
        <v>39</v>
      </c>
      <c r="G613" s="146" t="s">
        <v>6</v>
      </c>
      <c r="H613" s="49" t="s">
        <v>278</v>
      </c>
      <c r="I613" s="153" t="s">
        <v>1566</v>
      </c>
      <c r="J613" s="149" t="s">
        <v>413</v>
      </c>
      <c r="K613" s="51" t="s">
        <v>1438</v>
      </c>
      <c r="L613" s="52">
        <v>10</v>
      </c>
      <c r="M613" s="53">
        <v>12</v>
      </c>
      <c r="N613" s="54">
        <v>3</v>
      </c>
      <c r="O613" s="88" t="s">
        <v>632</v>
      </c>
      <c r="P613" s="31" t="s">
        <v>104</v>
      </c>
      <c r="Q613" s="87">
        <v>50</v>
      </c>
      <c r="R613" s="87" t="s">
        <v>37</v>
      </c>
      <c r="S613" s="234">
        <v>2353805000002</v>
      </c>
      <c r="T613" s="338">
        <v>12353805000009</v>
      </c>
      <c r="U613" s="46">
        <v>4630362182067</v>
      </c>
      <c r="V613" s="46">
        <v>14630362182064</v>
      </c>
      <c r="W613" s="258">
        <v>300</v>
      </c>
      <c r="X613" s="68">
        <v>190</v>
      </c>
      <c r="Y613" s="68">
        <v>50</v>
      </c>
      <c r="Z613" s="65">
        <v>1.5</v>
      </c>
      <c r="AA613" s="271">
        <v>1.4999999999999999E-2</v>
      </c>
      <c r="AB613" s="66">
        <f t="shared" ref="AB613" si="870">Z613+AA613</f>
        <v>1.5149999999999999</v>
      </c>
      <c r="AC613" s="59">
        <v>388</v>
      </c>
      <c r="AD613" s="60">
        <v>292</v>
      </c>
      <c r="AE613" s="60">
        <v>148</v>
      </c>
      <c r="AF613" s="191">
        <v>4</v>
      </c>
      <c r="AG613" s="117">
        <v>600000021</v>
      </c>
      <c r="AH613" s="104">
        <f>справочники!$C$13</f>
        <v>0.26800000000000002</v>
      </c>
      <c r="AI613" s="61">
        <f t="shared" si="836"/>
        <v>6</v>
      </c>
      <c r="AJ613" s="122">
        <f t="shared" si="837"/>
        <v>6.3279999999999994</v>
      </c>
      <c r="AK613" s="37">
        <v>8</v>
      </c>
      <c r="AL613" s="38">
        <v>10</v>
      </c>
      <c r="AM613" s="40">
        <f t="shared" ref="AM613" si="871">AK613*AL613</f>
        <v>80</v>
      </c>
      <c r="AN613" s="214">
        <f t="shared" ref="AN613" si="872">IF(D613="ШТ",кол_во_инд.__упак_к*итого_г_у,ROUNDDOWN(номин.вес_нетто_г_у__кг*итого_г_у,1))</f>
        <v>480</v>
      </c>
      <c r="AO613" s="204">
        <f t="shared" si="860"/>
        <v>1625</v>
      </c>
    </row>
    <row r="614" spans="1:41" ht="158.44999999999999" customHeight="1" x14ac:dyDescent="0.2">
      <c r="A614" s="22">
        <f t="shared" si="818"/>
        <v>7084</v>
      </c>
      <c r="B614" s="116">
        <v>1001022467084</v>
      </c>
      <c r="C614" s="48" t="s">
        <v>1059</v>
      </c>
      <c r="D614" s="49" t="s">
        <v>3</v>
      </c>
      <c r="E614" s="146" t="s">
        <v>373</v>
      </c>
      <c r="F614" s="112" t="s">
        <v>39</v>
      </c>
      <c r="G614" s="146" t="s">
        <v>6</v>
      </c>
      <c r="H614" s="49" t="s">
        <v>278</v>
      </c>
      <c r="I614" s="153" t="s">
        <v>1566</v>
      </c>
      <c r="J614" s="149" t="s">
        <v>413</v>
      </c>
      <c r="K614" s="51" t="s">
        <v>1438</v>
      </c>
      <c r="L614" s="52">
        <v>10</v>
      </c>
      <c r="M614" s="53">
        <v>12</v>
      </c>
      <c r="N614" s="54">
        <v>3</v>
      </c>
      <c r="O614" s="88" t="s">
        <v>632</v>
      </c>
      <c r="P614" s="31" t="s">
        <v>104</v>
      </c>
      <c r="Q614" s="87">
        <v>50</v>
      </c>
      <c r="R614" s="87" t="s">
        <v>37</v>
      </c>
      <c r="S614" s="234">
        <v>2850740000000</v>
      </c>
      <c r="T614" s="338">
        <v>12850740000007</v>
      </c>
      <c r="U614" s="46">
        <v>4630362182067</v>
      </c>
      <c r="V614" s="46">
        <v>14630362182064</v>
      </c>
      <c r="W614" s="258">
        <v>300</v>
      </c>
      <c r="X614" s="68">
        <v>190</v>
      </c>
      <c r="Y614" s="68">
        <v>50</v>
      </c>
      <c r="Z614" s="65">
        <v>1.5</v>
      </c>
      <c r="AA614" s="271">
        <v>1.4999999999999999E-2</v>
      </c>
      <c r="AB614" s="66">
        <f t="shared" ref="AB614" si="873">Z614+AA614</f>
        <v>1.5149999999999999</v>
      </c>
      <c r="AC614" s="59">
        <v>388</v>
      </c>
      <c r="AD614" s="60">
        <v>292</v>
      </c>
      <c r="AE614" s="60">
        <v>148</v>
      </c>
      <c r="AF614" s="191">
        <v>4</v>
      </c>
      <c r="AG614" s="117">
        <v>600000021</v>
      </c>
      <c r="AH614" s="104">
        <f>справочники!$C$13</f>
        <v>0.26800000000000002</v>
      </c>
      <c r="AI614" s="61">
        <f t="shared" si="836"/>
        <v>6</v>
      </c>
      <c r="AJ614" s="122">
        <f t="shared" si="837"/>
        <v>6.3279999999999994</v>
      </c>
      <c r="AK614" s="37">
        <v>8</v>
      </c>
      <c r="AL614" s="38">
        <v>10</v>
      </c>
      <c r="AM614" s="40">
        <f t="shared" ref="AM614:AM615" si="874">AK614*AL614</f>
        <v>80</v>
      </c>
      <c r="AN614" s="214">
        <f t="shared" ref="AN614" si="875">IF(D614="ШТ",кол_во_инд.__упак_к*итого_г_у,ROUNDDOWN(номин.вес_нетто_г_у__кг*итого_г_у,1))</f>
        <v>480</v>
      </c>
      <c r="AO614" s="204">
        <f t="shared" si="860"/>
        <v>1625</v>
      </c>
    </row>
    <row r="615" spans="1:41" ht="158.44999999999999" customHeight="1" x14ac:dyDescent="0.2">
      <c r="A615" s="22">
        <f t="shared" si="818"/>
        <v>7617</v>
      </c>
      <c r="B615" s="116">
        <v>1001022467617</v>
      </c>
      <c r="C615" s="48" t="s">
        <v>1817</v>
      </c>
      <c r="D615" s="49" t="s">
        <v>3</v>
      </c>
      <c r="E615" s="146" t="s">
        <v>373</v>
      </c>
      <c r="F615" s="112" t="s">
        <v>39</v>
      </c>
      <c r="G615" s="146" t="s">
        <v>6</v>
      </c>
      <c r="H615" s="49" t="s">
        <v>278</v>
      </c>
      <c r="I615" s="153" t="s">
        <v>1566</v>
      </c>
      <c r="J615" s="149" t="s">
        <v>413</v>
      </c>
      <c r="K615" s="51" t="s">
        <v>1438</v>
      </c>
      <c r="L615" s="52">
        <v>10</v>
      </c>
      <c r="M615" s="53">
        <v>12</v>
      </c>
      <c r="N615" s="54">
        <v>3</v>
      </c>
      <c r="O615" s="88" t="s">
        <v>632</v>
      </c>
      <c r="P615" s="31" t="s">
        <v>104</v>
      </c>
      <c r="Q615" s="87">
        <v>50</v>
      </c>
      <c r="R615" s="87" t="s">
        <v>37</v>
      </c>
      <c r="S615" s="234">
        <v>2101243000005</v>
      </c>
      <c r="T615" s="338">
        <v>12101243000002</v>
      </c>
      <c r="U615" s="46">
        <v>4630362182067</v>
      </c>
      <c r="V615" s="46">
        <v>14630362182064</v>
      </c>
      <c r="W615" s="258">
        <v>300</v>
      </c>
      <c r="X615" s="68">
        <v>190</v>
      </c>
      <c r="Y615" s="68">
        <v>50</v>
      </c>
      <c r="Z615" s="65">
        <v>1.5</v>
      </c>
      <c r="AA615" s="271">
        <v>1.4999999999999999E-2</v>
      </c>
      <c r="AB615" s="66">
        <f>Z615+AA615</f>
        <v>1.5149999999999999</v>
      </c>
      <c r="AC615" s="59">
        <v>388</v>
      </c>
      <c r="AD615" s="60">
        <v>292</v>
      </c>
      <c r="AE615" s="60">
        <v>148</v>
      </c>
      <c r="AF615" s="191">
        <v>4</v>
      </c>
      <c r="AG615" s="117">
        <v>600000021</v>
      </c>
      <c r="AH615" s="104">
        <f>справочники!$C$13</f>
        <v>0.26800000000000002</v>
      </c>
      <c r="AI615" s="61">
        <f t="shared" si="836"/>
        <v>6</v>
      </c>
      <c r="AJ615" s="122">
        <f t="shared" si="837"/>
        <v>6.3279999999999994</v>
      </c>
      <c r="AK615" s="37">
        <v>8</v>
      </c>
      <c r="AL615" s="38">
        <v>10</v>
      </c>
      <c r="AM615" s="40">
        <f t="shared" si="874"/>
        <v>80</v>
      </c>
      <c r="AN615" s="214">
        <f>IF(D615="ШТ",кол_во_инд.__упак_к*итого_г_у,ROUNDDOWN(номин.вес_нетто_г_у__кг*итого_г_у,1))</f>
        <v>480</v>
      </c>
      <c r="AO615" s="204">
        <f t="shared" si="860"/>
        <v>1625</v>
      </c>
    </row>
    <row r="616" spans="1:41" ht="159" customHeight="1" x14ac:dyDescent="0.2">
      <c r="A616" s="22">
        <f t="shared" si="818"/>
        <v>7081</v>
      </c>
      <c r="B616" s="116">
        <v>1001022467081</v>
      </c>
      <c r="C616" s="48" t="s">
        <v>1057</v>
      </c>
      <c r="D616" s="49" t="s">
        <v>3</v>
      </c>
      <c r="E616" s="146" t="s">
        <v>373</v>
      </c>
      <c r="F616" s="112" t="s">
        <v>39</v>
      </c>
      <c r="G616" s="146" t="s">
        <v>6</v>
      </c>
      <c r="H616" s="49" t="s">
        <v>278</v>
      </c>
      <c r="I616" s="153" t="s">
        <v>1566</v>
      </c>
      <c r="J616" s="149" t="s">
        <v>413</v>
      </c>
      <c r="K616" s="51" t="s">
        <v>1438</v>
      </c>
      <c r="L616" s="52">
        <v>10</v>
      </c>
      <c r="M616" s="53">
        <v>12</v>
      </c>
      <c r="N616" s="54">
        <v>3</v>
      </c>
      <c r="O616" s="88" t="s">
        <v>632</v>
      </c>
      <c r="P616" s="31" t="s">
        <v>104</v>
      </c>
      <c r="Q616" s="87">
        <v>50</v>
      </c>
      <c r="R616" s="87" t="s">
        <v>37</v>
      </c>
      <c r="S616" s="234">
        <v>2922737000000</v>
      </c>
      <c r="T616" s="338">
        <v>12922737000007</v>
      </c>
      <c r="U616" s="46">
        <v>4630362182067</v>
      </c>
      <c r="V616" s="46">
        <v>14630362182064</v>
      </c>
      <c r="W616" s="258">
        <v>300</v>
      </c>
      <c r="X616" s="68">
        <v>190</v>
      </c>
      <c r="Y616" s="68">
        <v>50</v>
      </c>
      <c r="Z616" s="65">
        <v>1.5</v>
      </c>
      <c r="AA616" s="271">
        <v>1.4999999999999999E-2</v>
      </c>
      <c r="AB616" s="66">
        <f>Z616+AA616</f>
        <v>1.5149999999999999</v>
      </c>
      <c r="AC616" s="59">
        <v>388</v>
      </c>
      <c r="AD616" s="60">
        <v>292</v>
      </c>
      <c r="AE616" s="60">
        <v>148</v>
      </c>
      <c r="AF616" s="191">
        <v>4</v>
      </c>
      <c r="AG616" s="117">
        <v>600000021</v>
      </c>
      <c r="AH616" s="104">
        <f>справочники!$C$13</f>
        <v>0.26800000000000002</v>
      </c>
      <c r="AI616" s="61">
        <f t="shared" si="836"/>
        <v>6</v>
      </c>
      <c r="AJ616" s="122">
        <f t="shared" si="837"/>
        <v>6.3279999999999994</v>
      </c>
      <c r="AK616" s="37">
        <v>8</v>
      </c>
      <c r="AL616" s="38">
        <v>10</v>
      </c>
      <c r="AM616" s="40">
        <f t="shared" ref="AM616" si="876">AK616*AL616</f>
        <v>80</v>
      </c>
      <c r="AN616" s="214">
        <f>IF(D616="ШТ",кол_во_инд.__упак_к*итого_г_у,ROUNDDOWN(номин.вес_нетто_г_у__кг*итого_г_у,1))</f>
        <v>480</v>
      </c>
      <c r="AO616" s="204">
        <f t="shared" si="860"/>
        <v>1625</v>
      </c>
    </row>
    <row r="617" spans="1:41" ht="191.25" x14ac:dyDescent="0.2">
      <c r="A617" s="22">
        <f t="shared" si="818"/>
        <v>6254</v>
      </c>
      <c r="B617" s="116">
        <v>1001022556254</v>
      </c>
      <c r="C617" s="48" t="s">
        <v>775</v>
      </c>
      <c r="D617" s="49" t="s">
        <v>3</v>
      </c>
      <c r="E617" s="146" t="s">
        <v>373</v>
      </c>
      <c r="F617" s="112" t="s">
        <v>39</v>
      </c>
      <c r="G617" s="146" t="s">
        <v>6</v>
      </c>
      <c r="H617" s="49" t="s">
        <v>278</v>
      </c>
      <c r="I617" s="153" t="s">
        <v>387</v>
      </c>
      <c r="J617" s="150" t="s">
        <v>639</v>
      </c>
      <c r="K617" s="51" t="s">
        <v>1196</v>
      </c>
      <c r="L617" s="52">
        <v>12</v>
      </c>
      <c r="M617" s="53">
        <v>14</v>
      </c>
      <c r="N617" s="54">
        <v>1</v>
      </c>
      <c r="O617" s="88" t="s">
        <v>704</v>
      </c>
      <c r="P617" s="31" t="s">
        <v>104</v>
      </c>
      <c r="Q617" s="49">
        <v>45</v>
      </c>
      <c r="R617" s="49" t="s">
        <v>78</v>
      </c>
      <c r="S617" s="234">
        <v>2973260000005</v>
      </c>
      <c r="T617" s="338">
        <v>12973260000002</v>
      </c>
      <c r="U617" s="46">
        <v>4630362182074</v>
      </c>
      <c r="V617" s="46">
        <v>14630362182071</v>
      </c>
      <c r="W617" s="258">
        <v>300</v>
      </c>
      <c r="X617" s="68">
        <v>160</v>
      </c>
      <c r="Y617" s="68">
        <v>80</v>
      </c>
      <c r="Z617" s="65">
        <v>1.5</v>
      </c>
      <c r="AA617" s="271">
        <v>1.7000000000000001E-2</v>
      </c>
      <c r="AB617" s="66">
        <f>Z617+AA617</f>
        <v>1.5169999999999999</v>
      </c>
      <c r="AC617" s="59">
        <v>292</v>
      </c>
      <c r="AD617" s="60">
        <v>178</v>
      </c>
      <c r="AE617" s="60">
        <v>178</v>
      </c>
      <c r="AF617" s="191">
        <v>2</v>
      </c>
      <c r="AG617" s="117">
        <v>600000029</v>
      </c>
      <c r="AH617" s="104">
        <f>справочники!$C$21</f>
        <v>0.125</v>
      </c>
      <c r="AI617" s="61">
        <f t="shared" si="836"/>
        <v>3</v>
      </c>
      <c r="AJ617" s="122">
        <f t="shared" si="837"/>
        <v>3.1589999999999998</v>
      </c>
      <c r="AK617" s="37">
        <v>16</v>
      </c>
      <c r="AL617" s="38">
        <v>8</v>
      </c>
      <c r="AM617" s="40">
        <f t="shared" si="841"/>
        <v>128</v>
      </c>
      <c r="AN617" s="214">
        <f>IF(D617="ШТ",кол_во_инд.__упак_к*итого_г_у,ROUNDDOWN(номин.вес_нетто_г_у__кг*итого_г_у,1))</f>
        <v>384</v>
      </c>
      <c r="AO617" s="204">
        <f t="shared" si="860"/>
        <v>1569</v>
      </c>
    </row>
    <row r="618" spans="1:41" ht="191.25" x14ac:dyDescent="0.2">
      <c r="A618" s="22">
        <f t="shared" si="818"/>
        <v>7086</v>
      </c>
      <c r="B618" s="116">
        <v>1001022557086</v>
      </c>
      <c r="C618" s="48" t="s">
        <v>1066</v>
      </c>
      <c r="D618" s="49" t="s">
        <v>3</v>
      </c>
      <c r="E618" s="146" t="s">
        <v>373</v>
      </c>
      <c r="F618" s="112" t="s">
        <v>39</v>
      </c>
      <c r="G618" s="146" t="s">
        <v>6</v>
      </c>
      <c r="H618" s="49" t="s">
        <v>278</v>
      </c>
      <c r="I618" s="153" t="s">
        <v>387</v>
      </c>
      <c r="J618" s="150" t="s">
        <v>639</v>
      </c>
      <c r="K618" s="51" t="s">
        <v>1196</v>
      </c>
      <c r="L618" s="52">
        <v>12</v>
      </c>
      <c r="M618" s="53">
        <v>14</v>
      </c>
      <c r="N618" s="54">
        <v>1</v>
      </c>
      <c r="O618" s="88" t="s">
        <v>704</v>
      </c>
      <c r="P618" s="31" t="s">
        <v>104</v>
      </c>
      <c r="Q618" s="49">
        <v>45</v>
      </c>
      <c r="R618" s="49" t="s">
        <v>78</v>
      </c>
      <c r="S618" s="234">
        <v>2100764000006</v>
      </c>
      <c r="T618" s="338">
        <v>12100764000003</v>
      </c>
      <c r="U618" s="46">
        <v>4630362182074</v>
      </c>
      <c r="V618" s="46">
        <v>14630362182071</v>
      </c>
      <c r="W618" s="258">
        <v>300</v>
      </c>
      <c r="X618" s="68">
        <v>160</v>
      </c>
      <c r="Y618" s="68">
        <v>80</v>
      </c>
      <c r="Z618" s="65">
        <v>1.55</v>
      </c>
      <c r="AA618" s="271">
        <v>1.7000000000000001E-2</v>
      </c>
      <c r="AB618" s="66">
        <f>Z618+AA618</f>
        <v>1.5669999999999999</v>
      </c>
      <c r="AC618" s="59">
        <v>292</v>
      </c>
      <c r="AD618" s="60">
        <v>178</v>
      </c>
      <c r="AE618" s="60">
        <v>178</v>
      </c>
      <c r="AF618" s="191">
        <v>2</v>
      </c>
      <c r="AG618" s="117">
        <v>600000029</v>
      </c>
      <c r="AH618" s="104">
        <f>справочники!$C$21</f>
        <v>0.125</v>
      </c>
      <c r="AI618" s="61">
        <f t="shared" si="836"/>
        <v>3.1</v>
      </c>
      <c r="AJ618" s="122">
        <f t="shared" si="837"/>
        <v>3.2589999999999999</v>
      </c>
      <c r="AK618" s="37">
        <v>16</v>
      </c>
      <c r="AL618" s="38">
        <v>8</v>
      </c>
      <c r="AM618" s="40">
        <f t="shared" ref="AM618:AM619" si="877">AK618*AL618</f>
        <v>128</v>
      </c>
      <c r="AN618" s="214">
        <f>IF(D618="ШТ",кол_во_инд.__упак_к*итого_г_у,ROUNDDOWN(номин.вес_нетто_г_у__кг*итого_г_у,1))</f>
        <v>396.8</v>
      </c>
      <c r="AO618" s="204">
        <f t="shared" si="860"/>
        <v>1569</v>
      </c>
    </row>
    <row r="619" spans="1:41" ht="153.75" customHeight="1" x14ac:dyDescent="0.2">
      <c r="A619" s="22">
        <f t="shared" si="818"/>
        <v>7276</v>
      </c>
      <c r="B619" s="116">
        <v>1001022467276</v>
      </c>
      <c r="C619" s="48" t="s">
        <v>1243</v>
      </c>
      <c r="D619" s="81" t="s">
        <v>4</v>
      </c>
      <c r="E619" s="146" t="s">
        <v>373</v>
      </c>
      <c r="F619" s="112" t="s">
        <v>39</v>
      </c>
      <c r="G619" s="224" t="s">
        <v>6</v>
      </c>
      <c r="H619" s="49" t="s">
        <v>278</v>
      </c>
      <c r="I619" s="153" t="s">
        <v>1566</v>
      </c>
      <c r="J619" s="149" t="s">
        <v>413</v>
      </c>
      <c r="K619" s="51" t="s">
        <v>1431</v>
      </c>
      <c r="L619" s="52">
        <v>10</v>
      </c>
      <c r="M619" s="53">
        <v>12</v>
      </c>
      <c r="N619" s="54">
        <v>3</v>
      </c>
      <c r="O619" s="88" t="s">
        <v>632</v>
      </c>
      <c r="P619" s="31" t="s">
        <v>104</v>
      </c>
      <c r="Q619" s="87">
        <v>50</v>
      </c>
      <c r="R619" s="87" t="s">
        <v>37</v>
      </c>
      <c r="S619" s="239">
        <v>4607958079568</v>
      </c>
      <c r="T619" s="344">
        <v>14607958079565</v>
      </c>
      <c r="U619" s="46">
        <v>4607958079568</v>
      </c>
      <c r="V619" s="46">
        <v>14607958079565</v>
      </c>
      <c r="W619" s="258">
        <v>158</v>
      </c>
      <c r="X619" s="68">
        <v>150</v>
      </c>
      <c r="Y619" s="68">
        <v>25</v>
      </c>
      <c r="Z619" s="65">
        <v>0.3</v>
      </c>
      <c r="AA619" s="271">
        <v>1.4999999999999999E-2</v>
      </c>
      <c r="AB619" s="66">
        <f t="shared" ref="AB619" si="878">Z619+AA619</f>
        <v>0.315</v>
      </c>
      <c r="AC619" s="67">
        <v>293</v>
      </c>
      <c r="AD619" s="68">
        <v>153</v>
      </c>
      <c r="AE619" s="68">
        <v>182</v>
      </c>
      <c r="AF619" s="194">
        <v>7</v>
      </c>
      <c r="AG619" s="117">
        <v>600000406</v>
      </c>
      <c r="AH619" s="105">
        <f>справочники!$C$94</f>
        <v>0.11899999999999999</v>
      </c>
      <c r="AI619" s="61">
        <f t="shared" si="836"/>
        <v>2.1</v>
      </c>
      <c r="AJ619" s="141">
        <f t="shared" si="837"/>
        <v>2.3239999999999998</v>
      </c>
      <c r="AK619" s="157">
        <v>20</v>
      </c>
      <c r="AL619" s="34">
        <v>8</v>
      </c>
      <c r="AM619" s="40">
        <f t="shared" si="877"/>
        <v>160</v>
      </c>
      <c r="AN619" s="206">
        <f t="shared" ref="AN619" si="879">IF(D619="ШТ",кол_во_инд.__упак_к*итого_г_у,ROUNDDOWN(номин.вес_нетто_г_у__кг*итого_г_у,1))</f>
        <v>1120</v>
      </c>
      <c r="AO619" s="204">
        <f t="shared" si="860"/>
        <v>1601</v>
      </c>
    </row>
    <row r="620" spans="1:41" ht="153.75" customHeight="1" x14ac:dyDescent="0.2">
      <c r="A620" s="22">
        <f t="shared" si="818"/>
        <v>7080</v>
      </c>
      <c r="B620" s="116">
        <v>1001022467080</v>
      </c>
      <c r="C620" s="48" t="s">
        <v>1063</v>
      </c>
      <c r="D620" s="49" t="s">
        <v>4</v>
      </c>
      <c r="E620" s="146" t="s">
        <v>373</v>
      </c>
      <c r="F620" s="112" t="s">
        <v>39</v>
      </c>
      <c r="G620" s="146" t="s">
        <v>6</v>
      </c>
      <c r="H620" s="49" t="s">
        <v>278</v>
      </c>
      <c r="I620" s="153" t="s">
        <v>1566</v>
      </c>
      <c r="J620" s="149" t="s">
        <v>413</v>
      </c>
      <c r="K620" s="51" t="s">
        <v>1438</v>
      </c>
      <c r="L620" s="52">
        <v>10</v>
      </c>
      <c r="M620" s="53">
        <v>12</v>
      </c>
      <c r="N620" s="54">
        <v>3</v>
      </c>
      <c r="O620" s="88" t="s">
        <v>632</v>
      </c>
      <c r="P620" s="31" t="s">
        <v>104</v>
      </c>
      <c r="Q620" s="49">
        <v>50</v>
      </c>
      <c r="R620" s="49" t="s">
        <v>37</v>
      </c>
      <c r="S620" s="237">
        <v>4607958076055</v>
      </c>
      <c r="T620" s="332">
        <v>14607958076052</v>
      </c>
      <c r="U620" s="46">
        <v>4607958076055</v>
      </c>
      <c r="V620" s="46">
        <v>14607958076052</v>
      </c>
      <c r="W620" s="258">
        <v>150</v>
      </c>
      <c r="X620" s="68">
        <v>154</v>
      </c>
      <c r="Y620" s="68">
        <v>45</v>
      </c>
      <c r="Z620" s="92">
        <v>0.41</v>
      </c>
      <c r="AA620" s="271">
        <v>1.4999999999999999E-2</v>
      </c>
      <c r="AB620" s="94">
        <f>Z620+AA620</f>
        <v>0.42499999999999999</v>
      </c>
      <c r="AC620" s="67">
        <v>315</v>
      </c>
      <c r="AD620" s="68">
        <v>168</v>
      </c>
      <c r="AE620" s="68">
        <v>248</v>
      </c>
      <c r="AF620" s="194">
        <v>10</v>
      </c>
      <c r="AG620" s="117">
        <v>600000429</v>
      </c>
      <c r="AH620" s="104">
        <f>справочники!$C$115</f>
        <v>0.14299999999999999</v>
      </c>
      <c r="AI620" s="61">
        <f t="shared" si="836"/>
        <v>4.0999999999999996</v>
      </c>
      <c r="AJ620" s="141">
        <f t="shared" si="837"/>
        <v>4.3929999999999998</v>
      </c>
      <c r="AK620" s="37">
        <v>17</v>
      </c>
      <c r="AL620" s="38">
        <v>6</v>
      </c>
      <c r="AM620" s="40">
        <f t="shared" ref="AM620" si="880">AK620*AL620</f>
        <v>102</v>
      </c>
      <c r="AN620" s="206">
        <f t="shared" ref="AN620" si="881">IF(D620="ШТ",кол_во_инд.__упак_к*итого_г_у,ROUNDDOWN(номин.вес_нетто_г_у__кг*итого_г_у,1))</f>
        <v>1020</v>
      </c>
      <c r="AO620" s="204">
        <f t="shared" si="860"/>
        <v>1633</v>
      </c>
    </row>
    <row r="621" spans="1:41" ht="229.5" x14ac:dyDescent="0.2">
      <c r="A621" s="22">
        <f t="shared" si="818"/>
        <v>6503</v>
      </c>
      <c r="B621" s="116">
        <v>1001025076503</v>
      </c>
      <c r="C621" s="48" t="s">
        <v>579</v>
      </c>
      <c r="D621" s="49" t="s">
        <v>4</v>
      </c>
      <c r="E621" s="146" t="s">
        <v>373</v>
      </c>
      <c r="F621" s="112" t="s">
        <v>39</v>
      </c>
      <c r="G621" s="146" t="s">
        <v>6</v>
      </c>
      <c r="H621" s="58" t="s">
        <v>278</v>
      </c>
      <c r="I621" s="153" t="s">
        <v>1566</v>
      </c>
      <c r="J621" s="149" t="s">
        <v>412</v>
      </c>
      <c r="K621" s="51" t="s">
        <v>1426</v>
      </c>
      <c r="L621" s="52">
        <v>10</v>
      </c>
      <c r="M621" s="53">
        <v>13</v>
      </c>
      <c r="N621" s="54">
        <v>5</v>
      </c>
      <c r="O621" s="88" t="s">
        <v>798</v>
      </c>
      <c r="P621" s="31" t="s">
        <v>104</v>
      </c>
      <c r="Q621" s="49">
        <v>45</v>
      </c>
      <c r="R621" s="49" t="s">
        <v>37</v>
      </c>
      <c r="S621" s="189">
        <v>4607958074624</v>
      </c>
      <c r="T621" s="337">
        <v>24607958074628</v>
      </c>
      <c r="U621" s="46">
        <v>4607958074624</v>
      </c>
      <c r="V621" s="46">
        <v>24607958074628</v>
      </c>
      <c r="W621" s="258">
        <v>150</v>
      </c>
      <c r="X621" s="68">
        <v>154</v>
      </c>
      <c r="Y621" s="68">
        <v>45</v>
      </c>
      <c r="Z621" s="65">
        <v>0.45</v>
      </c>
      <c r="AA621" s="271">
        <v>1.4999999999999999E-2</v>
      </c>
      <c r="AB621" s="66">
        <f t="shared" ref="AB621:AB635" si="882">Z621+AA621</f>
        <v>0.46500000000000002</v>
      </c>
      <c r="AC621" s="59">
        <v>398</v>
      </c>
      <c r="AD621" s="60">
        <v>298</v>
      </c>
      <c r="AE621" s="60">
        <v>158</v>
      </c>
      <c r="AF621" s="191">
        <v>16</v>
      </c>
      <c r="AG621" s="117">
        <v>600000409</v>
      </c>
      <c r="AH621" s="104">
        <f>справочники!$C$92</f>
        <v>0.254</v>
      </c>
      <c r="AI621" s="61">
        <f t="shared" si="836"/>
        <v>7.2</v>
      </c>
      <c r="AJ621" s="122">
        <f t="shared" si="837"/>
        <v>7.6940000000000008</v>
      </c>
      <c r="AK621" s="37">
        <v>8</v>
      </c>
      <c r="AL621" s="38">
        <v>9</v>
      </c>
      <c r="AM621" s="40">
        <f t="shared" ref="AM621:AM622" si="883">AK621*AL621</f>
        <v>72</v>
      </c>
      <c r="AN621" s="206">
        <f t="shared" ref="AN621:AN622" si="884">IF(D621="ШТ",кол_во_инд.__упак_к*итого_г_у,ROUNDDOWN(номин.вес_нетто_г_у__кг*итого_г_у,1))</f>
        <v>1152</v>
      </c>
      <c r="AO621" s="204">
        <f t="shared" si="860"/>
        <v>1567</v>
      </c>
    </row>
    <row r="622" spans="1:41" ht="229.5" x14ac:dyDescent="0.2">
      <c r="A622" s="22">
        <f t="shared" si="818"/>
        <v>3717</v>
      </c>
      <c r="B622" s="116">
        <v>1001022373717</v>
      </c>
      <c r="C622" s="48" t="s">
        <v>1273</v>
      </c>
      <c r="D622" s="49" t="s">
        <v>3</v>
      </c>
      <c r="E622" s="146" t="s">
        <v>373</v>
      </c>
      <c r="F622" s="112" t="s">
        <v>39</v>
      </c>
      <c r="G622" s="146" t="s">
        <v>6</v>
      </c>
      <c r="H622" s="58" t="s">
        <v>1006</v>
      </c>
      <c r="I622" s="153" t="s">
        <v>1566</v>
      </c>
      <c r="J622" s="149" t="s">
        <v>412</v>
      </c>
      <c r="K622" s="51" t="s">
        <v>1426</v>
      </c>
      <c r="L622" s="52">
        <v>10</v>
      </c>
      <c r="M622" s="53">
        <v>13</v>
      </c>
      <c r="N622" s="54">
        <v>5</v>
      </c>
      <c r="O622" s="88" t="s">
        <v>798</v>
      </c>
      <c r="P622" s="31" t="s">
        <v>104</v>
      </c>
      <c r="Q622" s="49">
        <v>50</v>
      </c>
      <c r="R622" s="49" t="s">
        <v>37</v>
      </c>
      <c r="S622" s="189">
        <v>2504439000009</v>
      </c>
      <c r="T622" s="337">
        <v>12504439000006</v>
      </c>
      <c r="U622" s="46">
        <v>4607958078233</v>
      </c>
      <c r="V622" s="46">
        <v>14607958078230</v>
      </c>
      <c r="W622" s="258">
        <v>300</v>
      </c>
      <c r="X622" s="68">
        <v>190</v>
      </c>
      <c r="Y622" s="68">
        <v>40</v>
      </c>
      <c r="Z622" s="65">
        <v>1</v>
      </c>
      <c r="AA622" s="271">
        <v>1.4999999999999999E-2</v>
      </c>
      <c r="AB622" s="66">
        <f t="shared" si="882"/>
        <v>1.0149999999999999</v>
      </c>
      <c r="AC622" s="59">
        <v>388</v>
      </c>
      <c r="AD622" s="60">
        <v>292</v>
      </c>
      <c r="AE622" s="60">
        <v>148</v>
      </c>
      <c r="AF622" s="191">
        <v>6</v>
      </c>
      <c r="AG622" s="117">
        <v>600000021</v>
      </c>
      <c r="AH622" s="104">
        <f>справочники!$C$13</f>
        <v>0.26800000000000002</v>
      </c>
      <c r="AI622" s="61">
        <f t="shared" si="836"/>
        <v>6</v>
      </c>
      <c r="AJ622" s="122">
        <f t="shared" si="837"/>
        <v>6.3579999999999997</v>
      </c>
      <c r="AK622" s="37">
        <v>8</v>
      </c>
      <c r="AL622" s="38">
        <v>10</v>
      </c>
      <c r="AM622" s="40">
        <f t="shared" si="883"/>
        <v>80</v>
      </c>
      <c r="AN622" s="214">
        <f t="shared" si="884"/>
        <v>480</v>
      </c>
      <c r="AO622" s="204">
        <f t="shared" si="860"/>
        <v>1625</v>
      </c>
    </row>
    <row r="623" spans="1:41" ht="229.5" x14ac:dyDescent="0.2">
      <c r="A623" s="22">
        <f t="shared" si="818"/>
        <v>5063</v>
      </c>
      <c r="B623" s="116">
        <v>1001022375063</v>
      </c>
      <c r="C623" s="48" t="s">
        <v>1432</v>
      </c>
      <c r="D623" s="49" t="s">
        <v>3</v>
      </c>
      <c r="E623" s="146" t="s">
        <v>373</v>
      </c>
      <c r="F623" s="112" t="s">
        <v>39</v>
      </c>
      <c r="G623" s="146" t="s">
        <v>6</v>
      </c>
      <c r="H623" s="58" t="s">
        <v>1006</v>
      </c>
      <c r="I623" s="153" t="s">
        <v>1566</v>
      </c>
      <c r="J623" s="149" t="s">
        <v>412</v>
      </c>
      <c r="K623" s="51" t="s">
        <v>1426</v>
      </c>
      <c r="L623" s="52">
        <v>10</v>
      </c>
      <c r="M623" s="53">
        <v>13</v>
      </c>
      <c r="N623" s="54">
        <v>5</v>
      </c>
      <c r="O623" s="88" t="s">
        <v>798</v>
      </c>
      <c r="P623" s="31" t="s">
        <v>104</v>
      </c>
      <c r="Q623" s="49">
        <v>50</v>
      </c>
      <c r="R623" s="49" t="s">
        <v>37</v>
      </c>
      <c r="S623" s="189">
        <v>2504439000009</v>
      </c>
      <c r="T623" s="337">
        <v>12504439000006</v>
      </c>
      <c r="U623" s="46">
        <v>4607958078233</v>
      </c>
      <c r="V623" s="46">
        <v>14607958078230</v>
      </c>
      <c r="W623" s="258">
        <v>300</v>
      </c>
      <c r="X623" s="68">
        <v>190</v>
      </c>
      <c r="Y623" s="68">
        <v>40</v>
      </c>
      <c r="Z623" s="65">
        <v>1</v>
      </c>
      <c r="AA623" s="271">
        <v>1.4999999999999999E-2</v>
      </c>
      <c r="AB623" s="66">
        <f t="shared" ref="AB623:AB624" si="885">Z623+AA623</f>
        <v>1.0149999999999999</v>
      </c>
      <c r="AC623" s="59">
        <v>388</v>
      </c>
      <c r="AD623" s="60">
        <v>292</v>
      </c>
      <c r="AE623" s="60">
        <v>148</v>
      </c>
      <c r="AF623" s="191">
        <v>6</v>
      </c>
      <c r="AG623" s="117">
        <v>600000021</v>
      </c>
      <c r="AH623" s="104">
        <f>справочники!$C$13</f>
        <v>0.26800000000000002</v>
      </c>
      <c r="AI623" s="61">
        <f t="shared" si="836"/>
        <v>6</v>
      </c>
      <c r="AJ623" s="122">
        <f t="shared" si="837"/>
        <v>6.3579999999999997</v>
      </c>
      <c r="AK623" s="37">
        <v>8</v>
      </c>
      <c r="AL623" s="38">
        <v>10</v>
      </c>
      <c r="AM623" s="40">
        <f t="shared" ref="AM623:AM624" si="886">AK623*AL623</f>
        <v>80</v>
      </c>
      <c r="AN623" s="214">
        <f t="shared" ref="AN623:AN624" si="887">IF(D623="ШТ",кол_во_инд.__упак_к*итого_г_у,ROUNDDOWN(номин.вес_нетто_г_у__кг*итого_г_у,1))</f>
        <v>480</v>
      </c>
      <c r="AO623" s="204">
        <f t="shared" si="860"/>
        <v>1625</v>
      </c>
    </row>
    <row r="624" spans="1:41" ht="229.5" x14ac:dyDescent="0.2">
      <c r="A624" s="22">
        <f t="shared" si="818"/>
        <v>7675</v>
      </c>
      <c r="B624" s="116">
        <v>1001022377675</v>
      </c>
      <c r="C624" s="48" t="s">
        <v>2075</v>
      </c>
      <c r="D624" s="49" t="s">
        <v>3</v>
      </c>
      <c r="E624" s="146" t="s">
        <v>373</v>
      </c>
      <c r="F624" s="112" t="s">
        <v>39</v>
      </c>
      <c r="G624" s="146" t="s">
        <v>6</v>
      </c>
      <c r="H624" s="58" t="s">
        <v>1</v>
      </c>
      <c r="I624" s="153" t="s">
        <v>1566</v>
      </c>
      <c r="J624" s="149" t="s">
        <v>412</v>
      </c>
      <c r="K624" s="51" t="s">
        <v>1426</v>
      </c>
      <c r="L624" s="52">
        <v>10</v>
      </c>
      <c r="M624" s="53">
        <v>13</v>
      </c>
      <c r="N624" s="54">
        <v>5</v>
      </c>
      <c r="O624" s="88" t="s">
        <v>798</v>
      </c>
      <c r="P624" s="31" t="s">
        <v>104</v>
      </c>
      <c r="Q624" s="49">
        <v>50</v>
      </c>
      <c r="R624" s="49" t="s">
        <v>37</v>
      </c>
      <c r="S624" s="189">
        <v>2453511000003</v>
      </c>
      <c r="T624" s="337">
        <v>12453511000000</v>
      </c>
      <c r="U624" s="46">
        <v>4607958078233</v>
      </c>
      <c r="V624" s="46">
        <v>14607958078230</v>
      </c>
      <c r="W624" s="258">
        <v>300</v>
      </c>
      <c r="X624" s="68">
        <v>190</v>
      </c>
      <c r="Y624" s="68">
        <v>40</v>
      </c>
      <c r="Z624" s="65">
        <v>1</v>
      </c>
      <c r="AA624" s="271">
        <v>1.4999999999999999E-2</v>
      </c>
      <c r="AB624" s="66">
        <f t="shared" si="885"/>
        <v>1.0149999999999999</v>
      </c>
      <c r="AC624" s="59">
        <v>388</v>
      </c>
      <c r="AD624" s="60">
        <v>292</v>
      </c>
      <c r="AE624" s="60">
        <v>148</v>
      </c>
      <c r="AF624" s="191">
        <v>6</v>
      </c>
      <c r="AG624" s="117">
        <v>600000021</v>
      </c>
      <c r="AH624" s="104">
        <f>справочники!$C$13</f>
        <v>0.26800000000000002</v>
      </c>
      <c r="AI624" s="61">
        <f t="shared" si="836"/>
        <v>6</v>
      </c>
      <c r="AJ624" s="122">
        <f t="shared" si="837"/>
        <v>6.3579999999999997</v>
      </c>
      <c r="AK624" s="37">
        <v>8</v>
      </c>
      <c r="AL624" s="38">
        <v>10</v>
      </c>
      <c r="AM624" s="40">
        <f t="shared" si="886"/>
        <v>80</v>
      </c>
      <c r="AN624" s="214">
        <f t="shared" si="887"/>
        <v>480</v>
      </c>
      <c r="AO624" s="204">
        <f t="shared" si="860"/>
        <v>1625</v>
      </c>
    </row>
    <row r="625" spans="1:41" ht="229.5" x14ac:dyDescent="0.2">
      <c r="A625" s="22">
        <f t="shared" si="818"/>
        <v>7071</v>
      </c>
      <c r="B625" s="116">
        <v>1001022377071</v>
      </c>
      <c r="C625" s="48" t="s">
        <v>1050</v>
      </c>
      <c r="D625" s="49" t="s">
        <v>3</v>
      </c>
      <c r="E625" s="146" t="s">
        <v>373</v>
      </c>
      <c r="F625" s="112" t="s">
        <v>39</v>
      </c>
      <c r="G625" s="146" t="s">
        <v>6</v>
      </c>
      <c r="H625" s="58" t="s">
        <v>1006</v>
      </c>
      <c r="I625" s="153" t="s">
        <v>1566</v>
      </c>
      <c r="J625" s="149" t="s">
        <v>412</v>
      </c>
      <c r="K625" s="51" t="s">
        <v>1426</v>
      </c>
      <c r="L625" s="52">
        <v>10</v>
      </c>
      <c r="M625" s="53">
        <v>13</v>
      </c>
      <c r="N625" s="54">
        <v>5</v>
      </c>
      <c r="O625" s="88" t="s">
        <v>798</v>
      </c>
      <c r="P625" s="31" t="s">
        <v>104</v>
      </c>
      <c r="Q625" s="49">
        <v>50</v>
      </c>
      <c r="R625" s="49" t="s">
        <v>37</v>
      </c>
      <c r="S625" s="237" t="s">
        <v>137</v>
      </c>
      <c r="T625" s="332">
        <v>12942280000002</v>
      </c>
      <c r="U625" s="46">
        <v>4607958078233</v>
      </c>
      <c r="V625" s="46">
        <v>14607958078230</v>
      </c>
      <c r="W625" s="258">
        <v>300</v>
      </c>
      <c r="X625" s="68">
        <v>190</v>
      </c>
      <c r="Y625" s="68">
        <v>50</v>
      </c>
      <c r="Z625" s="65">
        <v>1.5</v>
      </c>
      <c r="AA625" s="271">
        <v>1.4999999999999999E-2</v>
      </c>
      <c r="AB625" s="66">
        <f t="shared" ref="AB625:AB628" si="888">Z625+AA625</f>
        <v>1.5149999999999999</v>
      </c>
      <c r="AC625" s="59">
        <v>388</v>
      </c>
      <c r="AD625" s="60">
        <v>292</v>
      </c>
      <c r="AE625" s="60">
        <v>148</v>
      </c>
      <c r="AF625" s="191">
        <v>4</v>
      </c>
      <c r="AG625" s="117">
        <v>600000021</v>
      </c>
      <c r="AH625" s="104">
        <f>справочники!$C$13</f>
        <v>0.26800000000000002</v>
      </c>
      <c r="AI625" s="61">
        <f t="shared" si="836"/>
        <v>6</v>
      </c>
      <c r="AJ625" s="122">
        <f t="shared" si="837"/>
        <v>6.3279999999999994</v>
      </c>
      <c r="AK625" s="37">
        <v>8</v>
      </c>
      <c r="AL625" s="38">
        <v>10</v>
      </c>
      <c r="AM625" s="40">
        <f t="shared" ref="AM625" si="889">AK625*AL625</f>
        <v>80</v>
      </c>
      <c r="AN625" s="214">
        <f t="shared" ref="AN625" si="890">IF(D625="ШТ",кол_во_инд.__упак_к*итого_г_у,ROUNDDOWN(номин.вес_нетто_г_у__кг*итого_г_у,1))</f>
        <v>480</v>
      </c>
      <c r="AO625" s="204">
        <f t="shared" si="860"/>
        <v>1625</v>
      </c>
    </row>
    <row r="626" spans="1:41" ht="229.5" x14ac:dyDescent="0.2">
      <c r="A626" s="22">
        <f t="shared" si="818"/>
        <v>7070</v>
      </c>
      <c r="B626" s="116">
        <v>1001022377070</v>
      </c>
      <c r="C626" s="48" t="s">
        <v>1049</v>
      </c>
      <c r="D626" s="49" t="s">
        <v>3</v>
      </c>
      <c r="E626" s="146" t="s">
        <v>373</v>
      </c>
      <c r="F626" s="112" t="s">
        <v>39</v>
      </c>
      <c r="G626" s="146" t="s">
        <v>6</v>
      </c>
      <c r="H626" s="58" t="s">
        <v>1006</v>
      </c>
      <c r="I626" s="153" t="s">
        <v>1566</v>
      </c>
      <c r="J626" s="149" t="s">
        <v>412</v>
      </c>
      <c r="K626" s="51" t="s">
        <v>1426</v>
      </c>
      <c r="L626" s="52">
        <v>10</v>
      </c>
      <c r="M626" s="53">
        <v>13</v>
      </c>
      <c r="N626" s="54">
        <v>5</v>
      </c>
      <c r="O626" s="88" t="s">
        <v>798</v>
      </c>
      <c r="P626" s="31" t="s">
        <v>104</v>
      </c>
      <c r="Q626" s="49">
        <v>50</v>
      </c>
      <c r="R626" s="49" t="s">
        <v>37</v>
      </c>
      <c r="S626" s="189">
        <v>2535001000004</v>
      </c>
      <c r="T626" s="337">
        <v>12535001000001</v>
      </c>
      <c r="U626" s="46">
        <v>4607958078233</v>
      </c>
      <c r="V626" s="46">
        <v>14607958078230</v>
      </c>
      <c r="W626" s="258">
        <v>300</v>
      </c>
      <c r="X626" s="68">
        <v>190</v>
      </c>
      <c r="Y626" s="68">
        <v>50</v>
      </c>
      <c r="Z626" s="65">
        <v>1.5</v>
      </c>
      <c r="AA626" s="271">
        <v>1.4999999999999999E-2</v>
      </c>
      <c r="AB626" s="66">
        <f t="shared" si="888"/>
        <v>1.5149999999999999</v>
      </c>
      <c r="AC626" s="59">
        <v>388</v>
      </c>
      <c r="AD626" s="60">
        <v>292</v>
      </c>
      <c r="AE626" s="60">
        <v>148</v>
      </c>
      <c r="AF626" s="191">
        <v>4</v>
      </c>
      <c r="AG626" s="117">
        <v>600000021</v>
      </c>
      <c r="AH626" s="104">
        <f>справочники!$C$13</f>
        <v>0.26800000000000002</v>
      </c>
      <c r="AI626" s="61">
        <f t="shared" si="836"/>
        <v>6</v>
      </c>
      <c r="AJ626" s="122">
        <f t="shared" si="837"/>
        <v>6.3279999999999994</v>
      </c>
      <c r="AK626" s="37">
        <v>8</v>
      </c>
      <c r="AL626" s="38">
        <v>10</v>
      </c>
      <c r="AM626" s="40">
        <f t="shared" ref="AM626" si="891">AK626*AL626</f>
        <v>80</v>
      </c>
      <c r="AN626" s="214">
        <f t="shared" ref="AN626" si="892">IF(D626="ШТ",кол_во_инд.__упак_к*итого_г_у,ROUNDDOWN(номин.вес_нетто_г_у__кг*итого_г_у,1))</f>
        <v>480</v>
      </c>
      <c r="AO626" s="204">
        <f t="shared" si="860"/>
        <v>1625</v>
      </c>
    </row>
    <row r="627" spans="1:41" ht="229.5" x14ac:dyDescent="0.2">
      <c r="A627" s="22">
        <f t="shared" si="818"/>
        <v>7068</v>
      </c>
      <c r="B627" s="116">
        <v>1001022377068</v>
      </c>
      <c r="C627" s="48" t="s">
        <v>1048</v>
      </c>
      <c r="D627" s="49" t="s">
        <v>3</v>
      </c>
      <c r="E627" s="146" t="s">
        <v>373</v>
      </c>
      <c r="F627" s="112" t="s">
        <v>39</v>
      </c>
      <c r="G627" s="146" t="s">
        <v>6</v>
      </c>
      <c r="H627" s="49" t="s">
        <v>278</v>
      </c>
      <c r="I627" s="153" t="s">
        <v>1566</v>
      </c>
      <c r="J627" s="149" t="s">
        <v>412</v>
      </c>
      <c r="K627" s="51" t="s">
        <v>1426</v>
      </c>
      <c r="L627" s="52">
        <v>10</v>
      </c>
      <c r="M627" s="53">
        <v>13</v>
      </c>
      <c r="N627" s="54">
        <v>5</v>
      </c>
      <c r="O627" s="88" t="s">
        <v>798</v>
      </c>
      <c r="P627" s="31" t="s">
        <v>104</v>
      </c>
      <c r="Q627" s="49">
        <v>50</v>
      </c>
      <c r="R627" s="49" t="s">
        <v>37</v>
      </c>
      <c r="S627" s="237" t="s">
        <v>138</v>
      </c>
      <c r="T627" s="332">
        <v>12967278000000</v>
      </c>
      <c r="U627" s="46">
        <v>4607958078233</v>
      </c>
      <c r="V627" s="46">
        <v>14607958078230</v>
      </c>
      <c r="W627" s="258">
        <v>300</v>
      </c>
      <c r="X627" s="68">
        <v>190</v>
      </c>
      <c r="Y627" s="68">
        <v>50</v>
      </c>
      <c r="Z627" s="65">
        <v>1.5</v>
      </c>
      <c r="AA627" s="271">
        <v>1.4999999999999999E-2</v>
      </c>
      <c r="AB627" s="66">
        <f t="shared" si="888"/>
        <v>1.5149999999999999</v>
      </c>
      <c r="AC627" s="59">
        <v>388</v>
      </c>
      <c r="AD627" s="60">
        <v>292</v>
      </c>
      <c r="AE627" s="60">
        <v>148</v>
      </c>
      <c r="AF627" s="191">
        <v>4</v>
      </c>
      <c r="AG627" s="117">
        <v>600000021</v>
      </c>
      <c r="AH627" s="104">
        <f>справочники!$C$13</f>
        <v>0.26800000000000002</v>
      </c>
      <c r="AI627" s="61">
        <f t="shared" si="836"/>
        <v>6</v>
      </c>
      <c r="AJ627" s="122">
        <f t="shared" si="837"/>
        <v>6.3279999999999994</v>
      </c>
      <c r="AK627" s="37">
        <v>8</v>
      </c>
      <c r="AL627" s="38">
        <v>10</v>
      </c>
      <c r="AM627" s="40">
        <f t="shared" ref="AM627:AM628" si="893">AK627*AL627</f>
        <v>80</v>
      </c>
      <c r="AN627" s="214">
        <f t="shared" ref="AN627:AN628" si="894">IF(D627="ШТ",кол_во_инд.__упак_к*итого_г_у,ROUNDDOWN(номин.вес_нетто_г_у__кг*итого_г_у,1))</f>
        <v>480</v>
      </c>
      <c r="AO627" s="204">
        <f t="shared" si="860"/>
        <v>1625</v>
      </c>
    </row>
    <row r="628" spans="1:41" ht="229.5" x14ac:dyDescent="0.2">
      <c r="A628" s="22">
        <f t="shared" si="818"/>
        <v>7521</v>
      </c>
      <c r="B628" s="116">
        <v>1001021007521</v>
      </c>
      <c r="C628" s="48" t="s">
        <v>1638</v>
      </c>
      <c r="D628" s="49" t="s">
        <v>4</v>
      </c>
      <c r="E628" s="146" t="s">
        <v>373</v>
      </c>
      <c r="F628" s="112" t="s">
        <v>39</v>
      </c>
      <c r="G628" s="146" t="s">
        <v>6</v>
      </c>
      <c r="H628" s="58" t="s">
        <v>278</v>
      </c>
      <c r="I628" s="153" t="s">
        <v>1566</v>
      </c>
      <c r="J628" s="149" t="s">
        <v>412</v>
      </c>
      <c r="K628" s="51" t="s">
        <v>1426</v>
      </c>
      <c r="L628" s="52">
        <v>10</v>
      </c>
      <c r="M628" s="53">
        <v>13</v>
      </c>
      <c r="N628" s="54">
        <v>5</v>
      </c>
      <c r="O628" s="88" t="s">
        <v>798</v>
      </c>
      <c r="P628" s="31" t="s">
        <v>104</v>
      </c>
      <c r="Q628" s="49">
        <v>45</v>
      </c>
      <c r="R628" s="49" t="s">
        <v>37</v>
      </c>
      <c r="S628" s="189">
        <v>4630362182135</v>
      </c>
      <c r="T628" s="337">
        <v>14630362182132</v>
      </c>
      <c r="U628" s="46">
        <v>4630362182135</v>
      </c>
      <c r="V628" s="46">
        <v>14630362182132</v>
      </c>
      <c r="W628" s="258">
        <v>150</v>
      </c>
      <c r="X628" s="68">
        <v>154</v>
      </c>
      <c r="Y628" s="68">
        <v>45</v>
      </c>
      <c r="Z628" s="65">
        <v>0.5</v>
      </c>
      <c r="AA628" s="271">
        <v>1.4999999999999999E-2</v>
      </c>
      <c r="AB628" s="66">
        <f t="shared" si="888"/>
        <v>0.51500000000000001</v>
      </c>
      <c r="AC628" s="37">
        <v>315</v>
      </c>
      <c r="AD628" s="38">
        <v>168</v>
      </c>
      <c r="AE628" s="38">
        <v>248</v>
      </c>
      <c r="AF628" s="191">
        <v>10</v>
      </c>
      <c r="AG628" s="117">
        <v>600000429</v>
      </c>
      <c r="AH628" s="104">
        <f>справочники!$C$115</f>
        <v>0.14299999999999999</v>
      </c>
      <c r="AI628" s="61">
        <f t="shared" si="836"/>
        <v>5</v>
      </c>
      <c r="AJ628" s="122">
        <f t="shared" si="837"/>
        <v>5.2930000000000001</v>
      </c>
      <c r="AK628" s="37">
        <v>17</v>
      </c>
      <c r="AL628" s="38">
        <v>6</v>
      </c>
      <c r="AM628" s="40">
        <f t="shared" si="893"/>
        <v>102</v>
      </c>
      <c r="AN628" s="206">
        <f t="shared" si="894"/>
        <v>1020</v>
      </c>
      <c r="AO628" s="204">
        <f t="shared" si="860"/>
        <v>1633</v>
      </c>
    </row>
    <row r="629" spans="1:41" ht="229.5" x14ac:dyDescent="0.2">
      <c r="A629" s="22">
        <f t="shared" si="818"/>
        <v>7560</v>
      </c>
      <c r="B629" s="116">
        <v>1001022377560</v>
      </c>
      <c r="C629" s="48" t="s">
        <v>1745</v>
      </c>
      <c r="D629" s="49" t="s">
        <v>4</v>
      </c>
      <c r="E629" s="146" t="s">
        <v>373</v>
      </c>
      <c r="F629" s="112" t="s">
        <v>39</v>
      </c>
      <c r="G629" s="146" t="s">
        <v>6</v>
      </c>
      <c r="H629" s="58" t="s">
        <v>278</v>
      </c>
      <c r="I629" s="153" t="s">
        <v>1566</v>
      </c>
      <c r="J629" s="149" t="s">
        <v>412</v>
      </c>
      <c r="K629" s="51" t="s">
        <v>1426</v>
      </c>
      <c r="L629" s="52">
        <v>10</v>
      </c>
      <c r="M629" s="53">
        <v>13</v>
      </c>
      <c r="N629" s="54">
        <v>5</v>
      </c>
      <c r="O629" s="88" t="s">
        <v>798</v>
      </c>
      <c r="P629" s="31" t="s">
        <v>104</v>
      </c>
      <c r="Q629" s="49">
        <v>50</v>
      </c>
      <c r="R629" s="49" t="s">
        <v>37</v>
      </c>
      <c r="S629" s="189">
        <v>4630362182272</v>
      </c>
      <c r="T629" s="337">
        <v>14630362182279</v>
      </c>
      <c r="U629" s="46">
        <v>4630362182272</v>
      </c>
      <c r="V629" s="46">
        <v>14630362182279</v>
      </c>
      <c r="W629" s="258">
        <v>150</v>
      </c>
      <c r="X629" s="68">
        <v>154</v>
      </c>
      <c r="Y629" s="68">
        <v>45</v>
      </c>
      <c r="Z629" s="65">
        <v>0.5</v>
      </c>
      <c r="AA629" s="271">
        <v>1.4999999999999999E-2</v>
      </c>
      <c r="AB629" s="66">
        <f t="shared" ref="AB629" si="895">Z629+AA629</f>
        <v>0.51500000000000001</v>
      </c>
      <c r="AC629" s="37">
        <v>315</v>
      </c>
      <c r="AD629" s="38">
        <v>168</v>
      </c>
      <c r="AE629" s="38">
        <v>188</v>
      </c>
      <c r="AF629" s="191">
        <v>8</v>
      </c>
      <c r="AG629" s="117">
        <v>600000428</v>
      </c>
      <c r="AH629" s="104">
        <f>справочники!$C$114</f>
        <v>0.123</v>
      </c>
      <c r="AI629" s="61">
        <f t="shared" si="836"/>
        <v>4</v>
      </c>
      <c r="AJ629" s="122">
        <f t="shared" si="837"/>
        <v>4.2430000000000003</v>
      </c>
      <c r="AK629" s="37">
        <v>17</v>
      </c>
      <c r="AL629" s="38">
        <v>8</v>
      </c>
      <c r="AM629" s="40">
        <f t="shared" ref="AM629" si="896">AK629*AL629</f>
        <v>136</v>
      </c>
      <c r="AN629" s="206">
        <f t="shared" ref="AN629" si="897">IF(D629="ШТ",кол_во_инд.__упак_к*итого_г_у,ROUNDDOWN(номин.вес_нетто_г_у__кг*итого_г_у,1))</f>
        <v>1088</v>
      </c>
      <c r="AO629" s="204">
        <f t="shared" si="860"/>
        <v>1649</v>
      </c>
    </row>
    <row r="630" spans="1:41" ht="229.5" x14ac:dyDescent="0.2">
      <c r="A630" s="22">
        <f t="shared" si="818"/>
        <v>7064</v>
      </c>
      <c r="B630" s="116">
        <v>1001022377064</v>
      </c>
      <c r="C630" s="48" t="s">
        <v>1047</v>
      </c>
      <c r="D630" s="49" t="s">
        <v>4</v>
      </c>
      <c r="E630" s="146" t="s">
        <v>373</v>
      </c>
      <c r="F630" s="112" t="s">
        <v>39</v>
      </c>
      <c r="G630" s="146" t="s">
        <v>6</v>
      </c>
      <c r="H630" s="58" t="s">
        <v>292</v>
      </c>
      <c r="I630" s="153" t="s">
        <v>1566</v>
      </c>
      <c r="J630" s="149" t="s">
        <v>412</v>
      </c>
      <c r="K630" s="51" t="s">
        <v>1426</v>
      </c>
      <c r="L630" s="52">
        <v>10</v>
      </c>
      <c r="M630" s="53">
        <v>13</v>
      </c>
      <c r="N630" s="54">
        <v>5</v>
      </c>
      <c r="O630" s="88" t="s">
        <v>798</v>
      </c>
      <c r="P630" s="31" t="s">
        <v>104</v>
      </c>
      <c r="Q630" s="49">
        <v>50</v>
      </c>
      <c r="R630" s="82" t="s">
        <v>37</v>
      </c>
      <c r="S630" s="189">
        <v>4630362180421</v>
      </c>
      <c r="T630" s="337">
        <v>14630362180428</v>
      </c>
      <c r="U630" s="46">
        <v>4630362180421</v>
      </c>
      <c r="V630" s="46">
        <v>14630362180428</v>
      </c>
      <c r="W630" s="258">
        <v>185</v>
      </c>
      <c r="X630" s="68">
        <v>130</v>
      </c>
      <c r="Y630" s="68">
        <v>20</v>
      </c>
      <c r="Z630" s="65">
        <v>0.35</v>
      </c>
      <c r="AA630" s="271">
        <v>5.0000000000000001E-3</v>
      </c>
      <c r="AB630" s="66">
        <f t="shared" ref="AB630" si="898">Z630+AA630</f>
        <v>0.35499999999999998</v>
      </c>
      <c r="AC630" s="59">
        <v>340</v>
      </c>
      <c r="AD630" s="60">
        <v>127</v>
      </c>
      <c r="AE630" s="60">
        <v>108</v>
      </c>
      <c r="AF630" s="191">
        <v>8</v>
      </c>
      <c r="AG630" s="117">
        <v>600000250</v>
      </c>
      <c r="AH630" s="104">
        <f>справочники!$C$53</f>
        <v>7.5999999999999998E-2</v>
      </c>
      <c r="AI630" s="61">
        <f t="shared" ref="AI630:AI679" si="899">ROUNDDOWN(номин.вес_нетто__кг*кол_во_инд.__упак_к,2)</f>
        <v>2.8</v>
      </c>
      <c r="AJ630" s="122">
        <f t="shared" ref="AJ630:AJ679" si="900">(номин.вес_брутто__кг*кол_во_инд.__упак_к)+вес_короба__кг</f>
        <v>2.9159999999999999</v>
      </c>
      <c r="AK630" s="37">
        <v>16</v>
      </c>
      <c r="AL630" s="38">
        <v>13</v>
      </c>
      <c r="AM630" s="40">
        <f t="shared" ref="AM630" si="901">AK630*AL630</f>
        <v>208</v>
      </c>
      <c r="AN630" s="206">
        <f t="shared" ref="AN630" si="902">IF(D630="ШТ",кол_во_инд.__упак_к*итого_г_у,ROUNDDOWN(номин.вес_нетто_г_у__кг*итого_г_у,1))</f>
        <v>1664</v>
      </c>
      <c r="AO630" s="204">
        <f t="shared" si="860"/>
        <v>1549</v>
      </c>
    </row>
    <row r="631" spans="1:41" s="22" customFormat="1" ht="216.75" x14ac:dyDescent="0.2">
      <c r="A631" s="22">
        <f t="shared" si="818"/>
        <v>5819</v>
      </c>
      <c r="B631" s="116">
        <v>1001022725819</v>
      </c>
      <c r="C631" s="48" t="s">
        <v>255</v>
      </c>
      <c r="D631" s="49" t="s">
        <v>4</v>
      </c>
      <c r="E631" s="146" t="s">
        <v>373</v>
      </c>
      <c r="F631" s="112" t="s">
        <v>39</v>
      </c>
      <c r="G631" s="146" t="s">
        <v>6</v>
      </c>
      <c r="H631" s="49" t="s">
        <v>278</v>
      </c>
      <c r="I631" s="153" t="s">
        <v>1566</v>
      </c>
      <c r="J631" s="149" t="s">
        <v>412</v>
      </c>
      <c r="K631" s="51" t="s">
        <v>2100</v>
      </c>
      <c r="L631" s="52">
        <v>10</v>
      </c>
      <c r="M631" s="53">
        <v>13</v>
      </c>
      <c r="N631" s="54">
        <v>5</v>
      </c>
      <c r="O631" s="88" t="s">
        <v>798</v>
      </c>
      <c r="P631" s="31" t="s">
        <v>104</v>
      </c>
      <c r="Q631" s="87">
        <v>45</v>
      </c>
      <c r="R631" s="82" t="s">
        <v>37</v>
      </c>
      <c r="S631" s="238">
        <v>4607958073405</v>
      </c>
      <c r="T631" s="339">
        <v>14607958073402</v>
      </c>
      <c r="U631" s="46">
        <v>4607958073405</v>
      </c>
      <c r="V631" s="46">
        <v>14607958073402</v>
      </c>
      <c r="W631" s="258">
        <v>193</v>
      </c>
      <c r="X631" s="68">
        <v>150</v>
      </c>
      <c r="Y631" s="68">
        <v>25</v>
      </c>
      <c r="Z631" s="65">
        <v>0.4</v>
      </c>
      <c r="AA631" s="271">
        <v>5.0000000000000001E-3</v>
      </c>
      <c r="AB631" s="66">
        <f t="shared" si="882"/>
        <v>0.40500000000000003</v>
      </c>
      <c r="AC631" s="59">
        <v>378</v>
      </c>
      <c r="AD631" s="60">
        <v>156</v>
      </c>
      <c r="AE631" s="68">
        <v>111</v>
      </c>
      <c r="AF631" s="191">
        <v>8</v>
      </c>
      <c r="AG631" s="117">
        <v>600000220</v>
      </c>
      <c r="AH631" s="104">
        <f>справочники!$C$49</f>
        <v>0.105</v>
      </c>
      <c r="AI631" s="61">
        <f t="shared" si="899"/>
        <v>3.2</v>
      </c>
      <c r="AJ631" s="122">
        <f t="shared" si="900"/>
        <v>3.3450000000000002</v>
      </c>
      <c r="AK631" s="37">
        <v>15</v>
      </c>
      <c r="AL631" s="38">
        <v>14</v>
      </c>
      <c r="AM631" s="40">
        <f t="shared" ref="AM631:AM678" si="903">AK631*AL631</f>
        <v>210</v>
      </c>
      <c r="AN631" s="206">
        <f t="shared" ref="AN631:AN635" si="904">IF(D631="ШТ",кол_во_инд.__упак_к*итого_г_у,ROUNDDOWN(номин.вес_нетто_г_у__кг*итого_г_у,1))</f>
        <v>1680</v>
      </c>
      <c r="AO631" s="204">
        <f t="shared" si="860"/>
        <v>1699</v>
      </c>
    </row>
    <row r="632" spans="1:41" s="22" customFormat="1" ht="216.75" x14ac:dyDescent="0.2">
      <c r="A632" s="22">
        <f t="shared" si="818"/>
        <v>6947</v>
      </c>
      <c r="B632" s="116">
        <v>1001022726947</v>
      </c>
      <c r="C632" s="48" t="s">
        <v>1109</v>
      </c>
      <c r="D632" s="49" t="s">
        <v>4</v>
      </c>
      <c r="E632" s="146" t="s">
        <v>373</v>
      </c>
      <c r="F632" s="112" t="s">
        <v>39</v>
      </c>
      <c r="G632" s="146" t="s">
        <v>6</v>
      </c>
      <c r="H632" s="49" t="s">
        <v>278</v>
      </c>
      <c r="I632" s="153" t="s">
        <v>1566</v>
      </c>
      <c r="J632" s="149" t="s">
        <v>412</v>
      </c>
      <c r="K632" s="51" t="s">
        <v>2100</v>
      </c>
      <c r="L632" s="52">
        <v>10</v>
      </c>
      <c r="M632" s="53">
        <v>13</v>
      </c>
      <c r="N632" s="54">
        <v>5</v>
      </c>
      <c r="O632" s="88" t="s">
        <v>798</v>
      </c>
      <c r="P632" s="31" t="s">
        <v>104</v>
      </c>
      <c r="Q632" s="87">
        <v>45</v>
      </c>
      <c r="R632" s="82" t="s">
        <v>78</v>
      </c>
      <c r="S632" s="238">
        <v>4607958078608</v>
      </c>
      <c r="T632" s="339">
        <v>14607958078605</v>
      </c>
      <c r="U632" s="46">
        <v>4607958078608</v>
      </c>
      <c r="V632" s="46">
        <v>14607958078605</v>
      </c>
      <c r="W632" s="258">
        <v>193</v>
      </c>
      <c r="X632" s="68">
        <v>150</v>
      </c>
      <c r="Y632" s="68">
        <v>50</v>
      </c>
      <c r="Z632" s="65">
        <v>0.64</v>
      </c>
      <c r="AA632" s="271">
        <v>8.0000000000000002E-3</v>
      </c>
      <c r="AB632" s="66">
        <f t="shared" ref="AB632" si="905">Z632+AA632</f>
        <v>0.64800000000000002</v>
      </c>
      <c r="AC632" s="59">
        <v>230</v>
      </c>
      <c r="AD632" s="60">
        <v>216</v>
      </c>
      <c r="AE632" s="68">
        <v>138</v>
      </c>
      <c r="AF632" s="191">
        <v>6</v>
      </c>
      <c r="AG632" s="117">
        <v>600000390</v>
      </c>
      <c r="AH632" s="104">
        <f>справочники!$C$90</f>
        <v>0.14699999999999999</v>
      </c>
      <c r="AI632" s="61">
        <f t="shared" si="899"/>
        <v>3.84</v>
      </c>
      <c r="AJ632" s="122">
        <f t="shared" si="900"/>
        <v>4.0350000000000001</v>
      </c>
      <c r="AK632" s="37">
        <v>15</v>
      </c>
      <c r="AL632" s="38">
        <v>11</v>
      </c>
      <c r="AM632" s="40">
        <f t="shared" ref="AM632" si="906">AK632*AL632</f>
        <v>165</v>
      </c>
      <c r="AN632" s="206">
        <f t="shared" ref="AN632" si="907">IF(D632="ШТ",кол_во_инд.__упак_к*итого_г_у,ROUNDDOWN(номин.вес_нетто_г_у__кг*итого_г_у,1))</f>
        <v>990</v>
      </c>
      <c r="AO632" s="204">
        <f t="shared" si="860"/>
        <v>1663</v>
      </c>
    </row>
    <row r="633" spans="1:41" ht="191.25" x14ac:dyDescent="0.2">
      <c r="A633" s="22">
        <f t="shared" si="818"/>
        <v>7255</v>
      </c>
      <c r="B633" s="116">
        <v>1001025507255</v>
      </c>
      <c r="C633" s="48" t="s">
        <v>1219</v>
      </c>
      <c r="D633" s="49" t="s">
        <v>4</v>
      </c>
      <c r="E633" s="146" t="s">
        <v>373</v>
      </c>
      <c r="F633" s="112" t="s">
        <v>39</v>
      </c>
      <c r="G633" s="146" t="s">
        <v>6</v>
      </c>
      <c r="H633" s="58" t="s">
        <v>278</v>
      </c>
      <c r="I633" s="153" t="s">
        <v>1566</v>
      </c>
      <c r="J633" s="149" t="s">
        <v>412</v>
      </c>
      <c r="K633" s="51" t="s">
        <v>1654</v>
      </c>
      <c r="L633" s="52">
        <v>10</v>
      </c>
      <c r="M633" s="53">
        <v>12</v>
      </c>
      <c r="N633" s="54">
        <v>4</v>
      </c>
      <c r="O633" s="88" t="s">
        <v>778</v>
      </c>
      <c r="P633" s="31" t="s">
        <v>104</v>
      </c>
      <c r="Q633" s="87">
        <v>50</v>
      </c>
      <c r="R633" s="87" t="s">
        <v>37</v>
      </c>
      <c r="S633" s="189">
        <v>4607958077229</v>
      </c>
      <c r="T633" s="337">
        <v>24607958077223</v>
      </c>
      <c r="U633" s="46">
        <v>4607958077229</v>
      </c>
      <c r="V633" s="46">
        <v>24607958077223</v>
      </c>
      <c r="W633" s="258">
        <v>150</v>
      </c>
      <c r="X633" s="68">
        <v>154</v>
      </c>
      <c r="Y633" s="68">
        <v>45</v>
      </c>
      <c r="Z633" s="65">
        <v>0.4</v>
      </c>
      <c r="AA633" s="271">
        <v>1.9E-2</v>
      </c>
      <c r="AB633" s="66">
        <f t="shared" ref="AB633" si="908">Z633+AA633</f>
        <v>0.41900000000000004</v>
      </c>
      <c r="AC633" s="67">
        <v>315</v>
      </c>
      <c r="AD633" s="68">
        <v>168</v>
      </c>
      <c r="AE633" s="68">
        <v>188</v>
      </c>
      <c r="AF633" s="191">
        <v>6</v>
      </c>
      <c r="AG633" s="117">
        <v>600000428</v>
      </c>
      <c r="AH633" s="103">
        <f>справочники!$C$114</f>
        <v>0.123</v>
      </c>
      <c r="AI633" s="61">
        <f t="shared" si="899"/>
        <v>2.4</v>
      </c>
      <c r="AJ633" s="122">
        <f t="shared" si="900"/>
        <v>2.6370000000000005</v>
      </c>
      <c r="AK633" s="37">
        <v>17</v>
      </c>
      <c r="AL633" s="38">
        <v>8</v>
      </c>
      <c r="AM633" s="40">
        <f t="shared" ref="AM633" si="909">AK633*AL633</f>
        <v>136</v>
      </c>
      <c r="AN633" s="206">
        <f t="shared" ref="AN633" si="910">IF(D633="ШТ",кол_во_инд.__упак_к*итого_г_у,ROUNDDOWN(номин.вес_нетто_г_у__кг*итого_г_у,1))</f>
        <v>816</v>
      </c>
      <c r="AO633" s="204">
        <f t="shared" si="860"/>
        <v>1649</v>
      </c>
    </row>
    <row r="634" spans="1:41" ht="103.5" customHeight="1" x14ac:dyDescent="0.2">
      <c r="A634" s="22">
        <f t="shared" si="818"/>
        <v>7078</v>
      </c>
      <c r="B634" s="116">
        <v>1001025507078</v>
      </c>
      <c r="C634" s="48" t="s">
        <v>1055</v>
      </c>
      <c r="D634" s="49" t="s">
        <v>4</v>
      </c>
      <c r="E634" s="146" t="s">
        <v>373</v>
      </c>
      <c r="F634" s="112" t="s">
        <v>39</v>
      </c>
      <c r="G634" s="146" t="s">
        <v>6</v>
      </c>
      <c r="H634" s="58" t="s">
        <v>278</v>
      </c>
      <c r="I634" s="153" t="s">
        <v>380</v>
      </c>
      <c r="J634" s="149" t="s">
        <v>412</v>
      </c>
      <c r="K634" s="51" t="s">
        <v>1198</v>
      </c>
      <c r="L634" s="52">
        <v>7</v>
      </c>
      <c r="M634" s="53">
        <v>10</v>
      </c>
      <c r="N634" s="54">
        <v>3</v>
      </c>
      <c r="O634" s="88" t="s">
        <v>997</v>
      </c>
      <c r="P634" s="31" t="s">
        <v>104</v>
      </c>
      <c r="Q634" s="87">
        <v>50</v>
      </c>
      <c r="R634" s="87" t="s">
        <v>78</v>
      </c>
      <c r="S634" s="189">
        <v>4607958077878</v>
      </c>
      <c r="T634" s="337">
        <v>14607958077875</v>
      </c>
      <c r="U634" s="46">
        <v>4607958077878</v>
      </c>
      <c r="V634" s="46">
        <v>14607958077875</v>
      </c>
      <c r="W634" s="258">
        <v>150</v>
      </c>
      <c r="X634" s="68">
        <v>154</v>
      </c>
      <c r="Y634" s="68">
        <v>55</v>
      </c>
      <c r="Z634" s="65">
        <v>0.6</v>
      </c>
      <c r="AA634" s="271">
        <v>1.4999999999999999E-2</v>
      </c>
      <c r="AB634" s="66">
        <f>Z634+AA634</f>
        <v>0.61499999999999999</v>
      </c>
      <c r="AC634" s="37">
        <v>315</v>
      </c>
      <c r="AD634" s="38">
        <v>168</v>
      </c>
      <c r="AE634" s="38">
        <v>248</v>
      </c>
      <c r="AF634" s="191">
        <v>8</v>
      </c>
      <c r="AG634" s="117">
        <v>600000429</v>
      </c>
      <c r="AH634" s="103">
        <f>справочники!$C$115</f>
        <v>0.14299999999999999</v>
      </c>
      <c r="AI634" s="61">
        <f t="shared" si="899"/>
        <v>4.8</v>
      </c>
      <c r="AJ634" s="122">
        <f t="shared" si="900"/>
        <v>5.0629999999999997</v>
      </c>
      <c r="AK634" s="37">
        <v>17</v>
      </c>
      <c r="AL634" s="38">
        <v>6</v>
      </c>
      <c r="AM634" s="40">
        <f>AK634*AL634</f>
        <v>102</v>
      </c>
      <c r="AN634" s="206">
        <f>IF(D634="ШТ",кол_во_инд.__упак_к*итого_г_у,ROUNDDOWN(номин.вес_нетто_г_у__кг*итого_г_у,1))</f>
        <v>816</v>
      </c>
      <c r="AO634" s="204">
        <f t="shared" si="860"/>
        <v>1633</v>
      </c>
    </row>
    <row r="635" spans="1:41" s="22" customFormat="1" ht="129.75" customHeight="1" x14ac:dyDescent="0.2">
      <c r="A635" s="22">
        <f t="shared" si="818"/>
        <v>6602</v>
      </c>
      <c r="B635" s="116">
        <v>1001021966602</v>
      </c>
      <c r="C635" s="48" t="s">
        <v>687</v>
      </c>
      <c r="D635" s="49" t="s">
        <v>4</v>
      </c>
      <c r="E635" s="146" t="s">
        <v>373</v>
      </c>
      <c r="F635" s="112" t="s">
        <v>39</v>
      </c>
      <c r="G635" s="146" t="s">
        <v>6</v>
      </c>
      <c r="H635" s="49" t="s">
        <v>278</v>
      </c>
      <c r="I635" s="153" t="s">
        <v>387</v>
      </c>
      <c r="J635" s="149" t="s">
        <v>639</v>
      </c>
      <c r="K635" s="51" t="s">
        <v>688</v>
      </c>
      <c r="L635" s="52">
        <v>8</v>
      </c>
      <c r="M635" s="53">
        <v>18</v>
      </c>
      <c r="N635" s="54">
        <v>3</v>
      </c>
      <c r="O635" s="88" t="s">
        <v>689</v>
      </c>
      <c r="P635" s="31" t="s">
        <v>104</v>
      </c>
      <c r="Q635" s="87">
        <v>45</v>
      </c>
      <c r="R635" s="82" t="s">
        <v>78</v>
      </c>
      <c r="S635" s="238">
        <v>4607958076833</v>
      </c>
      <c r="T635" s="339">
        <v>14607958076830</v>
      </c>
      <c r="U635" s="46">
        <v>4607958076833</v>
      </c>
      <c r="V635" s="46">
        <v>14607958076830</v>
      </c>
      <c r="W635" s="258">
        <v>300</v>
      </c>
      <c r="X635" s="68">
        <v>105</v>
      </c>
      <c r="Y635" s="68">
        <v>25</v>
      </c>
      <c r="Z635" s="65">
        <v>0.35</v>
      </c>
      <c r="AA635" s="271">
        <v>8.9999999999999993E-3</v>
      </c>
      <c r="AB635" s="66">
        <f t="shared" si="882"/>
        <v>0.35899999999999999</v>
      </c>
      <c r="AC635" s="59">
        <v>293</v>
      </c>
      <c r="AD635" s="60">
        <v>153</v>
      </c>
      <c r="AE635" s="68">
        <v>224</v>
      </c>
      <c r="AF635" s="191">
        <v>8</v>
      </c>
      <c r="AG635" s="117">
        <v>600000400</v>
      </c>
      <c r="AH635" s="104">
        <f>справочники!$C$95</f>
        <v>0.13500000000000001</v>
      </c>
      <c r="AI635" s="61">
        <f t="shared" si="899"/>
        <v>2.8</v>
      </c>
      <c r="AJ635" s="122">
        <f t="shared" si="900"/>
        <v>3.0069999999999997</v>
      </c>
      <c r="AK635" s="37">
        <v>20</v>
      </c>
      <c r="AL635" s="38">
        <v>7</v>
      </c>
      <c r="AM635" s="40">
        <f t="shared" si="903"/>
        <v>140</v>
      </c>
      <c r="AN635" s="206">
        <f t="shared" si="904"/>
        <v>1120</v>
      </c>
      <c r="AO635" s="204">
        <f t="shared" si="860"/>
        <v>1713</v>
      </c>
    </row>
    <row r="636" spans="1:41" ht="145.9" customHeight="1" x14ac:dyDescent="0.2">
      <c r="A636" s="22">
        <f t="shared" si="818"/>
        <v>7108</v>
      </c>
      <c r="B636" s="46">
        <v>1001025367108</v>
      </c>
      <c r="C636" s="55" t="s">
        <v>1082</v>
      </c>
      <c r="D636" s="87" t="s">
        <v>4</v>
      </c>
      <c r="E636" s="146" t="s">
        <v>373</v>
      </c>
      <c r="F636" s="112" t="s">
        <v>39</v>
      </c>
      <c r="G636" s="146" t="s">
        <v>6</v>
      </c>
      <c r="H636" s="140" t="s">
        <v>278</v>
      </c>
      <c r="I636" s="153" t="s">
        <v>1566</v>
      </c>
      <c r="J636" s="149" t="s">
        <v>412</v>
      </c>
      <c r="K636" s="83" t="s">
        <v>1430</v>
      </c>
      <c r="L636" s="84">
        <v>10</v>
      </c>
      <c r="M636" s="85">
        <v>13</v>
      </c>
      <c r="N636" s="53">
        <v>5</v>
      </c>
      <c r="O636" s="86" t="s">
        <v>798</v>
      </c>
      <c r="P636" s="31" t="s">
        <v>104</v>
      </c>
      <c r="Q636" s="87">
        <v>45</v>
      </c>
      <c r="R636" s="101" t="s">
        <v>37</v>
      </c>
      <c r="S636" s="189">
        <v>4607958078998</v>
      </c>
      <c r="T636" s="337">
        <v>14607958078995</v>
      </c>
      <c r="U636" s="46">
        <v>4607958078998</v>
      </c>
      <c r="V636" s="46">
        <v>14607958078995</v>
      </c>
      <c r="W636" s="258">
        <v>150</v>
      </c>
      <c r="X636" s="68">
        <v>154</v>
      </c>
      <c r="Y636" s="68">
        <v>45</v>
      </c>
      <c r="Z636" s="92">
        <v>0.41</v>
      </c>
      <c r="AA636" s="271">
        <v>1.4999999999999999E-2</v>
      </c>
      <c r="AB636" s="94">
        <f t="shared" ref="AB636" si="911">Z636+AA636</f>
        <v>0.42499999999999999</v>
      </c>
      <c r="AC636" s="67">
        <v>315</v>
      </c>
      <c r="AD636" s="68">
        <v>168</v>
      </c>
      <c r="AE636" s="68">
        <v>248</v>
      </c>
      <c r="AF636" s="194">
        <v>10</v>
      </c>
      <c r="AG636" s="117">
        <v>600000429</v>
      </c>
      <c r="AH636" s="104">
        <f>справочники!$C$115</f>
        <v>0.14299999999999999</v>
      </c>
      <c r="AI636" s="61">
        <f t="shared" si="899"/>
        <v>4.0999999999999996</v>
      </c>
      <c r="AJ636" s="141">
        <f t="shared" si="900"/>
        <v>4.3929999999999998</v>
      </c>
      <c r="AK636" s="157">
        <v>17</v>
      </c>
      <c r="AL636" s="34">
        <v>6</v>
      </c>
      <c r="AM636" s="40">
        <f t="shared" ref="AM636" si="912">AK636*AL636</f>
        <v>102</v>
      </c>
      <c r="AN636" s="206">
        <f t="shared" ref="AN636" si="913">IF(D636="ШТ",кол_во_инд.__упак_к*итого_г_у,ROUNDDOWN(номин.вес_нетто_г_у__кг*итого_г_у,1))</f>
        <v>1020</v>
      </c>
      <c r="AO636" s="204">
        <f t="shared" si="860"/>
        <v>1633</v>
      </c>
    </row>
    <row r="637" spans="1:41" ht="229.5" x14ac:dyDescent="0.2">
      <c r="A637" s="22">
        <f t="shared" si="818"/>
        <v>7073</v>
      </c>
      <c r="B637" s="116">
        <v>1001022657073</v>
      </c>
      <c r="C637" s="80" t="s">
        <v>1051</v>
      </c>
      <c r="D637" s="81" t="s">
        <v>4</v>
      </c>
      <c r="E637" s="146" t="s">
        <v>373</v>
      </c>
      <c r="F637" s="112" t="s">
        <v>39</v>
      </c>
      <c r="G637" s="224" t="s">
        <v>6</v>
      </c>
      <c r="H637" s="87" t="s">
        <v>278</v>
      </c>
      <c r="I637" s="153" t="s">
        <v>1566</v>
      </c>
      <c r="J637" s="149" t="s">
        <v>413</v>
      </c>
      <c r="K637" s="51" t="s">
        <v>2096</v>
      </c>
      <c r="L637" s="52">
        <v>10</v>
      </c>
      <c r="M637" s="53">
        <v>12</v>
      </c>
      <c r="N637" s="53">
        <v>4</v>
      </c>
      <c r="O637" s="88" t="s">
        <v>778</v>
      </c>
      <c r="P637" s="31" t="s">
        <v>104</v>
      </c>
      <c r="Q637" s="87">
        <v>50</v>
      </c>
      <c r="R637" s="101" t="s">
        <v>37</v>
      </c>
      <c r="S637" s="237">
        <v>4607958077847</v>
      </c>
      <c r="T637" s="332">
        <v>14607958077844</v>
      </c>
      <c r="U637" s="46">
        <v>4607958077847</v>
      </c>
      <c r="V637" s="46">
        <v>14607958077844</v>
      </c>
      <c r="W637" s="258">
        <v>185</v>
      </c>
      <c r="X637" s="68">
        <v>130</v>
      </c>
      <c r="Y637" s="68">
        <v>20</v>
      </c>
      <c r="Z637" s="92">
        <v>0.35</v>
      </c>
      <c r="AA637" s="271">
        <v>5.0000000000000001E-3</v>
      </c>
      <c r="AB637" s="66">
        <f t="shared" ref="AB637:AB640" si="914">Z637+AA637</f>
        <v>0.35499999999999998</v>
      </c>
      <c r="AC637" s="59">
        <v>340</v>
      </c>
      <c r="AD637" s="60">
        <v>127</v>
      </c>
      <c r="AE637" s="60">
        <v>108</v>
      </c>
      <c r="AF637" s="194">
        <v>8</v>
      </c>
      <c r="AG637" s="117">
        <v>600000250</v>
      </c>
      <c r="AH637" s="105">
        <f>справочники!$C$53</f>
        <v>7.5999999999999998E-2</v>
      </c>
      <c r="AI637" s="61">
        <f t="shared" si="899"/>
        <v>2.8</v>
      </c>
      <c r="AJ637" s="123">
        <f t="shared" si="900"/>
        <v>2.9159999999999999</v>
      </c>
      <c r="AK637" s="33">
        <v>16</v>
      </c>
      <c r="AL637" s="34">
        <v>13</v>
      </c>
      <c r="AM637" s="40">
        <f t="shared" ref="AM637:AM640" si="915">AK637*AL637</f>
        <v>208</v>
      </c>
      <c r="AN637" s="206">
        <f t="shared" ref="AN637:AN640" si="916">IF(D637="ШТ",кол_во_инд.__упак_к*итого_г_у,ROUNDDOWN(номин.вес_нетто_г_у__кг*итого_г_у,1))</f>
        <v>1664</v>
      </c>
      <c r="AO637" s="204">
        <f t="shared" si="860"/>
        <v>1549</v>
      </c>
    </row>
    <row r="638" spans="1:41" ht="229.5" x14ac:dyDescent="0.2">
      <c r="A638" s="22">
        <f t="shared" si="818"/>
        <v>7066</v>
      </c>
      <c r="B638" s="46">
        <v>1001022377066</v>
      </c>
      <c r="C638" s="55" t="s">
        <v>1061</v>
      </c>
      <c r="D638" s="87" t="s">
        <v>4</v>
      </c>
      <c r="E638" s="146" t="s">
        <v>373</v>
      </c>
      <c r="F638" s="112" t="s">
        <v>39</v>
      </c>
      <c r="G638" s="146" t="s">
        <v>6</v>
      </c>
      <c r="H638" s="140" t="s">
        <v>292</v>
      </c>
      <c r="I638" s="153" t="s">
        <v>1566</v>
      </c>
      <c r="J638" s="149" t="s">
        <v>412</v>
      </c>
      <c r="K638" s="51" t="s">
        <v>1426</v>
      </c>
      <c r="L638" s="52">
        <v>10</v>
      </c>
      <c r="M638" s="53">
        <v>13</v>
      </c>
      <c r="N638" s="54">
        <v>5</v>
      </c>
      <c r="O638" s="88" t="s">
        <v>798</v>
      </c>
      <c r="P638" s="31" t="s">
        <v>104</v>
      </c>
      <c r="Q638" s="87">
        <v>50</v>
      </c>
      <c r="R638" s="101" t="s">
        <v>37</v>
      </c>
      <c r="S638" s="189">
        <v>4607958076024</v>
      </c>
      <c r="T638" s="337">
        <v>14607958076021</v>
      </c>
      <c r="U638" s="46">
        <v>4607958076024</v>
      </c>
      <c r="V638" s="46">
        <v>14607958076021</v>
      </c>
      <c r="W638" s="258">
        <v>150</v>
      </c>
      <c r="X638" s="68">
        <v>154</v>
      </c>
      <c r="Y638" s="68">
        <v>45</v>
      </c>
      <c r="Z638" s="92">
        <v>0.41</v>
      </c>
      <c r="AA638" s="271">
        <v>1.4999999999999999E-2</v>
      </c>
      <c r="AB638" s="94">
        <f t="shared" si="914"/>
        <v>0.42499999999999999</v>
      </c>
      <c r="AC638" s="67">
        <v>315</v>
      </c>
      <c r="AD638" s="68">
        <v>168</v>
      </c>
      <c r="AE638" s="68">
        <v>248</v>
      </c>
      <c r="AF638" s="194">
        <v>10</v>
      </c>
      <c r="AG638" s="117">
        <v>600000429</v>
      </c>
      <c r="AH638" s="105">
        <f>справочники!$C$115</f>
        <v>0.14299999999999999</v>
      </c>
      <c r="AI638" s="61">
        <f t="shared" si="899"/>
        <v>4.0999999999999996</v>
      </c>
      <c r="AJ638" s="141">
        <f t="shared" si="900"/>
        <v>4.3929999999999998</v>
      </c>
      <c r="AK638" s="157">
        <v>17</v>
      </c>
      <c r="AL638" s="34">
        <v>6</v>
      </c>
      <c r="AM638" s="40">
        <f t="shared" ref="AM638" si="917">AK638*AL638</f>
        <v>102</v>
      </c>
      <c r="AN638" s="206">
        <f t="shared" ref="AN638" si="918">IF(D638="ШТ",кол_во_инд.__упак_к*итого_г_у,ROUNDDOWN(номин.вес_нетто_г_у__кг*итого_г_у,1))</f>
        <v>1020</v>
      </c>
      <c r="AO638" s="204">
        <f t="shared" ref="AO638:AO692" si="919">(высота__мм*кол_во_слоев_г_у)+145</f>
        <v>1633</v>
      </c>
    </row>
    <row r="639" spans="1:41" ht="229.5" x14ac:dyDescent="0.2">
      <c r="A639" s="22">
        <f t="shared" si="818"/>
        <v>7067</v>
      </c>
      <c r="B639" s="46">
        <v>1001022377067</v>
      </c>
      <c r="C639" s="55" t="s">
        <v>1062</v>
      </c>
      <c r="D639" s="87" t="s">
        <v>4</v>
      </c>
      <c r="E639" s="146" t="s">
        <v>373</v>
      </c>
      <c r="F639" s="112" t="s">
        <v>39</v>
      </c>
      <c r="G639" s="146" t="s">
        <v>6</v>
      </c>
      <c r="H639" s="140" t="s">
        <v>292</v>
      </c>
      <c r="I639" s="153" t="s">
        <v>380</v>
      </c>
      <c r="J639" s="149" t="s">
        <v>412</v>
      </c>
      <c r="K639" s="51" t="s">
        <v>1305</v>
      </c>
      <c r="L639" s="52">
        <v>11</v>
      </c>
      <c r="M639" s="53">
        <v>13</v>
      </c>
      <c r="N639" s="54">
        <v>2</v>
      </c>
      <c r="O639" s="88" t="s">
        <v>774</v>
      </c>
      <c r="P639" s="31" t="s">
        <v>104</v>
      </c>
      <c r="Q639" s="87">
        <v>50</v>
      </c>
      <c r="R639" s="101" t="s">
        <v>78</v>
      </c>
      <c r="S639" s="189">
        <v>4607958076024</v>
      </c>
      <c r="T639" s="337">
        <v>14607958076021</v>
      </c>
      <c r="U639" s="46">
        <v>4607958076024</v>
      </c>
      <c r="V639" s="46">
        <v>14607958076021</v>
      </c>
      <c r="W639" s="258">
        <v>150</v>
      </c>
      <c r="X639" s="68">
        <v>154</v>
      </c>
      <c r="Y639" s="68">
        <v>45</v>
      </c>
      <c r="Z639" s="92">
        <v>0.41</v>
      </c>
      <c r="AA639" s="271">
        <v>1.4999999999999999E-2</v>
      </c>
      <c r="AB639" s="94">
        <f t="shared" si="914"/>
        <v>0.42499999999999999</v>
      </c>
      <c r="AC639" s="67">
        <v>315</v>
      </c>
      <c r="AD639" s="68">
        <v>168</v>
      </c>
      <c r="AE639" s="68">
        <v>248</v>
      </c>
      <c r="AF639" s="194">
        <v>10</v>
      </c>
      <c r="AG639" s="117">
        <v>600000429</v>
      </c>
      <c r="AH639" s="105">
        <f>справочники!$C$115</f>
        <v>0.14299999999999999</v>
      </c>
      <c r="AI639" s="61">
        <f t="shared" si="899"/>
        <v>4.0999999999999996</v>
      </c>
      <c r="AJ639" s="141">
        <f t="shared" si="900"/>
        <v>4.3929999999999998</v>
      </c>
      <c r="AK639" s="157">
        <v>17</v>
      </c>
      <c r="AL639" s="34">
        <v>6</v>
      </c>
      <c r="AM639" s="40">
        <f t="shared" ref="AM639" si="920">AK639*AL639</f>
        <v>102</v>
      </c>
      <c r="AN639" s="206">
        <f t="shared" ref="AN639" si="921">IF(D639="ШТ",кол_во_инд.__упак_к*итого_г_у,ROUNDDOWN(номин.вес_нетто_г_у__кг*итого_г_у,1))</f>
        <v>1020</v>
      </c>
      <c r="AO639" s="204">
        <f t="shared" si="919"/>
        <v>1633</v>
      </c>
    </row>
    <row r="640" spans="1:41" ht="229.5" x14ac:dyDescent="0.2">
      <c r="A640" s="22">
        <f t="shared" si="818"/>
        <v>6724</v>
      </c>
      <c r="B640" s="46">
        <v>1001020836724</v>
      </c>
      <c r="C640" s="55" t="s">
        <v>636</v>
      </c>
      <c r="D640" s="87" t="s">
        <v>4</v>
      </c>
      <c r="E640" s="146" t="s">
        <v>373</v>
      </c>
      <c r="F640" s="112" t="s">
        <v>39</v>
      </c>
      <c r="G640" s="146" t="s">
        <v>6</v>
      </c>
      <c r="H640" s="140" t="s">
        <v>292</v>
      </c>
      <c r="I640" s="153" t="s">
        <v>1566</v>
      </c>
      <c r="J640" s="149" t="s">
        <v>412</v>
      </c>
      <c r="K640" s="51" t="s">
        <v>1426</v>
      </c>
      <c r="L640" s="52">
        <v>10</v>
      </c>
      <c r="M640" s="53">
        <v>13</v>
      </c>
      <c r="N640" s="54">
        <v>5</v>
      </c>
      <c r="O640" s="88" t="s">
        <v>798</v>
      </c>
      <c r="P640" s="31" t="s">
        <v>104</v>
      </c>
      <c r="Q640" s="87">
        <v>45</v>
      </c>
      <c r="R640" s="101" t="s">
        <v>37</v>
      </c>
      <c r="S640" s="189">
        <v>4607958076048</v>
      </c>
      <c r="T640" s="337">
        <v>14607958076045</v>
      </c>
      <c r="U640" s="46">
        <v>4607958076048</v>
      </c>
      <c r="V640" s="46">
        <v>14607958076045</v>
      </c>
      <c r="W640" s="258">
        <v>150</v>
      </c>
      <c r="X640" s="68">
        <v>154</v>
      </c>
      <c r="Y640" s="68">
        <v>45</v>
      </c>
      <c r="Z640" s="92">
        <v>0.41</v>
      </c>
      <c r="AA640" s="271">
        <v>1.4999999999999999E-2</v>
      </c>
      <c r="AB640" s="94">
        <f t="shared" si="914"/>
        <v>0.42499999999999999</v>
      </c>
      <c r="AC640" s="67">
        <v>306</v>
      </c>
      <c r="AD640" s="68">
        <v>166</v>
      </c>
      <c r="AE640" s="68">
        <v>246</v>
      </c>
      <c r="AF640" s="194">
        <v>10</v>
      </c>
      <c r="AG640" s="117">
        <v>600000524</v>
      </c>
      <c r="AH640" s="105">
        <f>справочники!$C$125</f>
        <v>0.17499999999999999</v>
      </c>
      <c r="AI640" s="61">
        <f t="shared" si="899"/>
        <v>4.0999999999999996</v>
      </c>
      <c r="AJ640" s="141">
        <f t="shared" si="900"/>
        <v>4.4249999999999998</v>
      </c>
      <c r="AK640" s="157">
        <v>17</v>
      </c>
      <c r="AL640" s="34">
        <v>6</v>
      </c>
      <c r="AM640" s="40">
        <f t="shared" si="915"/>
        <v>102</v>
      </c>
      <c r="AN640" s="206">
        <f t="shared" si="916"/>
        <v>1020</v>
      </c>
      <c r="AO640" s="204">
        <f t="shared" si="919"/>
        <v>1621</v>
      </c>
    </row>
    <row r="641" spans="1:41" ht="229.5" x14ac:dyDescent="0.2">
      <c r="A641" s="22">
        <f t="shared" si="818"/>
        <v>7151</v>
      </c>
      <c r="B641" s="46">
        <v>1001020837151</v>
      </c>
      <c r="C641" s="55" t="s">
        <v>1122</v>
      </c>
      <c r="D641" s="87" t="s">
        <v>4</v>
      </c>
      <c r="E641" s="146" t="s">
        <v>373</v>
      </c>
      <c r="F641" s="112" t="s">
        <v>39</v>
      </c>
      <c r="G641" s="146" t="s">
        <v>6</v>
      </c>
      <c r="H641" s="140" t="s">
        <v>292</v>
      </c>
      <c r="I641" s="153" t="s">
        <v>1566</v>
      </c>
      <c r="J641" s="149" t="s">
        <v>412</v>
      </c>
      <c r="K641" s="51" t="s">
        <v>1426</v>
      </c>
      <c r="L641" s="52">
        <v>10</v>
      </c>
      <c r="M641" s="53">
        <v>13</v>
      </c>
      <c r="N641" s="54">
        <v>5</v>
      </c>
      <c r="O641" s="88" t="s">
        <v>798</v>
      </c>
      <c r="P641" s="31" t="s">
        <v>104</v>
      </c>
      <c r="Q641" s="87">
        <v>45</v>
      </c>
      <c r="R641" s="101" t="s">
        <v>37</v>
      </c>
      <c r="S641" s="189">
        <v>4607958076048</v>
      </c>
      <c r="T641" s="337">
        <v>14607958076045</v>
      </c>
      <c r="U641" s="46">
        <v>4607958076048</v>
      </c>
      <c r="V641" s="46">
        <v>14607958076045</v>
      </c>
      <c r="W641" s="258">
        <v>150</v>
      </c>
      <c r="X641" s="68">
        <v>154</v>
      </c>
      <c r="Y641" s="68">
        <v>45</v>
      </c>
      <c r="Z641" s="92">
        <v>0.41</v>
      </c>
      <c r="AA641" s="271">
        <v>1.4999999999999999E-2</v>
      </c>
      <c r="AB641" s="94">
        <f t="shared" ref="AB641:AB642" si="922">Z641+AA641</f>
        <v>0.42499999999999999</v>
      </c>
      <c r="AC641" s="67">
        <v>306</v>
      </c>
      <c r="AD641" s="68">
        <v>166</v>
      </c>
      <c r="AE641" s="68">
        <v>246</v>
      </c>
      <c r="AF641" s="194">
        <v>10</v>
      </c>
      <c r="AG641" s="117">
        <v>600000524</v>
      </c>
      <c r="AH641" s="105">
        <f>справочники!$C$125</f>
        <v>0.17499999999999999</v>
      </c>
      <c r="AI641" s="61">
        <f t="shared" si="899"/>
        <v>4.0999999999999996</v>
      </c>
      <c r="AJ641" s="141">
        <f t="shared" si="900"/>
        <v>4.4249999999999998</v>
      </c>
      <c r="AK641" s="157">
        <v>17</v>
      </c>
      <c r="AL641" s="34">
        <v>6</v>
      </c>
      <c r="AM641" s="40">
        <f t="shared" ref="AM641:AM642" si="923">AK641*AL641</f>
        <v>102</v>
      </c>
      <c r="AN641" s="206">
        <f t="shared" ref="AN641:AN642" si="924">IF(D641="ШТ",кол_во_инд.__упак_к*итого_г_у,ROUNDDOWN(номин.вес_нетто_г_у__кг*итого_г_у,1))</f>
        <v>1020</v>
      </c>
      <c r="AO641" s="204">
        <f t="shared" si="919"/>
        <v>1621</v>
      </c>
    </row>
    <row r="642" spans="1:41" ht="191.25" x14ac:dyDescent="0.2">
      <c r="A642" s="22">
        <f t="shared" si="818"/>
        <v>7408</v>
      </c>
      <c r="B642" s="46">
        <v>1001020837408</v>
      </c>
      <c r="C642" s="55" t="s">
        <v>1462</v>
      </c>
      <c r="D642" s="87" t="s">
        <v>4</v>
      </c>
      <c r="E642" s="146" t="s">
        <v>373</v>
      </c>
      <c r="F642" s="112" t="s">
        <v>39</v>
      </c>
      <c r="G642" s="146" t="s">
        <v>1453</v>
      </c>
      <c r="H642" s="140" t="s">
        <v>1454</v>
      </c>
      <c r="I642" s="153" t="s">
        <v>1455</v>
      </c>
      <c r="J642" s="149" t="s">
        <v>639</v>
      </c>
      <c r="K642" s="51" t="s">
        <v>1463</v>
      </c>
      <c r="L642" s="52">
        <v>12</v>
      </c>
      <c r="M642" s="53">
        <v>13</v>
      </c>
      <c r="N642" s="54">
        <v>3</v>
      </c>
      <c r="O642" s="88" t="s">
        <v>798</v>
      </c>
      <c r="P642" s="31" t="s">
        <v>104</v>
      </c>
      <c r="Q642" s="87">
        <v>45</v>
      </c>
      <c r="R642" s="101" t="s">
        <v>37</v>
      </c>
      <c r="S642" s="189">
        <v>4630362180285</v>
      </c>
      <c r="T642" s="337">
        <v>14630362180282</v>
      </c>
      <c r="U642" s="46">
        <v>4630362180285</v>
      </c>
      <c r="V642" s="46">
        <v>14630362180282</v>
      </c>
      <c r="W642" s="258">
        <v>150</v>
      </c>
      <c r="X642" s="68">
        <v>150</v>
      </c>
      <c r="Y642" s="68">
        <v>45</v>
      </c>
      <c r="Z642" s="92">
        <v>0.41</v>
      </c>
      <c r="AA642" s="271">
        <v>2.7E-2</v>
      </c>
      <c r="AB642" s="94">
        <f t="shared" si="922"/>
        <v>0.437</v>
      </c>
      <c r="AC642" s="67">
        <v>315</v>
      </c>
      <c r="AD642" s="68">
        <v>168</v>
      </c>
      <c r="AE642" s="68">
        <v>248</v>
      </c>
      <c r="AF642" s="194">
        <v>10</v>
      </c>
      <c r="AG642" s="117">
        <v>600000563</v>
      </c>
      <c r="AH642" s="105">
        <f>справочники!$C$181</f>
        <v>0.14000000000000001</v>
      </c>
      <c r="AI642" s="61">
        <f t="shared" si="899"/>
        <v>4.0999999999999996</v>
      </c>
      <c r="AJ642" s="141">
        <f t="shared" si="900"/>
        <v>4.51</v>
      </c>
      <c r="AK642" s="157">
        <v>17</v>
      </c>
      <c r="AL642" s="34">
        <v>6</v>
      </c>
      <c r="AM642" s="40">
        <f t="shared" si="923"/>
        <v>102</v>
      </c>
      <c r="AN642" s="206">
        <f t="shared" si="924"/>
        <v>1020</v>
      </c>
      <c r="AO642" s="204">
        <f t="shared" si="919"/>
        <v>1633</v>
      </c>
    </row>
    <row r="643" spans="1:41" ht="191.25" x14ac:dyDescent="0.2">
      <c r="A643" s="22">
        <f t="shared" si="818"/>
        <v>7410</v>
      </c>
      <c r="B643" s="46">
        <v>1001020837410</v>
      </c>
      <c r="C643" s="55" t="s">
        <v>1464</v>
      </c>
      <c r="D643" s="87" t="s">
        <v>4</v>
      </c>
      <c r="E643" s="146" t="s">
        <v>373</v>
      </c>
      <c r="F643" s="112" t="s">
        <v>39</v>
      </c>
      <c r="G643" s="146" t="s">
        <v>1453</v>
      </c>
      <c r="H643" s="140" t="s">
        <v>1454</v>
      </c>
      <c r="I643" s="153" t="s">
        <v>1455</v>
      </c>
      <c r="J643" s="149" t="s">
        <v>639</v>
      </c>
      <c r="K643" s="51" t="s">
        <v>1463</v>
      </c>
      <c r="L643" s="52">
        <v>12</v>
      </c>
      <c r="M643" s="53">
        <v>13</v>
      </c>
      <c r="N643" s="54">
        <v>3</v>
      </c>
      <c r="O643" s="88" t="s">
        <v>798</v>
      </c>
      <c r="P643" s="31" t="s">
        <v>104</v>
      </c>
      <c r="Q643" s="87">
        <v>45</v>
      </c>
      <c r="R643" s="101" t="s">
        <v>37</v>
      </c>
      <c r="S643" s="189">
        <v>4630362180582</v>
      </c>
      <c r="T643" s="337">
        <v>14630362180589</v>
      </c>
      <c r="U643" s="46">
        <v>4630362180582</v>
      </c>
      <c r="V643" s="46">
        <v>14630362180589</v>
      </c>
      <c r="W643" s="258">
        <v>300</v>
      </c>
      <c r="X643" s="68">
        <v>190</v>
      </c>
      <c r="Y643" s="68">
        <v>45</v>
      </c>
      <c r="Z643" s="92">
        <v>1.0249999999999999</v>
      </c>
      <c r="AA643" s="271">
        <v>1.4999999999999999E-2</v>
      </c>
      <c r="AB643" s="94">
        <f t="shared" ref="AB643:AB644" si="925">Z643+AA643</f>
        <v>1.0399999999999998</v>
      </c>
      <c r="AC643" s="67">
        <v>388</v>
      </c>
      <c r="AD643" s="68">
        <v>292</v>
      </c>
      <c r="AE643" s="68">
        <v>148</v>
      </c>
      <c r="AF643" s="194">
        <v>6</v>
      </c>
      <c r="AG643" s="117">
        <v>600000562</v>
      </c>
      <c r="AH643" s="105">
        <f>справочники!$C$180</f>
        <v>0.29199999999999998</v>
      </c>
      <c r="AI643" s="61">
        <f t="shared" si="899"/>
        <v>6.15</v>
      </c>
      <c r="AJ643" s="141">
        <f t="shared" si="900"/>
        <v>6.5319999999999983</v>
      </c>
      <c r="AK643" s="157">
        <v>8</v>
      </c>
      <c r="AL643" s="34">
        <v>10</v>
      </c>
      <c r="AM643" s="40">
        <f t="shared" ref="AM643:AM644" si="926">AK643*AL643</f>
        <v>80</v>
      </c>
      <c r="AN643" s="206">
        <f t="shared" ref="AN643:AN644" si="927">IF(D643="ШТ",кол_во_инд.__упак_к*итого_г_у,ROUNDDOWN(номин.вес_нетто_г_у__кг*итого_г_у,1))</f>
        <v>480</v>
      </c>
      <c r="AO643" s="204">
        <f t="shared" si="919"/>
        <v>1625</v>
      </c>
    </row>
    <row r="644" spans="1:41" ht="204" x14ac:dyDescent="0.2">
      <c r="A644" s="22">
        <f t="shared" ref="A644:A707" si="928">VALUE(RIGHT(B644,4))</f>
        <v>7044</v>
      </c>
      <c r="B644" s="46">
        <v>1001025167044</v>
      </c>
      <c r="C644" s="55" t="s">
        <v>1754</v>
      </c>
      <c r="D644" s="87" t="s">
        <v>4</v>
      </c>
      <c r="E644" s="146" t="s">
        <v>373</v>
      </c>
      <c r="F644" s="112" t="s">
        <v>39</v>
      </c>
      <c r="G644" s="146" t="s">
        <v>6</v>
      </c>
      <c r="H644" s="87" t="s">
        <v>1</v>
      </c>
      <c r="I644" s="153" t="s">
        <v>1936</v>
      </c>
      <c r="J644" s="149" t="s">
        <v>639</v>
      </c>
      <c r="K644" s="51" t="s">
        <v>1032</v>
      </c>
      <c r="L644" s="84">
        <v>7</v>
      </c>
      <c r="M644" s="85">
        <v>16</v>
      </c>
      <c r="N644" s="54">
        <v>3</v>
      </c>
      <c r="O644" s="86" t="s">
        <v>244</v>
      </c>
      <c r="P644" s="31" t="s">
        <v>104</v>
      </c>
      <c r="Q644" s="87">
        <v>45</v>
      </c>
      <c r="R644" s="82" t="s">
        <v>37</v>
      </c>
      <c r="S644" s="189">
        <v>4607958078882</v>
      </c>
      <c r="T644" s="337">
        <v>14607958078889</v>
      </c>
      <c r="U644" s="46">
        <v>4607958078882</v>
      </c>
      <c r="V644" s="46">
        <v>14607958078889</v>
      </c>
      <c r="W644" s="258">
        <v>220</v>
      </c>
      <c r="X644" s="68">
        <v>135</v>
      </c>
      <c r="Y644" s="68">
        <v>37</v>
      </c>
      <c r="Z644" s="92">
        <v>0.32</v>
      </c>
      <c r="AA644" s="271">
        <v>5.0000000000000001E-3</v>
      </c>
      <c r="AB644" s="94">
        <f t="shared" si="925"/>
        <v>0.32500000000000001</v>
      </c>
      <c r="AC644" s="67">
        <v>378</v>
      </c>
      <c r="AD644" s="68">
        <v>156</v>
      </c>
      <c r="AE644" s="68">
        <v>111</v>
      </c>
      <c r="AF644" s="194">
        <v>8</v>
      </c>
      <c r="AG644" s="117">
        <v>600000220</v>
      </c>
      <c r="AH644" s="105">
        <f>справочники!$C$49</f>
        <v>0.105</v>
      </c>
      <c r="AI644" s="61">
        <f t="shared" si="899"/>
        <v>2.56</v>
      </c>
      <c r="AJ644" s="141">
        <f t="shared" si="900"/>
        <v>2.7050000000000001</v>
      </c>
      <c r="AK644" s="157">
        <v>15</v>
      </c>
      <c r="AL644" s="34">
        <v>14</v>
      </c>
      <c r="AM644" s="40">
        <f t="shared" si="926"/>
        <v>210</v>
      </c>
      <c r="AN644" s="206">
        <f t="shared" si="927"/>
        <v>1680</v>
      </c>
      <c r="AO644" s="204">
        <f t="shared" si="919"/>
        <v>1699</v>
      </c>
    </row>
    <row r="645" spans="1:41" ht="56.25" x14ac:dyDescent="0.2">
      <c r="A645" s="22">
        <f t="shared" si="928"/>
        <v>3209</v>
      </c>
      <c r="B645" s="80">
        <v>1003171433209</v>
      </c>
      <c r="C645" s="70" t="s">
        <v>208</v>
      </c>
      <c r="D645" s="107" t="s">
        <v>4</v>
      </c>
      <c r="E645" s="146" t="s">
        <v>919</v>
      </c>
      <c r="F645" s="112" t="s">
        <v>1934</v>
      </c>
      <c r="G645" s="224" t="s">
        <v>520</v>
      </c>
      <c r="H645" s="87" t="s">
        <v>358</v>
      </c>
      <c r="I645" s="154" t="s">
        <v>276</v>
      </c>
      <c r="J645" s="150" t="s">
        <v>438</v>
      </c>
      <c r="K645" s="51" t="s">
        <v>140</v>
      </c>
      <c r="L645" s="84">
        <v>19</v>
      </c>
      <c r="M645" s="85">
        <v>8</v>
      </c>
      <c r="N645" s="53"/>
      <c r="O645" s="86" t="s">
        <v>547</v>
      </c>
      <c r="P645" s="87" t="s">
        <v>107</v>
      </c>
      <c r="Q645" s="107">
        <v>12</v>
      </c>
      <c r="R645" s="101" t="s">
        <v>29</v>
      </c>
      <c r="S645" s="246">
        <v>4607958071906</v>
      </c>
      <c r="T645" s="348">
        <v>14607958071903</v>
      </c>
      <c r="U645" s="46">
        <v>4607958071906</v>
      </c>
      <c r="V645" s="46">
        <v>14607958071903</v>
      </c>
      <c r="W645" s="261">
        <v>190</v>
      </c>
      <c r="X645" s="109">
        <v>144</v>
      </c>
      <c r="Y645" s="109">
        <v>60</v>
      </c>
      <c r="Z645" s="77">
        <v>0.4</v>
      </c>
      <c r="AA645" s="271">
        <v>0.02</v>
      </c>
      <c r="AB645" s="66">
        <f t="shared" ref="AB645:AB685" si="929">Z645+AA645</f>
        <v>0.42000000000000004</v>
      </c>
      <c r="AC645" s="75">
        <v>378</v>
      </c>
      <c r="AD645" s="76">
        <v>156</v>
      </c>
      <c r="AE645" s="76">
        <v>138</v>
      </c>
      <c r="AF645" s="192">
        <v>4</v>
      </c>
      <c r="AG645" s="117">
        <v>600000019</v>
      </c>
      <c r="AH645" s="106">
        <f>справочники!$C$11</f>
        <v>0.114</v>
      </c>
      <c r="AI645" s="126">
        <f t="shared" si="899"/>
        <v>1.6</v>
      </c>
      <c r="AJ645" s="143">
        <f t="shared" si="900"/>
        <v>1.7940000000000003</v>
      </c>
      <c r="AK645" s="158">
        <v>15</v>
      </c>
      <c r="AL645" s="38">
        <v>11</v>
      </c>
      <c r="AM645" s="40">
        <f t="shared" si="903"/>
        <v>165</v>
      </c>
      <c r="AN645" s="206">
        <f t="shared" ref="AN645:AN683" si="930">IF(D645="ШТ",кол_во_инд.__упак_к*итого_г_у,ROUNDDOWN(номин.вес_нетто_г_у__кг*итого_г_у,1))</f>
        <v>660</v>
      </c>
      <c r="AO645" s="204">
        <f t="shared" si="919"/>
        <v>1663</v>
      </c>
    </row>
    <row r="646" spans="1:41" ht="56.25" x14ac:dyDescent="0.2">
      <c r="A646" s="22">
        <f t="shared" si="928"/>
        <v>6318</v>
      </c>
      <c r="B646" s="80">
        <v>1003171436318</v>
      </c>
      <c r="C646" s="70" t="s">
        <v>1184</v>
      </c>
      <c r="D646" s="107" t="s">
        <v>4</v>
      </c>
      <c r="E646" s="146" t="s">
        <v>919</v>
      </c>
      <c r="F646" s="112" t="s">
        <v>1934</v>
      </c>
      <c r="G646" s="224" t="s">
        <v>2</v>
      </c>
      <c r="H646" s="87" t="s">
        <v>358</v>
      </c>
      <c r="I646" s="154" t="s">
        <v>1225</v>
      </c>
      <c r="J646" s="150" t="s">
        <v>2095</v>
      </c>
      <c r="K646" s="51" t="s">
        <v>140</v>
      </c>
      <c r="L646" s="84">
        <v>19</v>
      </c>
      <c r="M646" s="85">
        <v>8</v>
      </c>
      <c r="N646" s="53">
        <v>0</v>
      </c>
      <c r="O646" s="86" t="s">
        <v>547</v>
      </c>
      <c r="P646" s="87" t="s">
        <v>107</v>
      </c>
      <c r="Q646" s="107">
        <v>12</v>
      </c>
      <c r="R646" s="101" t="s">
        <v>29</v>
      </c>
      <c r="S646" s="246">
        <v>4607958072286</v>
      </c>
      <c r="T646" s="348">
        <v>14607958072283</v>
      </c>
      <c r="U646" s="46">
        <v>4607958072286</v>
      </c>
      <c r="V646" s="46">
        <v>14607958072283</v>
      </c>
      <c r="W646" s="261">
        <v>190</v>
      </c>
      <c r="X646" s="109">
        <v>144</v>
      </c>
      <c r="Y646" s="109">
        <v>60</v>
      </c>
      <c r="Z646" s="77">
        <v>0.4</v>
      </c>
      <c r="AA646" s="271">
        <v>0.02</v>
      </c>
      <c r="AB646" s="66">
        <f t="shared" ref="AB646" si="931">Z646+AA646</f>
        <v>0.42000000000000004</v>
      </c>
      <c r="AC646" s="75">
        <v>378</v>
      </c>
      <c r="AD646" s="76">
        <v>156</v>
      </c>
      <c r="AE646" s="76">
        <v>138</v>
      </c>
      <c r="AF646" s="192">
        <v>4</v>
      </c>
      <c r="AG646" s="117">
        <v>600000019</v>
      </c>
      <c r="AH646" s="106">
        <f>справочники!$C$11</f>
        <v>0.114</v>
      </c>
      <c r="AI646" s="126">
        <f t="shared" si="899"/>
        <v>1.6</v>
      </c>
      <c r="AJ646" s="143">
        <f t="shared" si="900"/>
        <v>1.7940000000000003</v>
      </c>
      <c r="AK646" s="158">
        <v>15</v>
      </c>
      <c r="AL646" s="38">
        <v>11</v>
      </c>
      <c r="AM646" s="40">
        <f t="shared" ref="AM646" si="932">AK646*AL646</f>
        <v>165</v>
      </c>
      <c r="AN646" s="206">
        <f t="shared" ref="AN646" si="933">IF(D646="ШТ",кол_во_инд.__упак_к*итого_г_у,ROUNDDOWN(номин.вес_нетто_г_у__кг*итого_г_у,1))</f>
        <v>660</v>
      </c>
      <c r="AO646" s="204">
        <f t="shared" si="919"/>
        <v>1663</v>
      </c>
    </row>
    <row r="647" spans="1:41" ht="56.25" x14ac:dyDescent="0.2">
      <c r="A647" s="22">
        <f t="shared" si="928"/>
        <v>5387</v>
      </c>
      <c r="B647" s="80">
        <v>1003173305387</v>
      </c>
      <c r="C647" s="48" t="s">
        <v>132</v>
      </c>
      <c r="D647" s="87" t="s">
        <v>4</v>
      </c>
      <c r="E647" s="146" t="s">
        <v>919</v>
      </c>
      <c r="F647" s="112" t="s">
        <v>1934</v>
      </c>
      <c r="G647" s="224" t="s">
        <v>520</v>
      </c>
      <c r="H647" s="87" t="s">
        <v>358</v>
      </c>
      <c r="I647" s="154" t="s">
        <v>276</v>
      </c>
      <c r="J647" s="150" t="s">
        <v>443</v>
      </c>
      <c r="K647" s="51" t="s">
        <v>141</v>
      </c>
      <c r="L647" s="84">
        <v>13</v>
      </c>
      <c r="M647" s="85">
        <v>33</v>
      </c>
      <c r="N647" s="53"/>
      <c r="O647" s="86" t="s">
        <v>182</v>
      </c>
      <c r="P647" s="87" t="s">
        <v>107</v>
      </c>
      <c r="Q647" s="87">
        <v>9</v>
      </c>
      <c r="R647" s="101" t="s">
        <v>29</v>
      </c>
      <c r="S647" s="237">
        <v>4607958070282</v>
      </c>
      <c r="T647" s="332">
        <v>14607958070289</v>
      </c>
      <c r="U647" s="46">
        <v>4607958070282</v>
      </c>
      <c r="V647" s="46">
        <v>14607958070289</v>
      </c>
      <c r="W647" s="258">
        <v>190</v>
      </c>
      <c r="X647" s="68">
        <v>144</v>
      </c>
      <c r="Y647" s="68">
        <v>60</v>
      </c>
      <c r="Z647" s="65">
        <v>0.4</v>
      </c>
      <c r="AA647" s="271">
        <v>0.02</v>
      </c>
      <c r="AB647" s="66">
        <f t="shared" si="929"/>
        <v>0.42000000000000004</v>
      </c>
      <c r="AC647" s="59">
        <v>378</v>
      </c>
      <c r="AD647" s="60">
        <v>156</v>
      </c>
      <c r="AE647" s="60">
        <v>138</v>
      </c>
      <c r="AF647" s="191">
        <v>4</v>
      </c>
      <c r="AG647" s="117">
        <v>600000019</v>
      </c>
      <c r="AH647" s="104">
        <f>справочники!$C$11</f>
        <v>0.114</v>
      </c>
      <c r="AI647" s="61">
        <f t="shared" si="899"/>
        <v>1.6</v>
      </c>
      <c r="AJ647" s="142">
        <f t="shared" si="900"/>
        <v>1.7940000000000003</v>
      </c>
      <c r="AK647" s="158">
        <v>15</v>
      </c>
      <c r="AL647" s="38">
        <v>11</v>
      </c>
      <c r="AM647" s="40">
        <f t="shared" si="903"/>
        <v>165</v>
      </c>
      <c r="AN647" s="206">
        <f t="shared" si="930"/>
        <v>660</v>
      </c>
      <c r="AO647" s="204">
        <f t="shared" si="919"/>
        <v>1663</v>
      </c>
    </row>
    <row r="648" spans="1:41" ht="52.5" customHeight="1" x14ac:dyDescent="0.2">
      <c r="A648" s="22">
        <f t="shared" si="928"/>
        <v>5589</v>
      </c>
      <c r="B648" s="80">
        <v>1003173575589</v>
      </c>
      <c r="C648" s="48" t="s">
        <v>232</v>
      </c>
      <c r="D648" s="87" t="s">
        <v>4</v>
      </c>
      <c r="E648" s="146" t="s">
        <v>919</v>
      </c>
      <c r="F648" s="112" t="s">
        <v>1931</v>
      </c>
      <c r="G648" s="224" t="s">
        <v>2</v>
      </c>
      <c r="H648" s="87" t="s">
        <v>358</v>
      </c>
      <c r="I648" s="154" t="s">
        <v>1225</v>
      </c>
      <c r="J648" s="150" t="s">
        <v>438</v>
      </c>
      <c r="K648" s="119" t="s">
        <v>1023</v>
      </c>
      <c r="L648" s="52">
        <v>20</v>
      </c>
      <c r="M648" s="53">
        <v>5</v>
      </c>
      <c r="N648" s="53"/>
      <c r="O648" s="88" t="s">
        <v>550</v>
      </c>
      <c r="P648" s="87" t="s">
        <v>107</v>
      </c>
      <c r="Q648" s="87">
        <v>12</v>
      </c>
      <c r="R648" s="101" t="s">
        <v>29</v>
      </c>
      <c r="S648" s="237">
        <v>4607958072842</v>
      </c>
      <c r="T648" s="332">
        <v>14607958072849</v>
      </c>
      <c r="U648" s="46">
        <v>4607958072842</v>
      </c>
      <c r="V648" s="46">
        <v>14607958072849</v>
      </c>
      <c r="W648" s="258">
        <v>190</v>
      </c>
      <c r="X648" s="68">
        <v>144</v>
      </c>
      <c r="Y648" s="68">
        <v>60</v>
      </c>
      <c r="Z648" s="65">
        <v>0.4</v>
      </c>
      <c r="AA648" s="271">
        <v>2.1999999999999999E-2</v>
      </c>
      <c r="AB648" s="66">
        <f t="shared" si="929"/>
        <v>0.42200000000000004</v>
      </c>
      <c r="AC648" s="59">
        <v>378</v>
      </c>
      <c r="AD648" s="60">
        <v>156</v>
      </c>
      <c r="AE648" s="60">
        <v>138</v>
      </c>
      <c r="AF648" s="191">
        <v>4</v>
      </c>
      <c r="AG648" s="117">
        <v>600000019</v>
      </c>
      <c r="AH648" s="104">
        <f>справочники!$C$11</f>
        <v>0.114</v>
      </c>
      <c r="AI648" s="61">
        <f t="shared" si="899"/>
        <v>1.6</v>
      </c>
      <c r="AJ648" s="142">
        <f t="shared" si="900"/>
        <v>1.8020000000000003</v>
      </c>
      <c r="AK648" s="158">
        <v>15</v>
      </c>
      <c r="AL648" s="38">
        <v>11</v>
      </c>
      <c r="AM648" s="40">
        <f t="shared" si="903"/>
        <v>165</v>
      </c>
      <c r="AN648" s="206">
        <f t="shared" si="930"/>
        <v>660</v>
      </c>
      <c r="AO648" s="204">
        <f t="shared" si="919"/>
        <v>1663</v>
      </c>
    </row>
    <row r="649" spans="1:41" ht="56.25" x14ac:dyDescent="0.2">
      <c r="A649" s="22">
        <f t="shared" si="928"/>
        <v>5592</v>
      </c>
      <c r="B649" s="80">
        <v>1003173075592</v>
      </c>
      <c r="C649" s="70" t="s">
        <v>235</v>
      </c>
      <c r="D649" s="107" t="s">
        <v>4</v>
      </c>
      <c r="E649" s="146" t="s">
        <v>919</v>
      </c>
      <c r="F649" s="112" t="s">
        <v>1934</v>
      </c>
      <c r="G649" s="224" t="s">
        <v>520</v>
      </c>
      <c r="H649" s="87" t="s">
        <v>358</v>
      </c>
      <c r="I649" s="154" t="s">
        <v>276</v>
      </c>
      <c r="J649" s="150" t="s">
        <v>443</v>
      </c>
      <c r="K649" s="51" t="s">
        <v>141</v>
      </c>
      <c r="L649" s="72">
        <v>18</v>
      </c>
      <c r="M649" s="73">
        <v>17</v>
      </c>
      <c r="N649" s="53"/>
      <c r="O649" s="88" t="s">
        <v>551</v>
      </c>
      <c r="P649" s="87" t="s">
        <v>107</v>
      </c>
      <c r="Q649" s="107">
        <v>12</v>
      </c>
      <c r="R649" s="101" t="s">
        <v>29</v>
      </c>
      <c r="S649" s="246">
        <v>4607958072910</v>
      </c>
      <c r="T649" s="348">
        <v>14607958072917</v>
      </c>
      <c r="U649" s="46">
        <v>4607958072910</v>
      </c>
      <c r="V649" s="46">
        <v>14607958072917</v>
      </c>
      <c r="W649" s="261">
        <v>190</v>
      </c>
      <c r="X649" s="109">
        <v>144</v>
      </c>
      <c r="Y649" s="109">
        <v>60</v>
      </c>
      <c r="Z649" s="77">
        <v>0.4</v>
      </c>
      <c r="AA649" s="271">
        <v>2.1999999999999999E-2</v>
      </c>
      <c r="AB649" s="78">
        <f t="shared" si="929"/>
        <v>0.42200000000000004</v>
      </c>
      <c r="AC649" s="75">
        <v>378</v>
      </c>
      <c r="AD649" s="76">
        <v>156</v>
      </c>
      <c r="AE649" s="76">
        <v>138</v>
      </c>
      <c r="AF649" s="192">
        <v>4</v>
      </c>
      <c r="AG649" s="117">
        <v>600000019</v>
      </c>
      <c r="AH649" s="106">
        <f>справочники!$C$11</f>
        <v>0.114</v>
      </c>
      <c r="AI649" s="126">
        <f t="shared" si="899"/>
        <v>1.6</v>
      </c>
      <c r="AJ649" s="143">
        <f t="shared" si="900"/>
        <v>1.8020000000000003</v>
      </c>
      <c r="AK649" s="158">
        <v>15</v>
      </c>
      <c r="AL649" s="38">
        <v>11</v>
      </c>
      <c r="AM649" s="40">
        <f t="shared" si="903"/>
        <v>165</v>
      </c>
      <c r="AN649" s="206">
        <f t="shared" si="930"/>
        <v>660</v>
      </c>
      <c r="AO649" s="204">
        <f t="shared" si="919"/>
        <v>1663</v>
      </c>
    </row>
    <row r="650" spans="1:41" ht="56.25" x14ac:dyDescent="0.2">
      <c r="A650" s="22">
        <f t="shared" si="928"/>
        <v>7312</v>
      </c>
      <c r="B650" s="80">
        <v>1003323077312</v>
      </c>
      <c r="C650" s="70" t="s">
        <v>1283</v>
      </c>
      <c r="D650" s="107" t="s">
        <v>4</v>
      </c>
      <c r="E650" s="146" t="s">
        <v>919</v>
      </c>
      <c r="F650" s="112" t="s">
        <v>1934</v>
      </c>
      <c r="G650" s="224" t="s">
        <v>520</v>
      </c>
      <c r="H650" s="87" t="s">
        <v>358</v>
      </c>
      <c r="I650" s="154" t="s">
        <v>276</v>
      </c>
      <c r="J650" s="150" t="s">
        <v>443</v>
      </c>
      <c r="K650" s="51" t="s">
        <v>141</v>
      </c>
      <c r="L650" s="72">
        <v>18</v>
      </c>
      <c r="M650" s="73">
        <v>17</v>
      </c>
      <c r="N650" s="53"/>
      <c r="O650" s="88" t="s">
        <v>551</v>
      </c>
      <c r="P650" s="87" t="s">
        <v>107</v>
      </c>
      <c r="Q650" s="107">
        <v>12</v>
      </c>
      <c r="R650" s="101" t="s">
        <v>29</v>
      </c>
      <c r="S650" s="246">
        <v>4607958079643</v>
      </c>
      <c r="T650" s="348">
        <v>14607958079640</v>
      </c>
      <c r="U650" s="46">
        <v>4607958079643</v>
      </c>
      <c r="V650" s="46">
        <v>14607958079640</v>
      </c>
      <c r="W650" s="261">
        <v>190</v>
      </c>
      <c r="X650" s="109">
        <v>144</v>
      </c>
      <c r="Y650" s="109">
        <v>60</v>
      </c>
      <c r="Z650" s="77">
        <v>0.4</v>
      </c>
      <c r="AA650" s="271">
        <v>2.1999999999999999E-2</v>
      </c>
      <c r="AB650" s="78">
        <f t="shared" ref="AB650:AB651" si="934">Z650+AA650</f>
        <v>0.42200000000000004</v>
      </c>
      <c r="AC650" s="75">
        <v>378</v>
      </c>
      <c r="AD650" s="76">
        <v>156</v>
      </c>
      <c r="AE650" s="76">
        <v>138</v>
      </c>
      <c r="AF650" s="192">
        <v>4</v>
      </c>
      <c r="AG650" s="117">
        <v>600000019</v>
      </c>
      <c r="AH650" s="106">
        <f>справочники!$C$11</f>
        <v>0.114</v>
      </c>
      <c r="AI650" s="126">
        <f t="shared" si="899"/>
        <v>1.6</v>
      </c>
      <c r="AJ650" s="143">
        <f t="shared" si="900"/>
        <v>1.8020000000000003</v>
      </c>
      <c r="AK650" s="158">
        <v>15</v>
      </c>
      <c r="AL650" s="38">
        <v>11</v>
      </c>
      <c r="AM650" s="40">
        <f t="shared" ref="AM650:AM651" si="935">AK650*AL650</f>
        <v>165</v>
      </c>
      <c r="AN650" s="206">
        <f t="shared" ref="AN650:AN651" si="936">IF(D650="ШТ",кол_во_инд.__упак_к*итого_г_у,ROUNDDOWN(номин.вес_нетто_г_у__кг*итого_г_у,1))</f>
        <v>660</v>
      </c>
      <c r="AO650" s="204">
        <f t="shared" si="919"/>
        <v>1663</v>
      </c>
    </row>
    <row r="651" spans="1:41" ht="56.25" x14ac:dyDescent="0.2">
      <c r="A651" s="22">
        <f t="shared" si="928"/>
        <v>7534</v>
      </c>
      <c r="B651" s="80">
        <v>1003326787534</v>
      </c>
      <c r="C651" s="70" t="s">
        <v>1762</v>
      </c>
      <c r="D651" s="107" t="s">
        <v>4</v>
      </c>
      <c r="E651" s="146" t="s">
        <v>919</v>
      </c>
      <c r="F651" s="112" t="s">
        <v>1934</v>
      </c>
      <c r="G651" s="224" t="s">
        <v>520</v>
      </c>
      <c r="H651" s="87" t="s">
        <v>358</v>
      </c>
      <c r="I651" s="154" t="s">
        <v>1225</v>
      </c>
      <c r="J651" s="150" t="s">
        <v>1346</v>
      </c>
      <c r="K651" s="51" t="s">
        <v>141</v>
      </c>
      <c r="L651" s="72">
        <v>18</v>
      </c>
      <c r="M651" s="73">
        <v>17</v>
      </c>
      <c r="N651" s="53">
        <v>0</v>
      </c>
      <c r="O651" s="88" t="s">
        <v>551</v>
      </c>
      <c r="P651" s="87" t="s">
        <v>107</v>
      </c>
      <c r="Q651" s="107">
        <v>12</v>
      </c>
      <c r="R651" s="101" t="s">
        <v>29</v>
      </c>
      <c r="S651" s="246">
        <v>4680328044830</v>
      </c>
      <c r="T651" s="348">
        <v>14680328044837</v>
      </c>
      <c r="U651" s="46">
        <v>4630362182838</v>
      </c>
      <c r="V651" s="46">
        <v>14630362182835</v>
      </c>
      <c r="W651" s="261">
        <v>190</v>
      </c>
      <c r="X651" s="109">
        <v>144</v>
      </c>
      <c r="Y651" s="109">
        <v>60</v>
      </c>
      <c r="Z651" s="77">
        <v>0.4</v>
      </c>
      <c r="AA651" s="271">
        <v>2.1999999999999999E-2</v>
      </c>
      <c r="AB651" s="78">
        <f t="shared" si="934"/>
        <v>0.42200000000000004</v>
      </c>
      <c r="AC651" s="75">
        <v>378</v>
      </c>
      <c r="AD651" s="76">
        <v>156</v>
      </c>
      <c r="AE651" s="76">
        <v>138</v>
      </c>
      <c r="AF651" s="192">
        <v>4</v>
      </c>
      <c r="AG651" s="117">
        <v>600000019</v>
      </c>
      <c r="AH651" s="106">
        <f>справочники!$C$11</f>
        <v>0.114</v>
      </c>
      <c r="AI651" s="126">
        <f t="shared" si="899"/>
        <v>1.6</v>
      </c>
      <c r="AJ651" s="143">
        <f t="shared" si="900"/>
        <v>1.8020000000000003</v>
      </c>
      <c r="AK651" s="158">
        <v>15</v>
      </c>
      <c r="AL651" s="38">
        <v>11</v>
      </c>
      <c r="AM651" s="40">
        <f t="shared" si="935"/>
        <v>165</v>
      </c>
      <c r="AN651" s="206">
        <f t="shared" si="936"/>
        <v>660</v>
      </c>
      <c r="AO651" s="204">
        <f t="shared" si="919"/>
        <v>1663</v>
      </c>
    </row>
    <row r="652" spans="1:41" ht="56.25" x14ac:dyDescent="0.2">
      <c r="A652" s="22">
        <f t="shared" si="928"/>
        <v>7350</v>
      </c>
      <c r="B652" s="80">
        <v>1003323077350</v>
      </c>
      <c r="C652" s="70" t="s">
        <v>1345</v>
      </c>
      <c r="D652" s="107" t="s">
        <v>4</v>
      </c>
      <c r="E652" s="146" t="s">
        <v>919</v>
      </c>
      <c r="F652" s="112" t="s">
        <v>1934</v>
      </c>
      <c r="G652" s="224" t="s">
        <v>2</v>
      </c>
      <c r="H652" s="87" t="s">
        <v>358</v>
      </c>
      <c r="I652" s="154" t="s">
        <v>276</v>
      </c>
      <c r="J652" s="150" t="s">
        <v>1346</v>
      </c>
      <c r="K652" s="51" t="s">
        <v>141</v>
      </c>
      <c r="L652" s="72">
        <v>16</v>
      </c>
      <c r="M652" s="73">
        <v>21</v>
      </c>
      <c r="N652" s="53"/>
      <c r="O652" s="88" t="s">
        <v>280</v>
      </c>
      <c r="P652" s="87" t="s">
        <v>107</v>
      </c>
      <c r="Q652" s="107">
        <v>12</v>
      </c>
      <c r="R652" s="101" t="s">
        <v>29</v>
      </c>
      <c r="S652" s="246">
        <v>4607958079957</v>
      </c>
      <c r="T652" s="348">
        <v>14607958079954</v>
      </c>
      <c r="U652" s="46">
        <v>4607958079957</v>
      </c>
      <c r="V652" s="46">
        <v>14607958079954</v>
      </c>
      <c r="W652" s="261">
        <v>190</v>
      </c>
      <c r="X652" s="109">
        <v>144</v>
      </c>
      <c r="Y652" s="109">
        <v>60</v>
      </c>
      <c r="Z652" s="77">
        <v>0.4</v>
      </c>
      <c r="AA652" s="271">
        <v>2.1999999999999999E-2</v>
      </c>
      <c r="AB652" s="78">
        <f t="shared" ref="AB652" si="937">Z652+AA652</f>
        <v>0.42200000000000004</v>
      </c>
      <c r="AC652" s="75">
        <v>378</v>
      </c>
      <c r="AD652" s="76">
        <v>156</v>
      </c>
      <c r="AE652" s="76">
        <v>138</v>
      </c>
      <c r="AF652" s="192">
        <v>4</v>
      </c>
      <c r="AG652" s="117">
        <v>600000019</v>
      </c>
      <c r="AH652" s="106">
        <f>справочники!$C$11</f>
        <v>0.114</v>
      </c>
      <c r="AI652" s="126">
        <f t="shared" si="899"/>
        <v>1.6</v>
      </c>
      <c r="AJ652" s="143">
        <f t="shared" si="900"/>
        <v>1.8020000000000003</v>
      </c>
      <c r="AK652" s="158">
        <v>15</v>
      </c>
      <c r="AL652" s="38">
        <v>11</v>
      </c>
      <c r="AM652" s="40">
        <f t="shared" ref="AM652" si="938">AK652*AL652</f>
        <v>165</v>
      </c>
      <c r="AN652" s="206">
        <f t="shared" ref="AN652" si="939">IF(D652="ШТ",кол_во_инд.__упак_к*итого_г_у,ROUNDDOWN(номин.вес_нетто_г_у__кг*итого_г_у,1))</f>
        <v>660</v>
      </c>
      <c r="AO652" s="204">
        <f t="shared" si="919"/>
        <v>1663</v>
      </c>
    </row>
    <row r="653" spans="1:41" ht="56.25" x14ac:dyDescent="0.2">
      <c r="A653" s="22">
        <f t="shared" si="928"/>
        <v>6432</v>
      </c>
      <c r="B653" s="80">
        <v>1003171736432</v>
      </c>
      <c r="C653" s="48" t="s">
        <v>538</v>
      </c>
      <c r="D653" s="87" t="s">
        <v>4</v>
      </c>
      <c r="E653" s="146" t="s">
        <v>919</v>
      </c>
      <c r="F653" s="112" t="s">
        <v>1934</v>
      </c>
      <c r="G653" s="224" t="s">
        <v>520</v>
      </c>
      <c r="H653" s="87" t="s">
        <v>358</v>
      </c>
      <c r="I653" s="154" t="s">
        <v>276</v>
      </c>
      <c r="J653" s="150" t="s">
        <v>438</v>
      </c>
      <c r="K653" s="51" t="s">
        <v>140</v>
      </c>
      <c r="L653" s="52">
        <v>16</v>
      </c>
      <c r="M653" s="53">
        <v>18</v>
      </c>
      <c r="N653" s="53"/>
      <c r="O653" s="88" t="s">
        <v>549</v>
      </c>
      <c r="P653" s="87" t="s">
        <v>107</v>
      </c>
      <c r="Q653" s="87">
        <v>12</v>
      </c>
      <c r="R653" s="101" t="s">
        <v>29</v>
      </c>
      <c r="S653" s="237">
        <v>4607088544301</v>
      </c>
      <c r="T653" s="332">
        <v>14607088544308</v>
      </c>
      <c r="U653" s="46">
        <v>4607958075188</v>
      </c>
      <c r="V653" s="46">
        <v>14607958075185</v>
      </c>
      <c r="W653" s="258">
        <v>190</v>
      </c>
      <c r="X653" s="68">
        <v>144</v>
      </c>
      <c r="Y653" s="68">
        <v>60</v>
      </c>
      <c r="Z653" s="65">
        <v>0.4</v>
      </c>
      <c r="AA653" s="271">
        <v>2.1999999999999999E-2</v>
      </c>
      <c r="AB653" s="66">
        <f t="shared" si="929"/>
        <v>0.42200000000000004</v>
      </c>
      <c r="AC653" s="59">
        <v>378</v>
      </c>
      <c r="AD653" s="60">
        <v>156</v>
      </c>
      <c r="AE653" s="60">
        <v>138</v>
      </c>
      <c r="AF653" s="191">
        <v>4</v>
      </c>
      <c r="AG653" s="117">
        <v>600000019</v>
      </c>
      <c r="AH653" s="104">
        <f>справочники!$C$11</f>
        <v>0.114</v>
      </c>
      <c r="AI653" s="61">
        <f t="shared" si="899"/>
        <v>1.6</v>
      </c>
      <c r="AJ653" s="142">
        <f t="shared" si="900"/>
        <v>1.8020000000000003</v>
      </c>
      <c r="AK653" s="158">
        <v>15</v>
      </c>
      <c r="AL653" s="38">
        <v>11</v>
      </c>
      <c r="AM653" s="40">
        <f>AK653*AL653</f>
        <v>165</v>
      </c>
      <c r="AN653" s="206">
        <f>IF(D653="ШТ",кол_во_инд.__упак_к*итого_г_у,ROUNDDOWN(номин.вес_нетто_г_у__кг*итого_г_у,1))</f>
        <v>660</v>
      </c>
      <c r="AO653" s="204">
        <f t="shared" si="919"/>
        <v>1663</v>
      </c>
    </row>
    <row r="654" spans="1:41" ht="56.25" x14ac:dyDescent="0.2">
      <c r="A654" s="22">
        <f t="shared" si="928"/>
        <v>7310</v>
      </c>
      <c r="B654" s="80">
        <v>1003321737310</v>
      </c>
      <c r="C654" s="48" t="s">
        <v>1285</v>
      </c>
      <c r="D654" s="87" t="s">
        <v>4</v>
      </c>
      <c r="E654" s="146" t="s">
        <v>919</v>
      </c>
      <c r="F654" s="112" t="s">
        <v>1934</v>
      </c>
      <c r="G654" s="224" t="s">
        <v>520</v>
      </c>
      <c r="H654" s="87" t="s">
        <v>358</v>
      </c>
      <c r="I654" s="154" t="s">
        <v>276</v>
      </c>
      <c r="J654" s="150" t="s">
        <v>438</v>
      </c>
      <c r="K654" s="51" t="s">
        <v>140</v>
      </c>
      <c r="L654" s="52">
        <v>16</v>
      </c>
      <c r="M654" s="53">
        <v>18</v>
      </c>
      <c r="N654" s="53"/>
      <c r="O654" s="88" t="s">
        <v>549</v>
      </c>
      <c r="P654" s="87" t="s">
        <v>107</v>
      </c>
      <c r="Q654" s="87">
        <v>12</v>
      </c>
      <c r="R654" s="101" t="s">
        <v>29</v>
      </c>
      <c r="S654" s="237">
        <v>4607958079636</v>
      </c>
      <c r="T654" s="332">
        <v>14607958079633</v>
      </c>
      <c r="U654" s="46">
        <v>4607958079636</v>
      </c>
      <c r="V654" s="46">
        <v>14607958079633</v>
      </c>
      <c r="W654" s="258">
        <v>190</v>
      </c>
      <c r="X654" s="68">
        <v>144</v>
      </c>
      <c r="Y654" s="68">
        <v>60</v>
      </c>
      <c r="Z654" s="65">
        <v>0.4</v>
      </c>
      <c r="AA654" s="271">
        <v>2.1999999999999999E-2</v>
      </c>
      <c r="AB654" s="66">
        <f t="shared" ref="AB654:AB655" si="940">Z654+AA654</f>
        <v>0.42200000000000004</v>
      </c>
      <c r="AC654" s="59">
        <v>378</v>
      </c>
      <c r="AD654" s="60">
        <v>156</v>
      </c>
      <c r="AE654" s="60">
        <v>138</v>
      </c>
      <c r="AF654" s="191">
        <v>4</v>
      </c>
      <c r="AG654" s="117">
        <v>600000019</v>
      </c>
      <c r="AH654" s="104">
        <f>справочники!$C$11</f>
        <v>0.114</v>
      </c>
      <c r="AI654" s="61">
        <f t="shared" si="899"/>
        <v>1.6</v>
      </c>
      <c r="AJ654" s="142">
        <f t="shared" si="900"/>
        <v>1.8020000000000003</v>
      </c>
      <c r="AK654" s="158">
        <v>15</v>
      </c>
      <c r="AL654" s="38">
        <v>11</v>
      </c>
      <c r="AM654" s="40">
        <f>AK654*AL654</f>
        <v>165</v>
      </c>
      <c r="AN654" s="206">
        <f>IF(D654="ШТ",кол_во_инд.__упак_к*итого_г_у,ROUNDDOWN(номин.вес_нетто_г_у__кг*итого_г_у,1))</f>
        <v>660</v>
      </c>
      <c r="AO654" s="204">
        <f t="shared" si="919"/>
        <v>1663</v>
      </c>
    </row>
    <row r="655" spans="1:41" ht="56.25" x14ac:dyDescent="0.2">
      <c r="A655" s="22">
        <f t="shared" si="928"/>
        <v>7396</v>
      </c>
      <c r="B655" s="80">
        <v>1003321737396</v>
      </c>
      <c r="C655" s="48" t="s">
        <v>1514</v>
      </c>
      <c r="D655" s="87" t="s">
        <v>4</v>
      </c>
      <c r="E655" s="146" t="s">
        <v>919</v>
      </c>
      <c r="F655" s="112" t="s">
        <v>1934</v>
      </c>
      <c r="G655" s="224" t="s">
        <v>520</v>
      </c>
      <c r="H655" s="87" t="s">
        <v>358</v>
      </c>
      <c r="I655" s="154" t="s">
        <v>1225</v>
      </c>
      <c r="J655" s="150" t="s">
        <v>1348</v>
      </c>
      <c r="K655" s="51" t="s">
        <v>140</v>
      </c>
      <c r="L655" s="52">
        <v>16</v>
      </c>
      <c r="M655" s="53">
        <v>18</v>
      </c>
      <c r="N655" s="53"/>
      <c r="O655" s="88" t="s">
        <v>549</v>
      </c>
      <c r="P655" s="87" t="s">
        <v>107</v>
      </c>
      <c r="Q655" s="87">
        <v>12</v>
      </c>
      <c r="R655" s="101" t="s">
        <v>29</v>
      </c>
      <c r="S655" s="237">
        <v>4680328068515</v>
      </c>
      <c r="T655" s="332">
        <v>14680328068512</v>
      </c>
      <c r="U655" s="46">
        <v>4630362182845</v>
      </c>
      <c r="V655" s="46">
        <v>14630362182842</v>
      </c>
      <c r="W655" s="258">
        <v>190</v>
      </c>
      <c r="X655" s="68">
        <v>144</v>
      </c>
      <c r="Y655" s="68">
        <v>60</v>
      </c>
      <c r="Z655" s="65">
        <v>0.4</v>
      </c>
      <c r="AA655" s="271">
        <v>2.1999999999999999E-2</v>
      </c>
      <c r="AB655" s="66">
        <f t="shared" si="940"/>
        <v>0.42200000000000004</v>
      </c>
      <c r="AC655" s="59">
        <v>378</v>
      </c>
      <c r="AD655" s="60">
        <v>156</v>
      </c>
      <c r="AE655" s="60">
        <v>138</v>
      </c>
      <c r="AF655" s="191">
        <v>4</v>
      </c>
      <c r="AG655" s="117">
        <v>600000019</v>
      </c>
      <c r="AH655" s="104">
        <f>справочники!$C$11</f>
        <v>0.114</v>
      </c>
      <c r="AI655" s="61">
        <f t="shared" si="899"/>
        <v>1.6</v>
      </c>
      <c r="AJ655" s="142">
        <f t="shared" si="900"/>
        <v>1.8020000000000003</v>
      </c>
      <c r="AK655" s="158">
        <v>15</v>
      </c>
      <c r="AL655" s="38">
        <v>11</v>
      </c>
      <c r="AM655" s="40">
        <f>AK655*AL655</f>
        <v>165</v>
      </c>
      <c r="AN655" s="206">
        <f>IF(D655="ШТ",кол_во_инд.__упак_к*итого_г_у,ROUNDDOWN(номин.вес_нетто_г_у__кг*итого_г_у,1))</f>
        <v>660</v>
      </c>
      <c r="AO655" s="204">
        <f t="shared" si="919"/>
        <v>1663</v>
      </c>
    </row>
    <row r="656" spans="1:41" ht="56.25" x14ac:dyDescent="0.2">
      <c r="A656" s="22">
        <f t="shared" si="928"/>
        <v>5722</v>
      </c>
      <c r="B656" s="80">
        <v>1003171735722</v>
      </c>
      <c r="C656" s="48" t="s">
        <v>241</v>
      </c>
      <c r="D656" s="87" t="s">
        <v>4</v>
      </c>
      <c r="E656" s="146" t="s">
        <v>919</v>
      </c>
      <c r="F656" s="112" t="s">
        <v>1934</v>
      </c>
      <c r="G656" s="224" t="s">
        <v>2</v>
      </c>
      <c r="H656" s="87" t="s">
        <v>358</v>
      </c>
      <c r="I656" s="154" t="s">
        <v>1225</v>
      </c>
      <c r="J656" s="150" t="s">
        <v>1348</v>
      </c>
      <c r="K656" s="51" t="s">
        <v>140</v>
      </c>
      <c r="L656" s="52">
        <v>17</v>
      </c>
      <c r="M656" s="53">
        <v>16</v>
      </c>
      <c r="N656" s="53">
        <v>0</v>
      </c>
      <c r="O656" s="88" t="s">
        <v>1256</v>
      </c>
      <c r="P656" s="87" t="s">
        <v>107</v>
      </c>
      <c r="Q656" s="87">
        <v>12</v>
      </c>
      <c r="R656" s="101" t="s">
        <v>29</v>
      </c>
      <c r="S656" s="237">
        <v>4607958073085</v>
      </c>
      <c r="T656" s="332">
        <v>14607958073082</v>
      </c>
      <c r="U656" s="46">
        <v>4607958073085</v>
      </c>
      <c r="V656" s="46">
        <v>14607958073082</v>
      </c>
      <c r="W656" s="258">
        <v>190</v>
      </c>
      <c r="X656" s="68">
        <v>144</v>
      </c>
      <c r="Y656" s="68">
        <v>60</v>
      </c>
      <c r="Z656" s="65">
        <v>0.4</v>
      </c>
      <c r="AA656" s="271">
        <v>2.1999999999999999E-2</v>
      </c>
      <c r="AB656" s="66">
        <f t="shared" si="929"/>
        <v>0.42200000000000004</v>
      </c>
      <c r="AC656" s="59">
        <v>378</v>
      </c>
      <c r="AD656" s="60">
        <v>156</v>
      </c>
      <c r="AE656" s="60">
        <v>138</v>
      </c>
      <c r="AF656" s="191">
        <v>4</v>
      </c>
      <c r="AG656" s="117">
        <v>600000019</v>
      </c>
      <c r="AH656" s="104">
        <f>справочники!$C$11</f>
        <v>0.114</v>
      </c>
      <c r="AI656" s="61">
        <f t="shared" si="899"/>
        <v>1.6</v>
      </c>
      <c r="AJ656" s="142">
        <f t="shared" si="900"/>
        <v>1.8020000000000003</v>
      </c>
      <c r="AK656" s="158">
        <v>15</v>
      </c>
      <c r="AL656" s="38">
        <v>11</v>
      </c>
      <c r="AM656" s="40">
        <f t="shared" si="903"/>
        <v>165</v>
      </c>
      <c r="AN656" s="206">
        <f t="shared" si="930"/>
        <v>660</v>
      </c>
      <c r="AO656" s="204">
        <f t="shared" si="919"/>
        <v>1663</v>
      </c>
    </row>
    <row r="657" spans="1:41" ht="56.25" x14ac:dyDescent="0.2">
      <c r="A657" s="22">
        <f t="shared" si="928"/>
        <v>6431</v>
      </c>
      <c r="B657" s="80">
        <v>1003171746431</v>
      </c>
      <c r="C657" s="70" t="s">
        <v>537</v>
      </c>
      <c r="D657" s="107" t="s">
        <v>4</v>
      </c>
      <c r="E657" s="146" t="s">
        <v>919</v>
      </c>
      <c r="F657" s="112" t="s">
        <v>1934</v>
      </c>
      <c r="G657" s="224" t="s">
        <v>520</v>
      </c>
      <c r="H657" s="87" t="s">
        <v>358</v>
      </c>
      <c r="I657" s="154" t="s">
        <v>276</v>
      </c>
      <c r="J657" s="150" t="s">
        <v>438</v>
      </c>
      <c r="K657" s="51" t="s">
        <v>140</v>
      </c>
      <c r="L657" s="72">
        <v>20</v>
      </c>
      <c r="M657" s="73">
        <v>5</v>
      </c>
      <c r="N657" s="53"/>
      <c r="O657" s="88" t="s">
        <v>550</v>
      </c>
      <c r="P657" s="87" t="s">
        <v>107</v>
      </c>
      <c r="Q657" s="107">
        <v>12</v>
      </c>
      <c r="R657" s="101" t="s">
        <v>29</v>
      </c>
      <c r="S657" s="246">
        <v>4607088544325</v>
      </c>
      <c r="T657" s="348">
        <v>14607088544322</v>
      </c>
      <c r="U657" s="46">
        <v>4607958075195</v>
      </c>
      <c r="V657" s="46">
        <v>14607958075192</v>
      </c>
      <c r="W657" s="261">
        <v>190</v>
      </c>
      <c r="X657" s="109">
        <v>144</v>
      </c>
      <c r="Y657" s="109">
        <v>60</v>
      </c>
      <c r="Z657" s="77">
        <v>0.4</v>
      </c>
      <c r="AA657" s="271">
        <v>2.1999999999999999E-2</v>
      </c>
      <c r="AB657" s="78">
        <f t="shared" si="929"/>
        <v>0.42200000000000004</v>
      </c>
      <c r="AC657" s="75">
        <v>378</v>
      </c>
      <c r="AD657" s="76">
        <v>156</v>
      </c>
      <c r="AE657" s="60">
        <v>138</v>
      </c>
      <c r="AF657" s="192">
        <v>4</v>
      </c>
      <c r="AG657" s="117">
        <v>600000019</v>
      </c>
      <c r="AH657" s="104">
        <f>справочники!$C$11</f>
        <v>0.114</v>
      </c>
      <c r="AI657" s="126">
        <f t="shared" si="899"/>
        <v>1.6</v>
      </c>
      <c r="AJ657" s="142">
        <f t="shared" si="900"/>
        <v>1.8020000000000003</v>
      </c>
      <c r="AK657" s="158">
        <v>15</v>
      </c>
      <c r="AL657" s="38">
        <v>11</v>
      </c>
      <c r="AM657" s="40">
        <f>AK657*AL657</f>
        <v>165</v>
      </c>
      <c r="AN657" s="206">
        <f>IF(D657="ШТ",кол_во_инд.__упак_к*итого_г_у,ROUNDDOWN(номин.вес_нетто_г_у__кг*итого_г_у,1))</f>
        <v>660</v>
      </c>
      <c r="AO657" s="204">
        <f t="shared" si="919"/>
        <v>1663</v>
      </c>
    </row>
    <row r="658" spans="1:41" ht="56.25" x14ac:dyDescent="0.2">
      <c r="A658" s="22">
        <f t="shared" si="928"/>
        <v>6417</v>
      </c>
      <c r="B658" s="80">
        <v>1003171746417</v>
      </c>
      <c r="C658" s="70" t="s">
        <v>527</v>
      </c>
      <c r="D658" s="107" t="s">
        <v>4</v>
      </c>
      <c r="E658" s="146" t="s">
        <v>919</v>
      </c>
      <c r="F658" s="112" t="s">
        <v>1934</v>
      </c>
      <c r="G658" s="224" t="s">
        <v>520</v>
      </c>
      <c r="H658" s="87" t="s">
        <v>358</v>
      </c>
      <c r="I658" s="154" t="s">
        <v>1225</v>
      </c>
      <c r="J658" s="150" t="s">
        <v>1348</v>
      </c>
      <c r="K658" s="51" t="s">
        <v>140</v>
      </c>
      <c r="L658" s="72">
        <v>20</v>
      </c>
      <c r="M658" s="73">
        <v>5</v>
      </c>
      <c r="N658" s="53"/>
      <c r="O658" s="88" t="s">
        <v>550</v>
      </c>
      <c r="P658" s="87" t="s">
        <v>107</v>
      </c>
      <c r="Q658" s="107">
        <v>14</v>
      </c>
      <c r="R658" s="101" t="s">
        <v>29</v>
      </c>
      <c r="S658" s="246">
        <v>4606038082474</v>
      </c>
      <c r="T658" s="348">
        <v>14606038082471</v>
      </c>
      <c r="U658" s="46">
        <v>4630362182852</v>
      </c>
      <c r="V658" s="46">
        <v>14630362182859</v>
      </c>
      <c r="W658" s="261">
        <v>190</v>
      </c>
      <c r="X658" s="109">
        <v>144</v>
      </c>
      <c r="Y658" s="109">
        <v>60</v>
      </c>
      <c r="Z658" s="77">
        <v>0.4</v>
      </c>
      <c r="AA658" s="271">
        <v>2.1999999999999999E-2</v>
      </c>
      <c r="AB658" s="78">
        <f t="shared" si="929"/>
        <v>0.42200000000000004</v>
      </c>
      <c r="AC658" s="75">
        <v>378</v>
      </c>
      <c r="AD658" s="76">
        <v>156</v>
      </c>
      <c r="AE658" s="60">
        <v>138</v>
      </c>
      <c r="AF658" s="192">
        <v>4</v>
      </c>
      <c r="AG658" s="117">
        <v>600000019</v>
      </c>
      <c r="AH658" s="104">
        <f>справочники!$C$11</f>
        <v>0.114</v>
      </c>
      <c r="AI658" s="126">
        <f t="shared" si="899"/>
        <v>1.6</v>
      </c>
      <c r="AJ658" s="142">
        <f t="shared" si="900"/>
        <v>1.8020000000000003</v>
      </c>
      <c r="AK658" s="158">
        <v>15</v>
      </c>
      <c r="AL658" s="38">
        <v>11</v>
      </c>
      <c r="AM658" s="40">
        <f>AK658*AL658</f>
        <v>165</v>
      </c>
      <c r="AN658" s="206">
        <f t="shared" si="930"/>
        <v>660</v>
      </c>
      <c r="AO658" s="204">
        <f t="shared" si="919"/>
        <v>1663</v>
      </c>
    </row>
    <row r="659" spans="1:41" ht="56.25" x14ac:dyDescent="0.2">
      <c r="A659" s="22">
        <f t="shared" si="928"/>
        <v>7311</v>
      </c>
      <c r="B659" s="80">
        <v>1003321747311</v>
      </c>
      <c r="C659" s="70" t="s">
        <v>1284</v>
      </c>
      <c r="D659" s="107" t="s">
        <v>4</v>
      </c>
      <c r="E659" s="146" t="s">
        <v>919</v>
      </c>
      <c r="F659" s="112" t="s">
        <v>1934</v>
      </c>
      <c r="G659" s="224" t="s">
        <v>520</v>
      </c>
      <c r="H659" s="87" t="s">
        <v>358</v>
      </c>
      <c r="I659" s="154" t="s">
        <v>276</v>
      </c>
      <c r="J659" s="150" t="s">
        <v>438</v>
      </c>
      <c r="K659" s="51" t="s">
        <v>140</v>
      </c>
      <c r="L659" s="72">
        <v>20</v>
      </c>
      <c r="M659" s="73">
        <v>5</v>
      </c>
      <c r="N659" s="53"/>
      <c r="O659" s="88" t="s">
        <v>550</v>
      </c>
      <c r="P659" s="87" t="s">
        <v>107</v>
      </c>
      <c r="Q659" s="107">
        <v>12</v>
      </c>
      <c r="R659" s="101" t="s">
        <v>29</v>
      </c>
      <c r="S659" s="246">
        <v>4607958079612</v>
      </c>
      <c r="T659" s="348">
        <v>14607958079619</v>
      </c>
      <c r="U659" s="46">
        <v>4607958079612</v>
      </c>
      <c r="V659" s="46">
        <v>14607958079619</v>
      </c>
      <c r="W659" s="261">
        <v>190</v>
      </c>
      <c r="X659" s="109">
        <v>144</v>
      </c>
      <c r="Y659" s="109">
        <v>60</v>
      </c>
      <c r="Z659" s="77">
        <v>0.4</v>
      </c>
      <c r="AA659" s="271">
        <v>2.1999999999999999E-2</v>
      </c>
      <c r="AB659" s="78">
        <f t="shared" ref="AB659" si="941">Z659+AA659</f>
        <v>0.42200000000000004</v>
      </c>
      <c r="AC659" s="75">
        <v>378</v>
      </c>
      <c r="AD659" s="76">
        <v>156</v>
      </c>
      <c r="AE659" s="60">
        <v>138</v>
      </c>
      <c r="AF659" s="192">
        <v>4</v>
      </c>
      <c r="AG659" s="117">
        <v>600000019</v>
      </c>
      <c r="AH659" s="104">
        <f>справочники!$C$11</f>
        <v>0.114</v>
      </c>
      <c r="AI659" s="126">
        <f t="shared" si="899"/>
        <v>1.6</v>
      </c>
      <c r="AJ659" s="142">
        <f t="shared" si="900"/>
        <v>1.8020000000000003</v>
      </c>
      <c r="AK659" s="158">
        <v>15</v>
      </c>
      <c r="AL659" s="38">
        <v>11</v>
      </c>
      <c r="AM659" s="40">
        <f>AK659*AL659</f>
        <v>165</v>
      </c>
      <c r="AN659" s="206">
        <f>IF(D659="ШТ",кол_во_инд.__упак_к*итого_г_у,ROUNDDOWN(номин.вес_нетто_г_у__кг*итого_г_у,1))</f>
        <v>660</v>
      </c>
      <c r="AO659" s="204">
        <f t="shared" si="919"/>
        <v>1663</v>
      </c>
    </row>
    <row r="660" spans="1:41" ht="56.25" x14ac:dyDescent="0.2">
      <c r="A660" s="22">
        <f t="shared" si="928"/>
        <v>7351</v>
      </c>
      <c r="B660" s="80">
        <v>1003321747351</v>
      </c>
      <c r="C660" s="70" t="s">
        <v>1347</v>
      </c>
      <c r="D660" s="107" t="s">
        <v>4</v>
      </c>
      <c r="E660" s="146" t="s">
        <v>919</v>
      </c>
      <c r="F660" s="112" t="s">
        <v>1934</v>
      </c>
      <c r="G660" s="224" t="s">
        <v>2</v>
      </c>
      <c r="H660" s="87" t="s">
        <v>358</v>
      </c>
      <c r="I660" s="154" t="s">
        <v>1225</v>
      </c>
      <c r="J660" s="150" t="s">
        <v>1348</v>
      </c>
      <c r="K660" s="51" t="s">
        <v>140</v>
      </c>
      <c r="L660" s="72">
        <v>20</v>
      </c>
      <c r="M660" s="73">
        <v>5</v>
      </c>
      <c r="N660" s="53"/>
      <c r="O660" s="88" t="s">
        <v>550</v>
      </c>
      <c r="P660" s="87" t="s">
        <v>107</v>
      </c>
      <c r="Q660" s="107">
        <v>12</v>
      </c>
      <c r="R660" s="101" t="s">
        <v>29</v>
      </c>
      <c r="S660" s="246">
        <v>4607958079940</v>
      </c>
      <c r="T660" s="348">
        <v>14607958079947</v>
      </c>
      <c r="U660" s="46">
        <v>4607958079940</v>
      </c>
      <c r="V660" s="46">
        <v>14607958079947</v>
      </c>
      <c r="W660" s="261">
        <v>190</v>
      </c>
      <c r="X660" s="109">
        <v>144</v>
      </c>
      <c r="Y660" s="109">
        <v>60</v>
      </c>
      <c r="Z660" s="77">
        <v>0.4</v>
      </c>
      <c r="AA660" s="271">
        <v>2.1999999999999999E-2</v>
      </c>
      <c r="AB660" s="78">
        <f t="shared" ref="AB660" si="942">Z660+AA660</f>
        <v>0.42200000000000004</v>
      </c>
      <c r="AC660" s="75">
        <v>378</v>
      </c>
      <c r="AD660" s="76">
        <v>156</v>
      </c>
      <c r="AE660" s="60">
        <v>138</v>
      </c>
      <c r="AF660" s="192">
        <v>4</v>
      </c>
      <c r="AG660" s="117">
        <v>600000019</v>
      </c>
      <c r="AH660" s="104">
        <f>справочники!$C$11</f>
        <v>0.114</v>
      </c>
      <c r="AI660" s="126">
        <f t="shared" si="899"/>
        <v>1.6</v>
      </c>
      <c r="AJ660" s="142">
        <f t="shared" si="900"/>
        <v>1.8020000000000003</v>
      </c>
      <c r="AK660" s="158">
        <v>15</v>
      </c>
      <c r="AL660" s="38">
        <v>11</v>
      </c>
      <c r="AM660" s="40">
        <f>AK660*AL660</f>
        <v>165</v>
      </c>
      <c r="AN660" s="206">
        <f>IF(D660="ШТ",кол_во_инд.__упак_к*итого_г_у,ROUNDDOWN(номин.вес_нетто_г_у__кг*итого_г_у,1))</f>
        <v>660</v>
      </c>
      <c r="AO660" s="204">
        <f t="shared" si="919"/>
        <v>1663</v>
      </c>
    </row>
    <row r="661" spans="1:41" ht="56.25" x14ac:dyDescent="0.2">
      <c r="A661" s="22">
        <f t="shared" si="928"/>
        <v>5435</v>
      </c>
      <c r="B661" s="80">
        <v>1003171755435</v>
      </c>
      <c r="C661" s="48" t="s">
        <v>96</v>
      </c>
      <c r="D661" s="87" t="s">
        <v>4</v>
      </c>
      <c r="E661" s="146" t="s">
        <v>919</v>
      </c>
      <c r="F661" s="112" t="s">
        <v>1934</v>
      </c>
      <c r="G661" s="224" t="s">
        <v>2</v>
      </c>
      <c r="H661" s="87" t="s">
        <v>358</v>
      </c>
      <c r="I661" s="154" t="s">
        <v>1225</v>
      </c>
      <c r="J661" s="150" t="s">
        <v>2095</v>
      </c>
      <c r="K661" s="51" t="s">
        <v>140</v>
      </c>
      <c r="L661" s="52">
        <v>21</v>
      </c>
      <c r="M661" s="53">
        <v>7</v>
      </c>
      <c r="N661" s="53"/>
      <c r="O661" s="88" t="s">
        <v>277</v>
      </c>
      <c r="P661" s="87" t="s">
        <v>107</v>
      </c>
      <c r="Q661" s="87">
        <v>12</v>
      </c>
      <c r="R661" s="101" t="s">
        <v>29</v>
      </c>
      <c r="S661" s="237">
        <v>4607088541850</v>
      </c>
      <c r="T661" s="332">
        <v>14607088541857</v>
      </c>
      <c r="U661" s="46">
        <v>4607958075201</v>
      </c>
      <c r="V661" s="46">
        <v>14607958075208</v>
      </c>
      <c r="W661" s="258">
        <v>190</v>
      </c>
      <c r="X661" s="68">
        <v>144</v>
      </c>
      <c r="Y661" s="68">
        <v>60</v>
      </c>
      <c r="Z661" s="65">
        <v>0.4</v>
      </c>
      <c r="AA661" s="271">
        <v>2.1999999999999999E-2</v>
      </c>
      <c r="AB661" s="66">
        <f t="shared" si="929"/>
        <v>0.42200000000000004</v>
      </c>
      <c r="AC661" s="75">
        <v>378</v>
      </c>
      <c r="AD661" s="76">
        <v>156</v>
      </c>
      <c r="AE661" s="60">
        <v>138</v>
      </c>
      <c r="AF661" s="191">
        <v>4</v>
      </c>
      <c r="AG661" s="117">
        <v>600000019</v>
      </c>
      <c r="AH661" s="104">
        <f>справочники!$C$11</f>
        <v>0.114</v>
      </c>
      <c r="AI661" s="61">
        <f t="shared" si="899"/>
        <v>1.6</v>
      </c>
      <c r="AJ661" s="142">
        <f t="shared" si="900"/>
        <v>1.8020000000000003</v>
      </c>
      <c r="AK661" s="158">
        <v>15</v>
      </c>
      <c r="AL661" s="38">
        <v>11</v>
      </c>
      <c r="AM661" s="40">
        <f t="shared" si="903"/>
        <v>165</v>
      </c>
      <c r="AN661" s="206">
        <f t="shared" si="930"/>
        <v>660</v>
      </c>
      <c r="AO661" s="204">
        <f t="shared" si="919"/>
        <v>1663</v>
      </c>
    </row>
    <row r="662" spans="1:41" ht="56.25" x14ac:dyDescent="0.2">
      <c r="A662" s="22">
        <f t="shared" si="928"/>
        <v>6897</v>
      </c>
      <c r="B662" s="80">
        <v>1003321756897</v>
      </c>
      <c r="C662" s="48" t="s">
        <v>934</v>
      </c>
      <c r="D662" s="87" t="s">
        <v>4</v>
      </c>
      <c r="E662" s="146" t="s">
        <v>919</v>
      </c>
      <c r="F662" s="112" t="s">
        <v>1934</v>
      </c>
      <c r="G662" s="224" t="s">
        <v>520</v>
      </c>
      <c r="H662" s="87" t="s">
        <v>358</v>
      </c>
      <c r="I662" s="154" t="s">
        <v>276</v>
      </c>
      <c r="J662" s="150" t="s">
        <v>438</v>
      </c>
      <c r="K662" s="51" t="s">
        <v>140</v>
      </c>
      <c r="L662" s="52">
        <v>21</v>
      </c>
      <c r="M662" s="53">
        <v>7</v>
      </c>
      <c r="N662" s="53"/>
      <c r="O662" s="88" t="s">
        <v>277</v>
      </c>
      <c r="P662" s="87" t="s">
        <v>107</v>
      </c>
      <c r="Q662" s="87">
        <v>12</v>
      </c>
      <c r="R662" s="101" t="s">
        <v>29</v>
      </c>
      <c r="S662" s="237">
        <v>4607958077939</v>
      </c>
      <c r="T662" s="332">
        <v>14607958077936</v>
      </c>
      <c r="U662" s="46">
        <v>4607958077939</v>
      </c>
      <c r="V662" s="46">
        <v>14607958077936</v>
      </c>
      <c r="W662" s="258">
        <v>190</v>
      </c>
      <c r="X662" s="68">
        <v>144</v>
      </c>
      <c r="Y662" s="68">
        <v>60</v>
      </c>
      <c r="Z662" s="65">
        <v>0.4</v>
      </c>
      <c r="AA662" s="271">
        <v>2.1999999999999999E-2</v>
      </c>
      <c r="AB662" s="66">
        <f>Z662+AA662</f>
        <v>0.42200000000000004</v>
      </c>
      <c r="AC662" s="75">
        <v>378</v>
      </c>
      <c r="AD662" s="76">
        <v>156</v>
      </c>
      <c r="AE662" s="60">
        <v>138</v>
      </c>
      <c r="AF662" s="191">
        <v>4</v>
      </c>
      <c r="AG662" s="117">
        <v>600000019</v>
      </c>
      <c r="AH662" s="104">
        <f>справочники!$C$11</f>
        <v>0.114</v>
      </c>
      <c r="AI662" s="61">
        <f t="shared" si="899"/>
        <v>1.6</v>
      </c>
      <c r="AJ662" s="142">
        <f t="shared" si="900"/>
        <v>1.8020000000000003</v>
      </c>
      <c r="AK662" s="158">
        <v>15</v>
      </c>
      <c r="AL662" s="38">
        <v>11</v>
      </c>
      <c r="AM662" s="40">
        <f>AK662*AL662</f>
        <v>165</v>
      </c>
      <c r="AN662" s="206">
        <f>IF(D662="ШТ",кол_во_инд.__упак_к*итого_г_у,ROUNDDOWN(номин.вес_нетто_г_у__кг*итого_г_у,1))</f>
        <v>660</v>
      </c>
      <c r="AO662" s="204">
        <f t="shared" si="919"/>
        <v>1663</v>
      </c>
    </row>
    <row r="663" spans="1:41" ht="216.75" x14ac:dyDescent="0.2">
      <c r="A663" s="22">
        <f t="shared" si="928"/>
        <v>6997</v>
      </c>
      <c r="B663" s="80">
        <v>1003355906997</v>
      </c>
      <c r="C663" s="48" t="s">
        <v>984</v>
      </c>
      <c r="D663" s="87" t="s">
        <v>4</v>
      </c>
      <c r="E663" s="146" t="s">
        <v>919</v>
      </c>
      <c r="F663" s="112" t="s">
        <v>1931</v>
      </c>
      <c r="G663" s="224" t="s">
        <v>2</v>
      </c>
      <c r="H663" s="87" t="s">
        <v>358</v>
      </c>
      <c r="I663" s="154" t="s">
        <v>377</v>
      </c>
      <c r="J663" s="150" t="s">
        <v>446</v>
      </c>
      <c r="K663" s="51" t="s">
        <v>985</v>
      </c>
      <c r="L663" s="52">
        <v>13</v>
      </c>
      <c r="M663" s="53">
        <v>16</v>
      </c>
      <c r="N663" s="53"/>
      <c r="O663" s="88" t="s">
        <v>552</v>
      </c>
      <c r="P663" s="87" t="s">
        <v>107</v>
      </c>
      <c r="Q663" s="87">
        <v>12</v>
      </c>
      <c r="R663" s="101" t="s">
        <v>359</v>
      </c>
      <c r="S663" s="237">
        <v>4607958078479</v>
      </c>
      <c r="T663" s="332">
        <v>14607958078476</v>
      </c>
      <c r="U663" s="46">
        <v>4607958078479</v>
      </c>
      <c r="V663" s="46">
        <v>14607958078476</v>
      </c>
      <c r="W663" s="258">
        <v>190</v>
      </c>
      <c r="X663" s="68">
        <v>144</v>
      </c>
      <c r="Y663" s="68">
        <v>60</v>
      </c>
      <c r="Z663" s="65">
        <v>0.28999999999999998</v>
      </c>
      <c r="AA663" s="271">
        <v>2.5000000000000001E-2</v>
      </c>
      <c r="AB663" s="66">
        <f>Z663+AA663</f>
        <v>0.315</v>
      </c>
      <c r="AC663" s="59">
        <v>378</v>
      </c>
      <c r="AD663" s="60">
        <v>156</v>
      </c>
      <c r="AE663" s="60">
        <v>138</v>
      </c>
      <c r="AF663" s="191">
        <v>4</v>
      </c>
      <c r="AG663" s="117">
        <v>600000019</v>
      </c>
      <c r="AH663" s="104">
        <f>справочники!$C$11</f>
        <v>0.114</v>
      </c>
      <c r="AI663" s="61">
        <f t="shared" si="899"/>
        <v>1.1599999999999999</v>
      </c>
      <c r="AJ663" s="142">
        <f t="shared" si="900"/>
        <v>1.3740000000000001</v>
      </c>
      <c r="AK663" s="158">
        <v>15</v>
      </c>
      <c r="AL663" s="38">
        <v>11</v>
      </c>
      <c r="AM663" s="40">
        <f>AK663*AL663</f>
        <v>165</v>
      </c>
      <c r="AN663" s="206">
        <f>IF(D663="ШТ",кол_во_инд.__упак_к*итого_г_у,ROUNDDOWN(номин.вес_нетто_г_у__кг*итого_г_у,1))</f>
        <v>660</v>
      </c>
      <c r="AO663" s="204">
        <f t="shared" si="919"/>
        <v>1663</v>
      </c>
    </row>
    <row r="664" spans="1:41" ht="67.5" x14ac:dyDescent="0.2">
      <c r="A664" s="22">
        <f t="shared" si="928"/>
        <v>5567</v>
      </c>
      <c r="B664" s="80">
        <v>1003171625567</v>
      </c>
      <c r="C664" s="48" t="s">
        <v>224</v>
      </c>
      <c r="D664" s="87" t="s">
        <v>3</v>
      </c>
      <c r="E664" s="146" t="s">
        <v>919</v>
      </c>
      <c r="F664" s="112" t="s">
        <v>1933</v>
      </c>
      <c r="G664" s="224" t="s">
        <v>2</v>
      </c>
      <c r="H664" s="87" t="s">
        <v>358</v>
      </c>
      <c r="I664" s="154" t="s">
        <v>276</v>
      </c>
      <c r="J664" s="150" t="s">
        <v>442</v>
      </c>
      <c r="K664" s="51" t="s">
        <v>141</v>
      </c>
      <c r="L664" s="52">
        <v>20</v>
      </c>
      <c r="M664" s="53">
        <v>15</v>
      </c>
      <c r="N664" s="53"/>
      <c r="O664" s="88" t="s">
        <v>553</v>
      </c>
      <c r="P664" s="87" t="s">
        <v>107</v>
      </c>
      <c r="Q664" s="87">
        <v>17</v>
      </c>
      <c r="R664" s="101" t="s">
        <v>29</v>
      </c>
      <c r="S664" s="239">
        <v>2563028000004</v>
      </c>
      <c r="T664" s="344">
        <v>12563028000001</v>
      </c>
      <c r="U664" s="46">
        <v>4630362180902</v>
      </c>
      <c r="V664" s="46">
        <v>14630362180909</v>
      </c>
      <c r="W664" s="258"/>
      <c r="X664" s="68"/>
      <c r="Y664" s="68"/>
      <c r="Z664" s="65">
        <v>1.0339999999999998</v>
      </c>
      <c r="AA664" s="271">
        <v>3.5000000000000003E-2</v>
      </c>
      <c r="AB664" s="66">
        <f t="shared" si="929"/>
        <v>1.0689999999999997</v>
      </c>
      <c r="AC664" s="59">
        <v>383</v>
      </c>
      <c r="AD664" s="60">
        <v>156</v>
      </c>
      <c r="AE664" s="60">
        <v>168</v>
      </c>
      <c r="AF664" s="191">
        <v>3</v>
      </c>
      <c r="AG664" s="117">
        <v>600000030</v>
      </c>
      <c r="AH664" s="104">
        <f>справочники!$C$22</f>
        <v>0.127</v>
      </c>
      <c r="AI664" s="61">
        <f t="shared" si="899"/>
        <v>3.1</v>
      </c>
      <c r="AJ664" s="142">
        <f t="shared" si="900"/>
        <v>3.3339999999999987</v>
      </c>
      <c r="AK664" s="158">
        <v>15</v>
      </c>
      <c r="AL664" s="38">
        <v>9</v>
      </c>
      <c r="AM664" s="40">
        <f t="shared" si="903"/>
        <v>135</v>
      </c>
      <c r="AN664" s="214">
        <f t="shared" si="930"/>
        <v>418.5</v>
      </c>
      <c r="AO664" s="204">
        <f t="shared" si="919"/>
        <v>1657</v>
      </c>
    </row>
    <row r="665" spans="1:41" ht="89.25" x14ac:dyDescent="0.2">
      <c r="A665" s="22">
        <f t="shared" si="928"/>
        <v>4725</v>
      </c>
      <c r="B665" s="80">
        <v>1003171504725</v>
      </c>
      <c r="C665" s="48" t="s">
        <v>142</v>
      </c>
      <c r="D665" s="87" t="s">
        <v>4</v>
      </c>
      <c r="E665" s="146" t="s">
        <v>919</v>
      </c>
      <c r="F665" s="112" t="s">
        <v>1932</v>
      </c>
      <c r="G665" s="224" t="s">
        <v>2</v>
      </c>
      <c r="H665" s="87" t="s">
        <v>358</v>
      </c>
      <c r="I665" s="154" t="s">
        <v>1225</v>
      </c>
      <c r="J665" s="150" t="s">
        <v>1505</v>
      </c>
      <c r="K665" s="51" t="s">
        <v>1661</v>
      </c>
      <c r="L665" s="52">
        <v>16</v>
      </c>
      <c r="M665" s="53">
        <v>22</v>
      </c>
      <c r="N665" s="53">
        <v>1</v>
      </c>
      <c r="O665" s="88" t="s">
        <v>1662</v>
      </c>
      <c r="P665" s="87" t="s">
        <v>107</v>
      </c>
      <c r="Q665" s="87">
        <v>17</v>
      </c>
      <c r="R665" s="101" t="s">
        <v>359</v>
      </c>
      <c r="S665" s="237">
        <v>4630362180483</v>
      </c>
      <c r="T665" s="332">
        <v>14630362180480</v>
      </c>
      <c r="U665" s="46">
        <v>4630362180483</v>
      </c>
      <c r="V665" s="46">
        <v>14630362180480</v>
      </c>
      <c r="W665" s="258">
        <v>190</v>
      </c>
      <c r="X665" s="68">
        <v>144</v>
      </c>
      <c r="Y665" s="68">
        <v>50</v>
      </c>
      <c r="Z665" s="65">
        <v>0.4</v>
      </c>
      <c r="AA665" s="271">
        <v>1.7999999999999999E-2</v>
      </c>
      <c r="AB665" s="66">
        <f t="shared" si="929"/>
        <v>0.41800000000000004</v>
      </c>
      <c r="AC665" s="59">
        <v>383</v>
      </c>
      <c r="AD665" s="60">
        <v>156</v>
      </c>
      <c r="AE665" s="60">
        <v>168</v>
      </c>
      <c r="AF665" s="191">
        <v>6</v>
      </c>
      <c r="AG665" s="117">
        <v>600000030</v>
      </c>
      <c r="AH665" s="104">
        <f>справочники!$C$22</f>
        <v>0.127</v>
      </c>
      <c r="AI665" s="61">
        <f t="shared" si="899"/>
        <v>2.4</v>
      </c>
      <c r="AJ665" s="142">
        <f t="shared" si="900"/>
        <v>2.6349999999999998</v>
      </c>
      <c r="AK665" s="158">
        <v>15</v>
      </c>
      <c r="AL665" s="38">
        <v>9</v>
      </c>
      <c r="AM665" s="40">
        <f t="shared" si="903"/>
        <v>135</v>
      </c>
      <c r="AN665" s="206">
        <f t="shared" si="930"/>
        <v>810</v>
      </c>
      <c r="AO665" s="204">
        <f t="shared" si="919"/>
        <v>1657</v>
      </c>
    </row>
    <row r="666" spans="1:41" ht="76.5" x14ac:dyDescent="0.2">
      <c r="A666" s="22">
        <f t="shared" si="928"/>
        <v>6849</v>
      </c>
      <c r="B666" s="80">
        <v>1003171506849</v>
      </c>
      <c r="C666" s="48" t="s">
        <v>825</v>
      </c>
      <c r="D666" s="87" t="s">
        <v>4</v>
      </c>
      <c r="E666" s="146" t="s">
        <v>919</v>
      </c>
      <c r="F666" s="112" t="s">
        <v>1932</v>
      </c>
      <c r="G666" s="224" t="s">
        <v>520</v>
      </c>
      <c r="H666" s="87" t="s">
        <v>358</v>
      </c>
      <c r="I666" s="154" t="s">
        <v>377</v>
      </c>
      <c r="J666" s="150" t="s">
        <v>446</v>
      </c>
      <c r="K666" s="51" t="s">
        <v>826</v>
      </c>
      <c r="L666" s="52">
        <v>15</v>
      </c>
      <c r="M666" s="53">
        <v>20</v>
      </c>
      <c r="N666" s="53"/>
      <c r="O666" s="88" t="s">
        <v>210</v>
      </c>
      <c r="P666" s="87" t="s">
        <v>107</v>
      </c>
      <c r="Q666" s="87">
        <v>12</v>
      </c>
      <c r="R666" s="101" t="s">
        <v>359</v>
      </c>
      <c r="S666" s="237">
        <v>4607958077731</v>
      </c>
      <c r="T666" s="332">
        <v>14607958077738</v>
      </c>
      <c r="U666" s="46">
        <v>4607958077731</v>
      </c>
      <c r="V666" s="46">
        <v>14607958077738</v>
      </c>
      <c r="W666" s="258">
        <v>190</v>
      </c>
      <c r="X666" s="68">
        <v>144</v>
      </c>
      <c r="Y666" s="68">
        <v>50</v>
      </c>
      <c r="Z666" s="65">
        <v>0.4</v>
      </c>
      <c r="AA666" s="271">
        <v>1.7999999999999999E-2</v>
      </c>
      <c r="AB666" s="66">
        <f>Z666+AA666</f>
        <v>0.41800000000000004</v>
      </c>
      <c r="AC666" s="59">
        <v>383</v>
      </c>
      <c r="AD666" s="60">
        <v>156</v>
      </c>
      <c r="AE666" s="60">
        <v>168</v>
      </c>
      <c r="AF666" s="191">
        <v>6</v>
      </c>
      <c r="AG666" s="117">
        <v>600000030</v>
      </c>
      <c r="AH666" s="104">
        <f>справочники!$C$22</f>
        <v>0.127</v>
      </c>
      <c r="AI666" s="61">
        <f t="shared" si="899"/>
        <v>2.4</v>
      </c>
      <c r="AJ666" s="142">
        <f t="shared" si="900"/>
        <v>2.6349999999999998</v>
      </c>
      <c r="AK666" s="158">
        <v>15</v>
      </c>
      <c r="AL666" s="38">
        <v>9</v>
      </c>
      <c r="AM666" s="40">
        <f>AK666*AL666</f>
        <v>135</v>
      </c>
      <c r="AN666" s="206">
        <f>IF(D666="ШТ",кол_во_инд.__упак_к*итого_г_у,ROUNDDOWN(номин.вес_нетто_г_у__кг*итого_г_у,1))</f>
        <v>810</v>
      </c>
      <c r="AO666" s="204">
        <f t="shared" si="919"/>
        <v>1657</v>
      </c>
    </row>
    <row r="667" spans="1:41" ht="65.25" customHeight="1" x14ac:dyDescent="0.2">
      <c r="A667" s="22">
        <f t="shared" si="928"/>
        <v>5855</v>
      </c>
      <c r="B667" s="80">
        <v>1003174565855</v>
      </c>
      <c r="C667" s="48" t="s">
        <v>259</v>
      </c>
      <c r="D667" s="87" t="s">
        <v>3</v>
      </c>
      <c r="E667" s="146" t="s">
        <v>919</v>
      </c>
      <c r="F667" s="112" t="s">
        <v>1931</v>
      </c>
      <c r="G667" s="224" t="s">
        <v>2</v>
      </c>
      <c r="H667" s="87" t="s">
        <v>358</v>
      </c>
      <c r="I667" s="154" t="s">
        <v>276</v>
      </c>
      <c r="J667" s="150" t="s">
        <v>436</v>
      </c>
      <c r="K667" s="51" t="s">
        <v>260</v>
      </c>
      <c r="L667" s="52">
        <v>15</v>
      </c>
      <c r="M667" s="53">
        <v>14</v>
      </c>
      <c r="N667" s="53"/>
      <c r="O667" s="88" t="s">
        <v>554</v>
      </c>
      <c r="P667" s="87" t="s">
        <v>107</v>
      </c>
      <c r="Q667" s="87">
        <v>12</v>
      </c>
      <c r="R667" s="101" t="s">
        <v>29</v>
      </c>
      <c r="S667" s="239">
        <v>2354720000009</v>
      </c>
      <c r="T667" s="344">
        <v>12354720000006</v>
      </c>
      <c r="U667" s="46"/>
      <c r="V667" s="46"/>
      <c r="W667" s="258">
        <v>275</v>
      </c>
      <c r="X667" s="68">
        <v>175</v>
      </c>
      <c r="Y667" s="68">
        <v>80</v>
      </c>
      <c r="Z667" s="65">
        <v>1</v>
      </c>
      <c r="AA667" s="271">
        <v>9.8000000000000004E-2</v>
      </c>
      <c r="AB667" s="66">
        <f t="shared" si="929"/>
        <v>1.0980000000000001</v>
      </c>
      <c r="AC667" s="59">
        <v>292</v>
      </c>
      <c r="AD667" s="60">
        <v>193</v>
      </c>
      <c r="AE667" s="60">
        <v>188</v>
      </c>
      <c r="AF667" s="191">
        <v>2</v>
      </c>
      <c r="AG667" s="117">
        <v>600000031</v>
      </c>
      <c r="AH667" s="104">
        <f>справочники!$C$23</f>
        <v>0.17199999999999999</v>
      </c>
      <c r="AI667" s="61">
        <f t="shared" si="899"/>
        <v>2</v>
      </c>
      <c r="AJ667" s="142">
        <f t="shared" si="900"/>
        <v>2.3680000000000003</v>
      </c>
      <c r="AK667" s="158">
        <v>16</v>
      </c>
      <c r="AL667" s="38">
        <v>8</v>
      </c>
      <c r="AM667" s="40">
        <f t="shared" si="903"/>
        <v>128</v>
      </c>
      <c r="AN667" s="214">
        <f t="shared" si="930"/>
        <v>256</v>
      </c>
      <c r="AO667" s="204">
        <f t="shared" si="919"/>
        <v>1649</v>
      </c>
    </row>
    <row r="668" spans="1:41" ht="63" customHeight="1" x14ac:dyDescent="0.2">
      <c r="A668" s="22">
        <f t="shared" si="928"/>
        <v>5921</v>
      </c>
      <c r="B668" s="80">
        <v>1003174565921</v>
      </c>
      <c r="C668" s="48" t="s">
        <v>321</v>
      </c>
      <c r="D668" s="87" t="s">
        <v>3</v>
      </c>
      <c r="E668" s="146" t="s">
        <v>919</v>
      </c>
      <c r="F668" s="112" t="s">
        <v>1931</v>
      </c>
      <c r="G668" s="224" t="s">
        <v>2</v>
      </c>
      <c r="H668" s="87" t="s">
        <v>358</v>
      </c>
      <c r="I668" s="154" t="s">
        <v>276</v>
      </c>
      <c r="J668" s="150" t="s">
        <v>436</v>
      </c>
      <c r="K668" s="51" t="s">
        <v>260</v>
      </c>
      <c r="L668" s="52">
        <v>15</v>
      </c>
      <c r="M668" s="53">
        <v>14</v>
      </c>
      <c r="N668" s="53"/>
      <c r="O668" s="88" t="s">
        <v>554</v>
      </c>
      <c r="P668" s="87" t="s">
        <v>107</v>
      </c>
      <c r="Q668" s="87">
        <v>12</v>
      </c>
      <c r="R668" s="69" t="s">
        <v>29</v>
      </c>
      <c r="S668" s="239">
        <v>2439522000003</v>
      </c>
      <c r="T668" s="344">
        <v>12439522000000</v>
      </c>
      <c r="U668" s="46"/>
      <c r="V668" s="46"/>
      <c r="W668" s="258">
        <v>275</v>
      </c>
      <c r="X668" s="68">
        <v>175</v>
      </c>
      <c r="Y668" s="68">
        <v>80</v>
      </c>
      <c r="Z668" s="65">
        <v>1</v>
      </c>
      <c r="AA668" s="271">
        <v>9.8000000000000004E-2</v>
      </c>
      <c r="AB668" s="66">
        <f t="shared" si="929"/>
        <v>1.0980000000000001</v>
      </c>
      <c r="AC668" s="59">
        <v>292</v>
      </c>
      <c r="AD668" s="60">
        <v>193</v>
      </c>
      <c r="AE668" s="60">
        <v>188</v>
      </c>
      <c r="AF668" s="191">
        <v>2</v>
      </c>
      <c r="AG668" s="117">
        <v>600000031</v>
      </c>
      <c r="AH668" s="104">
        <f>справочники!$C$23</f>
        <v>0.17199999999999999</v>
      </c>
      <c r="AI668" s="61">
        <f t="shared" si="899"/>
        <v>2</v>
      </c>
      <c r="AJ668" s="142">
        <f t="shared" si="900"/>
        <v>2.3680000000000003</v>
      </c>
      <c r="AK668" s="158">
        <v>14</v>
      </c>
      <c r="AL668" s="38">
        <v>8</v>
      </c>
      <c r="AM668" s="40">
        <f t="shared" si="903"/>
        <v>112</v>
      </c>
      <c r="AN668" s="214">
        <f t="shared" si="930"/>
        <v>224</v>
      </c>
      <c r="AO668" s="204">
        <f t="shared" si="919"/>
        <v>1649</v>
      </c>
    </row>
    <row r="669" spans="1:41" ht="140.25" x14ac:dyDescent="0.2">
      <c r="A669" s="22">
        <f t="shared" si="928"/>
        <v>6171</v>
      </c>
      <c r="B669" s="80">
        <v>1003175086171</v>
      </c>
      <c r="C669" s="48" t="s">
        <v>311</v>
      </c>
      <c r="D669" s="87" t="s">
        <v>3</v>
      </c>
      <c r="E669" s="146" t="s">
        <v>919</v>
      </c>
      <c r="F669" s="112" t="s">
        <v>1931</v>
      </c>
      <c r="G669" s="224" t="s">
        <v>2</v>
      </c>
      <c r="H669" s="87" t="s">
        <v>358</v>
      </c>
      <c r="I669" s="154" t="s">
        <v>1225</v>
      </c>
      <c r="J669" s="150" t="s">
        <v>1686</v>
      </c>
      <c r="K669" s="51" t="s">
        <v>1687</v>
      </c>
      <c r="L669" s="52">
        <v>20</v>
      </c>
      <c r="M669" s="53">
        <v>5</v>
      </c>
      <c r="N669" s="53">
        <v>1</v>
      </c>
      <c r="O669" s="88" t="s">
        <v>236</v>
      </c>
      <c r="P669" s="87" t="s">
        <v>107</v>
      </c>
      <c r="Q669" s="87">
        <v>12</v>
      </c>
      <c r="R669" s="69" t="s">
        <v>29</v>
      </c>
      <c r="S669" s="239">
        <v>2324463000000</v>
      </c>
      <c r="T669" s="344" t="s">
        <v>1440</v>
      </c>
      <c r="U669" s="46">
        <v>4630362180704</v>
      </c>
      <c r="V669" s="46">
        <v>14630362180701</v>
      </c>
      <c r="W669" s="258">
        <v>275</v>
      </c>
      <c r="X669" s="68">
        <v>175</v>
      </c>
      <c r="Y669" s="68">
        <v>80</v>
      </c>
      <c r="Z669" s="65">
        <v>1.2</v>
      </c>
      <c r="AA669" s="271">
        <v>9.8000000000000004E-2</v>
      </c>
      <c r="AB669" s="66">
        <f t="shared" si="929"/>
        <v>1.298</v>
      </c>
      <c r="AC669" s="59">
        <v>292</v>
      </c>
      <c r="AD669" s="60">
        <v>193</v>
      </c>
      <c r="AE669" s="60">
        <v>188</v>
      </c>
      <c r="AF669" s="191">
        <v>2</v>
      </c>
      <c r="AG669" s="117">
        <v>600000031</v>
      </c>
      <c r="AH669" s="104">
        <f>справочники!$C$23</f>
        <v>0.17199999999999999</v>
      </c>
      <c r="AI669" s="61">
        <f t="shared" si="899"/>
        <v>2.4</v>
      </c>
      <c r="AJ669" s="142">
        <f t="shared" si="900"/>
        <v>2.7680000000000002</v>
      </c>
      <c r="AK669" s="158">
        <v>16</v>
      </c>
      <c r="AL669" s="38">
        <v>8</v>
      </c>
      <c r="AM669" s="40">
        <f t="shared" si="903"/>
        <v>128</v>
      </c>
      <c r="AN669" s="214">
        <f t="shared" si="930"/>
        <v>307.2</v>
      </c>
      <c r="AO669" s="204">
        <f t="shared" si="919"/>
        <v>1649</v>
      </c>
    </row>
    <row r="670" spans="1:41" ht="140.25" x14ac:dyDescent="0.2">
      <c r="A670" s="22">
        <f t="shared" si="928"/>
        <v>6230</v>
      </c>
      <c r="B670" s="80">
        <v>1003175086230</v>
      </c>
      <c r="C670" s="48" t="s">
        <v>1381</v>
      </c>
      <c r="D670" s="87" t="s">
        <v>3</v>
      </c>
      <c r="E670" s="146" t="s">
        <v>919</v>
      </c>
      <c r="F670" s="112" t="s">
        <v>1931</v>
      </c>
      <c r="G670" s="224" t="s">
        <v>2</v>
      </c>
      <c r="H670" s="87" t="s">
        <v>358</v>
      </c>
      <c r="I670" s="154" t="s">
        <v>1225</v>
      </c>
      <c r="J670" s="150" t="s">
        <v>1686</v>
      </c>
      <c r="K670" s="51" t="s">
        <v>1687</v>
      </c>
      <c r="L670" s="52">
        <v>20</v>
      </c>
      <c r="M670" s="53">
        <v>5</v>
      </c>
      <c r="N670" s="53">
        <v>1</v>
      </c>
      <c r="O670" s="88" t="s">
        <v>236</v>
      </c>
      <c r="P670" s="87" t="s">
        <v>107</v>
      </c>
      <c r="Q670" s="87">
        <v>12</v>
      </c>
      <c r="R670" s="69" t="s">
        <v>29</v>
      </c>
      <c r="S670" s="239">
        <v>2994520000009</v>
      </c>
      <c r="T670" s="344">
        <v>12994520000006</v>
      </c>
      <c r="U670" s="46">
        <v>4630362180704</v>
      </c>
      <c r="V670" s="46">
        <v>14630362180701</v>
      </c>
      <c r="W670" s="258">
        <v>275</v>
      </c>
      <c r="X670" s="68">
        <v>175</v>
      </c>
      <c r="Y670" s="68">
        <v>80</v>
      </c>
      <c r="Z670" s="65">
        <v>1.2</v>
      </c>
      <c r="AA670" s="271">
        <v>9.8000000000000004E-2</v>
      </c>
      <c r="AB670" s="66">
        <f t="shared" ref="AB670" si="943">Z670+AA670</f>
        <v>1.298</v>
      </c>
      <c r="AC670" s="59">
        <v>292</v>
      </c>
      <c r="AD670" s="60">
        <v>193</v>
      </c>
      <c r="AE670" s="60">
        <v>188</v>
      </c>
      <c r="AF670" s="191">
        <v>2</v>
      </c>
      <c r="AG670" s="117">
        <v>600000031</v>
      </c>
      <c r="AH670" s="104">
        <f>справочники!$C$23</f>
        <v>0.17199999999999999</v>
      </c>
      <c r="AI670" s="61">
        <f t="shared" si="899"/>
        <v>2.4</v>
      </c>
      <c r="AJ670" s="142">
        <f t="shared" si="900"/>
        <v>2.7680000000000002</v>
      </c>
      <c r="AK670" s="158">
        <v>16</v>
      </c>
      <c r="AL670" s="38">
        <v>8</v>
      </c>
      <c r="AM670" s="40">
        <f t="shared" ref="AM670" si="944">AK670*AL670</f>
        <v>128</v>
      </c>
      <c r="AN670" s="214">
        <f t="shared" ref="AN670" si="945">IF(D670="ШТ",кол_во_инд.__упак_к*итого_г_у,ROUNDDOWN(номин.вес_нетто_г_у__кг*итого_г_у,1))</f>
        <v>307.2</v>
      </c>
      <c r="AO670" s="204">
        <f t="shared" si="919"/>
        <v>1649</v>
      </c>
    </row>
    <row r="671" spans="1:41" ht="140.25" x14ac:dyDescent="0.2">
      <c r="A671" s="22">
        <f t="shared" si="928"/>
        <v>6198</v>
      </c>
      <c r="B671" s="80">
        <v>1003175136198</v>
      </c>
      <c r="C671" s="48" t="s">
        <v>319</v>
      </c>
      <c r="D671" s="87" t="s">
        <v>3</v>
      </c>
      <c r="E671" s="146" t="s">
        <v>919</v>
      </c>
      <c r="F671" s="112" t="s">
        <v>1931</v>
      </c>
      <c r="G671" s="224" t="s">
        <v>2</v>
      </c>
      <c r="H671" s="87" t="s">
        <v>358</v>
      </c>
      <c r="I671" s="154" t="s">
        <v>276</v>
      </c>
      <c r="J671" s="150" t="s">
        <v>437</v>
      </c>
      <c r="K671" s="51" t="s">
        <v>1002</v>
      </c>
      <c r="L671" s="52">
        <v>15</v>
      </c>
      <c r="M671" s="53">
        <v>14</v>
      </c>
      <c r="N671" s="53"/>
      <c r="O671" s="88" t="s">
        <v>554</v>
      </c>
      <c r="P671" s="87" t="s">
        <v>107</v>
      </c>
      <c r="Q671" s="87">
        <v>12</v>
      </c>
      <c r="R671" s="69" t="s">
        <v>29</v>
      </c>
      <c r="S671" s="239">
        <v>2913380000004</v>
      </c>
      <c r="T671" s="344">
        <v>12913380000001</v>
      </c>
      <c r="U671" s="46"/>
      <c r="V671" s="46"/>
      <c r="W671" s="258">
        <v>275</v>
      </c>
      <c r="X671" s="68">
        <v>175</v>
      </c>
      <c r="Y671" s="68">
        <v>80</v>
      </c>
      <c r="Z671" s="65">
        <v>1.05</v>
      </c>
      <c r="AA671" s="271">
        <v>9.8000000000000004E-2</v>
      </c>
      <c r="AB671" s="66">
        <f t="shared" si="929"/>
        <v>1.1480000000000001</v>
      </c>
      <c r="AC671" s="59">
        <v>292</v>
      </c>
      <c r="AD671" s="60">
        <v>193</v>
      </c>
      <c r="AE671" s="60">
        <v>188</v>
      </c>
      <c r="AF671" s="191">
        <v>2</v>
      </c>
      <c r="AG671" s="117">
        <v>600000031</v>
      </c>
      <c r="AH671" s="104">
        <f>справочники!$C$23</f>
        <v>0.17199999999999999</v>
      </c>
      <c r="AI671" s="61">
        <f t="shared" si="899"/>
        <v>2.1</v>
      </c>
      <c r="AJ671" s="142">
        <f t="shared" si="900"/>
        <v>2.4680000000000004</v>
      </c>
      <c r="AK671" s="158">
        <v>16</v>
      </c>
      <c r="AL671" s="38">
        <v>8</v>
      </c>
      <c r="AM671" s="40">
        <f t="shared" si="903"/>
        <v>128</v>
      </c>
      <c r="AN671" s="214">
        <f t="shared" si="930"/>
        <v>268.8</v>
      </c>
      <c r="AO671" s="204">
        <f t="shared" si="919"/>
        <v>1649</v>
      </c>
    </row>
    <row r="672" spans="1:41" ht="66" customHeight="1" x14ac:dyDescent="0.2">
      <c r="A672" s="22">
        <f t="shared" si="928"/>
        <v>4959</v>
      </c>
      <c r="B672" s="80">
        <v>1003173544959</v>
      </c>
      <c r="C672" s="48" t="s">
        <v>178</v>
      </c>
      <c r="D672" s="87" t="s">
        <v>3</v>
      </c>
      <c r="E672" s="146" t="s">
        <v>919</v>
      </c>
      <c r="F672" s="112" t="s">
        <v>1931</v>
      </c>
      <c r="G672" s="224" t="s">
        <v>2</v>
      </c>
      <c r="H672" s="87" t="s">
        <v>358</v>
      </c>
      <c r="I672" s="154" t="s">
        <v>276</v>
      </c>
      <c r="J672" s="150" t="s">
        <v>436</v>
      </c>
      <c r="K672" s="51" t="s">
        <v>144</v>
      </c>
      <c r="L672" s="52">
        <v>17</v>
      </c>
      <c r="M672" s="53">
        <v>11</v>
      </c>
      <c r="N672" s="53"/>
      <c r="O672" s="88" t="s">
        <v>556</v>
      </c>
      <c r="P672" s="87" t="s">
        <v>107</v>
      </c>
      <c r="Q672" s="87">
        <v>12</v>
      </c>
      <c r="R672" s="69" t="s">
        <v>29</v>
      </c>
      <c r="S672" s="239">
        <v>2994460000008</v>
      </c>
      <c r="T672" s="344">
        <v>12994460000005</v>
      </c>
      <c r="U672" s="46">
        <v>4630362180728</v>
      </c>
      <c r="V672" s="46">
        <v>14630362180725</v>
      </c>
      <c r="W672" s="258">
        <v>275</v>
      </c>
      <c r="X672" s="68">
        <v>175</v>
      </c>
      <c r="Y672" s="68">
        <v>80</v>
      </c>
      <c r="Z672" s="65">
        <v>1</v>
      </c>
      <c r="AA672" s="271">
        <v>5.7000000000000002E-2</v>
      </c>
      <c r="AB672" s="66">
        <f t="shared" si="929"/>
        <v>1.0569999999999999</v>
      </c>
      <c r="AC672" s="59">
        <v>292</v>
      </c>
      <c r="AD672" s="60">
        <v>193</v>
      </c>
      <c r="AE672" s="60">
        <v>188</v>
      </c>
      <c r="AF672" s="191">
        <v>2</v>
      </c>
      <c r="AG672" s="117">
        <v>600000031</v>
      </c>
      <c r="AH672" s="104">
        <f>справочники!$C$23</f>
        <v>0.17199999999999999</v>
      </c>
      <c r="AI672" s="61">
        <f t="shared" si="899"/>
        <v>2</v>
      </c>
      <c r="AJ672" s="142">
        <f t="shared" si="900"/>
        <v>2.286</v>
      </c>
      <c r="AK672" s="158">
        <v>16</v>
      </c>
      <c r="AL672" s="38">
        <v>8</v>
      </c>
      <c r="AM672" s="40">
        <f t="shared" si="903"/>
        <v>128</v>
      </c>
      <c r="AN672" s="214">
        <f t="shared" si="930"/>
        <v>256</v>
      </c>
      <c r="AO672" s="204">
        <f t="shared" si="919"/>
        <v>1649</v>
      </c>
    </row>
    <row r="673" spans="1:41" ht="64.5" customHeight="1" x14ac:dyDescent="0.2">
      <c r="A673" s="22">
        <f t="shared" si="928"/>
        <v>6199</v>
      </c>
      <c r="B673" s="80">
        <v>1003173546199</v>
      </c>
      <c r="C673" s="48" t="s">
        <v>1024</v>
      </c>
      <c r="D673" s="87" t="s">
        <v>3</v>
      </c>
      <c r="E673" s="146" t="s">
        <v>919</v>
      </c>
      <c r="F673" s="112" t="s">
        <v>1931</v>
      </c>
      <c r="G673" s="224" t="s">
        <v>2</v>
      </c>
      <c r="H673" s="87" t="s">
        <v>358</v>
      </c>
      <c r="I673" s="154" t="s">
        <v>276</v>
      </c>
      <c r="J673" s="150" t="s">
        <v>436</v>
      </c>
      <c r="K673" s="51" t="s">
        <v>144</v>
      </c>
      <c r="L673" s="52">
        <v>17</v>
      </c>
      <c r="M673" s="53">
        <v>11</v>
      </c>
      <c r="N673" s="53"/>
      <c r="O673" s="88" t="s">
        <v>556</v>
      </c>
      <c r="P673" s="87" t="s">
        <v>107</v>
      </c>
      <c r="Q673" s="87">
        <v>12</v>
      </c>
      <c r="R673" s="69" t="s">
        <v>29</v>
      </c>
      <c r="S673" s="239">
        <v>2324271000001</v>
      </c>
      <c r="T673" s="344" t="s">
        <v>1441</v>
      </c>
      <c r="U673" s="46">
        <v>4630362180728</v>
      </c>
      <c r="V673" s="46">
        <v>14630362180725</v>
      </c>
      <c r="W673" s="258">
        <v>275</v>
      </c>
      <c r="X673" s="68">
        <v>175</v>
      </c>
      <c r="Y673" s="68">
        <v>80</v>
      </c>
      <c r="Z673" s="65">
        <v>1</v>
      </c>
      <c r="AA673" s="271">
        <v>9.8000000000000004E-2</v>
      </c>
      <c r="AB673" s="66">
        <f t="shared" si="929"/>
        <v>1.0980000000000001</v>
      </c>
      <c r="AC673" s="59">
        <v>292</v>
      </c>
      <c r="AD673" s="60">
        <v>193</v>
      </c>
      <c r="AE673" s="60">
        <v>188</v>
      </c>
      <c r="AF673" s="191">
        <v>2</v>
      </c>
      <c r="AG673" s="117">
        <v>600000031</v>
      </c>
      <c r="AH673" s="104">
        <f>справочники!$C$23</f>
        <v>0.17199999999999999</v>
      </c>
      <c r="AI673" s="61">
        <f t="shared" si="899"/>
        <v>2</v>
      </c>
      <c r="AJ673" s="142">
        <f t="shared" si="900"/>
        <v>2.3680000000000003</v>
      </c>
      <c r="AK673" s="158">
        <v>16</v>
      </c>
      <c r="AL673" s="38">
        <v>8</v>
      </c>
      <c r="AM673" s="40">
        <f t="shared" si="903"/>
        <v>128</v>
      </c>
      <c r="AN673" s="214">
        <f t="shared" si="930"/>
        <v>256</v>
      </c>
      <c r="AO673" s="204">
        <f t="shared" si="919"/>
        <v>1649</v>
      </c>
    </row>
    <row r="674" spans="1:41" ht="102" x14ac:dyDescent="0.2">
      <c r="A674" s="22">
        <f t="shared" si="928"/>
        <v>5857</v>
      </c>
      <c r="B674" s="80">
        <v>1003173545857</v>
      </c>
      <c r="C674" s="48" t="s">
        <v>514</v>
      </c>
      <c r="D674" s="87" t="s">
        <v>3</v>
      </c>
      <c r="E674" s="146" t="s">
        <v>919</v>
      </c>
      <c r="F674" s="112" t="s">
        <v>1931</v>
      </c>
      <c r="G674" s="224" t="s">
        <v>2</v>
      </c>
      <c r="H674" s="87" t="s">
        <v>358</v>
      </c>
      <c r="I674" s="154" t="s">
        <v>276</v>
      </c>
      <c r="J674" s="150" t="s">
        <v>436</v>
      </c>
      <c r="K674" s="51" t="s">
        <v>144</v>
      </c>
      <c r="L674" s="52">
        <v>17</v>
      </c>
      <c r="M674" s="53">
        <v>11</v>
      </c>
      <c r="N674" s="53"/>
      <c r="O674" s="88" t="s">
        <v>556</v>
      </c>
      <c r="P674" s="87" t="s">
        <v>107</v>
      </c>
      <c r="Q674" s="87">
        <v>12</v>
      </c>
      <c r="R674" s="69" t="s">
        <v>29</v>
      </c>
      <c r="S674" s="239">
        <v>2800540000007</v>
      </c>
      <c r="T674" s="344">
        <v>12800540000004</v>
      </c>
      <c r="U674" s="46">
        <v>4630362180728</v>
      </c>
      <c r="V674" s="46">
        <v>14630362180725</v>
      </c>
      <c r="W674" s="258">
        <v>275</v>
      </c>
      <c r="X674" s="68">
        <v>175</v>
      </c>
      <c r="Y674" s="68">
        <v>80</v>
      </c>
      <c r="Z674" s="65">
        <v>1</v>
      </c>
      <c r="AA674" s="271">
        <v>5.7000000000000002E-2</v>
      </c>
      <c r="AB674" s="66">
        <f t="shared" si="929"/>
        <v>1.0569999999999999</v>
      </c>
      <c r="AC674" s="59">
        <v>292</v>
      </c>
      <c r="AD674" s="60">
        <v>193</v>
      </c>
      <c r="AE674" s="60">
        <v>188</v>
      </c>
      <c r="AF674" s="191">
        <v>2</v>
      </c>
      <c r="AG674" s="117">
        <v>600000031</v>
      </c>
      <c r="AH674" s="104">
        <f>справочники!$C$23</f>
        <v>0.17199999999999999</v>
      </c>
      <c r="AI674" s="61">
        <f t="shared" si="899"/>
        <v>2</v>
      </c>
      <c r="AJ674" s="142">
        <f t="shared" si="900"/>
        <v>2.286</v>
      </c>
      <c r="AK674" s="158">
        <v>16</v>
      </c>
      <c r="AL674" s="38">
        <v>8</v>
      </c>
      <c r="AM674" s="40">
        <f>AK674*AL674</f>
        <v>128</v>
      </c>
      <c r="AN674" s="214">
        <f t="shared" si="930"/>
        <v>256</v>
      </c>
      <c r="AO674" s="204">
        <f t="shared" si="919"/>
        <v>1649</v>
      </c>
    </row>
    <row r="675" spans="1:41" ht="102" x14ac:dyDescent="0.2">
      <c r="A675" s="22">
        <f t="shared" si="928"/>
        <v>5665</v>
      </c>
      <c r="B675" s="80">
        <v>1003171725665</v>
      </c>
      <c r="C675" s="48" t="s">
        <v>238</v>
      </c>
      <c r="D675" s="87" t="s">
        <v>3</v>
      </c>
      <c r="E675" s="146" t="s">
        <v>919</v>
      </c>
      <c r="F675" s="112" t="s">
        <v>1931</v>
      </c>
      <c r="G675" s="224" t="s">
        <v>2</v>
      </c>
      <c r="H675" s="87" t="s">
        <v>358</v>
      </c>
      <c r="I675" s="154" t="s">
        <v>276</v>
      </c>
      <c r="J675" s="150" t="s">
        <v>438</v>
      </c>
      <c r="K675" s="51" t="s">
        <v>1201</v>
      </c>
      <c r="L675" s="52">
        <v>16</v>
      </c>
      <c r="M675" s="53">
        <v>13</v>
      </c>
      <c r="N675" s="53"/>
      <c r="O675" s="88" t="s">
        <v>1202</v>
      </c>
      <c r="P675" s="87" t="s">
        <v>107</v>
      </c>
      <c r="Q675" s="87">
        <v>12</v>
      </c>
      <c r="R675" s="69" t="s">
        <v>29</v>
      </c>
      <c r="S675" s="239">
        <v>2761800000000</v>
      </c>
      <c r="T675" s="344">
        <v>12761800000007</v>
      </c>
      <c r="U675" s="46"/>
      <c r="V675" s="46"/>
      <c r="W675" s="258">
        <v>275</v>
      </c>
      <c r="X675" s="68">
        <v>175</v>
      </c>
      <c r="Y675" s="68">
        <v>80</v>
      </c>
      <c r="Z675" s="65">
        <v>1.8</v>
      </c>
      <c r="AA675" s="271">
        <v>4.2999999999999997E-2</v>
      </c>
      <c r="AB675" s="66">
        <f t="shared" si="929"/>
        <v>1.843</v>
      </c>
      <c r="AC675" s="59">
        <v>292</v>
      </c>
      <c r="AD675" s="60">
        <v>193</v>
      </c>
      <c r="AE675" s="60">
        <v>188</v>
      </c>
      <c r="AF675" s="191">
        <v>2</v>
      </c>
      <c r="AG675" s="117">
        <v>600000031</v>
      </c>
      <c r="AH675" s="104">
        <f>справочники!$C$23</f>
        <v>0.17199999999999999</v>
      </c>
      <c r="AI675" s="61">
        <f t="shared" si="899"/>
        <v>3.6</v>
      </c>
      <c r="AJ675" s="143">
        <f t="shared" si="900"/>
        <v>3.8580000000000001</v>
      </c>
      <c r="AK675" s="158">
        <v>14</v>
      </c>
      <c r="AL675" s="38">
        <v>8</v>
      </c>
      <c r="AM675" s="40">
        <f t="shared" si="903"/>
        <v>112</v>
      </c>
      <c r="AN675" s="214">
        <f t="shared" si="930"/>
        <v>403.2</v>
      </c>
      <c r="AO675" s="204">
        <f t="shared" si="919"/>
        <v>1649</v>
      </c>
    </row>
    <row r="676" spans="1:41" ht="102" x14ac:dyDescent="0.2">
      <c r="A676" s="22">
        <f t="shared" si="928"/>
        <v>6514</v>
      </c>
      <c r="B676" s="80">
        <v>1003171726514</v>
      </c>
      <c r="C676" s="48" t="s">
        <v>599</v>
      </c>
      <c r="D676" s="87" t="s">
        <v>3</v>
      </c>
      <c r="E676" s="146" t="s">
        <v>919</v>
      </c>
      <c r="F676" s="112" t="s">
        <v>1931</v>
      </c>
      <c r="G676" s="224" t="s">
        <v>2</v>
      </c>
      <c r="H676" s="87" t="s">
        <v>358</v>
      </c>
      <c r="I676" s="154" t="s">
        <v>276</v>
      </c>
      <c r="J676" s="150" t="s">
        <v>438</v>
      </c>
      <c r="K676" s="51" t="s">
        <v>1201</v>
      </c>
      <c r="L676" s="52">
        <v>16</v>
      </c>
      <c r="M676" s="53">
        <v>13</v>
      </c>
      <c r="N676" s="53"/>
      <c r="O676" s="88" t="s">
        <v>1202</v>
      </c>
      <c r="P676" s="87" t="s">
        <v>107</v>
      </c>
      <c r="Q676" s="87">
        <v>12</v>
      </c>
      <c r="R676" s="69" t="s">
        <v>29</v>
      </c>
      <c r="S676" s="239">
        <v>2355950000005</v>
      </c>
      <c r="T676" s="344">
        <v>12355950000002</v>
      </c>
      <c r="U676" s="46"/>
      <c r="V676" s="46"/>
      <c r="W676" s="258">
        <v>275</v>
      </c>
      <c r="X676" s="68">
        <v>175</v>
      </c>
      <c r="Y676" s="68">
        <v>80</v>
      </c>
      <c r="Z676" s="65">
        <v>1.825</v>
      </c>
      <c r="AA676" s="271">
        <v>4.2999999999999997E-2</v>
      </c>
      <c r="AB676" s="66">
        <f>Z676+AA676</f>
        <v>1.8679999999999999</v>
      </c>
      <c r="AC676" s="59">
        <v>292</v>
      </c>
      <c r="AD676" s="60">
        <v>193</v>
      </c>
      <c r="AE676" s="60">
        <v>188</v>
      </c>
      <c r="AF676" s="191">
        <v>2</v>
      </c>
      <c r="AG676" s="117">
        <v>600000031</v>
      </c>
      <c r="AH676" s="104">
        <f>справочники!$C$23</f>
        <v>0.17199999999999999</v>
      </c>
      <c r="AI676" s="61">
        <f t="shared" si="899"/>
        <v>3.65</v>
      </c>
      <c r="AJ676" s="143">
        <f t="shared" si="900"/>
        <v>3.9079999999999999</v>
      </c>
      <c r="AK676" s="158">
        <v>16</v>
      </c>
      <c r="AL676" s="38">
        <v>8</v>
      </c>
      <c r="AM676" s="40">
        <f>AK676*AL676</f>
        <v>128</v>
      </c>
      <c r="AN676" s="214">
        <f>IF(D676="ШТ",кол_во_инд.__упак_к*итого_г_у,ROUNDDOWN(номин.вес_нетто_г_у__кг*итого_г_у,1))</f>
        <v>467.2</v>
      </c>
      <c r="AO676" s="204">
        <f t="shared" si="919"/>
        <v>1649</v>
      </c>
    </row>
    <row r="677" spans="1:41" ht="153" x14ac:dyDescent="0.2">
      <c r="A677" s="22">
        <f t="shared" si="928"/>
        <v>5534</v>
      </c>
      <c r="B677" s="80">
        <v>1003171735534</v>
      </c>
      <c r="C677" s="48" t="s">
        <v>223</v>
      </c>
      <c r="D677" s="87" t="s">
        <v>3</v>
      </c>
      <c r="E677" s="146" t="s">
        <v>919</v>
      </c>
      <c r="F677" s="112" t="s">
        <v>1931</v>
      </c>
      <c r="G677" s="224" t="s">
        <v>2</v>
      </c>
      <c r="H677" s="87" t="s">
        <v>358</v>
      </c>
      <c r="I677" s="154" t="s">
        <v>276</v>
      </c>
      <c r="J677" s="150" t="s">
        <v>437</v>
      </c>
      <c r="K677" s="51" t="s">
        <v>1030</v>
      </c>
      <c r="L677" s="52">
        <v>15</v>
      </c>
      <c r="M677" s="53">
        <v>18</v>
      </c>
      <c r="N677" s="53"/>
      <c r="O677" s="88" t="s">
        <v>290</v>
      </c>
      <c r="P677" s="87" t="s">
        <v>107</v>
      </c>
      <c r="Q677" s="87">
        <v>12</v>
      </c>
      <c r="R677" s="69" t="s">
        <v>29</v>
      </c>
      <c r="S677" s="239">
        <v>2758890000003</v>
      </c>
      <c r="T677" s="344">
        <v>12758890000000</v>
      </c>
      <c r="U677" s="46"/>
      <c r="V677" s="46"/>
      <c r="W677" s="258">
        <v>275</v>
      </c>
      <c r="X677" s="68">
        <v>175</v>
      </c>
      <c r="Y677" s="68">
        <v>80</v>
      </c>
      <c r="Z677" s="65">
        <v>1</v>
      </c>
      <c r="AA677" s="271">
        <v>5.7000000000000002E-2</v>
      </c>
      <c r="AB677" s="66">
        <f t="shared" si="929"/>
        <v>1.0569999999999999</v>
      </c>
      <c r="AC677" s="59">
        <v>292</v>
      </c>
      <c r="AD677" s="60">
        <v>193</v>
      </c>
      <c r="AE677" s="60">
        <v>188</v>
      </c>
      <c r="AF677" s="191">
        <v>2</v>
      </c>
      <c r="AG677" s="117">
        <v>600000031</v>
      </c>
      <c r="AH677" s="104">
        <f>справочники!$C$23</f>
        <v>0.17199999999999999</v>
      </c>
      <c r="AI677" s="61">
        <f t="shared" si="899"/>
        <v>2</v>
      </c>
      <c r="AJ677" s="142">
        <f t="shared" si="900"/>
        <v>2.286</v>
      </c>
      <c r="AK677" s="158">
        <v>16</v>
      </c>
      <c r="AL677" s="38">
        <v>8</v>
      </c>
      <c r="AM677" s="40">
        <f t="shared" si="903"/>
        <v>128</v>
      </c>
      <c r="AN677" s="214">
        <f t="shared" si="930"/>
        <v>256</v>
      </c>
      <c r="AO677" s="204">
        <f t="shared" si="919"/>
        <v>1649</v>
      </c>
    </row>
    <row r="678" spans="1:41" ht="231" customHeight="1" x14ac:dyDescent="0.2">
      <c r="A678" s="22">
        <f t="shared" si="928"/>
        <v>4720</v>
      </c>
      <c r="B678" s="80">
        <v>1003171524720</v>
      </c>
      <c r="C678" s="48" t="s">
        <v>86</v>
      </c>
      <c r="D678" s="87" t="s">
        <v>3</v>
      </c>
      <c r="E678" s="146" t="s">
        <v>919</v>
      </c>
      <c r="F678" s="112" t="s">
        <v>1932</v>
      </c>
      <c r="G678" s="224" t="s">
        <v>2</v>
      </c>
      <c r="H678" s="87" t="s">
        <v>358</v>
      </c>
      <c r="I678" s="154" t="s">
        <v>1225</v>
      </c>
      <c r="J678" s="150" t="s">
        <v>1503</v>
      </c>
      <c r="K678" s="51" t="s">
        <v>1855</v>
      </c>
      <c r="L678" s="110" t="s">
        <v>1663</v>
      </c>
      <c r="M678" s="111" t="s">
        <v>1664</v>
      </c>
      <c r="N678" s="111" t="s">
        <v>1665</v>
      </c>
      <c r="O678" s="162" t="s">
        <v>1666</v>
      </c>
      <c r="P678" s="87" t="s">
        <v>107</v>
      </c>
      <c r="Q678" s="87">
        <v>17</v>
      </c>
      <c r="R678" s="69" t="s">
        <v>359</v>
      </c>
      <c r="S678" s="239">
        <v>2809650000006</v>
      </c>
      <c r="T678" s="344">
        <v>12809650000003</v>
      </c>
      <c r="U678" s="46"/>
      <c r="V678" s="46"/>
      <c r="W678" s="258">
        <v>275</v>
      </c>
      <c r="X678" s="68">
        <v>175</v>
      </c>
      <c r="Y678" s="68">
        <v>80</v>
      </c>
      <c r="Z678" s="65">
        <v>1.2</v>
      </c>
      <c r="AA678" s="271">
        <v>4.7E-2</v>
      </c>
      <c r="AB678" s="66">
        <f t="shared" si="929"/>
        <v>1.2469999999999999</v>
      </c>
      <c r="AC678" s="59">
        <v>292</v>
      </c>
      <c r="AD678" s="60">
        <v>193</v>
      </c>
      <c r="AE678" s="60">
        <v>188</v>
      </c>
      <c r="AF678" s="191">
        <v>2</v>
      </c>
      <c r="AG678" s="117">
        <v>600000031</v>
      </c>
      <c r="AH678" s="104">
        <f>справочники!$C$23</f>
        <v>0.17199999999999999</v>
      </c>
      <c r="AI678" s="61">
        <f t="shared" si="899"/>
        <v>2.4</v>
      </c>
      <c r="AJ678" s="143">
        <f t="shared" si="900"/>
        <v>2.6659999999999999</v>
      </c>
      <c r="AK678" s="158">
        <v>14</v>
      </c>
      <c r="AL678" s="38">
        <v>8</v>
      </c>
      <c r="AM678" s="40">
        <f t="shared" si="903"/>
        <v>112</v>
      </c>
      <c r="AN678" s="214">
        <f t="shared" si="930"/>
        <v>268.8</v>
      </c>
      <c r="AO678" s="204">
        <f t="shared" si="919"/>
        <v>1649</v>
      </c>
    </row>
    <row r="679" spans="1:41" ht="230.25" customHeight="1" x14ac:dyDescent="0.2">
      <c r="A679" s="22">
        <f t="shared" si="928"/>
        <v>6516</v>
      </c>
      <c r="B679" s="80">
        <v>1003171526516</v>
      </c>
      <c r="C679" s="48" t="s">
        <v>600</v>
      </c>
      <c r="D679" s="87" t="s">
        <v>3</v>
      </c>
      <c r="E679" s="146" t="s">
        <v>919</v>
      </c>
      <c r="F679" s="112" t="s">
        <v>1932</v>
      </c>
      <c r="G679" s="224" t="s">
        <v>2</v>
      </c>
      <c r="H679" s="87" t="s">
        <v>358</v>
      </c>
      <c r="I679" s="154" t="s">
        <v>1225</v>
      </c>
      <c r="J679" s="150" t="s">
        <v>1503</v>
      </c>
      <c r="K679" s="51" t="s">
        <v>1855</v>
      </c>
      <c r="L679" s="110" t="s">
        <v>1663</v>
      </c>
      <c r="M679" s="111" t="s">
        <v>1664</v>
      </c>
      <c r="N679" s="111" t="s">
        <v>1665</v>
      </c>
      <c r="O679" s="162" t="s">
        <v>1666</v>
      </c>
      <c r="P679" s="87" t="s">
        <v>107</v>
      </c>
      <c r="Q679" s="87">
        <v>17</v>
      </c>
      <c r="R679" s="69" t="s">
        <v>359</v>
      </c>
      <c r="S679" s="239">
        <v>2355949000009</v>
      </c>
      <c r="T679" s="344">
        <v>12355949000006</v>
      </c>
      <c r="U679" s="46"/>
      <c r="V679" s="46"/>
      <c r="W679" s="258">
        <v>275</v>
      </c>
      <c r="X679" s="68">
        <v>175</v>
      </c>
      <c r="Y679" s="68">
        <v>80</v>
      </c>
      <c r="Z679" s="65">
        <v>1.2</v>
      </c>
      <c r="AA679" s="271">
        <v>4.7E-2</v>
      </c>
      <c r="AB679" s="66">
        <f>Z679+AA679</f>
        <v>1.2469999999999999</v>
      </c>
      <c r="AC679" s="59">
        <v>292</v>
      </c>
      <c r="AD679" s="60">
        <v>193</v>
      </c>
      <c r="AE679" s="60">
        <v>188</v>
      </c>
      <c r="AF679" s="191">
        <v>2</v>
      </c>
      <c r="AG679" s="117">
        <v>600000031</v>
      </c>
      <c r="AH679" s="104">
        <f>справочники!$C$23</f>
        <v>0.17199999999999999</v>
      </c>
      <c r="AI679" s="61">
        <f t="shared" si="899"/>
        <v>2.4</v>
      </c>
      <c r="AJ679" s="143">
        <f t="shared" si="900"/>
        <v>2.6659999999999999</v>
      </c>
      <c r="AK679" s="158">
        <v>16</v>
      </c>
      <c r="AL679" s="38">
        <v>8</v>
      </c>
      <c r="AM679" s="40">
        <f>AK679*AL679</f>
        <v>128</v>
      </c>
      <c r="AN679" s="214">
        <f>IF(D679="ШТ",кол_во_инд.__упак_к*итого_г_у,ROUNDDOWN(номин.вес_нетто_г_у__кг*итого_г_у,1))</f>
        <v>307.2</v>
      </c>
      <c r="AO679" s="204">
        <f t="shared" si="919"/>
        <v>1649</v>
      </c>
    </row>
    <row r="680" spans="1:41" ht="230.25" customHeight="1" x14ac:dyDescent="0.2">
      <c r="A680" s="22">
        <f t="shared" si="928"/>
        <v>4721</v>
      </c>
      <c r="B680" s="80">
        <v>1003171524721</v>
      </c>
      <c r="C680" s="48" t="s">
        <v>288</v>
      </c>
      <c r="D680" s="87" t="s">
        <v>3</v>
      </c>
      <c r="E680" s="146" t="s">
        <v>919</v>
      </c>
      <c r="F680" s="112" t="s">
        <v>1932</v>
      </c>
      <c r="G680" s="224" t="s">
        <v>2</v>
      </c>
      <c r="H680" s="87" t="s">
        <v>358</v>
      </c>
      <c r="I680" s="154" t="s">
        <v>1225</v>
      </c>
      <c r="J680" s="150" t="s">
        <v>1503</v>
      </c>
      <c r="K680" s="51" t="s">
        <v>1855</v>
      </c>
      <c r="L680" s="110" t="s">
        <v>1663</v>
      </c>
      <c r="M680" s="111" t="s">
        <v>1664</v>
      </c>
      <c r="N680" s="111" t="s">
        <v>1665</v>
      </c>
      <c r="O680" s="162" t="s">
        <v>1666</v>
      </c>
      <c r="P680" s="87" t="s">
        <v>107</v>
      </c>
      <c r="Q680" s="87">
        <v>17</v>
      </c>
      <c r="R680" s="69" t="s">
        <v>359</v>
      </c>
      <c r="S680" s="239">
        <v>2419489000001</v>
      </c>
      <c r="T680" s="344">
        <v>12419489000008</v>
      </c>
      <c r="U680" s="46"/>
      <c r="V680" s="46"/>
      <c r="W680" s="258">
        <v>275</v>
      </c>
      <c r="X680" s="68">
        <v>175</v>
      </c>
      <c r="Y680" s="68">
        <v>80</v>
      </c>
      <c r="Z680" s="65">
        <v>1.2</v>
      </c>
      <c r="AA680" s="271">
        <v>4.7E-2</v>
      </c>
      <c r="AB680" s="66">
        <f t="shared" si="929"/>
        <v>1.2469999999999999</v>
      </c>
      <c r="AC680" s="59">
        <v>292</v>
      </c>
      <c r="AD680" s="60">
        <v>193</v>
      </c>
      <c r="AE680" s="60">
        <v>188</v>
      </c>
      <c r="AF680" s="191">
        <v>2</v>
      </c>
      <c r="AG680" s="117">
        <v>600000031</v>
      </c>
      <c r="AH680" s="104">
        <f>справочники!$C$23</f>
        <v>0.17199999999999999</v>
      </c>
      <c r="AI680" s="61">
        <f t="shared" ref="AI680:AI750" si="946">ROUNDDOWN(номин.вес_нетто__кг*кол_во_инд.__упак_к,2)</f>
        <v>2.4</v>
      </c>
      <c r="AJ680" s="143">
        <f t="shared" ref="AJ680:AJ750" si="947">(номин.вес_брутто__кг*кол_во_инд.__упак_к)+вес_короба__кг</f>
        <v>2.6659999999999999</v>
      </c>
      <c r="AK680" s="158">
        <v>14</v>
      </c>
      <c r="AL680" s="38">
        <v>8</v>
      </c>
      <c r="AM680" s="40">
        <f t="shared" ref="AM680:AM748" si="948">AK680*AL680</f>
        <v>112</v>
      </c>
      <c r="AN680" s="214">
        <f t="shared" si="930"/>
        <v>268.8</v>
      </c>
      <c r="AO680" s="204">
        <f t="shared" si="919"/>
        <v>1649</v>
      </c>
    </row>
    <row r="681" spans="1:41" ht="229.5" customHeight="1" x14ac:dyDescent="0.2">
      <c r="A681" s="22">
        <f t="shared" si="928"/>
        <v>6167</v>
      </c>
      <c r="B681" s="80">
        <v>1003171526167</v>
      </c>
      <c r="C681" s="48" t="s">
        <v>813</v>
      </c>
      <c r="D681" s="87" t="s">
        <v>3</v>
      </c>
      <c r="E681" s="146" t="s">
        <v>919</v>
      </c>
      <c r="F681" s="112" t="s">
        <v>1932</v>
      </c>
      <c r="G681" s="224" t="s">
        <v>2</v>
      </c>
      <c r="H681" s="87" t="s">
        <v>358</v>
      </c>
      <c r="I681" s="154" t="s">
        <v>1225</v>
      </c>
      <c r="J681" s="150" t="s">
        <v>1503</v>
      </c>
      <c r="K681" s="51" t="s">
        <v>1855</v>
      </c>
      <c r="L681" s="110" t="s">
        <v>1663</v>
      </c>
      <c r="M681" s="111" t="s">
        <v>1664</v>
      </c>
      <c r="N681" s="111" t="s">
        <v>1665</v>
      </c>
      <c r="O681" s="162" t="s">
        <v>1666</v>
      </c>
      <c r="P681" s="87" t="s">
        <v>107</v>
      </c>
      <c r="Q681" s="87">
        <v>17</v>
      </c>
      <c r="R681" s="69" t="s">
        <v>359</v>
      </c>
      <c r="S681" s="239">
        <v>2572950000006</v>
      </c>
      <c r="T681" s="344">
        <v>12572950000003</v>
      </c>
      <c r="U681" s="46"/>
      <c r="V681" s="46"/>
      <c r="W681" s="258">
        <v>275</v>
      </c>
      <c r="X681" s="68">
        <v>175</v>
      </c>
      <c r="Y681" s="68">
        <v>80</v>
      </c>
      <c r="Z681" s="65">
        <v>1.2250000000000001</v>
      </c>
      <c r="AA681" s="271">
        <v>4.7E-2</v>
      </c>
      <c r="AB681" s="66">
        <f t="shared" si="929"/>
        <v>1.272</v>
      </c>
      <c r="AC681" s="59">
        <v>292</v>
      </c>
      <c r="AD681" s="60">
        <v>193</v>
      </c>
      <c r="AE681" s="60">
        <v>188</v>
      </c>
      <c r="AF681" s="191">
        <v>2</v>
      </c>
      <c r="AG681" s="117">
        <v>600000031</v>
      </c>
      <c r="AH681" s="104">
        <f>справочники!$C$23</f>
        <v>0.17199999999999999</v>
      </c>
      <c r="AI681" s="61">
        <f t="shared" si="946"/>
        <v>2.4500000000000002</v>
      </c>
      <c r="AJ681" s="143">
        <f t="shared" si="947"/>
        <v>2.7160000000000002</v>
      </c>
      <c r="AK681" s="158">
        <v>16</v>
      </c>
      <c r="AL681" s="38">
        <v>8</v>
      </c>
      <c r="AM681" s="40">
        <f t="shared" si="948"/>
        <v>128</v>
      </c>
      <c r="AN681" s="214">
        <f t="shared" si="930"/>
        <v>313.60000000000002</v>
      </c>
      <c r="AO681" s="204">
        <f t="shared" si="919"/>
        <v>1649</v>
      </c>
    </row>
    <row r="682" spans="1:41" ht="76.5" x14ac:dyDescent="0.2">
      <c r="A682" s="22">
        <f t="shared" si="928"/>
        <v>4866</v>
      </c>
      <c r="B682" s="80">
        <v>1003171674866</v>
      </c>
      <c r="C682" s="48" t="s">
        <v>91</v>
      </c>
      <c r="D682" s="87" t="s">
        <v>4</v>
      </c>
      <c r="E682" s="146" t="s">
        <v>919</v>
      </c>
      <c r="F682" s="112" t="s">
        <v>1930</v>
      </c>
      <c r="G682" s="224" t="s">
        <v>2</v>
      </c>
      <c r="H682" s="87" t="s">
        <v>358</v>
      </c>
      <c r="I682" s="154" t="s">
        <v>1225</v>
      </c>
      <c r="J682" s="150" t="s">
        <v>1755</v>
      </c>
      <c r="K682" s="51" t="s">
        <v>1756</v>
      </c>
      <c r="L682" s="52">
        <v>12</v>
      </c>
      <c r="M682" s="53">
        <v>17</v>
      </c>
      <c r="N682" s="53">
        <v>0</v>
      </c>
      <c r="O682" s="86" t="s">
        <v>558</v>
      </c>
      <c r="P682" s="87" t="s">
        <v>107</v>
      </c>
      <c r="Q682" s="87">
        <v>14</v>
      </c>
      <c r="R682" s="69" t="s">
        <v>359</v>
      </c>
      <c r="S682" s="237">
        <v>4607958072330</v>
      </c>
      <c r="T682" s="332">
        <v>14607958072337</v>
      </c>
      <c r="U682" s="46">
        <v>4607958072330</v>
      </c>
      <c r="V682" s="46">
        <v>14607958072337</v>
      </c>
      <c r="W682" s="258">
        <v>190</v>
      </c>
      <c r="X682" s="68">
        <v>144</v>
      </c>
      <c r="Y682" s="68">
        <v>50</v>
      </c>
      <c r="Z682" s="65">
        <v>0.4</v>
      </c>
      <c r="AA682" s="271">
        <v>1.9E-2</v>
      </c>
      <c r="AB682" s="66">
        <f t="shared" si="929"/>
        <v>0.41900000000000004</v>
      </c>
      <c r="AC682" s="59">
        <v>378</v>
      </c>
      <c r="AD682" s="60">
        <v>156</v>
      </c>
      <c r="AE682" s="68">
        <v>111</v>
      </c>
      <c r="AF682" s="191">
        <v>4</v>
      </c>
      <c r="AG682" s="117">
        <v>600000220</v>
      </c>
      <c r="AH682" s="104">
        <f>справочники!$C$49</f>
        <v>0.105</v>
      </c>
      <c r="AI682" s="61">
        <f t="shared" si="946"/>
        <v>1.6</v>
      </c>
      <c r="AJ682" s="142">
        <f t="shared" si="947"/>
        <v>1.7810000000000001</v>
      </c>
      <c r="AK682" s="158">
        <v>15</v>
      </c>
      <c r="AL682" s="38">
        <v>14</v>
      </c>
      <c r="AM682" s="40">
        <f t="shared" si="948"/>
        <v>210</v>
      </c>
      <c r="AN682" s="206">
        <f t="shared" si="930"/>
        <v>840</v>
      </c>
      <c r="AO682" s="204">
        <f t="shared" si="919"/>
        <v>1699</v>
      </c>
    </row>
    <row r="683" spans="1:41" ht="63.75" x14ac:dyDescent="0.2">
      <c r="A683" s="22">
        <f t="shared" si="928"/>
        <v>4867</v>
      </c>
      <c r="B683" s="80">
        <v>1003171674867</v>
      </c>
      <c r="C683" s="48" t="s">
        <v>92</v>
      </c>
      <c r="D683" s="87" t="s">
        <v>4</v>
      </c>
      <c r="E683" s="146" t="s">
        <v>919</v>
      </c>
      <c r="F683" s="112" t="s">
        <v>1930</v>
      </c>
      <c r="G683" s="224" t="s">
        <v>520</v>
      </c>
      <c r="H683" s="87" t="s">
        <v>358</v>
      </c>
      <c r="I683" s="154" t="s">
        <v>276</v>
      </c>
      <c r="J683" s="150" t="s">
        <v>446</v>
      </c>
      <c r="K683" s="51" t="s">
        <v>162</v>
      </c>
      <c r="L683" s="52">
        <v>12</v>
      </c>
      <c r="M683" s="53">
        <v>17</v>
      </c>
      <c r="N683" s="53"/>
      <c r="O683" s="86" t="s">
        <v>558</v>
      </c>
      <c r="P683" s="87" t="s">
        <v>107</v>
      </c>
      <c r="Q683" s="87">
        <v>12</v>
      </c>
      <c r="R683" s="69" t="s">
        <v>359</v>
      </c>
      <c r="S683" s="237">
        <v>4607088543557</v>
      </c>
      <c r="T683" s="332">
        <v>14607088543554</v>
      </c>
      <c r="U683" s="46">
        <v>4607958075157</v>
      </c>
      <c r="V683" s="46">
        <v>14607958075154</v>
      </c>
      <c r="W683" s="258">
        <v>190</v>
      </c>
      <c r="X683" s="68">
        <v>144</v>
      </c>
      <c r="Y683" s="68">
        <v>50</v>
      </c>
      <c r="Z683" s="65">
        <v>0.4</v>
      </c>
      <c r="AA683" s="271">
        <v>1.9E-2</v>
      </c>
      <c r="AB683" s="66">
        <f t="shared" si="929"/>
        <v>0.41900000000000004</v>
      </c>
      <c r="AC683" s="59">
        <v>378</v>
      </c>
      <c r="AD683" s="60">
        <v>156</v>
      </c>
      <c r="AE683" s="68">
        <v>111</v>
      </c>
      <c r="AF683" s="191">
        <v>4</v>
      </c>
      <c r="AG683" s="117">
        <v>600000220</v>
      </c>
      <c r="AH683" s="104">
        <f>справочники!$C$49</f>
        <v>0.105</v>
      </c>
      <c r="AI683" s="61">
        <f t="shared" si="946"/>
        <v>1.6</v>
      </c>
      <c r="AJ683" s="142">
        <f t="shared" si="947"/>
        <v>1.7810000000000001</v>
      </c>
      <c r="AK683" s="158">
        <v>15</v>
      </c>
      <c r="AL683" s="38">
        <v>14</v>
      </c>
      <c r="AM683" s="40">
        <f t="shared" si="948"/>
        <v>210</v>
      </c>
      <c r="AN683" s="206">
        <f t="shared" si="930"/>
        <v>840</v>
      </c>
      <c r="AO683" s="204">
        <f t="shared" si="919"/>
        <v>1699</v>
      </c>
    </row>
    <row r="684" spans="1:41" ht="76.5" x14ac:dyDescent="0.2">
      <c r="A684" s="22">
        <f t="shared" si="928"/>
        <v>5466</v>
      </c>
      <c r="B684" s="80">
        <v>1003174005466</v>
      </c>
      <c r="C684" s="48" t="s">
        <v>205</v>
      </c>
      <c r="D684" s="87" t="s">
        <v>4</v>
      </c>
      <c r="E684" s="146" t="s">
        <v>919</v>
      </c>
      <c r="F684" s="112" t="s">
        <v>1930</v>
      </c>
      <c r="G684" s="224" t="s">
        <v>2</v>
      </c>
      <c r="H684" s="87" t="s">
        <v>358</v>
      </c>
      <c r="I684" s="155" t="s">
        <v>1225</v>
      </c>
      <c r="J684" s="150" t="s">
        <v>1755</v>
      </c>
      <c r="K684" s="51" t="s">
        <v>1779</v>
      </c>
      <c r="L684" s="52">
        <v>11</v>
      </c>
      <c r="M684" s="53">
        <v>21</v>
      </c>
      <c r="N684" s="53">
        <v>0</v>
      </c>
      <c r="O684" s="88" t="s">
        <v>845</v>
      </c>
      <c r="P684" s="87" t="s">
        <v>107</v>
      </c>
      <c r="Q684" s="87">
        <v>14</v>
      </c>
      <c r="R684" s="69" t="s">
        <v>359</v>
      </c>
      <c r="S684" s="237">
        <v>4607958071838</v>
      </c>
      <c r="T684" s="332">
        <v>14607958071835</v>
      </c>
      <c r="U684" s="46">
        <v>4607958071838</v>
      </c>
      <c r="V684" s="46">
        <v>14607958071835</v>
      </c>
      <c r="W684" s="258">
        <v>190</v>
      </c>
      <c r="X684" s="68">
        <v>144</v>
      </c>
      <c r="Y684" s="68">
        <v>50</v>
      </c>
      <c r="Z684" s="65">
        <v>0.4</v>
      </c>
      <c r="AA684" s="271">
        <v>1.7000000000000001E-2</v>
      </c>
      <c r="AB684" s="66">
        <f t="shared" si="929"/>
        <v>0.41700000000000004</v>
      </c>
      <c r="AC684" s="59">
        <v>378</v>
      </c>
      <c r="AD684" s="60">
        <v>156</v>
      </c>
      <c r="AE684" s="68">
        <v>111</v>
      </c>
      <c r="AF684" s="191">
        <v>4</v>
      </c>
      <c r="AG684" s="117">
        <v>600000220</v>
      </c>
      <c r="AH684" s="104">
        <f>справочники!$C$49</f>
        <v>0.105</v>
      </c>
      <c r="AI684" s="61">
        <f t="shared" si="946"/>
        <v>1.6</v>
      </c>
      <c r="AJ684" s="142">
        <f t="shared" si="947"/>
        <v>1.7730000000000001</v>
      </c>
      <c r="AK684" s="158">
        <v>15</v>
      </c>
      <c r="AL684" s="38">
        <v>14</v>
      </c>
      <c r="AM684" s="40">
        <f t="shared" si="948"/>
        <v>210</v>
      </c>
      <c r="AN684" s="206">
        <f t="shared" ref="AN684:AN753" si="949">IF(D684="ШТ",кол_во_инд.__упак_к*итого_г_у,ROUNDDOWN(номин.вес_нетто_г_у__кг*итого_г_у,1))</f>
        <v>840</v>
      </c>
      <c r="AO684" s="204">
        <f t="shared" si="919"/>
        <v>1699</v>
      </c>
    </row>
    <row r="685" spans="1:41" ht="63.75" x14ac:dyDescent="0.2">
      <c r="A685" s="22">
        <f t="shared" si="928"/>
        <v>5765</v>
      </c>
      <c r="B685" s="80">
        <v>1003171685765</v>
      </c>
      <c r="C685" s="48" t="s">
        <v>248</v>
      </c>
      <c r="D685" s="87" t="s">
        <v>4</v>
      </c>
      <c r="E685" s="146" t="s">
        <v>919</v>
      </c>
      <c r="F685" s="112" t="s">
        <v>1930</v>
      </c>
      <c r="G685" s="224" t="s">
        <v>2</v>
      </c>
      <c r="H685" s="87" t="s">
        <v>358</v>
      </c>
      <c r="I685" s="155" t="s">
        <v>1225</v>
      </c>
      <c r="J685" s="150" t="s">
        <v>446</v>
      </c>
      <c r="K685" s="51" t="s">
        <v>1838</v>
      </c>
      <c r="L685" s="52">
        <v>13</v>
      </c>
      <c r="M685" s="53">
        <v>21</v>
      </c>
      <c r="N685" s="53">
        <v>0</v>
      </c>
      <c r="O685" s="88" t="s">
        <v>233</v>
      </c>
      <c r="P685" s="87" t="s">
        <v>107</v>
      </c>
      <c r="Q685" s="87">
        <v>14</v>
      </c>
      <c r="R685" s="69" t="s">
        <v>359</v>
      </c>
      <c r="S685" s="243">
        <v>4607958073221</v>
      </c>
      <c r="T685" s="340">
        <v>14607958073228</v>
      </c>
      <c r="U685" s="46">
        <v>4607958073221</v>
      </c>
      <c r="V685" s="46">
        <v>14607958073228</v>
      </c>
      <c r="W685" s="93">
        <v>190</v>
      </c>
      <c r="X685" s="60">
        <v>144</v>
      </c>
      <c r="Y685" s="60">
        <v>50</v>
      </c>
      <c r="Z685" s="65">
        <v>0.4</v>
      </c>
      <c r="AA685" s="271">
        <v>1.7000000000000001E-2</v>
      </c>
      <c r="AB685" s="66">
        <f t="shared" si="929"/>
        <v>0.41700000000000004</v>
      </c>
      <c r="AC685" s="59">
        <v>378</v>
      </c>
      <c r="AD685" s="60">
        <v>156</v>
      </c>
      <c r="AE685" s="68">
        <v>111</v>
      </c>
      <c r="AF685" s="191">
        <v>4</v>
      </c>
      <c r="AG685" s="117">
        <v>600000220</v>
      </c>
      <c r="AH685" s="104">
        <f>справочники!$C$49</f>
        <v>0.105</v>
      </c>
      <c r="AI685" s="61">
        <f t="shared" si="946"/>
        <v>1.6</v>
      </c>
      <c r="AJ685" s="142">
        <f t="shared" si="947"/>
        <v>1.7730000000000001</v>
      </c>
      <c r="AK685" s="158">
        <v>15</v>
      </c>
      <c r="AL685" s="38">
        <v>14</v>
      </c>
      <c r="AM685" s="40">
        <f t="shared" si="948"/>
        <v>210</v>
      </c>
      <c r="AN685" s="206">
        <f t="shared" si="949"/>
        <v>840</v>
      </c>
      <c r="AO685" s="204">
        <f t="shared" si="919"/>
        <v>1699</v>
      </c>
    </row>
    <row r="686" spans="1:41" ht="63.75" x14ac:dyDescent="0.2">
      <c r="A686" s="22">
        <f t="shared" si="928"/>
        <v>5333</v>
      </c>
      <c r="B686" s="80">
        <v>1003171685333</v>
      </c>
      <c r="C686" s="48" t="s">
        <v>1337</v>
      </c>
      <c r="D686" s="87" t="s">
        <v>4</v>
      </c>
      <c r="E686" s="146" t="s">
        <v>919</v>
      </c>
      <c r="F686" s="112" t="s">
        <v>1930</v>
      </c>
      <c r="G686" s="224" t="s">
        <v>2</v>
      </c>
      <c r="H686" s="87" t="s">
        <v>358</v>
      </c>
      <c r="I686" s="155" t="s">
        <v>1225</v>
      </c>
      <c r="J686" s="150" t="s">
        <v>446</v>
      </c>
      <c r="K686" s="51" t="s">
        <v>1838</v>
      </c>
      <c r="L686" s="52">
        <v>13</v>
      </c>
      <c r="M686" s="53">
        <v>21</v>
      </c>
      <c r="N686" s="53">
        <v>0</v>
      </c>
      <c r="O686" s="88" t="s">
        <v>233</v>
      </c>
      <c r="P686" s="87" t="s">
        <v>107</v>
      </c>
      <c r="Q686" s="87">
        <v>14</v>
      </c>
      <c r="R686" s="69" t="s">
        <v>359</v>
      </c>
      <c r="S686" s="243">
        <v>4607958073221</v>
      </c>
      <c r="T686" s="340">
        <v>14607958073228</v>
      </c>
      <c r="U686" s="46">
        <v>4607958073221</v>
      </c>
      <c r="V686" s="46">
        <v>14607958073228</v>
      </c>
      <c r="W686" s="93">
        <v>190</v>
      </c>
      <c r="X686" s="60">
        <v>144</v>
      </c>
      <c r="Y686" s="60">
        <v>50</v>
      </c>
      <c r="Z686" s="65">
        <v>0.4</v>
      </c>
      <c r="AA686" s="271">
        <v>1.7000000000000001E-2</v>
      </c>
      <c r="AB686" s="66">
        <f t="shared" ref="AB686" si="950">Z686+AA686</f>
        <v>0.41700000000000004</v>
      </c>
      <c r="AC686" s="59">
        <v>378</v>
      </c>
      <c r="AD686" s="60">
        <v>156</v>
      </c>
      <c r="AE686" s="68">
        <v>111</v>
      </c>
      <c r="AF686" s="191">
        <v>4</v>
      </c>
      <c r="AG686" s="117">
        <v>600000220</v>
      </c>
      <c r="AH686" s="104">
        <f>справочники!$C$49</f>
        <v>0.105</v>
      </c>
      <c r="AI686" s="61">
        <f t="shared" si="946"/>
        <v>1.6</v>
      </c>
      <c r="AJ686" s="142">
        <f t="shared" si="947"/>
        <v>1.7730000000000001</v>
      </c>
      <c r="AK686" s="158">
        <v>15</v>
      </c>
      <c r="AL686" s="38">
        <v>14</v>
      </c>
      <c r="AM686" s="40">
        <f t="shared" ref="AM686" si="951">AK686*AL686</f>
        <v>210</v>
      </c>
      <c r="AN686" s="206">
        <f t="shared" ref="AN686" si="952">IF(D686="ШТ",кол_во_инд.__упак_к*итого_г_у,ROUNDDOWN(номин.вес_нетто_г_у__кг*итого_г_у,1))</f>
        <v>840</v>
      </c>
      <c r="AO686" s="204">
        <f t="shared" si="919"/>
        <v>1699</v>
      </c>
    </row>
    <row r="687" spans="1:41" ht="76.5" x14ac:dyDescent="0.2">
      <c r="A687" s="22">
        <f t="shared" si="928"/>
        <v>4871</v>
      </c>
      <c r="B687" s="80">
        <v>1003171684871</v>
      </c>
      <c r="C687" s="48" t="s">
        <v>93</v>
      </c>
      <c r="D687" s="87" t="s">
        <v>4</v>
      </c>
      <c r="E687" s="146" t="s">
        <v>919</v>
      </c>
      <c r="F687" s="112" t="s">
        <v>1930</v>
      </c>
      <c r="G687" s="224" t="s">
        <v>520</v>
      </c>
      <c r="H687" s="87" t="s">
        <v>358</v>
      </c>
      <c r="I687" s="155" t="s">
        <v>276</v>
      </c>
      <c r="J687" s="150" t="s">
        <v>446</v>
      </c>
      <c r="K687" s="51" t="s">
        <v>219</v>
      </c>
      <c r="L687" s="52">
        <v>13</v>
      </c>
      <c r="M687" s="53">
        <v>25</v>
      </c>
      <c r="N687" s="53"/>
      <c r="O687" s="88" t="s">
        <v>560</v>
      </c>
      <c r="P687" s="87" t="s">
        <v>107</v>
      </c>
      <c r="Q687" s="87">
        <v>12</v>
      </c>
      <c r="R687" s="69" t="s">
        <v>359</v>
      </c>
      <c r="S687" s="243">
        <v>4607088543670</v>
      </c>
      <c r="T687" s="340">
        <v>14607088543677</v>
      </c>
      <c r="U687" s="46">
        <v>4607958075164</v>
      </c>
      <c r="V687" s="46">
        <v>14607958075161</v>
      </c>
      <c r="W687" s="93">
        <v>190</v>
      </c>
      <c r="X687" s="60">
        <v>144</v>
      </c>
      <c r="Y687" s="60">
        <v>50</v>
      </c>
      <c r="Z687" s="65">
        <v>0.4</v>
      </c>
      <c r="AA687" s="271">
        <v>1.7000000000000001E-2</v>
      </c>
      <c r="AB687" s="66">
        <f t="shared" ref="AB687:AB748" si="953">Z687+AA687</f>
        <v>0.41700000000000004</v>
      </c>
      <c r="AC687" s="59">
        <v>378</v>
      </c>
      <c r="AD687" s="60">
        <v>156</v>
      </c>
      <c r="AE687" s="68">
        <v>111</v>
      </c>
      <c r="AF687" s="191">
        <v>4</v>
      </c>
      <c r="AG687" s="117">
        <v>600000220</v>
      </c>
      <c r="AH687" s="104">
        <f>справочники!$C$49</f>
        <v>0.105</v>
      </c>
      <c r="AI687" s="61">
        <f t="shared" si="946"/>
        <v>1.6</v>
      </c>
      <c r="AJ687" s="142">
        <f t="shared" si="947"/>
        <v>1.7730000000000001</v>
      </c>
      <c r="AK687" s="158">
        <v>15</v>
      </c>
      <c r="AL687" s="38">
        <v>14</v>
      </c>
      <c r="AM687" s="40">
        <f t="shared" si="948"/>
        <v>210</v>
      </c>
      <c r="AN687" s="206">
        <f t="shared" si="949"/>
        <v>840</v>
      </c>
      <c r="AO687" s="204">
        <f t="shared" si="919"/>
        <v>1699</v>
      </c>
    </row>
    <row r="688" spans="1:41" ht="63.75" x14ac:dyDescent="0.2">
      <c r="A688" s="22">
        <f t="shared" si="928"/>
        <v>4874</v>
      </c>
      <c r="B688" s="80">
        <v>1003171684874</v>
      </c>
      <c r="C688" s="48" t="s">
        <v>94</v>
      </c>
      <c r="D688" s="87" t="s">
        <v>4</v>
      </c>
      <c r="E688" s="146" t="s">
        <v>919</v>
      </c>
      <c r="F688" s="112" t="s">
        <v>1930</v>
      </c>
      <c r="G688" s="224" t="s">
        <v>2</v>
      </c>
      <c r="H688" s="87" t="s">
        <v>358</v>
      </c>
      <c r="I688" s="155" t="s">
        <v>1225</v>
      </c>
      <c r="J688" s="150" t="s">
        <v>446</v>
      </c>
      <c r="K688" s="51" t="s">
        <v>1838</v>
      </c>
      <c r="L688" s="52">
        <v>13</v>
      </c>
      <c r="M688" s="53">
        <v>21</v>
      </c>
      <c r="N688" s="53">
        <v>0</v>
      </c>
      <c r="O688" s="88" t="s">
        <v>233</v>
      </c>
      <c r="P688" s="87" t="s">
        <v>107</v>
      </c>
      <c r="Q688" s="87">
        <v>14</v>
      </c>
      <c r="R688" s="69" t="s">
        <v>359</v>
      </c>
      <c r="S688" s="237">
        <v>4630362180513</v>
      </c>
      <c r="T688" s="332">
        <v>14630362180510</v>
      </c>
      <c r="U688" s="46">
        <v>4630362180513</v>
      </c>
      <c r="V688" s="46">
        <v>14630362180510</v>
      </c>
      <c r="W688" s="258">
        <v>275</v>
      </c>
      <c r="X688" s="68">
        <v>175</v>
      </c>
      <c r="Y688" s="68">
        <v>65</v>
      </c>
      <c r="Z688" s="65">
        <v>1</v>
      </c>
      <c r="AA688" s="271">
        <v>3.6999999999999998E-2</v>
      </c>
      <c r="AB688" s="66">
        <f>Z688+AA688</f>
        <v>1.0369999999999999</v>
      </c>
      <c r="AC688" s="59">
        <v>390</v>
      </c>
      <c r="AD688" s="60">
        <v>294</v>
      </c>
      <c r="AE688" s="60">
        <v>150</v>
      </c>
      <c r="AF688" s="191">
        <v>4</v>
      </c>
      <c r="AG688" s="117">
        <v>600000280</v>
      </c>
      <c r="AH688" s="104">
        <f>справочники!$C$57</f>
        <v>0.371</v>
      </c>
      <c r="AI688" s="61">
        <f t="shared" si="946"/>
        <v>4</v>
      </c>
      <c r="AJ688" s="142">
        <f t="shared" si="947"/>
        <v>4.5190000000000001</v>
      </c>
      <c r="AK688" s="158">
        <v>8</v>
      </c>
      <c r="AL688" s="38">
        <v>10</v>
      </c>
      <c r="AM688" s="40">
        <f>AK688*AL688</f>
        <v>80</v>
      </c>
      <c r="AN688" s="206">
        <f>IF(D688="ШТ",кол_во_инд.__упак_к*итого_г_у,ROUNDDOWN(номин.вес_нетто_г_у__кг*итого_г_у,1))</f>
        <v>320</v>
      </c>
      <c r="AO688" s="204">
        <f t="shared" ref="AO688:AO763" si="954">(высота__мм*кол_во_слоев_г_у)+145</f>
        <v>1645</v>
      </c>
    </row>
    <row r="689" spans="1:41" ht="51.75" customHeight="1" x14ac:dyDescent="0.2">
      <c r="A689" s="22">
        <f t="shared" si="928"/>
        <v>5633</v>
      </c>
      <c r="B689" s="80">
        <v>1003173995633</v>
      </c>
      <c r="C689" s="48" t="s">
        <v>231</v>
      </c>
      <c r="D689" s="87" t="s">
        <v>4</v>
      </c>
      <c r="E689" s="146" t="s">
        <v>919</v>
      </c>
      <c r="F689" s="112" t="s">
        <v>1930</v>
      </c>
      <c r="G689" s="224" t="s">
        <v>2</v>
      </c>
      <c r="H689" s="87" t="s">
        <v>358</v>
      </c>
      <c r="I689" s="155" t="s">
        <v>1225</v>
      </c>
      <c r="J689" s="150" t="s">
        <v>1755</v>
      </c>
      <c r="K689" s="51" t="s">
        <v>1773</v>
      </c>
      <c r="L689" s="52">
        <v>11</v>
      </c>
      <c r="M689" s="53">
        <v>21</v>
      </c>
      <c r="N689" s="53">
        <v>0</v>
      </c>
      <c r="O689" s="88" t="s">
        <v>845</v>
      </c>
      <c r="P689" s="87" t="s">
        <v>107</v>
      </c>
      <c r="Q689" s="87">
        <v>14</v>
      </c>
      <c r="R689" s="69" t="s">
        <v>359</v>
      </c>
      <c r="S689" s="243">
        <v>4607958072859</v>
      </c>
      <c r="T689" s="340">
        <v>14607958072856</v>
      </c>
      <c r="U689" s="46">
        <v>4607958072859</v>
      </c>
      <c r="V689" s="46">
        <v>14607958072856</v>
      </c>
      <c r="W689" s="93">
        <v>190</v>
      </c>
      <c r="X689" s="60">
        <v>144</v>
      </c>
      <c r="Y689" s="60">
        <v>50</v>
      </c>
      <c r="Z689" s="65">
        <v>0.4</v>
      </c>
      <c r="AA689" s="271">
        <v>1.7000000000000001E-2</v>
      </c>
      <c r="AB689" s="66">
        <f t="shared" si="953"/>
        <v>0.41700000000000004</v>
      </c>
      <c r="AC689" s="59">
        <v>378</v>
      </c>
      <c r="AD689" s="60">
        <v>156</v>
      </c>
      <c r="AE689" s="68">
        <v>111</v>
      </c>
      <c r="AF689" s="191">
        <v>4</v>
      </c>
      <c r="AG689" s="117">
        <v>600000220</v>
      </c>
      <c r="AH689" s="104">
        <f>справочники!$C$49</f>
        <v>0.105</v>
      </c>
      <c r="AI689" s="61">
        <f t="shared" si="946"/>
        <v>1.6</v>
      </c>
      <c r="AJ689" s="142">
        <f t="shared" si="947"/>
        <v>1.7730000000000001</v>
      </c>
      <c r="AK689" s="158">
        <v>15</v>
      </c>
      <c r="AL689" s="38">
        <v>14</v>
      </c>
      <c r="AM689" s="40">
        <f t="shared" si="948"/>
        <v>210</v>
      </c>
      <c r="AN689" s="206">
        <f t="shared" si="949"/>
        <v>840</v>
      </c>
      <c r="AO689" s="204">
        <f t="shared" si="919"/>
        <v>1699</v>
      </c>
    </row>
    <row r="690" spans="1:41" ht="51.75" customHeight="1" x14ac:dyDescent="0.2">
      <c r="A690" s="22">
        <f t="shared" si="928"/>
        <v>6552</v>
      </c>
      <c r="B690" s="80">
        <v>1003173996552</v>
      </c>
      <c r="C690" s="48" t="s">
        <v>606</v>
      </c>
      <c r="D690" s="87" t="s">
        <v>4</v>
      </c>
      <c r="E690" s="146" t="s">
        <v>919</v>
      </c>
      <c r="F690" s="112" t="s">
        <v>1930</v>
      </c>
      <c r="G690" s="224" t="s">
        <v>2</v>
      </c>
      <c r="H690" s="87" t="s">
        <v>358</v>
      </c>
      <c r="I690" s="155" t="s">
        <v>1225</v>
      </c>
      <c r="J690" s="150" t="s">
        <v>1755</v>
      </c>
      <c r="K690" s="51" t="s">
        <v>1773</v>
      </c>
      <c r="L690" s="52">
        <v>11</v>
      </c>
      <c r="M690" s="53">
        <v>21</v>
      </c>
      <c r="N690" s="53">
        <v>0</v>
      </c>
      <c r="O690" s="88" t="s">
        <v>845</v>
      </c>
      <c r="P690" s="87" t="s">
        <v>107</v>
      </c>
      <c r="Q690" s="87">
        <v>14</v>
      </c>
      <c r="R690" s="69" t="s">
        <v>359</v>
      </c>
      <c r="S690" s="243">
        <v>4607958075607</v>
      </c>
      <c r="T690" s="340">
        <v>14607958075604</v>
      </c>
      <c r="U690" s="46">
        <v>4607958075607</v>
      </c>
      <c r="V690" s="46">
        <v>14607958075604</v>
      </c>
      <c r="W690" s="93">
        <v>275</v>
      </c>
      <c r="X690" s="60">
        <v>175</v>
      </c>
      <c r="Y690" s="60">
        <v>50</v>
      </c>
      <c r="Z690" s="65">
        <v>0.7</v>
      </c>
      <c r="AA690" s="271">
        <v>3.2000000000000001E-2</v>
      </c>
      <c r="AB690" s="66">
        <f>Z690+AA690</f>
        <v>0.73199999999999998</v>
      </c>
      <c r="AC690" s="59">
        <v>390</v>
      </c>
      <c r="AD690" s="60">
        <v>294</v>
      </c>
      <c r="AE690" s="68">
        <v>150</v>
      </c>
      <c r="AF690" s="191">
        <v>4</v>
      </c>
      <c r="AG690" s="117">
        <v>600000280</v>
      </c>
      <c r="AH690" s="104">
        <f>справочники!$C$57</f>
        <v>0.371</v>
      </c>
      <c r="AI690" s="61">
        <f t="shared" si="946"/>
        <v>2.8</v>
      </c>
      <c r="AJ690" s="142">
        <f t="shared" si="947"/>
        <v>3.2989999999999999</v>
      </c>
      <c r="AK690" s="158">
        <v>8</v>
      </c>
      <c r="AL690" s="38">
        <v>10</v>
      </c>
      <c r="AM690" s="40">
        <f>AK690*AL690</f>
        <v>80</v>
      </c>
      <c r="AN690" s="206">
        <f>IF(D690="ШТ",кол_во_инд.__упак_к*итого_г_у,ROUNDDOWN(номин.вес_нетто_г_у__кг*итого_г_у,1))</f>
        <v>320</v>
      </c>
      <c r="AO690" s="204">
        <f t="shared" si="919"/>
        <v>1645</v>
      </c>
    </row>
    <row r="691" spans="1:41" ht="76.5" x14ac:dyDescent="0.2">
      <c r="A691" s="22">
        <f t="shared" si="928"/>
        <v>5465</v>
      </c>
      <c r="B691" s="80">
        <v>1003173995465</v>
      </c>
      <c r="C691" s="48" t="s">
        <v>204</v>
      </c>
      <c r="D691" s="87" t="s">
        <v>4</v>
      </c>
      <c r="E691" s="146" t="s">
        <v>919</v>
      </c>
      <c r="F691" s="112" t="s">
        <v>1930</v>
      </c>
      <c r="G691" s="224" t="s">
        <v>2</v>
      </c>
      <c r="H691" s="87" t="s">
        <v>358</v>
      </c>
      <c r="I691" s="155" t="s">
        <v>1225</v>
      </c>
      <c r="J691" s="150" t="s">
        <v>1755</v>
      </c>
      <c r="K691" s="51" t="s">
        <v>1778</v>
      </c>
      <c r="L691" s="52">
        <v>11</v>
      </c>
      <c r="M691" s="53">
        <v>21</v>
      </c>
      <c r="N691" s="53">
        <v>0</v>
      </c>
      <c r="O691" s="88" t="s">
        <v>845</v>
      </c>
      <c r="P691" s="87" t="s">
        <v>107</v>
      </c>
      <c r="Q691" s="87">
        <v>14</v>
      </c>
      <c r="R691" s="69" t="s">
        <v>359</v>
      </c>
      <c r="S691" s="243">
        <v>4607958071821</v>
      </c>
      <c r="T691" s="340">
        <v>14607958071828</v>
      </c>
      <c r="U691" s="46">
        <v>4607958071821</v>
      </c>
      <c r="V691" s="46">
        <v>14607958071828</v>
      </c>
      <c r="W691" s="93">
        <v>190</v>
      </c>
      <c r="X691" s="60">
        <v>144</v>
      </c>
      <c r="Y691" s="60">
        <v>50</v>
      </c>
      <c r="Z691" s="65">
        <v>0.4</v>
      </c>
      <c r="AA691" s="271">
        <v>1.7000000000000001E-2</v>
      </c>
      <c r="AB691" s="66">
        <f t="shared" si="953"/>
        <v>0.41700000000000004</v>
      </c>
      <c r="AC691" s="59">
        <v>378</v>
      </c>
      <c r="AD691" s="60">
        <v>156</v>
      </c>
      <c r="AE691" s="68">
        <v>111</v>
      </c>
      <c r="AF691" s="191">
        <v>4</v>
      </c>
      <c r="AG691" s="117">
        <v>600000220</v>
      </c>
      <c r="AH691" s="104">
        <f>справочники!$C$49</f>
        <v>0.105</v>
      </c>
      <c r="AI691" s="61">
        <f t="shared" si="946"/>
        <v>1.6</v>
      </c>
      <c r="AJ691" s="142">
        <f t="shared" si="947"/>
        <v>1.7730000000000001</v>
      </c>
      <c r="AK691" s="158">
        <v>15</v>
      </c>
      <c r="AL691" s="38">
        <v>14</v>
      </c>
      <c r="AM691" s="40">
        <f t="shared" si="948"/>
        <v>210</v>
      </c>
      <c r="AN691" s="206">
        <f t="shared" si="949"/>
        <v>840</v>
      </c>
      <c r="AO691" s="204">
        <f t="shared" si="919"/>
        <v>1699</v>
      </c>
    </row>
    <row r="692" spans="1:41" ht="76.5" x14ac:dyDescent="0.2">
      <c r="A692" s="22">
        <f t="shared" si="928"/>
        <v>7270</v>
      </c>
      <c r="B692" s="80">
        <v>1003343997270</v>
      </c>
      <c r="C692" s="48" t="s">
        <v>1237</v>
      </c>
      <c r="D692" s="87" t="s">
        <v>4</v>
      </c>
      <c r="E692" s="146" t="s">
        <v>919</v>
      </c>
      <c r="F692" s="112" t="s">
        <v>1930</v>
      </c>
      <c r="G692" s="224" t="s">
        <v>2</v>
      </c>
      <c r="H692" s="87" t="s">
        <v>358</v>
      </c>
      <c r="I692" s="155" t="s">
        <v>1225</v>
      </c>
      <c r="J692" s="150" t="s">
        <v>1755</v>
      </c>
      <c r="K692" s="51" t="s">
        <v>1778</v>
      </c>
      <c r="L692" s="52">
        <v>11</v>
      </c>
      <c r="M692" s="53">
        <v>21</v>
      </c>
      <c r="N692" s="53">
        <v>0</v>
      </c>
      <c r="O692" s="88" t="s">
        <v>845</v>
      </c>
      <c r="P692" s="87" t="s">
        <v>107</v>
      </c>
      <c r="Q692" s="87">
        <v>14</v>
      </c>
      <c r="R692" s="69" t="s">
        <v>359</v>
      </c>
      <c r="S692" s="243">
        <v>4607958071821</v>
      </c>
      <c r="T692" s="340">
        <v>14607958071828</v>
      </c>
      <c r="U692" s="46">
        <v>4607958071821</v>
      </c>
      <c r="V692" s="46">
        <v>14607958071828</v>
      </c>
      <c r="W692" s="93">
        <v>190</v>
      </c>
      <c r="X692" s="60">
        <v>144</v>
      </c>
      <c r="Y692" s="60">
        <v>50</v>
      </c>
      <c r="Z692" s="65">
        <v>0.4</v>
      </c>
      <c r="AA692" s="271">
        <v>1.7000000000000001E-2</v>
      </c>
      <c r="AB692" s="66">
        <f t="shared" ref="AB692" si="955">Z692+AA692</f>
        <v>0.41700000000000004</v>
      </c>
      <c r="AC692" s="59">
        <v>378</v>
      </c>
      <c r="AD692" s="60">
        <v>156</v>
      </c>
      <c r="AE692" s="68">
        <v>111</v>
      </c>
      <c r="AF692" s="191">
        <v>4</v>
      </c>
      <c r="AG692" s="117">
        <v>600000220</v>
      </c>
      <c r="AH692" s="104">
        <f>справочники!$C$49</f>
        <v>0.105</v>
      </c>
      <c r="AI692" s="61">
        <f t="shared" si="946"/>
        <v>1.6</v>
      </c>
      <c r="AJ692" s="142">
        <f t="shared" si="947"/>
        <v>1.7730000000000001</v>
      </c>
      <c r="AK692" s="158">
        <v>15</v>
      </c>
      <c r="AL692" s="38">
        <v>14</v>
      </c>
      <c r="AM692" s="40">
        <f t="shared" ref="AM692" si="956">AK692*AL692</f>
        <v>210</v>
      </c>
      <c r="AN692" s="206">
        <f t="shared" ref="AN692" si="957">IF(D692="ШТ",кол_во_инд.__упак_к*итого_г_у,ROUNDDOWN(номин.вес_нетто_г_у__кг*итого_г_у,1))</f>
        <v>840</v>
      </c>
      <c r="AO692" s="204">
        <f t="shared" si="919"/>
        <v>1699</v>
      </c>
    </row>
    <row r="693" spans="1:41" ht="63.75" x14ac:dyDescent="0.2">
      <c r="A693" s="22">
        <f t="shared" si="928"/>
        <v>6938</v>
      </c>
      <c r="B693" s="80">
        <v>1003341706938</v>
      </c>
      <c r="C693" s="48" t="s">
        <v>944</v>
      </c>
      <c r="D693" s="87" t="s">
        <v>4</v>
      </c>
      <c r="E693" s="146" t="s">
        <v>919</v>
      </c>
      <c r="F693" s="112" t="s">
        <v>1930</v>
      </c>
      <c r="G693" s="224" t="s">
        <v>2</v>
      </c>
      <c r="H693" s="87" t="s">
        <v>358</v>
      </c>
      <c r="I693" s="155" t="s">
        <v>276</v>
      </c>
      <c r="J693" s="150" t="s">
        <v>447</v>
      </c>
      <c r="K693" s="51" t="s">
        <v>945</v>
      </c>
      <c r="L693" s="52">
        <v>11</v>
      </c>
      <c r="M693" s="53">
        <v>20</v>
      </c>
      <c r="N693" s="53"/>
      <c r="O693" s="88" t="s">
        <v>559</v>
      </c>
      <c r="P693" s="87" t="s">
        <v>107</v>
      </c>
      <c r="Q693" s="87">
        <v>12</v>
      </c>
      <c r="R693" s="69" t="s">
        <v>359</v>
      </c>
      <c r="S693" s="243">
        <v>4607958078189</v>
      </c>
      <c r="T693" s="340">
        <v>14607958078186</v>
      </c>
      <c r="U693" s="46">
        <v>4607958078189</v>
      </c>
      <c r="V693" s="46">
        <v>14607958078186</v>
      </c>
      <c r="W693" s="93">
        <v>190</v>
      </c>
      <c r="X693" s="60">
        <v>144</v>
      </c>
      <c r="Y693" s="60">
        <v>50</v>
      </c>
      <c r="Z693" s="65">
        <v>0.3</v>
      </c>
      <c r="AA693" s="271">
        <v>1.7000000000000001E-2</v>
      </c>
      <c r="AB693" s="66">
        <f t="shared" si="953"/>
        <v>0.317</v>
      </c>
      <c r="AC693" s="59">
        <v>378</v>
      </c>
      <c r="AD693" s="60">
        <v>156</v>
      </c>
      <c r="AE693" s="68">
        <v>111</v>
      </c>
      <c r="AF693" s="191">
        <v>4</v>
      </c>
      <c r="AG693" s="117">
        <v>600000220</v>
      </c>
      <c r="AH693" s="104">
        <f>справочники!$C$49</f>
        <v>0.105</v>
      </c>
      <c r="AI693" s="61">
        <f t="shared" si="946"/>
        <v>1.2</v>
      </c>
      <c r="AJ693" s="142">
        <f t="shared" si="947"/>
        <v>1.373</v>
      </c>
      <c r="AK693" s="158">
        <v>15</v>
      </c>
      <c r="AL693" s="38">
        <v>14</v>
      </c>
      <c r="AM693" s="40">
        <f t="shared" si="948"/>
        <v>210</v>
      </c>
      <c r="AN693" s="206">
        <f t="shared" si="949"/>
        <v>840</v>
      </c>
      <c r="AO693" s="204">
        <f t="shared" si="954"/>
        <v>1699</v>
      </c>
    </row>
    <row r="694" spans="1:41" ht="63.75" x14ac:dyDescent="0.2">
      <c r="A694" s="22">
        <f t="shared" si="928"/>
        <v>7274</v>
      </c>
      <c r="B694" s="80">
        <v>1003341707274</v>
      </c>
      <c r="C694" s="48" t="s">
        <v>1238</v>
      </c>
      <c r="D694" s="87" t="s">
        <v>4</v>
      </c>
      <c r="E694" s="146" t="s">
        <v>919</v>
      </c>
      <c r="F694" s="112" t="s">
        <v>1930</v>
      </c>
      <c r="G694" s="224" t="s">
        <v>6</v>
      </c>
      <c r="H694" s="87" t="s">
        <v>358</v>
      </c>
      <c r="I694" s="155" t="s">
        <v>1225</v>
      </c>
      <c r="J694" s="150" t="s">
        <v>1732</v>
      </c>
      <c r="K694" s="51" t="s">
        <v>945</v>
      </c>
      <c r="L694" s="52">
        <v>11</v>
      </c>
      <c r="M694" s="53">
        <v>20</v>
      </c>
      <c r="N694" s="53"/>
      <c r="O694" s="88" t="s">
        <v>559</v>
      </c>
      <c r="P694" s="87" t="s">
        <v>107</v>
      </c>
      <c r="Q694" s="87">
        <v>14</v>
      </c>
      <c r="R694" s="69" t="s">
        <v>359</v>
      </c>
      <c r="S694" s="243">
        <v>4630362182302</v>
      </c>
      <c r="T694" s="340">
        <v>14630362182309</v>
      </c>
      <c r="U694" s="46">
        <v>4630362182302</v>
      </c>
      <c r="V694" s="46">
        <v>14630362182309</v>
      </c>
      <c r="W694" s="93">
        <v>190</v>
      </c>
      <c r="X694" s="60">
        <v>144</v>
      </c>
      <c r="Y694" s="60">
        <v>50</v>
      </c>
      <c r="Z694" s="65">
        <v>0.3</v>
      </c>
      <c r="AA694" s="271">
        <v>1.7000000000000001E-2</v>
      </c>
      <c r="AB694" s="66">
        <f t="shared" ref="AB694" si="958">Z694+AA694</f>
        <v>0.317</v>
      </c>
      <c r="AC694" s="59">
        <v>378</v>
      </c>
      <c r="AD694" s="60">
        <v>156</v>
      </c>
      <c r="AE694" s="68">
        <v>111</v>
      </c>
      <c r="AF694" s="191">
        <v>4</v>
      </c>
      <c r="AG694" s="117">
        <v>600000220</v>
      </c>
      <c r="AH694" s="104">
        <f>справочники!$C$49</f>
        <v>0.105</v>
      </c>
      <c r="AI694" s="61">
        <f t="shared" si="946"/>
        <v>1.2</v>
      </c>
      <c r="AJ694" s="142">
        <f t="shared" si="947"/>
        <v>1.373</v>
      </c>
      <c r="AK694" s="158">
        <v>15</v>
      </c>
      <c r="AL694" s="38">
        <v>14</v>
      </c>
      <c r="AM694" s="40">
        <f t="shared" ref="AM694" si="959">AK694*AL694</f>
        <v>210</v>
      </c>
      <c r="AN694" s="206">
        <f t="shared" ref="AN694" si="960">IF(D694="ШТ",кол_во_инд.__упак_к*итого_г_у,ROUNDDOWN(номин.вес_нетто_г_у__кг*итого_г_у,1))</f>
        <v>840</v>
      </c>
      <c r="AO694" s="204">
        <f t="shared" si="954"/>
        <v>1699</v>
      </c>
    </row>
    <row r="695" spans="1:41" ht="51" x14ac:dyDescent="0.2">
      <c r="A695" s="22">
        <f t="shared" si="928"/>
        <v>6433</v>
      </c>
      <c r="B695" s="80">
        <v>1003171706433</v>
      </c>
      <c r="C695" s="48" t="s">
        <v>539</v>
      </c>
      <c r="D695" s="87" t="s">
        <v>4</v>
      </c>
      <c r="E695" s="146" t="s">
        <v>919</v>
      </c>
      <c r="F695" s="112" t="s">
        <v>1930</v>
      </c>
      <c r="G695" s="224" t="s">
        <v>520</v>
      </c>
      <c r="H695" s="87" t="s">
        <v>358</v>
      </c>
      <c r="I695" s="155" t="s">
        <v>276</v>
      </c>
      <c r="J695" s="150" t="s">
        <v>446</v>
      </c>
      <c r="K695" s="51" t="s">
        <v>540</v>
      </c>
      <c r="L695" s="52">
        <v>13</v>
      </c>
      <c r="M695" s="53">
        <v>20</v>
      </c>
      <c r="N695" s="53"/>
      <c r="O695" s="88" t="s">
        <v>946</v>
      </c>
      <c r="P695" s="87" t="s">
        <v>107</v>
      </c>
      <c r="Q695" s="87">
        <v>12</v>
      </c>
      <c r="R695" s="69" t="s">
        <v>359</v>
      </c>
      <c r="S695" s="243">
        <v>4607958073122</v>
      </c>
      <c r="T695" s="340">
        <v>14607958073129</v>
      </c>
      <c r="U695" s="46">
        <v>4607958073122</v>
      </c>
      <c r="V695" s="46">
        <v>14607958073129</v>
      </c>
      <c r="W695" s="93">
        <v>190</v>
      </c>
      <c r="X695" s="60">
        <v>144</v>
      </c>
      <c r="Y695" s="60">
        <v>50</v>
      </c>
      <c r="Z695" s="65">
        <v>0.4</v>
      </c>
      <c r="AA695" s="271">
        <v>1.7000000000000001E-2</v>
      </c>
      <c r="AB695" s="66">
        <f t="shared" si="953"/>
        <v>0.41700000000000004</v>
      </c>
      <c r="AC695" s="59">
        <v>378</v>
      </c>
      <c r="AD695" s="60">
        <v>156</v>
      </c>
      <c r="AE695" s="68">
        <v>111</v>
      </c>
      <c r="AF695" s="191">
        <v>4</v>
      </c>
      <c r="AG695" s="117">
        <v>600000220</v>
      </c>
      <c r="AH695" s="104">
        <f>справочники!$C$49</f>
        <v>0.105</v>
      </c>
      <c r="AI695" s="61">
        <f t="shared" si="946"/>
        <v>1.6</v>
      </c>
      <c r="AJ695" s="142">
        <f t="shared" si="947"/>
        <v>1.7730000000000001</v>
      </c>
      <c r="AK695" s="158">
        <v>15</v>
      </c>
      <c r="AL695" s="38">
        <v>14</v>
      </c>
      <c r="AM695" s="40">
        <f>AK695*AL695</f>
        <v>210</v>
      </c>
      <c r="AN695" s="206">
        <f>IF(D695="ШТ",кол_во_инд.__упак_к*итого_г_у,ROUNDDOWN(номин.вес_нетто_г_у__кг*итого_г_у,1))</f>
        <v>840</v>
      </c>
      <c r="AO695" s="204">
        <f t="shared" si="954"/>
        <v>1699</v>
      </c>
    </row>
    <row r="696" spans="1:41" ht="63.75" x14ac:dyDescent="0.2">
      <c r="A696" s="22">
        <f t="shared" si="928"/>
        <v>6261</v>
      </c>
      <c r="B696" s="80">
        <v>1003171706261</v>
      </c>
      <c r="C696" s="48" t="s">
        <v>664</v>
      </c>
      <c r="D696" s="87" t="s">
        <v>4</v>
      </c>
      <c r="E696" s="146" t="s">
        <v>919</v>
      </c>
      <c r="F696" s="112" t="s">
        <v>1930</v>
      </c>
      <c r="G696" s="224" t="s">
        <v>520</v>
      </c>
      <c r="H696" s="87" t="s">
        <v>358</v>
      </c>
      <c r="I696" s="155" t="s">
        <v>276</v>
      </c>
      <c r="J696" s="150" t="s">
        <v>447</v>
      </c>
      <c r="K696" s="51" t="s">
        <v>665</v>
      </c>
      <c r="L696" s="52">
        <v>12</v>
      </c>
      <c r="M696" s="53">
        <v>19</v>
      </c>
      <c r="N696" s="53"/>
      <c r="O696" s="88" t="s">
        <v>559</v>
      </c>
      <c r="P696" s="87" t="s">
        <v>107</v>
      </c>
      <c r="Q696" s="87">
        <v>12</v>
      </c>
      <c r="R696" s="69" t="s">
        <v>359</v>
      </c>
      <c r="S696" s="243">
        <v>4607958076666</v>
      </c>
      <c r="T696" s="340">
        <v>14607958076663</v>
      </c>
      <c r="U696" s="46">
        <v>4607958076666</v>
      </c>
      <c r="V696" s="46">
        <v>14607958076663</v>
      </c>
      <c r="W696" s="93">
        <v>190</v>
      </c>
      <c r="X696" s="60">
        <v>144</v>
      </c>
      <c r="Y696" s="60">
        <v>50</v>
      </c>
      <c r="Z696" s="65">
        <v>0.3</v>
      </c>
      <c r="AA696" s="271">
        <v>1.7000000000000001E-2</v>
      </c>
      <c r="AB696" s="66">
        <f>Z696+AA696</f>
        <v>0.317</v>
      </c>
      <c r="AC696" s="59">
        <v>378</v>
      </c>
      <c r="AD696" s="60">
        <v>156</v>
      </c>
      <c r="AE696" s="68">
        <v>111</v>
      </c>
      <c r="AF696" s="191">
        <v>4</v>
      </c>
      <c r="AG696" s="117">
        <v>600000220</v>
      </c>
      <c r="AH696" s="104">
        <f>справочники!$C$49</f>
        <v>0.105</v>
      </c>
      <c r="AI696" s="61">
        <f t="shared" si="946"/>
        <v>1.2</v>
      </c>
      <c r="AJ696" s="142">
        <f t="shared" si="947"/>
        <v>1.373</v>
      </c>
      <c r="AK696" s="158">
        <v>15</v>
      </c>
      <c r="AL696" s="38">
        <v>14</v>
      </c>
      <c r="AM696" s="40">
        <f>AK696*AL696</f>
        <v>210</v>
      </c>
      <c r="AN696" s="206">
        <f>IF(D696="ШТ",кол_во_инд.__упак_к*итого_г_у,ROUNDDOWN(номин.вес_нетто_г_у__кг*итого_г_у,1))</f>
        <v>840</v>
      </c>
      <c r="AO696" s="204">
        <f t="shared" si="954"/>
        <v>1699</v>
      </c>
    </row>
    <row r="697" spans="1:41" ht="63.75" x14ac:dyDescent="0.2">
      <c r="A697" s="22">
        <f t="shared" si="928"/>
        <v>6735</v>
      </c>
      <c r="B697" s="80">
        <v>1003171706735</v>
      </c>
      <c r="C697" s="48" t="s">
        <v>666</v>
      </c>
      <c r="D697" s="87" t="s">
        <v>4</v>
      </c>
      <c r="E697" s="146" t="s">
        <v>919</v>
      </c>
      <c r="F697" s="112" t="s">
        <v>1930</v>
      </c>
      <c r="G697" s="224" t="s">
        <v>2</v>
      </c>
      <c r="H697" s="87" t="s">
        <v>358</v>
      </c>
      <c r="I697" s="155" t="s">
        <v>276</v>
      </c>
      <c r="J697" s="150" t="s">
        <v>447</v>
      </c>
      <c r="K697" s="51" t="s">
        <v>945</v>
      </c>
      <c r="L697" s="52">
        <v>11</v>
      </c>
      <c r="M697" s="53">
        <v>20</v>
      </c>
      <c r="N697" s="53"/>
      <c r="O697" s="88" t="s">
        <v>946</v>
      </c>
      <c r="P697" s="87" t="s">
        <v>107</v>
      </c>
      <c r="Q697" s="87">
        <v>12</v>
      </c>
      <c r="R697" s="69" t="s">
        <v>359</v>
      </c>
      <c r="S697" s="243">
        <v>4607958076857</v>
      </c>
      <c r="T697" s="340">
        <v>14607958076854</v>
      </c>
      <c r="U697" s="46">
        <v>4607958076857</v>
      </c>
      <c r="V697" s="46">
        <v>14607958076854</v>
      </c>
      <c r="W697" s="93">
        <v>275</v>
      </c>
      <c r="X697" s="60">
        <v>175</v>
      </c>
      <c r="Y697" s="60">
        <v>50</v>
      </c>
      <c r="Z697" s="65">
        <v>0.7</v>
      </c>
      <c r="AA697" s="271">
        <v>3.2000000000000001E-2</v>
      </c>
      <c r="AB697" s="66">
        <f>Z697+AA697</f>
        <v>0.73199999999999998</v>
      </c>
      <c r="AC697" s="59">
        <v>390</v>
      </c>
      <c r="AD697" s="60">
        <v>294</v>
      </c>
      <c r="AE697" s="68">
        <v>150</v>
      </c>
      <c r="AF697" s="191">
        <v>4</v>
      </c>
      <c r="AG697" s="117">
        <v>600000280</v>
      </c>
      <c r="AH697" s="104">
        <f>справочники!$C$57</f>
        <v>0.371</v>
      </c>
      <c r="AI697" s="61">
        <f t="shared" si="946"/>
        <v>2.8</v>
      </c>
      <c r="AJ697" s="142">
        <f t="shared" si="947"/>
        <v>3.2989999999999999</v>
      </c>
      <c r="AK697" s="158">
        <v>8</v>
      </c>
      <c r="AL697" s="38">
        <v>10</v>
      </c>
      <c r="AM697" s="40">
        <f>AK697*AL697</f>
        <v>80</v>
      </c>
      <c r="AN697" s="206">
        <f>IF(D697="ШТ",кол_во_инд.__упак_к*итого_г_у,ROUNDDOWN(номин.вес_нетто_г_у__кг*итого_г_у,1))</f>
        <v>320</v>
      </c>
      <c r="AO697" s="204">
        <f t="shared" si="954"/>
        <v>1645</v>
      </c>
    </row>
    <row r="698" spans="1:41" ht="76.5" x14ac:dyDescent="0.2">
      <c r="A698" s="22">
        <f t="shared" si="928"/>
        <v>7606</v>
      </c>
      <c r="B698" s="80">
        <v>1003341707606</v>
      </c>
      <c r="C698" s="48" t="s">
        <v>1786</v>
      </c>
      <c r="D698" s="87" t="s">
        <v>4</v>
      </c>
      <c r="E698" s="146" t="s">
        <v>919</v>
      </c>
      <c r="F698" s="112" t="s">
        <v>1930</v>
      </c>
      <c r="G698" s="224" t="s">
        <v>6</v>
      </c>
      <c r="H698" s="87" t="s">
        <v>358</v>
      </c>
      <c r="I698" s="155" t="s">
        <v>1225</v>
      </c>
      <c r="J698" s="150" t="s">
        <v>1732</v>
      </c>
      <c r="K698" s="51" t="s">
        <v>1787</v>
      </c>
      <c r="L698" s="52">
        <v>11</v>
      </c>
      <c r="M698" s="53">
        <v>20</v>
      </c>
      <c r="N698" s="53">
        <v>0</v>
      </c>
      <c r="O698" s="88" t="s">
        <v>946</v>
      </c>
      <c r="P698" s="87" t="s">
        <v>107</v>
      </c>
      <c r="Q698" s="87">
        <v>14</v>
      </c>
      <c r="R698" s="69" t="s">
        <v>359</v>
      </c>
      <c r="S698" s="243">
        <v>4630362182319</v>
      </c>
      <c r="T698" s="340">
        <v>14630362182316</v>
      </c>
      <c r="U698" s="46">
        <v>4630362182319</v>
      </c>
      <c r="V698" s="46">
        <v>14630362182316</v>
      </c>
      <c r="W698" s="258">
        <v>190</v>
      </c>
      <c r="X698" s="68">
        <v>144</v>
      </c>
      <c r="Y698" s="60">
        <v>60</v>
      </c>
      <c r="Z698" s="65">
        <v>0.7</v>
      </c>
      <c r="AA698" s="271">
        <v>2.1999999999999999E-2</v>
      </c>
      <c r="AB698" s="66">
        <f>Z698+AA698</f>
        <v>0.72199999999999998</v>
      </c>
      <c r="AC698" s="59">
        <v>378</v>
      </c>
      <c r="AD698" s="60">
        <v>156</v>
      </c>
      <c r="AE698" s="60">
        <v>138</v>
      </c>
      <c r="AF698" s="191">
        <v>4</v>
      </c>
      <c r="AG698" s="117">
        <v>600000019</v>
      </c>
      <c r="AH698" s="104">
        <f>справочники!$C$11</f>
        <v>0.114</v>
      </c>
      <c r="AI698" s="61">
        <f t="shared" si="946"/>
        <v>2.8</v>
      </c>
      <c r="AJ698" s="142">
        <f t="shared" si="947"/>
        <v>3.0019999999999998</v>
      </c>
      <c r="AK698" s="158">
        <v>15</v>
      </c>
      <c r="AL698" s="38">
        <v>11</v>
      </c>
      <c r="AM698" s="40">
        <f>AK698*AL698</f>
        <v>165</v>
      </c>
      <c r="AN698" s="206">
        <f>IF(D698="ШТ",кол_во_инд.__упак_к*итого_г_у,ROUNDDOWN(номин.вес_нетто_г_у__кг*итого_г_у,1))</f>
        <v>660</v>
      </c>
      <c r="AO698" s="204">
        <f t="shared" si="954"/>
        <v>1663</v>
      </c>
    </row>
    <row r="699" spans="1:41" ht="89.25" x14ac:dyDescent="0.2">
      <c r="A699" s="22">
        <f t="shared" si="928"/>
        <v>4780</v>
      </c>
      <c r="B699" s="80">
        <v>1003173284780</v>
      </c>
      <c r="C699" s="48" t="s">
        <v>129</v>
      </c>
      <c r="D699" s="87" t="s">
        <v>4</v>
      </c>
      <c r="E699" s="146" t="s">
        <v>919</v>
      </c>
      <c r="F699" s="112" t="s">
        <v>1932</v>
      </c>
      <c r="G699" s="224" t="s">
        <v>2</v>
      </c>
      <c r="H699" s="87" t="s">
        <v>358</v>
      </c>
      <c r="I699" s="155" t="s">
        <v>1225</v>
      </c>
      <c r="J699" s="150" t="s">
        <v>1867</v>
      </c>
      <c r="K699" s="51" t="s">
        <v>1868</v>
      </c>
      <c r="L699" s="52">
        <v>13</v>
      </c>
      <c r="M699" s="53">
        <v>15</v>
      </c>
      <c r="N699" s="53">
        <v>1</v>
      </c>
      <c r="O699" s="86" t="s">
        <v>902</v>
      </c>
      <c r="P699" s="87" t="s">
        <v>107</v>
      </c>
      <c r="Q699" s="49">
        <v>12</v>
      </c>
      <c r="R699" s="69" t="s">
        <v>29</v>
      </c>
      <c r="S699" s="237">
        <v>4607958070350</v>
      </c>
      <c r="T699" s="332">
        <v>14607958070357</v>
      </c>
      <c r="U699" s="46">
        <v>4607958070350</v>
      </c>
      <c r="V699" s="46">
        <v>14607958070357</v>
      </c>
      <c r="W699" s="258">
        <v>190</v>
      </c>
      <c r="X699" s="68">
        <v>144</v>
      </c>
      <c r="Y699" s="68">
        <v>50</v>
      </c>
      <c r="Z699" s="65">
        <v>0.3</v>
      </c>
      <c r="AA699" s="271">
        <v>1.7000000000000001E-2</v>
      </c>
      <c r="AB699" s="66">
        <f t="shared" si="953"/>
        <v>0.317</v>
      </c>
      <c r="AC699" s="59">
        <v>378</v>
      </c>
      <c r="AD699" s="60">
        <v>156</v>
      </c>
      <c r="AE699" s="68">
        <v>111</v>
      </c>
      <c r="AF699" s="191">
        <v>4</v>
      </c>
      <c r="AG699" s="117">
        <v>600000220</v>
      </c>
      <c r="AH699" s="104">
        <f>справочники!$C$49</f>
        <v>0.105</v>
      </c>
      <c r="AI699" s="61">
        <f t="shared" si="946"/>
        <v>1.2</v>
      </c>
      <c r="AJ699" s="142">
        <f t="shared" si="947"/>
        <v>1.373</v>
      </c>
      <c r="AK699" s="158">
        <v>15</v>
      </c>
      <c r="AL699" s="38">
        <v>14</v>
      </c>
      <c r="AM699" s="40">
        <f t="shared" si="948"/>
        <v>210</v>
      </c>
      <c r="AN699" s="206">
        <f t="shared" si="949"/>
        <v>840</v>
      </c>
      <c r="AO699" s="204">
        <f t="shared" si="954"/>
        <v>1699</v>
      </c>
    </row>
    <row r="700" spans="1:41" ht="66.599999999999994" customHeight="1" x14ac:dyDescent="0.2">
      <c r="A700" s="22">
        <f t="shared" si="928"/>
        <v>7454</v>
      </c>
      <c r="B700" s="80">
        <v>1003337187454</v>
      </c>
      <c r="C700" s="48" t="s">
        <v>1498</v>
      </c>
      <c r="D700" s="87" t="s">
        <v>4</v>
      </c>
      <c r="E700" s="146" t="s">
        <v>919</v>
      </c>
      <c r="F700" s="112" t="s">
        <v>1932</v>
      </c>
      <c r="G700" s="224" t="s">
        <v>6</v>
      </c>
      <c r="H700" s="87" t="s">
        <v>358</v>
      </c>
      <c r="I700" s="155" t="s">
        <v>1225</v>
      </c>
      <c r="J700" s="150" t="s">
        <v>1505</v>
      </c>
      <c r="K700" s="51" t="s">
        <v>1499</v>
      </c>
      <c r="L700" s="52">
        <v>14</v>
      </c>
      <c r="M700" s="53">
        <v>23</v>
      </c>
      <c r="N700" s="53">
        <v>1</v>
      </c>
      <c r="O700" s="88" t="s">
        <v>148</v>
      </c>
      <c r="P700" s="87" t="s">
        <v>107</v>
      </c>
      <c r="Q700" s="87">
        <v>17</v>
      </c>
      <c r="R700" s="69" t="s">
        <v>359</v>
      </c>
      <c r="S700" s="237">
        <v>4630362180797</v>
      </c>
      <c r="T700" s="332">
        <v>14630362180794</v>
      </c>
      <c r="U700" s="46">
        <v>4630362180797</v>
      </c>
      <c r="V700" s="46">
        <v>14630362180794</v>
      </c>
      <c r="W700" s="258">
        <v>190</v>
      </c>
      <c r="X700" s="68">
        <v>144</v>
      </c>
      <c r="Y700" s="68">
        <v>50</v>
      </c>
      <c r="Z700" s="65">
        <v>0.32</v>
      </c>
      <c r="AA700" s="271">
        <v>2.1000000000000001E-2</v>
      </c>
      <c r="AB700" s="66">
        <f t="shared" ref="AB700" si="961">Z700+AA700</f>
        <v>0.34100000000000003</v>
      </c>
      <c r="AC700" s="59">
        <v>378</v>
      </c>
      <c r="AD700" s="60">
        <v>156</v>
      </c>
      <c r="AE700" s="68">
        <v>111</v>
      </c>
      <c r="AF700" s="191">
        <v>4</v>
      </c>
      <c r="AG700" s="117">
        <v>600000220</v>
      </c>
      <c r="AH700" s="104">
        <f>справочники!$C$49</f>
        <v>0.105</v>
      </c>
      <c r="AI700" s="61">
        <f t="shared" si="946"/>
        <v>1.28</v>
      </c>
      <c r="AJ700" s="142">
        <f t="shared" si="947"/>
        <v>1.4690000000000001</v>
      </c>
      <c r="AK700" s="158">
        <v>15</v>
      </c>
      <c r="AL700" s="38">
        <v>14</v>
      </c>
      <c r="AM700" s="40">
        <f t="shared" si="948"/>
        <v>210</v>
      </c>
      <c r="AN700" s="206">
        <f t="shared" ref="AN700" si="962">IF(D700="ШТ",кол_во_инд.__упак_к*итого_г_у,ROUNDDOWN(номин.вес_нетто_г_у__кг*итого_г_у,1))</f>
        <v>840</v>
      </c>
      <c r="AO700" s="204">
        <f t="shared" si="954"/>
        <v>1699</v>
      </c>
    </row>
    <row r="701" spans="1:41" ht="127.5" x14ac:dyDescent="0.2">
      <c r="A701" s="22">
        <f t="shared" si="928"/>
        <v>7455</v>
      </c>
      <c r="B701" s="80">
        <v>1003337197455</v>
      </c>
      <c r="C701" s="48" t="s">
        <v>1500</v>
      </c>
      <c r="D701" s="87" t="s">
        <v>4</v>
      </c>
      <c r="E701" s="146" t="s">
        <v>919</v>
      </c>
      <c r="F701" s="112" t="s">
        <v>1932</v>
      </c>
      <c r="G701" s="224" t="s">
        <v>6</v>
      </c>
      <c r="H701" s="87" t="s">
        <v>358</v>
      </c>
      <c r="I701" s="155" t="s">
        <v>1225</v>
      </c>
      <c r="J701" s="150" t="s">
        <v>1505</v>
      </c>
      <c r="K701" s="51" t="s">
        <v>1501</v>
      </c>
      <c r="L701" s="52">
        <v>14</v>
      </c>
      <c r="M701" s="53">
        <v>24</v>
      </c>
      <c r="N701" s="53">
        <v>1</v>
      </c>
      <c r="O701" s="88" t="s">
        <v>1494</v>
      </c>
      <c r="P701" s="87" t="s">
        <v>107</v>
      </c>
      <c r="Q701" s="87">
        <v>17</v>
      </c>
      <c r="R701" s="69" t="s">
        <v>359</v>
      </c>
      <c r="S701" s="237">
        <v>4630362180803</v>
      </c>
      <c r="T701" s="332">
        <v>14630362180800</v>
      </c>
      <c r="U701" s="46">
        <v>4630362180803</v>
      </c>
      <c r="V701" s="46">
        <v>14630362180800</v>
      </c>
      <c r="W701" s="258">
        <v>190</v>
      </c>
      <c r="X701" s="68">
        <v>144</v>
      </c>
      <c r="Y701" s="68">
        <v>50</v>
      </c>
      <c r="Z701" s="65">
        <v>0.32</v>
      </c>
      <c r="AA701" s="271">
        <v>2.1000000000000001E-2</v>
      </c>
      <c r="AB701" s="66">
        <f t="shared" ref="AB701" si="963">Z701+AA701</f>
        <v>0.34100000000000003</v>
      </c>
      <c r="AC701" s="59">
        <v>378</v>
      </c>
      <c r="AD701" s="60">
        <v>156</v>
      </c>
      <c r="AE701" s="68">
        <v>111</v>
      </c>
      <c r="AF701" s="191">
        <v>4</v>
      </c>
      <c r="AG701" s="117">
        <v>600000220</v>
      </c>
      <c r="AH701" s="104">
        <f>справочники!$C$49</f>
        <v>0.105</v>
      </c>
      <c r="AI701" s="61">
        <f t="shared" si="946"/>
        <v>1.28</v>
      </c>
      <c r="AJ701" s="142">
        <f t="shared" si="947"/>
        <v>1.4690000000000001</v>
      </c>
      <c r="AK701" s="158">
        <v>15</v>
      </c>
      <c r="AL701" s="38">
        <v>14</v>
      </c>
      <c r="AM701" s="40">
        <f t="shared" ref="AM701" si="964">AK701*AL701</f>
        <v>210</v>
      </c>
      <c r="AN701" s="206">
        <f t="shared" ref="AN701" si="965">IF(D701="ШТ",кол_во_инд.__упак_к*итого_г_у,ROUNDDOWN(номин.вес_нетто_г_у__кг*итого_г_у,1))</f>
        <v>840</v>
      </c>
      <c r="AO701" s="204">
        <f t="shared" si="954"/>
        <v>1699</v>
      </c>
    </row>
    <row r="702" spans="1:41" ht="178.5" x14ac:dyDescent="0.2">
      <c r="A702" s="22">
        <f t="shared" si="928"/>
        <v>7453</v>
      </c>
      <c r="B702" s="80">
        <v>1003337167453</v>
      </c>
      <c r="C702" s="48" t="s">
        <v>1492</v>
      </c>
      <c r="D702" s="87" t="s">
        <v>4</v>
      </c>
      <c r="E702" s="146" t="s">
        <v>919</v>
      </c>
      <c r="F702" s="112" t="s">
        <v>1932</v>
      </c>
      <c r="G702" s="224" t="s">
        <v>2</v>
      </c>
      <c r="H702" s="87" t="s">
        <v>358</v>
      </c>
      <c r="I702" s="155" t="s">
        <v>1225</v>
      </c>
      <c r="J702" s="150" t="s">
        <v>1505</v>
      </c>
      <c r="K702" s="51" t="s">
        <v>1493</v>
      </c>
      <c r="L702" s="52">
        <v>14</v>
      </c>
      <c r="M702" s="53">
        <v>24</v>
      </c>
      <c r="N702" s="53">
        <v>1</v>
      </c>
      <c r="O702" s="88" t="s">
        <v>1494</v>
      </c>
      <c r="P702" s="87" t="s">
        <v>107</v>
      </c>
      <c r="Q702" s="87">
        <v>17</v>
      </c>
      <c r="R702" s="69" t="s">
        <v>359</v>
      </c>
      <c r="S702" s="237">
        <v>4630362180773</v>
      </c>
      <c r="T702" s="332">
        <v>14630362180770</v>
      </c>
      <c r="U702" s="46">
        <v>4630362180773</v>
      </c>
      <c r="V702" s="46">
        <v>14630362180770</v>
      </c>
      <c r="W702" s="258">
        <v>190</v>
      </c>
      <c r="X702" s="68">
        <v>144</v>
      </c>
      <c r="Y702" s="68">
        <v>50</v>
      </c>
      <c r="Z702" s="65">
        <v>0.4</v>
      </c>
      <c r="AA702" s="271">
        <v>1.7999999999999999E-2</v>
      </c>
      <c r="AB702" s="66">
        <f t="shared" si="953"/>
        <v>0.41800000000000004</v>
      </c>
      <c r="AC702" s="59">
        <v>378</v>
      </c>
      <c r="AD702" s="60">
        <v>156</v>
      </c>
      <c r="AE702" s="68">
        <v>111</v>
      </c>
      <c r="AF702" s="191">
        <v>4</v>
      </c>
      <c r="AG702" s="117">
        <v>600000220</v>
      </c>
      <c r="AH702" s="104">
        <f>справочники!$C$49</f>
        <v>0.105</v>
      </c>
      <c r="AI702" s="61">
        <f t="shared" si="946"/>
        <v>1.6</v>
      </c>
      <c r="AJ702" s="142">
        <f t="shared" si="947"/>
        <v>1.7770000000000001</v>
      </c>
      <c r="AK702" s="158">
        <v>15</v>
      </c>
      <c r="AL702" s="38">
        <v>14</v>
      </c>
      <c r="AM702" s="40">
        <f t="shared" si="948"/>
        <v>210</v>
      </c>
      <c r="AN702" s="206">
        <f t="shared" si="949"/>
        <v>840</v>
      </c>
      <c r="AO702" s="204">
        <f t="shared" si="954"/>
        <v>1699</v>
      </c>
    </row>
    <row r="703" spans="1:41" ht="94.15" customHeight="1" x14ac:dyDescent="0.2">
      <c r="A703" s="22">
        <f t="shared" si="928"/>
        <v>7452</v>
      </c>
      <c r="B703" s="80">
        <v>1003337157452</v>
      </c>
      <c r="C703" s="48" t="s">
        <v>1495</v>
      </c>
      <c r="D703" s="87" t="s">
        <v>4</v>
      </c>
      <c r="E703" s="146" t="s">
        <v>919</v>
      </c>
      <c r="F703" s="112" t="s">
        <v>1932</v>
      </c>
      <c r="G703" s="224" t="s">
        <v>2</v>
      </c>
      <c r="H703" s="87" t="s">
        <v>358</v>
      </c>
      <c r="I703" s="155" t="s">
        <v>1225</v>
      </c>
      <c r="J703" s="150" t="s">
        <v>1505</v>
      </c>
      <c r="K703" s="51" t="s">
        <v>1608</v>
      </c>
      <c r="L703" s="52">
        <v>14</v>
      </c>
      <c r="M703" s="53">
        <v>23</v>
      </c>
      <c r="N703" s="53">
        <v>1</v>
      </c>
      <c r="O703" s="88" t="s">
        <v>148</v>
      </c>
      <c r="P703" s="87" t="s">
        <v>107</v>
      </c>
      <c r="Q703" s="87">
        <v>17</v>
      </c>
      <c r="R703" s="69" t="s">
        <v>359</v>
      </c>
      <c r="S703" s="237">
        <v>4630362180766</v>
      </c>
      <c r="T703" s="332">
        <v>14630362180763</v>
      </c>
      <c r="U703" s="46">
        <v>4630362180766</v>
      </c>
      <c r="V703" s="46">
        <v>14630362180763</v>
      </c>
      <c r="W703" s="258">
        <v>190</v>
      </c>
      <c r="X703" s="68">
        <v>144</v>
      </c>
      <c r="Y703" s="68">
        <v>50</v>
      </c>
      <c r="Z703" s="65">
        <v>0.4</v>
      </c>
      <c r="AA703" s="271">
        <v>1.7999999999999999E-2</v>
      </c>
      <c r="AB703" s="66">
        <f t="shared" ref="AB703:AB704" si="966">Z703+AA703</f>
        <v>0.41800000000000004</v>
      </c>
      <c r="AC703" s="59">
        <v>378</v>
      </c>
      <c r="AD703" s="60">
        <v>156</v>
      </c>
      <c r="AE703" s="68">
        <v>111</v>
      </c>
      <c r="AF703" s="191">
        <v>4</v>
      </c>
      <c r="AG703" s="117">
        <v>600000220</v>
      </c>
      <c r="AH703" s="104">
        <f>справочники!$C$49</f>
        <v>0.105</v>
      </c>
      <c r="AI703" s="61">
        <f t="shared" si="946"/>
        <v>1.6</v>
      </c>
      <c r="AJ703" s="142">
        <f t="shared" si="947"/>
        <v>1.7770000000000001</v>
      </c>
      <c r="AK703" s="158">
        <v>15</v>
      </c>
      <c r="AL703" s="38">
        <v>14</v>
      </c>
      <c r="AM703" s="40">
        <f t="shared" ref="AM703:AM704" si="967">AK703*AL703</f>
        <v>210</v>
      </c>
      <c r="AN703" s="206">
        <f t="shared" ref="AN703:AN704" si="968">IF(D703="ШТ",кол_во_инд.__упак_к*итого_г_у,ROUNDDOWN(номин.вес_нетто_г_у__кг*итого_г_у,1))</f>
        <v>840</v>
      </c>
      <c r="AO703" s="204">
        <f t="shared" si="954"/>
        <v>1699</v>
      </c>
    </row>
    <row r="704" spans="1:41" ht="140.25" x14ac:dyDescent="0.2">
      <c r="A704" s="22">
        <f t="shared" si="928"/>
        <v>7451</v>
      </c>
      <c r="B704" s="80">
        <v>1003337207451</v>
      </c>
      <c r="C704" s="48" t="s">
        <v>1502</v>
      </c>
      <c r="D704" s="87" t="s">
        <v>4</v>
      </c>
      <c r="E704" s="146" t="s">
        <v>919</v>
      </c>
      <c r="F704" s="112" t="s">
        <v>1932</v>
      </c>
      <c r="G704" s="224" t="s">
        <v>6</v>
      </c>
      <c r="H704" s="87" t="s">
        <v>358</v>
      </c>
      <c r="I704" s="155" t="s">
        <v>1225</v>
      </c>
      <c r="J704" s="150" t="s">
        <v>1503</v>
      </c>
      <c r="K704" s="51" t="s">
        <v>1504</v>
      </c>
      <c r="L704" s="52">
        <v>11</v>
      </c>
      <c r="M704" s="53">
        <v>16</v>
      </c>
      <c r="N704" s="53">
        <v>1</v>
      </c>
      <c r="O704" s="88" t="s">
        <v>1218</v>
      </c>
      <c r="P704" s="87" t="s">
        <v>107</v>
      </c>
      <c r="Q704" s="87">
        <v>17</v>
      </c>
      <c r="R704" s="69" t="s">
        <v>359</v>
      </c>
      <c r="S704" s="237">
        <v>4630362180810</v>
      </c>
      <c r="T704" s="332">
        <v>14630362180817</v>
      </c>
      <c r="U704" s="46">
        <v>4630362180810</v>
      </c>
      <c r="V704" s="46">
        <v>14630362180817</v>
      </c>
      <c r="W704" s="258">
        <v>190</v>
      </c>
      <c r="X704" s="68">
        <v>144</v>
      </c>
      <c r="Y704" s="68">
        <v>50</v>
      </c>
      <c r="Z704" s="65">
        <v>0.32</v>
      </c>
      <c r="AA704" s="271">
        <v>2.1000000000000001E-2</v>
      </c>
      <c r="AB704" s="66">
        <f t="shared" si="966"/>
        <v>0.34100000000000003</v>
      </c>
      <c r="AC704" s="59">
        <v>378</v>
      </c>
      <c r="AD704" s="60">
        <v>156</v>
      </c>
      <c r="AE704" s="68">
        <v>111</v>
      </c>
      <c r="AF704" s="191">
        <v>4</v>
      </c>
      <c r="AG704" s="117">
        <v>600000220</v>
      </c>
      <c r="AH704" s="104">
        <f>справочники!$C$49</f>
        <v>0.105</v>
      </c>
      <c r="AI704" s="61">
        <f t="shared" si="946"/>
        <v>1.28</v>
      </c>
      <c r="AJ704" s="142">
        <f t="shared" si="947"/>
        <v>1.4690000000000001</v>
      </c>
      <c r="AK704" s="158">
        <v>15</v>
      </c>
      <c r="AL704" s="38">
        <v>14</v>
      </c>
      <c r="AM704" s="40">
        <f t="shared" si="967"/>
        <v>210</v>
      </c>
      <c r="AN704" s="206">
        <f t="shared" si="968"/>
        <v>840</v>
      </c>
      <c r="AO704" s="204">
        <f t="shared" si="954"/>
        <v>1699</v>
      </c>
    </row>
    <row r="705" spans="1:41" ht="102" customHeight="1" x14ac:dyDescent="0.2">
      <c r="A705" s="22">
        <f t="shared" si="928"/>
        <v>5584</v>
      </c>
      <c r="B705" s="80">
        <v>1003174105584</v>
      </c>
      <c r="C705" s="48" t="s">
        <v>515</v>
      </c>
      <c r="D705" s="87" t="s">
        <v>4</v>
      </c>
      <c r="E705" s="146" t="s">
        <v>919</v>
      </c>
      <c r="F705" s="112" t="s">
        <v>1932</v>
      </c>
      <c r="G705" s="224" t="s">
        <v>2</v>
      </c>
      <c r="H705" s="87" t="s">
        <v>358</v>
      </c>
      <c r="I705" s="155" t="s">
        <v>1225</v>
      </c>
      <c r="J705" s="150" t="s">
        <v>1505</v>
      </c>
      <c r="K705" s="51" t="s">
        <v>1815</v>
      </c>
      <c r="L705" s="52">
        <v>13</v>
      </c>
      <c r="M705" s="53">
        <v>24</v>
      </c>
      <c r="N705" s="53">
        <v>1</v>
      </c>
      <c r="O705" s="88" t="s">
        <v>1226</v>
      </c>
      <c r="P705" s="87" t="s">
        <v>107</v>
      </c>
      <c r="Q705" s="87">
        <v>17</v>
      </c>
      <c r="R705" s="69" t="s">
        <v>359</v>
      </c>
      <c r="S705" s="237">
        <v>4607958072699</v>
      </c>
      <c r="T705" s="332">
        <v>14607958072696</v>
      </c>
      <c r="U705" s="46">
        <v>4607958072699</v>
      </c>
      <c r="V705" s="46">
        <v>14607958072696</v>
      </c>
      <c r="W705" s="258">
        <v>190</v>
      </c>
      <c r="X705" s="68">
        <v>144</v>
      </c>
      <c r="Y705" s="68">
        <v>50</v>
      </c>
      <c r="Z705" s="65">
        <v>0.32</v>
      </c>
      <c r="AA705" s="271">
        <v>2.1000000000000001E-2</v>
      </c>
      <c r="AB705" s="66">
        <f t="shared" si="953"/>
        <v>0.34100000000000003</v>
      </c>
      <c r="AC705" s="59">
        <v>378</v>
      </c>
      <c r="AD705" s="60">
        <v>156</v>
      </c>
      <c r="AE705" s="68">
        <v>111</v>
      </c>
      <c r="AF705" s="191">
        <v>4</v>
      </c>
      <c r="AG705" s="117">
        <v>600000220</v>
      </c>
      <c r="AH705" s="104">
        <f>справочники!$C$49</f>
        <v>0.105</v>
      </c>
      <c r="AI705" s="61">
        <f t="shared" si="946"/>
        <v>1.28</v>
      </c>
      <c r="AJ705" s="142">
        <f t="shared" si="947"/>
        <v>1.4690000000000001</v>
      </c>
      <c r="AK705" s="158">
        <v>15</v>
      </c>
      <c r="AL705" s="38">
        <v>14</v>
      </c>
      <c r="AM705" s="40">
        <f t="shared" ref="AM705:AM710" si="969">AK705*AL705</f>
        <v>210</v>
      </c>
      <c r="AN705" s="206">
        <f t="shared" si="949"/>
        <v>840</v>
      </c>
      <c r="AO705" s="204">
        <f t="shared" si="954"/>
        <v>1699</v>
      </c>
    </row>
    <row r="706" spans="1:41" ht="165.75" x14ac:dyDescent="0.2">
      <c r="A706" s="22">
        <f t="shared" si="928"/>
        <v>7265</v>
      </c>
      <c r="B706" s="80">
        <v>1003334107265</v>
      </c>
      <c r="C706" s="48" t="s">
        <v>1224</v>
      </c>
      <c r="D706" s="87" t="s">
        <v>4</v>
      </c>
      <c r="E706" s="146" t="s">
        <v>919</v>
      </c>
      <c r="F706" s="112" t="s">
        <v>1932</v>
      </c>
      <c r="G706" s="224" t="s">
        <v>2</v>
      </c>
      <c r="H706" s="87" t="s">
        <v>358</v>
      </c>
      <c r="I706" s="155" t="s">
        <v>1225</v>
      </c>
      <c r="J706" s="150" t="s">
        <v>1505</v>
      </c>
      <c r="K706" s="51" t="s">
        <v>1784</v>
      </c>
      <c r="L706" s="52">
        <v>13</v>
      </c>
      <c r="M706" s="53">
        <v>24</v>
      </c>
      <c r="N706" s="53">
        <v>1</v>
      </c>
      <c r="O706" s="88" t="s">
        <v>1226</v>
      </c>
      <c r="P706" s="87" t="s">
        <v>107</v>
      </c>
      <c r="Q706" s="87">
        <v>17</v>
      </c>
      <c r="R706" s="69" t="s">
        <v>359</v>
      </c>
      <c r="S706" s="237">
        <v>4607958077991</v>
      </c>
      <c r="T706" s="332">
        <v>14607958077998</v>
      </c>
      <c r="U706" s="46">
        <v>4607958077991</v>
      </c>
      <c r="V706" s="46">
        <v>14607958077998</v>
      </c>
      <c r="W706" s="258">
        <v>190</v>
      </c>
      <c r="X706" s="68">
        <v>144</v>
      </c>
      <c r="Y706" s="68">
        <v>50</v>
      </c>
      <c r="Z706" s="65">
        <v>0.4</v>
      </c>
      <c r="AA706" s="271">
        <v>1.7999999999999999E-2</v>
      </c>
      <c r="AB706" s="66">
        <f t="shared" ref="AB706:AB710" si="970">Z706+AA706</f>
        <v>0.41800000000000004</v>
      </c>
      <c r="AC706" s="59">
        <v>378</v>
      </c>
      <c r="AD706" s="60">
        <v>156</v>
      </c>
      <c r="AE706" s="68">
        <v>111</v>
      </c>
      <c r="AF706" s="191">
        <v>4</v>
      </c>
      <c r="AG706" s="117">
        <v>600000220</v>
      </c>
      <c r="AH706" s="104">
        <f>справочники!$C$49</f>
        <v>0.105</v>
      </c>
      <c r="AI706" s="61">
        <f t="shared" si="946"/>
        <v>1.6</v>
      </c>
      <c r="AJ706" s="142">
        <f t="shared" si="947"/>
        <v>1.7770000000000001</v>
      </c>
      <c r="AK706" s="158">
        <v>15</v>
      </c>
      <c r="AL706" s="38">
        <v>14</v>
      </c>
      <c r="AM706" s="40">
        <f t="shared" ref="AM706:AM707" si="971">AK706*AL706</f>
        <v>210</v>
      </c>
      <c r="AN706" s="206">
        <f t="shared" ref="AN706:AN710" si="972">IF(D706="ШТ",кол_во_инд.__упак_к*итого_г_у,ROUNDDOWN(номин.вес_нетто_г_у__кг*итого_г_у,1))</f>
        <v>840</v>
      </c>
      <c r="AO706" s="204">
        <f t="shared" si="954"/>
        <v>1699</v>
      </c>
    </row>
    <row r="707" spans="1:41" ht="106.9" customHeight="1" x14ac:dyDescent="0.2">
      <c r="A707" s="22">
        <f t="shared" si="928"/>
        <v>7450</v>
      </c>
      <c r="B707" s="80">
        <v>1003337177450</v>
      </c>
      <c r="C707" s="48" t="s">
        <v>1496</v>
      </c>
      <c r="D707" s="87" t="s">
        <v>4</v>
      </c>
      <c r="E707" s="146" t="s">
        <v>919</v>
      </c>
      <c r="F707" s="112" t="s">
        <v>1932</v>
      </c>
      <c r="G707" s="224" t="s">
        <v>2</v>
      </c>
      <c r="H707" s="87" t="s">
        <v>358</v>
      </c>
      <c r="I707" s="155" t="s">
        <v>1225</v>
      </c>
      <c r="J707" s="150" t="s">
        <v>1503</v>
      </c>
      <c r="K707" s="51" t="s">
        <v>1497</v>
      </c>
      <c r="L707" s="52">
        <v>11</v>
      </c>
      <c r="M707" s="53">
        <v>16</v>
      </c>
      <c r="N707" s="53">
        <v>1</v>
      </c>
      <c r="O707" s="88" t="s">
        <v>1218</v>
      </c>
      <c r="P707" s="87" t="s">
        <v>107</v>
      </c>
      <c r="Q707" s="87">
        <v>17</v>
      </c>
      <c r="R707" s="69" t="s">
        <v>359</v>
      </c>
      <c r="S707" s="237">
        <v>4630362180780</v>
      </c>
      <c r="T707" s="332">
        <v>14630362180787</v>
      </c>
      <c r="U707" s="46">
        <v>4630362180780</v>
      </c>
      <c r="V707" s="46">
        <v>14630362180787</v>
      </c>
      <c r="W707" s="258">
        <v>190</v>
      </c>
      <c r="X707" s="68">
        <v>144</v>
      </c>
      <c r="Y707" s="68">
        <v>50</v>
      </c>
      <c r="Z707" s="65">
        <v>0.4</v>
      </c>
      <c r="AA707" s="271">
        <v>1.7999999999999999E-2</v>
      </c>
      <c r="AB707" s="66">
        <f t="shared" si="970"/>
        <v>0.41800000000000004</v>
      </c>
      <c r="AC707" s="59">
        <v>378</v>
      </c>
      <c r="AD707" s="60">
        <v>156</v>
      </c>
      <c r="AE707" s="68">
        <v>111</v>
      </c>
      <c r="AF707" s="191">
        <v>4</v>
      </c>
      <c r="AG707" s="117">
        <v>600000220</v>
      </c>
      <c r="AH707" s="104">
        <f>справочники!$C$49</f>
        <v>0.105</v>
      </c>
      <c r="AI707" s="61">
        <f t="shared" si="946"/>
        <v>1.6</v>
      </c>
      <c r="AJ707" s="142">
        <f t="shared" si="947"/>
        <v>1.7770000000000001</v>
      </c>
      <c r="AK707" s="158">
        <v>15</v>
      </c>
      <c r="AL707" s="38">
        <v>14</v>
      </c>
      <c r="AM707" s="40">
        <f t="shared" si="971"/>
        <v>210</v>
      </c>
      <c r="AN707" s="206">
        <f t="shared" si="972"/>
        <v>840</v>
      </c>
      <c r="AO707" s="204">
        <f t="shared" si="954"/>
        <v>1699</v>
      </c>
    </row>
    <row r="708" spans="1:41" ht="76.5" x14ac:dyDescent="0.2">
      <c r="A708" s="22">
        <f t="shared" ref="A708:A771" si="973">VALUE(RIGHT(B708,4))</f>
        <v>6851</v>
      </c>
      <c r="B708" s="80">
        <v>1003173556851</v>
      </c>
      <c r="C708" s="48" t="s">
        <v>829</v>
      </c>
      <c r="D708" s="87" t="s">
        <v>4</v>
      </c>
      <c r="E708" s="146" t="s">
        <v>919</v>
      </c>
      <c r="F708" s="112" t="s">
        <v>1932</v>
      </c>
      <c r="G708" s="224" t="s">
        <v>2</v>
      </c>
      <c r="H708" s="87" t="s">
        <v>358</v>
      </c>
      <c r="I708" s="155" t="s">
        <v>377</v>
      </c>
      <c r="J708" s="150" t="s">
        <v>446</v>
      </c>
      <c r="K708" s="51" t="s">
        <v>830</v>
      </c>
      <c r="L708" s="52">
        <v>15</v>
      </c>
      <c r="M708" s="53">
        <v>20</v>
      </c>
      <c r="N708" s="53"/>
      <c r="O708" s="88" t="s">
        <v>210</v>
      </c>
      <c r="P708" s="87" t="s">
        <v>107</v>
      </c>
      <c r="Q708" s="87">
        <v>14</v>
      </c>
      <c r="R708" s="69" t="s">
        <v>359</v>
      </c>
      <c r="S708" s="237">
        <v>4607958077755</v>
      </c>
      <c r="T708" s="332">
        <v>14607958077752</v>
      </c>
      <c r="U708" s="46">
        <v>4607958077755</v>
      </c>
      <c r="V708" s="46">
        <v>14607958077752</v>
      </c>
      <c r="W708" s="258">
        <v>190</v>
      </c>
      <c r="X708" s="68">
        <v>144</v>
      </c>
      <c r="Y708" s="68">
        <v>50</v>
      </c>
      <c r="Z708" s="65">
        <v>0.32</v>
      </c>
      <c r="AA708" s="271">
        <v>2.1000000000000001E-2</v>
      </c>
      <c r="AB708" s="66">
        <f t="shared" si="970"/>
        <v>0.34100000000000003</v>
      </c>
      <c r="AC708" s="59">
        <v>378</v>
      </c>
      <c r="AD708" s="60">
        <v>156</v>
      </c>
      <c r="AE708" s="68">
        <v>111</v>
      </c>
      <c r="AF708" s="191">
        <v>4</v>
      </c>
      <c r="AG708" s="117">
        <v>600000220</v>
      </c>
      <c r="AH708" s="104">
        <f>справочники!$C$49</f>
        <v>0.105</v>
      </c>
      <c r="AI708" s="61">
        <f t="shared" si="946"/>
        <v>1.28</v>
      </c>
      <c r="AJ708" s="142">
        <f t="shared" si="947"/>
        <v>1.4690000000000001</v>
      </c>
      <c r="AK708" s="158">
        <v>15</v>
      </c>
      <c r="AL708" s="38">
        <v>14</v>
      </c>
      <c r="AM708" s="40">
        <f t="shared" si="969"/>
        <v>210</v>
      </c>
      <c r="AN708" s="206">
        <f t="shared" si="972"/>
        <v>840</v>
      </c>
      <c r="AO708" s="204">
        <f t="shared" si="954"/>
        <v>1699</v>
      </c>
    </row>
    <row r="709" spans="1:41" ht="102" x14ac:dyDescent="0.2">
      <c r="A709" s="22">
        <f t="shared" si="973"/>
        <v>6884</v>
      </c>
      <c r="B709" s="80">
        <v>1003173616884</v>
      </c>
      <c r="C709" s="48" t="s">
        <v>874</v>
      </c>
      <c r="D709" s="87" t="s">
        <v>4</v>
      </c>
      <c r="E709" s="146" t="s">
        <v>919</v>
      </c>
      <c r="F709" s="112" t="s">
        <v>1932</v>
      </c>
      <c r="G709" s="224" t="s">
        <v>5</v>
      </c>
      <c r="H709" s="87" t="s">
        <v>358</v>
      </c>
      <c r="I709" s="155" t="s">
        <v>377</v>
      </c>
      <c r="J709" s="150" t="s">
        <v>446</v>
      </c>
      <c r="K709" s="51" t="s">
        <v>840</v>
      </c>
      <c r="L709" s="52">
        <v>15</v>
      </c>
      <c r="M709" s="53">
        <v>20</v>
      </c>
      <c r="N709" s="53"/>
      <c r="O709" s="88" t="s">
        <v>210</v>
      </c>
      <c r="P709" s="87" t="s">
        <v>107</v>
      </c>
      <c r="Q709" s="87">
        <v>12</v>
      </c>
      <c r="R709" s="69" t="s">
        <v>359</v>
      </c>
      <c r="S709" s="237">
        <v>4607958077908</v>
      </c>
      <c r="T709" s="332">
        <v>14607958077905</v>
      </c>
      <c r="U709" s="46">
        <v>4607958077908</v>
      </c>
      <c r="V709" s="46">
        <v>14607958077905</v>
      </c>
      <c r="W709" s="258">
        <v>190</v>
      </c>
      <c r="X709" s="68">
        <v>144</v>
      </c>
      <c r="Y709" s="68">
        <v>50</v>
      </c>
      <c r="Z709" s="65">
        <v>0.4</v>
      </c>
      <c r="AA709" s="271">
        <v>1.7999999999999999E-2</v>
      </c>
      <c r="AB709" s="66">
        <f t="shared" si="970"/>
        <v>0.41800000000000004</v>
      </c>
      <c r="AC709" s="59">
        <v>378</v>
      </c>
      <c r="AD709" s="60">
        <v>156</v>
      </c>
      <c r="AE709" s="68">
        <v>111</v>
      </c>
      <c r="AF709" s="191">
        <v>4</v>
      </c>
      <c r="AG709" s="117">
        <v>600000220</v>
      </c>
      <c r="AH709" s="104">
        <f>справочники!$C$49</f>
        <v>0.105</v>
      </c>
      <c r="AI709" s="61">
        <f t="shared" si="946"/>
        <v>1.6</v>
      </c>
      <c r="AJ709" s="142">
        <f t="shared" si="947"/>
        <v>1.7770000000000001</v>
      </c>
      <c r="AK709" s="158">
        <v>15</v>
      </c>
      <c r="AL709" s="38">
        <v>14</v>
      </c>
      <c r="AM709" s="40">
        <f t="shared" si="969"/>
        <v>210</v>
      </c>
      <c r="AN709" s="206">
        <f t="shared" si="972"/>
        <v>840</v>
      </c>
      <c r="AO709" s="204">
        <f t="shared" si="954"/>
        <v>1699</v>
      </c>
    </row>
    <row r="710" spans="1:41" ht="127.5" x14ac:dyDescent="0.2">
      <c r="A710" s="22">
        <f t="shared" si="973"/>
        <v>6850</v>
      </c>
      <c r="B710" s="80">
        <v>1003172906850</v>
      </c>
      <c r="C710" s="48" t="s">
        <v>827</v>
      </c>
      <c r="D710" s="87" t="s">
        <v>4</v>
      </c>
      <c r="E710" s="146" t="s">
        <v>919</v>
      </c>
      <c r="F710" s="112" t="s">
        <v>1932</v>
      </c>
      <c r="G710" s="224" t="s">
        <v>520</v>
      </c>
      <c r="H710" s="87" t="s">
        <v>358</v>
      </c>
      <c r="I710" s="155" t="s">
        <v>377</v>
      </c>
      <c r="J710" s="150" t="s">
        <v>447</v>
      </c>
      <c r="K710" s="51" t="s">
        <v>828</v>
      </c>
      <c r="L710" s="52">
        <v>10</v>
      </c>
      <c r="M710" s="53">
        <v>30</v>
      </c>
      <c r="N710" s="53"/>
      <c r="O710" s="88" t="s">
        <v>601</v>
      </c>
      <c r="P710" s="87" t="s">
        <v>107</v>
      </c>
      <c r="Q710" s="87">
        <v>12</v>
      </c>
      <c r="R710" s="69" t="s">
        <v>359</v>
      </c>
      <c r="S710" s="237">
        <v>4607958077748</v>
      </c>
      <c r="T710" s="332">
        <v>14607958077745</v>
      </c>
      <c r="U710" s="46">
        <v>4607958077748</v>
      </c>
      <c r="V710" s="46">
        <v>14607958077745</v>
      </c>
      <c r="W710" s="258">
        <v>190</v>
      </c>
      <c r="X710" s="68">
        <v>144</v>
      </c>
      <c r="Y710" s="68">
        <v>50</v>
      </c>
      <c r="Z710" s="65">
        <v>0.4</v>
      </c>
      <c r="AA710" s="271">
        <v>1.7999999999999999E-2</v>
      </c>
      <c r="AB710" s="66">
        <f t="shared" si="970"/>
        <v>0.41800000000000004</v>
      </c>
      <c r="AC710" s="59">
        <v>378</v>
      </c>
      <c r="AD710" s="60">
        <v>156</v>
      </c>
      <c r="AE710" s="68">
        <v>111</v>
      </c>
      <c r="AF710" s="191">
        <v>4</v>
      </c>
      <c r="AG710" s="117">
        <v>600000220</v>
      </c>
      <c r="AH710" s="104">
        <f>справочники!$C$49</f>
        <v>0.105</v>
      </c>
      <c r="AI710" s="61">
        <f t="shared" si="946"/>
        <v>1.6</v>
      </c>
      <c r="AJ710" s="142">
        <f t="shared" si="947"/>
        <v>1.7770000000000001</v>
      </c>
      <c r="AK710" s="158">
        <v>15</v>
      </c>
      <c r="AL710" s="38">
        <v>14</v>
      </c>
      <c r="AM710" s="40">
        <f t="shared" si="969"/>
        <v>210</v>
      </c>
      <c r="AN710" s="206">
        <f t="shared" si="972"/>
        <v>840</v>
      </c>
      <c r="AO710" s="204">
        <f t="shared" si="954"/>
        <v>1699</v>
      </c>
    </row>
    <row r="711" spans="1:41" ht="127.5" x14ac:dyDescent="0.2">
      <c r="A711" s="22">
        <f t="shared" si="973"/>
        <v>5305</v>
      </c>
      <c r="B711" s="80">
        <v>1003174025305</v>
      </c>
      <c r="C711" s="48" t="s">
        <v>206</v>
      </c>
      <c r="D711" s="87" t="s">
        <v>4</v>
      </c>
      <c r="E711" s="146" t="s">
        <v>919</v>
      </c>
      <c r="F711" s="112" t="s">
        <v>1932</v>
      </c>
      <c r="G711" s="224" t="s">
        <v>520</v>
      </c>
      <c r="H711" s="87" t="s">
        <v>358</v>
      </c>
      <c r="I711" s="155" t="s">
        <v>1225</v>
      </c>
      <c r="J711" s="150" t="s">
        <v>445</v>
      </c>
      <c r="K711" s="51" t="s">
        <v>1490</v>
      </c>
      <c r="L711" s="52">
        <v>13</v>
      </c>
      <c r="M711" s="53">
        <v>23</v>
      </c>
      <c r="N711" s="53">
        <v>1</v>
      </c>
      <c r="O711" s="88" t="s">
        <v>1491</v>
      </c>
      <c r="P711" s="87" t="s">
        <v>107</v>
      </c>
      <c r="Q711" s="87">
        <v>15</v>
      </c>
      <c r="R711" s="69" t="s">
        <v>359</v>
      </c>
      <c r="S711" s="237">
        <v>4607958071869</v>
      </c>
      <c r="T711" s="332">
        <v>14607958071866</v>
      </c>
      <c r="U711" s="46">
        <v>4607958071869</v>
      </c>
      <c r="V711" s="46">
        <v>14607958071866</v>
      </c>
      <c r="W711" s="258">
        <v>190</v>
      </c>
      <c r="X711" s="68">
        <v>144</v>
      </c>
      <c r="Y711" s="68">
        <v>50</v>
      </c>
      <c r="Z711" s="65">
        <v>0.4</v>
      </c>
      <c r="AA711" s="271">
        <v>1.7000000000000001E-2</v>
      </c>
      <c r="AB711" s="66">
        <f t="shared" si="953"/>
        <v>0.41700000000000004</v>
      </c>
      <c r="AC711" s="59">
        <v>378</v>
      </c>
      <c r="AD711" s="60">
        <v>156</v>
      </c>
      <c r="AE711" s="68">
        <v>111</v>
      </c>
      <c r="AF711" s="191">
        <v>4</v>
      </c>
      <c r="AG711" s="117">
        <v>600000220</v>
      </c>
      <c r="AH711" s="104">
        <f>справочники!$C$49</f>
        <v>0.105</v>
      </c>
      <c r="AI711" s="61">
        <f t="shared" si="946"/>
        <v>1.6</v>
      </c>
      <c r="AJ711" s="142">
        <f t="shared" si="947"/>
        <v>1.7730000000000001</v>
      </c>
      <c r="AK711" s="158">
        <v>15</v>
      </c>
      <c r="AL711" s="38">
        <v>14</v>
      </c>
      <c r="AM711" s="40">
        <f t="shared" si="948"/>
        <v>210</v>
      </c>
      <c r="AN711" s="206">
        <f t="shared" si="949"/>
        <v>840</v>
      </c>
      <c r="AO711" s="204">
        <f t="shared" si="954"/>
        <v>1699</v>
      </c>
    </row>
    <row r="712" spans="1:41" ht="56.25" x14ac:dyDescent="0.2">
      <c r="A712" s="22">
        <f t="shared" si="973"/>
        <v>5439</v>
      </c>
      <c r="B712" s="80">
        <v>1003171355439</v>
      </c>
      <c r="C712" s="48" t="s">
        <v>125</v>
      </c>
      <c r="D712" s="87" t="s">
        <v>3</v>
      </c>
      <c r="E712" s="146" t="s">
        <v>919</v>
      </c>
      <c r="F712" s="112" t="s">
        <v>1933</v>
      </c>
      <c r="G712" s="224" t="s">
        <v>2</v>
      </c>
      <c r="H712" s="87" t="s">
        <v>358</v>
      </c>
      <c r="I712" s="155" t="s">
        <v>1225</v>
      </c>
      <c r="J712" s="150" t="s">
        <v>1647</v>
      </c>
      <c r="K712" s="51" t="s">
        <v>140</v>
      </c>
      <c r="L712" s="52">
        <v>21</v>
      </c>
      <c r="M712" s="53">
        <v>5</v>
      </c>
      <c r="N712" s="53">
        <v>0</v>
      </c>
      <c r="O712" s="88" t="s">
        <v>236</v>
      </c>
      <c r="P712" s="87" t="s">
        <v>107</v>
      </c>
      <c r="Q712" s="87">
        <v>21</v>
      </c>
      <c r="R712" s="69" t="s">
        <v>28</v>
      </c>
      <c r="S712" s="239">
        <v>2978320000001</v>
      </c>
      <c r="T712" s="344">
        <v>12978320000008</v>
      </c>
      <c r="U712" s="46"/>
      <c r="V712" s="46"/>
      <c r="W712" s="258"/>
      <c r="X712" s="68"/>
      <c r="Y712" s="68"/>
      <c r="Z712" s="65">
        <v>1.6</v>
      </c>
      <c r="AA712" s="271">
        <v>0.04</v>
      </c>
      <c r="AB712" s="66">
        <f t="shared" si="953"/>
        <v>1.6400000000000001</v>
      </c>
      <c r="AC712" s="59">
        <v>390</v>
      </c>
      <c r="AD712" s="60">
        <v>294</v>
      </c>
      <c r="AE712" s="60">
        <v>150</v>
      </c>
      <c r="AF712" s="191">
        <v>5</v>
      </c>
      <c r="AG712" s="117">
        <v>600000280</v>
      </c>
      <c r="AH712" s="104">
        <f>справочники!$C$57</f>
        <v>0.371</v>
      </c>
      <c r="AI712" s="61">
        <f t="shared" si="946"/>
        <v>8</v>
      </c>
      <c r="AJ712" s="142">
        <f t="shared" si="947"/>
        <v>8.5710000000000015</v>
      </c>
      <c r="AK712" s="158">
        <v>8</v>
      </c>
      <c r="AL712" s="38">
        <v>10</v>
      </c>
      <c r="AM712" s="40">
        <f t="shared" si="948"/>
        <v>80</v>
      </c>
      <c r="AN712" s="214">
        <f t="shared" si="949"/>
        <v>640</v>
      </c>
      <c r="AO712" s="204">
        <f t="shared" si="954"/>
        <v>1645</v>
      </c>
    </row>
    <row r="713" spans="1:41" ht="56.25" x14ac:dyDescent="0.2">
      <c r="A713" s="22">
        <f t="shared" si="973"/>
        <v>5350</v>
      </c>
      <c r="B713" s="80">
        <v>1003171355350</v>
      </c>
      <c r="C713" s="48" t="s">
        <v>572</v>
      </c>
      <c r="D713" s="87" t="s">
        <v>3</v>
      </c>
      <c r="E713" s="146" t="s">
        <v>919</v>
      </c>
      <c r="F713" s="112" t="s">
        <v>1933</v>
      </c>
      <c r="G713" s="224" t="s">
        <v>2</v>
      </c>
      <c r="H713" s="87" t="s">
        <v>358</v>
      </c>
      <c r="I713" s="155" t="s">
        <v>1225</v>
      </c>
      <c r="J713" s="150" t="s">
        <v>1647</v>
      </c>
      <c r="K713" s="51" t="s">
        <v>140</v>
      </c>
      <c r="L713" s="52">
        <v>21</v>
      </c>
      <c r="M713" s="53">
        <v>5</v>
      </c>
      <c r="N713" s="53">
        <v>0</v>
      </c>
      <c r="O713" s="88" t="s">
        <v>236</v>
      </c>
      <c r="P713" s="87" t="s">
        <v>107</v>
      </c>
      <c r="Q713" s="87">
        <v>21</v>
      </c>
      <c r="R713" s="69" t="s">
        <v>28</v>
      </c>
      <c r="S713" s="239">
        <v>2952460000008</v>
      </c>
      <c r="T713" s="344">
        <v>12952460000005</v>
      </c>
      <c r="U713" s="46"/>
      <c r="V713" s="46"/>
      <c r="W713" s="258">
        <v>395</v>
      </c>
      <c r="X713" s="68">
        <v>195</v>
      </c>
      <c r="Y713" s="68">
        <v>45</v>
      </c>
      <c r="Z713" s="65">
        <v>1.07</v>
      </c>
      <c r="AA713" s="271">
        <v>0.04</v>
      </c>
      <c r="AB713" s="66">
        <f t="shared" si="953"/>
        <v>1.1100000000000001</v>
      </c>
      <c r="AC713" s="59">
        <v>390</v>
      </c>
      <c r="AD713" s="60">
        <v>294</v>
      </c>
      <c r="AE713" s="60">
        <v>150</v>
      </c>
      <c r="AF713" s="191">
        <v>5</v>
      </c>
      <c r="AG713" s="117">
        <v>600000280</v>
      </c>
      <c r="AH713" s="104">
        <f>справочники!$C$57</f>
        <v>0.371</v>
      </c>
      <c r="AI713" s="61">
        <f t="shared" si="946"/>
        <v>5.35</v>
      </c>
      <c r="AJ713" s="142">
        <f t="shared" si="947"/>
        <v>5.9210000000000012</v>
      </c>
      <c r="AK713" s="158">
        <v>8</v>
      </c>
      <c r="AL713" s="38">
        <v>10</v>
      </c>
      <c r="AM713" s="40">
        <f t="shared" si="948"/>
        <v>80</v>
      </c>
      <c r="AN713" s="214">
        <f t="shared" si="949"/>
        <v>428</v>
      </c>
      <c r="AO713" s="204">
        <f t="shared" si="954"/>
        <v>1645</v>
      </c>
    </row>
    <row r="714" spans="1:41" ht="56.25" x14ac:dyDescent="0.2">
      <c r="A714" s="22">
        <f t="shared" si="973"/>
        <v>6416</v>
      </c>
      <c r="B714" s="80">
        <v>1003171356416</v>
      </c>
      <c r="C714" s="48" t="s">
        <v>516</v>
      </c>
      <c r="D714" s="87" t="s">
        <v>3</v>
      </c>
      <c r="E714" s="146" t="s">
        <v>919</v>
      </c>
      <c r="F714" s="112" t="s">
        <v>1933</v>
      </c>
      <c r="G714" s="224" t="s">
        <v>2</v>
      </c>
      <c r="H714" s="87" t="s">
        <v>358</v>
      </c>
      <c r="I714" s="155" t="s">
        <v>1225</v>
      </c>
      <c r="J714" s="150" t="s">
        <v>1647</v>
      </c>
      <c r="K714" s="51" t="s">
        <v>140</v>
      </c>
      <c r="L714" s="52">
        <v>21</v>
      </c>
      <c r="M714" s="53">
        <v>5</v>
      </c>
      <c r="N714" s="53">
        <v>0</v>
      </c>
      <c r="O714" s="88" t="s">
        <v>236</v>
      </c>
      <c r="P714" s="87" t="s">
        <v>107</v>
      </c>
      <c r="Q714" s="87">
        <v>21</v>
      </c>
      <c r="R714" s="69" t="s">
        <v>28</v>
      </c>
      <c r="S714" s="239">
        <v>2438573000000</v>
      </c>
      <c r="T714" s="344">
        <v>12438573000007</v>
      </c>
      <c r="U714" s="46"/>
      <c r="V714" s="46"/>
      <c r="W714" s="258"/>
      <c r="X714" s="68"/>
      <c r="Y714" s="68"/>
      <c r="Z714" s="65">
        <v>1.3</v>
      </c>
      <c r="AA714" s="271">
        <v>0.04</v>
      </c>
      <c r="AB714" s="66">
        <f t="shared" si="953"/>
        <v>1.34</v>
      </c>
      <c r="AC714" s="59">
        <v>390</v>
      </c>
      <c r="AD714" s="60">
        <v>294</v>
      </c>
      <c r="AE714" s="60">
        <v>150</v>
      </c>
      <c r="AF714" s="191">
        <v>5</v>
      </c>
      <c r="AG714" s="117">
        <v>600000280</v>
      </c>
      <c r="AH714" s="104">
        <f>справочники!$C$57</f>
        <v>0.371</v>
      </c>
      <c r="AI714" s="61">
        <f t="shared" si="946"/>
        <v>6.5</v>
      </c>
      <c r="AJ714" s="142">
        <f t="shared" si="947"/>
        <v>7.0709999999999997</v>
      </c>
      <c r="AK714" s="158">
        <v>8</v>
      </c>
      <c r="AL714" s="38">
        <v>10</v>
      </c>
      <c r="AM714" s="40">
        <f>AK714*AL714</f>
        <v>80</v>
      </c>
      <c r="AN714" s="214">
        <f t="shared" si="949"/>
        <v>520</v>
      </c>
      <c r="AO714" s="204">
        <f t="shared" si="954"/>
        <v>1645</v>
      </c>
    </row>
    <row r="715" spans="1:41" ht="55.5" customHeight="1" x14ac:dyDescent="0.2">
      <c r="A715" s="22">
        <f t="shared" si="973"/>
        <v>5348</v>
      </c>
      <c r="B715" s="80">
        <v>1003171355348</v>
      </c>
      <c r="C715" s="48" t="s">
        <v>1806</v>
      </c>
      <c r="D715" s="87" t="s">
        <v>3</v>
      </c>
      <c r="E715" s="146" t="s">
        <v>919</v>
      </c>
      <c r="F715" s="112" t="s">
        <v>1933</v>
      </c>
      <c r="G715" s="224" t="s">
        <v>2</v>
      </c>
      <c r="H715" s="87" t="s">
        <v>358</v>
      </c>
      <c r="I715" s="155" t="s">
        <v>1225</v>
      </c>
      <c r="J715" s="150" t="s">
        <v>1647</v>
      </c>
      <c r="K715" s="51" t="s">
        <v>140</v>
      </c>
      <c r="L715" s="52">
        <v>21</v>
      </c>
      <c r="M715" s="53">
        <v>5</v>
      </c>
      <c r="N715" s="53">
        <v>0</v>
      </c>
      <c r="O715" s="88" t="s">
        <v>236</v>
      </c>
      <c r="P715" s="87" t="s">
        <v>107</v>
      </c>
      <c r="Q715" s="87">
        <v>21</v>
      </c>
      <c r="R715" s="69" t="s">
        <v>28</v>
      </c>
      <c r="S715" s="239">
        <v>2368468000009</v>
      </c>
      <c r="T715" s="344">
        <v>12368468000006</v>
      </c>
      <c r="U715" s="46"/>
      <c r="V715" s="46"/>
      <c r="W715" s="258">
        <v>395</v>
      </c>
      <c r="X715" s="68">
        <v>195</v>
      </c>
      <c r="Y715" s="68">
        <v>45</v>
      </c>
      <c r="Z715" s="65">
        <v>1.06</v>
      </c>
      <c r="AA715" s="271">
        <v>0.04</v>
      </c>
      <c r="AB715" s="66">
        <f t="shared" si="953"/>
        <v>1.1000000000000001</v>
      </c>
      <c r="AC715" s="59">
        <v>390</v>
      </c>
      <c r="AD715" s="60">
        <v>294</v>
      </c>
      <c r="AE715" s="60">
        <v>150</v>
      </c>
      <c r="AF715" s="191">
        <v>5</v>
      </c>
      <c r="AG715" s="117">
        <v>600000280</v>
      </c>
      <c r="AH715" s="104">
        <f>справочники!$C$57</f>
        <v>0.371</v>
      </c>
      <c r="AI715" s="61">
        <f t="shared" si="946"/>
        <v>5.3</v>
      </c>
      <c r="AJ715" s="142">
        <f t="shared" si="947"/>
        <v>5.8710000000000004</v>
      </c>
      <c r="AK715" s="158">
        <v>8</v>
      </c>
      <c r="AL715" s="38">
        <v>10</v>
      </c>
      <c r="AM715" s="40">
        <f t="shared" si="948"/>
        <v>80</v>
      </c>
      <c r="AN715" s="214">
        <f t="shared" si="949"/>
        <v>424</v>
      </c>
      <c r="AO715" s="204">
        <f t="shared" si="954"/>
        <v>1645</v>
      </c>
    </row>
    <row r="716" spans="1:41" ht="56.25" x14ac:dyDescent="0.2">
      <c r="A716" s="22">
        <f t="shared" si="973"/>
        <v>5358</v>
      </c>
      <c r="B716" s="80">
        <v>1003171415358</v>
      </c>
      <c r="C716" s="48" t="s">
        <v>81</v>
      </c>
      <c r="D716" s="87" t="s">
        <v>3</v>
      </c>
      <c r="E716" s="146" t="s">
        <v>919</v>
      </c>
      <c r="F716" s="112" t="s">
        <v>1933</v>
      </c>
      <c r="G716" s="224" t="s">
        <v>2</v>
      </c>
      <c r="H716" s="87" t="s">
        <v>358</v>
      </c>
      <c r="I716" s="155" t="s">
        <v>1225</v>
      </c>
      <c r="J716" s="150" t="s">
        <v>1648</v>
      </c>
      <c r="K716" s="51" t="s">
        <v>140</v>
      </c>
      <c r="L716" s="52">
        <v>14</v>
      </c>
      <c r="M716" s="53">
        <v>35</v>
      </c>
      <c r="N716" s="53">
        <v>0</v>
      </c>
      <c r="O716" s="88" t="s">
        <v>557</v>
      </c>
      <c r="P716" s="87" t="s">
        <v>107</v>
      </c>
      <c r="Q716" s="87">
        <v>21</v>
      </c>
      <c r="R716" s="69" t="s">
        <v>28</v>
      </c>
      <c r="S716" s="239">
        <v>2994000000000</v>
      </c>
      <c r="T716" s="344">
        <v>12994000000007</v>
      </c>
      <c r="U716" s="46"/>
      <c r="V716" s="46"/>
      <c r="W716" s="258">
        <v>190</v>
      </c>
      <c r="X716" s="68">
        <v>150</v>
      </c>
      <c r="Y716" s="68">
        <v>50</v>
      </c>
      <c r="Z716" s="65">
        <v>0.88400000000000001</v>
      </c>
      <c r="AA716" s="271">
        <v>8.0000000000000002E-3</v>
      </c>
      <c r="AB716" s="66">
        <f t="shared" si="953"/>
        <v>0.89200000000000002</v>
      </c>
      <c r="AC716" s="59">
        <v>390</v>
      </c>
      <c r="AD716" s="60">
        <v>294</v>
      </c>
      <c r="AE716" s="60">
        <v>150</v>
      </c>
      <c r="AF716" s="191">
        <v>6</v>
      </c>
      <c r="AG716" s="117">
        <v>600000280</v>
      </c>
      <c r="AH716" s="104">
        <f>справочники!$C$57</f>
        <v>0.371</v>
      </c>
      <c r="AI716" s="61">
        <f t="shared" si="946"/>
        <v>5.3</v>
      </c>
      <c r="AJ716" s="143">
        <f t="shared" si="947"/>
        <v>5.7230000000000008</v>
      </c>
      <c r="AK716" s="158">
        <v>8</v>
      </c>
      <c r="AL716" s="38">
        <v>10</v>
      </c>
      <c r="AM716" s="40">
        <f t="shared" si="948"/>
        <v>80</v>
      </c>
      <c r="AN716" s="214">
        <f t="shared" si="949"/>
        <v>424</v>
      </c>
      <c r="AO716" s="204">
        <f t="shared" si="954"/>
        <v>1645</v>
      </c>
    </row>
    <row r="717" spans="1:41" ht="56.25" x14ac:dyDescent="0.2">
      <c r="A717" s="22">
        <f t="shared" si="973"/>
        <v>5750</v>
      </c>
      <c r="B717" s="80">
        <v>1003171415750</v>
      </c>
      <c r="C717" s="48" t="s">
        <v>246</v>
      </c>
      <c r="D717" s="87" t="s">
        <v>3</v>
      </c>
      <c r="E717" s="146" t="s">
        <v>919</v>
      </c>
      <c r="F717" s="112" t="s">
        <v>1933</v>
      </c>
      <c r="G717" s="224" t="s">
        <v>2</v>
      </c>
      <c r="H717" s="87" t="s">
        <v>358</v>
      </c>
      <c r="I717" s="155" t="s">
        <v>1225</v>
      </c>
      <c r="J717" s="150" t="s">
        <v>1648</v>
      </c>
      <c r="K717" s="51" t="s">
        <v>140</v>
      </c>
      <c r="L717" s="52">
        <v>14</v>
      </c>
      <c r="M717" s="53">
        <v>35</v>
      </c>
      <c r="N717" s="53">
        <v>0</v>
      </c>
      <c r="O717" s="88" t="s">
        <v>557</v>
      </c>
      <c r="P717" s="87" t="s">
        <v>107</v>
      </c>
      <c r="Q717" s="87">
        <v>21</v>
      </c>
      <c r="R717" s="69" t="s">
        <v>28</v>
      </c>
      <c r="S717" s="239">
        <v>2814715000006</v>
      </c>
      <c r="T717" s="344">
        <v>12814715000003</v>
      </c>
      <c r="U717" s="46"/>
      <c r="V717" s="46"/>
      <c r="W717" s="258">
        <v>190</v>
      </c>
      <c r="X717" s="68">
        <v>150</v>
      </c>
      <c r="Y717" s="68">
        <v>50</v>
      </c>
      <c r="Z717" s="65">
        <v>0.9</v>
      </c>
      <c r="AA717" s="271">
        <v>8.0000000000000002E-3</v>
      </c>
      <c r="AB717" s="66">
        <f t="shared" si="953"/>
        <v>0.90800000000000003</v>
      </c>
      <c r="AC717" s="59">
        <v>390</v>
      </c>
      <c r="AD717" s="60">
        <v>294</v>
      </c>
      <c r="AE717" s="60">
        <v>150</v>
      </c>
      <c r="AF717" s="191">
        <v>6</v>
      </c>
      <c r="AG717" s="117">
        <v>600000280</v>
      </c>
      <c r="AH717" s="104">
        <f>справочники!$C$57</f>
        <v>0.371</v>
      </c>
      <c r="AI717" s="61">
        <f t="shared" si="946"/>
        <v>5.4</v>
      </c>
      <c r="AJ717" s="143">
        <f t="shared" si="947"/>
        <v>5.8190000000000008</v>
      </c>
      <c r="AK717" s="158">
        <v>8</v>
      </c>
      <c r="AL717" s="38">
        <v>10</v>
      </c>
      <c r="AM717" s="40">
        <f t="shared" si="948"/>
        <v>80</v>
      </c>
      <c r="AN717" s="214">
        <f t="shared" si="949"/>
        <v>432</v>
      </c>
      <c r="AO717" s="204">
        <f t="shared" si="954"/>
        <v>1645</v>
      </c>
    </row>
    <row r="718" spans="1:41" ht="56.25" x14ac:dyDescent="0.2">
      <c r="A718" s="22">
        <f t="shared" si="973"/>
        <v>5357</v>
      </c>
      <c r="B718" s="80">
        <v>1003171415357</v>
      </c>
      <c r="C718" s="48" t="s">
        <v>309</v>
      </c>
      <c r="D718" s="87" t="s">
        <v>3</v>
      </c>
      <c r="E718" s="146" t="s">
        <v>919</v>
      </c>
      <c r="F718" s="112" t="s">
        <v>1933</v>
      </c>
      <c r="G718" s="224" t="s">
        <v>2</v>
      </c>
      <c r="H718" s="87" t="s">
        <v>358</v>
      </c>
      <c r="I718" s="155" t="s">
        <v>1225</v>
      </c>
      <c r="J718" s="150" t="s">
        <v>1648</v>
      </c>
      <c r="K718" s="51" t="s">
        <v>140</v>
      </c>
      <c r="L718" s="52">
        <v>14</v>
      </c>
      <c r="M718" s="53">
        <v>35</v>
      </c>
      <c r="N718" s="53">
        <v>0</v>
      </c>
      <c r="O718" s="88" t="s">
        <v>557</v>
      </c>
      <c r="P718" s="87" t="s">
        <v>107</v>
      </c>
      <c r="Q718" s="87">
        <v>21</v>
      </c>
      <c r="R718" s="69" t="s">
        <v>28</v>
      </c>
      <c r="S718" s="239">
        <v>2909250000007</v>
      </c>
      <c r="T718" s="344">
        <v>12909250000004</v>
      </c>
      <c r="U718" s="46"/>
      <c r="V718" s="46"/>
      <c r="W718" s="258">
        <v>190</v>
      </c>
      <c r="X718" s="68">
        <v>150</v>
      </c>
      <c r="Y718" s="68">
        <v>50</v>
      </c>
      <c r="Z718" s="65">
        <v>0.96699999999999997</v>
      </c>
      <c r="AA718" s="271">
        <v>8.0000000000000002E-3</v>
      </c>
      <c r="AB718" s="66">
        <f t="shared" si="953"/>
        <v>0.97499999999999998</v>
      </c>
      <c r="AC718" s="59">
        <v>390</v>
      </c>
      <c r="AD718" s="60">
        <v>294</v>
      </c>
      <c r="AE718" s="60">
        <v>150</v>
      </c>
      <c r="AF718" s="191">
        <v>6</v>
      </c>
      <c r="AG718" s="117">
        <v>600000280</v>
      </c>
      <c r="AH718" s="104">
        <f>справочники!$C$57</f>
        <v>0.371</v>
      </c>
      <c r="AI718" s="61">
        <f t="shared" si="946"/>
        <v>5.8</v>
      </c>
      <c r="AJ718" s="143">
        <f t="shared" si="947"/>
        <v>6.2210000000000001</v>
      </c>
      <c r="AK718" s="158">
        <v>8</v>
      </c>
      <c r="AL718" s="38">
        <v>10</v>
      </c>
      <c r="AM718" s="40">
        <f t="shared" si="948"/>
        <v>80</v>
      </c>
      <c r="AN718" s="214">
        <f t="shared" si="949"/>
        <v>464</v>
      </c>
      <c r="AO718" s="204">
        <f t="shared" si="954"/>
        <v>1645</v>
      </c>
    </row>
    <row r="719" spans="1:41" ht="56.25" x14ac:dyDescent="0.2">
      <c r="A719" s="22">
        <f t="shared" si="973"/>
        <v>6183</v>
      </c>
      <c r="B719" s="80">
        <v>1003171416183</v>
      </c>
      <c r="C719" s="48" t="s">
        <v>312</v>
      </c>
      <c r="D719" s="87" t="s">
        <v>3</v>
      </c>
      <c r="E719" s="146" t="s">
        <v>919</v>
      </c>
      <c r="F719" s="112" t="s">
        <v>1933</v>
      </c>
      <c r="G719" s="224" t="s">
        <v>2</v>
      </c>
      <c r="H719" s="87" t="s">
        <v>358</v>
      </c>
      <c r="I719" s="155" t="s">
        <v>1225</v>
      </c>
      <c r="J719" s="150" t="s">
        <v>1648</v>
      </c>
      <c r="K719" s="51" t="s">
        <v>140</v>
      </c>
      <c r="L719" s="52">
        <v>14</v>
      </c>
      <c r="M719" s="53">
        <v>35</v>
      </c>
      <c r="N719" s="53">
        <v>0</v>
      </c>
      <c r="O719" s="88" t="s">
        <v>557</v>
      </c>
      <c r="P719" s="87" t="s">
        <v>107</v>
      </c>
      <c r="Q719" s="87">
        <v>21</v>
      </c>
      <c r="R719" s="69" t="s">
        <v>28</v>
      </c>
      <c r="S719" s="239">
        <v>2354513000001</v>
      </c>
      <c r="T719" s="344">
        <v>12354513000008</v>
      </c>
      <c r="U719" s="46"/>
      <c r="V719" s="46"/>
      <c r="W719" s="258">
        <v>190</v>
      </c>
      <c r="X719" s="68">
        <v>150</v>
      </c>
      <c r="Y719" s="68">
        <v>50</v>
      </c>
      <c r="Z719" s="65">
        <v>1</v>
      </c>
      <c r="AA719" s="271">
        <v>8.0000000000000002E-3</v>
      </c>
      <c r="AB719" s="66">
        <f t="shared" si="953"/>
        <v>1.008</v>
      </c>
      <c r="AC719" s="59">
        <v>390</v>
      </c>
      <c r="AD719" s="60">
        <v>294</v>
      </c>
      <c r="AE719" s="60">
        <v>150</v>
      </c>
      <c r="AF719" s="191">
        <v>6</v>
      </c>
      <c r="AG719" s="117">
        <v>600000280</v>
      </c>
      <c r="AH719" s="104">
        <f>справочники!$C$57</f>
        <v>0.371</v>
      </c>
      <c r="AI719" s="61">
        <f t="shared" si="946"/>
        <v>6</v>
      </c>
      <c r="AJ719" s="143">
        <f t="shared" si="947"/>
        <v>6.4190000000000005</v>
      </c>
      <c r="AK719" s="158">
        <v>8</v>
      </c>
      <c r="AL719" s="38">
        <v>10</v>
      </c>
      <c r="AM719" s="40">
        <f t="shared" si="948"/>
        <v>80</v>
      </c>
      <c r="AN719" s="214">
        <f t="shared" si="949"/>
        <v>480</v>
      </c>
      <c r="AO719" s="204">
        <f t="shared" si="954"/>
        <v>1645</v>
      </c>
    </row>
    <row r="720" spans="1:41" ht="56.25" x14ac:dyDescent="0.2">
      <c r="A720" s="22">
        <f t="shared" si="973"/>
        <v>6553</v>
      </c>
      <c r="B720" s="80">
        <v>1003171416553</v>
      </c>
      <c r="C720" s="48" t="s">
        <v>605</v>
      </c>
      <c r="D720" s="87" t="s">
        <v>3</v>
      </c>
      <c r="E720" s="146" t="s">
        <v>919</v>
      </c>
      <c r="F720" s="112" t="s">
        <v>1933</v>
      </c>
      <c r="G720" s="224" t="s">
        <v>2</v>
      </c>
      <c r="H720" s="87" t="s">
        <v>358</v>
      </c>
      <c r="I720" s="155" t="s">
        <v>1225</v>
      </c>
      <c r="J720" s="150" t="s">
        <v>1648</v>
      </c>
      <c r="K720" s="51" t="s">
        <v>140</v>
      </c>
      <c r="L720" s="52">
        <v>14</v>
      </c>
      <c r="M720" s="53">
        <v>35</v>
      </c>
      <c r="N720" s="53">
        <v>0</v>
      </c>
      <c r="O720" s="88" t="s">
        <v>557</v>
      </c>
      <c r="P720" s="87" t="s">
        <v>107</v>
      </c>
      <c r="Q720" s="87">
        <v>21</v>
      </c>
      <c r="R720" s="69" t="s">
        <v>28</v>
      </c>
      <c r="S720" s="239">
        <v>2313735000008</v>
      </c>
      <c r="T720" s="344">
        <v>12313735000005</v>
      </c>
      <c r="U720" s="46"/>
      <c r="V720" s="46"/>
      <c r="W720" s="258">
        <v>190</v>
      </c>
      <c r="X720" s="68">
        <v>150</v>
      </c>
      <c r="Y720" s="68">
        <v>50</v>
      </c>
      <c r="Z720" s="65">
        <v>1</v>
      </c>
      <c r="AA720" s="271">
        <v>8.0000000000000002E-3</v>
      </c>
      <c r="AB720" s="66">
        <f>Z720+AA720</f>
        <v>1.008</v>
      </c>
      <c r="AC720" s="59">
        <v>390</v>
      </c>
      <c r="AD720" s="60">
        <v>294</v>
      </c>
      <c r="AE720" s="60">
        <v>150</v>
      </c>
      <c r="AF720" s="191">
        <v>6</v>
      </c>
      <c r="AG720" s="117">
        <v>600000280</v>
      </c>
      <c r="AH720" s="104">
        <f>справочники!$C$57</f>
        <v>0.371</v>
      </c>
      <c r="AI720" s="61">
        <f t="shared" si="946"/>
        <v>6</v>
      </c>
      <c r="AJ720" s="143">
        <f t="shared" si="947"/>
        <v>6.4190000000000005</v>
      </c>
      <c r="AK720" s="158">
        <v>8</v>
      </c>
      <c r="AL720" s="38">
        <v>10</v>
      </c>
      <c r="AM720" s="40">
        <f>AK720*AL720</f>
        <v>80</v>
      </c>
      <c r="AN720" s="214">
        <f>IF(D720="ШТ",кол_во_инд.__упак_к*итого_г_у,ROUNDDOWN(номин.вес_нетто_г_у__кг*итого_г_у,1))</f>
        <v>480</v>
      </c>
      <c r="AO720" s="204">
        <f t="shared" si="954"/>
        <v>1645</v>
      </c>
    </row>
    <row r="721" spans="1:41" ht="56.25" x14ac:dyDescent="0.2">
      <c r="A721" s="22">
        <f t="shared" si="973"/>
        <v>5365</v>
      </c>
      <c r="B721" s="80">
        <v>1003171455365</v>
      </c>
      <c r="C721" s="48" t="s">
        <v>613</v>
      </c>
      <c r="D721" s="87" t="s">
        <v>3</v>
      </c>
      <c r="E721" s="146" t="s">
        <v>919</v>
      </c>
      <c r="F721" s="112" t="s">
        <v>1933</v>
      </c>
      <c r="G721" s="224" t="s">
        <v>2</v>
      </c>
      <c r="H721" s="87" t="s">
        <v>358</v>
      </c>
      <c r="I721" s="155" t="s">
        <v>1225</v>
      </c>
      <c r="J721" s="150" t="s">
        <v>1647</v>
      </c>
      <c r="K721" s="51" t="s">
        <v>140</v>
      </c>
      <c r="L721" s="52">
        <v>19</v>
      </c>
      <c r="M721" s="53">
        <v>12</v>
      </c>
      <c r="N721" s="53">
        <v>0</v>
      </c>
      <c r="O721" s="88" t="s">
        <v>562</v>
      </c>
      <c r="P721" s="87" t="s">
        <v>107</v>
      </c>
      <c r="Q721" s="87">
        <v>21</v>
      </c>
      <c r="R721" s="69" t="s">
        <v>29</v>
      </c>
      <c r="S721" s="239">
        <v>2417398000006</v>
      </c>
      <c r="T721" s="344">
        <v>12417398000003</v>
      </c>
      <c r="U721" s="46"/>
      <c r="V721" s="46"/>
      <c r="W721" s="258"/>
      <c r="X721" s="68"/>
      <c r="Y721" s="68"/>
      <c r="Z721" s="65">
        <v>0.95</v>
      </c>
      <c r="AA721" s="271">
        <v>2.4E-2</v>
      </c>
      <c r="AB721" s="66">
        <f t="shared" si="953"/>
        <v>0.97399999999999998</v>
      </c>
      <c r="AC721" s="59">
        <v>390</v>
      </c>
      <c r="AD721" s="60">
        <v>294</v>
      </c>
      <c r="AE721" s="60">
        <v>150</v>
      </c>
      <c r="AF721" s="191">
        <v>6</v>
      </c>
      <c r="AG721" s="117">
        <v>600000280</v>
      </c>
      <c r="AH721" s="104">
        <f>справочники!$C$57</f>
        <v>0.371</v>
      </c>
      <c r="AI721" s="61">
        <f t="shared" si="946"/>
        <v>5.7</v>
      </c>
      <c r="AJ721" s="142">
        <f t="shared" si="947"/>
        <v>6.2149999999999999</v>
      </c>
      <c r="AK721" s="158">
        <v>8</v>
      </c>
      <c r="AL721" s="38">
        <v>10</v>
      </c>
      <c r="AM721" s="40">
        <f t="shared" si="948"/>
        <v>80</v>
      </c>
      <c r="AN721" s="214">
        <f t="shared" si="949"/>
        <v>456</v>
      </c>
      <c r="AO721" s="204">
        <f t="shared" si="954"/>
        <v>1645</v>
      </c>
    </row>
    <row r="722" spans="1:41" ht="56.25" x14ac:dyDescent="0.2">
      <c r="A722" s="22">
        <f t="shared" si="973"/>
        <v>6184</v>
      </c>
      <c r="B722" s="80">
        <v>1003171456184</v>
      </c>
      <c r="C722" s="275" t="s">
        <v>1804</v>
      </c>
      <c r="D722" s="87" t="s">
        <v>3</v>
      </c>
      <c r="E722" s="146" t="s">
        <v>919</v>
      </c>
      <c r="F722" s="112" t="s">
        <v>1933</v>
      </c>
      <c r="G722" s="224" t="s">
        <v>2</v>
      </c>
      <c r="H722" s="87" t="s">
        <v>358</v>
      </c>
      <c r="I722" s="155" t="s">
        <v>1225</v>
      </c>
      <c r="J722" s="150" t="s">
        <v>1647</v>
      </c>
      <c r="K722" s="51" t="s">
        <v>140</v>
      </c>
      <c r="L722" s="52">
        <v>19</v>
      </c>
      <c r="M722" s="53">
        <v>12</v>
      </c>
      <c r="N722" s="53">
        <v>0</v>
      </c>
      <c r="O722" s="88" t="s">
        <v>562</v>
      </c>
      <c r="P722" s="87" t="s">
        <v>107</v>
      </c>
      <c r="Q722" s="87">
        <v>21</v>
      </c>
      <c r="R722" s="69" t="s">
        <v>29</v>
      </c>
      <c r="S722" s="239">
        <v>2301119000003</v>
      </c>
      <c r="T722" s="344">
        <v>12301119000000</v>
      </c>
      <c r="U722" s="46"/>
      <c r="V722" s="46"/>
      <c r="W722" s="258"/>
      <c r="X722" s="68"/>
      <c r="Y722" s="68"/>
      <c r="Z722" s="65">
        <v>0.98399999999999999</v>
      </c>
      <c r="AA722" s="271">
        <v>2.4E-2</v>
      </c>
      <c r="AB722" s="66">
        <f t="shared" si="953"/>
        <v>1.008</v>
      </c>
      <c r="AC722" s="59">
        <v>390</v>
      </c>
      <c r="AD722" s="60">
        <v>294</v>
      </c>
      <c r="AE722" s="60">
        <v>150</v>
      </c>
      <c r="AF722" s="191">
        <v>6</v>
      </c>
      <c r="AG722" s="117">
        <v>600000280</v>
      </c>
      <c r="AH722" s="104">
        <f>справочники!$C$57</f>
        <v>0.371</v>
      </c>
      <c r="AI722" s="61">
        <f t="shared" si="946"/>
        <v>5.9</v>
      </c>
      <c r="AJ722" s="142">
        <f t="shared" si="947"/>
        <v>6.4190000000000005</v>
      </c>
      <c r="AK722" s="158">
        <v>8</v>
      </c>
      <c r="AL722" s="38">
        <v>10</v>
      </c>
      <c r="AM722" s="40">
        <f t="shared" si="948"/>
        <v>80</v>
      </c>
      <c r="AN722" s="214">
        <f t="shared" si="949"/>
        <v>472</v>
      </c>
      <c r="AO722" s="204">
        <f t="shared" si="954"/>
        <v>1645</v>
      </c>
    </row>
    <row r="723" spans="1:41" ht="56.25" x14ac:dyDescent="0.2">
      <c r="A723" s="22">
        <f t="shared" si="973"/>
        <v>6496</v>
      </c>
      <c r="B723" s="80">
        <v>1003171456496</v>
      </c>
      <c r="C723" s="48" t="s">
        <v>576</v>
      </c>
      <c r="D723" s="87" t="s">
        <v>3</v>
      </c>
      <c r="E723" s="146" t="s">
        <v>919</v>
      </c>
      <c r="F723" s="112" t="s">
        <v>1933</v>
      </c>
      <c r="G723" s="224" t="s">
        <v>2</v>
      </c>
      <c r="H723" s="87" t="s">
        <v>358</v>
      </c>
      <c r="I723" s="155" t="s">
        <v>1225</v>
      </c>
      <c r="J723" s="150" t="s">
        <v>1647</v>
      </c>
      <c r="K723" s="51" t="s">
        <v>140</v>
      </c>
      <c r="L723" s="52">
        <v>19</v>
      </c>
      <c r="M723" s="53">
        <v>12</v>
      </c>
      <c r="N723" s="53">
        <v>0</v>
      </c>
      <c r="O723" s="88" t="s">
        <v>562</v>
      </c>
      <c r="P723" s="87" t="s">
        <v>107</v>
      </c>
      <c r="Q723" s="87">
        <v>21</v>
      </c>
      <c r="R723" s="69" t="s">
        <v>29</v>
      </c>
      <c r="S723" s="239">
        <v>2952500000005</v>
      </c>
      <c r="T723" s="344">
        <v>12952500000002</v>
      </c>
      <c r="U723" s="46"/>
      <c r="V723" s="46"/>
      <c r="W723" s="258"/>
      <c r="X723" s="68"/>
      <c r="Y723" s="68"/>
      <c r="Z723" s="65">
        <v>0.9</v>
      </c>
      <c r="AA723" s="271">
        <v>8.0000000000000002E-3</v>
      </c>
      <c r="AB723" s="66">
        <f t="shared" si="953"/>
        <v>0.90800000000000003</v>
      </c>
      <c r="AC723" s="59">
        <v>390</v>
      </c>
      <c r="AD723" s="60">
        <v>294</v>
      </c>
      <c r="AE723" s="60">
        <v>150</v>
      </c>
      <c r="AF723" s="191">
        <v>6</v>
      </c>
      <c r="AG723" s="117">
        <v>600000280</v>
      </c>
      <c r="AH723" s="104">
        <f>справочники!$C$57</f>
        <v>0.371</v>
      </c>
      <c r="AI723" s="61">
        <f t="shared" si="946"/>
        <v>5.4</v>
      </c>
      <c r="AJ723" s="142">
        <f t="shared" si="947"/>
        <v>5.8190000000000008</v>
      </c>
      <c r="AK723" s="158">
        <v>8</v>
      </c>
      <c r="AL723" s="38">
        <v>10</v>
      </c>
      <c r="AM723" s="40">
        <f>AK723*AL723</f>
        <v>80</v>
      </c>
      <c r="AN723" s="214">
        <f>IF(D723="ШТ",кол_во_инд.__упак_к*итого_г_у,ROUNDDOWN(номин.вес_нетто_г_у__кг*итого_г_у,1))</f>
        <v>432</v>
      </c>
      <c r="AO723" s="204">
        <f t="shared" si="954"/>
        <v>1645</v>
      </c>
    </row>
    <row r="724" spans="1:41" ht="56.25" x14ac:dyDescent="0.2">
      <c r="A724" s="22">
        <f t="shared" si="973"/>
        <v>7532</v>
      </c>
      <c r="B724" s="80">
        <v>1003311457532</v>
      </c>
      <c r="C724" s="48" t="s">
        <v>1760</v>
      </c>
      <c r="D724" s="87" t="s">
        <v>3</v>
      </c>
      <c r="E724" s="146" t="s">
        <v>919</v>
      </c>
      <c r="F724" s="112" t="s">
        <v>1933</v>
      </c>
      <c r="G724" s="224" t="s">
        <v>520</v>
      </c>
      <c r="H724" s="87" t="s">
        <v>358</v>
      </c>
      <c r="I724" s="155" t="s">
        <v>1225</v>
      </c>
      <c r="J724" s="150" t="s">
        <v>1647</v>
      </c>
      <c r="K724" s="51" t="s">
        <v>140</v>
      </c>
      <c r="L724" s="52">
        <v>19</v>
      </c>
      <c r="M724" s="53">
        <v>12</v>
      </c>
      <c r="N724" s="53">
        <v>0</v>
      </c>
      <c r="O724" s="88" t="s">
        <v>562</v>
      </c>
      <c r="P724" s="87" t="s">
        <v>107</v>
      </c>
      <c r="Q724" s="87">
        <v>21</v>
      </c>
      <c r="R724" s="69" t="s">
        <v>28</v>
      </c>
      <c r="S724" s="239">
        <v>2301119000003</v>
      </c>
      <c r="T724" s="344">
        <v>12301119000000</v>
      </c>
      <c r="U724" s="46"/>
      <c r="V724" s="46"/>
      <c r="W724" s="258"/>
      <c r="X724" s="68"/>
      <c r="Y724" s="68"/>
      <c r="Z724" s="65">
        <v>0.9</v>
      </c>
      <c r="AA724" s="271">
        <v>4.3999999999999997E-2</v>
      </c>
      <c r="AB724" s="66">
        <f>Z724+AA724</f>
        <v>0.94400000000000006</v>
      </c>
      <c r="AC724" s="59">
        <v>383</v>
      </c>
      <c r="AD724" s="60">
        <v>156</v>
      </c>
      <c r="AE724" s="60">
        <v>168</v>
      </c>
      <c r="AF724" s="191">
        <v>4</v>
      </c>
      <c r="AG724" s="117">
        <v>600000030</v>
      </c>
      <c r="AH724" s="104">
        <f>справочники!$C$22</f>
        <v>0.127</v>
      </c>
      <c r="AI724" s="61">
        <f t="shared" si="946"/>
        <v>3.6</v>
      </c>
      <c r="AJ724" s="143">
        <f t="shared" si="947"/>
        <v>3.9030000000000005</v>
      </c>
      <c r="AK724" s="158">
        <v>15</v>
      </c>
      <c r="AL724" s="38">
        <v>9</v>
      </c>
      <c r="AM724" s="40">
        <f>AK724*AL724</f>
        <v>135</v>
      </c>
      <c r="AN724" s="214">
        <f>IF(D724="ШТ",кол_во_инд.__упак_к*итого_г_у,ROUNDDOWN(номин.вес_нетто_г_у__кг*итого_г_у,1))</f>
        <v>486</v>
      </c>
      <c r="AO724" s="204">
        <f t="shared" si="954"/>
        <v>1657</v>
      </c>
    </row>
    <row r="725" spans="1:41" ht="56.25" x14ac:dyDescent="0.2">
      <c r="A725" s="22">
        <f t="shared" si="973"/>
        <v>5406</v>
      </c>
      <c r="B725" s="80">
        <v>1003171595406</v>
      </c>
      <c r="C725" s="48" t="s">
        <v>118</v>
      </c>
      <c r="D725" s="87" t="s">
        <v>3</v>
      </c>
      <c r="E725" s="146" t="s">
        <v>919</v>
      </c>
      <c r="F725" s="112" t="s">
        <v>1934</v>
      </c>
      <c r="G725" s="224" t="s">
        <v>2</v>
      </c>
      <c r="H725" s="87" t="s">
        <v>358</v>
      </c>
      <c r="I725" s="155" t="s">
        <v>276</v>
      </c>
      <c r="J725" s="150" t="s">
        <v>1346</v>
      </c>
      <c r="K725" s="51" t="s">
        <v>141</v>
      </c>
      <c r="L725" s="52">
        <v>17</v>
      </c>
      <c r="M725" s="53">
        <v>19</v>
      </c>
      <c r="N725" s="53">
        <v>0</v>
      </c>
      <c r="O725" s="88" t="s">
        <v>610</v>
      </c>
      <c r="P725" s="87" t="s">
        <v>107</v>
      </c>
      <c r="Q725" s="87">
        <v>8</v>
      </c>
      <c r="R725" s="69" t="s">
        <v>29</v>
      </c>
      <c r="S725" s="239">
        <v>2589473000000</v>
      </c>
      <c r="T725" s="344">
        <v>12589473000007</v>
      </c>
      <c r="U725" s="46"/>
      <c r="V725" s="46"/>
      <c r="W725" s="258">
        <v>275</v>
      </c>
      <c r="X725" s="68">
        <v>175</v>
      </c>
      <c r="Y725" s="68">
        <v>65</v>
      </c>
      <c r="Z725" s="65">
        <v>0.875</v>
      </c>
      <c r="AA725" s="271">
        <v>3.9E-2</v>
      </c>
      <c r="AB725" s="66">
        <f t="shared" si="953"/>
        <v>0.91400000000000003</v>
      </c>
      <c r="AC725" s="59">
        <v>390</v>
      </c>
      <c r="AD725" s="60">
        <v>294</v>
      </c>
      <c r="AE725" s="60">
        <v>150</v>
      </c>
      <c r="AF725" s="191">
        <v>4</v>
      </c>
      <c r="AG725" s="117">
        <v>600000280</v>
      </c>
      <c r="AH725" s="104">
        <f>справочники!$C$57</f>
        <v>0.371</v>
      </c>
      <c r="AI725" s="61">
        <f t="shared" si="946"/>
        <v>3.5</v>
      </c>
      <c r="AJ725" s="142">
        <f t="shared" si="947"/>
        <v>4.0270000000000001</v>
      </c>
      <c r="AK725" s="158">
        <v>8</v>
      </c>
      <c r="AL725" s="38">
        <v>10</v>
      </c>
      <c r="AM725" s="40">
        <f t="shared" si="948"/>
        <v>80</v>
      </c>
      <c r="AN725" s="214">
        <f t="shared" si="949"/>
        <v>280</v>
      </c>
      <c r="AO725" s="204">
        <f t="shared" si="954"/>
        <v>1645</v>
      </c>
    </row>
    <row r="726" spans="1:41" ht="56.25" x14ac:dyDescent="0.2">
      <c r="A726" s="22">
        <f t="shared" si="973"/>
        <v>6895</v>
      </c>
      <c r="B726" s="80">
        <v>1003321596895</v>
      </c>
      <c r="C726" s="48" t="s">
        <v>932</v>
      </c>
      <c r="D726" s="87" t="s">
        <v>3</v>
      </c>
      <c r="E726" s="146" t="s">
        <v>919</v>
      </c>
      <c r="F726" s="112" t="s">
        <v>1934</v>
      </c>
      <c r="G726" s="224" t="s">
        <v>520</v>
      </c>
      <c r="H726" s="87" t="s">
        <v>358</v>
      </c>
      <c r="I726" s="155" t="s">
        <v>276</v>
      </c>
      <c r="J726" s="150" t="s">
        <v>443</v>
      </c>
      <c r="K726" s="51" t="s">
        <v>141</v>
      </c>
      <c r="L726" s="52">
        <v>13</v>
      </c>
      <c r="M726" s="53">
        <v>31</v>
      </c>
      <c r="N726" s="53"/>
      <c r="O726" s="88" t="s">
        <v>563</v>
      </c>
      <c r="P726" s="87" t="s">
        <v>107</v>
      </c>
      <c r="Q726" s="87">
        <v>8</v>
      </c>
      <c r="R726" s="69" t="s">
        <v>29</v>
      </c>
      <c r="S726" s="239">
        <v>2318492000001</v>
      </c>
      <c r="T726" s="344">
        <v>12318492000008</v>
      </c>
      <c r="U726" s="46"/>
      <c r="V726" s="46"/>
      <c r="W726" s="258">
        <v>275</v>
      </c>
      <c r="X726" s="68">
        <v>175</v>
      </c>
      <c r="Y726" s="68">
        <v>65</v>
      </c>
      <c r="Z726" s="65">
        <v>0.875</v>
      </c>
      <c r="AA726" s="271">
        <v>3.9E-2</v>
      </c>
      <c r="AB726" s="66">
        <f>Z726+AA726</f>
        <v>0.91400000000000003</v>
      </c>
      <c r="AC726" s="59">
        <v>390</v>
      </c>
      <c r="AD726" s="60">
        <v>294</v>
      </c>
      <c r="AE726" s="60">
        <v>150</v>
      </c>
      <c r="AF726" s="191">
        <v>4</v>
      </c>
      <c r="AG726" s="117">
        <v>600000280</v>
      </c>
      <c r="AH726" s="104">
        <f>справочники!$C$57</f>
        <v>0.371</v>
      </c>
      <c r="AI726" s="61">
        <f t="shared" si="946"/>
        <v>3.5</v>
      </c>
      <c r="AJ726" s="142">
        <f t="shared" si="947"/>
        <v>4.0270000000000001</v>
      </c>
      <c r="AK726" s="158">
        <v>8</v>
      </c>
      <c r="AL726" s="38">
        <v>10</v>
      </c>
      <c r="AM726" s="40">
        <f>AK726*AL726</f>
        <v>80</v>
      </c>
      <c r="AN726" s="214">
        <f>IF(D726="ШТ",кол_во_инд.__упак_к*итого_г_у,ROUNDDOWN(номин.вес_нетто_г_у__кг*итого_г_у,1))</f>
        <v>280</v>
      </c>
      <c r="AO726" s="204">
        <f t="shared" si="954"/>
        <v>1645</v>
      </c>
    </row>
    <row r="727" spans="1:41" ht="67.5" x14ac:dyDescent="0.2">
      <c r="A727" s="22">
        <f t="shared" si="973"/>
        <v>5408</v>
      </c>
      <c r="B727" s="80">
        <v>1003171625408</v>
      </c>
      <c r="C727" s="48" t="s">
        <v>90</v>
      </c>
      <c r="D727" s="87" t="s">
        <v>3</v>
      </c>
      <c r="E727" s="146" t="s">
        <v>919</v>
      </c>
      <c r="F727" s="112" t="s">
        <v>1933</v>
      </c>
      <c r="G727" s="224" t="s">
        <v>2</v>
      </c>
      <c r="H727" s="87" t="s">
        <v>358</v>
      </c>
      <c r="I727" s="155" t="s">
        <v>276</v>
      </c>
      <c r="J727" s="150" t="s">
        <v>442</v>
      </c>
      <c r="K727" s="51" t="s">
        <v>141</v>
      </c>
      <c r="L727" s="52">
        <v>20</v>
      </c>
      <c r="M727" s="53">
        <v>15</v>
      </c>
      <c r="N727" s="53"/>
      <c r="O727" s="88" t="s">
        <v>553</v>
      </c>
      <c r="P727" s="87" t="s">
        <v>107</v>
      </c>
      <c r="Q727" s="87">
        <v>17</v>
      </c>
      <c r="R727" s="69" t="s">
        <v>29</v>
      </c>
      <c r="S727" s="239">
        <v>2994010000007</v>
      </c>
      <c r="T727" s="344">
        <v>12994010000004</v>
      </c>
      <c r="U727" s="46">
        <v>4630362180902</v>
      </c>
      <c r="V727" s="46">
        <v>34630362180903</v>
      </c>
      <c r="W727" s="258"/>
      <c r="X727" s="68"/>
      <c r="Y727" s="68"/>
      <c r="Z727" s="65">
        <v>1.04</v>
      </c>
      <c r="AA727" s="271">
        <v>2.5000000000000001E-2</v>
      </c>
      <c r="AB727" s="66">
        <f t="shared" si="953"/>
        <v>1.0649999999999999</v>
      </c>
      <c r="AC727" s="59">
        <v>390</v>
      </c>
      <c r="AD727" s="60">
        <v>294</v>
      </c>
      <c r="AE727" s="60">
        <v>150</v>
      </c>
      <c r="AF727" s="191">
        <v>5</v>
      </c>
      <c r="AG727" s="117">
        <v>600000280</v>
      </c>
      <c r="AH727" s="104">
        <f>справочники!$C$57</f>
        <v>0.371</v>
      </c>
      <c r="AI727" s="61">
        <f t="shared" si="946"/>
        <v>5.2</v>
      </c>
      <c r="AJ727" s="142">
        <f t="shared" si="947"/>
        <v>5.6959999999999997</v>
      </c>
      <c r="AK727" s="158">
        <v>8</v>
      </c>
      <c r="AL727" s="38">
        <v>10</v>
      </c>
      <c r="AM727" s="40">
        <f t="shared" si="948"/>
        <v>80</v>
      </c>
      <c r="AN727" s="214">
        <f t="shared" si="949"/>
        <v>416</v>
      </c>
      <c r="AO727" s="204">
        <f t="shared" si="954"/>
        <v>1645</v>
      </c>
    </row>
    <row r="728" spans="1:41" ht="67.5" x14ac:dyDescent="0.2">
      <c r="A728" s="22">
        <f t="shared" si="973"/>
        <v>6419</v>
      </c>
      <c r="B728" s="80">
        <v>1003171626419</v>
      </c>
      <c r="C728" s="48" t="s">
        <v>526</v>
      </c>
      <c r="D728" s="87" t="s">
        <v>3</v>
      </c>
      <c r="E728" s="146" t="s">
        <v>919</v>
      </c>
      <c r="F728" s="112" t="s">
        <v>1933</v>
      </c>
      <c r="G728" s="224" t="s">
        <v>2</v>
      </c>
      <c r="H728" s="87" t="s">
        <v>358</v>
      </c>
      <c r="I728" s="155" t="s">
        <v>276</v>
      </c>
      <c r="J728" s="150" t="s">
        <v>442</v>
      </c>
      <c r="K728" s="51" t="s">
        <v>141</v>
      </c>
      <c r="L728" s="52">
        <v>20</v>
      </c>
      <c r="M728" s="53">
        <v>15</v>
      </c>
      <c r="N728" s="53"/>
      <c r="O728" s="88" t="s">
        <v>553</v>
      </c>
      <c r="P728" s="87" t="s">
        <v>107</v>
      </c>
      <c r="Q728" s="87">
        <v>17</v>
      </c>
      <c r="R728" s="69" t="s">
        <v>29</v>
      </c>
      <c r="S728" s="239">
        <v>2355608000005</v>
      </c>
      <c r="T728" s="344">
        <v>12355608000002</v>
      </c>
      <c r="U728" s="46">
        <v>4630362180902</v>
      </c>
      <c r="V728" s="46">
        <v>24630362180906</v>
      </c>
      <c r="W728" s="258"/>
      <c r="X728" s="68"/>
      <c r="Y728" s="68"/>
      <c r="Z728" s="65">
        <v>1</v>
      </c>
      <c r="AA728" s="271">
        <v>2.5000000000000001E-2</v>
      </c>
      <c r="AB728" s="66">
        <f t="shared" si="953"/>
        <v>1.0249999999999999</v>
      </c>
      <c r="AC728" s="59">
        <v>390</v>
      </c>
      <c r="AD728" s="60">
        <v>294</v>
      </c>
      <c r="AE728" s="60">
        <v>150</v>
      </c>
      <c r="AF728" s="191">
        <v>5</v>
      </c>
      <c r="AG728" s="117">
        <v>600000280</v>
      </c>
      <c r="AH728" s="104">
        <f>справочники!$C$57</f>
        <v>0.371</v>
      </c>
      <c r="AI728" s="61">
        <f t="shared" si="946"/>
        <v>5</v>
      </c>
      <c r="AJ728" s="142">
        <f t="shared" si="947"/>
        <v>5.4960000000000004</v>
      </c>
      <c r="AK728" s="158">
        <v>8</v>
      </c>
      <c r="AL728" s="38">
        <v>10</v>
      </c>
      <c r="AM728" s="40">
        <f>AK728*AL728</f>
        <v>80</v>
      </c>
      <c r="AN728" s="214">
        <f t="shared" si="949"/>
        <v>400</v>
      </c>
      <c r="AO728" s="204">
        <f t="shared" si="954"/>
        <v>1645</v>
      </c>
    </row>
    <row r="729" spans="1:41" ht="67.5" x14ac:dyDescent="0.2">
      <c r="A729" s="22">
        <f t="shared" si="973"/>
        <v>5751</v>
      </c>
      <c r="B729" s="80">
        <v>1003171625751</v>
      </c>
      <c r="C729" s="48" t="s">
        <v>310</v>
      </c>
      <c r="D729" s="87" t="s">
        <v>3</v>
      </c>
      <c r="E729" s="146" t="s">
        <v>919</v>
      </c>
      <c r="F729" s="112" t="s">
        <v>1933</v>
      </c>
      <c r="G729" s="224" t="s">
        <v>2</v>
      </c>
      <c r="H729" s="87" t="s">
        <v>358</v>
      </c>
      <c r="I729" s="155" t="s">
        <v>276</v>
      </c>
      <c r="J729" s="150" t="s">
        <v>442</v>
      </c>
      <c r="K729" s="51" t="s">
        <v>141</v>
      </c>
      <c r="L729" s="52">
        <v>20</v>
      </c>
      <c r="M729" s="53">
        <v>15</v>
      </c>
      <c r="N729" s="53"/>
      <c r="O729" s="88" t="s">
        <v>553</v>
      </c>
      <c r="P729" s="87" t="s">
        <v>107</v>
      </c>
      <c r="Q729" s="87">
        <v>17</v>
      </c>
      <c r="R729" s="69" t="s">
        <v>29</v>
      </c>
      <c r="S729" s="239">
        <v>2909321000004</v>
      </c>
      <c r="T729" s="344">
        <v>12909321000001</v>
      </c>
      <c r="U729" s="46">
        <v>4630362180902</v>
      </c>
      <c r="V729" s="46">
        <v>34630362180903</v>
      </c>
      <c r="W729" s="258"/>
      <c r="X729" s="68"/>
      <c r="Y729" s="68"/>
      <c r="Z729" s="65">
        <v>1.04</v>
      </c>
      <c r="AA729" s="271">
        <v>2.5000000000000001E-2</v>
      </c>
      <c r="AB729" s="66">
        <f t="shared" si="953"/>
        <v>1.0649999999999999</v>
      </c>
      <c r="AC729" s="59">
        <v>390</v>
      </c>
      <c r="AD729" s="60">
        <v>294</v>
      </c>
      <c r="AE729" s="60">
        <v>150</v>
      </c>
      <c r="AF729" s="191">
        <v>5</v>
      </c>
      <c r="AG729" s="117">
        <v>600000280</v>
      </c>
      <c r="AH729" s="104">
        <f>справочники!$C$57</f>
        <v>0.371</v>
      </c>
      <c r="AI729" s="61">
        <f t="shared" si="946"/>
        <v>5.2</v>
      </c>
      <c r="AJ729" s="142">
        <f t="shared" si="947"/>
        <v>5.6959999999999997</v>
      </c>
      <c r="AK729" s="158">
        <v>8</v>
      </c>
      <c r="AL729" s="38">
        <v>10</v>
      </c>
      <c r="AM729" s="40">
        <f t="shared" si="948"/>
        <v>80</v>
      </c>
      <c r="AN729" s="214">
        <f t="shared" si="949"/>
        <v>416</v>
      </c>
      <c r="AO729" s="204">
        <f t="shared" si="954"/>
        <v>1645</v>
      </c>
    </row>
    <row r="730" spans="1:41" ht="56.25" x14ac:dyDescent="0.2">
      <c r="A730" s="22">
        <f t="shared" si="973"/>
        <v>5429</v>
      </c>
      <c r="B730" s="80">
        <v>1003171735429</v>
      </c>
      <c r="C730" s="48" t="s">
        <v>95</v>
      </c>
      <c r="D730" s="87" t="s">
        <v>3</v>
      </c>
      <c r="E730" s="146" t="s">
        <v>919</v>
      </c>
      <c r="F730" s="112" t="s">
        <v>1934</v>
      </c>
      <c r="G730" s="224" t="s">
        <v>2</v>
      </c>
      <c r="H730" s="87" t="s">
        <v>358</v>
      </c>
      <c r="I730" s="155" t="s">
        <v>1225</v>
      </c>
      <c r="J730" s="150" t="s">
        <v>1348</v>
      </c>
      <c r="K730" s="51" t="s">
        <v>140</v>
      </c>
      <c r="L730" s="52">
        <v>17</v>
      </c>
      <c r="M730" s="53">
        <v>16</v>
      </c>
      <c r="N730" s="53">
        <v>0</v>
      </c>
      <c r="O730" s="88" t="s">
        <v>1256</v>
      </c>
      <c r="P730" s="87" t="s">
        <v>107</v>
      </c>
      <c r="Q730" s="87">
        <v>12</v>
      </c>
      <c r="R730" s="69" t="s">
        <v>29</v>
      </c>
      <c r="S730" s="239">
        <v>2993900000004</v>
      </c>
      <c r="T730" s="344">
        <v>12993900000001</v>
      </c>
      <c r="U730" s="46"/>
      <c r="V730" s="46"/>
      <c r="W730" s="258">
        <v>275</v>
      </c>
      <c r="X730" s="68">
        <v>175</v>
      </c>
      <c r="Y730" s="68">
        <v>65</v>
      </c>
      <c r="Z730" s="65">
        <v>1.2250000000000001</v>
      </c>
      <c r="AA730" s="271">
        <v>3.9E-2</v>
      </c>
      <c r="AB730" s="66">
        <f t="shared" si="953"/>
        <v>1.264</v>
      </c>
      <c r="AC730" s="59">
        <v>390</v>
      </c>
      <c r="AD730" s="60">
        <v>294</v>
      </c>
      <c r="AE730" s="60">
        <v>150</v>
      </c>
      <c r="AF730" s="191">
        <v>4</v>
      </c>
      <c r="AG730" s="117">
        <v>600000280</v>
      </c>
      <c r="AH730" s="104">
        <f>справочники!$C$57</f>
        <v>0.371</v>
      </c>
      <c r="AI730" s="61">
        <f t="shared" si="946"/>
        <v>4.9000000000000004</v>
      </c>
      <c r="AJ730" s="142">
        <f t="shared" si="947"/>
        <v>5.4269999999999996</v>
      </c>
      <c r="AK730" s="158">
        <v>8</v>
      </c>
      <c r="AL730" s="38">
        <v>10</v>
      </c>
      <c r="AM730" s="40">
        <f t="shared" si="948"/>
        <v>80</v>
      </c>
      <c r="AN730" s="214">
        <f t="shared" si="949"/>
        <v>392</v>
      </c>
      <c r="AO730" s="204">
        <f t="shared" si="954"/>
        <v>1645</v>
      </c>
    </row>
    <row r="731" spans="1:41" ht="56.25" x14ac:dyDescent="0.2">
      <c r="A731" s="22">
        <f t="shared" si="973"/>
        <v>6185</v>
      </c>
      <c r="B731" s="80">
        <v>1003171736185</v>
      </c>
      <c r="C731" s="275" t="s">
        <v>1805</v>
      </c>
      <c r="D731" s="87" t="s">
        <v>3</v>
      </c>
      <c r="E731" s="146" t="s">
        <v>919</v>
      </c>
      <c r="F731" s="112" t="s">
        <v>1933</v>
      </c>
      <c r="G731" s="224" t="s">
        <v>2</v>
      </c>
      <c r="H731" s="87" t="s">
        <v>358</v>
      </c>
      <c r="I731" s="155" t="s">
        <v>1225</v>
      </c>
      <c r="J731" s="150" t="s">
        <v>1540</v>
      </c>
      <c r="K731" s="51" t="s">
        <v>140</v>
      </c>
      <c r="L731" s="52">
        <v>16</v>
      </c>
      <c r="M731" s="53">
        <v>18</v>
      </c>
      <c r="N731" s="53">
        <v>0</v>
      </c>
      <c r="O731" s="88" t="s">
        <v>549</v>
      </c>
      <c r="P731" s="87" t="s">
        <v>107</v>
      </c>
      <c r="Q731" s="87">
        <v>21</v>
      </c>
      <c r="R731" s="69" t="s">
        <v>28</v>
      </c>
      <c r="S731" s="239">
        <v>2385204000000</v>
      </c>
      <c r="T731" s="344">
        <v>12385204000007</v>
      </c>
      <c r="U731" s="46"/>
      <c r="V731" s="46"/>
      <c r="W731" s="258"/>
      <c r="X731" s="68"/>
      <c r="Y731" s="68"/>
      <c r="Z731" s="65">
        <v>0.88400000000000001</v>
      </c>
      <c r="AA731" s="271">
        <v>3.4000000000000002E-2</v>
      </c>
      <c r="AB731" s="66">
        <f t="shared" si="953"/>
        <v>0.91800000000000004</v>
      </c>
      <c r="AC731" s="59">
        <v>390</v>
      </c>
      <c r="AD731" s="60">
        <v>294</v>
      </c>
      <c r="AE731" s="60">
        <v>150</v>
      </c>
      <c r="AF731" s="191">
        <v>6</v>
      </c>
      <c r="AG731" s="117">
        <v>600000280</v>
      </c>
      <c r="AH731" s="104">
        <f>справочники!$C$57</f>
        <v>0.371</v>
      </c>
      <c r="AI731" s="61">
        <f t="shared" si="946"/>
        <v>5.3</v>
      </c>
      <c r="AJ731" s="143">
        <f t="shared" si="947"/>
        <v>5.8789999999999996</v>
      </c>
      <c r="AK731" s="158">
        <v>8</v>
      </c>
      <c r="AL731" s="38">
        <v>10</v>
      </c>
      <c r="AM731" s="40">
        <f t="shared" si="948"/>
        <v>80</v>
      </c>
      <c r="AN731" s="214">
        <f t="shared" si="949"/>
        <v>424</v>
      </c>
      <c r="AO731" s="204">
        <f t="shared" si="954"/>
        <v>1645</v>
      </c>
    </row>
    <row r="732" spans="1:41" ht="56.25" x14ac:dyDescent="0.2">
      <c r="A732" s="22">
        <f t="shared" si="973"/>
        <v>6497</v>
      </c>
      <c r="B732" s="80">
        <v>1003171736497</v>
      </c>
      <c r="C732" s="48" t="s">
        <v>577</v>
      </c>
      <c r="D732" s="87" t="s">
        <v>3</v>
      </c>
      <c r="E732" s="146" t="s">
        <v>919</v>
      </c>
      <c r="F732" s="112" t="s">
        <v>1933</v>
      </c>
      <c r="G732" s="224" t="s">
        <v>2</v>
      </c>
      <c r="H732" s="87" t="s">
        <v>358</v>
      </c>
      <c r="I732" s="155" t="s">
        <v>1225</v>
      </c>
      <c r="J732" s="150" t="s">
        <v>1540</v>
      </c>
      <c r="K732" s="51" t="s">
        <v>140</v>
      </c>
      <c r="L732" s="52">
        <v>16</v>
      </c>
      <c r="M732" s="53">
        <v>18</v>
      </c>
      <c r="N732" s="53">
        <v>0</v>
      </c>
      <c r="O732" s="88" t="s">
        <v>549</v>
      </c>
      <c r="P732" s="87" t="s">
        <v>107</v>
      </c>
      <c r="Q732" s="87">
        <v>21</v>
      </c>
      <c r="R732" s="69" t="s">
        <v>28</v>
      </c>
      <c r="S732" s="239">
        <v>2952520000009</v>
      </c>
      <c r="T732" s="344">
        <v>12952520000006</v>
      </c>
      <c r="U732" s="46"/>
      <c r="V732" s="46"/>
      <c r="W732" s="258"/>
      <c r="X732" s="68"/>
      <c r="Y732" s="68"/>
      <c r="Z732" s="65">
        <v>0.96699999999999997</v>
      </c>
      <c r="AA732" s="271">
        <v>1.4E-2</v>
      </c>
      <c r="AB732" s="66">
        <f t="shared" si="953"/>
        <v>0.98099999999999998</v>
      </c>
      <c r="AC732" s="59">
        <v>390</v>
      </c>
      <c r="AD732" s="60">
        <v>294</v>
      </c>
      <c r="AE732" s="60">
        <v>150</v>
      </c>
      <c r="AF732" s="191">
        <v>6</v>
      </c>
      <c r="AG732" s="117">
        <v>600000280</v>
      </c>
      <c r="AH732" s="104">
        <f>справочники!$C$57</f>
        <v>0.371</v>
      </c>
      <c r="AI732" s="61">
        <f t="shared" si="946"/>
        <v>5.8</v>
      </c>
      <c r="AJ732" s="143">
        <f t="shared" si="947"/>
        <v>6.2569999999999997</v>
      </c>
      <c r="AK732" s="158">
        <v>8</v>
      </c>
      <c r="AL732" s="38">
        <v>10</v>
      </c>
      <c r="AM732" s="40">
        <f>AK732*AL732</f>
        <v>80</v>
      </c>
      <c r="AN732" s="214">
        <f>IF(D732="ШТ",кол_во_инд.__упак_к*итого_г_у,ROUNDDOWN(номин.вес_нетто_г_у__кг*итого_г_у,1))</f>
        <v>464</v>
      </c>
      <c r="AO732" s="204">
        <f t="shared" si="954"/>
        <v>1645</v>
      </c>
    </row>
    <row r="733" spans="1:41" ht="56.25" x14ac:dyDescent="0.2">
      <c r="A733" s="22">
        <f t="shared" si="973"/>
        <v>6526</v>
      </c>
      <c r="B733" s="80">
        <v>1003171736526</v>
      </c>
      <c r="C733" s="48" t="s">
        <v>594</v>
      </c>
      <c r="D733" s="87" t="s">
        <v>3</v>
      </c>
      <c r="E733" s="146" t="s">
        <v>919</v>
      </c>
      <c r="F733" s="112" t="s">
        <v>1933</v>
      </c>
      <c r="G733" s="224" t="s">
        <v>2</v>
      </c>
      <c r="H733" s="87" t="s">
        <v>358</v>
      </c>
      <c r="I733" s="155" t="s">
        <v>1225</v>
      </c>
      <c r="J733" s="150" t="s">
        <v>1540</v>
      </c>
      <c r="K733" s="51" t="s">
        <v>140</v>
      </c>
      <c r="L733" s="52">
        <v>16</v>
      </c>
      <c r="M733" s="53">
        <v>18</v>
      </c>
      <c r="N733" s="53">
        <v>0</v>
      </c>
      <c r="O733" s="88" t="s">
        <v>549</v>
      </c>
      <c r="P733" s="87" t="s">
        <v>107</v>
      </c>
      <c r="Q733" s="87">
        <v>21</v>
      </c>
      <c r="R733" s="69" t="s">
        <v>28</v>
      </c>
      <c r="S733" s="239">
        <v>2310772000008</v>
      </c>
      <c r="T733" s="344">
        <v>12310772000005</v>
      </c>
      <c r="U733" s="46"/>
      <c r="V733" s="46"/>
      <c r="W733" s="258"/>
      <c r="X733" s="68"/>
      <c r="Y733" s="68"/>
      <c r="Z733" s="65">
        <v>0.875</v>
      </c>
      <c r="AA733" s="271">
        <v>1.4E-2</v>
      </c>
      <c r="AB733" s="66">
        <f>Z733+AA733</f>
        <v>0.88900000000000001</v>
      </c>
      <c r="AC733" s="59">
        <v>378</v>
      </c>
      <c r="AD733" s="60">
        <v>156</v>
      </c>
      <c r="AE733" s="60">
        <v>138</v>
      </c>
      <c r="AF733" s="191">
        <v>4</v>
      </c>
      <c r="AG733" s="117">
        <v>600000019</v>
      </c>
      <c r="AH733" s="104">
        <f>справочники!$C$11</f>
        <v>0.114</v>
      </c>
      <c r="AI733" s="61">
        <f t="shared" si="946"/>
        <v>3.5</v>
      </c>
      <c r="AJ733" s="143">
        <f t="shared" si="947"/>
        <v>3.67</v>
      </c>
      <c r="AK733" s="158">
        <v>15</v>
      </c>
      <c r="AL733" s="38">
        <v>7</v>
      </c>
      <c r="AM733" s="40">
        <f>AK733*AL733</f>
        <v>105</v>
      </c>
      <c r="AN733" s="214">
        <f>IF(D733="ШТ",кол_во_инд.__упак_к*итого_г_у,ROUNDDOWN(номин.вес_нетто_г_у__кг*итого_г_у,1))</f>
        <v>367.5</v>
      </c>
      <c r="AO733" s="204">
        <f t="shared" si="954"/>
        <v>1111</v>
      </c>
    </row>
    <row r="734" spans="1:41" ht="56.25" x14ac:dyDescent="0.2">
      <c r="A734" s="22">
        <f t="shared" si="973"/>
        <v>5426</v>
      </c>
      <c r="B734" s="80">
        <v>1003171735426</v>
      </c>
      <c r="C734" s="48" t="s">
        <v>616</v>
      </c>
      <c r="D734" s="87" t="s">
        <v>3</v>
      </c>
      <c r="E734" s="146" t="s">
        <v>919</v>
      </c>
      <c r="F734" s="112" t="s">
        <v>1933</v>
      </c>
      <c r="G734" s="224" t="s">
        <v>2</v>
      </c>
      <c r="H734" s="87" t="s">
        <v>358</v>
      </c>
      <c r="I734" s="155" t="s">
        <v>1225</v>
      </c>
      <c r="J734" s="150" t="s">
        <v>1540</v>
      </c>
      <c r="K734" s="51" t="s">
        <v>140</v>
      </c>
      <c r="L734" s="52">
        <v>16</v>
      </c>
      <c r="M734" s="53">
        <v>18</v>
      </c>
      <c r="N734" s="53">
        <v>0</v>
      </c>
      <c r="O734" s="88" t="s">
        <v>549</v>
      </c>
      <c r="P734" s="87" t="s">
        <v>107</v>
      </c>
      <c r="Q734" s="87">
        <v>21</v>
      </c>
      <c r="R734" s="69" t="s">
        <v>28</v>
      </c>
      <c r="S734" s="239">
        <v>2800070000003</v>
      </c>
      <c r="T734" s="344">
        <v>12800070000000</v>
      </c>
      <c r="U734" s="46"/>
      <c r="V734" s="46"/>
      <c r="W734" s="258"/>
      <c r="X734" s="68"/>
      <c r="Y734" s="68"/>
      <c r="Z734" s="65">
        <v>0.95</v>
      </c>
      <c r="AA734" s="271">
        <v>2.4E-2</v>
      </c>
      <c r="AB734" s="66">
        <f t="shared" si="953"/>
        <v>0.97399999999999998</v>
      </c>
      <c r="AC734" s="59">
        <v>390</v>
      </c>
      <c r="AD734" s="60">
        <v>294</v>
      </c>
      <c r="AE734" s="60">
        <v>150</v>
      </c>
      <c r="AF734" s="191">
        <v>6</v>
      </c>
      <c r="AG734" s="117">
        <v>600000280</v>
      </c>
      <c r="AH734" s="104">
        <f>справочники!$C$57</f>
        <v>0.371</v>
      </c>
      <c r="AI734" s="61">
        <f t="shared" si="946"/>
        <v>5.7</v>
      </c>
      <c r="AJ734" s="143">
        <f t="shared" si="947"/>
        <v>6.2149999999999999</v>
      </c>
      <c r="AK734" s="158">
        <v>8</v>
      </c>
      <c r="AL734" s="38">
        <v>10</v>
      </c>
      <c r="AM734" s="40">
        <f t="shared" si="948"/>
        <v>80</v>
      </c>
      <c r="AN734" s="214">
        <f t="shared" si="949"/>
        <v>456</v>
      </c>
      <c r="AO734" s="204">
        <f t="shared" si="954"/>
        <v>1645</v>
      </c>
    </row>
    <row r="735" spans="1:41" ht="67.5" x14ac:dyDescent="0.2">
      <c r="A735" s="22">
        <f t="shared" si="973"/>
        <v>6896</v>
      </c>
      <c r="B735" s="80">
        <v>1003311736896</v>
      </c>
      <c r="C735" s="48" t="s">
        <v>933</v>
      </c>
      <c r="D735" s="87" t="s">
        <v>3</v>
      </c>
      <c r="E735" s="146" t="s">
        <v>919</v>
      </c>
      <c r="F735" s="112" t="s">
        <v>1933</v>
      </c>
      <c r="G735" s="224" t="s">
        <v>520</v>
      </c>
      <c r="H735" s="87" t="s">
        <v>358</v>
      </c>
      <c r="I735" s="155" t="s">
        <v>276</v>
      </c>
      <c r="J735" s="150" t="s">
        <v>436</v>
      </c>
      <c r="K735" s="51" t="s">
        <v>140</v>
      </c>
      <c r="L735" s="52">
        <v>16</v>
      </c>
      <c r="M735" s="53">
        <v>18</v>
      </c>
      <c r="N735" s="53">
        <v>0</v>
      </c>
      <c r="O735" s="88" t="s">
        <v>549</v>
      </c>
      <c r="P735" s="87" t="s">
        <v>107</v>
      </c>
      <c r="Q735" s="87">
        <v>15</v>
      </c>
      <c r="R735" s="69" t="s">
        <v>29</v>
      </c>
      <c r="S735" s="239">
        <v>2318490000003</v>
      </c>
      <c r="T735" s="344">
        <v>12318490000000</v>
      </c>
      <c r="U735" s="46"/>
      <c r="V735" s="46"/>
      <c r="W735" s="258"/>
      <c r="X735" s="68"/>
      <c r="Y735" s="68"/>
      <c r="Z735" s="65">
        <v>0.9</v>
      </c>
      <c r="AA735" s="271">
        <v>4.3999999999999997E-2</v>
      </c>
      <c r="AB735" s="66">
        <f>Z735+AA735</f>
        <v>0.94400000000000006</v>
      </c>
      <c r="AC735" s="59">
        <v>383</v>
      </c>
      <c r="AD735" s="60">
        <v>156</v>
      </c>
      <c r="AE735" s="60">
        <v>168</v>
      </c>
      <c r="AF735" s="191">
        <v>4</v>
      </c>
      <c r="AG735" s="117">
        <v>600000030</v>
      </c>
      <c r="AH735" s="104">
        <f>справочники!$C$22</f>
        <v>0.127</v>
      </c>
      <c r="AI735" s="61">
        <f t="shared" si="946"/>
        <v>3.6</v>
      </c>
      <c r="AJ735" s="143">
        <f t="shared" si="947"/>
        <v>3.9030000000000005</v>
      </c>
      <c r="AK735" s="158">
        <v>15</v>
      </c>
      <c r="AL735" s="38">
        <v>9</v>
      </c>
      <c r="AM735" s="40">
        <f>AK735*AL735</f>
        <v>135</v>
      </c>
      <c r="AN735" s="214">
        <f>IF(D735="ШТ",кол_во_инд.__упак_к*итого_г_у,ROUNDDOWN(номин.вес_нетто_г_у__кг*итого_г_у,1))</f>
        <v>486</v>
      </c>
      <c r="AO735" s="204">
        <f t="shared" si="954"/>
        <v>1657</v>
      </c>
    </row>
    <row r="736" spans="1:41" ht="56.25" x14ac:dyDescent="0.2">
      <c r="A736" s="22">
        <f t="shared" si="973"/>
        <v>7533</v>
      </c>
      <c r="B736" s="80">
        <v>1003311737533</v>
      </c>
      <c r="C736" s="48" t="s">
        <v>1761</v>
      </c>
      <c r="D736" s="87" t="s">
        <v>3</v>
      </c>
      <c r="E736" s="146" t="s">
        <v>919</v>
      </c>
      <c r="F736" s="112" t="s">
        <v>1933</v>
      </c>
      <c r="G736" s="224" t="s">
        <v>520</v>
      </c>
      <c r="H736" s="87" t="s">
        <v>358</v>
      </c>
      <c r="I736" s="155" t="s">
        <v>1225</v>
      </c>
      <c r="J736" s="150" t="s">
        <v>1540</v>
      </c>
      <c r="K736" s="51" t="s">
        <v>140</v>
      </c>
      <c r="L736" s="52">
        <v>16</v>
      </c>
      <c r="M736" s="53">
        <v>18</v>
      </c>
      <c r="N736" s="53">
        <v>0</v>
      </c>
      <c r="O736" s="88" t="s">
        <v>549</v>
      </c>
      <c r="P736" s="87" t="s">
        <v>107</v>
      </c>
      <c r="Q736" s="87">
        <v>21</v>
      </c>
      <c r="R736" s="69" t="s">
        <v>28</v>
      </c>
      <c r="S736" s="239">
        <v>2385204000000</v>
      </c>
      <c r="T736" s="344">
        <v>12385204000007</v>
      </c>
      <c r="U736" s="46"/>
      <c r="V736" s="46"/>
      <c r="W736" s="258"/>
      <c r="X736" s="68"/>
      <c r="Y736" s="68"/>
      <c r="Z736" s="65">
        <v>0.9</v>
      </c>
      <c r="AA736" s="271">
        <v>4.3999999999999997E-2</v>
      </c>
      <c r="AB736" s="66">
        <f>Z736+AA736</f>
        <v>0.94400000000000006</v>
      </c>
      <c r="AC736" s="59">
        <v>383</v>
      </c>
      <c r="AD736" s="60">
        <v>156</v>
      </c>
      <c r="AE736" s="60">
        <v>168</v>
      </c>
      <c r="AF736" s="191">
        <v>4</v>
      </c>
      <c r="AG736" s="117">
        <v>600000030</v>
      </c>
      <c r="AH736" s="104">
        <f>справочники!$C$22</f>
        <v>0.127</v>
      </c>
      <c r="AI736" s="61">
        <f t="shared" si="946"/>
        <v>3.6</v>
      </c>
      <c r="AJ736" s="143">
        <f t="shared" si="947"/>
        <v>3.9030000000000005</v>
      </c>
      <c r="AK736" s="158">
        <v>15</v>
      </c>
      <c r="AL736" s="38">
        <v>9</v>
      </c>
      <c r="AM736" s="40">
        <f>AK736*AL736</f>
        <v>135</v>
      </c>
      <c r="AN736" s="214">
        <f>IF(D736="ШТ",кол_во_инд.__упак_к*итого_г_у,ROUNDDOWN(номин.вес_нетто_г_у__кг*итого_г_у,1))</f>
        <v>486</v>
      </c>
      <c r="AO736" s="204">
        <f t="shared" si="954"/>
        <v>1657</v>
      </c>
    </row>
    <row r="737" spans="1:41" ht="56.25" x14ac:dyDescent="0.2">
      <c r="A737" s="22">
        <f t="shared" si="973"/>
        <v>5354</v>
      </c>
      <c r="B737" s="80">
        <v>1003171395354</v>
      </c>
      <c r="C737" s="48" t="s">
        <v>80</v>
      </c>
      <c r="D737" s="87" t="s">
        <v>3</v>
      </c>
      <c r="E737" s="146" t="s">
        <v>919</v>
      </c>
      <c r="F737" s="112" t="s">
        <v>1933</v>
      </c>
      <c r="G737" s="224" t="s">
        <v>2</v>
      </c>
      <c r="H737" s="87" t="s">
        <v>358</v>
      </c>
      <c r="I737" s="155" t="s">
        <v>1225</v>
      </c>
      <c r="J737" s="150" t="s">
        <v>1649</v>
      </c>
      <c r="K737" s="51" t="s">
        <v>141</v>
      </c>
      <c r="L737" s="52">
        <v>18</v>
      </c>
      <c r="M737" s="53">
        <v>18</v>
      </c>
      <c r="N737" s="53">
        <v>0</v>
      </c>
      <c r="O737" s="88" t="s">
        <v>564</v>
      </c>
      <c r="P737" s="87" t="s">
        <v>107</v>
      </c>
      <c r="Q737" s="87">
        <v>17</v>
      </c>
      <c r="R737" s="69" t="s">
        <v>29</v>
      </c>
      <c r="S737" s="239">
        <v>2994020000004</v>
      </c>
      <c r="T737" s="344">
        <v>12994020000001</v>
      </c>
      <c r="U737" s="46"/>
      <c r="V737" s="46"/>
      <c r="W737" s="258"/>
      <c r="X737" s="68"/>
      <c r="Y737" s="68"/>
      <c r="Z737" s="65">
        <v>1.34</v>
      </c>
      <c r="AA737" s="271">
        <v>2.5999999999999999E-2</v>
      </c>
      <c r="AB737" s="66">
        <f t="shared" si="953"/>
        <v>1.3660000000000001</v>
      </c>
      <c r="AC737" s="59">
        <v>385</v>
      </c>
      <c r="AD737" s="60">
        <v>285</v>
      </c>
      <c r="AE737" s="60">
        <v>185</v>
      </c>
      <c r="AF737" s="191">
        <v>5</v>
      </c>
      <c r="AG737" s="117">
        <v>600000290</v>
      </c>
      <c r="AH737" s="104">
        <f>справочники!$C$59</f>
        <v>0.35199999999999998</v>
      </c>
      <c r="AI737" s="61">
        <f t="shared" si="946"/>
        <v>6.7</v>
      </c>
      <c r="AJ737" s="142">
        <f t="shared" si="947"/>
        <v>7.1820000000000004</v>
      </c>
      <c r="AK737" s="158">
        <v>8</v>
      </c>
      <c r="AL737" s="38">
        <v>8</v>
      </c>
      <c r="AM737" s="40">
        <f t="shared" si="948"/>
        <v>64</v>
      </c>
      <c r="AN737" s="214">
        <f t="shared" si="949"/>
        <v>428.8</v>
      </c>
      <c r="AO737" s="204">
        <f t="shared" si="954"/>
        <v>1625</v>
      </c>
    </row>
    <row r="738" spans="1:41" ht="56.25" x14ac:dyDescent="0.2">
      <c r="A738" s="22">
        <f t="shared" si="973"/>
        <v>5367</v>
      </c>
      <c r="B738" s="80">
        <v>1003171455367</v>
      </c>
      <c r="C738" s="48" t="s">
        <v>83</v>
      </c>
      <c r="D738" s="87" t="s">
        <v>3</v>
      </c>
      <c r="E738" s="146" t="s">
        <v>919</v>
      </c>
      <c r="F738" s="112" t="s">
        <v>1933</v>
      </c>
      <c r="G738" s="224" t="s">
        <v>2</v>
      </c>
      <c r="H738" s="87" t="s">
        <v>358</v>
      </c>
      <c r="I738" s="155" t="s">
        <v>1225</v>
      </c>
      <c r="J738" s="150" t="s">
        <v>1647</v>
      </c>
      <c r="K738" s="51" t="s">
        <v>140</v>
      </c>
      <c r="L738" s="52">
        <v>19</v>
      </c>
      <c r="M738" s="53">
        <v>12</v>
      </c>
      <c r="N738" s="53">
        <v>0</v>
      </c>
      <c r="O738" s="88" t="s">
        <v>562</v>
      </c>
      <c r="P738" s="87" t="s">
        <v>107</v>
      </c>
      <c r="Q738" s="87">
        <v>21</v>
      </c>
      <c r="R738" s="69" t="s">
        <v>29</v>
      </c>
      <c r="S738" s="239">
        <v>2993980000000</v>
      </c>
      <c r="T738" s="344">
        <v>12993980000007</v>
      </c>
      <c r="U738" s="46"/>
      <c r="V738" s="46"/>
      <c r="W738" s="259" t="s">
        <v>1326</v>
      </c>
      <c r="X738" s="96" t="s">
        <v>1327</v>
      </c>
      <c r="Y738" s="96" t="s">
        <v>1328</v>
      </c>
      <c r="Z738" s="65">
        <v>2</v>
      </c>
      <c r="AA738" s="271">
        <v>0.04</v>
      </c>
      <c r="AB738" s="66">
        <f t="shared" si="953"/>
        <v>2.04</v>
      </c>
      <c r="AC738" s="59">
        <v>385</v>
      </c>
      <c r="AD738" s="60">
        <v>285</v>
      </c>
      <c r="AE738" s="60">
        <v>185</v>
      </c>
      <c r="AF738" s="191">
        <v>5</v>
      </c>
      <c r="AG738" s="117">
        <v>600000290</v>
      </c>
      <c r="AH738" s="104">
        <f>справочники!$C$59</f>
        <v>0.35199999999999998</v>
      </c>
      <c r="AI738" s="61">
        <f t="shared" si="946"/>
        <v>10</v>
      </c>
      <c r="AJ738" s="142">
        <f t="shared" si="947"/>
        <v>10.552</v>
      </c>
      <c r="AK738" s="158">
        <v>8</v>
      </c>
      <c r="AL738" s="38">
        <v>8</v>
      </c>
      <c r="AM738" s="40">
        <f t="shared" si="948"/>
        <v>64</v>
      </c>
      <c r="AN738" s="214">
        <f t="shared" si="949"/>
        <v>640</v>
      </c>
      <c r="AO738" s="204">
        <f t="shared" si="954"/>
        <v>1625</v>
      </c>
    </row>
    <row r="739" spans="1:41" ht="56.25" x14ac:dyDescent="0.2">
      <c r="A739" s="22">
        <f t="shared" si="973"/>
        <v>5366</v>
      </c>
      <c r="B739" s="80">
        <v>1003171455366</v>
      </c>
      <c r="C739" s="48" t="s">
        <v>84</v>
      </c>
      <c r="D739" s="87" t="s">
        <v>3</v>
      </c>
      <c r="E739" s="146" t="s">
        <v>919</v>
      </c>
      <c r="F739" s="112" t="s">
        <v>1933</v>
      </c>
      <c r="G739" s="224" t="s">
        <v>2</v>
      </c>
      <c r="H739" s="87" t="s">
        <v>358</v>
      </c>
      <c r="I739" s="155" t="s">
        <v>1225</v>
      </c>
      <c r="J739" s="150" t="s">
        <v>1647</v>
      </c>
      <c r="K739" s="51" t="s">
        <v>140</v>
      </c>
      <c r="L739" s="52">
        <v>19</v>
      </c>
      <c r="M739" s="53">
        <v>12</v>
      </c>
      <c r="N739" s="53">
        <v>0</v>
      </c>
      <c r="O739" s="88" t="s">
        <v>562</v>
      </c>
      <c r="P739" s="87" t="s">
        <v>107</v>
      </c>
      <c r="Q739" s="87">
        <v>21</v>
      </c>
      <c r="R739" s="69" t="s">
        <v>29</v>
      </c>
      <c r="S739" s="239">
        <v>2839370000000</v>
      </c>
      <c r="T739" s="344">
        <v>12839370000007</v>
      </c>
      <c r="U739" s="46"/>
      <c r="V739" s="46"/>
      <c r="W739" s="258"/>
      <c r="X739" s="68"/>
      <c r="Y739" s="68"/>
      <c r="Z739" s="65">
        <v>1.6</v>
      </c>
      <c r="AA739" s="271">
        <v>0.04</v>
      </c>
      <c r="AB739" s="66">
        <f t="shared" si="953"/>
        <v>1.6400000000000001</v>
      </c>
      <c r="AC739" s="59">
        <v>385</v>
      </c>
      <c r="AD739" s="60">
        <v>285</v>
      </c>
      <c r="AE739" s="60">
        <v>185</v>
      </c>
      <c r="AF739" s="191">
        <v>5</v>
      </c>
      <c r="AG739" s="117">
        <v>600000290</v>
      </c>
      <c r="AH739" s="104">
        <f>справочники!$C$59</f>
        <v>0.35199999999999998</v>
      </c>
      <c r="AI739" s="61">
        <f t="shared" si="946"/>
        <v>8</v>
      </c>
      <c r="AJ739" s="142">
        <f t="shared" si="947"/>
        <v>8.5520000000000014</v>
      </c>
      <c r="AK739" s="158">
        <v>8</v>
      </c>
      <c r="AL739" s="38">
        <v>8</v>
      </c>
      <c r="AM739" s="40">
        <f t="shared" si="948"/>
        <v>64</v>
      </c>
      <c r="AN739" s="214">
        <f t="shared" si="949"/>
        <v>512</v>
      </c>
      <c r="AO739" s="204">
        <f t="shared" si="954"/>
        <v>1625</v>
      </c>
    </row>
    <row r="740" spans="1:41" ht="56.25" x14ac:dyDescent="0.2">
      <c r="A740" s="22">
        <f t="shared" si="973"/>
        <v>5371</v>
      </c>
      <c r="B740" s="80">
        <v>1003171465371</v>
      </c>
      <c r="C740" s="48" t="s">
        <v>85</v>
      </c>
      <c r="D740" s="87" t="s">
        <v>3</v>
      </c>
      <c r="E740" s="146" t="s">
        <v>919</v>
      </c>
      <c r="F740" s="112" t="s">
        <v>1933</v>
      </c>
      <c r="G740" s="224" t="s">
        <v>2</v>
      </c>
      <c r="H740" s="87" t="s">
        <v>358</v>
      </c>
      <c r="I740" s="155" t="s">
        <v>1225</v>
      </c>
      <c r="J740" s="150" t="s">
        <v>1647</v>
      </c>
      <c r="K740" s="51" t="s">
        <v>140</v>
      </c>
      <c r="L740" s="52">
        <v>20</v>
      </c>
      <c r="M740" s="53">
        <v>12</v>
      </c>
      <c r="N740" s="53">
        <v>0</v>
      </c>
      <c r="O740" s="88" t="s">
        <v>548</v>
      </c>
      <c r="P740" s="87" t="s">
        <v>107</v>
      </c>
      <c r="Q740" s="87">
        <v>21</v>
      </c>
      <c r="R740" s="69" t="s">
        <v>29</v>
      </c>
      <c r="S740" s="239">
        <v>2800763000006</v>
      </c>
      <c r="T740" s="344">
        <v>12800763000003</v>
      </c>
      <c r="U740" s="46"/>
      <c r="V740" s="46"/>
      <c r="W740" s="258"/>
      <c r="X740" s="68"/>
      <c r="Y740" s="68"/>
      <c r="Z740" s="65">
        <v>1.7</v>
      </c>
      <c r="AA740" s="271">
        <v>0.04</v>
      </c>
      <c r="AB740" s="66">
        <f t="shared" si="953"/>
        <v>1.74</v>
      </c>
      <c r="AC740" s="59">
        <v>385</v>
      </c>
      <c r="AD740" s="60">
        <v>285</v>
      </c>
      <c r="AE740" s="60">
        <v>185</v>
      </c>
      <c r="AF740" s="191">
        <v>6</v>
      </c>
      <c r="AG740" s="117">
        <v>600000290</v>
      </c>
      <c r="AH740" s="104">
        <f>справочники!$C$59</f>
        <v>0.35199999999999998</v>
      </c>
      <c r="AI740" s="61">
        <f t="shared" si="946"/>
        <v>10.199999999999999</v>
      </c>
      <c r="AJ740" s="142">
        <f t="shared" si="947"/>
        <v>10.792</v>
      </c>
      <c r="AK740" s="158">
        <v>8</v>
      </c>
      <c r="AL740" s="38">
        <v>8</v>
      </c>
      <c r="AM740" s="40">
        <f t="shared" si="948"/>
        <v>64</v>
      </c>
      <c r="AN740" s="214">
        <f t="shared" si="949"/>
        <v>652.79999999999995</v>
      </c>
      <c r="AO740" s="204">
        <f t="shared" si="954"/>
        <v>1625</v>
      </c>
    </row>
    <row r="741" spans="1:41" ht="56.25" x14ac:dyDescent="0.2">
      <c r="A741" s="22">
        <f t="shared" si="973"/>
        <v>5370</v>
      </c>
      <c r="B741" s="80">
        <v>1003171465370</v>
      </c>
      <c r="C741" s="48" t="s">
        <v>131</v>
      </c>
      <c r="D741" s="87" t="s">
        <v>3</v>
      </c>
      <c r="E741" s="146" t="s">
        <v>919</v>
      </c>
      <c r="F741" s="112" t="s">
        <v>1933</v>
      </c>
      <c r="G741" s="224" t="s">
        <v>2</v>
      </c>
      <c r="H741" s="87" t="s">
        <v>358</v>
      </c>
      <c r="I741" s="155" t="s">
        <v>1225</v>
      </c>
      <c r="J741" s="150" t="s">
        <v>1647</v>
      </c>
      <c r="K741" s="51" t="s">
        <v>140</v>
      </c>
      <c r="L741" s="52">
        <v>20</v>
      </c>
      <c r="M741" s="53">
        <v>12</v>
      </c>
      <c r="N741" s="53">
        <v>0</v>
      </c>
      <c r="O741" s="88" t="s">
        <v>548</v>
      </c>
      <c r="P741" s="87" t="s">
        <v>107</v>
      </c>
      <c r="Q741" s="87">
        <v>21</v>
      </c>
      <c r="R741" s="69" t="s">
        <v>29</v>
      </c>
      <c r="S741" s="239">
        <v>2805095000007</v>
      </c>
      <c r="T741" s="344">
        <v>12805095000004</v>
      </c>
      <c r="U741" s="46"/>
      <c r="V741" s="46"/>
      <c r="W741" s="258"/>
      <c r="X741" s="68"/>
      <c r="Y741" s="68"/>
      <c r="Z741" s="65">
        <v>1.86</v>
      </c>
      <c r="AA741" s="271">
        <v>0.04</v>
      </c>
      <c r="AB741" s="66">
        <f t="shared" si="953"/>
        <v>1.9000000000000001</v>
      </c>
      <c r="AC741" s="59">
        <v>385</v>
      </c>
      <c r="AD741" s="60">
        <v>285</v>
      </c>
      <c r="AE741" s="60">
        <v>185</v>
      </c>
      <c r="AF741" s="191">
        <v>5</v>
      </c>
      <c r="AG741" s="117">
        <v>600000290</v>
      </c>
      <c r="AH741" s="104">
        <f>справочники!$C$59</f>
        <v>0.35199999999999998</v>
      </c>
      <c r="AI741" s="61">
        <f t="shared" si="946"/>
        <v>9.3000000000000007</v>
      </c>
      <c r="AJ741" s="142">
        <f t="shared" si="947"/>
        <v>9.8520000000000003</v>
      </c>
      <c r="AK741" s="158">
        <v>8</v>
      </c>
      <c r="AL741" s="38">
        <v>8</v>
      </c>
      <c r="AM741" s="40">
        <f t="shared" si="948"/>
        <v>64</v>
      </c>
      <c r="AN741" s="214">
        <f t="shared" si="949"/>
        <v>595.20000000000005</v>
      </c>
      <c r="AO741" s="204">
        <f t="shared" si="954"/>
        <v>1625</v>
      </c>
    </row>
    <row r="742" spans="1:41" ht="56.25" x14ac:dyDescent="0.2">
      <c r="A742" s="22">
        <f t="shared" si="973"/>
        <v>7558</v>
      </c>
      <c r="B742" s="80">
        <v>1003311467558</v>
      </c>
      <c r="C742" s="48" t="s">
        <v>1737</v>
      </c>
      <c r="D742" s="87" t="s">
        <v>3</v>
      </c>
      <c r="E742" s="146" t="s">
        <v>919</v>
      </c>
      <c r="F742" s="112" t="s">
        <v>1933</v>
      </c>
      <c r="G742" s="224" t="s">
        <v>2</v>
      </c>
      <c r="H742" s="87" t="s">
        <v>358</v>
      </c>
      <c r="I742" s="155" t="s">
        <v>1225</v>
      </c>
      <c r="J742" s="150" t="s">
        <v>1647</v>
      </c>
      <c r="K742" s="51" t="s">
        <v>140</v>
      </c>
      <c r="L742" s="52">
        <v>20</v>
      </c>
      <c r="M742" s="53">
        <v>12</v>
      </c>
      <c r="N742" s="53">
        <v>0</v>
      </c>
      <c r="O742" s="88" t="s">
        <v>548</v>
      </c>
      <c r="P742" s="87" t="s">
        <v>107</v>
      </c>
      <c r="Q742" s="87">
        <v>21</v>
      </c>
      <c r="R742" s="69" t="s">
        <v>29</v>
      </c>
      <c r="S742" s="239">
        <v>2513845000008</v>
      </c>
      <c r="T742" s="344">
        <v>12513845000005</v>
      </c>
      <c r="U742" s="46"/>
      <c r="V742" s="46"/>
      <c r="W742" s="259" t="s">
        <v>1326</v>
      </c>
      <c r="X742" s="96" t="s">
        <v>1327</v>
      </c>
      <c r="Y742" s="96" t="s">
        <v>1328</v>
      </c>
      <c r="Z742" s="65">
        <v>2</v>
      </c>
      <c r="AA742" s="271">
        <v>0.04</v>
      </c>
      <c r="AB742" s="66">
        <f t="shared" ref="AB742" si="974">Z742+AA742</f>
        <v>2.04</v>
      </c>
      <c r="AC742" s="59">
        <v>385</v>
      </c>
      <c r="AD742" s="60">
        <v>285</v>
      </c>
      <c r="AE742" s="60">
        <v>185</v>
      </c>
      <c r="AF742" s="191">
        <v>5</v>
      </c>
      <c r="AG742" s="117">
        <v>600000290</v>
      </c>
      <c r="AH742" s="104">
        <f>справочники!$C$59</f>
        <v>0.35199999999999998</v>
      </c>
      <c r="AI742" s="61">
        <f t="shared" si="946"/>
        <v>10</v>
      </c>
      <c r="AJ742" s="142">
        <f t="shared" si="947"/>
        <v>10.552</v>
      </c>
      <c r="AK742" s="158">
        <v>8</v>
      </c>
      <c r="AL742" s="38">
        <v>8</v>
      </c>
      <c r="AM742" s="40">
        <f t="shared" ref="AM742" si="975">AK742*AL742</f>
        <v>64</v>
      </c>
      <c r="AN742" s="214">
        <f t="shared" ref="AN742" si="976">IF(D742="ШТ",кол_во_инд.__упак_к*итого_г_у,ROUNDDOWN(номин.вес_нетто_г_у__кг*итого_г_у,1))</f>
        <v>640</v>
      </c>
      <c r="AO742" s="204">
        <f t="shared" si="954"/>
        <v>1625</v>
      </c>
    </row>
    <row r="743" spans="1:41" ht="56.25" x14ac:dyDescent="0.2">
      <c r="A743" s="22">
        <f t="shared" si="973"/>
        <v>5373</v>
      </c>
      <c r="B743" s="80">
        <v>1003171465373</v>
      </c>
      <c r="C743" s="48" t="s">
        <v>149</v>
      </c>
      <c r="D743" s="87" t="s">
        <v>3</v>
      </c>
      <c r="E743" s="146" t="s">
        <v>919</v>
      </c>
      <c r="F743" s="112" t="s">
        <v>1933</v>
      </c>
      <c r="G743" s="224" t="s">
        <v>2</v>
      </c>
      <c r="H743" s="87" t="s">
        <v>358</v>
      </c>
      <c r="I743" s="155" t="s">
        <v>1225</v>
      </c>
      <c r="J743" s="150" t="s">
        <v>1649</v>
      </c>
      <c r="K743" s="51" t="s">
        <v>141</v>
      </c>
      <c r="L743" s="52">
        <v>20</v>
      </c>
      <c r="M743" s="53">
        <v>17</v>
      </c>
      <c r="N743" s="53">
        <v>0</v>
      </c>
      <c r="O743" s="88" t="s">
        <v>555</v>
      </c>
      <c r="P743" s="87" t="s">
        <v>107</v>
      </c>
      <c r="Q743" s="87">
        <v>17</v>
      </c>
      <c r="R743" s="69" t="s">
        <v>29</v>
      </c>
      <c r="S743" s="239">
        <v>2737970000003</v>
      </c>
      <c r="T743" s="344">
        <v>12737970000000</v>
      </c>
      <c r="U743" s="46"/>
      <c r="V743" s="46"/>
      <c r="W743" s="258"/>
      <c r="X743" s="68"/>
      <c r="Y743" s="68"/>
      <c r="Z743" s="65">
        <v>2.7669999999999999</v>
      </c>
      <c r="AA743" s="271">
        <v>7.5999999999999998E-2</v>
      </c>
      <c r="AB743" s="66">
        <f t="shared" si="953"/>
        <v>2.843</v>
      </c>
      <c r="AC743" s="59">
        <v>385</v>
      </c>
      <c r="AD743" s="60">
        <v>285</v>
      </c>
      <c r="AE743" s="60">
        <v>185</v>
      </c>
      <c r="AF743" s="191">
        <v>3</v>
      </c>
      <c r="AG743" s="117">
        <v>600000290</v>
      </c>
      <c r="AH743" s="104">
        <f>справочники!$C$59</f>
        <v>0.35199999999999998</v>
      </c>
      <c r="AI743" s="61">
        <f t="shared" si="946"/>
        <v>8.3000000000000007</v>
      </c>
      <c r="AJ743" s="143">
        <f t="shared" si="947"/>
        <v>8.8810000000000002</v>
      </c>
      <c r="AK743" s="158">
        <v>8</v>
      </c>
      <c r="AL743" s="38">
        <v>8</v>
      </c>
      <c r="AM743" s="40">
        <f t="shared" si="948"/>
        <v>64</v>
      </c>
      <c r="AN743" s="214">
        <f t="shared" si="949"/>
        <v>531.20000000000005</v>
      </c>
      <c r="AO743" s="204">
        <f t="shared" si="954"/>
        <v>1625</v>
      </c>
    </row>
    <row r="744" spans="1:41" ht="56.25" x14ac:dyDescent="0.2">
      <c r="A744" s="22">
        <f t="shared" si="973"/>
        <v>5374</v>
      </c>
      <c r="B744" s="80">
        <v>1003171465374</v>
      </c>
      <c r="C744" s="48" t="s">
        <v>150</v>
      </c>
      <c r="D744" s="87" t="s">
        <v>3</v>
      </c>
      <c r="E744" s="146" t="s">
        <v>919</v>
      </c>
      <c r="F744" s="112" t="s">
        <v>1933</v>
      </c>
      <c r="G744" s="224" t="s">
        <v>2</v>
      </c>
      <c r="H744" s="87" t="s">
        <v>358</v>
      </c>
      <c r="I744" s="155" t="s">
        <v>1225</v>
      </c>
      <c r="J744" s="150" t="s">
        <v>1649</v>
      </c>
      <c r="K744" s="51" t="s">
        <v>141</v>
      </c>
      <c r="L744" s="52">
        <v>20</v>
      </c>
      <c r="M744" s="53">
        <v>17</v>
      </c>
      <c r="N744" s="53">
        <v>0</v>
      </c>
      <c r="O744" s="88" t="s">
        <v>555</v>
      </c>
      <c r="P744" s="87" t="s">
        <v>107</v>
      </c>
      <c r="Q744" s="87">
        <v>17</v>
      </c>
      <c r="R744" s="69" t="s">
        <v>29</v>
      </c>
      <c r="S744" s="239">
        <v>2737990000007</v>
      </c>
      <c r="T744" s="344">
        <v>12737990000004</v>
      </c>
      <c r="U744" s="46"/>
      <c r="V744" s="46"/>
      <c r="W744" s="258"/>
      <c r="X744" s="68"/>
      <c r="Y744" s="68"/>
      <c r="Z744" s="65">
        <v>2.6</v>
      </c>
      <c r="AA744" s="271">
        <v>7.5999999999999998E-2</v>
      </c>
      <c r="AB744" s="66">
        <f t="shared" si="953"/>
        <v>2.6760000000000002</v>
      </c>
      <c r="AC744" s="59">
        <v>385</v>
      </c>
      <c r="AD744" s="60">
        <v>285</v>
      </c>
      <c r="AE744" s="60">
        <v>185</v>
      </c>
      <c r="AF744" s="191">
        <v>3</v>
      </c>
      <c r="AG744" s="117">
        <v>600000290</v>
      </c>
      <c r="AH744" s="104">
        <f>справочники!$C$59</f>
        <v>0.35199999999999998</v>
      </c>
      <c r="AI744" s="61">
        <f t="shared" si="946"/>
        <v>7.8</v>
      </c>
      <c r="AJ744" s="143">
        <f t="shared" si="947"/>
        <v>8.3800000000000008</v>
      </c>
      <c r="AK744" s="158">
        <v>8</v>
      </c>
      <c r="AL744" s="38">
        <v>8</v>
      </c>
      <c r="AM744" s="40">
        <f t="shared" si="948"/>
        <v>64</v>
      </c>
      <c r="AN744" s="214">
        <f t="shared" si="949"/>
        <v>499.2</v>
      </c>
      <c r="AO744" s="204">
        <f t="shared" si="954"/>
        <v>1625</v>
      </c>
    </row>
    <row r="745" spans="1:41" ht="56.25" x14ac:dyDescent="0.2">
      <c r="A745" s="22">
        <f t="shared" si="973"/>
        <v>7550</v>
      </c>
      <c r="B745" s="80">
        <v>1003311467550</v>
      </c>
      <c r="C745" s="48" t="s">
        <v>1739</v>
      </c>
      <c r="D745" s="87" t="s">
        <v>3</v>
      </c>
      <c r="E745" s="146" t="s">
        <v>919</v>
      </c>
      <c r="F745" s="112" t="s">
        <v>1933</v>
      </c>
      <c r="G745" s="224" t="s">
        <v>2</v>
      </c>
      <c r="H745" s="87" t="s">
        <v>358</v>
      </c>
      <c r="I745" s="155" t="s">
        <v>1225</v>
      </c>
      <c r="J745" s="150" t="s">
        <v>1649</v>
      </c>
      <c r="K745" s="51" t="s">
        <v>141</v>
      </c>
      <c r="L745" s="52">
        <v>20</v>
      </c>
      <c r="M745" s="53">
        <v>17</v>
      </c>
      <c r="N745" s="53">
        <v>0</v>
      </c>
      <c r="O745" s="88" t="s">
        <v>555</v>
      </c>
      <c r="P745" s="87" t="s">
        <v>107</v>
      </c>
      <c r="Q745" s="87">
        <v>17</v>
      </c>
      <c r="R745" s="69" t="s">
        <v>29</v>
      </c>
      <c r="S745" s="239">
        <v>2526956000003</v>
      </c>
      <c r="T745" s="344">
        <v>12526956000000</v>
      </c>
      <c r="U745" s="46"/>
      <c r="V745" s="46"/>
      <c r="W745" s="258"/>
      <c r="X745" s="68"/>
      <c r="Y745" s="68"/>
      <c r="Z745" s="65">
        <v>2.7669999999999999</v>
      </c>
      <c r="AA745" s="271">
        <v>7.5999999999999998E-2</v>
      </c>
      <c r="AB745" s="66">
        <f t="shared" ref="AB745" si="977">Z745+AA745</f>
        <v>2.843</v>
      </c>
      <c r="AC745" s="59">
        <v>385</v>
      </c>
      <c r="AD745" s="60">
        <v>285</v>
      </c>
      <c r="AE745" s="60">
        <v>185</v>
      </c>
      <c r="AF745" s="191">
        <v>3</v>
      </c>
      <c r="AG745" s="117">
        <v>600000290</v>
      </c>
      <c r="AH745" s="104">
        <f>справочники!$C$59</f>
        <v>0.35199999999999998</v>
      </c>
      <c r="AI745" s="61">
        <f t="shared" si="946"/>
        <v>8.3000000000000007</v>
      </c>
      <c r="AJ745" s="143">
        <f t="shared" si="947"/>
        <v>8.8810000000000002</v>
      </c>
      <c r="AK745" s="158">
        <v>8</v>
      </c>
      <c r="AL745" s="38">
        <v>8</v>
      </c>
      <c r="AM745" s="40">
        <f t="shared" ref="AM745" si="978">AK745*AL745</f>
        <v>64</v>
      </c>
      <c r="AN745" s="214">
        <f t="shared" ref="AN745" si="979">IF(D745="ШТ",кол_во_инд.__упак_к*итого_г_у,ROUNDDOWN(номин.вес_нетто_г_у__кг*итого_г_у,1))</f>
        <v>531.20000000000005</v>
      </c>
      <c r="AO745" s="204">
        <f t="shared" si="954"/>
        <v>1625</v>
      </c>
    </row>
    <row r="746" spans="1:41" ht="56.25" x14ac:dyDescent="0.2">
      <c r="A746" s="22">
        <f t="shared" si="973"/>
        <v>5392</v>
      </c>
      <c r="B746" s="80">
        <v>1003171765392</v>
      </c>
      <c r="C746" s="48" t="s">
        <v>151</v>
      </c>
      <c r="D746" s="87" t="s">
        <v>3</v>
      </c>
      <c r="E746" s="146" t="s">
        <v>919</v>
      </c>
      <c r="F746" s="112" t="s">
        <v>1933</v>
      </c>
      <c r="G746" s="224" t="s">
        <v>2</v>
      </c>
      <c r="H746" s="87" t="s">
        <v>358</v>
      </c>
      <c r="I746" s="155" t="s">
        <v>1225</v>
      </c>
      <c r="J746" s="150" t="s">
        <v>1647</v>
      </c>
      <c r="K746" s="51" t="s">
        <v>140</v>
      </c>
      <c r="L746" s="52">
        <v>19</v>
      </c>
      <c r="M746" s="53">
        <v>9</v>
      </c>
      <c r="N746" s="53">
        <v>0</v>
      </c>
      <c r="O746" s="88" t="s">
        <v>565</v>
      </c>
      <c r="P746" s="87" t="s">
        <v>107</v>
      </c>
      <c r="Q746" s="87">
        <v>21</v>
      </c>
      <c r="R746" s="69" t="s">
        <v>29</v>
      </c>
      <c r="S746" s="239">
        <v>2701870000005</v>
      </c>
      <c r="T746" s="344">
        <v>12701870000002</v>
      </c>
      <c r="U746" s="46"/>
      <c r="V746" s="46"/>
      <c r="W746" s="259" t="s">
        <v>1324</v>
      </c>
      <c r="X746" s="96" t="s">
        <v>1324</v>
      </c>
      <c r="Y746" s="96" t="s">
        <v>1325</v>
      </c>
      <c r="Z746" s="65">
        <v>5.3</v>
      </c>
      <c r="AA746" s="271">
        <v>0.05</v>
      </c>
      <c r="AB746" s="66">
        <f t="shared" si="953"/>
        <v>5.35</v>
      </c>
      <c r="AC746" s="59">
        <v>385</v>
      </c>
      <c r="AD746" s="60">
        <v>285</v>
      </c>
      <c r="AE746" s="60">
        <v>185</v>
      </c>
      <c r="AF746" s="191">
        <v>1</v>
      </c>
      <c r="AG746" s="117">
        <v>600000290</v>
      </c>
      <c r="AH746" s="104">
        <f>справочники!$C$59</f>
        <v>0.35199999999999998</v>
      </c>
      <c r="AI746" s="61">
        <f t="shared" si="946"/>
        <v>5.3</v>
      </c>
      <c r="AJ746" s="143">
        <f t="shared" si="947"/>
        <v>5.702</v>
      </c>
      <c r="AK746" s="158">
        <v>8</v>
      </c>
      <c r="AL746" s="38">
        <v>8</v>
      </c>
      <c r="AM746" s="40">
        <f t="shared" si="948"/>
        <v>64</v>
      </c>
      <c r="AN746" s="214">
        <f t="shared" si="949"/>
        <v>339.2</v>
      </c>
      <c r="AO746" s="204">
        <f t="shared" si="954"/>
        <v>1625</v>
      </c>
    </row>
    <row r="747" spans="1:41" ht="56.25" x14ac:dyDescent="0.2">
      <c r="A747" s="22">
        <f t="shared" si="973"/>
        <v>5402</v>
      </c>
      <c r="B747" s="80">
        <v>1003171595402</v>
      </c>
      <c r="C747" s="48" t="s">
        <v>89</v>
      </c>
      <c r="D747" s="87" t="s">
        <v>3</v>
      </c>
      <c r="E747" s="146" t="s">
        <v>919</v>
      </c>
      <c r="F747" s="112" t="s">
        <v>1933</v>
      </c>
      <c r="G747" s="224" t="s">
        <v>2</v>
      </c>
      <c r="H747" s="87" t="s">
        <v>358</v>
      </c>
      <c r="I747" s="155" t="s">
        <v>1225</v>
      </c>
      <c r="J747" s="150" t="s">
        <v>1651</v>
      </c>
      <c r="K747" s="51" t="s">
        <v>141</v>
      </c>
      <c r="L747" s="52">
        <v>16</v>
      </c>
      <c r="M747" s="53">
        <v>20</v>
      </c>
      <c r="N747" s="53">
        <v>0</v>
      </c>
      <c r="O747" s="88" t="s">
        <v>566</v>
      </c>
      <c r="P747" s="87" t="s">
        <v>107</v>
      </c>
      <c r="Q747" s="87">
        <v>17</v>
      </c>
      <c r="R747" s="69" t="s">
        <v>29</v>
      </c>
      <c r="S747" s="239">
        <v>2823670000006</v>
      </c>
      <c r="T747" s="344">
        <v>12823670000003</v>
      </c>
      <c r="U747" s="46"/>
      <c r="V747" s="46"/>
      <c r="W747" s="258">
        <v>390</v>
      </c>
      <c r="X747" s="68">
        <v>195</v>
      </c>
      <c r="Y747" s="68">
        <v>30</v>
      </c>
      <c r="Z747" s="65">
        <v>0.88600000000000001</v>
      </c>
      <c r="AA747" s="271">
        <v>0.05</v>
      </c>
      <c r="AB747" s="66">
        <f t="shared" si="953"/>
        <v>0.93600000000000005</v>
      </c>
      <c r="AC747" s="59">
        <v>385</v>
      </c>
      <c r="AD747" s="60">
        <v>285</v>
      </c>
      <c r="AE747" s="60">
        <v>185</v>
      </c>
      <c r="AF747" s="191">
        <v>7</v>
      </c>
      <c r="AG747" s="117">
        <v>600000290</v>
      </c>
      <c r="AH747" s="104">
        <f>справочники!$C$59</f>
        <v>0.35199999999999998</v>
      </c>
      <c r="AI747" s="61">
        <f t="shared" si="946"/>
        <v>6.2</v>
      </c>
      <c r="AJ747" s="143">
        <f t="shared" si="947"/>
        <v>6.9040000000000008</v>
      </c>
      <c r="AK747" s="158">
        <v>8</v>
      </c>
      <c r="AL747" s="38">
        <v>8</v>
      </c>
      <c r="AM747" s="40">
        <f t="shared" si="948"/>
        <v>64</v>
      </c>
      <c r="AN747" s="214">
        <f t="shared" si="949"/>
        <v>396.8</v>
      </c>
      <c r="AO747" s="204">
        <f t="shared" si="954"/>
        <v>1625</v>
      </c>
    </row>
    <row r="748" spans="1:41" ht="56.25" x14ac:dyDescent="0.2">
      <c r="A748" s="22">
        <f t="shared" si="973"/>
        <v>5753</v>
      </c>
      <c r="B748" s="80">
        <v>1003171595753</v>
      </c>
      <c r="C748" s="48" t="s">
        <v>247</v>
      </c>
      <c r="D748" s="87" t="s">
        <v>3</v>
      </c>
      <c r="E748" s="146" t="s">
        <v>919</v>
      </c>
      <c r="F748" s="112" t="s">
        <v>1933</v>
      </c>
      <c r="G748" s="224" t="s">
        <v>2</v>
      </c>
      <c r="H748" s="87" t="s">
        <v>358</v>
      </c>
      <c r="I748" s="155" t="s">
        <v>1225</v>
      </c>
      <c r="J748" s="150" t="s">
        <v>1651</v>
      </c>
      <c r="K748" s="51" t="s">
        <v>141</v>
      </c>
      <c r="L748" s="52">
        <v>16</v>
      </c>
      <c r="M748" s="53">
        <v>20</v>
      </c>
      <c r="N748" s="53">
        <v>0</v>
      </c>
      <c r="O748" s="88" t="s">
        <v>566</v>
      </c>
      <c r="P748" s="87" t="s">
        <v>107</v>
      </c>
      <c r="Q748" s="87">
        <v>17</v>
      </c>
      <c r="R748" s="69" t="s">
        <v>29</v>
      </c>
      <c r="S748" s="239">
        <v>2308463000000</v>
      </c>
      <c r="T748" s="344">
        <v>12308463000007</v>
      </c>
      <c r="U748" s="46"/>
      <c r="V748" s="46"/>
      <c r="W748" s="258">
        <v>390</v>
      </c>
      <c r="X748" s="68">
        <v>195</v>
      </c>
      <c r="Y748" s="68">
        <v>30</v>
      </c>
      <c r="Z748" s="65">
        <v>0.85799999999999998</v>
      </c>
      <c r="AA748" s="271">
        <v>0.05</v>
      </c>
      <c r="AB748" s="66">
        <f t="shared" si="953"/>
        <v>0.90800000000000003</v>
      </c>
      <c r="AC748" s="59">
        <v>385</v>
      </c>
      <c r="AD748" s="60">
        <v>285</v>
      </c>
      <c r="AE748" s="60">
        <v>185</v>
      </c>
      <c r="AF748" s="191">
        <v>7</v>
      </c>
      <c r="AG748" s="117">
        <v>600000290</v>
      </c>
      <c r="AH748" s="104">
        <f>справочники!$C$59</f>
        <v>0.35199999999999998</v>
      </c>
      <c r="AI748" s="61">
        <f t="shared" si="946"/>
        <v>6</v>
      </c>
      <c r="AJ748" s="143">
        <f t="shared" si="947"/>
        <v>6.7080000000000002</v>
      </c>
      <c r="AK748" s="158">
        <v>8</v>
      </c>
      <c r="AL748" s="38">
        <v>8</v>
      </c>
      <c r="AM748" s="40">
        <f t="shared" si="948"/>
        <v>64</v>
      </c>
      <c r="AN748" s="214">
        <f t="shared" si="949"/>
        <v>384</v>
      </c>
      <c r="AO748" s="204">
        <f t="shared" si="954"/>
        <v>1625</v>
      </c>
    </row>
    <row r="749" spans="1:41" ht="56.25" x14ac:dyDescent="0.2">
      <c r="A749" s="22">
        <f t="shared" si="973"/>
        <v>6740</v>
      </c>
      <c r="B749" s="80">
        <v>1003171596740</v>
      </c>
      <c r="C749" s="48" t="s">
        <v>698</v>
      </c>
      <c r="D749" s="87" t="s">
        <v>3</v>
      </c>
      <c r="E749" s="146" t="s">
        <v>919</v>
      </c>
      <c r="F749" s="112" t="s">
        <v>1933</v>
      </c>
      <c r="G749" s="224" t="s">
        <v>2</v>
      </c>
      <c r="H749" s="87" t="s">
        <v>358</v>
      </c>
      <c r="I749" s="155" t="s">
        <v>1225</v>
      </c>
      <c r="J749" s="150" t="s">
        <v>1651</v>
      </c>
      <c r="K749" s="51" t="s">
        <v>141</v>
      </c>
      <c r="L749" s="52">
        <v>16</v>
      </c>
      <c r="M749" s="53">
        <v>20</v>
      </c>
      <c r="N749" s="53">
        <v>0</v>
      </c>
      <c r="O749" s="88" t="s">
        <v>566</v>
      </c>
      <c r="P749" s="87" t="s">
        <v>107</v>
      </c>
      <c r="Q749" s="87">
        <v>17</v>
      </c>
      <c r="R749" s="69" t="s">
        <v>29</v>
      </c>
      <c r="S749" s="239">
        <v>2357615000009</v>
      </c>
      <c r="T749" s="344">
        <v>12357615000006</v>
      </c>
      <c r="U749" s="46"/>
      <c r="V749" s="46"/>
      <c r="W749" s="258">
        <v>390</v>
      </c>
      <c r="X749" s="68">
        <v>195</v>
      </c>
      <c r="Y749" s="68">
        <v>30</v>
      </c>
      <c r="Z749" s="65">
        <v>0.85799999999999998</v>
      </c>
      <c r="AA749" s="271">
        <v>0.05</v>
      </c>
      <c r="AB749" s="66">
        <f t="shared" ref="AB749:AB820" si="980">Z749+AA749</f>
        <v>0.90800000000000003</v>
      </c>
      <c r="AC749" s="59">
        <v>385</v>
      </c>
      <c r="AD749" s="60">
        <v>285</v>
      </c>
      <c r="AE749" s="60">
        <v>185</v>
      </c>
      <c r="AF749" s="191">
        <v>7</v>
      </c>
      <c r="AG749" s="117">
        <v>600000290</v>
      </c>
      <c r="AH749" s="104">
        <f>справочники!$C$59</f>
        <v>0.35199999999999998</v>
      </c>
      <c r="AI749" s="61">
        <f t="shared" si="946"/>
        <v>6</v>
      </c>
      <c r="AJ749" s="143">
        <f t="shared" si="947"/>
        <v>6.7080000000000002</v>
      </c>
      <c r="AK749" s="158">
        <v>8</v>
      </c>
      <c r="AL749" s="38">
        <v>8</v>
      </c>
      <c r="AM749" s="40">
        <f t="shared" ref="AM749:AM804" si="981">AK749*AL749</f>
        <v>64</v>
      </c>
      <c r="AN749" s="214">
        <f>IF(D749="ШТ",кол_во_инд.__упак_к*итого_г_у,ROUNDDOWN(номин.вес_нетто_г_у__кг*итого_г_у,1))</f>
        <v>384</v>
      </c>
      <c r="AO749" s="204">
        <f t="shared" si="954"/>
        <v>1625</v>
      </c>
    </row>
    <row r="750" spans="1:41" ht="56.25" x14ac:dyDescent="0.2">
      <c r="A750" s="22">
        <f t="shared" si="973"/>
        <v>7559</v>
      </c>
      <c r="B750" s="80">
        <v>1003311597559</v>
      </c>
      <c r="C750" s="48" t="s">
        <v>1740</v>
      </c>
      <c r="D750" s="87" t="s">
        <v>3</v>
      </c>
      <c r="E750" s="146" t="s">
        <v>919</v>
      </c>
      <c r="F750" s="112" t="s">
        <v>1933</v>
      </c>
      <c r="G750" s="224" t="s">
        <v>2</v>
      </c>
      <c r="H750" s="87" t="s">
        <v>358</v>
      </c>
      <c r="I750" s="155" t="s">
        <v>1225</v>
      </c>
      <c r="J750" s="150" t="s">
        <v>1651</v>
      </c>
      <c r="K750" s="51" t="s">
        <v>141</v>
      </c>
      <c r="L750" s="52">
        <v>16</v>
      </c>
      <c r="M750" s="53">
        <v>20</v>
      </c>
      <c r="N750" s="53">
        <v>0</v>
      </c>
      <c r="O750" s="88" t="s">
        <v>566</v>
      </c>
      <c r="P750" s="87" t="s">
        <v>107</v>
      </c>
      <c r="Q750" s="87">
        <v>17</v>
      </c>
      <c r="R750" s="69" t="s">
        <v>29</v>
      </c>
      <c r="S750" s="239">
        <v>2800749000006</v>
      </c>
      <c r="T750" s="344">
        <v>12800749000003</v>
      </c>
      <c r="U750" s="46"/>
      <c r="V750" s="46"/>
      <c r="W750" s="258">
        <v>390</v>
      </c>
      <c r="X750" s="68">
        <v>195</v>
      </c>
      <c r="Y750" s="68">
        <v>30</v>
      </c>
      <c r="Z750" s="65">
        <v>0.88600000000000001</v>
      </c>
      <c r="AA750" s="271">
        <v>0.05</v>
      </c>
      <c r="AB750" s="66">
        <f t="shared" si="980"/>
        <v>0.93600000000000005</v>
      </c>
      <c r="AC750" s="59">
        <v>385</v>
      </c>
      <c r="AD750" s="60">
        <v>285</v>
      </c>
      <c r="AE750" s="60">
        <v>185</v>
      </c>
      <c r="AF750" s="191">
        <v>7</v>
      </c>
      <c r="AG750" s="117">
        <v>600000290</v>
      </c>
      <c r="AH750" s="104">
        <f>справочники!$C$59</f>
        <v>0.35199999999999998</v>
      </c>
      <c r="AI750" s="61">
        <f t="shared" si="946"/>
        <v>6.2</v>
      </c>
      <c r="AJ750" s="143">
        <f t="shared" si="947"/>
        <v>6.9040000000000008</v>
      </c>
      <c r="AK750" s="158">
        <v>8</v>
      </c>
      <c r="AL750" s="38">
        <v>8</v>
      </c>
      <c r="AM750" s="40">
        <f t="shared" si="981"/>
        <v>64</v>
      </c>
      <c r="AN750" s="214">
        <f t="shared" ref="AN750" si="982">IF(D750="ШТ",кол_во_инд.__упак_к*итого_г_у,ROUNDDOWN(номин.вес_нетто_г_у__кг*итого_г_у,1))</f>
        <v>396.8</v>
      </c>
      <c r="AO750" s="204">
        <f t="shared" si="954"/>
        <v>1625</v>
      </c>
    </row>
    <row r="751" spans="1:41" ht="56.25" x14ac:dyDescent="0.2">
      <c r="A751" s="22">
        <f t="shared" si="973"/>
        <v>5407</v>
      </c>
      <c r="B751" s="80">
        <v>1003171595407</v>
      </c>
      <c r="C751" s="48" t="s">
        <v>143</v>
      </c>
      <c r="D751" s="87" t="s">
        <v>3</v>
      </c>
      <c r="E751" s="146" t="s">
        <v>919</v>
      </c>
      <c r="F751" s="112" t="s">
        <v>1933</v>
      </c>
      <c r="G751" s="224" t="s">
        <v>2</v>
      </c>
      <c r="H751" s="87" t="s">
        <v>358</v>
      </c>
      <c r="I751" s="155" t="s">
        <v>1225</v>
      </c>
      <c r="J751" s="150" t="s">
        <v>1650</v>
      </c>
      <c r="K751" s="51" t="s">
        <v>141</v>
      </c>
      <c r="L751" s="52">
        <v>13</v>
      </c>
      <c r="M751" s="53">
        <v>31</v>
      </c>
      <c r="N751" s="53">
        <v>0</v>
      </c>
      <c r="O751" s="86" t="s">
        <v>563</v>
      </c>
      <c r="P751" s="87" t="s">
        <v>107</v>
      </c>
      <c r="Q751" s="87">
        <v>17</v>
      </c>
      <c r="R751" s="69" t="s">
        <v>29</v>
      </c>
      <c r="S751" s="239">
        <v>2950700000009</v>
      </c>
      <c r="T751" s="344">
        <v>12950700000006</v>
      </c>
      <c r="U751" s="46"/>
      <c r="V751" s="46"/>
      <c r="W751" s="258"/>
      <c r="X751" s="68"/>
      <c r="Y751" s="68"/>
      <c r="Z751" s="65">
        <v>2.0750000000000002</v>
      </c>
      <c r="AA751" s="271">
        <v>0.104</v>
      </c>
      <c r="AB751" s="66">
        <f t="shared" si="980"/>
        <v>2.1790000000000003</v>
      </c>
      <c r="AC751" s="59">
        <v>385</v>
      </c>
      <c r="AD751" s="60">
        <v>285</v>
      </c>
      <c r="AE751" s="60">
        <v>185</v>
      </c>
      <c r="AF751" s="191">
        <v>4</v>
      </c>
      <c r="AG751" s="117">
        <v>600000290</v>
      </c>
      <c r="AH751" s="104">
        <f>справочники!$C$59</f>
        <v>0.35199999999999998</v>
      </c>
      <c r="AI751" s="61">
        <f t="shared" ref="AI751:AI821" si="983">ROUNDDOWN(номин.вес_нетто__кг*кол_во_инд.__упак_к,2)</f>
        <v>8.3000000000000007</v>
      </c>
      <c r="AJ751" s="143">
        <f t="shared" ref="AJ751:AJ821" si="984">(номин.вес_брутто__кг*кол_во_инд.__упак_к)+вес_короба__кг</f>
        <v>9.0680000000000014</v>
      </c>
      <c r="AK751" s="158">
        <v>8</v>
      </c>
      <c r="AL751" s="38">
        <v>8</v>
      </c>
      <c r="AM751" s="40">
        <f t="shared" si="981"/>
        <v>64</v>
      </c>
      <c r="AN751" s="214">
        <f t="shared" si="949"/>
        <v>531.20000000000005</v>
      </c>
      <c r="AO751" s="204">
        <f t="shared" si="954"/>
        <v>1625</v>
      </c>
    </row>
    <row r="752" spans="1:41" ht="56.25" x14ac:dyDescent="0.2">
      <c r="A752" s="22">
        <f t="shared" si="973"/>
        <v>5404</v>
      </c>
      <c r="B752" s="80">
        <v>1003171595404</v>
      </c>
      <c r="C752" s="48" t="s">
        <v>88</v>
      </c>
      <c r="D752" s="87" t="s">
        <v>3</v>
      </c>
      <c r="E752" s="146" t="s">
        <v>919</v>
      </c>
      <c r="F752" s="112" t="s">
        <v>1933</v>
      </c>
      <c r="G752" s="224" t="s">
        <v>2</v>
      </c>
      <c r="H752" s="87" t="s">
        <v>358</v>
      </c>
      <c r="I752" s="155" t="s">
        <v>1225</v>
      </c>
      <c r="J752" s="150" t="s">
        <v>1651</v>
      </c>
      <c r="K752" s="51" t="s">
        <v>141</v>
      </c>
      <c r="L752" s="52">
        <v>13</v>
      </c>
      <c r="M752" s="53">
        <v>31</v>
      </c>
      <c r="N752" s="53">
        <v>0</v>
      </c>
      <c r="O752" s="86" t="s">
        <v>563</v>
      </c>
      <c r="P752" s="87" t="s">
        <v>107</v>
      </c>
      <c r="Q752" s="87">
        <v>17</v>
      </c>
      <c r="R752" s="69" t="s">
        <v>29</v>
      </c>
      <c r="S752" s="239">
        <v>2412667000008</v>
      </c>
      <c r="T752" s="344">
        <v>12412667000005</v>
      </c>
      <c r="U752" s="46"/>
      <c r="V752" s="46"/>
      <c r="W752" s="258"/>
      <c r="X752" s="68"/>
      <c r="Y752" s="68"/>
      <c r="Z752" s="65">
        <v>2</v>
      </c>
      <c r="AA752" s="271">
        <v>6.7000000000000004E-2</v>
      </c>
      <c r="AB752" s="66">
        <f t="shared" si="980"/>
        <v>2.0670000000000002</v>
      </c>
      <c r="AC752" s="59">
        <v>385</v>
      </c>
      <c r="AD752" s="60">
        <v>285</v>
      </c>
      <c r="AE752" s="60">
        <v>185</v>
      </c>
      <c r="AF752" s="191">
        <v>4</v>
      </c>
      <c r="AG752" s="117">
        <v>600000290</v>
      </c>
      <c r="AH752" s="104">
        <f>справочники!$C$59</f>
        <v>0.35199999999999998</v>
      </c>
      <c r="AI752" s="61">
        <f t="shared" si="983"/>
        <v>8</v>
      </c>
      <c r="AJ752" s="142">
        <f t="shared" si="984"/>
        <v>8.620000000000001</v>
      </c>
      <c r="AK752" s="158">
        <v>8</v>
      </c>
      <c r="AL752" s="38">
        <v>8</v>
      </c>
      <c r="AM752" s="40">
        <f t="shared" si="981"/>
        <v>64</v>
      </c>
      <c r="AN752" s="214">
        <f t="shared" si="949"/>
        <v>512</v>
      </c>
      <c r="AO752" s="204">
        <f t="shared" si="954"/>
        <v>1625</v>
      </c>
    </row>
    <row r="753" spans="1:41" ht="56.25" x14ac:dyDescent="0.2">
      <c r="A753" s="22">
        <f t="shared" si="973"/>
        <v>5405</v>
      </c>
      <c r="B753" s="80">
        <v>1003171595405</v>
      </c>
      <c r="C753" s="48" t="s">
        <v>87</v>
      </c>
      <c r="D753" s="87" t="s">
        <v>3</v>
      </c>
      <c r="E753" s="146" t="s">
        <v>919</v>
      </c>
      <c r="F753" s="112" t="s">
        <v>1933</v>
      </c>
      <c r="G753" s="224" t="s">
        <v>2</v>
      </c>
      <c r="H753" s="87" t="s">
        <v>358</v>
      </c>
      <c r="I753" s="155" t="s">
        <v>1225</v>
      </c>
      <c r="J753" s="150" t="s">
        <v>1651</v>
      </c>
      <c r="K753" s="51" t="s">
        <v>141</v>
      </c>
      <c r="L753" s="52">
        <v>13</v>
      </c>
      <c r="M753" s="53">
        <v>31</v>
      </c>
      <c r="N753" s="53">
        <v>0</v>
      </c>
      <c r="O753" s="86" t="s">
        <v>563</v>
      </c>
      <c r="P753" s="87" t="s">
        <v>107</v>
      </c>
      <c r="Q753" s="87">
        <v>17</v>
      </c>
      <c r="R753" s="69" t="s">
        <v>29</v>
      </c>
      <c r="S753" s="239">
        <v>2808260000000</v>
      </c>
      <c r="T753" s="344">
        <v>12808260000007</v>
      </c>
      <c r="U753" s="46"/>
      <c r="V753" s="46"/>
      <c r="W753" s="258"/>
      <c r="X753" s="68"/>
      <c r="Y753" s="68"/>
      <c r="Z753" s="65">
        <v>2</v>
      </c>
      <c r="AA753" s="271">
        <v>6.7000000000000004E-2</v>
      </c>
      <c r="AB753" s="66">
        <f t="shared" si="980"/>
        <v>2.0670000000000002</v>
      </c>
      <c r="AC753" s="59">
        <v>385</v>
      </c>
      <c r="AD753" s="60">
        <v>285</v>
      </c>
      <c r="AE753" s="60">
        <v>185</v>
      </c>
      <c r="AF753" s="191">
        <v>4</v>
      </c>
      <c r="AG753" s="117">
        <v>600000290</v>
      </c>
      <c r="AH753" s="104">
        <f>справочники!$C$59</f>
        <v>0.35199999999999998</v>
      </c>
      <c r="AI753" s="61">
        <f t="shared" si="983"/>
        <v>8</v>
      </c>
      <c r="AJ753" s="142">
        <f t="shared" si="984"/>
        <v>8.620000000000001</v>
      </c>
      <c r="AK753" s="158">
        <v>8</v>
      </c>
      <c r="AL753" s="38">
        <v>8</v>
      </c>
      <c r="AM753" s="40">
        <f t="shared" si="981"/>
        <v>64</v>
      </c>
      <c r="AN753" s="214">
        <f t="shared" si="949"/>
        <v>512</v>
      </c>
      <c r="AO753" s="204">
        <f t="shared" si="954"/>
        <v>1625</v>
      </c>
    </row>
    <row r="754" spans="1:41" ht="56.25" x14ac:dyDescent="0.2">
      <c r="A754" s="22">
        <f t="shared" si="973"/>
        <v>5425</v>
      </c>
      <c r="B754" s="80">
        <v>1003171735425</v>
      </c>
      <c r="C754" s="48" t="s">
        <v>145</v>
      </c>
      <c r="D754" s="87" t="s">
        <v>3</v>
      </c>
      <c r="E754" s="146" t="s">
        <v>919</v>
      </c>
      <c r="F754" s="112" t="s">
        <v>1933</v>
      </c>
      <c r="G754" s="224" t="s">
        <v>2</v>
      </c>
      <c r="H754" s="87" t="s">
        <v>358</v>
      </c>
      <c r="I754" s="155" t="s">
        <v>1225</v>
      </c>
      <c r="J754" s="150" t="s">
        <v>1540</v>
      </c>
      <c r="K754" s="51" t="s">
        <v>140</v>
      </c>
      <c r="L754" s="52">
        <v>16</v>
      </c>
      <c r="M754" s="53">
        <v>18</v>
      </c>
      <c r="N754" s="53">
        <v>0</v>
      </c>
      <c r="O754" s="88" t="s">
        <v>549</v>
      </c>
      <c r="P754" s="87" t="s">
        <v>107</v>
      </c>
      <c r="Q754" s="87">
        <v>21</v>
      </c>
      <c r="R754" s="69" t="s">
        <v>28</v>
      </c>
      <c r="S754" s="239">
        <v>2898070000000</v>
      </c>
      <c r="T754" s="344">
        <v>12898070000007</v>
      </c>
      <c r="U754" s="46"/>
      <c r="V754" s="46"/>
      <c r="W754" s="258">
        <v>398</v>
      </c>
      <c r="X754" s="68">
        <v>195</v>
      </c>
      <c r="Y754" s="68">
        <v>85</v>
      </c>
      <c r="Z754" s="65">
        <v>2.15</v>
      </c>
      <c r="AA754" s="271">
        <v>0.04</v>
      </c>
      <c r="AB754" s="66">
        <f t="shared" si="980"/>
        <v>2.19</v>
      </c>
      <c r="AC754" s="59">
        <v>385</v>
      </c>
      <c r="AD754" s="60">
        <v>285</v>
      </c>
      <c r="AE754" s="60">
        <v>185</v>
      </c>
      <c r="AF754" s="191">
        <v>4</v>
      </c>
      <c r="AG754" s="117">
        <v>600000290</v>
      </c>
      <c r="AH754" s="104">
        <f>справочники!$C$59</f>
        <v>0.35199999999999998</v>
      </c>
      <c r="AI754" s="61">
        <f t="shared" si="983"/>
        <v>8.6</v>
      </c>
      <c r="AJ754" s="143">
        <f t="shared" si="984"/>
        <v>9.1120000000000001</v>
      </c>
      <c r="AK754" s="158">
        <v>8</v>
      </c>
      <c r="AL754" s="38">
        <v>8</v>
      </c>
      <c r="AM754" s="40">
        <f t="shared" si="981"/>
        <v>64</v>
      </c>
      <c r="AN754" s="214">
        <f t="shared" ref="AN754:AN820" si="985">IF(D754="ШТ",кол_во_инд.__упак_к*итого_г_у,ROUNDDOWN(номин.вес_нетто_г_у__кг*итого_г_у,1))</f>
        <v>550.4</v>
      </c>
      <c r="AO754" s="204">
        <f t="shared" si="954"/>
        <v>1625</v>
      </c>
    </row>
    <row r="755" spans="1:41" ht="56.25" x14ac:dyDescent="0.2">
      <c r="A755" s="22">
        <f t="shared" si="973"/>
        <v>5423</v>
      </c>
      <c r="B755" s="80">
        <v>1003171735423</v>
      </c>
      <c r="C755" s="48" t="s">
        <v>146</v>
      </c>
      <c r="D755" s="87" t="s">
        <v>3</v>
      </c>
      <c r="E755" s="146" t="s">
        <v>919</v>
      </c>
      <c r="F755" s="112" t="s">
        <v>1933</v>
      </c>
      <c r="G755" s="224" t="s">
        <v>2</v>
      </c>
      <c r="H755" s="87" t="s">
        <v>358</v>
      </c>
      <c r="I755" s="155" t="s">
        <v>1225</v>
      </c>
      <c r="J755" s="150" t="s">
        <v>1540</v>
      </c>
      <c r="K755" s="51" t="s">
        <v>140</v>
      </c>
      <c r="L755" s="52">
        <v>16</v>
      </c>
      <c r="M755" s="53">
        <v>18</v>
      </c>
      <c r="N755" s="53">
        <v>0</v>
      </c>
      <c r="O755" s="88" t="s">
        <v>549</v>
      </c>
      <c r="P755" s="87" t="s">
        <v>107</v>
      </c>
      <c r="Q755" s="87">
        <v>21</v>
      </c>
      <c r="R755" s="69" t="s">
        <v>28</v>
      </c>
      <c r="S755" s="239">
        <v>2805094000008</v>
      </c>
      <c r="T755" s="344">
        <v>12805094000005</v>
      </c>
      <c r="U755" s="46"/>
      <c r="V755" s="46"/>
      <c r="W755" s="258">
        <v>398</v>
      </c>
      <c r="X755" s="68">
        <v>195</v>
      </c>
      <c r="Y755" s="68">
        <v>85</v>
      </c>
      <c r="Z755" s="65">
        <v>2.1749999999999998</v>
      </c>
      <c r="AA755" s="271">
        <v>0.04</v>
      </c>
      <c r="AB755" s="66">
        <f t="shared" si="980"/>
        <v>2.2149999999999999</v>
      </c>
      <c r="AC755" s="59">
        <v>385</v>
      </c>
      <c r="AD755" s="60">
        <v>285</v>
      </c>
      <c r="AE755" s="60">
        <v>185</v>
      </c>
      <c r="AF755" s="191">
        <v>4</v>
      </c>
      <c r="AG755" s="117">
        <v>600000290</v>
      </c>
      <c r="AH755" s="104">
        <f>справочники!$C$59</f>
        <v>0.35199999999999998</v>
      </c>
      <c r="AI755" s="61">
        <f t="shared" si="983"/>
        <v>8.6999999999999993</v>
      </c>
      <c r="AJ755" s="143">
        <f t="shared" si="984"/>
        <v>9.2119999999999997</v>
      </c>
      <c r="AK755" s="158">
        <v>8</v>
      </c>
      <c r="AL755" s="38">
        <v>8</v>
      </c>
      <c r="AM755" s="40">
        <f t="shared" si="981"/>
        <v>64</v>
      </c>
      <c r="AN755" s="214">
        <f t="shared" si="985"/>
        <v>556.79999999999995</v>
      </c>
      <c r="AO755" s="204">
        <f t="shared" si="954"/>
        <v>1625</v>
      </c>
    </row>
    <row r="756" spans="1:41" ht="56.25" x14ac:dyDescent="0.2">
      <c r="A756" s="22">
        <f t="shared" si="973"/>
        <v>7041</v>
      </c>
      <c r="B756" s="80">
        <v>1003311737041</v>
      </c>
      <c r="C756" s="48" t="s">
        <v>146</v>
      </c>
      <c r="D756" s="87" t="s">
        <v>3</v>
      </c>
      <c r="E756" s="146" t="s">
        <v>919</v>
      </c>
      <c r="F756" s="112" t="s">
        <v>1933</v>
      </c>
      <c r="G756" s="224" t="s">
        <v>2</v>
      </c>
      <c r="H756" s="87" t="s">
        <v>358</v>
      </c>
      <c r="I756" s="155" t="s">
        <v>1225</v>
      </c>
      <c r="J756" s="150" t="s">
        <v>1540</v>
      </c>
      <c r="K756" s="51" t="s">
        <v>140</v>
      </c>
      <c r="L756" s="52">
        <v>16</v>
      </c>
      <c r="M756" s="53">
        <v>18</v>
      </c>
      <c r="N756" s="53">
        <v>0</v>
      </c>
      <c r="O756" s="88" t="s">
        <v>549</v>
      </c>
      <c r="P756" s="87" t="s">
        <v>107</v>
      </c>
      <c r="Q756" s="87">
        <v>21</v>
      </c>
      <c r="R756" s="69" t="s">
        <v>28</v>
      </c>
      <c r="S756" s="239">
        <v>2805094000008</v>
      </c>
      <c r="T756" s="344">
        <v>12805094000005</v>
      </c>
      <c r="U756" s="46"/>
      <c r="V756" s="46"/>
      <c r="W756" s="258">
        <v>398</v>
      </c>
      <c r="X756" s="68">
        <v>195</v>
      </c>
      <c r="Y756" s="68">
        <v>85</v>
      </c>
      <c r="Z756" s="65">
        <v>2.0750000000000002</v>
      </c>
      <c r="AA756" s="271">
        <v>0.04</v>
      </c>
      <c r="AB756" s="66">
        <f>Z756+AA756</f>
        <v>2.1150000000000002</v>
      </c>
      <c r="AC756" s="59">
        <v>385</v>
      </c>
      <c r="AD756" s="60">
        <v>285</v>
      </c>
      <c r="AE756" s="60">
        <v>185</v>
      </c>
      <c r="AF756" s="191">
        <v>4</v>
      </c>
      <c r="AG756" s="117">
        <v>600000290</v>
      </c>
      <c r="AH756" s="104">
        <f>справочники!$C$59</f>
        <v>0.35199999999999998</v>
      </c>
      <c r="AI756" s="61">
        <f t="shared" si="983"/>
        <v>8.3000000000000007</v>
      </c>
      <c r="AJ756" s="143">
        <f t="shared" si="984"/>
        <v>8.8120000000000012</v>
      </c>
      <c r="AK756" s="158">
        <v>8</v>
      </c>
      <c r="AL756" s="38">
        <v>8</v>
      </c>
      <c r="AM756" s="40">
        <f>AK756*AL756</f>
        <v>64</v>
      </c>
      <c r="AN756" s="214">
        <f>IF(D756="ШТ",кол_во_инд.__упак_к*итого_г_у,ROUNDDOWN(номин.вес_нетто_г_у__кг*итого_г_у,1))</f>
        <v>531.20000000000005</v>
      </c>
      <c r="AO756" s="204">
        <f t="shared" si="954"/>
        <v>1625</v>
      </c>
    </row>
    <row r="757" spans="1:41" ht="56.25" x14ac:dyDescent="0.2">
      <c r="A757" s="22">
        <f t="shared" si="973"/>
        <v>5424</v>
      </c>
      <c r="B757" s="80">
        <v>1003171735424</v>
      </c>
      <c r="C757" s="48" t="s">
        <v>147</v>
      </c>
      <c r="D757" s="87" t="s">
        <v>3</v>
      </c>
      <c r="E757" s="146" t="s">
        <v>919</v>
      </c>
      <c r="F757" s="112" t="s">
        <v>1933</v>
      </c>
      <c r="G757" s="224" t="s">
        <v>2</v>
      </c>
      <c r="H757" s="87" t="s">
        <v>358</v>
      </c>
      <c r="I757" s="155" t="s">
        <v>1225</v>
      </c>
      <c r="J757" s="150" t="s">
        <v>1540</v>
      </c>
      <c r="K757" s="51" t="s">
        <v>140</v>
      </c>
      <c r="L757" s="52">
        <v>16</v>
      </c>
      <c r="M757" s="53">
        <v>18</v>
      </c>
      <c r="N757" s="53">
        <v>0</v>
      </c>
      <c r="O757" s="88" t="s">
        <v>549</v>
      </c>
      <c r="P757" s="87" t="s">
        <v>107</v>
      </c>
      <c r="Q757" s="87">
        <v>21</v>
      </c>
      <c r="R757" s="69" t="s">
        <v>28</v>
      </c>
      <c r="S757" s="239">
        <v>2898070000000</v>
      </c>
      <c r="T757" s="344">
        <v>12898070000007</v>
      </c>
      <c r="U757" s="46"/>
      <c r="V757" s="46"/>
      <c r="W757" s="258">
        <v>398</v>
      </c>
      <c r="X757" s="68">
        <v>195</v>
      </c>
      <c r="Y757" s="68">
        <v>85</v>
      </c>
      <c r="Z757" s="65">
        <v>2.1749999999999998</v>
      </c>
      <c r="AA757" s="271">
        <v>0.04</v>
      </c>
      <c r="AB757" s="66">
        <f t="shared" si="980"/>
        <v>2.2149999999999999</v>
      </c>
      <c r="AC757" s="59">
        <v>385</v>
      </c>
      <c r="AD757" s="60">
        <v>285</v>
      </c>
      <c r="AE757" s="60">
        <v>185</v>
      </c>
      <c r="AF757" s="191">
        <v>4</v>
      </c>
      <c r="AG757" s="117">
        <v>600000290</v>
      </c>
      <c r="AH757" s="104">
        <f>справочники!$C$59</f>
        <v>0.35199999999999998</v>
      </c>
      <c r="AI757" s="61">
        <f t="shared" si="983"/>
        <v>8.6999999999999993</v>
      </c>
      <c r="AJ757" s="143">
        <f t="shared" si="984"/>
        <v>9.2119999999999997</v>
      </c>
      <c r="AK757" s="158">
        <v>8</v>
      </c>
      <c r="AL757" s="38">
        <v>8</v>
      </c>
      <c r="AM757" s="40">
        <f t="shared" si="981"/>
        <v>64</v>
      </c>
      <c r="AN757" s="214">
        <f t="shared" si="985"/>
        <v>556.79999999999995</v>
      </c>
      <c r="AO757" s="204">
        <f t="shared" si="954"/>
        <v>1625</v>
      </c>
    </row>
    <row r="758" spans="1:41" ht="56.25" x14ac:dyDescent="0.2">
      <c r="A758" s="22">
        <f t="shared" si="973"/>
        <v>7551</v>
      </c>
      <c r="B758" s="80">
        <v>1003311737551</v>
      </c>
      <c r="C758" s="48" t="s">
        <v>1735</v>
      </c>
      <c r="D758" s="87" t="s">
        <v>3</v>
      </c>
      <c r="E758" s="146" t="s">
        <v>919</v>
      </c>
      <c r="F758" s="112" t="s">
        <v>1933</v>
      </c>
      <c r="G758" s="224" t="s">
        <v>2</v>
      </c>
      <c r="H758" s="87" t="s">
        <v>358</v>
      </c>
      <c r="I758" s="155" t="s">
        <v>1225</v>
      </c>
      <c r="J758" s="150" t="s">
        <v>1540</v>
      </c>
      <c r="K758" s="51" t="s">
        <v>140</v>
      </c>
      <c r="L758" s="52">
        <v>16</v>
      </c>
      <c r="M758" s="53">
        <v>18</v>
      </c>
      <c r="N758" s="53">
        <v>0</v>
      </c>
      <c r="O758" s="88" t="s">
        <v>549</v>
      </c>
      <c r="P758" s="87" t="s">
        <v>107</v>
      </c>
      <c r="Q758" s="87">
        <v>21</v>
      </c>
      <c r="R758" s="69" t="s">
        <v>28</v>
      </c>
      <c r="S758" s="239">
        <v>2513829000000</v>
      </c>
      <c r="T758" s="344">
        <v>12513829000007</v>
      </c>
      <c r="U758" s="46"/>
      <c r="V758" s="46"/>
      <c r="W758" s="258">
        <v>398</v>
      </c>
      <c r="X758" s="68">
        <v>195</v>
      </c>
      <c r="Y758" s="68">
        <v>85</v>
      </c>
      <c r="Z758" s="65">
        <v>2.15</v>
      </c>
      <c r="AA758" s="271">
        <v>0.04</v>
      </c>
      <c r="AB758" s="66">
        <f t="shared" ref="AB758" si="986">Z758+AA758</f>
        <v>2.19</v>
      </c>
      <c r="AC758" s="59">
        <v>385</v>
      </c>
      <c r="AD758" s="60">
        <v>285</v>
      </c>
      <c r="AE758" s="60">
        <v>185</v>
      </c>
      <c r="AF758" s="191">
        <v>4</v>
      </c>
      <c r="AG758" s="117">
        <v>600000290</v>
      </c>
      <c r="AH758" s="104">
        <f>справочники!$C$59</f>
        <v>0.35199999999999998</v>
      </c>
      <c r="AI758" s="61">
        <f t="shared" si="983"/>
        <v>8.6</v>
      </c>
      <c r="AJ758" s="143">
        <f t="shared" si="984"/>
        <v>9.1120000000000001</v>
      </c>
      <c r="AK758" s="158">
        <v>8</v>
      </c>
      <c r="AL758" s="38">
        <v>8</v>
      </c>
      <c r="AM758" s="40">
        <f t="shared" ref="AM758" si="987">AK758*AL758</f>
        <v>64</v>
      </c>
      <c r="AN758" s="214">
        <f t="shared" ref="AN758" si="988">IF(D758="ШТ",кол_во_инд.__упак_к*итого_г_у,ROUNDDOWN(номин.вес_нетто_г_у__кг*итого_г_у,1))</f>
        <v>550.4</v>
      </c>
      <c r="AO758" s="204">
        <f t="shared" si="954"/>
        <v>1625</v>
      </c>
    </row>
    <row r="759" spans="1:41" ht="102" x14ac:dyDescent="0.2">
      <c r="A759" s="22">
        <f t="shared" si="973"/>
        <v>5418</v>
      </c>
      <c r="B759" s="80">
        <v>1003162215418</v>
      </c>
      <c r="C759" s="138" t="s">
        <v>99</v>
      </c>
      <c r="D759" s="87" t="s">
        <v>3</v>
      </c>
      <c r="E759" s="146" t="s">
        <v>919</v>
      </c>
      <c r="F759" s="112" t="s">
        <v>1931</v>
      </c>
      <c r="G759" s="224" t="s">
        <v>2</v>
      </c>
      <c r="H759" s="87" t="s">
        <v>1</v>
      </c>
      <c r="I759" s="155" t="s">
        <v>1225</v>
      </c>
      <c r="J759" s="150" t="s">
        <v>1236</v>
      </c>
      <c r="K759" s="83" t="s">
        <v>1239</v>
      </c>
      <c r="L759" s="52">
        <v>12</v>
      </c>
      <c r="M759" s="53">
        <v>10</v>
      </c>
      <c r="N759" s="53">
        <v>1</v>
      </c>
      <c r="O759" s="88" t="s">
        <v>128</v>
      </c>
      <c r="P759" s="114" t="s">
        <v>105</v>
      </c>
      <c r="Q759" s="87">
        <v>12</v>
      </c>
      <c r="R759" s="69" t="s">
        <v>29</v>
      </c>
      <c r="S759" s="237">
        <v>2528744000004</v>
      </c>
      <c r="T759" s="332">
        <v>12528744000001</v>
      </c>
      <c r="U759" s="46"/>
      <c r="V759" s="46"/>
      <c r="W759" s="258">
        <v>185</v>
      </c>
      <c r="X759" s="68">
        <v>185</v>
      </c>
      <c r="Y759" s="68">
        <v>120</v>
      </c>
      <c r="Z759" s="65">
        <v>2.0249999999999999</v>
      </c>
      <c r="AA759" s="271">
        <v>9.8000000000000004E-2</v>
      </c>
      <c r="AB759" s="66">
        <f t="shared" si="980"/>
        <v>2.1229999999999998</v>
      </c>
      <c r="AC759" s="59">
        <v>383</v>
      </c>
      <c r="AD759" s="60">
        <v>193</v>
      </c>
      <c r="AE759" s="60">
        <v>133</v>
      </c>
      <c r="AF759" s="191">
        <v>2</v>
      </c>
      <c r="AG759" s="117">
        <v>600000230</v>
      </c>
      <c r="AH759" s="104">
        <f>справочники!$C$51</f>
        <v>0.152</v>
      </c>
      <c r="AI759" s="61">
        <f t="shared" si="983"/>
        <v>4.05</v>
      </c>
      <c r="AJ759" s="142">
        <f t="shared" si="984"/>
        <v>4.3979999999999997</v>
      </c>
      <c r="AK759" s="158">
        <v>12</v>
      </c>
      <c r="AL759" s="38">
        <v>7</v>
      </c>
      <c r="AM759" s="40">
        <f t="shared" si="981"/>
        <v>84</v>
      </c>
      <c r="AN759" s="214">
        <f t="shared" si="985"/>
        <v>340.2</v>
      </c>
      <c r="AO759" s="204">
        <f t="shared" si="954"/>
        <v>1076</v>
      </c>
    </row>
    <row r="760" spans="1:41" ht="63" customHeight="1" x14ac:dyDescent="0.2">
      <c r="A760" s="22">
        <f t="shared" si="973"/>
        <v>7273</v>
      </c>
      <c r="B760" s="80">
        <v>1003352217273</v>
      </c>
      <c r="C760" s="138" t="s">
        <v>1235</v>
      </c>
      <c r="D760" s="87" t="s">
        <v>3</v>
      </c>
      <c r="E760" s="146" t="s">
        <v>919</v>
      </c>
      <c r="F760" s="112" t="s">
        <v>1931</v>
      </c>
      <c r="G760" s="224" t="s">
        <v>2</v>
      </c>
      <c r="H760" s="87" t="s">
        <v>358</v>
      </c>
      <c r="I760" s="155" t="s">
        <v>1225</v>
      </c>
      <c r="J760" s="150" t="s">
        <v>1236</v>
      </c>
      <c r="K760" s="83" t="s">
        <v>1239</v>
      </c>
      <c r="L760" s="52">
        <v>12</v>
      </c>
      <c r="M760" s="53">
        <v>10</v>
      </c>
      <c r="N760" s="53">
        <v>1</v>
      </c>
      <c r="O760" s="88" t="s">
        <v>1240</v>
      </c>
      <c r="P760" s="114" t="s">
        <v>105</v>
      </c>
      <c r="Q760" s="87">
        <v>12</v>
      </c>
      <c r="R760" s="69" t="s">
        <v>29</v>
      </c>
      <c r="S760" s="237">
        <v>2528744000004</v>
      </c>
      <c r="T760" s="332">
        <v>12528744000001</v>
      </c>
      <c r="U760" s="46"/>
      <c r="V760" s="46"/>
      <c r="W760" s="258">
        <v>185</v>
      </c>
      <c r="X760" s="68">
        <v>185</v>
      </c>
      <c r="Y760" s="68">
        <v>120</v>
      </c>
      <c r="Z760" s="65">
        <v>2</v>
      </c>
      <c r="AA760" s="271">
        <v>9.8000000000000004E-2</v>
      </c>
      <c r="AB760" s="66">
        <f t="shared" ref="AB760" si="989">Z760+AA760</f>
        <v>2.0979999999999999</v>
      </c>
      <c r="AC760" s="59">
        <v>383</v>
      </c>
      <c r="AD760" s="60">
        <v>193</v>
      </c>
      <c r="AE760" s="60">
        <v>133</v>
      </c>
      <c r="AF760" s="191">
        <v>2</v>
      </c>
      <c r="AG760" s="117">
        <v>600000230</v>
      </c>
      <c r="AH760" s="104">
        <f>справочники!$C$51</f>
        <v>0.152</v>
      </c>
      <c r="AI760" s="61">
        <f t="shared" si="983"/>
        <v>4</v>
      </c>
      <c r="AJ760" s="142">
        <f t="shared" si="984"/>
        <v>4.3479999999999999</v>
      </c>
      <c r="AK760" s="158">
        <v>12</v>
      </c>
      <c r="AL760" s="38">
        <v>7</v>
      </c>
      <c r="AM760" s="40">
        <f t="shared" ref="AM760" si="990">AK760*AL760</f>
        <v>84</v>
      </c>
      <c r="AN760" s="214">
        <f t="shared" ref="AN760" si="991">IF(D760="ШТ",кол_во_инд.__упак_к*итого_г_у,ROUNDDOWN(номин.вес_нетто_г_у__кг*итого_г_у,1))</f>
        <v>336</v>
      </c>
      <c r="AO760" s="204">
        <f t="shared" si="954"/>
        <v>1076</v>
      </c>
    </row>
    <row r="761" spans="1:41" ht="102" x14ac:dyDescent="0.2">
      <c r="A761" s="22">
        <f t="shared" si="973"/>
        <v>6515</v>
      </c>
      <c r="B761" s="80">
        <v>1003162216515</v>
      </c>
      <c r="C761" s="138" t="s">
        <v>598</v>
      </c>
      <c r="D761" s="87" t="s">
        <v>3</v>
      </c>
      <c r="E761" s="146" t="s">
        <v>919</v>
      </c>
      <c r="F761" s="112" t="s">
        <v>1931</v>
      </c>
      <c r="G761" s="224" t="s">
        <v>2</v>
      </c>
      <c r="H761" s="87" t="s">
        <v>1</v>
      </c>
      <c r="I761" s="155" t="s">
        <v>1225</v>
      </c>
      <c r="J761" s="150" t="s">
        <v>1236</v>
      </c>
      <c r="K761" s="83" t="s">
        <v>1239</v>
      </c>
      <c r="L761" s="52">
        <v>12</v>
      </c>
      <c r="M761" s="53">
        <v>10</v>
      </c>
      <c r="N761" s="53">
        <v>1</v>
      </c>
      <c r="O761" s="88" t="s">
        <v>1240</v>
      </c>
      <c r="P761" s="114" t="s">
        <v>105</v>
      </c>
      <c r="Q761" s="87">
        <v>12</v>
      </c>
      <c r="R761" s="69" t="s">
        <v>29</v>
      </c>
      <c r="S761" s="237">
        <v>2355951000004</v>
      </c>
      <c r="T761" s="332">
        <v>12355951000001</v>
      </c>
      <c r="U761" s="46"/>
      <c r="V761" s="46"/>
      <c r="W761" s="258">
        <v>185</v>
      </c>
      <c r="X761" s="68">
        <v>185</v>
      </c>
      <c r="Y761" s="68">
        <v>120</v>
      </c>
      <c r="Z761" s="65">
        <v>2</v>
      </c>
      <c r="AA761" s="271">
        <v>9.8000000000000004E-2</v>
      </c>
      <c r="AB761" s="66">
        <f>Z761+AA761</f>
        <v>2.0979999999999999</v>
      </c>
      <c r="AC761" s="59">
        <v>383</v>
      </c>
      <c r="AD761" s="60">
        <v>193</v>
      </c>
      <c r="AE761" s="60">
        <v>133</v>
      </c>
      <c r="AF761" s="191">
        <v>2</v>
      </c>
      <c r="AG761" s="117">
        <v>600000230</v>
      </c>
      <c r="AH761" s="104">
        <f>справочники!$C$51</f>
        <v>0.152</v>
      </c>
      <c r="AI761" s="61">
        <f t="shared" si="983"/>
        <v>4</v>
      </c>
      <c r="AJ761" s="142">
        <f t="shared" si="984"/>
        <v>4.3479999999999999</v>
      </c>
      <c r="AK761" s="158">
        <v>12</v>
      </c>
      <c r="AL761" s="38">
        <v>7</v>
      </c>
      <c r="AM761" s="40">
        <f>AK761*AL761</f>
        <v>84</v>
      </c>
      <c r="AN761" s="214">
        <f>IF(D761="ШТ",кол_во_инд.__упак_к*итого_г_у,ROUNDDOWN(номин.вес_нетто_г_у__кг*итого_г_у,1))</f>
        <v>336</v>
      </c>
      <c r="AO761" s="204">
        <f t="shared" si="954"/>
        <v>1076</v>
      </c>
    </row>
    <row r="762" spans="1:41" ht="102" x14ac:dyDescent="0.2">
      <c r="A762" s="22">
        <f t="shared" si="973"/>
        <v>5467</v>
      </c>
      <c r="B762" s="80">
        <v>1003162215467</v>
      </c>
      <c r="C762" s="138" t="s">
        <v>100</v>
      </c>
      <c r="D762" s="87" t="s">
        <v>3</v>
      </c>
      <c r="E762" s="146" t="s">
        <v>919</v>
      </c>
      <c r="F762" s="112" t="s">
        <v>1931</v>
      </c>
      <c r="G762" s="224" t="s">
        <v>2</v>
      </c>
      <c r="H762" s="87" t="s">
        <v>358</v>
      </c>
      <c r="I762" s="155" t="s">
        <v>1225</v>
      </c>
      <c r="J762" s="150" t="s">
        <v>1236</v>
      </c>
      <c r="K762" s="83" t="s">
        <v>1239</v>
      </c>
      <c r="L762" s="52">
        <v>12</v>
      </c>
      <c r="M762" s="53">
        <v>10</v>
      </c>
      <c r="N762" s="53">
        <v>1</v>
      </c>
      <c r="O762" s="88" t="s">
        <v>1240</v>
      </c>
      <c r="P762" s="114" t="s">
        <v>105</v>
      </c>
      <c r="Q762" s="87">
        <v>12</v>
      </c>
      <c r="R762" s="69" t="s">
        <v>29</v>
      </c>
      <c r="S762" s="237">
        <v>2962940000008</v>
      </c>
      <c r="T762" s="332">
        <v>12962940000005</v>
      </c>
      <c r="U762" s="46"/>
      <c r="V762" s="46"/>
      <c r="W762" s="258">
        <v>185</v>
      </c>
      <c r="X762" s="68">
        <v>185</v>
      </c>
      <c r="Y762" s="68">
        <v>120</v>
      </c>
      <c r="Z762" s="65">
        <v>2</v>
      </c>
      <c r="AA762" s="271">
        <v>9.8000000000000004E-2</v>
      </c>
      <c r="AB762" s="66">
        <f t="shared" si="980"/>
        <v>2.0979999999999999</v>
      </c>
      <c r="AC762" s="59">
        <v>383</v>
      </c>
      <c r="AD762" s="60">
        <v>193</v>
      </c>
      <c r="AE762" s="60">
        <v>133</v>
      </c>
      <c r="AF762" s="191">
        <v>2</v>
      </c>
      <c r="AG762" s="117">
        <v>600000230</v>
      </c>
      <c r="AH762" s="104">
        <f>справочники!$C$51</f>
        <v>0.152</v>
      </c>
      <c r="AI762" s="61">
        <f t="shared" si="983"/>
        <v>4</v>
      </c>
      <c r="AJ762" s="142">
        <f t="shared" si="984"/>
        <v>4.3479999999999999</v>
      </c>
      <c r="AK762" s="158">
        <v>12</v>
      </c>
      <c r="AL762" s="38">
        <v>7</v>
      </c>
      <c r="AM762" s="40">
        <f t="shared" si="981"/>
        <v>84</v>
      </c>
      <c r="AN762" s="214">
        <f t="shared" si="985"/>
        <v>336</v>
      </c>
      <c r="AO762" s="204">
        <f t="shared" si="954"/>
        <v>1076</v>
      </c>
    </row>
    <row r="763" spans="1:41" ht="102" x14ac:dyDescent="0.2">
      <c r="A763" s="22">
        <f t="shared" si="973"/>
        <v>5468</v>
      </c>
      <c r="B763" s="80">
        <v>1003162215468</v>
      </c>
      <c r="C763" s="137" t="s">
        <v>120</v>
      </c>
      <c r="D763" s="87" t="s">
        <v>3</v>
      </c>
      <c r="E763" s="146" t="s">
        <v>919</v>
      </c>
      <c r="F763" s="112" t="s">
        <v>1931</v>
      </c>
      <c r="G763" s="224" t="s">
        <v>2</v>
      </c>
      <c r="H763" s="87" t="s">
        <v>1</v>
      </c>
      <c r="I763" s="155" t="s">
        <v>1225</v>
      </c>
      <c r="J763" s="150" t="s">
        <v>1236</v>
      </c>
      <c r="K763" s="83" t="s">
        <v>1239</v>
      </c>
      <c r="L763" s="52">
        <v>12</v>
      </c>
      <c r="M763" s="53">
        <v>10</v>
      </c>
      <c r="N763" s="53">
        <v>1</v>
      </c>
      <c r="O763" s="88" t="s">
        <v>1240</v>
      </c>
      <c r="P763" s="114" t="s">
        <v>105</v>
      </c>
      <c r="Q763" s="87">
        <v>12</v>
      </c>
      <c r="R763" s="69" t="s">
        <v>29</v>
      </c>
      <c r="S763" s="239">
        <v>2405424000007</v>
      </c>
      <c r="T763" s="344">
        <v>12405424000004</v>
      </c>
      <c r="U763" s="46"/>
      <c r="V763" s="46"/>
      <c r="W763" s="258">
        <v>185</v>
      </c>
      <c r="X763" s="68">
        <v>185</v>
      </c>
      <c r="Y763" s="68">
        <v>120</v>
      </c>
      <c r="Z763" s="92">
        <v>2</v>
      </c>
      <c r="AA763" s="271">
        <v>9.8000000000000004E-2</v>
      </c>
      <c r="AB763" s="94">
        <f t="shared" si="980"/>
        <v>2.0979999999999999</v>
      </c>
      <c r="AC763" s="59">
        <v>383</v>
      </c>
      <c r="AD763" s="60">
        <v>193</v>
      </c>
      <c r="AE763" s="60">
        <v>133</v>
      </c>
      <c r="AF763" s="191">
        <v>2</v>
      </c>
      <c r="AG763" s="117">
        <v>600000230</v>
      </c>
      <c r="AH763" s="104">
        <f>справочники!$C$51</f>
        <v>0.152</v>
      </c>
      <c r="AI763" s="61">
        <f t="shared" si="983"/>
        <v>4</v>
      </c>
      <c r="AJ763" s="142">
        <f t="shared" si="984"/>
        <v>4.3479999999999999</v>
      </c>
      <c r="AK763" s="158">
        <v>12</v>
      </c>
      <c r="AL763" s="38">
        <v>7</v>
      </c>
      <c r="AM763" s="40">
        <f t="shared" si="981"/>
        <v>84</v>
      </c>
      <c r="AN763" s="214">
        <f t="shared" si="985"/>
        <v>336</v>
      </c>
      <c r="AO763" s="204">
        <f t="shared" si="954"/>
        <v>1076</v>
      </c>
    </row>
    <row r="764" spans="1:41" ht="102" x14ac:dyDescent="0.2">
      <c r="A764" s="22">
        <f t="shared" si="973"/>
        <v>5469</v>
      </c>
      <c r="B764" s="80">
        <v>1003162215469</v>
      </c>
      <c r="C764" s="93" t="s">
        <v>184</v>
      </c>
      <c r="D764" s="87" t="s">
        <v>3</v>
      </c>
      <c r="E764" s="146" t="s">
        <v>919</v>
      </c>
      <c r="F764" s="112" t="s">
        <v>1931</v>
      </c>
      <c r="G764" s="224" t="s">
        <v>2</v>
      </c>
      <c r="H764" s="87" t="s">
        <v>1</v>
      </c>
      <c r="I764" s="155" t="s">
        <v>1225</v>
      </c>
      <c r="J764" s="150" t="s">
        <v>1236</v>
      </c>
      <c r="K764" s="83" t="s">
        <v>1239</v>
      </c>
      <c r="L764" s="52">
        <v>12</v>
      </c>
      <c r="M764" s="53">
        <v>10</v>
      </c>
      <c r="N764" s="53">
        <v>1</v>
      </c>
      <c r="O764" s="88" t="s">
        <v>1240</v>
      </c>
      <c r="P764" s="114" t="s">
        <v>105</v>
      </c>
      <c r="Q764" s="87">
        <v>12</v>
      </c>
      <c r="R764" s="69" t="s">
        <v>29</v>
      </c>
      <c r="S764" s="237">
        <v>2718120000005</v>
      </c>
      <c r="T764" s="332">
        <v>12718120000002</v>
      </c>
      <c r="U764" s="46"/>
      <c r="V764" s="46"/>
      <c r="W764" s="258">
        <v>185</v>
      </c>
      <c r="X764" s="68">
        <v>185</v>
      </c>
      <c r="Y764" s="68">
        <v>120</v>
      </c>
      <c r="Z764" s="65">
        <v>2.0249999999999999</v>
      </c>
      <c r="AA764" s="271">
        <v>9.8000000000000004E-2</v>
      </c>
      <c r="AB764" s="66">
        <f t="shared" si="980"/>
        <v>2.1229999999999998</v>
      </c>
      <c r="AC764" s="59">
        <v>383</v>
      </c>
      <c r="AD764" s="60">
        <v>193</v>
      </c>
      <c r="AE764" s="60">
        <v>133</v>
      </c>
      <c r="AF764" s="191">
        <v>2</v>
      </c>
      <c r="AG764" s="117">
        <v>600000230</v>
      </c>
      <c r="AH764" s="104">
        <f>справочники!$C$51</f>
        <v>0.152</v>
      </c>
      <c r="AI764" s="61">
        <f t="shared" si="983"/>
        <v>4.05</v>
      </c>
      <c r="AJ764" s="142">
        <f t="shared" si="984"/>
        <v>4.3979999999999997</v>
      </c>
      <c r="AK764" s="158">
        <v>12</v>
      </c>
      <c r="AL764" s="38">
        <v>7</v>
      </c>
      <c r="AM764" s="40">
        <f t="shared" si="981"/>
        <v>84</v>
      </c>
      <c r="AN764" s="214">
        <f t="shared" si="985"/>
        <v>340.2</v>
      </c>
      <c r="AO764" s="204">
        <f t="shared" ref="AO764:AO821" si="992">(высота__мм*кол_во_слоев_г_у)+145</f>
        <v>1076</v>
      </c>
    </row>
    <row r="765" spans="1:41" ht="56.25" x14ac:dyDescent="0.2">
      <c r="A765" s="22">
        <f t="shared" si="973"/>
        <v>6409</v>
      </c>
      <c r="B765" s="80">
        <v>1003171356409</v>
      </c>
      <c r="C765" s="93" t="s">
        <v>355</v>
      </c>
      <c r="D765" s="87" t="s">
        <v>3</v>
      </c>
      <c r="E765" s="146" t="s">
        <v>919</v>
      </c>
      <c r="F765" s="112" t="s">
        <v>1933</v>
      </c>
      <c r="G765" s="224" t="s">
        <v>2</v>
      </c>
      <c r="H765" s="87" t="s">
        <v>358</v>
      </c>
      <c r="I765" s="155" t="s">
        <v>1225</v>
      </c>
      <c r="J765" s="150" t="s">
        <v>1647</v>
      </c>
      <c r="K765" s="51" t="s">
        <v>140</v>
      </c>
      <c r="L765" s="52">
        <v>21</v>
      </c>
      <c r="M765" s="53">
        <v>5</v>
      </c>
      <c r="N765" s="53">
        <v>0</v>
      </c>
      <c r="O765" s="88" t="s">
        <v>236</v>
      </c>
      <c r="P765" s="87" t="s">
        <v>107</v>
      </c>
      <c r="Q765" s="87">
        <v>21</v>
      </c>
      <c r="R765" s="69" t="s">
        <v>28</v>
      </c>
      <c r="S765" s="239">
        <v>2800060000006</v>
      </c>
      <c r="T765" s="344">
        <v>12800060000003</v>
      </c>
      <c r="U765" s="46"/>
      <c r="V765" s="46"/>
      <c r="W765" s="258">
        <v>395</v>
      </c>
      <c r="X765" s="68">
        <v>195</v>
      </c>
      <c r="Y765" s="68">
        <v>45</v>
      </c>
      <c r="Z765" s="65">
        <v>1.06</v>
      </c>
      <c r="AA765" s="271">
        <v>0.04</v>
      </c>
      <c r="AB765" s="66">
        <f t="shared" si="980"/>
        <v>1.1000000000000001</v>
      </c>
      <c r="AC765" s="59">
        <v>390</v>
      </c>
      <c r="AD765" s="60">
        <v>294</v>
      </c>
      <c r="AE765" s="60">
        <v>150</v>
      </c>
      <c r="AF765" s="191">
        <v>5</v>
      </c>
      <c r="AG765" s="117">
        <v>600000280</v>
      </c>
      <c r="AH765" s="104">
        <f>справочники!$C$57</f>
        <v>0.371</v>
      </c>
      <c r="AI765" s="61">
        <f t="shared" si="983"/>
        <v>5.3</v>
      </c>
      <c r="AJ765" s="142">
        <f t="shared" si="984"/>
        <v>5.8710000000000004</v>
      </c>
      <c r="AK765" s="158">
        <v>8</v>
      </c>
      <c r="AL765" s="38">
        <v>10</v>
      </c>
      <c r="AM765" s="40">
        <f t="shared" si="981"/>
        <v>80</v>
      </c>
      <c r="AN765" s="214">
        <f t="shared" si="985"/>
        <v>424</v>
      </c>
      <c r="AO765" s="204">
        <f t="shared" si="992"/>
        <v>1645</v>
      </c>
    </row>
    <row r="766" spans="1:41" ht="56.25" x14ac:dyDescent="0.2">
      <c r="A766" s="22">
        <f t="shared" si="973"/>
        <v>7531</v>
      </c>
      <c r="B766" s="80">
        <v>1003311357531</v>
      </c>
      <c r="C766" s="93" t="s">
        <v>1766</v>
      </c>
      <c r="D766" s="87" t="s">
        <v>3</v>
      </c>
      <c r="E766" s="146" t="s">
        <v>919</v>
      </c>
      <c r="F766" s="112" t="s">
        <v>1933</v>
      </c>
      <c r="G766" s="224" t="s">
        <v>2</v>
      </c>
      <c r="H766" s="87" t="s">
        <v>358</v>
      </c>
      <c r="I766" s="155" t="s">
        <v>1225</v>
      </c>
      <c r="J766" s="150" t="s">
        <v>1647</v>
      </c>
      <c r="K766" s="51" t="s">
        <v>140</v>
      </c>
      <c r="L766" s="52">
        <v>21</v>
      </c>
      <c r="M766" s="53">
        <v>5</v>
      </c>
      <c r="N766" s="53">
        <v>0</v>
      </c>
      <c r="O766" s="88" t="s">
        <v>236</v>
      </c>
      <c r="P766" s="87" t="s">
        <v>107</v>
      </c>
      <c r="Q766" s="87">
        <v>21</v>
      </c>
      <c r="R766" s="69" t="s">
        <v>28</v>
      </c>
      <c r="S766" s="239">
        <v>2368468000009</v>
      </c>
      <c r="T766" s="344">
        <v>12368468000006</v>
      </c>
      <c r="U766" s="46"/>
      <c r="V766" s="46"/>
      <c r="W766" s="258">
        <v>395</v>
      </c>
      <c r="X766" s="68">
        <v>195</v>
      </c>
      <c r="Y766" s="68">
        <v>45</v>
      </c>
      <c r="Z766" s="65">
        <v>1.06</v>
      </c>
      <c r="AA766" s="271">
        <v>0.04</v>
      </c>
      <c r="AB766" s="66">
        <f t="shared" ref="AB766" si="993">Z766+AA766</f>
        <v>1.1000000000000001</v>
      </c>
      <c r="AC766" s="59">
        <v>390</v>
      </c>
      <c r="AD766" s="60">
        <v>294</v>
      </c>
      <c r="AE766" s="60">
        <v>150</v>
      </c>
      <c r="AF766" s="191">
        <v>4</v>
      </c>
      <c r="AG766" s="117">
        <v>600000280</v>
      </c>
      <c r="AH766" s="104">
        <f>справочники!$C$57</f>
        <v>0.371</v>
      </c>
      <c r="AI766" s="61">
        <f t="shared" si="983"/>
        <v>4.24</v>
      </c>
      <c r="AJ766" s="142">
        <f t="shared" si="984"/>
        <v>4.7710000000000008</v>
      </c>
      <c r="AK766" s="158">
        <v>8</v>
      </c>
      <c r="AL766" s="38">
        <v>10</v>
      </c>
      <c r="AM766" s="40">
        <f t="shared" ref="AM766" si="994">AK766*AL766</f>
        <v>80</v>
      </c>
      <c r="AN766" s="214">
        <f t="shared" ref="AN766" si="995">IF(D766="ШТ",кол_во_инд.__упак_к*итого_г_у,ROUNDDOWN(номин.вес_нетто_г_у__кг*итого_г_у,1))</f>
        <v>339.2</v>
      </c>
      <c r="AO766" s="204">
        <f t="shared" si="992"/>
        <v>1645</v>
      </c>
    </row>
    <row r="767" spans="1:41" ht="56.25" x14ac:dyDescent="0.2">
      <c r="A767" s="22">
        <f t="shared" si="973"/>
        <v>7552</v>
      </c>
      <c r="B767" s="80">
        <v>1003311357552</v>
      </c>
      <c r="C767" s="93" t="s">
        <v>1738</v>
      </c>
      <c r="D767" s="87" t="s">
        <v>3</v>
      </c>
      <c r="E767" s="146" t="s">
        <v>919</v>
      </c>
      <c r="F767" s="112" t="s">
        <v>1933</v>
      </c>
      <c r="G767" s="224" t="s">
        <v>2</v>
      </c>
      <c r="H767" s="87" t="s">
        <v>358</v>
      </c>
      <c r="I767" s="155" t="s">
        <v>1225</v>
      </c>
      <c r="J767" s="150" t="s">
        <v>1647</v>
      </c>
      <c r="K767" s="51" t="s">
        <v>140</v>
      </c>
      <c r="L767" s="52">
        <v>21</v>
      </c>
      <c r="M767" s="53">
        <v>5</v>
      </c>
      <c r="N767" s="53">
        <v>0</v>
      </c>
      <c r="O767" s="88" t="s">
        <v>236</v>
      </c>
      <c r="P767" s="87" t="s">
        <v>107</v>
      </c>
      <c r="Q767" s="87">
        <v>21</v>
      </c>
      <c r="R767" s="69" t="s">
        <v>28</v>
      </c>
      <c r="S767" s="239">
        <v>2526920000008</v>
      </c>
      <c r="T767" s="344">
        <v>12526920000005</v>
      </c>
      <c r="U767" s="46"/>
      <c r="V767" s="46"/>
      <c r="W767" s="258">
        <v>395</v>
      </c>
      <c r="X767" s="68">
        <v>195</v>
      </c>
      <c r="Y767" s="68">
        <v>45</v>
      </c>
      <c r="Z767" s="65">
        <v>1.06</v>
      </c>
      <c r="AA767" s="271">
        <v>0.04</v>
      </c>
      <c r="AB767" s="66">
        <f t="shared" ref="AB767" si="996">Z767+AA767</f>
        <v>1.1000000000000001</v>
      </c>
      <c r="AC767" s="59">
        <v>390</v>
      </c>
      <c r="AD767" s="60">
        <v>294</v>
      </c>
      <c r="AE767" s="60">
        <v>150</v>
      </c>
      <c r="AF767" s="191">
        <v>5</v>
      </c>
      <c r="AG767" s="117">
        <v>600000280</v>
      </c>
      <c r="AH767" s="104">
        <f>справочники!$C$57</f>
        <v>0.371</v>
      </c>
      <c r="AI767" s="61">
        <f t="shared" si="983"/>
        <v>5.3</v>
      </c>
      <c r="AJ767" s="142">
        <f t="shared" si="984"/>
        <v>5.8710000000000004</v>
      </c>
      <c r="AK767" s="158">
        <v>8</v>
      </c>
      <c r="AL767" s="38">
        <v>10</v>
      </c>
      <c r="AM767" s="40">
        <f t="shared" ref="AM767" si="997">AK767*AL767</f>
        <v>80</v>
      </c>
      <c r="AN767" s="214">
        <f t="shared" ref="AN767" si="998">IF(D767="ШТ",кол_во_инд.__упак_к*итого_г_у,ROUNDDOWN(номин.вес_нетто_г_у__кг*итого_г_у,1))</f>
        <v>424</v>
      </c>
      <c r="AO767" s="204">
        <f t="shared" si="992"/>
        <v>1645</v>
      </c>
    </row>
    <row r="768" spans="1:41" ht="56.25" x14ac:dyDescent="0.2">
      <c r="A768" s="22">
        <f t="shared" si="973"/>
        <v>6893</v>
      </c>
      <c r="B768" s="80">
        <v>1003311356893</v>
      </c>
      <c r="C768" s="93" t="s">
        <v>931</v>
      </c>
      <c r="D768" s="87" t="s">
        <v>3</v>
      </c>
      <c r="E768" s="146" t="s">
        <v>919</v>
      </c>
      <c r="F768" s="112" t="s">
        <v>1933</v>
      </c>
      <c r="G768" s="224" t="s">
        <v>520</v>
      </c>
      <c r="H768" s="87" t="s">
        <v>358</v>
      </c>
      <c r="I768" s="155" t="s">
        <v>276</v>
      </c>
      <c r="J768" s="150" t="s">
        <v>438</v>
      </c>
      <c r="K768" s="51" t="s">
        <v>140</v>
      </c>
      <c r="L768" s="52">
        <v>21</v>
      </c>
      <c r="M768" s="53">
        <v>5</v>
      </c>
      <c r="N768" s="53"/>
      <c r="O768" s="88" t="s">
        <v>236</v>
      </c>
      <c r="P768" s="87" t="s">
        <v>107</v>
      </c>
      <c r="Q768" s="87">
        <v>21</v>
      </c>
      <c r="R768" s="69" t="s">
        <v>29</v>
      </c>
      <c r="S768" s="239">
        <v>2318491000002</v>
      </c>
      <c r="T768" s="344">
        <v>12318491000009</v>
      </c>
      <c r="U768" s="46"/>
      <c r="V768" s="46"/>
      <c r="W768" s="258">
        <v>395</v>
      </c>
      <c r="X768" s="68">
        <v>195</v>
      </c>
      <c r="Y768" s="68">
        <v>45</v>
      </c>
      <c r="Z768" s="65">
        <v>0.9</v>
      </c>
      <c r="AA768" s="271">
        <v>4.4999999999999998E-2</v>
      </c>
      <c r="AB768" s="66">
        <f>Z768+AA768</f>
        <v>0.94500000000000006</v>
      </c>
      <c r="AC768" s="59">
        <v>383</v>
      </c>
      <c r="AD768" s="60">
        <v>156</v>
      </c>
      <c r="AE768" s="60">
        <v>168</v>
      </c>
      <c r="AF768" s="191">
        <v>4</v>
      </c>
      <c r="AG768" s="117">
        <v>600000030</v>
      </c>
      <c r="AH768" s="104">
        <f>справочники!$C$22</f>
        <v>0.127</v>
      </c>
      <c r="AI768" s="61">
        <f t="shared" si="983"/>
        <v>3.6</v>
      </c>
      <c r="AJ768" s="142">
        <f t="shared" si="984"/>
        <v>3.907</v>
      </c>
      <c r="AK768" s="158">
        <v>15</v>
      </c>
      <c r="AL768" s="38">
        <v>9</v>
      </c>
      <c r="AM768" s="40">
        <f t="shared" ref="AM768:AM772" si="999">AK768*AL768</f>
        <v>135</v>
      </c>
      <c r="AN768" s="214">
        <f t="shared" ref="AN768:AN772" si="1000">IF(D768="ШТ",кол_во_инд.__упак_к*итого_г_у,ROUNDDOWN(номин.вес_нетто_г_у__кг*итого_г_у,1))</f>
        <v>486</v>
      </c>
      <c r="AO768" s="204">
        <f t="shared" si="992"/>
        <v>1657</v>
      </c>
    </row>
    <row r="769" spans="1:41" ht="56.25" customHeight="1" x14ac:dyDescent="0.2">
      <c r="A769" s="22">
        <f t="shared" si="973"/>
        <v>6894</v>
      </c>
      <c r="B769" s="80">
        <v>1003311356894</v>
      </c>
      <c r="C769" s="48" t="s">
        <v>1025</v>
      </c>
      <c r="D769" s="87" t="s">
        <v>3</v>
      </c>
      <c r="E769" s="146" t="s">
        <v>919</v>
      </c>
      <c r="F769" s="112" t="s">
        <v>1933</v>
      </c>
      <c r="G769" s="224" t="s">
        <v>2</v>
      </c>
      <c r="H769" s="87" t="s">
        <v>358</v>
      </c>
      <c r="I769" s="155" t="s">
        <v>1225</v>
      </c>
      <c r="J769" s="150" t="s">
        <v>1647</v>
      </c>
      <c r="K769" s="51" t="s">
        <v>140</v>
      </c>
      <c r="L769" s="52">
        <v>21</v>
      </c>
      <c r="M769" s="53">
        <v>5</v>
      </c>
      <c r="N769" s="53">
        <v>0</v>
      </c>
      <c r="O769" s="88" t="s">
        <v>236</v>
      </c>
      <c r="P769" s="87" t="s">
        <v>107</v>
      </c>
      <c r="Q769" s="87">
        <v>21</v>
      </c>
      <c r="R769" s="69" t="s">
        <v>28</v>
      </c>
      <c r="S769" s="239">
        <v>2440265000007</v>
      </c>
      <c r="T769" s="344">
        <v>12440265000004</v>
      </c>
      <c r="U769" s="46"/>
      <c r="V769" s="46"/>
      <c r="W769" s="258">
        <v>395</v>
      </c>
      <c r="X769" s="68">
        <v>195</v>
      </c>
      <c r="Y769" s="68">
        <v>45</v>
      </c>
      <c r="Z769" s="65">
        <v>1.0169999999999999</v>
      </c>
      <c r="AA769" s="271">
        <v>0.02</v>
      </c>
      <c r="AB769" s="66">
        <f>Z769+AA769</f>
        <v>1.0369999999999999</v>
      </c>
      <c r="AC769" s="59">
        <v>390</v>
      </c>
      <c r="AD769" s="60">
        <v>294</v>
      </c>
      <c r="AE769" s="60">
        <v>150</v>
      </c>
      <c r="AF769" s="191">
        <v>6</v>
      </c>
      <c r="AG769" s="117">
        <v>600000280</v>
      </c>
      <c r="AH769" s="104">
        <f>справочники!$C$57</f>
        <v>0.371</v>
      </c>
      <c r="AI769" s="61">
        <f t="shared" si="983"/>
        <v>6.1</v>
      </c>
      <c r="AJ769" s="142">
        <f t="shared" si="984"/>
        <v>6.593</v>
      </c>
      <c r="AK769" s="158">
        <v>8</v>
      </c>
      <c r="AL769" s="38">
        <v>10</v>
      </c>
      <c r="AM769" s="40">
        <f t="shared" si="999"/>
        <v>80</v>
      </c>
      <c r="AN769" s="214">
        <f t="shared" si="1000"/>
        <v>488</v>
      </c>
      <c r="AO769" s="204">
        <f t="shared" si="992"/>
        <v>1645</v>
      </c>
    </row>
    <row r="770" spans="1:41" ht="165.75" x14ac:dyDescent="0.2">
      <c r="A770" s="22">
        <f t="shared" si="973"/>
        <v>6209</v>
      </c>
      <c r="B770" s="80">
        <v>1002131146209</v>
      </c>
      <c r="C770" s="93" t="s">
        <v>1083</v>
      </c>
      <c r="D770" s="87" t="s">
        <v>4</v>
      </c>
      <c r="E770" s="146" t="s">
        <v>918</v>
      </c>
      <c r="F770" s="112" t="s">
        <v>102</v>
      </c>
      <c r="G770" s="224" t="s">
        <v>2</v>
      </c>
      <c r="H770" s="87" t="s">
        <v>1</v>
      </c>
      <c r="I770" s="155" t="s">
        <v>623</v>
      </c>
      <c r="J770" s="150" t="s">
        <v>624</v>
      </c>
      <c r="K770" s="51" t="s">
        <v>659</v>
      </c>
      <c r="L770" s="52">
        <v>9</v>
      </c>
      <c r="M770" s="53">
        <v>5</v>
      </c>
      <c r="N770" s="53">
        <v>30</v>
      </c>
      <c r="O770" s="88" t="s">
        <v>1084</v>
      </c>
      <c r="P770" s="114" t="s">
        <v>108</v>
      </c>
      <c r="Q770" s="87">
        <v>120</v>
      </c>
      <c r="R770" s="139" t="s">
        <v>360</v>
      </c>
      <c r="S770" s="189">
        <v>4607958079032</v>
      </c>
      <c r="T770" s="337">
        <v>14607958079039</v>
      </c>
      <c r="U770" s="46">
        <v>4607958079032</v>
      </c>
      <c r="V770" s="46">
        <v>14607958079039</v>
      </c>
      <c r="W770" s="258">
        <v>230</v>
      </c>
      <c r="X770" s="68">
        <v>130</v>
      </c>
      <c r="Y770" s="68">
        <v>40</v>
      </c>
      <c r="Z770" s="65">
        <v>0.35</v>
      </c>
      <c r="AA770" s="271">
        <v>1.4999999999999999E-2</v>
      </c>
      <c r="AB770" s="66">
        <f t="shared" ref="AB770" si="1001">Z770+AA770</f>
        <v>0.36499999999999999</v>
      </c>
      <c r="AC770" s="59">
        <v>390</v>
      </c>
      <c r="AD770" s="60">
        <v>260</v>
      </c>
      <c r="AE770" s="60">
        <v>190</v>
      </c>
      <c r="AF770" s="191">
        <v>12</v>
      </c>
      <c r="AG770" s="117">
        <v>600000010</v>
      </c>
      <c r="AH770" s="53">
        <f>справочники!$C$2</f>
        <v>0.33900000000000002</v>
      </c>
      <c r="AI770" s="61">
        <f t="shared" si="983"/>
        <v>4.2</v>
      </c>
      <c r="AJ770" s="142">
        <f t="shared" si="984"/>
        <v>4.7190000000000003</v>
      </c>
      <c r="AK770" s="158">
        <v>9</v>
      </c>
      <c r="AL770" s="38">
        <v>8</v>
      </c>
      <c r="AM770" s="40">
        <f t="shared" si="999"/>
        <v>72</v>
      </c>
      <c r="AN770" s="206">
        <f t="shared" si="1000"/>
        <v>864</v>
      </c>
      <c r="AO770" s="204">
        <f t="shared" si="992"/>
        <v>1665</v>
      </c>
    </row>
    <row r="771" spans="1:41" ht="127.5" x14ac:dyDescent="0.2">
      <c r="A771" s="22">
        <f t="shared" si="973"/>
        <v>6168</v>
      </c>
      <c r="B771" s="80">
        <v>1002131156168</v>
      </c>
      <c r="C771" s="93" t="s">
        <v>569</v>
      </c>
      <c r="D771" s="87" t="s">
        <v>4</v>
      </c>
      <c r="E771" s="146" t="s">
        <v>918</v>
      </c>
      <c r="F771" s="112" t="s">
        <v>102</v>
      </c>
      <c r="G771" s="224" t="s">
        <v>2</v>
      </c>
      <c r="H771" s="87" t="s">
        <v>1</v>
      </c>
      <c r="I771" s="155" t="s">
        <v>623</v>
      </c>
      <c r="J771" s="150" t="s">
        <v>624</v>
      </c>
      <c r="K771" s="51" t="s">
        <v>625</v>
      </c>
      <c r="L771" s="52">
        <v>8</v>
      </c>
      <c r="M771" s="53">
        <v>11</v>
      </c>
      <c r="N771" s="53">
        <v>33</v>
      </c>
      <c r="O771" s="88" t="s">
        <v>1085</v>
      </c>
      <c r="P771" s="114" t="s">
        <v>108</v>
      </c>
      <c r="Q771" s="87">
        <v>120</v>
      </c>
      <c r="R771" s="139" t="s">
        <v>360</v>
      </c>
      <c r="S771" s="189">
        <v>4607958073375</v>
      </c>
      <c r="T771" s="337">
        <v>14607958073372</v>
      </c>
      <c r="U771" s="46">
        <v>4607958073375</v>
      </c>
      <c r="V771" s="46">
        <v>14607958073372</v>
      </c>
      <c r="W771" s="258">
        <v>230</v>
      </c>
      <c r="X771" s="68">
        <v>130</v>
      </c>
      <c r="Y771" s="68">
        <v>40</v>
      </c>
      <c r="Z771" s="65">
        <v>0.35</v>
      </c>
      <c r="AA771" s="271">
        <v>1.4999999999999999E-2</v>
      </c>
      <c r="AB771" s="66">
        <f t="shared" si="980"/>
        <v>0.36499999999999999</v>
      </c>
      <c r="AC771" s="59">
        <v>390</v>
      </c>
      <c r="AD771" s="60">
        <v>260</v>
      </c>
      <c r="AE771" s="60">
        <v>190</v>
      </c>
      <c r="AF771" s="191">
        <v>12</v>
      </c>
      <c r="AG771" s="117">
        <v>600000010</v>
      </c>
      <c r="AH771" s="53">
        <f>справочники!$C$2</f>
        <v>0.33900000000000002</v>
      </c>
      <c r="AI771" s="61">
        <f t="shared" si="983"/>
        <v>4.2</v>
      </c>
      <c r="AJ771" s="142">
        <f t="shared" si="984"/>
        <v>4.7190000000000003</v>
      </c>
      <c r="AK771" s="158">
        <v>9</v>
      </c>
      <c r="AL771" s="38">
        <v>8</v>
      </c>
      <c r="AM771" s="40">
        <f t="shared" si="999"/>
        <v>72</v>
      </c>
      <c r="AN771" s="206">
        <f t="shared" si="1000"/>
        <v>864</v>
      </c>
      <c r="AO771" s="204">
        <f t="shared" si="992"/>
        <v>1665</v>
      </c>
    </row>
    <row r="772" spans="1:41" ht="178.5" x14ac:dyDescent="0.2">
      <c r="A772" s="22">
        <f t="shared" ref="A772:A821" si="1002">VALUE(RIGHT(B772,4))</f>
        <v>7359</v>
      </c>
      <c r="B772" s="80">
        <v>1002131157359</v>
      </c>
      <c r="C772" s="93" t="s">
        <v>1357</v>
      </c>
      <c r="D772" s="87" t="s">
        <v>4</v>
      </c>
      <c r="E772" s="146" t="s">
        <v>918</v>
      </c>
      <c r="F772" s="112" t="s">
        <v>102</v>
      </c>
      <c r="G772" s="224" t="s">
        <v>6</v>
      </c>
      <c r="H772" s="87" t="s">
        <v>1</v>
      </c>
      <c r="I772" s="155" t="s">
        <v>623</v>
      </c>
      <c r="J772" s="150" t="s">
        <v>645</v>
      </c>
      <c r="K772" s="51" t="s">
        <v>1358</v>
      </c>
      <c r="L772" s="52">
        <v>8</v>
      </c>
      <c r="M772" s="53">
        <v>10</v>
      </c>
      <c r="N772" s="53">
        <v>21</v>
      </c>
      <c r="O772" s="88" t="s">
        <v>1359</v>
      </c>
      <c r="P772" s="114" t="s">
        <v>108</v>
      </c>
      <c r="Q772" s="87">
        <v>120</v>
      </c>
      <c r="R772" s="139" t="s">
        <v>360</v>
      </c>
      <c r="S772" s="189">
        <v>4630362180155</v>
      </c>
      <c r="T772" s="337">
        <v>14630362180152</v>
      </c>
      <c r="U772" s="46">
        <v>4630362180155</v>
      </c>
      <c r="V772" s="46">
        <v>14630362180152</v>
      </c>
      <c r="W772" s="258">
        <v>220</v>
      </c>
      <c r="X772" s="68">
        <v>190</v>
      </c>
      <c r="Y772" s="68">
        <v>40</v>
      </c>
      <c r="Z772" s="65">
        <v>0.18</v>
      </c>
      <c r="AA772" s="271">
        <v>1.4E-2</v>
      </c>
      <c r="AB772" s="66">
        <f>Z772+AA772</f>
        <v>0.19400000000000001</v>
      </c>
      <c r="AC772" s="67">
        <v>388</v>
      </c>
      <c r="AD772" s="68">
        <v>193</v>
      </c>
      <c r="AE772" s="68">
        <v>158</v>
      </c>
      <c r="AF772" s="194">
        <v>10</v>
      </c>
      <c r="AG772" s="117">
        <v>600000018</v>
      </c>
      <c r="AH772" s="53">
        <f>справочники!$C$10</f>
        <v>0.161</v>
      </c>
      <c r="AI772" s="61">
        <f t="shared" si="983"/>
        <v>1.8</v>
      </c>
      <c r="AJ772" s="142">
        <f t="shared" si="984"/>
        <v>2.101</v>
      </c>
      <c r="AK772" s="158">
        <v>12</v>
      </c>
      <c r="AL772" s="38">
        <v>10</v>
      </c>
      <c r="AM772" s="40">
        <f t="shared" si="999"/>
        <v>120</v>
      </c>
      <c r="AN772" s="206">
        <f t="shared" si="1000"/>
        <v>1200</v>
      </c>
      <c r="AO772" s="204">
        <f t="shared" si="992"/>
        <v>1725</v>
      </c>
    </row>
    <row r="773" spans="1:41" ht="178.5" x14ac:dyDescent="0.2">
      <c r="A773" s="22">
        <f t="shared" si="1002"/>
        <v>7445</v>
      </c>
      <c r="B773" s="80">
        <v>1002131157445</v>
      </c>
      <c r="C773" s="93" t="s">
        <v>1444</v>
      </c>
      <c r="D773" s="87" t="s">
        <v>4</v>
      </c>
      <c r="E773" s="146" t="s">
        <v>918</v>
      </c>
      <c r="F773" s="112" t="s">
        <v>102</v>
      </c>
      <c r="G773" s="224" t="s">
        <v>6</v>
      </c>
      <c r="H773" s="87" t="s">
        <v>1</v>
      </c>
      <c r="I773" s="155" t="s">
        <v>623</v>
      </c>
      <c r="J773" s="150" t="s">
        <v>645</v>
      </c>
      <c r="K773" s="51" t="s">
        <v>1358</v>
      </c>
      <c r="L773" s="52">
        <v>8</v>
      </c>
      <c r="M773" s="53">
        <v>10</v>
      </c>
      <c r="N773" s="53">
        <v>21</v>
      </c>
      <c r="O773" s="88" t="s">
        <v>1359</v>
      </c>
      <c r="P773" s="114" t="s">
        <v>108</v>
      </c>
      <c r="Q773" s="87">
        <v>120</v>
      </c>
      <c r="R773" s="139" t="s">
        <v>360</v>
      </c>
      <c r="S773" s="189">
        <v>4630362180155</v>
      </c>
      <c r="T773" s="337">
        <v>24630362180159</v>
      </c>
      <c r="U773" s="46">
        <v>4630362180155</v>
      </c>
      <c r="V773" s="46">
        <v>24630362180159</v>
      </c>
      <c r="W773" s="258">
        <v>220</v>
      </c>
      <c r="X773" s="68">
        <v>190</v>
      </c>
      <c r="Y773" s="68">
        <v>40</v>
      </c>
      <c r="Z773" s="65">
        <v>0.18</v>
      </c>
      <c r="AA773" s="271">
        <v>1.4E-2</v>
      </c>
      <c r="AB773" s="66">
        <f>Z773+AA773</f>
        <v>0.19400000000000001</v>
      </c>
      <c r="AC773" s="67">
        <v>398</v>
      </c>
      <c r="AD773" s="68">
        <v>238</v>
      </c>
      <c r="AE773" s="68">
        <v>158</v>
      </c>
      <c r="AF773" s="194">
        <v>12</v>
      </c>
      <c r="AG773" s="117">
        <v>600000577</v>
      </c>
      <c r="AH773" s="104">
        <f>справочники!$C$186</f>
        <v>0.28999999999999998</v>
      </c>
      <c r="AI773" s="61">
        <f t="shared" si="983"/>
        <v>2.16</v>
      </c>
      <c r="AJ773" s="142">
        <f t="shared" si="984"/>
        <v>2.6180000000000003</v>
      </c>
      <c r="AK773" s="158">
        <v>10</v>
      </c>
      <c r="AL773" s="38">
        <v>10</v>
      </c>
      <c r="AM773" s="40">
        <f t="shared" ref="AM773:AM774" si="1003">AK773*AL773</f>
        <v>100</v>
      </c>
      <c r="AN773" s="206">
        <f t="shared" ref="AN773:AN774" si="1004">IF(D773="ШТ",кол_во_инд.__упак_к*итого_г_у,ROUNDDOWN(номин.вес_нетто_г_у__кг*итого_г_у,1))</f>
        <v>1200</v>
      </c>
      <c r="AO773" s="204">
        <f t="shared" si="992"/>
        <v>1725</v>
      </c>
    </row>
    <row r="774" spans="1:41" ht="178.5" x14ac:dyDescent="0.2">
      <c r="A774" s="22">
        <f t="shared" si="1002"/>
        <v>7530</v>
      </c>
      <c r="B774" s="80">
        <v>1002131157530</v>
      </c>
      <c r="C774" s="93" t="s">
        <v>1658</v>
      </c>
      <c r="D774" s="87" t="s">
        <v>4</v>
      </c>
      <c r="E774" s="146" t="s">
        <v>918</v>
      </c>
      <c r="F774" s="112" t="s">
        <v>102</v>
      </c>
      <c r="G774" s="224" t="s">
        <v>6</v>
      </c>
      <c r="H774" s="87" t="s">
        <v>1</v>
      </c>
      <c r="I774" s="155" t="s">
        <v>623</v>
      </c>
      <c r="J774" s="150" t="s">
        <v>645</v>
      </c>
      <c r="K774" s="51" t="s">
        <v>1358</v>
      </c>
      <c r="L774" s="52">
        <v>8</v>
      </c>
      <c r="M774" s="53">
        <v>10</v>
      </c>
      <c r="N774" s="53">
        <v>21</v>
      </c>
      <c r="O774" s="88" t="s">
        <v>1359</v>
      </c>
      <c r="P774" s="114" t="s">
        <v>108</v>
      </c>
      <c r="Q774" s="87">
        <v>120</v>
      </c>
      <c r="R774" s="139" t="s">
        <v>360</v>
      </c>
      <c r="S774" s="189">
        <v>4607958078639</v>
      </c>
      <c r="T774" s="337">
        <v>14607958078636</v>
      </c>
      <c r="U774" s="46">
        <v>4607958078639</v>
      </c>
      <c r="V774" s="46">
        <v>14607958078636</v>
      </c>
      <c r="W774" s="258">
        <v>225</v>
      </c>
      <c r="X774" s="68">
        <v>145</v>
      </c>
      <c r="Y774" s="68">
        <v>40</v>
      </c>
      <c r="Z774" s="65">
        <v>0.3</v>
      </c>
      <c r="AA774" s="271">
        <v>1.4E-2</v>
      </c>
      <c r="AB774" s="66">
        <f t="shared" ref="AB774" si="1005">Z774+AA774</f>
        <v>0.314</v>
      </c>
      <c r="AC774" s="59">
        <v>390</v>
      </c>
      <c r="AD774" s="60">
        <v>260</v>
      </c>
      <c r="AE774" s="60">
        <v>190</v>
      </c>
      <c r="AF774" s="191">
        <v>12</v>
      </c>
      <c r="AG774" s="117">
        <v>600000010</v>
      </c>
      <c r="AH774" s="53">
        <f>справочники!$C$2</f>
        <v>0.33900000000000002</v>
      </c>
      <c r="AI774" s="61">
        <f t="shared" si="983"/>
        <v>3.6</v>
      </c>
      <c r="AJ774" s="142">
        <f t="shared" si="984"/>
        <v>4.1070000000000002</v>
      </c>
      <c r="AK774" s="158">
        <v>9</v>
      </c>
      <c r="AL774" s="38">
        <v>8</v>
      </c>
      <c r="AM774" s="40">
        <f t="shared" si="1003"/>
        <v>72</v>
      </c>
      <c r="AN774" s="206">
        <f t="shared" si="1004"/>
        <v>864</v>
      </c>
      <c r="AO774" s="204">
        <f t="shared" si="992"/>
        <v>1665</v>
      </c>
    </row>
    <row r="775" spans="1:41" ht="153" x14ac:dyDescent="0.2">
      <c r="A775" s="22">
        <f t="shared" si="1002"/>
        <v>6149</v>
      </c>
      <c r="B775" s="80">
        <v>1002131166149</v>
      </c>
      <c r="C775" s="93" t="s">
        <v>1096</v>
      </c>
      <c r="D775" s="87" t="s">
        <v>4</v>
      </c>
      <c r="E775" s="146" t="s">
        <v>918</v>
      </c>
      <c r="F775" s="112" t="s">
        <v>102</v>
      </c>
      <c r="G775" s="224" t="s">
        <v>6</v>
      </c>
      <c r="H775" s="87" t="s">
        <v>1</v>
      </c>
      <c r="I775" s="155" t="s">
        <v>623</v>
      </c>
      <c r="J775" s="150" t="s">
        <v>645</v>
      </c>
      <c r="K775" s="51" t="s">
        <v>1098</v>
      </c>
      <c r="L775" s="52">
        <v>12</v>
      </c>
      <c r="M775" s="53">
        <v>9</v>
      </c>
      <c r="N775" s="53">
        <v>33</v>
      </c>
      <c r="O775" s="88" t="s">
        <v>1097</v>
      </c>
      <c r="P775" s="114" t="s">
        <v>108</v>
      </c>
      <c r="Q775" s="87">
        <v>120</v>
      </c>
      <c r="R775" s="139" t="s">
        <v>360</v>
      </c>
      <c r="S775" s="189">
        <v>4607958078660</v>
      </c>
      <c r="T775" s="337">
        <v>14607958078667</v>
      </c>
      <c r="U775" s="46">
        <v>4607958078660</v>
      </c>
      <c r="V775" s="46">
        <v>14607958078667</v>
      </c>
      <c r="W775" s="258">
        <v>225</v>
      </c>
      <c r="X775" s="68">
        <v>145</v>
      </c>
      <c r="Y775" s="68">
        <v>40</v>
      </c>
      <c r="Z775" s="65">
        <v>0.3</v>
      </c>
      <c r="AA775" s="271">
        <v>1.4E-2</v>
      </c>
      <c r="AB775" s="66">
        <f t="shared" ref="AB775" si="1006">Z775+AA775</f>
        <v>0.314</v>
      </c>
      <c r="AC775" s="59">
        <v>390</v>
      </c>
      <c r="AD775" s="60">
        <v>260</v>
      </c>
      <c r="AE775" s="60">
        <v>190</v>
      </c>
      <c r="AF775" s="191">
        <v>12</v>
      </c>
      <c r="AG775" s="117">
        <v>600000010</v>
      </c>
      <c r="AH775" s="53">
        <f>справочники!$C$2</f>
        <v>0.33900000000000002</v>
      </c>
      <c r="AI775" s="61">
        <f t="shared" si="983"/>
        <v>3.6</v>
      </c>
      <c r="AJ775" s="142">
        <f t="shared" si="984"/>
        <v>4.1070000000000002</v>
      </c>
      <c r="AK775" s="158">
        <v>9</v>
      </c>
      <c r="AL775" s="38">
        <v>8</v>
      </c>
      <c r="AM775" s="40">
        <f t="shared" ref="AM775" si="1007">AK775*AL775</f>
        <v>72</v>
      </c>
      <c r="AN775" s="206">
        <f t="shared" ref="AN775" si="1008">IF(D775="ШТ",кол_во_инд.__упак_к*итого_г_у,ROUNDDOWN(номин.вес_нетто_г_у__кг*итого_г_у,1))</f>
        <v>864</v>
      </c>
      <c r="AO775" s="204">
        <f t="shared" si="992"/>
        <v>1665</v>
      </c>
    </row>
    <row r="776" spans="1:41" ht="165.75" x14ac:dyDescent="0.2">
      <c r="A776" s="22">
        <f t="shared" si="1002"/>
        <v>7358</v>
      </c>
      <c r="B776" s="80">
        <v>1002131187358</v>
      </c>
      <c r="C776" s="48" t="s">
        <v>1356</v>
      </c>
      <c r="D776" s="87" t="s">
        <v>4</v>
      </c>
      <c r="E776" s="146" t="s">
        <v>918</v>
      </c>
      <c r="F776" s="112" t="s">
        <v>102</v>
      </c>
      <c r="G776" s="224" t="s">
        <v>6</v>
      </c>
      <c r="H776" s="87" t="s">
        <v>1</v>
      </c>
      <c r="I776" s="155" t="s">
        <v>623</v>
      </c>
      <c r="J776" s="150" t="s">
        <v>645</v>
      </c>
      <c r="K776" s="83" t="s">
        <v>2118</v>
      </c>
      <c r="L776" s="52">
        <v>5</v>
      </c>
      <c r="M776" s="53">
        <v>7</v>
      </c>
      <c r="N776" s="53">
        <v>24</v>
      </c>
      <c r="O776" s="86" t="s">
        <v>2119</v>
      </c>
      <c r="P776" s="114" t="s">
        <v>108</v>
      </c>
      <c r="Q776" s="87">
        <v>120</v>
      </c>
      <c r="R776" s="139" t="s">
        <v>360</v>
      </c>
      <c r="S776" s="189">
        <v>4630362180131</v>
      </c>
      <c r="T776" s="337">
        <v>14630362180138</v>
      </c>
      <c r="U776" s="46">
        <v>4630362180131</v>
      </c>
      <c r="V776" s="46">
        <v>14630362180138</v>
      </c>
      <c r="W776" s="258">
        <v>220</v>
      </c>
      <c r="X776" s="68">
        <v>190</v>
      </c>
      <c r="Y776" s="68">
        <v>40</v>
      </c>
      <c r="Z776" s="65">
        <v>0.18</v>
      </c>
      <c r="AA776" s="271">
        <v>1.4E-2</v>
      </c>
      <c r="AB776" s="66">
        <f t="shared" ref="AB776:AB781" si="1009">Z776+AA776</f>
        <v>0.19400000000000001</v>
      </c>
      <c r="AC776" s="67">
        <v>388</v>
      </c>
      <c r="AD776" s="68">
        <v>193</v>
      </c>
      <c r="AE776" s="68">
        <v>158</v>
      </c>
      <c r="AF776" s="194">
        <v>10</v>
      </c>
      <c r="AG776" s="117">
        <v>600000018</v>
      </c>
      <c r="AH776" s="53">
        <f>справочники!$C$10</f>
        <v>0.161</v>
      </c>
      <c r="AI776" s="61">
        <f t="shared" si="983"/>
        <v>1.8</v>
      </c>
      <c r="AJ776" s="142">
        <f t="shared" si="984"/>
        <v>2.101</v>
      </c>
      <c r="AK776" s="158">
        <v>12</v>
      </c>
      <c r="AL776" s="38">
        <v>10</v>
      </c>
      <c r="AM776" s="40">
        <f t="shared" ref="AM776:AM781" si="1010">AK776*AL776</f>
        <v>120</v>
      </c>
      <c r="AN776" s="206">
        <f t="shared" ref="AN776:AN781" si="1011">IF(D776="ШТ",кол_во_инд.__упак_к*итого_г_у,ROUNDDOWN(номин.вес_нетто_г_у__кг*итого_г_у,1))</f>
        <v>1200</v>
      </c>
      <c r="AO776" s="204">
        <f t="shared" si="992"/>
        <v>1725</v>
      </c>
    </row>
    <row r="777" spans="1:41" ht="165.75" x14ac:dyDescent="0.2">
      <c r="A777" s="22">
        <f t="shared" si="1002"/>
        <v>7446</v>
      </c>
      <c r="B777" s="80">
        <v>1002131187446</v>
      </c>
      <c r="C777" s="48" t="s">
        <v>1446</v>
      </c>
      <c r="D777" s="87" t="s">
        <v>4</v>
      </c>
      <c r="E777" s="146" t="s">
        <v>918</v>
      </c>
      <c r="F777" s="112" t="s">
        <v>102</v>
      </c>
      <c r="G777" s="224" t="s">
        <v>6</v>
      </c>
      <c r="H777" s="87" t="s">
        <v>1</v>
      </c>
      <c r="I777" s="155" t="s">
        <v>623</v>
      </c>
      <c r="J777" s="150" t="s">
        <v>645</v>
      </c>
      <c r="K777" s="83" t="s">
        <v>2118</v>
      </c>
      <c r="L777" s="52">
        <v>5</v>
      </c>
      <c r="M777" s="53">
        <v>7</v>
      </c>
      <c r="N777" s="53">
        <v>24</v>
      </c>
      <c r="O777" s="86" t="s">
        <v>2119</v>
      </c>
      <c r="P777" s="114" t="s">
        <v>108</v>
      </c>
      <c r="Q777" s="87">
        <v>120</v>
      </c>
      <c r="R777" s="139" t="s">
        <v>360</v>
      </c>
      <c r="S777" s="189">
        <v>4630362180131</v>
      </c>
      <c r="T777" s="337">
        <v>24630362180135</v>
      </c>
      <c r="U777" s="46">
        <v>4630362180131</v>
      </c>
      <c r="V777" s="46">
        <v>24630362180135</v>
      </c>
      <c r="W777" s="258">
        <v>220</v>
      </c>
      <c r="X777" s="68">
        <v>190</v>
      </c>
      <c r="Y777" s="68">
        <v>40</v>
      </c>
      <c r="Z777" s="65">
        <v>0.18</v>
      </c>
      <c r="AA777" s="271">
        <v>1.4E-2</v>
      </c>
      <c r="AB777" s="66">
        <f t="shared" ref="AB777" si="1012">Z777+AA777</f>
        <v>0.19400000000000001</v>
      </c>
      <c r="AC777" s="67">
        <v>398</v>
      </c>
      <c r="AD777" s="68">
        <v>238</v>
      </c>
      <c r="AE777" s="68">
        <v>158</v>
      </c>
      <c r="AF777" s="194">
        <v>12</v>
      </c>
      <c r="AG777" s="117">
        <v>600000577</v>
      </c>
      <c r="AH777" s="104">
        <f>справочники!$C$186</f>
        <v>0.28999999999999998</v>
      </c>
      <c r="AI777" s="61">
        <f t="shared" si="983"/>
        <v>2.16</v>
      </c>
      <c r="AJ777" s="142">
        <f t="shared" si="984"/>
        <v>2.6180000000000003</v>
      </c>
      <c r="AK777" s="158">
        <v>10</v>
      </c>
      <c r="AL777" s="38">
        <v>10</v>
      </c>
      <c r="AM777" s="40">
        <f t="shared" ref="AM777" si="1013">AK777*AL777</f>
        <v>100</v>
      </c>
      <c r="AN777" s="206">
        <f t="shared" ref="AN777" si="1014">IF(D777="ШТ",кол_во_инд.__упак_к*итого_г_у,ROUNDDOWN(номин.вес_нетто_г_у__кг*итого_г_у,1))</f>
        <v>1200</v>
      </c>
      <c r="AO777" s="204">
        <f t="shared" si="992"/>
        <v>1725</v>
      </c>
    </row>
    <row r="778" spans="1:41" ht="106.15" customHeight="1" x14ac:dyDescent="0.2">
      <c r="A778" s="22">
        <f t="shared" si="1002"/>
        <v>6202</v>
      </c>
      <c r="B778" s="80">
        <v>1002131186202</v>
      </c>
      <c r="C778" s="48" t="s">
        <v>1094</v>
      </c>
      <c r="D778" s="87" t="s">
        <v>4</v>
      </c>
      <c r="E778" s="146" t="s">
        <v>918</v>
      </c>
      <c r="F778" s="112" t="s">
        <v>102</v>
      </c>
      <c r="G778" s="224" t="s">
        <v>6</v>
      </c>
      <c r="H778" s="87" t="s">
        <v>1</v>
      </c>
      <c r="I778" s="155" t="s">
        <v>623</v>
      </c>
      <c r="J778" s="150" t="s">
        <v>645</v>
      </c>
      <c r="K778" s="83" t="s">
        <v>1095</v>
      </c>
      <c r="L778" s="52">
        <v>10</v>
      </c>
      <c r="M778" s="53">
        <v>6</v>
      </c>
      <c r="N778" s="53">
        <v>35</v>
      </c>
      <c r="O778" s="86" t="s">
        <v>1087</v>
      </c>
      <c r="P778" s="114" t="s">
        <v>108</v>
      </c>
      <c r="Q778" s="87">
        <v>120</v>
      </c>
      <c r="R778" s="139" t="s">
        <v>360</v>
      </c>
      <c r="S778" s="189">
        <v>4607958078684</v>
      </c>
      <c r="T778" s="337">
        <v>14607958078681</v>
      </c>
      <c r="U778" s="46">
        <v>4607958078684</v>
      </c>
      <c r="V778" s="46">
        <v>14607958078681</v>
      </c>
      <c r="W778" s="258">
        <v>225</v>
      </c>
      <c r="X778" s="68">
        <v>145</v>
      </c>
      <c r="Y778" s="68">
        <v>40</v>
      </c>
      <c r="Z778" s="65">
        <v>0.3</v>
      </c>
      <c r="AA778" s="271">
        <v>1.4E-2</v>
      </c>
      <c r="AB778" s="66">
        <f t="shared" si="1009"/>
        <v>0.314</v>
      </c>
      <c r="AC778" s="59">
        <v>390</v>
      </c>
      <c r="AD778" s="60">
        <v>260</v>
      </c>
      <c r="AE778" s="60">
        <v>190</v>
      </c>
      <c r="AF778" s="194">
        <v>12</v>
      </c>
      <c r="AG778" s="117">
        <v>600000010</v>
      </c>
      <c r="AH778" s="53">
        <f>справочники!$C$2</f>
        <v>0.33900000000000002</v>
      </c>
      <c r="AI778" s="61">
        <f t="shared" si="983"/>
        <v>3.6</v>
      </c>
      <c r="AJ778" s="142">
        <f t="shared" si="984"/>
        <v>4.1070000000000002</v>
      </c>
      <c r="AK778" s="158">
        <v>9</v>
      </c>
      <c r="AL778" s="38">
        <v>8</v>
      </c>
      <c r="AM778" s="40">
        <f t="shared" si="1010"/>
        <v>72</v>
      </c>
      <c r="AN778" s="206">
        <f t="shared" si="1011"/>
        <v>864</v>
      </c>
      <c r="AO778" s="204">
        <f t="shared" si="992"/>
        <v>1665</v>
      </c>
    </row>
    <row r="779" spans="1:41" ht="269.25" customHeight="1" x14ac:dyDescent="0.2">
      <c r="A779" s="22">
        <f t="shared" si="1002"/>
        <v>7357</v>
      </c>
      <c r="B779" s="80">
        <v>1002133377357</v>
      </c>
      <c r="C779" s="48" t="s">
        <v>1355</v>
      </c>
      <c r="D779" s="87" t="s">
        <v>4</v>
      </c>
      <c r="E779" s="146" t="s">
        <v>918</v>
      </c>
      <c r="F779" s="112" t="s">
        <v>102</v>
      </c>
      <c r="G779" s="224" t="s">
        <v>6</v>
      </c>
      <c r="H779" s="87" t="s">
        <v>1</v>
      </c>
      <c r="I779" s="155" t="s">
        <v>623</v>
      </c>
      <c r="J779" s="150" t="s">
        <v>645</v>
      </c>
      <c r="K779" s="83" t="s">
        <v>2117</v>
      </c>
      <c r="L779" s="52">
        <v>5</v>
      </c>
      <c r="M779" s="53">
        <v>8</v>
      </c>
      <c r="N779" s="53">
        <v>31</v>
      </c>
      <c r="O779" s="88" t="s">
        <v>1089</v>
      </c>
      <c r="P779" s="114" t="s">
        <v>108</v>
      </c>
      <c r="Q779" s="87">
        <v>120</v>
      </c>
      <c r="R779" s="139" t="s">
        <v>360</v>
      </c>
      <c r="S779" s="189">
        <v>4630362180148</v>
      </c>
      <c r="T779" s="337">
        <v>14630362180145</v>
      </c>
      <c r="U779" s="46">
        <v>4630362180148</v>
      </c>
      <c r="V779" s="46">
        <v>14630362180145</v>
      </c>
      <c r="W779" s="258">
        <v>200</v>
      </c>
      <c r="X779" s="68">
        <v>190</v>
      </c>
      <c r="Y779" s="68">
        <v>40</v>
      </c>
      <c r="Z779" s="65">
        <v>0.18</v>
      </c>
      <c r="AA779" s="271">
        <v>1.4E-2</v>
      </c>
      <c r="AB779" s="66">
        <f t="shared" si="1009"/>
        <v>0.19400000000000001</v>
      </c>
      <c r="AC779" s="67">
        <v>388</v>
      </c>
      <c r="AD779" s="68">
        <v>193</v>
      </c>
      <c r="AE779" s="68">
        <v>158</v>
      </c>
      <c r="AF779" s="194">
        <v>10</v>
      </c>
      <c r="AG779" s="117">
        <v>600000018</v>
      </c>
      <c r="AH779" s="53">
        <f>справочники!$C$10</f>
        <v>0.161</v>
      </c>
      <c r="AI779" s="61">
        <f t="shared" si="983"/>
        <v>1.8</v>
      </c>
      <c r="AJ779" s="142">
        <f t="shared" si="984"/>
        <v>2.101</v>
      </c>
      <c r="AK779" s="158">
        <v>12</v>
      </c>
      <c r="AL779" s="38">
        <v>10</v>
      </c>
      <c r="AM779" s="40">
        <f t="shared" si="1010"/>
        <v>120</v>
      </c>
      <c r="AN779" s="206">
        <f t="shared" si="1011"/>
        <v>1200</v>
      </c>
      <c r="AO779" s="204">
        <f t="shared" si="992"/>
        <v>1725</v>
      </c>
    </row>
    <row r="780" spans="1:41" ht="270" customHeight="1" x14ac:dyDescent="0.2">
      <c r="A780" s="22">
        <f t="shared" si="1002"/>
        <v>7447</v>
      </c>
      <c r="B780" s="80">
        <v>1002133377447</v>
      </c>
      <c r="C780" s="48" t="s">
        <v>1447</v>
      </c>
      <c r="D780" s="87" t="s">
        <v>4</v>
      </c>
      <c r="E780" s="146" t="s">
        <v>918</v>
      </c>
      <c r="F780" s="112" t="s">
        <v>102</v>
      </c>
      <c r="G780" s="224" t="s">
        <v>6</v>
      </c>
      <c r="H780" s="87" t="s">
        <v>1</v>
      </c>
      <c r="I780" s="155" t="s">
        <v>623</v>
      </c>
      <c r="J780" s="150" t="s">
        <v>645</v>
      </c>
      <c r="K780" s="83" t="s">
        <v>2117</v>
      </c>
      <c r="L780" s="52">
        <v>5</v>
      </c>
      <c r="M780" s="53">
        <v>8</v>
      </c>
      <c r="N780" s="53">
        <v>31</v>
      </c>
      <c r="O780" s="88" t="s">
        <v>1089</v>
      </c>
      <c r="P780" s="114" t="s">
        <v>108</v>
      </c>
      <c r="Q780" s="87">
        <v>120</v>
      </c>
      <c r="R780" s="139" t="s">
        <v>360</v>
      </c>
      <c r="S780" s="189">
        <v>4630362180148</v>
      </c>
      <c r="T780" s="337">
        <v>24630362180142</v>
      </c>
      <c r="U780" s="46">
        <v>4630362180148</v>
      </c>
      <c r="V780" s="46">
        <v>24630362180142</v>
      </c>
      <c r="W780" s="258">
        <v>200</v>
      </c>
      <c r="X780" s="68">
        <v>190</v>
      </c>
      <c r="Y780" s="68">
        <v>40</v>
      </c>
      <c r="Z780" s="65">
        <v>0.18</v>
      </c>
      <c r="AA780" s="271">
        <v>1.4E-2</v>
      </c>
      <c r="AB780" s="66">
        <f t="shared" ref="AB780" si="1015">Z780+AA780</f>
        <v>0.19400000000000001</v>
      </c>
      <c r="AC780" s="67">
        <v>398</v>
      </c>
      <c r="AD780" s="68">
        <v>238</v>
      </c>
      <c r="AE780" s="68">
        <v>158</v>
      </c>
      <c r="AF780" s="194">
        <v>10</v>
      </c>
      <c r="AG780" s="117">
        <v>600000577</v>
      </c>
      <c r="AH780" s="104">
        <f>справочники!$C$186</f>
        <v>0.28999999999999998</v>
      </c>
      <c r="AI780" s="61">
        <f t="shared" si="983"/>
        <v>1.8</v>
      </c>
      <c r="AJ780" s="142">
        <f t="shared" si="984"/>
        <v>2.23</v>
      </c>
      <c r="AK780" s="158">
        <v>10</v>
      </c>
      <c r="AL780" s="38">
        <v>10</v>
      </c>
      <c r="AM780" s="40">
        <f t="shared" ref="AM780" si="1016">AK780*AL780</f>
        <v>100</v>
      </c>
      <c r="AN780" s="206">
        <f t="shared" ref="AN780" si="1017">IF(D780="ШТ",кол_во_инд.__упак_к*итого_г_у,ROUNDDOWN(номин.вес_нетто_г_у__кг*итого_г_у,1))</f>
        <v>1000</v>
      </c>
      <c r="AO780" s="204">
        <f t="shared" si="992"/>
        <v>1725</v>
      </c>
    </row>
    <row r="781" spans="1:41" ht="250.15" customHeight="1" x14ac:dyDescent="0.2">
      <c r="A781" s="22">
        <f t="shared" si="1002"/>
        <v>6148</v>
      </c>
      <c r="B781" s="80">
        <v>1002133376148</v>
      </c>
      <c r="C781" s="48" t="s">
        <v>1093</v>
      </c>
      <c r="D781" s="87" t="s">
        <v>4</v>
      </c>
      <c r="E781" s="146" t="s">
        <v>918</v>
      </c>
      <c r="F781" s="112" t="s">
        <v>102</v>
      </c>
      <c r="G781" s="224" t="s">
        <v>6</v>
      </c>
      <c r="H781" s="87" t="s">
        <v>1</v>
      </c>
      <c r="I781" s="155" t="s">
        <v>623</v>
      </c>
      <c r="J781" s="150" t="s">
        <v>645</v>
      </c>
      <c r="K781" s="83" t="s">
        <v>1004</v>
      </c>
      <c r="L781" s="52">
        <v>8</v>
      </c>
      <c r="M781" s="53">
        <v>6</v>
      </c>
      <c r="N781" s="53">
        <v>31</v>
      </c>
      <c r="O781" s="88" t="s">
        <v>1088</v>
      </c>
      <c r="P781" s="114" t="s">
        <v>108</v>
      </c>
      <c r="Q781" s="87">
        <v>120</v>
      </c>
      <c r="R781" s="139" t="s">
        <v>360</v>
      </c>
      <c r="S781" s="189">
        <v>4607958078776</v>
      </c>
      <c r="T781" s="337">
        <v>14607958078773</v>
      </c>
      <c r="U781" s="46">
        <v>4607958078776</v>
      </c>
      <c r="V781" s="46">
        <v>14607958078773</v>
      </c>
      <c r="W781" s="258">
        <v>225</v>
      </c>
      <c r="X781" s="68">
        <v>145</v>
      </c>
      <c r="Y781" s="68">
        <v>40</v>
      </c>
      <c r="Z781" s="65">
        <v>0.3</v>
      </c>
      <c r="AA781" s="271">
        <v>1.4E-2</v>
      </c>
      <c r="AB781" s="66">
        <f t="shared" si="1009"/>
        <v>0.314</v>
      </c>
      <c r="AC781" s="59">
        <v>390</v>
      </c>
      <c r="AD781" s="60">
        <v>260</v>
      </c>
      <c r="AE781" s="60">
        <v>190</v>
      </c>
      <c r="AF781" s="194">
        <v>12</v>
      </c>
      <c r="AG781" s="117">
        <v>600000010</v>
      </c>
      <c r="AH781" s="53">
        <f>справочники!$C$2</f>
        <v>0.33900000000000002</v>
      </c>
      <c r="AI781" s="61">
        <f t="shared" si="983"/>
        <v>3.6</v>
      </c>
      <c r="AJ781" s="142">
        <f t="shared" si="984"/>
        <v>4.1070000000000002</v>
      </c>
      <c r="AK781" s="158">
        <v>9</v>
      </c>
      <c r="AL781" s="38">
        <v>8</v>
      </c>
      <c r="AM781" s="40">
        <f t="shared" si="1010"/>
        <v>72</v>
      </c>
      <c r="AN781" s="206">
        <f t="shared" si="1011"/>
        <v>864</v>
      </c>
      <c r="AO781" s="204">
        <f t="shared" si="992"/>
        <v>1665</v>
      </c>
    </row>
    <row r="782" spans="1:41" ht="64.5" customHeight="1" x14ac:dyDescent="0.2">
      <c r="A782" s="22">
        <f t="shared" si="1002"/>
        <v>5579</v>
      </c>
      <c r="B782" s="80">
        <v>1002134275579</v>
      </c>
      <c r="C782" s="70" t="s">
        <v>227</v>
      </c>
      <c r="D782" s="87" t="s">
        <v>4</v>
      </c>
      <c r="E782" s="146" t="s">
        <v>918</v>
      </c>
      <c r="F782" s="112" t="s">
        <v>102</v>
      </c>
      <c r="G782" s="224" t="s">
        <v>2</v>
      </c>
      <c r="H782" s="87" t="s">
        <v>1</v>
      </c>
      <c r="I782" s="155" t="s">
        <v>623</v>
      </c>
      <c r="J782" s="150" t="s">
        <v>692</v>
      </c>
      <c r="K782" s="83" t="s">
        <v>785</v>
      </c>
      <c r="L782" s="52">
        <v>3</v>
      </c>
      <c r="M782" s="53">
        <v>8</v>
      </c>
      <c r="N782" s="53">
        <v>33</v>
      </c>
      <c r="O782" s="86" t="s">
        <v>1089</v>
      </c>
      <c r="P782" s="114" t="s">
        <v>108</v>
      </c>
      <c r="Q782" s="87">
        <v>120</v>
      </c>
      <c r="R782" s="139" t="s">
        <v>360</v>
      </c>
      <c r="S782" s="189">
        <v>4607958072651</v>
      </c>
      <c r="T782" s="337">
        <v>14607958072658</v>
      </c>
      <c r="U782" s="46">
        <v>4607958072651</v>
      </c>
      <c r="V782" s="46">
        <v>14607958072658</v>
      </c>
      <c r="W782" s="258">
        <v>290</v>
      </c>
      <c r="X782" s="68">
        <v>190</v>
      </c>
      <c r="Y782" s="68">
        <v>25</v>
      </c>
      <c r="Z782" s="65">
        <v>0.42</v>
      </c>
      <c r="AA782" s="271">
        <v>1.4999999999999999E-2</v>
      </c>
      <c r="AB782" s="66">
        <f t="shared" si="980"/>
        <v>0.435</v>
      </c>
      <c r="AC782" s="67">
        <v>390</v>
      </c>
      <c r="AD782" s="68">
        <v>260</v>
      </c>
      <c r="AE782" s="68">
        <v>190</v>
      </c>
      <c r="AF782" s="167">
        <v>10</v>
      </c>
      <c r="AG782" s="117">
        <v>600000010</v>
      </c>
      <c r="AH782" s="53">
        <f>справочники!$C$2</f>
        <v>0.33900000000000002</v>
      </c>
      <c r="AI782" s="61">
        <f t="shared" si="983"/>
        <v>4.2</v>
      </c>
      <c r="AJ782" s="142">
        <f t="shared" si="984"/>
        <v>4.6890000000000001</v>
      </c>
      <c r="AK782" s="158">
        <v>9</v>
      </c>
      <c r="AL782" s="38">
        <v>8</v>
      </c>
      <c r="AM782" s="40">
        <f t="shared" si="981"/>
        <v>72</v>
      </c>
      <c r="AN782" s="206">
        <f t="shared" si="985"/>
        <v>720</v>
      </c>
      <c r="AO782" s="204">
        <f t="shared" si="992"/>
        <v>1665</v>
      </c>
    </row>
    <row r="783" spans="1:41" ht="140.25" x14ac:dyDescent="0.2">
      <c r="A783" s="22">
        <f t="shared" si="1002"/>
        <v>5897</v>
      </c>
      <c r="B783" s="80">
        <v>1002134615897</v>
      </c>
      <c r="C783" s="70" t="s">
        <v>263</v>
      </c>
      <c r="D783" s="87" t="s">
        <v>4</v>
      </c>
      <c r="E783" s="146" t="s">
        <v>918</v>
      </c>
      <c r="F783" s="112" t="s">
        <v>102</v>
      </c>
      <c r="G783" s="224" t="s">
        <v>2</v>
      </c>
      <c r="H783" s="87" t="s">
        <v>1</v>
      </c>
      <c r="I783" s="155" t="s">
        <v>623</v>
      </c>
      <c r="J783" s="150" t="s">
        <v>692</v>
      </c>
      <c r="K783" s="83" t="s">
        <v>700</v>
      </c>
      <c r="L783" s="52">
        <v>3</v>
      </c>
      <c r="M783" s="53">
        <v>8</v>
      </c>
      <c r="N783" s="53">
        <v>34</v>
      </c>
      <c r="O783" s="88" t="s">
        <v>1090</v>
      </c>
      <c r="P783" s="114" t="s">
        <v>108</v>
      </c>
      <c r="Q783" s="87">
        <v>120</v>
      </c>
      <c r="R783" s="139" t="s">
        <v>360</v>
      </c>
      <c r="S783" s="189">
        <v>4607958073481</v>
      </c>
      <c r="T783" s="337">
        <v>14607958073488</v>
      </c>
      <c r="U783" s="46">
        <v>4607958073481</v>
      </c>
      <c r="V783" s="46">
        <v>14607958073488</v>
      </c>
      <c r="W783" s="258">
        <v>290</v>
      </c>
      <c r="X783" s="68">
        <v>190</v>
      </c>
      <c r="Y783" s="68">
        <v>25</v>
      </c>
      <c r="Z783" s="65">
        <v>0.42</v>
      </c>
      <c r="AA783" s="271">
        <v>1.4999999999999999E-2</v>
      </c>
      <c r="AB783" s="66">
        <f t="shared" si="980"/>
        <v>0.435</v>
      </c>
      <c r="AC783" s="67">
        <v>390</v>
      </c>
      <c r="AD783" s="68">
        <v>260</v>
      </c>
      <c r="AE783" s="68">
        <v>190</v>
      </c>
      <c r="AF783" s="167">
        <v>10</v>
      </c>
      <c r="AG783" s="117">
        <v>600000010</v>
      </c>
      <c r="AH783" s="53">
        <f>справочники!$C$2</f>
        <v>0.33900000000000002</v>
      </c>
      <c r="AI783" s="61">
        <f t="shared" si="983"/>
        <v>4.2</v>
      </c>
      <c r="AJ783" s="142">
        <f t="shared" si="984"/>
        <v>4.6890000000000001</v>
      </c>
      <c r="AK783" s="158">
        <v>9</v>
      </c>
      <c r="AL783" s="38">
        <v>8</v>
      </c>
      <c r="AM783" s="40">
        <f t="shared" si="981"/>
        <v>72</v>
      </c>
      <c r="AN783" s="206">
        <f t="shared" si="985"/>
        <v>720</v>
      </c>
      <c r="AO783" s="204">
        <f t="shared" si="992"/>
        <v>1665</v>
      </c>
    </row>
    <row r="784" spans="1:41" ht="114.75" x14ac:dyDescent="0.2">
      <c r="A784" s="22">
        <f t="shared" si="1002"/>
        <v>7109</v>
      </c>
      <c r="B784" s="80">
        <v>1002134617109</v>
      </c>
      <c r="C784" s="70" t="s">
        <v>2107</v>
      </c>
      <c r="D784" s="87" t="s">
        <v>4</v>
      </c>
      <c r="E784" s="146" t="s">
        <v>918</v>
      </c>
      <c r="F784" s="112" t="s">
        <v>102</v>
      </c>
      <c r="G784" s="224" t="s">
        <v>6</v>
      </c>
      <c r="H784" s="87" t="s">
        <v>1</v>
      </c>
      <c r="I784" s="155" t="s">
        <v>623</v>
      </c>
      <c r="J784" s="150" t="s">
        <v>692</v>
      </c>
      <c r="K784" s="83" t="s">
        <v>2108</v>
      </c>
      <c r="L784" s="52">
        <v>3</v>
      </c>
      <c r="M784" s="53">
        <v>8</v>
      </c>
      <c r="N784" s="53">
        <v>33</v>
      </c>
      <c r="O784" s="88" t="s">
        <v>1089</v>
      </c>
      <c r="P784" s="114" t="s">
        <v>108</v>
      </c>
      <c r="Q784" s="87">
        <v>120</v>
      </c>
      <c r="R784" s="139" t="s">
        <v>360</v>
      </c>
      <c r="S784" s="189">
        <v>4630362183026</v>
      </c>
      <c r="T784" s="337">
        <v>14630362183023</v>
      </c>
      <c r="U784" s="46">
        <v>4630362183026</v>
      </c>
      <c r="V784" s="46">
        <v>14630362183023</v>
      </c>
      <c r="W784" s="258">
        <v>225</v>
      </c>
      <c r="X784" s="68">
        <v>145</v>
      </c>
      <c r="Y784" s="68">
        <v>40</v>
      </c>
      <c r="Z784" s="65">
        <v>0.3</v>
      </c>
      <c r="AA784" s="271">
        <v>1.4E-2</v>
      </c>
      <c r="AB784" s="66">
        <f t="shared" ref="AB784" si="1018">Z784+AA784</f>
        <v>0.314</v>
      </c>
      <c r="AC784" s="67">
        <v>390</v>
      </c>
      <c r="AD784" s="68">
        <v>260</v>
      </c>
      <c r="AE784" s="68">
        <v>190</v>
      </c>
      <c r="AF784" s="167">
        <v>12</v>
      </c>
      <c r="AG784" s="117">
        <v>600000010</v>
      </c>
      <c r="AH784" s="53">
        <f>справочники!$C$2</f>
        <v>0.33900000000000002</v>
      </c>
      <c r="AI784" s="61">
        <f t="shared" si="983"/>
        <v>3.6</v>
      </c>
      <c r="AJ784" s="142">
        <f t="shared" si="984"/>
        <v>4.1070000000000002</v>
      </c>
      <c r="AK784" s="158">
        <v>9</v>
      </c>
      <c r="AL784" s="38">
        <v>8</v>
      </c>
      <c r="AM784" s="40">
        <f t="shared" ref="AM784" si="1019">AK784*AL784</f>
        <v>72</v>
      </c>
      <c r="AN784" s="206">
        <f t="shared" ref="AN784" si="1020">IF(D784="ШТ",кол_во_инд.__упак_к*итого_г_у,ROUNDDOWN(номин.вес_нетто_г_у__кг*итого_г_у,1))</f>
        <v>864</v>
      </c>
      <c r="AO784" s="204">
        <f t="shared" si="992"/>
        <v>1665</v>
      </c>
    </row>
    <row r="785" spans="1:41" ht="64.5" customHeight="1" x14ac:dyDescent="0.2">
      <c r="A785" s="22">
        <f t="shared" si="1002"/>
        <v>6819</v>
      </c>
      <c r="B785" s="80">
        <v>1002134276819</v>
      </c>
      <c r="C785" s="70" t="s">
        <v>784</v>
      </c>
      <c r="D785" s="87" t="s">
        <v>4</v>
      </c>
      <c r="E785" s="146" t="s">
        <v>918</v>
      </c>
      <c r="F785" s="112" t="s">
        <v>102</v>
      </c>
      <c r="G785" s="224" t="s">
        <v>2</v>
      </c>
      <c r="H785" s="87" t="s">
        <v>1</v>
      </c>
      <c r="I785" s="155" t="s">
        <v>623</v>
      </c>
      <c r="J785" s="150" t="s">
        <v>645</v>
      </c>
      <c r="K785" s="83" t="s">
        <v>785</v>
      </c>
      <c r="L785" s="52">
        <v>3</v>
      </c>
      <c r="M785" s="53">
        <v>8</v>
      </c>
      <c r="N785" s="53">
        <v>33</v>
      </c>
      <c r="O785" s="86" t="s">
        <v>1089</v>
      </c>
      <c r="P785" s="114" t="s">
        <v>108</v>
      </c>
      <c r="Q785" s="87">
        <v>120</v>
      </c>
      <c r="R785" s="139" t="s">
        <v>360</v>
      </c>
      <c r="S785" s="189">
        <v>4607958077397</v>
      </c>
      <c r="T785" s="337">
        <v>14607958077394</v>
      </c>
      <c r="U785" s="46">
        <v>4607958077397</v>
      </c>
      <c r="V785" s="46">
        <v>14607958077394</v>
      </c>
      <c r="W785" s="258">
        <v>225</v>
      </c>
      <c r="X785" s="68">
        <v>145</v>
      </c>
      <c r="Y785" s="68">
        <v>40</v>
      </c>
      <c r="Z785" s="65">
        <v>0.3</v>
      </c>
      <c r="AA785" s="271">
        <v>1.9E-2</v>
      </c>
      <c r="AB785" s="66">
        <f>Z785+AA785</f>
        <v>0.31900000000000001</v>
      </c>
      <c r="AC785" s="67">
        <v>390</v>
      </c>
      <c r="AD785" s="68">
        <v>260</v>
      </c>
      <c r="AE785" s="68">
        <v>190</v>
      </c>
      <c r="AF785" s="167">
        <v>12</v>
      </c>
      <c r="AG785" s="117">
        <v>600000010</v>
      </c>
      <c r="AH785" s="53">
        <f>справочники!$C$2</f>
        <v>0.33900000000000002</v>
      </c>
      <c r="AI785" s="61">
        <f t="shared" si="983"/>
        <v>3.6</v>
      </c>
      <c r="AJ785" s="142">
        <f t="shared" si="984"/>
        <v>4.1670000000000007</v>
      </c>
      <c r="AK785" s="158">
        <v>9</v>
      </c>
      <c r="AL785" s="38">
        <v>8</v>
      </c>
      <c r="AM785" s="40">
        <f>AK785*AL785</f>
        <v>72</v>
      </c>
      <c r="AN785" s="206">
        <f>IF(D785="ШТ",кол_во_инд.__упак_к*итого_г_у,ROUNDDOWN(номин.вес_нетто_г_у__кг*итого_г_у,1))</f>
        <v>864</v>
      </c>
      <c r="AO785" s="204">
        <f t="shared" si="992"/>
        <v>1665</v>
      </c>
    </row>
    <row r="786" spans="1:41" ht="140.25" x14ac:dyDescent="0.2">
      <c r="A786" s="22">
        <f t="shared" si="1002"/>
        <v>4731</v>
      </c>
      <c r="B786" s="80">
        <v>1002131154731</v>
      </c>
      <c r="C786" s="48" t="s">
        <v>139</v>
      </c>
      <c r="D786" s="87" t="s">
        <v>4</v>
      </c>
      <c r="E786" s="146" t="s">
        <v>918</v>
      </c>
      <c r="F786" s="112" t="s">
        <v>102</v>
      </c>
      <c r="G786" s="224" t="s">
        <v>2</v>
      </c>
      <c r="H786" s="87" t="s">
        <v>1</v>
      </c>
      <c r="I786" s="155" t="s">
        <v>623</v>
      </c>
      <c r="J786" s="150" t="s">
        <v>690</v>
      </c>
      <c r="K786" s="83" t="s">
        <v>691</v>
      </c>
      <c r="L786" s="52">
        <v>8</v>
      </c>
      <c r="M786" s="53">
        <v>11</v>
      </c>
      <c r="N786" s="53">
        <v>33</v>
      </c>
      <c r="O786" s="88" t="s">
        <v>1085</v>
      </c>
      <c r="P786" s="114" t="s">
        <v>108</v>
      </c>
      <c r="Q786" s="87">
        <v>120</v>
      </c>
      <c r="R786" s="139" t="s">
        <v>360</v>
      </c>
      <c r="S786" s="240">
        <v>4607958070565</v>
      </c>
      <c r="T786" s="349">
        <v>14607958070562</v>
      </c>
      <c r="U786" s="46">
        <v>4607958070565</v>
      </c>
      <c r="V786" s="46">
        <v>14607958070562</v>
      </c>
      <c r="W786" s="258"/>
      <c r="X786" s="68"/>
      <c r="Y786" s="68"/>
      <c r="Z786" s="65">
        <v>5</v>
      </c>
      <c r="AA786" s="271">
        <v>0.01</v>
      </c>
      <c r="AB786" s="66">
        <f t="shared" si="980"/>
        <v>5.01</v>
      </c>
      <c r="AC786" s="67">
        <v>388</v>
      </c>
      <c r="AD786" s="68">
        <v>193</v>
      </c>
      <c r="AE786" s="68">
        <v>158</v>
      </c>
      <c r="AF786" s="167">
        <v>1</v>
      </c>
      <c r="AG786" s="117">
        <v>600000018</v>
      </c>
      <c r="AH786" s="104">
        <f>справочники!$C$10</f>
        <v>0.161</v>
      </c>
      <c r="AI786" s="61">
        <f t="shared" si="983"/>
        <v>5</v>
      </c>
      <c r="AJ786" s="142">
        <f t="shared" si="984"/>
        <v>5.1709999999999994</v>
      </c>
      <c r="AK786" s="158">
        <v>12</v>
      </c>
      <c r="AL786" s="38">
        <v>9</v>
      </c>
      <c r="AM786" s="40">
        <f t="shared" si="981"/>
        <v>108</v>
      </c>
      <c r="AN786" s="206">
        <f t="shared" si="985"/>
        <v>108</v>
      </c>
      <c r="AO786" s="204">
        <f t="shared" si="992"/>
        <v>1567</v>
      </c>
    </row>
    <row r="787" spans="1:41" ht="127.5" x14ac:dyDescent="0.2">
      <c r="A787" s="22">
        <f t="shared" si="1002"/>
        <v>5754</v>
      </c>
      <c r="B787" s="80">
        <v>1002131155754</v>
      </c>
      <c r="C787" s="70" t="s">
        <v>370</v>
      </c>
      <c r="D787" s="87" t="s">
        <v>3</v>
      </c>
      <c r="E787" s="146" t="s">
        <v>918</v>
      </c>
      <c r="F787" s="112" t="s">
        <v>102</v>
      </c>
      <c r="G787" s="224" t="s">
        <v>2</v>
      </c>
      <c r="H787" s="87" t="s">
        <v>1</v>
      </c>
      <c r="I787" s="155" t="s">
        <v>623</v>
      </c>
      <c r="J787" s="150" t="s">
        <v>692</v>
      </c>
      <c r="K787" s="83" t="s">
        <v>693</v>
      </c>
      <c r="L787" s="52">
        <v>8</v>
      </c>
      <c r="M787" s="53">
        <v>11</v>
      </c>
      <c r="N787" s="53">
        <v>33</v>
      </c>
      <c r="O787" s="88" t="s">
        <v>1086</v>
      </c>
      <c r="P787" s="114" t="s">
        <v>108</v>
      </c>
      <c r="Q787" s="87">
        <v>120</v>
      </c>
      <c r="R787" s="139" t="s">
        <v>360</v>
      </c>
      <c r="S787" s="240">
        <v>2800367000006</v>
      </c>
      <c r="T787" s="349">
        <v>12800367000003</v>
      </c>
      <c r="U787" s="46"/>
      <c r="V787" s="46"/>
      <c r="W787" s="258"/>
      <c r="X787" s="68"/>
      <c r="Y787" s="68"/>
      <c r="Z787" s="65">
        <v>4.5</v>
      </c>
      <c r="AA787" s="271">
        <v>0.01</v>
      </c>
      <c r="AB787" s="66">
        <f t="shared" si="980"/>
        <v>4.51</v>
      </c>
      <c r="AC787" s="67">
        <v>388</v>
      </c>
      <c r="AD787" s="68">
        <v>193</v>
      </c>
      <c r="AE787" s="68">
        <v>158</v>
      </c>
      <c r="AF787" s="167">
        <v>1</v>
      </c>
      <c r="AG787" s="117">
        <v>600000018</v>
      </c>
      <c r="AH787" s="104">
        <f>справочники!$C$10</f>
        <v>0.161</v>
      </c>
      <c r="AI787" s="61">
        <f t="shared" si="983"/>
        <v>4.5</v>
      </c>
      <c r="AJ787" s="142">
        <f t="shared" si="984"/>
        <v>4.6709999999999994</v>
      </c>
      <c r="AK787" s="158">
        <v>12</v>
      </c>
      <c r="AL787" s="38">
        <v>9</v>
      </c>
      <c r="AM787" s="40">
        <f t="shared" si="981"/>
        <v>108</v>
      </c>
      <c r="AN787" s="214">
        <f t="shared" si="985"/>
        <v>486</v>
      </c>
      <c r="AO787" s="204">
        <f t="shared" si="992"/>
        <v>1567</v>
      </c>
    </row>
    <row r="788" spans="1:41" ht="90" customHeight="1" x14ac:dyDescent="0.2">
      <c r="A788" s="22">
        <f t="shared" si="1002"/>
        <v>5755</v>
      </c>
      <c r="B788" s="80">
        <v>1002131185755</v>
      </c>
      <c r="C788" s="70" t="s">
        <v>371</v>
      </c>
      <c r="D788" s="87" t="s">
        <v>3</v>
      </c>
      <c r="E788" s="146" t="s">
        <v>918</v>
      </c>
      <c r="F788" s="112" t="s">
        <v>102</v>
      </c>
      <c r="G788" s="224" t="s">
        <v>2</v>
      </c>
      <c r="H788" s="87" t="s">
        <v>1</v>
      </c>
      <c r="I788" s="155" t="s">
        <v>623</v>
      </c>
      <c r="J788" s="150" t="s">
        <v>645</v>
      </c>
      <c r="K788" s="83" t="s">
        <v>699</v>
      </c>
      <c r="L788" s="52">
        <v>6</v>
      </c>
      <c r="M788" s="53">
        <v>10</v>
      </c>
      <c r="N788" s="53">
        <v>30</v>
      </c>
      <c r="O788" s="86" t="s">
        <v>1091</v>
      </c>
      <c r="P788" s="114" t="s">
        <v>108</v>
      </c>
      <c r="Q788" s="87">
        <v>120</v>
      </c>
      <c r="R788" s="144" t="s">
        <v>360</v>
      </c>
      <c r="S788" s="234">
        <v>2800376000004</v>
      </c>
      <c r="T788" s="338">
        <v>12800376000001</v>
      </c>
      <c r="U788" s="46"/>
      <c r="V788" s="46"/>
      <c r="W788" s="258"/>
      <c r="X788" s="68"/>
      <c r="Y788" s="68"/>
      <c r="Z788" s="65">
        <v>4.5</v>
      </c>
      <c r="AA788" s="271">
        <v>0.01</v>
      </c>
      <c r="AB788" s="66">
        <f t="shared" si="980"/>
        <v>4.51</v>
      </c>
      <c r="AC788" s="59">
        <v>388</v>
      </c>
      <c r="AD788" s="60">
        <v>193</v>
      </c>
      <c r="AE788" s="60">
        <v>158</v>
      </c>
      <c r="AF788" s="191">
        <v>1</v>
      </c>
      <c r="AG788" s="117">
        <v>600000018</v>
      </c>
      <c r="AH788" s="104">
        <f>справочники!$C$10</f>
        <v>0.161</v>
      </c>
      <c r="AI788" s="61">
        <f t="shared" si="983"/>
        <v>4.5</v>
      </c>
      <c r="AJ788" s="142">
        <f t="shared" si="984"/>
        <v>4.6709999999999994</v>
      </c>
      <c r="AK788" s="158">
        <v>12</v>
      </c>
      <c r="AL788" s="38">
        <v>9</v>
      </c>
      <c r="AM788" s="40">
        <f t="shared" si="981"/>
        <v>108</v>
      </c>
      <c r="AN788" s="214">
        <f t="shared" si="985"/>
        <v>486</v>
      </c>
      <c r="AO788" s="204">
        <f t="shared" si="992"/>
        <v>1567</v>
      </c>
    </row>
    <row r="789" spans="1:41" ht="45" x14ac:dyDescent="0.2">
      <c r="A789" s="22">
        <f t="shared" si="1002"/>
        <v>4809</v>
      </c>
      <c r="B789" s="80">
        <v>1002171554809</v>
      </c>
      <c r="C789" s="48" t="s">
        <v>694</v>
      </c>
      <c r="D789" s="87" t="s">
        <v>3</v>
      </c>
      <c r="E789" s="146" t="s">
        <v>918</v>
      </c>
      <c r="F789" s="112" t="s">
        <v>1928</v>
      </c>
      <c r="G789" s="224" t="s">
        <v>2</v>
      </c>
      <c r="H789" s="87" t="s">
        <v>358</v>
      </c>
      <c r="I789" s="155" t="s">
        <v>156</v>
      </c>
      <c r="J789" s="150" t="s">
        <v>406</v>
      </c>
      <c r="K789" s="51" t="s">
        <v>369</v>
      </c>
      <c r="L789" s="84">
        <v>25</v>
      </c>
      <c r="M789" s="85">
        <v>7</v>
      </c>
      <c r="N789" s="91"/>
      <c r="O789" s="86" t="s">
        <v>195</v>
      </c>
      <c r="P789" s="114" t="s">
        <v>108</v>
      </c>
      <c r="Q789" s="87">
        <v>365</v>
      </c>
      <c r="R789" s="144" t="s">
        <v>360</v>
      </c>
      <c r="S789" s="237">
        <v>2524286000007</v>
      </c>
      <c r="T789" s="332">
        <v>12524286000004</v>
      </c>
      <c r="U789" s="46"/>
      <c r="V789" s="46"/>
      <c r="W789" s="258">
        <v>190</v>
      </c>
      <c r="X789" s="68">
        <v>150</v>
      </c>
      <c r="Y789" s="68">
        <v>50</v>
      </c>
      <c r="Z789" s="65">
        <v>0.4</v>
      </c>
      <c r="AA789" s="271">
        <v>7.0000000000000001E-3</v>
      </c>
      <c r="AB789" s="66">
        <f t="shared" si="980"/>
        <v>0.40700000000000003</v>
      </c>
      <c r="AC789" s="59">
        <v>383</v>
      </c>
      <c r="AD789" s="60">
        <v>156</v>
      </c>
      <c r="AE789" s="60">
        <v>168</v>
      </c>
      <c r="AF789" s="196">
        <v>8</v>
      </c>
      <c r="AG789" s="117">
        <v>600000030</v>
      </c>
      <c r="AH789" s="104">
        <f>справочники!$C$22</f>
        <v>0.127</v>
      </c>
      <c r="AI789" s="61">
        <f t="shared" si="983"/>
        <v>3.2</v>
      </c>
      <c r="AJ789" s="142">
        <f t="shared" si="984"/>
        <v>3.383</v>
      </c>
      <c r="AK789" s="158">
        <v>15</v>
      </c>
      <c r="AL789" s="38">
        <v>6</v>
      </c>
      <c r="AM789" s="40">
        <f t="shared" si="981"/>
        <v>90</v>
      </c>
      <c r="AN789" s="214">
        <f t="shared" si="985"/>
        <v>288</v>
      </c>
      <c r="AO789" s="204">
        <f t="shared" si="992"/>
        <v>1153</v>
      </c>
    </row>
    <row r="790" spans="1:41" ht="45" x14ac:dyDescent="0.2">
      <c r="A790" s="22">
        <f t="shared" si="1002"/>
        <v>6099</v>
      </c>
      <c r="B790" s="80">
        <v>1002172146099</v>
      </c>
      <c r="C790" s="48" t="s">
        <v>295</v>
      </c>
      <c r="D790" s="87" t="s">
        <v>3</v>
      </c>
      <c r="E790" s="146" t="s">
        <v>918</v>
      </c>
      <c r="F790" s="112" t="s">
        <v>1928</v>
      </c>
      <c r="G790" s="224" t="s">
        <v>2</v>
      </c>
      <c r="H790" s="87" t="s">
        <v>358</v>
      </c>
      <c r="I790" s="155" t="s">
        <v>156</v>
      </c>
      <c r="J790" s="150" t="s">
        <v>405</v>
      </c>
      <c r="K790" s="51" t="s">
        <v>365</v>
      </c>
      <c r="L790" s="84">
        <v>18</v>
      </c>
      <c r="M790" s="85">
        <v>4</v>
      </c>
      <c r="N790" s="91"/>
      <c r="O790" s="86" t="s">
        <v>161</v>
      </c>
      <c r="P790" s="114" t="s">
        <v>108</v>
      </c>
      <c r="Q790" s="87">
        <v>365</v>
      </c>
      <c r="R790" s="144" t="s">
        <v>360</v>
      </c>
      <c r="S790" s="237">
        <v>2800122000005</v>
      </c>
      <c r="T790" s="332">
        <v>12800122000002</v>
      </c>
      <c r="U790" s="46"/>
      <c r="V790" s="46"/>
      <c r="W790" s="258">
        <v>200</v>
      </c>
      <c r="X790" s="68">
        <v>150</v>
      </c>
      <c r="Y790" s="96" t="s">
        <v>302</v>
      </c>
      <c r="Z790" s="65">
        <v>0.73399999999999999</v>
      </c>
      <c r="AA790" s="271">
        <v>0.02</v>
      </c>
      <c r="AB790" s="66">
        <f t="shared" si="980"/>
        <v>0.754</v>
      </c>
      <c r="AC790" s="59">
        <v>383</v>
      </c>
      <c r="AD790" s="60">
        <v>156</v>
      </c>
      <c r="AE790" s="60">
        <v>168</v>
      </c>
      <c r="AF790" s="196">
        <v>6</v>
      </c>
      <c r="AG790" s="117">
        <v>600000030</v>
      </c>
      <c r="AH790" s="104">
        <f>справочники!$C$22</f>
        <v>0.127</v>
      </c>
      <c r="AI790" s="61">
        <f t="shared" si="983"/>
        <v>4.4000000000000004</v>
      </c>
      <c r="AJ790" s="142">
        <f t="shared" si="984"/>
        <v>4.6509999999999998</v>
      </c>
      <c r="AK790" s="158">
        <v>15</v>
      </c>
      <c r="AL790" s="38">
        <v>6</v>
      </c>
      <c r="AM790" s="40">
        <f t="shared" si="981"/>
        <v>90</v>
      </c>
      <c r="AN790" s="214">
        <f t="shared" si="985"/>
        <v>396</v>
      </c>
      <c r="AO790" s="204">
        <f t="shared" si="992"/>
        <v>1153</v>
      </c>
    </row>
    <row r="791" spans="1:41" ht="45" x14ac:dyDescent="0.2">
      <c r="A791" s="22">
        <f t="shared" si="1002"/>
        <v>6162</v>
      </c>
      <c r="B791" s="80">
        <v>1002172146162</v>
      </c>
      <c r="C791" s="48" t="s">
        <v>307</v>
      </c>
      <c r="D791" s="87" t="s">
        <v>3</v>
      </c>
      <c r="E791" s="146" t="s">
        <v>918</v>
      </c>
      <c r="F791" s="112" t="s">
        <v>1928</v>
      </c>
      <c r="G791" s="224" t="s">
        <v>2</v>
      </c>
      <c r="H791" s="87" t="s">
        <v>358</v>
      </c>
      <c r="I791" s="155" t="s">
        <v>156</v>
      </c>
      <c r="J791" s="150" t="s">
        <v>405</v>
      </c>
      <c r="K791" s="51" t="s">
        <v>365</v>
      </c>
      <c r="L791" s="84">
        <v>18</v>
      </c>
      <c r="M791" s="85">
        <v>4</v>
      </c>
      <c r="N791" s="91"/>
      <c r="O791" s="86" t="s">
        <v>161</v>
      </c>
      <c r="P791" s="114" t="s">
        <v>108</v>
      </c>
      <c r="Q791" s="87">
        <v>365</v>
      </c>
      <c r="R791" s="144" t="s">
        <v>360</v>
      </c>
      <c r="S791" s="237">
        <v>2538945000000</v>
      </c>
      <c r="T791" s="332">
        <v>12538945000007</v>
      </c>
      <c r="U791" s="46"/>
      <c r="V791" s="46"/>
      <c r="W791" s="258">
        <v>200</v>
      </c>
      <c r="X791" s="68">
        <v>150</v>
      </c>
      <c r="Y791" s="96" t="s">
        <v>302</v>
      </c>
      <c r="Z791" s="65">
        <v>0.7</v>
      </c>
      <c r="AA791" s="271">
        <v>0.02</v>
      </c>
      <c r="AB791" s="66">
        <f t="shared" si="980"/>
        <v>0.72</v>
      </c>
      <c r="AC791" s="59">
        <v>383</v>
      </c>
      <c r="AD791" s="60">
        <v>156</v>
      </c>
      <c r="AE791" s="60">
        <v>168</v>
      </c>
      <c r="AF791" s="196">
        <v>6</v>
      </c>
      <c r="AG791" s="117">
        <v>600000030</v>
      </c>
      <c r="AH791" s="104">
        <f>справочники!$C$22</f>
        <v>0.127</v>
      </c>
      <c r="AI791" s="61">
        <f t="shared" si="983"/>
        <v>4.2</v>
      </c>
      <c r="AJ791" s="142">
        <f t="shared" si="984"/>
        <v>4.4470000000000001</v>
      </c>
      <c r="AK791" s="158">
        <v>15</v>
      </c>
      <c r="AL791" s="38">
        <v>6</v>
      </c>
      <c r="AM791" s="40">
        <f t="shared" si="981"/>
        <v>90</v>
      </c>
      <c r="AN791" s="214">
        <f t="shared" si="985"/>
        <v>378</v>
      </c>
      <c r="AO791" s="204">
        <f t="shared" si="992"/>
        <v>1153</v>
      </c>
    </row>
    <row r="792" spans="1:41" ht="45" x14ac:dyDescent="0.2">
      <c r="A792" s="22">
        <f t="shared" si="1002"/>
        <v>6100</v>
      </c>
      <c r="B792" s="80">
        <v>1002174986100</v>
      </c>
      <c r="C792" s="48" t="s">
        <v>296</v>
      </c>
      <c r="D792" s="87" t="s">
        <v>3</v>
      </c>
      <c r="E792" s="146" t="s">
        <v>918</v>
      </c>
      <c r="F792" s="112" t="s">
        <v>1928</v>
      </c>
      <c r="G792" s="224" t="s">
        <v>2</v>
      </c>
      <c r="H792" s="87" t="s">
        <v>358</v>
      </c>
      <c r="I792" s="155" t="s">
        <v>156</v>
      </c>
      <c r="J792" s="150" t="s">
        <v>405</v>
      </c>
      <c r="K792" s="51" t="s">
        <v>364</v>
      </c>
      <c r="L792" s="84">
        <v>16</v>
      </c>
      <c r="M792" s="85">
        <v>4</v>
      </c>
      <c r="N792" s="91"/>
      <c r="O792" s="86" t="s">
        <v>297</v>
      </c>
      <c r="P792" s="114" t="s">
        <v>108</v>
      </c>
      <c r="Q792" s="87">
        <v>365</v>
      </c>
      <c r="R792" s="144" t="s">
        <v>360</v>
      </c>
      <c r="S792" s="237">
        <v>2538943000002</v>
      </c>
      <c r="T792" s="332">
        <v>12538943000009</v>
      </c>
      <c r="U792" s="46"/>
      <c r="V792" s="46"/>
      <c r="W792" s="258">
        <v>200</v>
      </c>
      <c r="X792" s="68">
        <v>150</v>
      </c>
      <c r="Y792" s="96" t="s">
        <v>302</v>
      </c>
      <c r="Z792" s="65">
        <v>0.66</v>
      </c>
      <c r="AA792" s="271">
        <v>0.02</v>
      </c>
      <c r="AB792" s="66">
        <f t="shared" si="980"/>
        <v>0.68</v>
      </c>
      <c r="AC792" s="59">
        <v>383</v>
      </c>
      <c r="AD792" s="60">
        <v>156</v>
      </c>
      <c r="AE792" s="60">
        <v>168</v>
      </c>
      <c r="AF792" s="196">
        <v>5</v>
      </c>
      <c r="AG792" s="117">
        <v>600000030</v>
      </c>
      <c r="AH792" s="104">
        <f>справочники!$C$22</f>
        <v>0.127</v>
      </c>
      <c r="AI792" s="61">
        <f t="shared" si="983"/>
        <v>3.3</v>
      </c>
      <c r="AJ792" s="142">
        <f t="shared" si="984"/>
        <v>3.5270000000000001</v>
      </c>
      <c r="AK792" s="158">
        <v>15</v>
      </c>
      <c r="AL792" s="38">
        <v>6</v>
      </c>
      <c r="AM792" s="40">
        <f t="shared" si="981"/>
        <v>90</v>
      </c>
      <c r="AN792" s="214">
        <f t="shared" si="985"/>
        <v>297</v>
      </c>
      <c r="AO792" s="204">
        <f t="shared" si="992"/>
        <v>1153</v>
      </c>
    </row>
    <row r="793" spans="1:41" ht="45" x14ac:dyDescent="0.2">
      <c r="A793" s="22">
        <f t="shared" si="1002"/>
        <v>6101</v>
      </c>
      <c r="B793" s="80">
        <v>1002174996101</v>
      </c>
      <c r="C793" s="48" t="s">
        <v>298</v>
      </c>
      <c r="D793" s="87" t="s">
        <v>3</v>
      </c>
      <c r="E793" s="146" t="s">
        <v>918</v>
      </c>
      <c r="F793" s="112" t="s">
        <v>1928</v>
      </c>
      <c r="G793" s="224" t="s">
        <v>2</v>
      </c>
      <c r="H793" s="87" t="s">
        <v>358</v>
      </c>
      <c r="I793" s="155" t="s">
        <v>156</v>
      </c>
      <c r="J793" s="150" t="s">
        <v>406</v>
      </c>
      <c r="K793" s="51" t="s">
        <v>363</v>
      </c>
      <c r="L793" s="84">
        <v>16</v>
      </c>
      <c r="M793" s="85">
        <v>40</v>
      </c>
      <c r="N793" s="91"/>
      <c r="O793" s="86" t="s">
        <v>301</v>
      </c>
      <c r="P793" s="114" t="s">
        <v>108</v>
      </c>
      <c r="Q793" s="87">
        <v>365</v>
      </c>
      <c r="R793" s="144" t="s">
        <v>360</v>
      </c>
      <c r="S793" s="237">
        <v>2354349000008</v>
      </c>
      <c r="T793" s="332">
        <v>12354349000005</v>
      </c>
      <c r="U793" s="46"/>
      <c r="V793" s="46"/>
      <c r="W793" s="258">
        <v>200</v>
      </c>
      <c r="X793" s="68">
        <v>150</v>
      </c>
      <c r="Y793" s="96" t="s">
        <v>303</v>
      </c>
      <c r="Z793" s="65">
        <v>0.76</v>
      </c>
      <c r="AA793" s="271">
        <v>0.02</v>
      </c>
      <c r="AB793" s="66">
        <f t="shared" si="980"/>
        <v>0.78</v>
      </c>
      <c r="AC793" s="59">
        <v>383</v>
      </c>
      <c r="AD793" s="60">
        <v>156</v>
      </c>
      <c r="AE793" s="60">
        <v>168</v>
      </c>
      <c r="AF793" s="196">
        <v>5</v>
      </c>
      <c r="AG793" s="117">
        <v>600000030</v>
      </c>
      <c r="AH793" s="104">
        <f>справочники!$C$22</f>
        <v>0.127</v>
      </c>
      <c r="AI793" s="61">
        <f t="shared" si="983"/>
        <v>3.8</v>
      </c>
      <c r="AJ793" s="142">
        <f t="shared" si="984"/>
        <v>4.0270000000000001</v>
      </c>
      <c r="AK793" s="158">
        <v>15</v>
      </c>
      <c r="AL793" s="38">
        <v>6</v>
      </c>
      <c r="AM793" s="40">
        <f t="shared" si="981"/>
        <v>90</v>
      </c>
      <c r="AN793" s="214">
        <f t="shared" si="985"/>
        <v>342</v>
      </c>
      <c r="AO793" s="204">
        <f t="shared" si="992"/>
        <v>1153</v>
      </c>
    </row>
    <row r="794" spans="1:41" ht="45" x14ac:dyDescent="0.2">
      <c r="A794" s="22">
        <f t="shared" si="1002"/>
        <v>6581</v>
      </c>
      <c r="B794" s="80">
        <v>1002365006581</v>
      </c>
      <c r="C794" s="48" t="s">
        <v>299</v>
      </c>
      <c r="D794" s="87" t="s">
        <v>3</v>
      </c>
      <c r="E794" s="146" t="s">
        <v>918</v>
      </c>
      <c r="F794" s="112" t="s">
        <v>1928</v>
      </c>
      <c r="G794" s="224" t="s">
        <v>2</v>
      </c>
      <c r="H794" s="87" t="s">
        <v>358</v>
      </c>
      <c r="I794" s="155" t="s">
        <v>156</v>
      </c>
      <c r="J794" s="150" t="s">
        <v>405</v>
      </c>
      <c r="K794" s="51" t="s">
        <v>362</v>
      </c>
      <c r="L794" s="84">
        <v>16</v>
      </c>
      <c r="M794" s="85">
        <v>16</v>
      </c>
      <c r="N794" s="91"/>
      <c r="O794" s="86" t="s">
        <v>300</v>
      </c>
      <c r="P794" s="114" t="s">
        <v>108</v>
      </c>
      <c r="Q794" s="87">
        <v>365</v>
      </c>
      <c r="R794" s="144" t="s">
        <v>360</v>
      </c>
      <c r="S794" s="237">
        <v>2306035000007</v>
      </c>
      <c r="T794" s="332">
        <v>12306035000004</v>
      </c>
      <c r="U794" s="46"/>
      <c r="V794" s="46"/>
      <c r="W794" s="258">
        <v>200</v>
      </c>
      <c r="X794" s="68">
        <v>150</v>
      </c>
      <c r="Y794" s="96" t="s">
        <v>304</v>
      </c>
      <c r="Z794" s="65">
        <v>0.47199999999999998</v>
      </c>
      <c r="AA794" s="271">
        <v>0.02</v>
      </c>
      <c r="AB794" s="66">
        <f>Z794+AA794</f>
        <v>0.49199999999999999</v>
      </c>
      <c r="AC794" s="59">
        <v>383</v>
      </c>
      <c r="AD794" s="60">
        <v>156</v>
      </c>
      <c r="AE794" s="60">
        <v>168</v>
      </c>
      <c r="AF794" s="196">
        <v>7</v>
      </c>
      <c r="AG794" s="117">
        <v>600000030</v>
      </c>
      <c r="AH794" s="104">
        <f>справочники!$C$22</f>
        <v>0.127</v>
      </c>
      <c r="AI794" s="61">
        <f t="shared" si="983"/>
        <v>3.3</v>
      </c>
      <c r="AJ794" s="142">
        <f t="shared" si="984"/>
        <v>3.5709999999999997</v>
      </c>
      <c r="AK794" s="158">
        <v>15</v>
      </c>
      <c r="AL794" s="38">
        <v>6</v>
      </c>
      <c r="AM794" s="40">
        <f>AK794*AL794</f>
        <v>90</v>
      </c>
      <c r="AN794" s="214">
        <f>IF(D794="ШТ",кол_во_инд.__упак_к*итого_г_у,ROUNDDOWN(номин.вес_нетто_г_у__кг*итого_г_у,1))</f>
        <v>297</v>
      </c>
      <c r="AO794" s="204">
        <f t="shared" si="992"/>
        <v>1153</v>
      </c>
    </row>
    <row r="795" spans="1:41" ht="45" x14ac:dyDescent="0.2">
      <c r="A795" s="22">
        <f t="shared" si="1002"/>
        <v>6598</v>
      </c>
      <c r="B795" s="80">
        <v>1002365006598</v>
      </c>
      <c r="C795" s="48" t="s">
        <v>308</v>
      </c>
      <c r="D795" s="87" t="s">
        <v>3</v>
      </c>
      <c r="E795" s="146" t="s">
        <v>918</v>
      </c>
      <c r="F795" s="112" t="s">
        <v>1928</v>
      </c>
      <c r="G795" s="224" t="s">
        <v>2</v>
      </c>
      <c r="H795" s="87" t="s">
        <v>358</v>
      </c>
      <c r="I795" s="155" t="s">
        <v>156</v>
      </c>
      <c r="J795" s="150" t="s">
        <v>405</v>
      </c>
      <c r="K795" s="51" t="s">
        <v>362</v>
      </c>
      <c r="L795" s="84">
        <v>16</v>
      </c>
      <c r="M795" s="85">
        <v>16</v>
      </c>
      <c r="N795" s="91"/>
      <c r="O795" s="86" t="s">
        <v>300</v>
      </c>
      <c r="P795" s="114" t="s">
        <v>108</v>
      </c>
      <c r="Q795" s="87">
        <v>365</v>
      </c>
      <c r="R795" s="144" t="s">
        <v>360</v>
      </c>
      <c r="S795" s="237">
        <v>2538944000001</v>
      </c>
      <c r="T795" s="332">
        <v>12538944000008</v>
      </c>
      <c r="U795" s="46"/>
      <c r="V795" s="46"/>
      <c r="W795" s="258">
        <v>200</v>
      </c>
      <c r="X795" s="68">
        <v>150</v>
      </c>
      <c r="Y795" s="96" t="s">
        <v>304</v>
      </c>
      <c r="Z795" s="65">
        <v>0.45800000000000002</v>
      </c>
      <c r="AA795" s="271">
        <v>0.02</v>
      </c>
      <c r="AB795" s="66">
        <f>Z795+AA795</f>
        <v>0.47800000000000004</v>
      </c>
      <c r="AC795" s="59">
        <v>383</v>
      </c>
      <c r="AD795" s="60">
        <v>156</v>
      </c>
      <c r="AE795" s="60">
        <v>168</v>
      </c>
      <c r="AF795" s="196">
        <v>7</v>
      </c>
      <c r="AG795" s="117">
        <v>600000030</v>
      </c>
      <c r="AH795" s="104">
        <f>справочники!$C$22</f>
        <v>0.127</v>
      </c>
      <c r="AI795" s="61">
        <f t="shared" si="983"/>
        <v>3.2</v>
      </c>
      <c r="AJ795" s="142">
        <f t="shared" si="984"/>
        <v>3.4729999999999999</v>
      </c>
      <c r="AK795" s="158">
        <v>15</v>
      </c>
      <c r="AL795" s="38">
        <v>6</v>
      </c>
      <c r="AM795" s="40">
        <f>AK795*AL795</f>
        <v>90</v>
      </c>
      <c r="AN795" s="214">
        <f>IF(D795="ШТ",кол_во_инд.__упак_к*итого_г_у,ROUNDDOWN(номин.вес_нетто_г_у__кг*итого_г_у,1))</f>
        <v>288</v>
      </c>
      <c r="AO795" s="204">
        <f t="shared" si="992"/>
        <v>1153</v>
      </c>
    </row>
    <row r="796" spans="1:41" ht="45" x14ac:dyDescent="0.2">
      <c r="A796" s="22">
        <f t="shared" si="1002"/>
        <v>7561</v>
      </c>
      <c r="B796" s="80">
        <v>1002365007561</v>
      </c>
      <c r="C796" s="48" t="s">
        <v>1759</v>
      </c>
      <c r="D796" s="87" t="s">
        <v>3</v>
      </c>
      <c r="E796" s="146" t="s">
        <v>918</v>
      </c>
      <c r="F796" s="112" t="s">
        <v>1928</v>
      </c>
      <c r="G796" s="224" t="s">
        <v>2</v>
      </c>
      <c r="H796" s="87" t="s">
        <v>358</v>
      </c>
      <c r="I796" s="155" t="s">
        <v>156</v>
      </c>
      <c r="J796" s="150" t="s">
        <v>405</v>
      </c>
      <c r="K796" s="51" t="s">
        <v>362</v>
      </c>
      <c r="L796" s="84">
        <v>16</v>
      </c>
      <c r="M796" s="85">
        <v>16</v>
      </c>
      <c r="N796" s="91">
        <v>0</v>
      </c>
      <c r="O796" s="86" t="s">
        <v>300</v>
      </c>
      <c r="P796" s="114" t="s">
        <v>108</v>
      </c>
      <c r="Q796" s="87">
        <v>180</v>
      </c>
      <c r="R796" s="144" t="s">
        <v>360</v>
      </c>
      <c r="S796" s="237">
        <v>2451755000001</v>
      </c>
      <c r="T796" s="332">
        <v>12451755000008</v>
      </c>
      <c r="U796" s="46"/>
      <c r="V796" s="46"/>
      <c r="W796" s="258">
        <v>200</v>
      </c>
      <c r="X796" s="68">
        <v>150</v>
      </c>
      <c r="Y796" s="96" t="s">
        <v>304</v>
      </c>
      <c r="Z796" s="65">
        <v>0.45800000000000002</v>
      </c>
      <c r="AA796" s="271">
        <v>0.02</v>
      </c>
      <c r="AB796" s="66">
        <f>Z796+AA796</f>
        <v>0.47800000000000004</v>
      </c>
      <c r="AC796" s="59">
        <v>383</v>
      </c>
      <c r="AD796" s="60">
        <v>156</v>
      </c>
      <c r="AE796" s="60">
        <v>168</v>
      </c>
      <c r="AF796" s="196">
        <v>7</v>
      </c>
      <c r="AG796" s="117">
        <v>600000030</v>
      </c>
      <c r="AH796" s="104">
        <f>справочники!$C$22</f>
        <v>0.127</v>
      </c>
      <c r="AI796" s="61">
        <f t="shared" si="983"/>
        <v>3.2</v>
      </c>
      <c r="AJ796" s="142">
        <f t="shared" si="984"/>
        <v>3.4729999999999999</v>
      </c>
      <c r="AK796" s="158">
        <v>15</v>
      </c>
      <c r="AL796" s="38">
        <v>6</v>
      </c>
      <c r="AM796" s="40">
        <f>AK796*AL796</f>
        <v>90</v>
      </c>
      <c r="AN796" s="214">
        <f>IF(D796="ШТ",кол_во_инд.__упак_к*итого_г_у,ROUNDDOWN(номин.вес_нетто_г_у__кг*итого_г_у,1))</f>
        <v>288</v>
      </c>
      <c r="AO796" s="204">
        <f t="shared" si="992"/>
        <v>1153</v>
      </c>
    </row>
    <row r="797" spans="1:41" ht="45" x14ac:dyDescent="0.2">
      <c r="A797" s="22">
        <f t="shared" si="1002"/>
        <v>7043</v>
      </c>
      <c r="B797" s="80">
        <v>1002365007043</v>
      </c>
      <c r="C797" s="48" t="s">
        <v>1003</v>
      </c>
      <c r="D797" s="87" t="s">
        <v>3</v>
      </c>
      <c r="E797" s="146" t="s">
        <v>918</v>
      </c>
      <c r="F797" s="112" t="s">
        <v>1928</v>
      </c>
      <c r="G797" s="224" t="s">
        <v>2</v>
      </c>
      <c r="H797" s="87" t="s">
        <v>358</v>
      </c>
      <c r="I797" s="155" t="s">
        <v>156</v>
      </c>
      <c r="J797" s="150" t="s">
        <v>405</v>
      </c>
      <c r="K797" s="51" t="s">
        <v>362</v>
      </c>
      <c r="L797" s="84">
        <v>16</v>
      </c>
      <c r="M797" s="85">
        <v>16</v>
      </c>
      <c r="N797" s="91"/>
      <c r="O797" s="86" t="s">
        <v>300</v>
      </c>
      <c r="P797" s="114" t="s">
        <v>108</v>
      </c>
      <c r="Q797" s="87">
        <v>365</v>
      </c>
      <c r="R797" s="144" t="s">
        <v>360</v>
      </c>
      <c r="S797" s="237">
        <v>2800416000001</v>
      </c>
      <c r="T797" s="332">
        <v>12800416000008</v>
      </c>
      <c r="U797" s="46"/>
      <c r="V797" s="46"/>
      <c r="W797" s="258">
        <v>540</v>
      </c>
      <c r="X797" s="68">
        <v>360</v>
      </c>
      <c r="Y797" s="96">
        <v>120</v>
      </c>
      <c r="Z797" s="65">
        <v>16</v>
      </c>
      <c r="AA797" s="271">
        <v>2.4E-2</v>
      </c>
      <c r="AB797" s="66">
        <f>Z797+AA797</f>
        <v>16.024000000000001</v>
      </c>
      <c r="AC797" s="59">
        <v>600</v>
      </c>
      <c r="AD797" s="60">
        <v>380</v>
      </c>
      <c r="AE797" s="60">
        <v>155</v>
      </c>
      <c r="AF797" s="191">
        <v>1</v>
      </c>
      <c r="AG797" s="117">
        <v>600000300</v>
      </c>
      <c r="AH797" s="104">
        <f>справочники!$C$60</f>
        <v>0.61499999999999999</v>
      </c>
      <c r="AI797" s="61">
        <f t="shared" si="983"/>
        <v>16</v>
      </c>
      <c r="AJ797" s="142">
        <f t="shared" si="984"/>
        <v>16.638999999999999</v>
      </c>
      <c r="AK797" s="158">
        <v>4</v>
      </c>
      <c r="AL797" s="38">
        <v>6</v>
      </c>
      <c r="AM797" s="40">
        <f>AK797*AL797</f>
        <v>24</v>
      </c>
      <c r="AN797" s="214">
        <f>IF(D797="ШТ",кол_во_инд.__упак_к*итого_г_у,ROUNDDOWN(номин.вес_нетто_г_у__кг*итого_г_у,1))</f>
        <v>384</v>
      </c>
      <c r="AO797" s="204">
        <f t="shared" si="992"/>
        <v>1075</v>
      </c>
    </row>
    <row r="798" spans="1:41" ht="56.25" x14ac:dyDescent="0.2">
      <c r="A798" s="22">
        <f t="shared" si="1002"/>
        <v>6019</v>
      </c>
      <c r="B798" s="80">
        <v>1002162166019</v>
      </c>
      <c r="C798" s="48" t="s">
        <v>279</v>
      </c>
      <c r="D798" s="87" t="s">
        <v>4</v>
      </c>
      <c r="E798" s="146" t="s">
        <v>918</v>
      </c>
      <c r="F798" s="112" t="s">
        <v>1928</v>
      </c>
      <c r="G798" s="224" t="s">
        <v>2</v>
      </c>
      <c r="H798" s="87" t="s">
        <v>1</v>
      </c>
      <c r="I798" s="155" t="s">
        <v>1225</v>
      </c>
      <c r="J798" s="150" t="s">
        <v>1512</v>
      </c>
      <c r="K798" s="51" t="s">
        <v>141</v>
      </c>
      <c r="L798" s="84">
        <v>16</v>
      </c>
      <c r="M798" s="85">
        <v>21</v>
      </c>
      <c r="N798" s="91">
        <v>0</v>
      </c>
      <c r="O798" s="86" t="s">
        <v>280</v>
      </c>
      <c r="P798" s="114" t="s">
        <v>108</v>
      </c>
      <c r="Q798" s="87">
        <v>120</v>
      </c>
      <c r="R798" s="144" t="s">
        <v>360</v>
      </c>
      <c r="S798" s="237">
        <v>4630362180674</v>
      </c>
      <c r="T798" s="332">
        <v>14630362180671</v>
      </c>
      <c r="U798" s="46">
        <v>4630362180674</v>
      </c>
      <c r="V798" s="46">
        <v>14630362180671</v>
      </c>
      <c r="W798" s="258">
        <v>194</v>
      </c>
      <c r="X798" s="68">
        <v>144</v>
      </c>
      <c r="Y798" s="68">
        <v>50</v>
      </c>
      <c r="Z798" s="65">
        <v>1</v>
      </c>
      <c r="AA798" s="271">
        <v>1.4999999999999999E-2</v>
      </c>
      <c r="AB798" s="66">
        <f t="shared" si="980"/>
        <v>1.0149999999999999</v>
      </c>
      <c r="AC798" s="59">
        <v>388</v>
      </c>
      <c r="AD798" s="60">
        <v>292</v>
      </c>
      <c r="AE798" s="60">
        <v>240</v>
      </c>
      <c r="AF798" s="191">
        <v>12</v>
      </c>
      <c r="AG798" s="117">
        <v>600000017</v>
      </c>
      <c r="AH798" s="104">
        <f>справочники!$C$9</f>
        <v>0.34899999999999998</v>
      </c>
      <c r="AI798" s="61">
        <f t="shared" si="983"/>
        <v>12</v>
      </c>
      <c r="AJ798" s="142">
        <f t="shared" si="984"/>
        <v>12.529</v>
      </c>
      <c r="AK798" s="158">
        <v>8</v>
      </c>
      <c r="AL798" s="38">
        <v>4</v>
      </c>
      <c r="AM798" s="40">
        <f t="shared" si="981"/>
        <v>32</v>
      </c>
      <c r="AN798" s="206">
        <f t="shared" si="985"/>
        <v>384</v>
      </c>
      <c r="AO798" s="204">
        <f t="shared" si="992"/>
        <v>1105</v>
      </c>
    </row>
    <row r="799" spans="1:41" ht="56.25" x14ac:dyDescent="0.2">
      <c r="A799" s="22">
        <f t="shared" si="1002"/>
        <v>6004</v>
      </c>
      <c r="B799" s="80">
        <v>1002162156004</v>
      </c>
      <c r="C799" s="48" t="s">
        <v>275</v>
      </c>
      <c r="D799" s="87" t="s">
        <v>4</v>
      </c>
      <c r="E799" s="146" t="s">
        <v>918</v>
      </c>
      <c r="F799" s="112" t="s">
        <v>1928</v>
      </c>
      <c r="G799" s="224" t="s">
        <v>2</v>
      </c>
      <c r="H799" s="87" t="s">
        <v>1</v>
      </c>
      <c r="I799" s="155" t="s">
        <v>1225</v>
      </c>
      <c r="J799" s="150" t="s">
        <v>1533</v>
      </c>
      <c r="K799" s="51" t="s">
        <v>141</v>
      </c>
      <c r="L799" s="84">
        <v>15</v>
      </c>
      <c r="M799" s="85">
        <v>21</v>
      </c>
      <c r="N799" s="91">
        <v>0</v>
      </c>
      <c r="O799" s="86" t="s">
        <v>48</v>
      </c>
      <c r="P799" s="114" t="s">
        <v>108</v>
      </c>
      <c r="Q799" s="87">
        <v>120</v>
      </c>
      <c r="R799" s="144" t="s">
        <v>360</v>
      </c>
      <c r="S799" s="237">
        <v>4630362180681</v>
      </c>
      <c r="T799" s="332">
        <v>14630362180688</v>
      </c>
      <c r="U799" s="46">
        <v>4630362180681</v>
      </c>
      <c r="V799" s="46">
        <v>14630362180688</v>
      </c>
      <c r="W799" s="258">
        <v>194</v>
      </c>
      <c r="X799" s="68">
        <v>144</v>
      </c>
      <c r="Y799" s="68">
        <v>50</v>
      </c>
      <c r="Z799" s="65">
        <v>1</v>
      </c>
      <c r="AA799" s="271">
        <v>1.4999999999999999E-2</v>
      </c>
      <c r="AB799" s="66">
        <f t="shared" si="980"/>
        <v>1.0149999999999999</v>
      </c>
      <c r="AC799" s="59">
        <v>388</v>
      </c>
      <c r="AD799" s="60">
        <v>292</v>
      </c>
      <c r="AE799" s="60">
        <v>148</v>
      </c>
      <c r="AF799" s="191">
        <v>8</v>
      </c>
      <c r="AG799" s="117">
        <v>600000021</v>
      </c>
      <c r="AH799" s="104">
        <f>справочники!$C$13</f>
        <v>0.26800000000000002</v>
      </c>
      <c r="AI799" s="61">
        <f t="shared" si="983"/>
        <v>8</v>
      </c>
      <c r="AJ799" s="142">
        <f t="shared" si="984"/>
        <v>8.3879999999999999</v>
      </c>
      <c r="AK799" s="158">
        <v>8</v>
      </c>
      <c r="AL799" s="38">
        <v>6</v>
      </c>
      <c r="AM799" s="40">
        <f t="shared" si="981"/>
        <v>48</v>
      </c>
      <c r="AN799" s="206">
        <f t="shared" si="985"/>
        <v>384</v>
      </c>
      <c r="AO799" s="204">
        <f t="shared" si="992"/>
        <v>1033</v>
      </c>
    </row>
    <row r="800" spans="1:41" ht="56.25" x14ac:dyDescent="0.2">
      <c r="A800" s="22">
        <f t="shared" si="1002"/>
        <v>6745</v>
      </c>
      <c r="B800" s="80">
        <v>1002171586745</v>
      </c>
      <c r="C800" s="48" t="s">
        <v>701</v>
      </c>
      <c r="D800" s="87" t="s">
        <v>3</v>
      </c>
      <c r="E800" s="146" t="s">
        <v>918</v>
      </c>
      <c r="F800" s="112" t="s">
        <v>1928</v>
      </c>
      <c r="G800" s="224" t="s">
        <v>2</v>
      </c>
      <c r="H800" s="87" t="s">
        <v>1</v>
      </c>
      <c r="I800" s="155" t="s">
        <v>276</v>
      </c>
      <c r="J800" s="150" t="s">
        <v>432</v>
      </c>
      <c r="K800" s="51" t="s">
        <v>141</v>
      </c>
      <c r="L800" s="84">
        <v>15</v>
      </c>
      <c r="M800" s="85">
        <v>21</v>
      </c>
      <c r="N800" s="91"/>
      <c r="O800" s="86" t="s">
        <v>48</v>
      </c>
      <c r="P800" s="114" t="s">
        <v>108</v>
      </c>
      <c r="Q800" s="87">
        <v>90</v>
      </c>
      <c r="R800" s="144" t="s">
        <v>360</v>
      </c>
      <c r="S800" s="237">
        <v>2800153000005</v>
      </c>
      <c r="T800" s="332">
        <v>12800153000002</v>
      </c>
      <c r="U800" s="46"/>
      <c r="V800" s="46"/>
      <c r="W800" s="258">
        <v>540</v>
      </c>
      <c r="X800" s="68">
        <v>360</v>
      </c>
      <c r="Y800" s="68">
        <v>120</v>
      </c>
      <c r="Z800" s="65">
        <v>11.8</v>
      </c>
      <c r="AA800" s="271">
        <v>0.04</v>
      </c>
      <c r="AB800" s="66">
        <f>Z800+AA800</f>
        <v>11.84</v>
      </c>
      <c r="AC800" s="59">
        <v>600</v>
      </c>
      <c r="AD800" s="60">
        <v>380</v>
      </c>
      <c r="AE800" s="60">
        <v>155</v>
      </c>
      <c r="AF800" s="191">
        <v>1</v>
      </c>
      <c r="AG800" s="117">
        <v>600000300</v>
      </c>
      <c r="AH800" s="104">
        <f>справочники!$C$60</f>
        <v>0.61499999999999999</v>
      </c>
      <c r="AI800" s="61">
        <f t="shared" si="983"/>
        <v>11.8</v>
      </c>
      <c r="AJ800" s="142">
        <f t="shared" si="984"/>
        <v>12.455</v>
      </c>
      <c r="AK800" s="158">
        <v>4</v>
      </c>
      <c r="AL800" s="38">
        <v>6</v>
      </c>
      <c r="AM800" s="40">
        <f>AK800*AL800</f>
        <v>24</v>
      </c>
      <c r="AN800" s="272">
        <f>IF(D800="ШТ",кол_во_инд.__упак_к*итого_г_у,ROUNDDOWN(номин.вес_нетто_г_у__кг*итого_г_у,1))</f>
        <v>283.2</v>
      </c>
      <c r="AO800" s="204">
        <f t="shared" si="992"/>
        <v>1075</v>
      </c>
    </row>
    <row r="801" spans="1:41" ht="102" x14ac:dyDescent="0.2">
      <c r="A801" s="22">
        <f t="shared" si="1002"/>
        <v>6872</v>
      </c>
      <c r="B801" s="80">
        <v>1002162216872</v>
      </c>
      <c r="C801" s="48" t="s">
        <v>98</v>
      </c>
      <c r="D801" s="87" t="s">
        <v>3</v>
      </c>
      <c r="E801" s="146" t="s">
        <v>918</v>
      </c>
      <c r="F801" s="112" t="s">
        <v>1931</v>
      </c>
      <c r="G801" s="224" t="s">
        <v>2</v>
      </c>
      <c r="H801" s="87" t="s">
        <v>1</v>
      </c>
      <c r="I801" s="155" t="s">
        <v>1225</v>
      </c>
      <c r="J801" s="150" t="s">
        <v>1236</v>
      </c>
      <c r="K801" s="83" t="s">
        <v>1239</v>
      </c>
      <c r="L801" s="52">
        <v>12</v>
      </c>
      <c r="M801" s="53">
        <v>10</v>
      </c>
      <c r="N801" s="53">
        <v>1</v>
      </c>
      <c r="O801" s="88" t="s">
        <v>1240</v>
      </c>
      <c r="P801" s="114" t="s">
        <v>108</v>
      </c>
      <c r="Q801" s="87">
        <v>90</v>
      </c>
      <c r="R801" s="144" t="s">
        <v>360</v>
      </c>
      <c r="S801" s="239">
        <v>2865990000007</v>
      </c>
      <c r="T801" s="344">
        <v>12865990000004</v>
      </c>
      <c r="U801" s="46"/>
      <c r="V801" s="46"/>
      <c r="W801" s="258">
        <v>185</v>
      </c>
      <c r="X801" s="68">
        <v>185</v>
      </c>
      <c r="Y801" s="68">
        <v>120</v>
      </c>
      <c r="Z801" s="65">
        <v>2</v>
      </c>
      <c r="AA801" s="271">
        <v>9.8000000000000004E-2</v>
      </c>
      <c r="AB801" s="66">
        <f>Z801+AA801</f>
        <v>2.0979999999999999</v>
      </c>
      <c r="AC801" s="59">
        <v>383</v>
      </c>
      <c r="AD801" s="60">
        <v>193</v>
      </c>
      <c r="AE801" s="60">
        <v>133</v>
      </c>
      <c r="AF801" s="191">
        <v>2</v>
      </c>
      <c r="AG801" s="117">
        <v>600000230</v>
      </c>
      <c r="AH801" s="104">
        <f>справочники!$C$51</f>
        <v>0.152</v>
      </c>
      <c r="AI801" s="61">
        <f t="shared" si="983"/>
        <v>4</v>
      </c>
      <c r="AJ801" s="142">
        <f t="shared" si="984"/>
        <v>4.3479999999999999</v>
      </c>
      <c r="AK801" s="158">
        <v>12</v>
      </c>
      <c r="AL801" s="38">
        <v>7</v>
      </c>
      <c r="AM801" s="40">
        <f>AK801*AL801</f>
        <v>84</v>
      </c>
      <c r="AN801" s="214">
        <f>IF(D801="ШТ",кол_во_инд.__упак_к*итого_г_у,ROUNDDOWN(номин.вес_нетто_г_у__кг*итого_г_у,1))</f>
        <v>336</v>
      </c>
      <c r="AO801" s="204">
        <f t="shared" si="992"/>
        <v>1076</v>
      </c>
    </row>
    <row r="802" spans="1:41" ht="51" x14ac:dyDescent="0.2">
      <c r="A802" s="22">
        <f t="shared" si="1002"/>
        <v>4933</v>
      </c>
      <c r="B802" s="80">
        <v>1002162094933</v>
      </c>
      <c r="C802" s="48" t="s">
        <v>155</v>
      </c>
      <c r="D802" s="87" t="s">
        <v>4</v>
      </c>
      <c r="E802" s="146" t="s">
        <v>918</v>
      </c>
      <c r="F802" s="112" t="s">
        <v>1928</v>
      </c>
      <c r="G802" s="224" t="s">
        <v>2</v>
      </c>
      <c r="H802" s="140" t="s">
        <v>361</v>
      </c>
      <c r="I802" s="155" t="s">
        <v>156</v>
      </c>
      <c r="J802" s="150" t="s">
        <v>406</v>
      </c>
      <c r="K802" s="51" t="s">
        <v>366</v>
      </c>
      <c r="L802" s="84">
        <v>25</v>
      </c>
      <c r="M802" s="85">
        <v>7</v>
      </c>
      <c r="N802" s="91"/>
      <c r="O802" s="86" t="s">
        <v>157</v>
      </c>
      <c r="P802" s="114" t="s">
        <v>108</v>
      </c>
      <c r="Q802" s="87">
        <v>365</v>
      </c>
      <c r="R802" s="144" t="s">
        <v>360</v>
      </c>
      <c r="S802" s="237">
        <v>2800118000002</v>
      </c>
      <c r="T802" s="332">
        <v>12800118000009</v>
      </c>
      <c r="U802" s="46"/>
      <c r="V802" s="46"/>
      <c r="W802" s="258"/>
      <c r="X802" s="68"/>
      <c r="Y802" s="68"/>
      <c r="Z802" s="65">
        <v>10</v>
      </c>
      <c r="AA802" s="271">
        <v>1.9E-2</v>
      </c>
      <c r="AB802" s="66">
        <f t="shared" si="980"/>
        <v>10.019</v>
      </c>
      <c r="AC802" s="59">
        <v>459</v>
      </c>
      <c r="AD802" s="60">
        <v>298</v>
      </c>
      <c r="AE802" s="60">
        <v>115</v>
      </c>
      <c r="AF802" s="196">
        <v>1</v>
      </c>
      <c r="AG802" s="117">
        <v>600000332</v>
      </c>
      <c r="AH802" s="104">
        <f>справочники!$C$68</f>
        <v>0.318</v>
      </c>
      <c r="AI802" s="61">
        <f t="shared" si="983"/>
        <v>10</v>
      </c>
      <c r="AJ802" s="142">
        <f t="shared" si="984"/>
        <v>10.337</v>
      </c>
      <c r="AK802" s="158">
        <v>6</v>
      </c>
      <c r="AL802" s="38">
        <v>12</v>
      </c>
      <c r="AM802" s="40">
        <f t="shared" si="981"/>
        <v>72</v>
      </c>
      <c r="AN802" s="206">
        <f t="shared" si="985"/>
        <v>72</v>
      </c>
      <c r="AO802" s="204">
        <f t="shared" si="992"/>
        <v>1525</v>
      </c>
    </row>
    <row r="803" spans="1:41" ht="51" x14ac:dyDescent="0.2">
      <c r="A803" s="22">
        <f t="shared" si="1002"/>
        <v>4934</v>
      </c>
      <c r="B803" s="80">
        <v>1002162094934</v>
      </c>
      <c r="C803" s="48" t="s">
        <v>158</v>
      </c>
      <c r="D803" s="87" t="s">
        <v>4</v>
      </c>
      <c r="E803" s="146" t="s">
        <v>918</v>
      </c>
      <c r="F803" s="112" t="s">
        <v>1928</v>
      </c>
      <c r="G803" s="224" t="s">
        <v>2</v>
      </c>
      <c r="H803" s="140" t="s">
        <v>361</v>
      </c>
      <c r="I803" s="155" t="s">
        <v>156</v>
      </c>
      <c r="J803" s="150" t="s">
        <v>406</v>
      </c>
      <c r="K803" s="51" t="s">
        <v>367</v>
      </c>
      <c r="L803" s="84">
        <v>25</v>
      </c>
      <c r="M803" s="85">
        <v>7</v>
      </c>
      <c r="N803" s="91"/>
      <c r="O803" s="86" t="s">
        <v>157</v>
      </c>
      <c r="P803" s="114" t="s">
        <v>108</v>
      </c>
      <c r="Q803" s="87">
        <v>365</v>
      </c>
      <c r="R803" s="144" t="s">
        <v>360</v>
      </c>
      <c r="S803" s="237">
        <v>2800119000001</v>
      </c>
      <c r="T803" s="332">
        <v>12800119000008</v>
      </c>
      <c r="U803" s="46"/>
      <c r="V803" s="46"/>
      <c r="W803" s="258"/>
      <c r="X803" s="68"/>
      <c r="Y803" s="68"/>
      <c r="Z803" s="65">
        <v>10</v>
      </c>
      <c r="AA803" s="271">
        <v>1.9E-2</v>
      </c>
      <c r="AB803" s="66">
        <f t="shared" si="980"/>
        <v>10.019</v>
      </c>
      <c r="AC803" s="59">
        <v>459</v>
      </c>
      <c r="AD803" s="60">
        <v>298</v>
      </c>
      <c r="AE803" s="60">
        <v>115</v>
      </c>
      <c r="AF803" s="196">
        <v>1</v>
      </c>
      <c r="AG803" s="117">
        <v>600000332</v>
      </c>
      <c r="AH803" s="104">
        <f>справочники!$C$68</f>
        <v>0.318</v>
      </c>
      <c r="AI803" s="61">
        <f t="shared" si="983"/>
        <v>10</v>
      </c>
      <c r="AJ803" s="143">
        <f t="shared" si="984"/>
        <v>10.337</v>
      </c>
      <c r="AK803" s="158">
        <v>6</v>
      </c>
      <c r="AL803" s="38">
        <v>12</v>
      </c>
      <c r="AM803" s="40">
        <f t="shared" si="981"/>
        <v>72</v>
      </c>
      <c r="AN803" s="206">
        <f t="shared" si="985"/>
        <v>72</v>
      </c>
      <c r="AO803" s="204">
        <f t="shared" si="992"/>
        <v>1525</v>
      </c>
    </row>
    <row r="804" spans="1:41" ht="51" x14ac:dyDescent="0.2">
      <c r="A804" s="22">
        <f t="shared" si="1002"/>
        <v>4935</v>
      </c>
      <c r="B804" s="80">
        <v>1002163474935</v>
      </c>
      <c r="C804" s="48" t="s">
        <v>159</v>
      </c>
      <c r="D804" s="87" t="s">
        <v>4</v>
      </c>
      <c r="E804" s="146" t="s">
        <v>918</v>
      </c>
      <c r="F804" s="112" t="s">
        <v>1928</v>
      </c>
      <c r="G804" s="224" t="s">
        <v>2</v>
      </c>
      <c r="H804" s="140" t="s">
        <v>361</v>
      </c>
      <c r="I804" s="155" t="s">
        <v>156</v>
      </c>
      <c r="J804" s="150" t="s">
        <v>406</v>
      </c>
      <c r="K804" s="51" t="s">
        <v>368</v>
      </c>
      <c r="L804" s="84">
        <v>20</v>
      </c>
      <c r="M804" s="85">
        <v>23</v>
      </c>
      <c r="N804" s="91"/>
      <c r="O804" s="86" t="s">
        <v>160</v>
      </c>
      <c r="P804" s="114" t="s">
        <v>108</v>
      </c>
      <c r="Q804" s="87">
        <v>365</v>
      </c>
      <c r="R804" s="144" t="s">
        <v>360</v>
      </c>
      <c r="S804" s="237">
        <v>2800121000006</v>
      </c>
      <c r="T804" s="332">
        <v>12800121000003</v>
      </c>
      <c r="U804" s="46"/>
      <c r="V804" s="46"/>
      <c r="W804" s="258"/>
      <c r="X804" s="68"/>
      <c r="Y804" s="68"/>
      <c r="Z804" s="65">
        <v>10</v>
      </c>
      <c r="AA804" s="271">
        <v>1.9E-2</v>
      </c>
      <c r="AB804" s="66">
        <f t="shared" si="980"/>
        <v>10.019</v>
      </c>
      <c r="AC804" s="59">
        <v>500</v>
      </c>
      <c r="AD804" s="60">
        <v>302</v>
      </c>
      <c r="AE804" s="60">
        <v>135</v>
      </c>
      <c r="AF804" s="196">
        <v>1</v>
      </c>
      <c r="AG804" s="117">
        <v>600000334</v>
      </c>
      <c r="AH804" s="104">
        <f>справочники!$C$69</f>
        <v>0.37</v>
      </c>
      <c r="AI804" s="61">
        <f t="shared" si="983"/>
        <v>10</v>
      </c>
      <c r="AJ804" s="143">
        <f t="shared" si="984"/>
        <v>10.388999999999999</v>
      </c>
      <c r="AK804" s="158">
        <v>6</v>
      </c>
      <c r="AL804" s="38">
        <v>10</v>
      </c>
      <c r="AM804" s="40">
        <f t="shared" si="981"/>
        <v>60</v>
      </c>
      <c r="AN804" s="206">
        <f t="shared" si="985"/>
        <v>60</v>
      </c>
      <c r="AO804" s="204">
        <f t="shared" si="992"/>
        <v>1495</v>
      </c>
    </row>
    <row r="805" spans="1:41" ht="178.5" x14ac:dyDescent="0.2">
      <c r="A805" s="22">
        <f t="shared" si="1002"/>
        <v>7224</v>
      </c>
      <c r="B805" s="80">
        <v>1002116517224</v>
      </c>
      <c r="C805" s="48" t="s">
        <v>1176</v>
      </c>
      <c r="D805" s="87" t="s">
        <v>4</v>
      </c>
      <c r="E805" s="146" t="s">
        <v>918</v>
      </c>
      <c r="F805" s="112" t="s">
        <v>1929</v>
      </c>
      <c r="G805" s="224" t="s">
        <v>2</v>
      </c>
      <c r="H805" s="87" t="s">
        <v>1</v>
      </c>
      <c r="I805" s="155" t="s">
        <v>384</v>
      </c>
      <c r="J805" s="150" t="s">
        <v>872</v>
      </c>
      <c r="K805" s="51" t="s">
        <v>1177</v>
      </c>
      <c r="L805" s="84">
        <v>9</v>
      </c>
      <c r="M805" s="85">
        <v>9</v>
      </c>
      <c r="N805" s="91">
        <v>28</v>
      </c>
      <c r="O805" s="86" t="s">
        <v>1178</v>
      </c>
      <c r="P805" s="114" t="s">
        <v>108</v>
      </c>
      <c r="Q805" s="87">
        <v>180</v>
      </c>
      <c r="R805" s="144" t="s">
        <v>360</v>
      </c>
      <c r="S805" s="189">
        <v>4607958079261</v>
      </c>
      <c r="T805" s="337">
        <v>14607958079268</v>
      </c>
      <c r="U805" s="46">
        <v>4607958079261</v>
      </c>
      <c r="V805" s="46">
        <v>14607958079268</v>
      </c>
      <c r="W805" s="258">
        <v>140</v>
      </c>
      <c r="X805" s="68">
        <v>82</v>
      </c>
      <c r="Y805" s="68">
        <v>82</v>
      </c>
      <c r="Z805" s="65">
        <v>0.4</v>
      </c>
      <c r="AA805" s="271">
        <v>2.8000000000000001E-2</v>
      </c>
      <c r="AB805" s="66">
        <f>Z805+AA805</f>
        <v>0.42800000000000005</v>
      </c>
      <c r="AC805" s="59">
        <v>346</v>
      </c>
      <c r="AD805" s="60">
        <v>154</v>
      </c>
      <c r="AE805" s="60">
        <v>346</v>
      </c>
      <c r="AF805" s="191">
        <v>16</v>
      </c>
      <c r="AG805" s="117">
        <v>600000122</v>
      </c>
      <c r="AH805" s="53">
        <f>справочники!$C$41</f>
        <v>0.21199999999999999</v>
      </c>
      <c r="AI805" s="61">
        <f t="shared" si="983"/>
        <v>6.4</v>
      </c>
      <c r="AJ805" s="142">
        <f t="shared" si="984"/>
        <v>7.0600000000000005</v>
      </c>
      <c r="AK805" s="158">
        <v>16</v>
      </c>
      <c r="AL805" s="38">
        <v>4</v>
      </c>
      <c r="AM805" s="40">
        <f>AK805*AL805</f>
        <v>64</v>
      </c>
      <c r="AN805" s="206">
        <f>IF(D805="ШТ",кол_во_инд.__упак_к*итого_г_у,ROUNDDOWN(номин.вес_нетто_г_у__кг*итого_г_у,1))</f>
        <v>1024</v>
      </c>
      <c r="AO805" s="204">
        <f t="shared" si="992"/>
        <v>1529</v>
      </c>
    </row>
    <row r="806" spans="1:41" ht="103.5" customHeight="1" x14ac:dyDescent="0.2">
      <c r="A806" s="22">
        <f t="shared" si="1002"/>
        <v>6580</v>
      </c>
      <c r="B806" s="80">
        <v>1002112606580</v>
      </c>
      <c r="C806" s="48" t="s">
        <v>838</v>
      </c>
      <c r="D806" s="87" t="s">
        <v>4</v>
      </c>
      <c r="E806" s="146" t="s">
        <v>918</v>
      </c>
      <c r="F806" s="112" t="s">
        <v>1929</v>
      </c>
      <c r="G806" s="224" t="s">
        <v>2</v>
      </c>
      <c r="H806" s="87" t="s">
        <v>1</v>
      </c>
      <c r="I806" s="155" t="s">
        <v>384</v>
      </c>
      <c r="J806" s="150" t="s">
        <v>421</v>
      </c>
      <c r="K806" s="51" t="s">
        <v>621</v>
      </c>
      <c r="L806" s="84">
        <v>10</v>
      </c>
      <c r="M806" s="85">
        <v>8</v>
      </c>
      <c r="N806" s="91">
        <v>31</v>
      </c>
      <c r="O806" s="86" t="s">
        <v>291</v>
      </c>
      <c r="P806" s="114" t="s">
        <v>108</v>
      </c>
      <c r="Q806" s="87">
        <v>180</v>
      </c>
      <c r="R806" s="144" t="s">
        <v>360</v>
      </c>
      <c r="S806" s="189">
        <v>4607958077564</v>
      </c>
      <c r="T806" s="337">
        <v>14607958077561</v>
      </c>
      <c r="U806" s="46">
        <v>4607958077564</v>
      </c>
      <c r="V806" s="46">
        <v>14607958077561</v>
      </c>
      <c r="W806" s="258">
        <v>220</v>
      </c>
      <c r="X806" s="68">
        <v>180</v>
      </c>
      <c r="Y806" s="68">
        <v>60</v>
      </c>
      <c r="Z806" s="65">
        <v>0.9</v>
      </c>
      <c r="AA806" s="271">
        <v>8.9999999999999993E-3</v>
      </c>
      <c r="AB806" s="66">
        <f>Z806+AA806</f>
        <v>0.90900000000000003</v>
      </c>
      <c r="AC806" s="59">
        <v>383</v>
      </c>
      <c r="AD806" s="60">
        <v>283</v>
      </c>
      <c r="AE806" s="60">
        <v>183</v>
      </c>
      <c r="AF806" s="191">
        <v>10</v>
      </c>
      <c r="AG806" s="117">
        <v>600000023</v>
      </c>
      <c r="AH806" s="53">
        <f>справочники!$C$15</f>
        <v>0.26700000000000002</v>
      </c>
      <c r="AI806" s="61">
        <f t="shared" si="983"/>
        <v>9</v>
      </c>
      <c r="AJ806" s="142">
        <f t="shared" si="984"/>
        <v>9.3569999999999993</v>
      </c>
      <c r="AK806" s="158">
        <v>8</v>
      </c>
      <c r="AL806" s="38">
        <v>8</v>
      </c>
      <c r="AM806" s="40">
        <f>AK806*AL806</f>
        <v>64</v>
      </c>
      <c r="AN806" s="206">
        <f>IF(D806="ШТ",кол_во_инд.__упак_к*итого_г_у,ROUNDDOWN(номин.вес_нетто_г_у__кг*итого_г_у,1))</f>
        <v>640</v>
      </c>
      <c r="AO806" s="204">
        <f t="shared" si="992"/>
        <v>1609</v>
      </c>
    </row>
    <row r="807" spans="1:41" ht="178.5" x14ac:dyDescent="0.2">
      <c r="A807" s="22">
        <f t="shared" si="1002"/>
        <v>7085</v>
      </c>
      <c r="B807" s="80">
        <v>1002112607085</v>
      </c>
      <c r="C807" s="48" t="s">
        <v>1045</v>
      </c>
      <c r="D807" s="87" t="s">
        <v>4</v>
      </c>
      <c r="E807" s="146" t="s">
        <v>918</v>
      </c>
      <c r="F807" s="112" t="s">
        <v>1929</v>
      </c>
      <c r="G807" s="224" t="s">
        <v>2</v>
      </c>
      <c r="H807" s="87" t="s">
        <v>1</v>
      </c>
      <c r="I807" s="155" t="s">
        <v>384</v>
      </c>
      <c r="J807" s="150" t="s">
        <v>1374</v>
      </c>
      <c r="K807" s="51" t="s">
        <v>1866</v>
      </c>
      <c r="L807" s="84">
        <v>9</v>
      </c>
      <c r="M807" s="85">
        <v>8</v>
      </c>
      <c r="N807" s="91">
        <v>30</v>
      </c>
      <c r="O807" s="86" t="s">
        <v>1376</v>
      </c>
      <c r="P807" s="114" t="s">
        <v>108</v>
      </c>
      <c r="Q807" s="87">
        <v>180</v>
      </c>
      <c r="R807" s="144" t="s">
        <v>360</v>
      </c>
      <c r="S807" s="189">
        <v>4607958078622</v>
      </c>
      <c r="T807" s="337">
        <v>14607958078629</v>
      </c>
      <c r="U807" s="46">
        <v>4607958078622</v>
      </c>
      <c r="V807" s="46">
        <v>14607958078629</v>
      </c>
      <c r="W807" s="258">
        <v>220</v>
      </c>
      <c r="X807" s="68">
        <v>180</v>
      </c>
      <c r="Y807" s="68">
        <v>35</v>
      </c>
      <c r="Z807" s="65">
        <v>0.7</v>
      </c>
      <c r="AA807" s="271">
        <v>8.9999999999999993E-3</v>
      </c>
      <c r="AB807" s="66">
        <f>Z807+AA807</f>
        <v>0.70899999999999996</v>
      </c>
      <c r="AC807" s="59">
        <v>383</v>
      </c>
      <c r="AD807" s="60">
        <v>283</v>
      </c>
      <c r="AE807" s="60">
        <v>183</v>
      </c>
      <c r="AF807" s="191">
        <v>10</v>
      </c>
      <c r="AG807" s="117">
        <v>600000023</v>
      </c>
      <c r="AH807" s="53">
        <f>справочники!$C$15</f>
        <v>0.26700000000000002</v>
      </c>
      <c r="AI807" s="61">
        <f t="shared" si="983"/>
        <v>7</v>
      </c>
      <c r="AJ807" s="142">
        <f t="shared" si="984"/>
        <v>7.3570000000000002</v>
      </c>
      <c r="AK807" s="158">
        <v>8</v>
      </c>
      <c r="AL807" s="38">
        <v>8</v>
      </c>
      <c r="AM807" s="40">
        <f>AK807*AL807</f>
        <v>64</v>
      </c>
      <c r="AN807" s="206">
        <f>IF(D807="ШТ",кол_во_инд.__упак_к*итого_г_у,ROUNDDOWN(номин.вес_нетто_г_у__кг*итого_г_у,1))</f>
        <v>640</v>
      </c>
      <c r="AO807" s="204">
        <f t="shared" si="992"/>
        <v>1609</v>
      </c>
    </row>
    <row r="808" spans="1:41" ht="178.5" x14ac:dyDescent="0.2">
      <c r="A808" s="22">
        <f t="shared" si="1002"/>
        <v>6824</v>
      </c>
      <c r="B808" s="80">
        <v>1002112606824</v>
      </c>
      <c r="C808" s="48" t="s">
        <v>839</v>
      </c>
      <c r="D808" s="87" t="s">
        <v>4</v>
      </c>
      <c r="E808" s="146" t="s">
        <v>918</v>
      </c>
      <c r="F808" s="112" t="s">
        <v>1929</v>
      </c>
      <c r="G808" s="224" t="s">
        <v>2</v>
      </c>
      <c r="H808" s="87" t="s">
        <v>1</v>
      </c>
      <c r="I808" s="155" t="s">
        <v>384</v>
      </c>
      <c r="J808" s="150" t="s">
        <v>421</v>
      </c>
      <c r="K808" s="51" t="s">
        <v>1866</v>
      </c>
      <c r="L808" s="84">
        <v>9</v>
      </c>
      <c r="M808" s="85">
        <v>8</v>
      </c>
      <c r="N808" s="91">
        <v>30</v>
      </c>
      <c r="O808" s="86" t="s">
        <v>1376</v>
      </c>
      <c r="P808" s="114" t="s">
        <v>108</v>
      </c>
      <c r="Q808" s="87">
        <v>180</v>
      </c>
      <c r="R808" s="144" t="s">
        <v>360</v>
      </c>
      <c r="S808" s="189">
        <v>4607958077571</v>
      </c>
      <c r="T808" s="337">
        <v>14607958077578</v>
      </c>
      <c r="U808" s="46">
        <v>4607958077571</v>
      </c>
      <c r="V808" s="46">
        <v>14607958077578</v>
      </c>
      <c r="W808" s="258">
        <v>140</v>
      </c>
      <c r="X808" s="68">
        <v>82</v>
      </c>
      <c r="Y808" s="68">
        <v>82</v>
      </c>
      <c r="Z808" s="65">
        <v>0.5</v>
      </c>
      <c r="AA808" s="271">
        <v>2.1999999999999999E-2</v>
      </c>
      <c r="AB808" s="66">
        <f>Z808+AA808</f>
        <v>0.52200000000000002</v>
      </c>
      <c r="AC808" s="59">
        <v>346</v>
      </c>
      <c r="AD808" s="60">
        <v>154</v>
      </c>
      <c r="AE808" s="60">
        <v>346</v>
      </c>
      <c r="AF808" s="191">
        <v>16</v>
      </c>
      <c r="AG808" s="117">
        <v>600000122</v>
      </c>
      <c r="AH808" s="53">
        <f>справочники!$C$41</f>
        <v>0.21199999999999999</v>
      </c>
      <c r="AI808" s="61">
        <f t="shared" si="983"/>
        <v>8</v>
      </c>
      <c r="AJ808" s="142">
        <f t="shared" si="984"/>
        <v>8.5640000000000001</v>
      </c>
      <c r="AK808" s="158">
        <v>16</v>
      </c>
      <c r="AL808" s="38">
        <v>4</v>
      </c>
      <c r="AM808" s="40">
        <f>AK808*AL808</f>
        <v>64</v>
      </c>
      <c r="AN808" s="206">
        <f>IF(D808="ШТ",кол_во_инд.__упак_к*итого_г_у,ROUNDDOWN(номин.вес_нетто_г_у__кг*итого_г_у,1))</f>
        <v>1024</v>
      </c>
      <c r="AO808" s="204">
        <f t="shared" si="992"/>
        <v>1529</v>
      </c>
    </row>
    <row r="809" spans="1:41" ht="178.5" x14ac:dyDescent="0.2">
      <c r="A809" s="22">
        <f t="shared" si="1002"/>
        <v>6613</v>
      </c>
      <c r="B809" s="80">
        <v>1002112606613</v>
      </c>
      <c r="C809" s="48" t="s">
        <v>620</v>
      </c>
      <c r="D809" s="87" t="s">
        <v>4</v>
      </c>
      <c r="E809" s="146" t="s">
        <v>918</v>
      </c>
      <c r="F809" s="112" t="s">
        <v>1929</v>
      </c>
      <c r="G809" s="224" t="s">
        <v>2</v>
      </c>
      <c r="H809" s="87" t="s">
        <v>1</v>
      </c>
      <c r="I809" s="155" t="s">
        <v>384</v>
      </c>
      <c r="J809" s="150" t="s">
        <v>421</v>
      </c>
      <c r="K809" s="51" t="s">
        <v>1866</v>
      </c>
      <c r="L809" s="84">
        <v>9</v>
      </c>
      <c r="M809" s="85">
        <v>8</v>
      </c>
      <c r="N809" s="91">
        <v>30</v>
      </c>
      <c r="O809" s="86" t="s">
        <v>1376</v>
      </c>
      <c r="P809" s="114" t="s">
        <v>108</v>
      </c>
      <c r="Q809" s="87">
        <v>180</v>
      </c>
      <c r="R809" s="144" t="s">
        <v>360</v>
      </c>
      <c r="S809" s="189">
        <v>4607958075614</v>
      </c>
      <c r="T809" s="337">
        <v>14607958075611</v>
      </c>
      <c r="U809" s="46">
        <v>4607958075614</v>
      </c>
      <c r="V809" s="46">
        <v>14607958075611</v>
      </c>
      <c r="W809" s="258">
        <v>140</v>
      </c>
      <c r="X809" s="68">
        <v>82</v>
      </c>
      <c r="Y809" s="68">
        <v>82</v>
      </c>
      <c r="Z809" s="65">
        <v>0.4</v>
      </c>
      <c r="AA809" s="271">
        <v>2.8000000000000001E-2</v>
      </c>
      <c r="AB809" s="66">
        <f>Z809+AA809</f>
        <v>0.42800000000000005</v>
      </c>
      <c r="AC809" s="59">
        <v>346</v>
      </c>
      <c r="AD809" s="60">
        <v>154</v>
      </c>
      <c r="AE809" s="60">
        <v>346</v>
      </c>
      <c r="AF809" s="191">
        <v>16</v>
      </c>
      <c r="AG809" s="117">
        <v>600000122</v>
      </c>
      <c r="AH809" s="53">
        <f>справочники!$C$41</f>
        <v>0.21199999999999999</v>
      </c>
      <c r="AI809" s="61">
        <f t="shared" si="983"/>
        <v>6.4</v>
      </c>
      <c r="AJ809" s="142">
        <f t="shared" si="984"/>
        <v>7.0600000000000005</v>
      </c>
      <c r="AK809" s="158">
        <v>16</v>
      </c>
      <c r="AL809" s="38">
        <v>4</v>
      </c>
      <c r="AM809" s="40">
        <f>AK809*AL809</f>
        <v>64</v>
      </c>
      <c r="AN809" s="206">
        <f>IF(D809="ШТ",кол_во_инд.__упак_к*итого_г_у,ROUNDDOWN(номин.вес_нетто_г_у__кг*итого_г_у,1))</f>
        <v>1024</v>
      </c>
      <c r="AO809" s="204">
        <f t="shared" si="992"/>
        <v>1529</v>
      </c>
    </row>
    <row r="810" spans="1:41" ht="191.25" x14ac:dyDescent="0.2">
      <c r="A810" s="22">
        <f t="shared" si="1002"/>
        <v>7462</v>
      </c>
      <c r="B810" s="80">
        <v>1002115747462</v>
      </c>
      <c r="C810" s="48" t="s">
        <v>1534</v>
      </c>
      <c r="D810" s="87" t="s">
        <v>4</v>
      </c>
      <c r="E810" s="146" t="s">
        <v>918</v>
      </c>
      <c r="F810" s="112" t="s">
        <v>1929</v>
      </c>
      <c r="G810" s="224" t="s">
        <v>6</v>
      </c>
      <c r="H810" s="87" t="s">
        <v>1</v>
      </c>
      <c r="I810" s="155" t="s">
        <v>384</v>
      </c>
      <c r="J810" s="150" t="s">
        <v>872</v>
      </c>
      <c r="K810" s="51" t="s">
        <v>1535</v>
      </c>
      <c r="L810" s="84">
        <v>9</v>
      </c>
      <c r="M810" s="85">
        <v>9</v>
      </c>
      <c r="N810" s="91">
        <v>28</v>
      </c>
      <c r="O810" s="86" t="s">
        <v>1178</v>
      </c>
      <c r="P810" s="114" t="s">
        <v>108</v>
      </c>
      <c r="Q810" s="87">
        <v>180</v>
      </c>
      <c r="R810" s="144" t="s">
        <v>360</v>
      </c>
      <c r="S810" s="189">
        <v>4630362180711</v>
      </c>
      <c r="T810" s="337">
        <v>14630362180718</v>
      </c>
      <c r="U810" s="46">
        <v>4630362180711</v>
      </c>
      <c r="V810" s="46">
        <v>14630362180718</v>
      </c>
      <c r="W810" s="258">
        <v>220</v>
      </c>
      <c r="X810" s="68">
        <v>195</v>
      </c>
      <c r="Y810" s="68">
        <v>35</v>
      </c>
      <c r="Z810" s="65">
        <v>0.4</v>
      </c>
      <c r="AA810" s="271">
        <v>8.9999999999999993E-3</v>
      </c>
      <c r="AB810" s="66">
        <f t="shared" ref="AB810" si="1021">Z810+AA810</f>
        <v>0.40900000000000003</v>
      </c>
      <c r="AC810" s="59">
        <v>383</v>
      </c>
      <c r="AD810" s="60">
        <v>283</v>
      </c>
      <c r="AE810" s="60">
        <v>183</v>
      </c>
      <c r="AF810" s="191">
        <v>16</v>
      </c>
      <c r="AG810" s="117">
        <v>600000023</v>
      </c>
      <c r="AH810" s="53">
        <f>справочники!$C$15</f>
        <v>0.26700000000000002</v>
      </c>
      <c r="AI810" s="61">
        <f t="shared" si="983"/>
        <v>6.4</v>
      </c>
      <c r="AJ810" s="142">
        <f t="shared" si="984"/>
        <v>6.8110000000000008</v>
      </c>
      <c r="AK810" s="158">
        <v>8</v>
      </c>
      <c r="AL810" s="38">
        <v>8</v>
      </c>
      <c r="AM810" s="40">
        <f t="shared" ref="AM810" si="1022">AK810*AL810</f>
        <v>64</v>
      </c>
      <c r="AN810" s="206">
        <f t="shared" ref="AN810" si="1023">IF(D810="ШТ",кол_во_инд.__упак_к*итого_г_у,ROUNDDOWN(номин.вес_нетто_г_у__кг*итого_г_у,1))</f>
        <v>1024</v>
      </c>
      <c r="AO810" s="204">
        <f t="shared" si="992"/>
        <v>1609</v>
      </c>
    </row>
    <row r="811" spans="1:41" ht="178.5" x14ac:dyDescent="0.2">
      <c r="A811" s="22">
        <f t="shared" si="1002"/>
        <v>7365</v>
      </c>
      <c r="B811" s="80">
        <v>1002116917365</v>
      </c>
      <c r="C811" s="48" t="s">
        <v>1373</v>
      </c>
      <c r="D811" s="87" t="s">
        <v>4</v>
      </c>
      <c r="E811" s="146" t="s">
        <v>918</v>
      </c>
      <c r="F811" s="112" t="s">
        <v>1929</v>
      </c>
      <c r="G811" s="224" t="s">
        <v>6</v>
      </c>
      <c r="H811" s="87" t="s">
        <v>1</v>
      </c>
      <c r="I811" s="155" t="s">
        <v>384</v>
      </c>
      <c r="J811" s="150" t="s">
        <v>1374</v>
      </c>
      <c r="K811" s="51" t="s">
        <v>1375</v>
      </c>
      <c r="L811" s="84">
        <v>9</v>
      </c>
      <c r="M811" s="85">
        <v>8</v>
      </c>
      <c r="N811" s="91">
        <v>30</v>
      </c>
      <c r="O811" s="86" t="s">
        <v>1376</v>
      </c>
      <c r="P811" s="114" t="s">
        <v>108</v>
      </c>
      <c r="Q811" s="87">
        <v>180</v>
      </c>
      <c r="R811" s="144" t="s">
        <v>360</v>
      </c>
      <c r="S811" s="189">
        <v>4607958079988</v>
      </c>
      <c r="T811" s="337">
        <v>14607958079985</v>
      </c>
      <c r="U811" s="46">
        <v>4607958079988</v>
      </c>
      <c r="V811" s="46">
        <v>14607958079985</v>
      </c>
      <c r="W811" s="258">
        <v>190</v>
      </c>
      <c r="X811" s="68">
        <v>195</v>
      </c>
      <c r="Y811" s="68">
        <v>35</v>
      </c>
      <c r="Z811" s="65">
        <v>0.25</v>
      </c>
      <c r="AA811" s="271">
        <v>8.9999999999999993E-3</v>
      </c>
      <c r="AB811" s="66">
        <f>Z811+AA811</f>
        <v>0.25900000000000001</v>
      </c>
      <c r="AC811" s="59">
        <v>383</v>
      </c>
      <c r="AD811" s="60">
        <v>283</v>
      </c>
      <c r="AE811" s="60">
        <v>183</v>
      </c>
      <c r="AF811" s="191">
        <v>20</v>
      </c>
      <c r="AG811" s="117">
        <v>600000023</v>
      </c>
      <c r="AH811" s="53">
        <f>справочники!$C$15</f>
        <v>0.26700000000000002</v>
      </c>
      <c r="AI811" s="61">
        <f t="shared" si="983"/>
        <v>5</v>
      </c>
      <c r="AJ811" s="142">
        <f t="shared" si="984"/>
        <v>5.4470000000000001</v>
      </c>
      <c r="AK811" s="158">
        <v>8</v>
      </c>
      <c r="AL811" s="38">
        <v>8</v>
      </c>
      <c r="AM811" s="40">
        <f>AK811*AL811</f>
        <v>64</v>
      </c>
      <c r="AN811" s="206">
        <f>IF(D811="ШТ",кол_во_инд.__упак_к*итого_г_у,ROUNDDOWN(номин.вес_нетто_г_у__кг*итого_г_у,1))</f>
        <v>1280</v>
      </c>
      <c r="AO811" s="204">
        <f t="shared" si="992"/>
        <v>1609</v>
      </c>
    </row>
    <row r="812" spans="1:41" ht="216.75" x14ac:dyDescent="0.2">
      <c r="A812" s="22">
        <f t="shared" si="1002"/>
        <v>7212</v>
      </c>
      <c r="B812" s="80">
        <v>1002112857212</v>
      </c>
      <c r="C812" s="48" t="s">
        <v>1167</v>
      </c>
      <c r="D812" s="87" t="s">
        <v>4</v>
      </c>
      <c r="E812" s="146" t="s">
        <v>918</v>
      </c>
      <c r="F812" s="112" t="s">
        <v>1929</v>
      </c>
      <c r="G812" s="224" t="s">
        <v>6</v>
      </c>
      <c r="H812" s="87" t="s">
        <v>1</v>
      </c>
      <c r="I812" s="155" t="s">
        <v>939</v>
      </c>
      <c r="J812" s="150" t="s">
        <v>941</v>
      </c>
      <c r="K812" s="51" t="s">
        <v>1263</v>
      </c>
      <c r="L812" s="84">
        <v>16</v>
      </c>
      <c r="M812" s="85">
        <v>7</v>
      </c>
      <c r="N812" s="91">
        <v>32</v>
      </c>
      <c r="O812" s="86" t="s">
        <v>943</v>
      </c>
      <c r="P812" s="114" t="s">
        <v>108</v>
      </c>
      <c r="Q812" s="87">
        <v>180</v>
      </c>
      <c r="R812" s="144" t="s">
        <v>360</v>
      </c>
      <c r="S812" s="189">
        <v>4607958078868</v>
      </c>
      <c r="T812" s="337">
        <v>14607958078865</v>
      </c>
      <c r="U812" s="46">
        <v>4607958078868</v>
      </c>
      <c r="V812" s="46">
        <v>14607958078865</v>
      </c>
      <c r="W812" s="258">
        <v>210</v>
      </c>
      <c r="X812" s="68">
        <v>200</v>
      </c>
      <c r="Y812" s="68">
        <v>30</v>
      </c>
      <c r="Z812" s="65">
        <v>0.42</v>
      </c>
      <c r="AA812" s="271">
        <v>7.0000000000000001E-3</v>
      </c>
      <c r="AB812" s="66">
        <f t="shared" ref="AB812:AB819" si="1024">Z812+AA812</f>
        <v>0.42699999999999999</v>
      </c>
      <c r="AC812" s="59">
        <v>388</v>
      </c>
      <c r="AD812" s="60">
        <v>193</v>
      </c>
      <c r="AE812" s="60">
        <v>158</v>
      </c>
      <c r="AF812" s="191">
        <v>10</v>
      </c>
      <c r="AG812" s="117">
        <v>600000023</v>
      </c>
      <c r="AH812" s="53">
        <f>справочники!$C$15</f>
        <v>0.26700000000000002</v>
      </c>
      <c r="AI812" s="61">
        <f t="shared" si="983"/>
        <v>4.2</v>
      </c>
      <c r="AJ812" s="142">
        <f t="shared" si="984"/>
        <v>4.5369999999999999</v>
      </c>
      <c r="AK812" s="158">
        <v>12</v>
      </c>
      <c r="AL812" s="38">
        <v>9</v>
      </c>
      <c r="AM812" s="40">
        <f t="shared" ref="AM812:AM813" si="1025">AK812*AL812</f>
        <v>108</v>
      </c>
      <c r="AN812" s="206">
        <f t="shared" ref="AN812:AN819" si="1026">IF(D812="ШТ",кол_во_инд.__упак_к*итого_г_у,ROUNDDOWN(номин.вес_нетто_г_у__кг*итого_г_у,1))</f>
        <v>1080</v>
      </c>
      <c r="AO812" s="204">
        <f t="shared" si="992"/>
        <v>1567</v>
      </c>
    </row>
    <row r="813" spans="1:41" ht="216.75" x14ac:dyDescent="0.2">
      <c r="A813" s="22">
        <f t="shared" si="1002"/>
        <v>7214</v>
      </c>
      <c r="B813" s="80">
        <v>1002112857214</v>
      </c>
      <c r="C813" s="48" t="s">
        <v>1169</v>
      </c>
      <c r="D813" s="87" t="s">
        <v>4</v>
      </c>
      <c r="E813" s="146" t="s">
        <v>918</v>
      </c>
      <c r="F813" s="112" t="s">
        <v>1929</v>
      </c>
      <c r="G813" s="224" t="s">
        <v>6</v>
      </c>
      <c r="H813" s="87" t="s">
        <v>1</v>
      </c>
      <c r="I813" s="155" t="s">
        <v>939</v>
      </c>
      <c r="J813" s="150" t="s">
        <v>941</v>
      </c>
      <c r="K813" s="51" t="s">
        <v>1262</v>
      </c>
      <c r="L813" s="84">
        <v>9</v>
      </c>
      <c r="M813" s="85">
        <v>7</v>
      </c>
      <c r="N813" s="91">
        <v>29</v>
      </c>
      <c r="O813" s="86" t="s">
        <v>1261</v>
      </c>
      <c r="P813" s="114" t="s">
        <v>108</v>
      </c>
      <c r="Q813" s="87">
        <v>180</v>
      </c>
      <c r="R813" s="144" t="s">
        <v>360</v>
      </c>
      <c r="S813" s="189">
        <v>4607958078851</v>
      </c>
      <c r="T813" s="337">
        <v>14607958078858</v>
      </c>
      <c r="U813" s="46">
        <v>4607958078851</v>
      </c>
      <c r="V813" s="46">
        <v>14607958078858</v>
      </c>
      <c r="W813" s="258">
        <v>220</v>
      </c>
      <c r="X813" s="68">
        <v>180</v>
      </c>
      <c r="Y813" s="68">
        <v>35</v>
      </c>
      <c r="Z813" s="65">
        <v>0.7</v>
      </c>
      <c r="AA813" s="271">
        <v>8.9999999999999993E-3</v>
      </c>
      <c r="AB813" s="66">
        <f t="shared" ref="AB813:AB815" si="1027">Z813+AA813</f>
        <v>0.70899999999999996</v>
      </c>
      <c r="AC813" s="59">
        <v>383</v>
      </c>
      <c r="AD813" s="60">
        <v>283</v>
      </c>
      <c r="AE813" s="60">
        <v>183</v>
      </c>
      <c r="AF813" s="191">
        <v>10</v>
      </c>
      <c r="AG813" s="117">
        <v>600000023</v>
      </c>
      <c r="AH813" s="53">
        <f>справочники!$C$15</f>
        <v>0.26700000000000002</v>
      </c>
      <c r="AI813" s="61">
        <f t="shared" si="983"/>
        <v>7</v>
      </c>
      <c r="AJ813" s="142">
        <f t="shared" si="984"/>
        <v>7.3570000000000002</v>
      </c>
      <c r="AK813" s="158">
        <v>8</v>
      </c>
      <c r="AL813" s="38">
        <v>8</v>
      </c>
      <c r="AM813" s="40">
        <f t="shared" si="1025"/>
        <v>64</v>
      </c>
      <c r="AN813" s="206">
        <f t="shared" ref="AN813:AN815" si="1028">IF(D813="ШТ",кол_во_инд.__упак_к*итого_г_у,ROUNDDOWN(номин.вес_нетто_г_у__кг*итого_г_у,1))</f>
        <v>640</v>
      </c>
      <c r="AO813" s="204">
        <f t="shared" si="992"/>
        <v>1609</v>
      </c>
    </row>
    <row r="814" spans="1:41" ht="216.75" x14ac:dyDescent="0.2">
      <c r="A814" s="22">
        <f t="shared" si="1002"/>
        <v>7375</v>
      </c>
      <c r="B814" s="80">
        <v>1002112857375</v>
      </c>
      <c r="C814" s="48" t="s">
        <v>1389</v>
      </c>
      <c r="D814" s="87" t="s">
        <v>3</v>
      </c>
      <c r="E814" s="146" t="s">
        <v>918</v>
      </c>
      <c r="F814" s="112" t="s">
        <v>1929</v>
      </c>
      <c r="G814" s="224" t="s">
        <v>6</v>
      </c>
      <c r="H814" s="87" t="s">
        <v>1</v>
      </c>
      <c r="I814" s="155" t="s">
        <v>939</v>
      </c>
      <c r="J814" s="150" t="s">
        <v>941</v>
      </c>
      <c r="K814" s="51" t="s">
        <v>1262</v>
      </c>
      <c r="L814" s="84">
        <v>9</v>
      </c>
      <c r="M814" s="85">
        <v>7</v>
      </c>
      <c r="N814" s="91">
        <v>29</v>
      </c>
      <c r="O814" s="86" t="s">
        <v>1261</v>
      </c>
      <c r="P814" s="114" t="s">
        <v>108</v>
      </c>
      <c r="Q814" s="87">
        <v>180</v>
      </c>
      <c r="R814" s="144" t="s">
        <v>360</v>
      </c>
      <c r="S814" s="189">
        <v>2800214000005</v>
      </c>
      <c r="T814" s="337">
        <v>12800214000002</v>
      </c>
      <c r="U814" s="46"/>
      <c r="V814" s="46"/>
      <c r="W814" s="258"/>
      <c r="X814" s="68"/>
      <c r="Y814" s="68"/>
      <c r="Z814" s="65">
        <v>4</v>
      </c>
      <c r="AA814" s="271">
        <v>0.01</v>
      </c>
      <c r="AB814" s="66">
        <f t="shared" ref="AB814" si="1029">Z814+AA814</f>
        <v>4.01</v>
      </c>
      <c r="AC814" s="59">
        <v>388</v>
      </c>
      <c r="AD814" s="60">
        <v>193</v>
      </c>
      <c r="AE814" s="60">
        <v>158</v>
      </c>
      <c r="AF814" s="191">
        <v>1</v>
      </c>
      <c r="AG814" s="117">
        <v>600000018</v>
      </c>
      <c r="AH814" s="53">
        <f>справочники!$C$10</f>
        <v>0.161</v>
      </c>
      <c r="AI814" s="61">
        <f t="shared" si="983"/>
        <v>4</v>
      </c>
      <c r="AJ814" s="142">
        <f t="shared" si="984"/>
        <v>4.1709999999999994</v>
      </c>
      <c r="AK814" s="158">
        <v>12</v>
      </c>
      <c r="AL814" s="38">
        <v>9</v>
      </c>
      <c r="AM814" s="40">
        <f t="shared" ref="AM814" si="1030">AK814*AL814</f>
        <v>108</v>
      </c>
      <c r="AN814" s="272">
        <f t="shared" ref="AN814" si="1031">IF(D814="ШТ",кол_во_инд.__упак_к*итого_г_у,ROUNDDOWN(номин.вес_нетто_г_у__кг*итого_г_у,1))</f>
        <v>432</v>
      </c>
      <c r="AO814" s="204">
        <f t="shared" si="992"/>
        <v>1567</v>
      </c>
    </row>
    <row r="815" spans="1:41" ht="293.25" x14ac:dyDescent="0.2">
      <c r="A815" s="22">
        <f t="shared" si="1002"/>
        <v>7217</v>
      </c>
      <c r="B815" s="80">
        <v>1002116437217</v>
      </c>
      <c r="C815" s="48" t="s">
        <v>1171</v>
      </c>
      <c r="D815" s="87" t="s">
        <v>4</v>
      </c>
      <c r="E815" s="146" t="s">
        <v>918</v>
      </c>
      <c r="F815" s="112" t="s">
        <v>1929</v>
      </c>
      <c r="G815" s="224" t="s">
        <v>6</v>
      </c>
      <c r="H815" s="87" t="s">
        <v>1</v>
      </c>
      <c r="I815" s="155" t="s">
        <v>939</v>
      </c>
      <c r="J815" s="150" t="s">
        <v>941</v>
      </c>
      <c r="K815" s="51" t="s">
        <v>1173</v>
      </c>
      <c r="L815" s="84">
        <v>10</v>
      </c>
      <c r="M815" s="85">
        <v>5</v>
      </c>
      <c r="N815" s="91">
        <v>30</v>
      </c>
      <c r="O815" s="86" t="s">
        <v>1174</v>
      </c>
      <c r="P815" s="114" t="s">
        <v>108</v>
      </c>
      <c r="Q815" s="87">
        <v>180</v>
      </c>
      <c r="R815" s="144" t="s">
        <v>360</v>
      </c>
      <c r="S815" s="189">
        <v>4607958078875</v>
      </c>
      <c r="T815" s="337">
        <v>14607958078872</v>
      </c>
      <c r="U815" s="46">
        <v>4607958078875</v>
      </c>
      <c r="V815" s="46">
        <v>14607958078872</v>
      </c>
      <c r="W815" s="258">
        <v>210</v>
      </c>
      <c r="X815" s="68">
        <v>200</v>
      </c>
      <c r="Y815" s="68">
        <v>30</v>
      </c>
      <c r="Z815" s="65">
        <v>0.42</v>
      </c>
      <c r="AA815" s="271">
        <v>7.0000000000000001E-3</v>
      </c>
      <c r="AB815" s="66">
        <f t="shared" si="1027"/>
        <v>0.42699999999999999</v>
      </c>
      <c r="AC815" s="59">
        <v>388</v>
      </c>
      <c r="AD815" s="60">
        <v>193</v>
      </c>
      <c r="AE815" s="60">
        <v>158</v>
      </c>
      <c r="AF815" s="191">
        <v>10</v>
      </c>
      <c r="AG815" s="117">
        <v>600000023</v>
      </c>
      <c r="AH815" s="53">
        <f>справочники!$C$15</f>
        <v>0.26700000000000002</v>
      </c>
      <c r="AI815" s="61">
        <f t="shared" si="983"/>
        <v>4.2</v>
      </c>
      <c r="AJ815" s="142">
        <f t="shared" si="984"/>
        <v>4.5369999999999999</v>
      </c>
      <c r="AK815" s="158">
        <v>12</v>
      </c>
      <c r="AL815" s="38">
        <v>9</v>
      </c>
      <c r="AM815" s="40">
        <f t="shared" ref="AM815:AM816" si="1032">AK815*AL815</f>
        <v>108</v>
      </c>
      <c r="AN815" s="206">
        <f t="shared" si="1028"/>
        <v>1080</v>
      </c>
      <c r="AO815" s="204">
        <f t="shared" si="992"/>
        <v>1567</v>
      </c>
    </row>
    <row r="816" spans="1:41" ht="293.25" x14ac:dyDescent="0.2">
      <c r="A816" s="22">
        <f t="shared" si="1002"/>
        <v>7216</v>
      </c>
      <c r="B816" s="80">
        <v>1002116437216</v>
      </c>
      <c r="C816" s="48" t="s">
        <v>1172</v>
      </c>
      <c r="D816" s="87" t="s">
        <v>4</v>
      </c>
      <c r="E816" s="146" t="s">
        <v>918</v>
      </c>
      <c r="F816" s="112" t="s">
        <v>1929</v>
      </c>
      <c r="G816" s="224" t="s">
        <v>6</v>
      </c>
      <c r="H816" s="87" t="s">
        <v>1</v>
      </c>
      <c r="I816" s="155" t="s">
        <v>939</v>
      </c>
      <c r="J816" s="150" t="s">
        <v>941</v>
      </c>
      <c r="K816" s="51" t="s">
        <v>1173</v>
      </c>
      <c r="L816" s="84">
        <v>10</v>
      </c>
      <c r="M816" s="85">
        <v>5</v>
      </c>
      <c r="N816" s="91">
        <v>30</v>
      </c>
      <c r="O816" s="86" t="s">
        <v>1174</v>
      </c>
      <c r="P816" s="114" t="s">
        <v>108</v>
      </c>
      <c r="Q816" s="87">
        <v>180</v>
      </c>
      <c r="R816" s="144" t="s">
        <v>360</v>
      </c>
      <c r="S816" s="189">
        <v>4607958079155</v>
      </c>
      <c r="T816" s="337">
        <v>14607958079152</v>
      </c>
      <c r="U816" s="46">
        <v>4607958079155</v>
      </c>
      <c r="V816" s="46">
        <v>14607958079152</v>
      </c>
      <c r="W816" s="258">
        <v>220</v>
      </c>
      <c r="X816" s="68">
        <v>180</v>
      </c>
      <c r="Y816" s="68">
        <v>35</v>
      </c>
      <c r="Z816" s="65">
        <v>0.7</v>
      </c>
      <c r="AA816" s="271">
        <v>8.9999999999999993E-3</v>
      </c>
      <c r="AB816" s="66">
        <f t="shared" ref="AB816" si="1033">Z816+AA816</f>
        <v>0.70899999999999996</v>
      </c>
      <c r="AC816" s="59">
        <v>383</v>
      </c>
      <c r="AD816" s="60">
        <v>283</v>
      </c>
      <c r="AE816" s="60">
        <v>183</v>
      </c>
      <c r="AF816" s="191">
        <v>10</v>
      </c>
      <c r="AG816" s="117">
        <v>600000023</v>
      </c>
      <c r="AH816" s="53">
        <f>справочники!$C$15</f>
        <v>0.26700000000000002</v>
      </c>
      <c r="AI816" s="61">
        <f t="shared" si="983"/>
        <v>7</v>
      </c>
      <c r="AJ816" s="142">
        <f t="shared" si="984"/>
        <v>7.3570000000000002</v>
      </c>
      <c r="AK816" s="158">
        <v>8</v>
      </c>
      <c r="AL816" s="38">
        <v>8</v>
      </c>
      <c r="AM816" s="40">
        <f t="shared" si="1032"/>
        <v>64</v>
      </c>
      <c r="AN816" s="206">
        <f t="shared" ref="AN816" si="1034">IF(D816="ШТ",кол_во_инд.__упак_к*итого_г_у,ROUNDDOWN(номин.вес_нетто_г_у__кг*итого_г_у,1))</f>
        <v>640</v>
      </c>
      <c r="AO816" s="204">
        <f t="shared" si="992"/>
        <v>1609</v>
      </c>
    </row>
    <row r="817" spans="1:41" ht="216.75" x14ac:dyDescent="0.2">
      <c r="A817" s="22">
        <f t="shared" si="1002"/>
        <v>6906</v>
      </c>
      <c r="B817" s="80">
        <v>1002115806906</v>
      </c>
      <c r="C817" s="48" t="s">
        <v>940</v>
      </c>
      <c r="D817" s="87" t="s">
        <v>4</v>
      </c>
      <c r="E817" s="146" t="s">
        <v>918</v>
      </c>
      <c r="F817" s="112" t="s">
        <v>1929</v>
      </c>
      <c r="G817" s="224" t="s">
        <v>6</v>
      </c>
      <c r="H817" s="87" t="s">
        <v>1</v>
      </c>
      <c r="I817" s="155" t="s">
        <v>939</v>
      </c>
      <c r="J817" s="150" t="s">
        <v>941</v>
      </c>
      <c r="K817" s="51" t="s">
        <v>942</v>
      </c>
      <c r="L817" s="84">
        <v>16</v>
      </c>
      <c r="M817" s="85">
        <v>7</v>
      </c>
      <c r="N817" s="91">
        <v>32</v>
      </c>
      <c r="O817" s="86" t="s">
        <v>943</v>
      </c>
      <c r="P817" s="114" t="s">
        <v>108</v>
      </c>
      <c r="Q817" s="87">
        <v>180</v>
      </c>
      <c r="R817" s="144" t="s">
        <v>360</v>
      </c>
      <c r="S817" s="189">
        <v>4607958078196</v>
      </c>
      <c r="T817" s="337">
        <v>14607958078193</v>
      </c>
      <c r="U817" s="46">
        <v>4607958078196</v>
      </c>
      <c r="V817" s="46">
        <v>14607958078193</v>
      </c>
      <c r="W817" s="258">
        <v>220</v>
      </c>
      <c r="X817" s="68">
        <v>180</v>
      </c>
      <c r="Y817" s="68">
        <v>35</v>
      </c>
      <c r="Z817" s="65">
        <v>0.7</v>
      </c>
      <c r="AA817" s="271">
        <v>8.9999999999999993E-3</v>
      </c>
      <c r="AB817" s="66">
        <f t="shared" si="1024"/>
        <v>0.70899999999999996</v>
      </c>
      <c r="AC817" s="59">
        <v>383</v>
      </c>
      <c r="AD817" s="60">
        <v>283</v>
      </c>
      <c r="AE817" s="60">
        <v>183</v>
      </c>
      <c r="AF817" s="191">
        <v>10</v>
      </c>
      <c r="AG817" s="117">
        <v>600000023</v>
      </c>
      <c r="AH817" s="53">
        <f>справочники!$C$15</f>
        <v>0.26700000000000002</v>
      </c>
      <c r="AI817" s="61">
        <f t="shared" si="983"/>
        <v>7</v>
      </c>
      <c r="AJ817" s="142">
        <f t="shared" si="984"/>
        <v>7.3570000000000002</v>
      </c>
      <c r="AK817" s="158">
        <v>8</v>
      </c>
      <c r="AL817" s="38">
        <v>8</v>
      </c>
      <c r="AM817" s="40">
        <f t="shared" ref="AM817:AM821" si="1035">AK817*AL817</f>
        <v>64</v>
      </c>
      <c r="AN817" s="206">
        <f t="shared" si="1026"/>
        <v>640</v>
      </c>
      <c r="AO817" s="204">
        <f t="shared" si="992"/>
        <v>1609</v>
      </c>
    </row>
    <row r="818" spans="1:41" ht="165.75" x14ac:dyDescent="0.2">
      <c r="A818" s="22">
        <f t="shared" si="1002"/>
        <v>7049</v>
      </c>
      <c r="B818" s="80">
        <v>1002151787049</v>
      </c>
      <c r="C818" s="55" t="s">
        <v>1020</v>
      </c>
      <c r="D818" s="87" t="s">
        <v>4</v>
      </c>
      <c r="E818" s="146" t="s">
        <v>918</v>
      </c>
      <c r="F818" s="112" t="s">
        <v>1929</v>
      </c>
      <c r="G818" s="224" t="s">
        <v>6</v>
      </c>
      <c r="H818" s="87" t="s">
        <v>1</v>
      </c>
      <c r="I818" s="155" t="s">
        <v>391</v>
      </c>
      <c r="J818" s="150" t="s">
        <v>1019</v>
      </c>
      <c r="K818" s="83" t="s">
        <v>1021</v>
      </c>
      <c r="L818" s="84">
        <v>5</v>
      </c>
      <c r="M818" s="85">
        <v>2</v>
      </c>
      <c r="N818" s="91">
        <v>27</v>
      </c>
      <c r="O818" s="86" t="s">
        <v>1022</v>
      </c>
      <c r="P818" s="114" t="s">
        <v>108</v>
      </c>
      <c r="Q818" s="87">
        <v>120</v>
      </c>
      <c r="R818" s="144" t="s">
        <v>360</v>
      </c>
      <c r="S818" s="189">
        <v>4607958078585</v>
      </c>
      <c r="T818" s="337">
        <v>14607958078582</v>
      </c>
      <c r="U818" s="46">
        <v>4607958078585</v>
      </c>
      <c r="V818" s="46">
        <v>14607958078582</v>
      </c>
      <c r="W818" s="258">
        <v>210</v>
      </c>
      <c r="X818" s="68">
        <v>200</v>
      </c>
      <c r="Y818" s="68">
        <v>30</v>
      </c>
      <c r="Z818" s="65">
        <v>0.42</v>
      </c>
      <c r="AA818" s="271">
        <v>7.0000000000000001E-3</v>
      </c>
      <c r="AB818" s="66">
        <f t="shared" si="1024"/>
        <v>0.42699999999999999</v>
      </c>
      <c r="AC818" s="59">
        <v>388</v>
      </c>
      <c r="AD818" s="60">
        <v>193</v>
      </c>
      <c r="AE818" s="60">
        <v>158</v>
      </c>
      <c r="AF818" s="191">
        <v>10</v>
      </c>
      <c r="AG818" s="117">
        <v>600000018</v>
      </c>
      <c r="AH818" s="53">
        <f>справочники!$C$10</f>
        <v>0.161</v>
      </c>
      <c r="AI818" s="61">
        <f t="shared" si="983"/>
        <v>4.2</v>
      </c>
      <c r="AJ818" s="142">
        <f t="shared" si="984"/>
        <v>4.4309999999999992</v>
      </c>
      <c r="AK818" s="158">
        <v>12</v>
      </c>
      <c r="AL818" s="38">
        <v>9</v>
      </c>
      <c r="AM818" s="40">
        <f t="shared" si="1035"/>
        <v>108</v>
      </c>
      <c r="AN818" s="206">
        <f t="shared" si="1026"/>
        <v>1080</v>
      </c>
      <c r="AO818" s="204">
        <f t="shared" si="992"/>
        <v>1567</v>
      </c>
    </row>
    <row r="819" spans="1:41" ht="45" customHeight="1" x14ac:dyDescent="0.2">
      <c r="A819" s="22">
        <f t="shared" si="1002"/>
        <v>7051</v>
      </c>
      <c r="B819" s="80">
        <v>1002361457051</v>
      </c>
      <c r="C819" s="48" t="s">
        <v>1100</v>
      </c>
      <c r="D819" s="87" t="s">
        <v>3</v>
      </c>
      <c r="E819" s="146" t="s">
        <v>918</v>
      </c>
      <c r="F819" s="112" t="s">
        <v>1928</v>
      </c>
      <c r="G819" s="224" t="s">
        <v>2</v>
      </c>
      <c r="H819" s="49" t="s">
        <v>358</v>
      </c>
      <c r="I819" s="154" t="s">
        <v>1225</v>
      </c>
      <c r="J819" s="150" t="s">
        <v>1721</v>
      </c>
      <c r="K819" s="51" t="s">
        <v>140</v>
      </c>
      <c r="L819" s="84">
        <v>19</v>
      </c>
      <c r="M819" s="85">
        <v>12</v>
      </c>
      <c r="N819" s="91"/>
      <c r="O819" s="86" t="s">
        <v>562</v>
      </c>
      <c r="P819" s="114" t="s">
        <v>108</v>
      </c>
      <c r="Q819" s="87">
        <v>365</v>
      </c>
      <c r="R819" s="164" t="s">
        <v>360</v>
      </c>
      <c r="S819" s="239">
        <v>2811154000000</v>
      </c>
      <c r="T819" s="344">
        <v>12811154000007</v>
      </c>
      <c r="U819" s="46"/>
      <c r="V819" s="46"/>
      <c r="W819" s="258"/>
      <c r="X819" s="68"/>
      <c r="Y819" s="68"/>
      <c r="Z819" s="65">
        <v>1.3719999999999999</v>
      </c>
      <c r="AA819" s="271">
        <v>0.03</v>
      </c>
      <c r="AB819" s="66">
        <f t="shared" si="1024"/>
        <v>1.4019999999999999</v>
      </c>
      <c r="AC819" s="59">
        <v>500</v>
      </c>
      <c r="AD819" s="60">
        <v>302</v>
      </c>
      <c r="AE819" s="60">
        <v>135</v>
      </c>
      <c r="AF819" s="191">
        <v>7</v>
      </c>
      <c r="AG819" s="117">
        <v>600000334</v>
      </c>
      <c r="AH819" s="104">
        <f>справочники!$C$69</f>
        <v>0.37</v>
      </c>
      <c r="AI819" s="61">
        <f t="shared" si="983"/>
        <v>9.6</v>
      </c>
      <c r="AJ819" s="143">
        <f t="shared" si="984"/>
        <v>10.183999999999999</v>
      </c>
      <c r="AK819" s="37">
        <v>6</v>
      </c>
      <c r="AL819" s="38">
        <v>10</v>
      </c>
      <c r="AM819" s="40">
        <f t="shared" ref="AM819" si="1036">AK819*AL819</f>
        <v>60</v>
      </c>
      <c r="AN819" s="214">
        <f t="shared" si="1026"/>
        <v>576</v>
      </c>
      <c r="AO819" s="204">
        <f t="shared" si="992"/>
        <v>1495</v>
      </c>
    </row>
    <row r="820" spans="1:41" ht="56.25" x14ac:dyDescent="0.2">
      <c r="A820" s="22">
        <f t="shared" si="1002"/>
        <v>5351</v>
      </c>
      <c r="B820" s="80">
        <v>1002182025351</v>
      </c>
      <c r="C820" s="48" t="s">
        <v>97</v>
      </c>
      <c r="D820" s="87" t="s">
        <v>3</v>
      </c>
      <c r="E820" s="146" t="s">
        <v>918</v>
      </c>
      <c r="F820" s="112" t="s">
        <v>1928</v>
      </c>
      <c r="G820" s="224" t="s">
        <v>2</v>
      </c>
      <c r="H820" s="87" t="s">
        <v>1</v>
      </c>
      <c r="I820" s="154" t="s">
        <v>1225</v>
      </c>
      <c r="J820" s="150" t="s">
        <v>1721</v>
      </c>
      <c r="K820" s="51" t="s">
        <v>140</v>
      </c>
      <c r="L820" s="84">
        <v>21</v>
      </c>
      <c r="M820" s="85">
        <v>5</v>
      </c>
      <c r="N820" s="91">
        <v>0</v>
      </c>
      <c r="O820" s="86" t="s">
        <v>236</v>
      </c>
      <c r="P820" s="114" t="s">
        <v>108</v>
      </c>
      <c r="Q820" s="87">
        <v>365</v>
      </c>
      <c r="R820" s="164" t="s">
        <v>360</v>
      </c>
      <c r="S820" s="239">
        <v>2800100000003</v>
      </c>
      <c r="T820" s="344">
        <v>12800100000000</v>
      </c>
      <c r="U820" s="46"/>
      <c r="V820" s="46"/>
      <c r="W820" s="258"/>
      <c r="X820" s="68"/>
      <c r="Y820" s="68"/>
      <c r="Z820" s="65">
        <v>1.5319999999999998</v>
      </c>
      <c r="AA820" s="271">
        <v>8.9999999999999993E-3</v>
      </c>
      <c r="AB820" s="66">
        <f t="shared" si="980"/>
        <v>1.5409999999999997</v>
      </c>
      <c r="AC820" s="59">
        <v>600</v>
      </c>
      <c r="AD820" s="60">
        <v>380</v>
      </c>
      <c r="AE820" s="60">
        <v>155</v>
      </c>
      <c r="AF820" s="191">
        <v>16</v>
      </c>
      <c r="AG820" s="117">
        <v>600000300</v>
      </c>
      <c r="AH820" s="104">
        <f>справочники!$C$60</f>
        <v>0.61499999999999999</v>
      </c>
      <c r="AI820" s="62">
        <f t="shared" si="983"/>
        <v>24.51</v>
      </c>
      <c r="AJ820" s="142">
        <f t="shared" si="984"/>
        <v>25.270999999999994</v>
      </c>
      <c r="AK820" s="158">
        <v>4</v>
      </c>
      <c r="AL820" s="38">
        <v>6</v>
      </c>
      <c r="AM820" s="40">
        <f t="shared" si="1035"/>
        <v>24</v>
      </c>
      <c r="AN820" s="214">
        <f t="shared" si="985"/>
        <v>588.20000000000005</v>
      </c>
      <c r="AO820" s="204">
        <f t="shared" si="992"/>
        <v>1075</v>
      </c>
    </row>
    <row r="821" spans="1:41" ht="56.25" x14ac:dyDescent="0.2">
      <c r="A821" s="22">
        <f t="shared" si="1002"/>
        <v>5431</v>
      </c>
      <c r="B821" s="80">
        <v>1002182135431</v>
      </c>
      <c r="C821" s="48" t="s">
        <v>101</v>
      </c>
      <c r="D821" s="49" t="s">
        <v>3</v>
      </c>
      <c r="E821" s="146" t="s">
        <v>918</v>
      </c>
      <c r="F821" s="112" t="s">
        <v>1928</v>
      </c>
      <c r="G821" s="224" t="s">
        <v>2</v>
      </c>
      <c r="H821" s="49" t="s">
        <v>1</v>
      </c>
      <c r="I821" s="154" t="s">
        <v>1225</v>
      </c>
      <c r="J821" s="151" t="s">
        <v>1721</v>
      </c>
      <c r="K821" s="51" t="s">
        <v>140</v>
      </c>
      <c r="L821" s="52">
        <v>14</v>
      </c>
      <c r="M821" s="53">
        <v>35</v>
      </c>
      <c r="N821" s="54"/>
      <c r="O821" s="88" t="s">
        <v>82</v>
      </c>
      <c r="P821" s="355" t="s">
        <v>108</v>
      </c>
      <c r="Q821" s="49">
        <v>365</v>
      </c>
      <c r="R821" s="356" t="s">
        <v>360</v>
      </c>
      <c r="S821" s="120">
        <v>2800289000009</v>
      </c>
      <c r="T821" s="342">
        <v>12800289000006</v>
      </c>
      <c r="U821" s="46"/>
      <c r="V821" s="46"/>
      <c r="W821" s="93"/>
      <c r="X821" s="60"/>
      <c r="Y821" s="60"/>
      <c r="Z821" s="65">
        <v>2.23</v>
      </c>
      <c r="AA821" s="271">
        <v>8.9999999999999993E-3</v>
      </c>
      <c r="AB821" s="66">
        <f>Z821+AA821</f>
        <v>2.2389999999999999</v>
      </c>
      <c r="AC821" s="59">
        <v>600</v>
      </c>
      <c r="AD821" s="60">
        <v>380</v>
      </c>
      <c r="AE821" s="60">
        <v>155</v>
      </c>
      <c r="AF821" s="191">
        <v>10</v>
      </c>
      <c r="AG821" s="117">
        <v>600000300</v>
      </c>
      <c r="AH821" s="104">
        <f>справочники!$C$60</f>
        <v>0.61499999999999999</v>
      </c>
      <c r="AI821" s="62">
        <f t="shared" si="983"/>
        <v>22.3</v>
      </c>
      <c r="AJ821" s="143">
        <f t="shared" si="984"/>
        <v>23.004999999999999</v>
      </c>
      <c r="AK821" s="37">
        <v>4</v>
      </c>
      <c r="AL821" s="38">
        <v>6</v>
      </c>
      <c r="AM821" s="357">
        <f t="shared" si="1035"/>
        <v>24</v>
      </c>
      <c r="AN821" s="358">
        <f>IF(D821="ШТ",кол_во_инд.__упак_к*итого_г_у,ROUNDDOWN(номин.вес_нетто_г_у__кг*итого_г_у,1))</f>
        <v>535.20000000000005</v>
      </c>
      <c r="AO821" s="204">
        <f t="shared" si="992"/>
        <v>1075</v>
      </c>
    </row>
    <row r="822" spans="1:41" x14ac:dyDescent="0.2">
      <c r="AO822" s="145"/>
    </row>
    <row r="823" spans="1:41" x14ac:dyDescent="0.2">
      <c r="AO823" s="145"/>
    </row>
    <row r="824" spans="1:41" x14ac:dyDescent="0.2">
      <c r="AO824" s="145"/>
    </row>
    <row r="825" spans="1:41" x14ac:dyDescent="0.2">
      <c r="AO825" s="145"/>
    </row>
    <row r="826" spans="1:41" x14ac:dyDescent="0.2">
      <c r="AO826" s="145"/>
    </row>
    <row r="827" spans="1:41" x14ac:dyDescent="0.2">
      <c r="AO827" s="145"/>
    </row>
  </sheetData>
  <autoFilter ref="A2:AO821" xr:uid="{161C55F2-051C-4130-B1FE-1E18FE13B0B9}"/>
  <sortState xmlns:xlrd2="http://schemas.microsoft.com/office/spreadsheetml/2017/richdata2" ref="B213:AT246">
    <sortCondition ref="C249:C270"/>
  </sortState>
  <mergeCells count="1">
    <mergeCell ref="L1:O1"/>
  </mergeCells>
  <dataValidations count="2">
    <dataValidation type="textLength" operator="lessThanOrEqual" allowBlank="1" showInputMessage="1" showErrorMessage="1" sqref="C674 C672 C110 C25 C593 C661:C664 C821 C8:C10 C256 C3:C4 C754:C758 C635 C737 C45:C46 C302 C59 C564 C74:C78 C68 C71 C530 C368:C373 C702:C703 C789:C804 C819 C677 C94:C97 C706:C707 C538:C540 C113:C115 C375 C709:C710 C33:C36 C620:C632" xr:uid="{00000000-0002-0000-0000-000000000000}">
      <formula1>40</formula1>
    </dataValidation>
    <dataValidation type="textLength" operator="equal" allowBlank="1" showInputMessage="1" showErrorMessage="1" sqref="SS100:SS101 IW100:IW101 WVI100:WVI101 WLM100:WLM101 WBQ100:WBQ101 VRU100:VRU101 VHY100:VHY101 UYC100:UYC101 UOG100:UOG101 UEK100:UEK101 TUO100:TUO101 TKS100:TKS101 TAW100:TAW101 SRA100:SRA101 SHE100:SHE101 RXI100:RXI101 RNM100:RNM101 RDQ100:RDQ101 QTU100:QTU101 QJY100:QJY101 QAC100:QAC101 PQG100:PQG101 PGK100:PGK101 OWO100:OWO101 OMS100:OMS101 OCW100:OCW101 NTA100:NTA101 NJE100:NJE101 MZI100:MZI101 MPM100:MPM101 MFQ100:MFQ101 LVU100:LVU101 LLY100:LLY101 LCC100:LCC101 KSG100:KSG101 KIK100:KIK101 JYO100:JYO101 JOS100:JOS101 JEW100:JEW101 IVA100:IVA101 ILE100:ILE101 IBI100:IBI101 HRM100:HRM101 HHQ100:HHQ101 GXU100:GXU101 GNY100:GNY101 GEC100:GEC101 FUG100:FUG101 FKK100:FKK101 FAO100:FAO101 EQS100:EQS101 EGW100:EGW101 DXA100:DXA101 DNE100:DNE101 DDI100:DDI101 CTM100:CTM101 CJQ100:CJQ101 BZU100:BZU101 BPY100:BPY101 BGC100:BGC101 AWG100:AWG101 AMK100:AMK101 ACO100:ACO101 ACO90:ACO91 SS98 ACO98 AMK98 AWG98 BGC98 BPY98 BZU98 CJQ98 CTM98 DDI98 DNE98 DXA98 EGW98 EQS98 FAO98 FKK98 FUG98 GEC98 GNY98 GXU98 HHQ98 HRM98 IBI98 ILE98 IVA98 JEW98 JOS98 JYO98 KIK98 KSG98 LCC98 LLY98 LVU98 MFQ98 MPM98 MZI98 NJE98 NTA98 OCW98 OMS98 OWO98 PGK98 PQG98 QAC98 QJY98 QTU98 RDQ98 RNM98 RXI98 SHE98 SRA98 TAW98 TKS98 TUO98 UEK98 UOG98 UYC98 VHY98 VRU98 WBQ98 WLM98 WVI98 IW98 SS90:SS91 IW90:IW91 WVI90:WVI91 WLM90:WLM91 WBQ90:WBQ91 VRU90:VRU91 VHY90:VHY91 UYC90:UYC91 UOG90:UOG91 UEK90:UEK91 TUO90:TUO91 TKS90:TKS91 TAW90:TAW91 SRA90:SRA91 SHE90:SHE91 RXI90:RXI91 RNM90:RNM91 RDQ90:RDQ91 QTU90:QTU91 QJY90:QJY91 QAC90:QAC91 PQG90:PQG91 PGK90:PGK91 OWO90:OWO91 OMS90:OMS91 OCW90:OCW91 NTA90:NTA91 NJE90:NJE91 MZI90:MZI91 MPM90:MPM91 MFQ90:MFQ91 LVU90:LVU91 LLY90:LLY91 LCC90:LCC91 KSG90:KSG91 KIK90:KIK91 JYO90:JYO91 JOS90:JOS91 JEW90:JEW91 IVA90:IVA91 ILE90:ILE91 IBI90:IBI91 HRM90:HRM91 HHQ90:HHQ91 GXU90:GXU91 GNY90:GNY91 GEC90:GEC91 FUG90:FUG91 FKK90:FKK91 FAO90:FAO91 EQS90:EQS91 EGW90:EGW91 DXA90:DXA91 DNE90:DNE91 DDI90:DDI91 CTM90:CTM91 CJQ90:CJQ91 BZU90:BZU91 BPY90:BPY91 BGC90:BGC91 AWG90:AWG91 AMK90:AMK91 ACO103:ACO108 SS103:SS108 IW103:IW108 WVI103:WVI108 WLM103:WLM108 WBQ103:WBQ108 VRU103:VRU108 VHY103:VHY108 UYC103:UYC108 UOG103:UOG108 UEK103:UEK108 TUO103:TUO108 TKS103:TKS108 TAW103:TAW108 SRA103:SRA108 SHE103:SHE108 RXI103:RXI108 RNM103:RNM108 RDQ103:RDQ108 QTU103:QTU108 QJY103:QJY108 QAC103:QAC108 PQG103:PQG108 PGK103:PGK108 OWO103:OWO108 OMS103:OMS108 OCW103:OCW108 NTA103:NTA108 NJE103:NJE108 MZI103:MZI108 MPM103:MPM108 MFQ103:MFQ108 LVU103:LVU108 LLY103:LLY108 LCC103:LCC108 KSG103:KSG108 KIK103:KIK108 JYO103:JYO108 JOS103:JOS108 JEW103:JEW108 IVA103:IVA108 ILE103:ILE108 IBI103:IBI108 HRM103:HRM108 HHQ103:HHQ108 GXU103:GXU108 GNY103:GNY108 GEC103:GEC108 FUG103:FUG108 FKK103:FKK108 FAO103:FAO108 EQS103:EQS108 EGW103:EGW108 DXA103:DXA108 DNE103:DNE108 DDI103:DDI108 CTM103:CTM108 CJQ103:CJQ108 BZU103:BZU108 BPY103:BPY108 BGC103:BGC108 AWG103:AWG108 AMK103:AMK108" xr:uid="{00000000-0002-0000-0000-000001000000}">
      <formula1>13</formula1>
    </dataValidation>
  </dataValidations>
  <pageMargins left="0.70866141732283472" right="0.70866141732283472" top="0.74803149606299213" bottom="0.74803149606299213" header="0.31496062992125984" footer="0.31496062992125984"/>
  <pageSetup paperSize="9" scale="30" fitToHeight="95" orientation="landscape" r:id="rId1"/>
  <ignoredErrors>
    <ignoredError sqref="AH436 AH690 AH733 AH489:AH490 AH635 AH609 AH589 AH460 AH187 AH451 AH89 AH137 AH599 AH68:AH69 AH768 AH819 AH466 AH206 AH229:AH231 AH271 AH315 AH280 AH5 AH633 AH565 AH519 AH388 AH640 AH619 AH253 AH572 AH93 AH65 AH427 AH409 AH779 AH776 AH240 AH242 AH277 AH250 AH448 AH483 AH395 AH814 AH477 AH432 AH262 AH772 AH216:AH217 AH26 AH148 AH517 AH407 AH82 AH166 AH471 AH415:AH416 AH80 AH406 AH200 AH434 AH38:AH39 AH40 AH604:AH605 AH602 AH84 AH724 AH318 AH117 AH154 AH535 AH542 AH513" formula="1"/>
    <ignoredError sqref="M329:N329 P770:P776 P784:P804 P806:P821 P778:P783" numberStoredAsText="1"/>
  </ignoredError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000-000002000000}">
          <x14:formula1>
            <xm:f>'C:\Users\stanitskaya\Desktop\Останкино_new\паспорта\колб_изделия_N\[колб_пф_таб_090125.xlsx]справочники'!#REF!</xm:f>
          </x14:formula1>
          <xm:sqref>P429:P431 P414</xm:sqref>
        </x14:dataValidation>
        <x14:dataValidation type="list" allowBlank="1" showInputMessage="1" showErrorMessage="1" xr:uid="{00000000-0002-0000-0000-000003000000}">
          <x14:formula1>
            <xm:f>справочники!$Q$2:$Q$9</xm:f>
          </x14:formula1>
          <xm:sqref>P415:P428 P3:P413 P432:P821</xm:sqref>
        </x14:dataValidation>
        <x14:dataValidation type="list" allowBlank="1" showInputMessage="1" showErrorMessage="1" xr:uid="{00000000-0002-0000-0000-000004000000}">
          <x14:formula1>
            <xm:f>справочники!$K$2:$K$69</xm:f>
          </x14:formula1>
          <xm:sqref>I3:I821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2">
    <pageSetUpPr fitToPage="1"/>
  </sheetPr>
  <dimension ref="A1:W236"/>
  <sheetViews>
    <sheetView topLeftCell="F1" workbookViewId="0">
      <pane ySplit="1" topLeftCell="A2" activePane="bottomLeft" state="frozen"/>
      <selection pane="bottomLeft" activeCell="W2" sqref="W2"/>
    </sheetView>
  </sheetViews>
  <sheetFormatPr defaultColWidth="9.140625" defaultRowHeight="15" x14ac:dyDescent="0.25"/>
  <cols>
    <col min="1" max="1" width="12.42578125" style="182" customWidth="1"/>
    <col min="2" max="2" width="56" style="183" bestFit="1" customWidth="1"/>
    <col min="3" max="4" width="14.85546875" style="184" customWidth="1"/>
    <col min="5" max="5" width="14.85546875" style="184" hidden="1" customWidth="1"/>
    <col min="6" max="6" width="12.5703125" style="183" bestFit="1" customWidth="1"/>
    <col min="7" max="8" width="9.140625" style="179"/>
    <col min="9" max="10" width="9.140625" style="102"/>
    <col min="11" max="11" width="28.140625" style="102" bestFit="1" customWidth="1"/>
    <col min="12" max="13" width="9.140625" style="102"/>
    <col min="14" max="14" width="28.140625" style="102" bestFit="1" customWidth="1"/>
    <col min="15" max="15" width="36.5703125" style="102" customWidth="1"/>
    <col min="16" max="16" width="9.140625" style="102"/>
    <col min="17" max="17" width="19.7109375" style="102" customWidth="1"/>
    <col min="18" max="18" width="9.140625" style="102"/>
    <col min="19" max="19" width="2" style="102" bestFit="1" customWidth="1"/>
    <col min="20" max="20" width="14.140625" style="102" bestFit="1" customWidth="1"/>
    <col min="21" max="21" width="15.140625" style="102" bestFit="1" customWidth="1"/>
    <col min="22" max="22" width="14.140625" style="102" bestFit="1" customWidth="1"/>
    <col min="23" max="23" width="15.140625" style="102" bestFit="1" customWidth="1"/>
    <col min="24" max="16384" width="9.140625" style="102"/>
  </cols>
  <sheetData>
    <row r="1" spans="1:23" ht="38.25" x14ac:dyDescent="0.25">
      <c r="A1" s="177" t="s">
        <v>469</v>
      </c>
      <c r="B1" s="178" t="s">
        <v>470</v>
      </c>
      <c r="C1" s="177" t="s">
        <v>471</v>
      </c>
      <c r="D1" s="177"/>
      <c r="E1" s="177"/>
      <c r="F1" s="177" t="s">
        <v>472</v>
      </c>
      <c r="K1" s="172" t="s">
        <v>400</v>
      </c>
      <c r="N1" s="172" t="s">
        <v>400</v>
      </c>
      <c r="O1" s="173" t="s">
        <v>401</v>
      </c>
      <c r="Q1" s="175" t="s">
        <v>467</v>
      </c>
      <c r="S1" s="263"/>
      <c r="T1" s="263" t="s">
        <v>522</v>
      </c>
      <c r="U1" s="263"/>
      <c r="V1" s="263"/>
      <c r="W1" s="263" t="s">
        <v>523</v>
      </c>
    </row>
    <row r="2" spans="1:23" ht="25.5" x14ac:dyDescent="0.25">
      <c r="A2" s="185">
        <v>600000010</v>
      </c>
      <c r="B2" s="186" t="s">
        <v>706</v>
      </c>
      <c r="C2" s="181">
        <v>0.33900000000000002</v>
      </c>
      <c r="D2" s="180"/>
      <c r="E2" s="180"/>
      <c r="F2" s="180"/>
      <c r="K2" s="170" t="s">
        <v>49</v>
      </c>
      <c r="N2" s="170" t="s">
        <v>49</v>
      </c>
      <c r="O2" s="174" t="s">
        <v>402</v>
      </c>
      <c r="Q2" s="176" t="s">
        <v>107</v>
      </c>
      <c r="S2" s="264">
        <v>1</v>
      </c>
      <c r="T2" s="264">
        <v>4630362183170</v>
      </c>
      <c r="U2" s="264" t="str">
        <f>CONCATENATE(S2,T2)</f>
        <v>14630362183170</v>
      </c>
      <c r="V2" s="264" t="str">
        <f>LEFT(U2,13)</f>
        <v>1463036218317</v>
      </c>
      <c r="W2" s="264">
        <f>V2*10+MOD(10-MOD(3*(MID(V2,1,1)+MID(V2,3,1)+MID(V2,5,1)+MID(V2,7,1)+MID(V2,9,1)+MID(V2,11,1)+MID(V2,13,1))+MID(V2,2,1)+MID(V2,4,1)+MID(V2,6,1)+MID(V2,8,1)+MID(V2,10,1)+MID(V2,12,1),10),10)</f>
        <v>14630362183177</v>
      </c>
    </row>
    <row r="3" spans="1:23" ht="25.5" x14ac:dyDescent="0.25">
      <c r="A3" s="290">
        <v>600000011</v>
      </c>
      <c r="B3" s="291" t="s">
        <v>473</v>
      </c>
      <c r="C3" s="292"/>
      <c r="D3" s="293"/>
      <c r="E3" s="293"/>
      <c r="F3" s="293" t="s">
        <v>748</v>
      </c>
      <c r="K3" s="170" t="s">
        <v>379</v>
      </c>
      <c r="N3" s="170" t="s">
        <v>49</v>
      </c>
      <c r="O3" s="174" t="s">
        <v>403</v>
      </c>
      <c r="Q3" s="176" t="s">
        <v>104</v>
      </c>
    </row>
    <row r="4" spans="1:23" ht="25.5" x14ac:dyDescent="0.25">
      <c r="A4" s="290">
        <v>600000012</v>
      </c>
      <c r="B4" s="291" t="s">
        <v>707</v>
      </c>
      <c r="C4" s="292"/>
      <c r="D4" s="293"/>
      <c r="E4" s="293"/>
      <c r="F4" s="293" t="s">
        <v>748</v>
      </c>
      <c r="K4" s="171" t="s">
        <v>156</v>
      </c>
      <c r="N4" s="170" t="s">
        <v>379</v>
      </c>
      <c r="O4" s="174" t="s">
        <v>404</v>
      </c>
      <c r="Q4" s="176" t="s">
        <v>106</v>
      </c>
    </row>
    <row r="5" spans="1:23" ht="25.5" x14ac:dyDescent="0.25">
      <c r="A5" s="185">
        <v>600000013</v>
      </c>
      <c r="B5" s="186" t="s">
        <v>708</v>
      </c>
      <c r="C5" s="181">
        <v>0.14099999999999999</v>
      </c>
      <c r="D5" s="180"/>
      <c r="E5" s="180"/>
      <c r="F5" s="180"/>
      <c r="K5" s="170" t="s">
        <v>189</v>
      </c>
      <c r="N5" s="171" t="s">
        <v>156</v>
      </c>
      <c r="O5" s="174" t="s">
        <v>405</v>
      </c>
      <c r="Q5" s="176" t="s">
        <v>468</v>
      </c>
    </row>
    <row r="6" spans="1:23" ht="25.5" x14ac:dyDescent="0.25">
      <c r="A6" s="290">
        <v>600000014</v>
      </c>
      <c r="B6" s="291" t="s">
        <v>264</v>
      </c>
      <c r="C6" s="292"/>
      <c r="D6" s="293"/>
      <c r="E6" s="293"/>
      <c r="F6" s="293" t="s">
        <v>505</v>
      </c>
      <c r="K6" s="170" t="s">
        <v>42</v>
      </c>
      <c r="N6" s="171" t="s">
        <v>156</v>
      </c>
      <c r="O6" s="174" t="s">
        <v>406</v>
      </c>
      <c r="Q6" s="176" t="s">
        <v>1241</v>
      </c>
    </row>
    <row r="7" spans="1:23" ht="25.5" x14ac:dyDescent="0.25">
      <c r="A7" s="290">
        <v>600000015</v>
      </c>
      <c r="B7" s="291" t="s">
        <v>474</v>
      </c>
      <c r="C7" s="292"/>
      <c r="D7" s="293"/>
      <c r="E7" s="293"/>
      <c r="F7" s="293" t="s">
        <v>748</v>
      </c>
      <c r="K7" s="170" t="s">
        <v>54</v>
      </c>
      <c r="N7" s="170" t="s">
        <v>189</v>
      </c>
      <c r="O7" s="174" t="s">
        <v>407</v>
      </c>
      <c r="Q7" s="176" t="s">
        <v>105</v>
      </c>
    </row>
    <row r="8" spans="1:23" ht="25.5" x14ac:dyDescent="0.25">
      <c r="A8" s="290">
        <v>600000016</v>
      </c>
      <c r="B8" s="291" t="s">
        <v>475</v>
      </c>
      <c r="C8" s="292"/>
      <c r="D8" s="293"/>
      <c r="E8" s="293"/>
      <c r="F8" s="293" t="s">
        <v>748</v>
      </c>
      <c r="K8" s="170" t="s">
        <v>63</v>
      </c>
      <c r="N8" s="170" t="s">
        <v>189</v>
      </c>
      <c r="O8" s="174" t="s">
        <v>408</v>
      </c>
      <c r="Q8" s="176" t="s">
        <v>199</v>
      </c>
    </row>
    <row r="9" spans="1:23" ht="25.5" x14ac:dyDescent="0.25">
      <c r="A9" s="185">
        <v>600000017</v>
      </c>
      <c r="B9" s="186" t="s">
        <v>709</v>
      </c>
      <c r="C9" s="181">
        <v>0.34899999999999998</v>
      </c>
      <c r="D9" s="180"/>
      <c r="E9" s="180"/>
      <c r="F9" s="180"/>
      <c r="K9" s="170" t="s">
        <v>380</v>
      </c>
      <c r="N9" s="170" t="s">
        <v>42</v>
      </c>
      <c r="O9" s="174" t="s">
        <v>409</v>
      </c>
      <c r="Q9" s="176" t="s">
        <v>108</v>
      </c>
    </row>
    <row r="10" spans="1:23" ht="25.5" x14ac:dyDescent="0.25">
      <c r="A10" s="185">
        <v>600000018</v>
      </c>
      <c r="B10" s="186" t="s">
        <v>710</v>
      </c>
      <c r="C10" s="181">
        <v>0.161</v>
      </c>
      <c r="D10" s="180"/>
      <c r="E10" s="180"/>
      <c r="F10" s="180"/>
      <c r="K10" s="170" t="s">
        <v>1029</v>
      </c>
      <c r="N10" s="170" t="s">
        <v>54</v>
      </c>
      <c r="O10" s="174" t="s">
        <v>410</v>
      </c>
    </row>
    <row r="11" spans="1:23" ht="25.5" x14ac:dyDescent="0.25">
      <c r="A11" s="185">
        <v>600000019</v>
      </c>
      <c r="B11" s="186" t="s">
        <v>711</v>
      </c>
      <c r="C11" s="181">
        <v>0.114</v>
      </c>
      <c r="D11" s="180"/>
      <c r="E11" s="180"/>
      <c r="F11" s="180"/>
      <c r="K11" s="170" t="s">
        <v>127</v>
      </c>
      <c r="N11" s="170" t="s">
        <v>54</v>
      </c>
      <c r="O11" s="174" t="s">
        <v>411</v>
      </c>
    </row>
    <row r="12" spans="1:23" ht="25.5" x14ac:dyDescent="0.25">
      <c r="A12" s="290">
        <v>600000020</v>
      </c>
      <c r="B12" s="291" t="s">
        <v>476</v>
      </c>
      <c r="C12" s="292"/>
      <c r="D12" s="293"/>
      <c r="E12" s="293"/>
      <c r="F12" s="293" t="s">
        <v>748</v>
      </c>
      <c r="K12" s="170" t="s">
        <v>2051</v>
      </c>
      <c r="N12" s="170" t="s">
        <v>63</v>
      </c>
      <c r="O12" s="174" t="s">
        <v>466</v>
      </c>
    </row>
    <row r="13" spans="1:23" ht="25.5" x14ac:dyDescent="0.25">
      <c r="A13" s="185">
        <v>600000021</v>
      </c>
      <c r="B13" s="186" t="s">
        <v>712</v>
      </c>
      <c r="C13" s="181">
        <v>0.26800000000000002</v>
      </c>
      <c r="D13" s="180"/>
      <c r="E13" s="180"/>
      <c r="F13" s="180"/>
      <c r="K13" s="170" t="s">
        <v>2033</v>
      </c>
      <c r="N13" s="170" t="s">
        <v>380</v>
      </c>
      <c r="O13" s="174" t="s">
        <v>408</v>
      </c>
    </row>
    <row r="14" spans="1:23" ht="25.5" x14ac:dyDescent="0.25">
      <c r="A14" s="290">
        <v>600000022</v>
      </c>
      <c r="B14" s="291" t="s">
        <v>477</v>
      </c>
      <c r="C14" s="292"/>
      <c r="D14" s="293"/>
      <c r="E14" s="293"/>
      <c r="F14" s="293" t="s">
        <v>748</v>
      </c>
      <c r="K14" s="170" t="s">
        <v>1065</v>
      </c>
      <c r="N14" s="170" t="s">
        <v>380</v>
      </c>
      <c r="O14" s="174" t="s">
        <v>412</v>
      </c>
    </row>
    <row r="15" spans="1:23" ht="25.5" x14ac:dyDescent="0.25">
      <c r="A15" s="185">
        <v>600000023</v>
      </c>
      <c r="B15" s="186" t="s">
        <v>713</v>
      </c>
      <c r="C15" s="181">
        <v>0.26700000000000002</v>
      </c>
      <c r="D15" s="180"/>
      <c r="E15" s="180"/>
      <c r="F15" s="180"/>
      <c r="K15" s="170" t="s">
        <v>381</v>
      </c>
      <c r="N15" s="170" t="s">
        <v>380</v>
      </c>
      <c r="O15" s="174" t="s">
        <v>413</v>
      </c>
    </row>
    <row r="16" spans="1:23" ht="25.5" x14ac:dyDescent="0.25">
      <c r="A16" s="290">
        <v>600000024</v>
      </c>
      <c r="B16" s="291" t="s">
        <v>478</v>
      </c>
      <c r="C16" s="292"/>
      <c r="D16" s="293"/>
      <c r="E16" s="293"/>
      <c r="F16" s="293" t="s">
        <v>748</v>
      </c>
      <c r="K16" s="170" t="s">
        <v>119</v>
      </c>
      <c r="N16" s="170" t="s">
        <v>127</v>
      </c>
      <c r="O16" s="174" t="s">
        <v>414</v>
      </c>
    </row>
    <row r="17" spans="1:15" ht="25.5" x14ac:dyDescent="0.25">
      <c r="A17" s="185">
        <v>600000025</v>
      </c>
      <c r="B17" s="186" t="s">
        <v>714</v>
      </c>
      <c r="C17" s="181">
        <v>0.17499999999999999</v>
      </c>
      <c r="D17" s="180"/>
      <c r="E17" s="180"/>
      <c r="F17" s="180"/>
      <c r="K17" s="170" t="s">
        <v>234</v>
      </c>
      <c r="N17" s="170" t="s">
        <v>381</v>
      </c>
      <c r="O17" s="174" t="s">
        <v>415</v>
      </c>
    </row>
    <row r="18" spans="1:15" ht="25.5" x14ac:dyDescent="0.25">
      <c r="A18" s="185">
        <v>600000026</v>
      </c>
      <c r="B18" s="186" t="s">
        <v>715</v>
      </c>
      <c r="C18" s="181">
        <v>0.20799999999999999</v>
      </c>
      <c r="D18" s="180"/>
      <c r="E18" s="180"/>
      <c r="F18" s="180"/>
      <c r="K18" s="170" t="s">
        <v>382</v>
      </c>
      <c r="N18" s="170" t="s">
        <v>119</v>
      </c>
      <c r="O18" s="174" t="s">
        <v>416</v>
      </c>
    </row>
    <row r="19" spans="1:15" ht="25.5" x14ac:dyDescent="0.25">
      <c r="A19" s="290">
        <v>600000027</v>
      </c>
      <c r="B19" s="291" t="s">
        <v>479</v>
      </c>
      <c r="C19" s="292"/>
      <c r="D19" s="293"/>
      <c r="E19" s="293"/>
      <c r="F19" s="293" t="s">
        <v>748</v>
      </c>
      <c r="K19" s="170" t="s">
        <v>383</v>
      </c>
      <c r="N19" s="170" t="s">
        <v>234</v>
      </c>
      <c r="O19" s="174" t="s">
        <v>417</v>
      </c>
    </row>
    <row r="20" spans="1:15" ht="25.5" x14ac:dyDescent="0.25">
      <c r="A20" s="290">
        <v>600000028</v>
      </c>
      <c r="B20" s="291" t="s">
        <v>220</v>
      </c>
      <c r="C20" s="292"/>
      <c r="D20" s="293"/>
      <c r="E20" s="293"/>
      <c r="F20" s="293" t="s">
        <v>748</v>
      </c>
      <c r="K20" s="170" t="s">
        <v>384</v>
      </c>
      <c r="N20" s="170" t="s">
        <v>382</v>
      </c>
      <c r="O20" s="174" t="s">
        <v>418</v>
      </c>
    </row>
    <row r="21" spans="1:15" ht="25.5" x14ac:dyDescent="0.25">
      <c r="A21" s="185">
        <v>600000029</v>
      </c>
      <c r="B21" s="186" t="s">
        <v>716</v>
      </c>
      <c r="C21" s="181">
        <v>0.125</v>
      </c>
      <c r="D21" s="180"/>
      <c r="E21" s="180"/>
      <c r="F21" s="180"/>
      <c r="K21" s="170" t="s">
        <v>385</v>
      </c>
      <c r="N21" s="170" t="s">
        <v>383</v>
      </c>
      <c r="O21" s="174" t="s">
        <v>419</v>
      </c>
    </row>
    <row r="22" spans="1:15" ht="25.5" x14ac:dyDescent="0.25">
      <c r="A22" s="185">
        <v>600000030</v>
      </c>
      <c r="B22" s="186" t="s">
        <v>717</v>
      </c>
      <c r="C22" s="181">
        <v>0.127</v>
      </c>
      <c r="D22" s="180"/>
      <c r="E22" s="180"/>
      <c r="F22" s="180"/>
      <c r="K22" s="170" t="s">
        <v>386</v>
      </c>
      <c r="N22" s="170" t="s">
        <v>383</v>
      </c>
      <c r="O22" s="174" t="s">
        <v>420</v>
      </c>
    </row>
    <row r="23" spans="1:15" ht="25.5" x14ac:dyDescent="0.25">
      <c r="A23" s="185">
        <v>600000031</v>
      </c>
      <c r="B23" s="186" t="s">
        <v>718</v>
      </c>
      <c r="C23" s="181">
        <v>0.17199999999999999</v>
      </c>
      <c r="D23" s="180"/>
      <c r="E23" s="180"/>
      <c r="F23" s="180"/>
      <c r="K23" s="170" t="s">
        <v>387</v>
      </c>
      <c r="N23" s="170" t="s">
        <v>384</v>
      </c>
      <c r="O23" s="174" t="s">
        <v>421</v>
      </c>
    </row>
    <row r="24" spans="1:15" ht="38.25" x14ac:dyDescent="0.25">
      <c r="A24" s="290">
        <v>600000032</v>
      </c>
      <c r="B24" s="291" t="s">
        <v>480</v>
      </c>
      <c r="C24" s="292"/>
      <c r="D24" s="293"/>
      <c r="E24" s="293"/>
      <c r="F24" s="293" t="s">
        <v>748</v>
      </c>
      <c r="K24" s="170" t="s">
        <v>1936</v>
      </c>
      <c r="N24" s="170" t="s">
        <v>384</v>
      </c>
      <c r="O24" s="174" t="s">
        <v>422</v>
      </c>
    </row>
    <row r="25" spans="1:15" ht="38.25" x14ac:dyDescent="0.25">
      <c r="A25" s="185">
        <v>600000033</v>
      </c>
      <c r="B25" s="186" t="s">
        <v>719</v>
      </c>
      <c r="C25" s="181">
        <v>0.104</v>
      </c>
      <c r="D25" s="180"/>
      <c r="E25" s="180"/>
      <c r="F25" s="180"/>
      <c r="K25" s="171" t="s">
        <v>276</v>
      </c>
      <c r="N25" s="170" t="s">
        <v>384</v>
      </c>
      <c r="O25" s="174" t="s">
        <v>460</v>
      </c>
    </row>
    <row r="26" spans="1:15" ht="25.5" x14ac:dyDescent="0.25">
      <c r="A26" s="290">
        <v>600000034</v>
      </c>
      <c r="B26" s="291" t="s">
        <v>481</v>
      </c>
      <c r="C26" s="292"/>
      <c r="D26" s="293"/>
      <c r="E26" s="293"/>
      <c r="F26" s="293" t="s">
        <v>748</v>
      </c>
      <c r="K26" s="170" t="s">
        <v>1225</v>
      </c>
      <c r="N26" s="170" t="s">
        <v>385</v>
      </c>
      <c r="O26" s="174" t="s">
        <v>423</v>
      </c>
    </row>
    <row r="27" spans="1:15" ht="25.5" x14ac:dyDescent="0.25">
      <c r="A27" s="185">
        <v>600000035</v>
      </c>
      <c r="B27" s="186" t="s">
        <v>482</v>
      </c>
      <c r="C27" s="181"/>
      <c r="D27" s="180"/>
      <c r="E27" s="180"/>
      <c r="F27" s="180"/>
      <c r="K27" s="170" t="s">
        <v>377</v>
      </c>
      <c r="N27" s="170" t="s">
        <v>642</v>
      </c>
      <c r="O27" s="174" t="s">
        <v>641</v>
      </c>
    </row>
    <row r="28" spans="1:15" ht="25.5" x14ac:dyDescent="0.25">
      <c r="A28" s="185">
        <v>600000036</v>
      </c>
      <c r="B28" s="186" t="s">
        <v>483</v>
      </c>
      <c r="C28" s="181"/>
      <c r="D28" s="180"/>
      <c r="E28" s="180"/>
      <c r="F28" s="180"/>
      <c r="K28" s="170" t="s">
        <v>388</v>
      </c>
      <c r="N28" s="170" t="s">
        <v>385</v>
      </c>
      <c r="O28" s="174" t="s">
        <v>424</v>
      </c>
    </row>
    <row r="29" spans="1:15" ht="25.5" x14ac:dyDescent="0.25">
      <c r="A29" s="290">
        <v>600000080</v>
      </c>
      <c r="B29" s="291" t="s">
        <v>484</v>
      </c>
      <c r="C29" s="292"/>
      <c r="D29" s="293"/>
      <c r="E29" s="293"/>
      <c r="F29" s="293" t="s">
        <v>748</v>
      </c>
      <c r="K29" s="170" t="s">
        <v>392</v>
      </c>
      <c r="N29" s="170" t="s">
        <v>385</v>
      </c>
      <c r="O29" s="174" t="s">
        <v>425</v>
      </c>
    </row>
    <row r="30" spans="1:15" ht="25.5" x14ac:dyDescent="0.25">
      <c r="A30" s="290">
        <v>600000090</v>
      </c>
      <c r="B30" s="291" t="s">
        <v>485</v>
      </c>
      <c r="C30" s="292"/>
      <c r="D30" s="293"/>
      <c r="E30" s="293"/>
      <c r="F30" s="293" t="s">
        <v>748</v>
      </c>
      <c r="K30" s="170" t="s">
        <v>378</v>
      </c>
      <c r="N30" s="170" t="s">
        <v>386</v>
      </c>
      <c r="O30" s="174" t="s">
        <v>426</v>
      </c>
    </row>
    <row r="31" spans="1:15" ht="25.5" x14ac:dyDescent="0.25">
      <c r="A31" s="185">
        <v>600000091</v>
      </c>
      <c r="B31" s="186" t="s">
        <v>486</v>
      </c>
      <c r="C31" s="181"/>
      <c r="D31" s="180"/>
      <c r="E31" s="180"/>
      <c r="F31" s="180"/>
      <c r="K31" s="170" t="s">
        <v>1395</v>
      </c>
      <c r="N31" s="170" t="s">
        <v>386</v>
      </c>
      <c r="O31" s="174" t="s">
        <v>427</v>
      </c>
    </row>
    <row r="32" spans="1:15" ht="25.5" x14ac:dyDescent="0.25">
      <c r="A32" s="290">
        <v>600000100</v>
      </c>
      <c r="B32" s="291" t="s">
        <v>487</v>
      </c>
      <c r="C32" s="292"/>
      <c r="D32" s="293"/>
      <c r="E32" s="293"/>
      <c r="F32" s="293" t="s">
        <v>748</v>
      </c>
      <c r="K32" s="170" t="s">
        <v>1950</v>
      </c>
      <c r="N32" s="170" t="s">
        <v>387</v>
      </c>
      <c r="O32" s="174" t="s">
        <v>428</v>
      </c>
    </row>
    <row r="33" spans="1:15" ht="25.5" x14ac:dyDescent="0.25">
      <c r="A33" s="290">
        <v>600000102</v>
      </c>
      <c r="B33" s="291" t="s">
        <v>488</v>
      </c>
      <c r="C33" s="292"/>
      <c r="D33" s="293"/>
      <c r="E33" s="293"/>
      <c r="F33" s="293" t="s">
        <v>748</v>
      </c>
      <c r="K33" s="170" t="s">
        <v>1693</v>
      </c>
      <c r="N33" s="170" t="s">
        <v>640</v>
      </c>
      <c r="O33" s="174" t="s">
        <v>639</v>
      </c>
    </row>
    <row r="34" spans="1:15" ht="25.5" x14ac:dyDescent="0.25">
      <c r="A34" s="290">
        <v>600000103</v>
      </c>
      <c r="B34" s="291" t="s">
        <v>489</v>
      </c>
      <c r="C34" s="292"/>
      <c r="D34" s="293"/>
      <c r="E34" s="293"/>
      <c r="F34" s="293" t="s">
        <v>748</v>
      </c>
      <c r="K34" s="170" t="s">
        <v>393</v>
      </c>
      <c r="N34" s="170" t="s">
        <v>387</v>
      </c>
      <c r="O34" s="174" t="s">
        <v>429</v>
      </c>
    </row>
    <row r="35" spans="1:15" ht="25.5" x14ac:dyDescent="0.25">
      <c r="A35" s="290">
        <v>600000104</v>
      </c>
      <c r="B35" s="291" t="s">
        <v>490</v>
      </c>
      <c r="C35" s="292"/>
      <c r="D35" s="293"/>
      <c r="E35" s="293"/>
      <c r="F35" s="293" t="s">
        <v>748</v>
      </c>
      <c r="K35" s="170" t="s">
        <v>389</v>
      </c>
      <c r="N35" s="170" t="s">
        <v>387</v>
      </c>
      <c r="O35" s="174" t="s">
        <v>430</v>
      </c>
    </row>
    <row r="36" spans="1:15" ht="38.25" x14ac:dyDescent="0.25">
      <c r="A36" s="290">
        <v>600000105</v>
      </c>
      <c r="B36" s="291" t="s">
        <v>491</v>
      </c>
      <c r="C36" s="292"/>
      <c r="D36" s="293"/>
      <c r="E36" s="293"/>
      <c r="F36" s="293" t="s">
        <v>748</v>
      </c>
      <c r="K36" s="170" t="s">
        <v>685</v>
      </c>
      <c r="N36" s="171" t="s">
        <v>276</v>
      </c>
      <c r="O36" s="174" t="s">
        <v>431</v>
      </c>
    </row>
    <row r="37" spans="1:15" ht="38.25" x14ac:dyDescent="0.25">
      <c r="A37" s="290">
        <v>600000111</v>
      </c>
      <c r="B37" s="291" t="s">
        <v>492</v>
      </c>
      <c r="C37" s="292"/>
      <c r="D37" s="293"/>
      <c r="E37" s="293"/>
      <c r="F37" s="293" t="s">
        <v>748</v>
      </c>
      <c r="K37" s="170" t="s">
        <v>672</v>
      </c>
      <c r="N37" s="171" t="s">
        <v>276</v>
      </c>
      <c r="O37" s="174" t="s">
        <v>432</v>
      </c>
    </row>
    <row r="38" spans="1:15" ht="38.25" x14ac:dyDescent="0.25">
      <c r="A38" s="290">
        <v>600000112</v>
      </c>
      <c r="B38" s="291" t="s">
        <v>493</v>
      </c>
      <c r="C38" s="292"/>
      <c r="D38" s="293"/>
      <c r="E38" s="293"/>
      <c r="F38" s="293" t="s">
        <v>748</v>
      </c>
      <c r="K38" s="170" t="s">
        <v>682</v>
      </c>
      <c r="N38" s="171" t="s">
        <v>276</v>
      </c>
      <c r="O38" s="174" t="s">
        <v>433</v>
      </c>
    </row>
    <row r="39" spans="1:15" ht="38.25" x14ac:dyDescent="0.25">
      <c r="A39" s="290">
        <v>600000113</v>
      </c>
      <c r="B39" s="291" t="s">
        <v>494</v>
      </c>
      <c r="C39" s="292"/>
      <c r="D39" s="293"/>
      <c r="E39" s="293"/>
      <c r="F39" s="293" t="s">
        <v>748</v>
      </c>
      <c r="K39" s="170" t="s">
        <v>922</v>
      </c>
      <c r="N39" s="171" t="s">
        <v>276</v>
      </c>
      <c r="O39" s="174" t="s">
        <v>434</v>
      </c>
    </row>
    <row r="40" spans="1:15" ht="38.25" x14ac:dyDescent="0.25">
      <c r="A40" s="290">
        <v>600000114</v>
      </c>
      <c r="B40" s="291" t="s">
        <v>495</v>
      </c>
      <c r="C40" s="292"/>
      <c r="D40" s="293"/>
      <c r="E40" s="293"/>
      <c r="F40" s="293" t="s">
        <v>748</v>
      </c>
      <c r="K40" s="170" t="s">
        <v>901</v>
      </c>
      <c r="N40" s="171" t="s">
        <v>276</v>
      </c>
      <c r="O40" s="174" t="s">
        <v>435</v>
      </c>
    </row>
    <row r="41" spans="1:15" ht="38.25" x14ac:dyDescent="0.25">
      <c r="A41" s="185">
        <v>600000122</v>
      </c>
      <c r="B41" s="186" t="s">
        <v>720</v>
      </c>
      <c r="C41" s="181">
        <v>0.21199999999999999</v>
      </c>
      <c r="D41" s="180"/>
      <c r="E41" s="180"/>
      <c r="F41" s="180"/>
      <c r="K41" s="170" t="s">
        <v>903</v>
      </c>
      <c r="N41" s="171" t="s">
        <v>276</v>
      </c>
      <c r="O41" s="174" t="s">
        <v>436</v>
      </c>
    </row>
    <row r="42" spans="1:15" ht="38.25" x14ac:dyDescent="0.25">
      <c r="A42" s="290">
        <v>600000130</v>
      </c>
      <c r="B42" s="291" t="s">
        <v>496</v>
      </c>
      <c r="C42" s="292"/>
      <c r="D42" s="293"/>
      <c r="E42" s="293"/>
      <c r="F42" s="293" t="s">
        <v>748</v>
      </c>
      <c r="K42" s="170" t="s">
        <v>939</v>
      </c>
      <c r="N42" s="171" t="s">
        <v>276</v>
      </c>
      <c r="O42" s="174" t="s">
        <v>437</v>
      </c>
    </row>
    <row r="43" spans="1:15" ht="38.25" x14ac:dyDescent="0.25">
      <c r="A43" s="185">
        <v>600000150</v>
      </c>
      <c r="B43" s="186" t="s">
        <v>721</v>
      </c>
      <c r="C43" s="181">
        <v>8.5999999999999993E-2</v>
      </c>
      <c r="D43" s="180"/>
      <c r="E43" s="180"/>
      <c r="F43" s="180"/>
      <c r="K43" s="170" t="s">
        <v>917</v>
      </c>
      <c r="N43" s="171" t="s">
        <v>276</v>
      </c>
      <c r="O43" s="174" t="s">
        <v>438</v>
      </c>
    </row>
    <row r="44" spans="1:15" ht="38.25" x14ac:dyDescent="0.25">
      <c r="A44" s="290">
        <v>600000160</v>
      </c>
      <c r="B44" s="291" t="s">
        <v>497</v>
      </c>
      <c r="C44" s="292"/>
      <c r="D44" s="293"/>
      <c r="E44" s="293"/>
      <c r="F44" s="293" t="s">
        <v>748</v>
      </c>
      <c r="K44" s="170" t="s">
        <v>877</v>
      </c>
      <c r="N44" s="171" t="s">
        <v>276</v>
      </c>
      <c r="O44" s="174" t="s">
        <v>439</v>
      </c>
    </row>
    <row r="45" spans="1:15" ht="38.25" x14ac:dyDescent="0.25">
      <c r="A45" s="290">
        <v>600000170</v>
      </c>
      <c r="B45" s="291" t="s">
        <v>498</v>
      </c>
      <c r="C45" s="292"/>
      <c r="D45" s="293"/>
      <c r="E45" s="293"/>
      <c r="F45" s="293" t="s">
        <v>748</v>
      </c>
      <c r="K45" s="170" t="s">
        <v>973</v>
      </c>
      <c r="N45" s="171" t="s">
        <v>276</v>
      </c>
      <c r="O45" s="174" t="s">
        <v>440</v>
      </c>
    </row>
    <row r="46" spans="1:15" ht="38.25" x14ac:dyDescent="0.25">
      <c r="A46" s="185">
        <v>600000191</v>
      </c>
      <c r="B46" s="186" t="s">
        <v>722</v>
      </c>
      <c r="C46" s="181">
        <v>0.152</v>
      </c>
      <c r="D46" s="180"/>
      <c r="E46" s="180"/>
      <c r="F46" s="180"/>
      <c r="K46" s="170" t="s">
        <v>1001</v>
      </c>
      <c r="N46" s="171" t="s">
        <v>276</v>
      </c>
      <c r="O46" s="174" t="s">
        <v>441</v>
      </c>
    </row>
    <row r="47" spans="1:15" ht="38.25" x14ac:dyDescent="0.25">
      <c r="A47" s="290">
        <v>600000212</v>
      </c>
      <c r="B47" s="291" t="s">
        <v>79</v>
      </c>
      <c r="C47" s="292"/>
      <c r="D47" s="293"/>
      <c r="E47" s="293"/>
      <c r="F47" s="293" t="s">
        <v>748</v>
      </c>
      <c r="K47" s="170" t="s">
        <v>1455</v>
      </c>
      <c r="N47" s="171" t="s">
        <v>276</v>
      </c>
      <c r="O47" s="174" t="s">
        <v>442</v>
      </c>
    </row>
    <row r="48" spans="1:15" ht="38.25" x14ac:dyDescent="0.25">
      <c r="A48" s="290">
        <v>600000213</v>
      </c>
      <c r="B48" s="291" t="s">
        <v>499</v>
      </c>
      <c r="C48" s="292"/>
      <c r="D48" s="293"/>
      <c r="E48" s="293"/>
      <c r="F48" s="293" t="s">
        <v>748</v>
      </c>
      <c r="K48" s="170" t="s">
        <v>1475</v>
      </c>
      <c r="N48" s="171" t="s">
        <v>276</v>
      </c>
      <c r="O48" s="174" t="s">
        <v>443</v>
      </c>
    </row>
    <row r="49" spans="1:16" ht="38.25" x14ac:dyDescent="0.25">
      <c r="A49" s="185">
        <v>600000220</v>
      </c>
      <c r="B49" s="186" t="s">
        <v>723</v>
      </c>
      <c r="C49" s="181">
        <v>0.105</v>
      </c>
      <c r="D49" s="180"/>
      <c r="E49" s="180"/>
      <c r="F49" s="180"/>
      <c r="K49" s="170" t="s">
        <v>1470</v>
      </c>
      <c r="N49" s="171" t="s">
        <v>276</v>
      </c>
      <c r="O49" s="174" t="s">
        <v>444</v>
      </c>
    </row>
    <row r="50" spans="1:16" ht="38.25" x14ac:dyDescent="0.25">
      <c r="A50" s="290">
        <v>600000221</v>
      </c>
      <c r="B50" s="291" t="s">
        <v>500</v>
      </c>
      <c r="C50" s="292"/>
      <c r="D50" s="293"/>
      <c r="E50" s="293"/>
      <c r="F50" s="293" t="s">
        <v>748</v>
      </c>
      <c r="K50" s="170" t="s">
        <v>1566</v>
      </c>
      <c r="N50" s="171" t="s">
        <v>276</v>
      </c>
      <c r="O50" s="174" t="s">
        <v>445</v>
      </c>
    </row>
    <row r="51" spans="1:16" ht="25.5" x14ac:dyDescent="0.25">
      <c r="A51" s="185">
        <v>600000230</v>
      </c>
      <c r="B51" s="186" t="s">
        <v>724</v>
      </c>
      <c r="C51" s="181">
        <v>0.152</v>
      </c>
      <c r="D51" s="180"/>
      <c r="E51" s="180"/>
      <c r="F51" s="180"/>
      <c r="K51" s="170" t="s">
        <v>1940</v>
      </c>
      <c r="N51" s="171" t="s">
        <v>276</v>
      </c>
      <c r="O51" s="174" t="s">
        <v>446</v>
      </c>
    </row>
    <row r="52" spans="1:16" ht="25.5" x14ac:dyDescent="0.25">
      <c r="A52" s="290">
        <v>600000240</v>
      </c>
      <c r="B52" s="291" t="s">
        <v>501</v>
      </c>
      <c r="C52" s="292"/>
      <c r="D52" s="293"/>
      <c r="E52" s="293"/>
      <c r="F52" s="293" t="s">
        <v>748</v>
      </c>
      <c r="K52" s="170" t="s">
        <v>2090</v>
      </c>
      <c r="N52" s="171" t="s">
        <v>276</v>
      </c>
      <c r="O52" s="174" t="s">
        <v>447</v>
      </c>
    </row>
    <row r="53" spans="1:16" ht="25.5" x14ac:dyDescent="0.25">
      <c r="A53" s="185">
        <v>600000250</v>
      </c>
      <c r="B53" s="186" t="s">
        <v>725</v>
      </c>
      <c r="C53" s="181">
        <v>7.5999999999999998E-2</v>
      </c>
      <c r="D53" s="180"/>
      <c r="E53" s="180"/>
      <c r="F53" s="180"/>
      <c r="K53" s="170" t="s">
        <v>1939</v>
      </c>
      <c r="N53" s="170" t="s">
        <v>377</v>
      </c>
      <c r="O53" s="174" t="s">
        <v>446</v>
      </c>
    </row>
    <row r="54" spans="1:16" ht="25.5" x14ac:dyDescent="0.25">
      <c r="A54" s="185">
        <v>600000260</v>
      </c>
      <c r="B54" s="186" t="s">
        <v>726</v>
      </c>
      <c r="C54" s="181">
        <v>0.17699999999999999</v>
      </c>
      <c r="D54" s="180"/>
      <c r="E54" s="180"/>
      <c r="F54" s="180"/>
      <c r="K54" s="170" t="s">
        <v>1941</v>
      </c>
      <c r="N54" s="170" t="s">
        <v>377</v>
      </c>
      <c r="O54" s="174" t="s">
        <v>447</v>
      </c>
    </row>
    <row r="55" spans="1:16" ht="25.5" x14ac:dyDescent="0.25">
      <c r="A55" s="290">
        <v>600000261</v>
      </c>
      <c r="B55" s="291" t="s">
        <v>502</v>
      </c>
      <c r="C55" s="292"/>
      <c r="D55" s="293"/>
      <c r="E55" s="293"/>
      <c r="F55" s="293" t="s">
        <v>748</v>
      </c>
      <c r="K55" s="170" t="s">
        <v>2087</v>
      </c>
      <c r="N55" s="170" t="s">
        <v>388</v>
      </c>
      <c r="O55" s="174" t="s">
        <v>448</v>
      </c>
    </row>
    <row r="56" spans="1:16" ht="25.5" x14ac:dyDescent="0.25">
      <c r="A56" s="290">
        <v>600000271</v>
      </c>
      <c r="B56" s="291" t="s">
        <v>134</v>
      </c>
      <c r="C56" s="292"/>
      <c r="D56" s="293"/>
      <c r="E56" s="293"/>
      <c r="F56" s="293" t="s">
        <v>748</v>
      </c>
      <c r="K56" s="170" t="s">
        <v>1983</v>
      </c>
      <c r="N56" s="170" t="s">
        <v>392</v>
      </c>
      <c r="O56" s="174" t="s">
        <v>449</v>
      </c>
    </row>
    <row r="57" spans="1:16" ht="25.5" x14ac:dyDescent="0.25">
      <c r="A57" s="185">
        <v>600000280</v>
      </c>
      <c r="B57" s="186" t="s">
        <v>727</v>
      </c>
      <c r="C57" s="181">
        <v>0.371</v>
      </c>
      <c r="D57" s="180"/>
      <c r="E57" s="180"/>
      <c r="F57" s="180"/>
      <c r="K57" s="170" t="s">
        <v>1988</v>
      </c>
      <c r="N57" s="170" t="s">
        <v>378</v>
      </c>
      <c r="O57" s="174" t="s">
        <v>446</v>
      </c>
    </row>
    <row r="58" spans="1:16" ht="25.5" customHeight="1" x14ac:dyDescent="0.25">
      <c r="A58" s="290">
        <v>600000282</v>
      </c>
      <c r="B58" s="291" t="s">
        <v>503</v>
      </c>
      <c r="C58" s="292"/>
      <c r="D58" s="293"/>
      <c r="E58" s="293"/>
      <c r="F58" s="293" t="s">
        <v>748</v>
      </c>
      <c r="K58" s="170" t="s">
        <v>197</v>
      </c>
      <c r="N58" s="170" t="s">
        <v>1395</v>
      </c>
      <c r="O58" s="174" t="s">
        <v>450</v>
      </c>
    </row>
    <row r="59" spans="1:16" ht="25.5" x14ac:dyDescent="0.25">
      <c r="A59" s="185">
        <v>600000290</v>
      </c>
      <c r="B59" s="186" t="s">
        <v>728</v>
      </c>
      <c r="C59" s="181">
        <v>0.35199999999999998</v>
      </c>
      <c r="D59" s="180"/>
      <c r="E59" s="180"/>
      <c r="F59" s="180"/>
      <c r="K59" s="170" t="s">
        <v>243</v>
      </c>
      <c r="N59" s="170" t="s">
        <v>393</v>
      </c>
      <c r="O59" s="174" t="s">
        <v>402</v>
      </c>
    </row>
    <row r="60" spans="1:16" ht="25.5" x14ac:dyDescent="0.25">
      <c r="A60" s="185">
        <v>600000300</v>
      </c>
      <c r="B60" s="186" t="s">
        <v>729</v>
      </c>
      <c r="C60" s="181">
        <v>0.61499999999999999</v>
      </c>
      <c r="D60" s="180"/>
      <c r="E60" s="180"/>
      <c r="F60" s="180"/>
      <c r="K60" s="170" t="s">
        <v>394</v>
      </c>
      <c r="N60" s="170" t="s">
        <v>393</v>
      </c>
      <c r="O60" s="174" t="s">
        <v>403</v>
      </c>
    </row>
    <row r="61" spans="1:16" ht="25.5" x14ac:dyDescent="0.25">
      <c r="A61" s="290">
        <v>600000310</v>
      </c>
      <c r="B61" s="291" t="s">
        <v>200</v>
      </c>
      <c r="C61" s="292"/>
      <c r="D61" s="293"/>
      <c r="E61" s="293"/>
      <c r="F61" s="293" t="s">
        <v>748</v>
      </c>
      <c r="K61" s="170" t="s">
        <v>395</v>
      </c>
      <c r="N61" s="170" t="s">
        <v>389</v>
      </c>
      <c r="O61" s="174" t="s">
        <v>451</v>
      </c>
    </row>
    <row r="62" spans="1:16" ht="25.5" x14ac:dyDescent="0.25">
      <c r="A62" s="185">
        <v>600000313</v>
      </c>
      <c r="B62" s="186" t="s">
        <v>730</v>
      </c>
      <c r="C62" s="181">
        <v>0.53100000000000003</v>
      </c>
      <c r="D62" s="180"/>
      <c r="E62" s="180"/>
      <c r="F62" s="180"/>
      <c r="K62" s="170" t="s">
        <v>396</v>
      </c>
      <c r="N62" s="170" t="s">
        <v>672</v>
      </c>
      <c r="O62" s="174" t="s">
        <v>675</v>
      </c>
    </row>
    <row r="63" spans="1:16" ht="25.5" customHeight="1" x14ac:dyDescent="0.25">
      <c r="A63" s="185">
        <v>600000315</v>
      </c>
      <c r="B63" s="186" t="s">
        <v>731</v>
      </c>
      <c r="C63" s="181">
        <v>0.10100000000000001</v>
      </c>
      <c r="D63" s="180"/>
      <c r="E63" s="180"/>
      <c r="F63" s="180"/>
      <c r="K63" s="170" t="s">
        <v>397</v>
      </c>
      <c r="N63" s="170" t="s">
        <v>877</v>
      </c>
      <c r="O63" s="174" t="s">
        <v>455</v>
      </c>
    </row>
    <row r="64" spans="1:16" ht="25.5" x14ac:dyDescent="0.25">
      <c r="A64" s="290">
        <v>600000320</v>
      </c>
      <c r="B64" s="291" t="s">
        <v>130</v>
      </c>
      <c r="C64" s="292"/>
      <c r="D64" s="293"/>
      <c r="E64" s="293"/>
      <c r="F64" s="293" t="s">
        <v>748</v>
      </c>
      <c r="K64" s="170" t="s">
        <v>398</v>
      </c>
      <c r="N64" s="170" t="s">
        <v>197</v>
      </c>
      <c r="O64" s="174" t="s">
        <v>451</v>
      </c>
      <c r="P64" s="102" t="s">
        <v>463</v>
      </c>
    </row>
    <row r="65" spans="1:15" ht="38.25" x14ac:dyDescent="0.25">
      <c r="A65" s="185">
        <v>600000322</v>
      </c>
      <c r="B65" s="186" t="s">
        <v>732</v>
      </c>
      <c r="C65" s="181">
        <v>0.13</v>
      </c>
      <c r="D65" s="180"/>
      <c r="E65" s="180"/>
      <c r="F65" s="180"/>
      <c r="K65" s="170" t="s">
        <v>390</v>
      </c>
      <c r="N65" s="170" t="s">
        <v>243</v>
      </c>
      <c r="O65" s="174" t="s">
        <v>452</v>
      </c>
    </row>
    <row r="66" spans="1:15" ht="38.25" x14ac:dyDescent="0.25">
      <c r="A66" s="290">
        <v>600000323</v>
      </c>
      <c r="B66" s="291" t="s">
        <v>268</v>
      </c>
      <c r="C66" s="292"/>
      <c r="D66" s="293"/>
      <c r="E66" s="293"/>
      <c r="F66" s="293" t="s">
        <v>748</v>
      </c>
      <c r="K66" s="170" t="s">
        <v>391</v>
      </c>
      <c r="N66" s="170" t="s">
        <v>243</v>
      </c>
      <c r="O66" s="174" t="s">
        <v>453</v>
      </c>
    </row>
    <row r="67" spans="1:15" ht="25.5" x14ac:dyDescent="0.25">
      <c r="A67" s="290">
        <v>600000330</v>
      </c>
      <c r="B67" s="291" t="s">
        <v>154</v>
      </c>
      <c r="C67" s="292"/>
      <c r="D67" s="293"/>
      <c r="E67" s="293"/>
      <c r="F67" s="293" t="s">
        <v>748</v>
      </c>
      <c r="K67" s="170" t="s">
        <v>399</v>
      </c>
      <c r="N67" s="170" t="s">
        <v>394</v>
      </c>
      <c r="O67" s="174" t="s">
        <v>454</v>
      </c>
    </row>
    <row r="68" spans="1:15" ht="25.5" x14ac:dyDescent="0.25">
      <c r="A68" s="185">
        <v>600000332</v>
      </c>
      <c r="B68" s="186" t="s">
        <v>733</v>
      </c>
      <c r="C68" s="181">
        <v>0.318</v>
      </c>
      <c r="D68" s="180"/>
      <c r="E68" s="180"/>
      <c r="F68" s="180"/>
      <c r="K68" s="170" t="s">
        <v>953</v>
      </c>
      <c r="N68" s="170" t="s">
        <v>394</v>
      </c>
      <c r="O68" s="174" t="s">
        <v>462</v>
      </c>
    </row>
    <row r="69" spans="1:15" ht="25.5" x14ac:dyDescent="0.25">
      <c r="A69" s="185">
        <v>600000334</v>
      </c>
      <c r="B69" s="186" t="s">
        <v>734</v>
      </c>
      <c r="C69" s="181">
        <v>0.37</v>
      </c>
      <c r="D69" s="180"/>
      <c r="E69" s="180"/>
      <c r="F69" s="180"/>
      <c r="K69" s="170" t="s">
        <v>623</v>
      </c>
      <c r="N69" s="170" t="s">
        <v>394</v>
      </c>
      <c r="O69" s="174" t="s">
        <v>455</v>
      </c>
    </row>
    <row r="70" spans="1:15" ht="25.5" x14ac:dyDescent="0.25">
      <c r="A70" s="185">
        <v>600000335</v>
      </c>
      <c r="B70" s="186" t="s">
        <v>735</v>
      </c>
      <c r="C70" s="181">
        <v>0.27</v>
      </c>
      <c r="D70" s="180"/>
      <c r="E70" s="180"/>
      <c r="F70" s="180"/>
      <c r="N70" s="170" t="s">
        <v>394</v>
      </c>
      <c r="O70" s="174" t="s">
        <v>448</v>
      </c>
    </row>
    <row r="71" spans="1:15" ht="25.5" x14ac:dyDescent="0.25">
      <c r="A71" s="290">
        <v>600000336</v>
      </c>
      <c r="B71" s="291" t="s">
        <v>180</v>
      </c>
      <c r="C71" s="292"/>
      <c r="D71" s="293"/>
      <c r="E71" s="293"/>
      <c r="F71" s="293" t="s">
        <v>748</v>
      </c>
      <c r="N71" s="170" t="s">
        <v>395</v>
      </c>
      <c r="O71" s="174" t="s">
        <v>402</v>
      </c>
    </row>
    <row r="72" spans="1:15" ht="25.5" x14ac:dyDescent="0.25">
      <c r="A72" s="185">
        <v>600000340</v>
      </c>
      <c r="B72" s="186" t="s">
        <v>736</v>
      </c>
      <c r="C72" s="181">
        <v>0.13</v>
      </c>
      <c r="D72" s="180"/>
      <c r="E72" s="180"/>
      <c r="F72" s="180"/>
      <c r="H72" s="183"/>
      <c r="N72" s="170" t="s">
        <v>395</v>
      </c>
      <c r="O72" s="174" t="s">
        <v>403</v>
      </c>
    </row>
    <row r="73" spans="1:15" ht="25.5" x14ac:dyDescent="0.25">
      <c r="A73" s="290">
        <v>600000348</v>
      </c>
      <c r="B73" s="291" t="s">
        <v>201</v>
      </c>
      <c r="C73" s="292"/>
      <c r="D73" s="293"/>
      <c r="E73" s="293"/>
      <c r="F73" s="293" t="s">
        <v>748</v>
      </c>
      <c r="H73" s="197"/>
      <c r="N73" s="170" t="s">
        <v>396</v>
      </c>
      <c r="O73" s="174" t="s">
        <v>451</v>
      </c>
    </row>
    <row r="74" spans="1:15" ht="25.5" x14ac:dyDescent="0.25">
      <c r="A74" s="290">
        <v>600000350</v>
      </c>
      <c r="B74" s="291" t="s">
        <v>217</v>
      </c>
      <c r="C74" s="292"/>
      <c r="D74" s="293"/>
      <c r="E74" s="293"/>
      <c r="F74" s="293" t="s">
        <v>748</v>
      </c>
      <c r="H74" s="197"/>
      <c r="N74" s="170" t="s">
        <v>397</v>
      </c>
      <c r="O74" s="174" t="s">
        <v>456</v>
      </c>
    </row>
    <row r="75" spans="1:15" ht="25.5" x14ac:dyDescent="0.25">
      <c r="A75" s="185">
        <v>600000352</v>
      </c>
      <c r="B75" s="186" t="s">
        <v>737</v>
      </c>
      <c r="C75" s="181">
        <v>0.11700000000000001</v>
      </c>
      <c r="D75" s="180"/>
      <c r="E75" s="180"/>
      <c r="F75" s="180"/>
      <c r="H75" s="183"/>
      <c r="N75" s="170" t="s">
        <v>397</v>
      </c>
      <c r="O75" s="174" t="s">
        <v>457</v>
      </c>
    </row>
    <row r="76" spans="1:15" ht="25.5" x14ac:dyDescent="0.25">
      <c r="A76" s="185">
        <v>600000360</v>
      </c>
      <c r="B76" s="186" t="s">
        <v>504</v>
      </c>
      <c r="C76" s="181"/>
      <c r="D76" s="180"/>
      <c r="E76" s="180"/>
      <c r="F76" s="180"/>
      <c r="N76" s="170" t="s">
        <v>398</v>
      </c>
      <c r="O76" s="174" t="s">
        <v>418</v>
      </c>
    </row>
    <row r="77" spans="1:15" ht="25.5" x14ac:dyDescent="0.25">
      <c r="A77" s="185">
        <v>600000361</v>
      </c>
      <c r="B77" s="186" t="s">
        <v>738</v>
      </c>
      <c r="C77" s="181">
        <v>0.45</v>
      </c>
      <c r="D77" s="180"/>
      <c r="E77" s="180"/>
      <c r="F77" s="180"/>
      <c r="G77" s="294" t="s">
        <v>749</v>
      </c>
      <c r="N77" s="170" t="s">
        <v>398</v>
      </c>
      <c r="O77" s="174" t="s">
        <v>464</v>
      </c>
    </row>
    <row r="78" spans="1:15" ht="38.25" x14ac:dyDescent="0.25">
      <c r="A78" s="290">
        <v>600000370</v>
      </c>
      <c r="B78" s="291" t="s">
        <v>216</v>
      </c>
      <c r="C78" s="292"/>
      <c r="D78" s="293"/>
      <c r="E78" s="293"/>
      <c r="F78" s="293" t="s">
        <v>748</v>
      </c>
      <c r="N78" s="170" t="s">
        <v>390</v>
      </c>
      <c r="O78" s="174" t="s">
        <v>458</v>
      </c>
    </row>
    <row r="79" spans="1:15" ht="38.25" x14ac:dyDescent="0.25">
      <c r="A79" s="185">
        <v>600000371</v>
      </c>
      <c r="B79" s="186" t="s">
        <v>739</v>
      </c>
      <c r="C79" s="181">
        <v>8.8999999999999996E-2</v>
      </c>
      <c r="D79" s="180"/>
      <c r="E79" s="180"/>
      <c r="F79" s="180"/>
      <c r="N79" s="170" t="s">
        <v>390</v>
      </c>
      <c r="O79" s="174" t="s">
        <v>461</v>
      </c>
    </row>
    <row r="80" spans="1:15" ht="25.5" x14ac:dyDescent="0.25">
      <c r="A80" s="185">
        <v>600000373</v>
      </c>
      <c r="B80" s="186" t="s">
        <v>740</v>
      </c>
      <c r="C80" s="181">
        <v>0.09</v>
      </c>
      <c r="D80" s="180"/>
      <c r="E80" s="180"/>
      <c r="F80" s="180"/>
      <c r="N80" s="170" t="s">
        <v>391</v>
      </c>
      <c r="O80" s="174" t="s">
        <v>459</v>
      </c>
    </row>
    <row r="81" spans="1:15" ht="38.25" x14ac:dyDescent="0.25">
      <c r="A81" s="185">
        <v>600000376</v>
      </c>
      <c r="B81" s="186" t="s">
        <v>741</v>
      </c>
      <c r="C81" s="181">
        <v>0.11</v>
      </c>
      <c r="D81" s="180"/>
      <c r="E81" s="180"/>
      <c r="F81" s="180"/>
      <c r="N81" s="170" t="s">
        <v>399</v>
      </c>
      <c r="O81" s="174" t="s">
        <v>435</v>
      </c>
    </row>
    <row r="82" spans="1:15" x14ac:dyDescent="0.25">
      <c r="A82" s="185">
        <v>600000459</v>
      </c>
      <c r="B82" s="186" t="s">
        <v>1154</v>
      </c>
      <c r="C82" s="181">
        <v>7.8E-2</v>
      </c>
      <c r="D82" s="180"/>
      <c r="E82" s="180"/>
      <c r="F82" s="180"/>
      <c r="N82" s="170"/>
      <c r="O82" s="174"/>
    </row>
    <row r="83" spans="1:15" ht="25.5" x14ac:dyDescent="0.25">
      <c r="A83" s="290">
        <v>600000377</v>
      </c>
      <c r="B83" s="291" t="s">
        <v>240</v>
      </c>
      <c r="C83" s="292"/>
      <c r="D83" s="293"/>
      <c r="E83" s="293"/>
      <c r="F83" s="293" t="s">
        <v>748</v>
      </c>
      <c r="N83" s="170" t="s">
        <v>399</v>
      </c>
      <c r="O83" s="174" t="s">
        <v>465</v>
      </c>
    </row>
    <row r="84" spans="1:15" ht="38.25" x14ac:dyDescent="0.25">
      <c r="A84" s="290">
        <v>600000379</v>
      </c>
      <c r="B84" s="291" t="s">
        <v>261</v>
      </c>
      <c r="C84" s="292"/>
      <c r="D84" s="293"/>
      <c r="E84" s="293"/>
      <c r="F84" s="293" t="s">
        <v>748</v>
      </c>
      <c r="N84" s="170" t="s">
        <v>623</v>
      </c>
      <c r="O84" s="174" t="s">
        <v>624</v>
      </c>
    </row>
    <row r="85" spans="1:15" x14ac:dyDescent="0.25">
      <c r="A85" s="185">
        <v>600000380</v>
      </c>
      <c r="B85" s="186" t="s">
        <v>742</v>
      </c>
      <c r="C85" s="181">
        <v>8.1000000000000003E-2</v>
      </c>
      <c r="D85" s="180"/>
      <c r="E85" s="180"/>
      <c r="F85" s="180"/>
    </row>
    <row r="86" spans="1:15" x14ac:dyDescent="0.25">
      <c r="A86" s="290">
        <v>600000382</v>
      </c>
      <c r="B86" s="291" t="s">
        <v>218</v>
      </c>
      <c r="C86" s="292"/>
      <c r="D86" s="293"/>
      <c r="E86" s="293"/>
      <c r="F86" s="293" t="s">
        <v>748</v>
      </c>
    </row>
    <row r="87" spans="1:15" x14ac:dyDescent="0.25">
      <c r="A87" s="185">
        <v>600000383</v>
      </c>
      <c r="B87" s="186" t="s">
        <v>743</v>
      </c>
      <c r="C87" s="181">
        <v>0.105</v>
      </c>
      <c r="D87" s="180"/>
      <c r="E87" s="180"/>
      <c r="F87" s="180"/>
    </row>
    <row r="88" spans="1:15" x14ac:dyDescent="0.25">
      <c r="A88" s="185">
        <v>600000384</v>
      </c>
      <c r="B88" s="186" t="s">
        <v>744</v>
      </c>
      <c r="C88" s="181">
        <v>0.114</v>
      </c>
      <c r="D88" s="180"/>
      <c r="E88" s="180"/>
      <c r="F88" s="180"/>
    </row>
    <row r="89" spans="1:15" x14ac:dyDescent="0.25">
      <c r="A89" s="290">
        <v>600000388</v>
      </c>
      <c r="B89" s="291" t="s">
        <v>254</v>
      </c>
      <c r="C89" s="292"/>
      <c r="D89" s="293"/>
      <c r="E89" s="293"/>
      <c r="F89" s="293" t="s">
        <v>748</v>
      </c>
    </row>
    <row r="90" spans="1:15" x14ac:dyDescent="0.25">
      <c r="A90" s="185">
        <v>600000390</v>
      </c>
      <c r="B90" s="186" t="s">
        <v>745</v>
      </c>
      <c r="C90" s="181">
        <v>0.14699999999999999</v>
      </c>
      <c r="D90" s="180"/>
      <c r="E90" s="180"/>
      <c r="F90" s="180"/>
      <c r="H90" s="198"/>
    </row>
    <row r="91" spans="1:15" x14ac:dyDescent="0.25">
      <c r="A91" s="290">
        <v>600000391</v>
      </c>
      <c r="B91" s="291" t="s">
        <v>258</v>
      </c>
      <c r="C91" s="292"/>
      <c r="D91" s="293"/>
      <c r="E91" s="293"/>
      <c r="F91" s="293" t="s">
        <v>748</v>
      </c>
      <c r="H91" s="198"/>
    </row>
    <row r="92" spans="1:15" x14ac:dyDescent="0.25">
      <c r="A92" s="185">
        <v>600000409</v>
      </c>
      <c r="B92" s="186" t="s">
        <v>755</v>
      </c>
      <c r="C92" s="181">
        <v>0.254</v>
      </c>
      <c r="D92" s="180"/>
      <c r="E92" s="180"/>
      <c r="F92" s="180"/>
      <c r="G92" s="268" t="s">
        <v>575</v>
      </c>
      <c r="H92" s="198"/>
    </row>
    <row r="93" spans="1:15" x14ac:dyDescent="0.25">
      <c r="A93" s="185">
        <v>600000420</v>
      </c>
      <c r="B93" s="186" t="s">
        <v>758</v>
      </c>
      <c r="C93" s="181">
        <v>0.22900000000000001</v>
      </c>
      <c r="D93" s="180"/>
      <c r="E93" s="180"/>
      <c r="F93" s="180"/>
      <c r="G93" s="231" t="s">
        <v>521</v>
      </c>
      <c r="H93" s="198"/>
    </row>
    <row r="94" spans="1:15" x14ac:dyDescent="0.25">
      <c r="A94" s="185">
        <v>600000406</v>
      </c>
      <c r="B94" s="186" t="s">
        <v>753</v>
      </c>
      <c r="C94" s="181">
        <v>0.11899999999999999</v>
      </c>
      <c r="D94" s="180"/>
      <c r="E94" s="180"/>
      <c r="F94" s="180"/>
      <c r="H94" s="198"/>
    </row>
    <row r="95" spans="1:15" x14ac:dyDescent="0.25">
      <c r="A95" s="185">
        <v>600000400</v>
      </c>
      <c r="B95" s="186" t="s">
        <v>746</v>
      </c>
      <c r="C95" s="181">
        <v>0.13500000000000001</v>
      </c>
      <c r="D95" s="180"/>
      <c r="E95" s="180"/>
      <c r="F95" s="180"/>
      <c r="H95" s="198"/>
    </row>
    <row r="96" spans="1:15" x14ac:dyDescent="0.25">
      <c r="A96" s="185">
        <v>600000405</v>
      </c>
      <c r="B96" s="186" t="s">
        <v>752</v>
      </c>
      <c r="C96" s="181">
        <v>0.122</v>
      </c>
      <c r="D96" s="180"/>
      <c r="E96" s="180"/>
      <c r="F96" s="180"/>
    </row>
    <row r="97" spans="1:7" x14ac:dyDescent="0.25">
      <c r="A97" s="185">
        <v>600000401</v>
      </c>
      <c r="B97" s="186" t="s">
        <v>747</v>
      </c>
      <c r="C97" s="181">
        <v>0.13600000000000001</v>
      </c>
      <c r="D97" s="180"/>
      <c r="E97" s="180"/>
      <c r="F97" s="180"/>
    </row>
    <row r="98" spans="1:7" x14ac:dyDescent="0.25">
      <c r="A98" s="185">
        <v>600000413</v>
      </c>
      <c r="B98" s="186" t="s">
        <v>757</v>
      </c>
      <c r="C98" s="181">
        <v>0.14699999999999999</v>
      </c>
      <c r="D98" s="180"/>
      <c r="E98" s="180"/>
      <c r="F98" s="180"/>
      <c r="G98" s="262" t="s">
        <v>536</v>
      </c>
    </row>
    <row r="99" spans="1:7" x14ac:dyDescent="0.25">
      <c r="A99" s="290">
        <v>600000402</v>
      </c>
      <c r="B99" s="291" t="s">
        <v>608</v>
      </c>
      <c r="C99" s="292"/>
      <c r="D99" s="293"/>
      <c r="E99" s="292"/>
      <c r="F99" s="293" t="s">
        <v>748</v>
      </c>
    </row>
    <row r="100" spans="1:7" x14ac:dyDescent="0.25">
      <c r="A100" s="185">
        <v>600000403</v>
      </c>
      <c r="B100" s="186" t="s">
        <v>750</v>
      </c>
      <c r="C100" s="181">
        <v>0.104</v>
      </c>
      <c r="D100" s="180"/>
      <c r="E100" s="181"/>
      <c r="F100" s="180"/>
    </row>
    <row r="101" spans="1:7" x14ac:dyDescent="0.25">
      <c r="A101" s="185">
        <v>600000404</v>
      </c>
      <c r="B101" s="186" t="s">
        <v>751</v>
      </c>
      <c r="C101" s="181">
        <v>0.105</v>
      </c>
      <c r="D101" s="180"/>
      <c r="E101" s="181"/>
      <c r="F101" s="180"/>
    </row>
    <row r="102" spans="1:7" x14ac:dyDescent="0.25">
      <c r="A102" s="185">
        <v>600000411</v>
      </c>
      <c r="B102" s="186" t="s">
        <v>756</v>
      </c>
      <c r="C102" s="181">
        <v>0.433</v>
      </c>
      <c r="D102" s="180"/>
      <c r="E102" s="181"/>
      <c r="F102" s="180"/>
    </row>
    <row r="103" spans="1:7" x14ac:dyDescent="0.25">
      <c r="A103" s="187"/>
      <c r="B103" s="186" t="s">
        <v>518</v>
      </c>
      <c r="C103" s="181"/>
      <c r="D103" s="180"/>
      <c r="E103" s="181"/>
      <c r="F103" s="180"/>
    </row>
    <row r="104" spans="1:7" x14ac:dyDescent="0.25">
      <c r="A104" s="187">
        <v>600000421</v>
      </c>
      <c r="B104" s="186" t="s">
        <v>759</v>
      </c>
      <c r="C104" s="181">
        <v>0.154</v>
      </c>
      <c r="D104" s="180"/>
      <c r="E104" s="181"/>
      <c r="F104" s="180"/>
      <c r="G104" s="265" t="s">
        <v>541</v>
      </c>
    </row>
    <row r="105" spans="1:7" x14ac:dyDescent="0.25">
      <c r="A105" s="187">
        <v>600000422</v>
      </c>
      <c r="B105" s="186" t="s">
        <v>760</v>
      </c>
      <c r="C105" s="181">
        <v>0.14099999999999999</v>
      </c>
      <c r="D105" s="180"/>
      <c r="E105" s="181"/>
      <c r="F105" s="180"/>
      <c r="G105" s="265" t="s">
        <v>542</v>
      </c>
    </row>
    <row r="106" spans="1:7" x14ac:dyDescent="0.25">
      <c r="A106" s="187">
        <v>600000407</v>
      </c>
      <c r="B106" s="186" t="s">
        <v>754</v>
      </c>
      <c r="C106" s="181">
        <v>9.4E-2</v>
      </c>
      <c r="D106" s="180"/>
      <c r="E106" s="181"/>
      <c r="F106" s="180"/>
      <c r="G106" s="267" t="s">
        <v>567</v>
      </c>
    </row>
    <row r="107" spans="1:7" x14ac:dyDescent="0.25">
      <c r="A107" s="187">
        <v>600000424</v>
      </c>
      <c r="B107" s="186" t="s">
        <v>761</v>
      </c>
      <c r="C107" s="181">
        <v>7.3999999999999996E-2</v>
      </c>
      <c r="D107" s="180"/>
      <c r="E107" s="181"/>
      <c r="F107" s="180"/>
      <c r="G107" s="269" t="s">
        <v>582</v>
      </c>
    </row>
    <row r="108" spans="1:7" x14ac:dyDescent="0.25">
      <c r="A108" s="187"/>
      <c r="B108" s="186" t="s">
        <v>633</v>
      </c>
      <c r="C108" s="181"/>
      <c r="D108" s="180"/>
      <c r="E108" s="181"/>
      <c r="F108" s="180"/>
      <c r="G108" s="277" t="s">
        <v>622</v>
      </c>
    </row>
    <row r="109" spans="1:7" x14ac:dyDescent="0.25">
      <c r="A109" s="187">
        <v>600000425</v>
      </c>
      <c r="B109" s="186" t="s">
        <v>762</v>
      </c>
      <c r="C109" s="181">
        <v>0.121</v>
      </c>
      <c r="D109" s="180"/>
      <c r="E109" s="181"/>
      <c r="F109" s="180"/>
      <c r="G109" s="278" t="s">
        <v>626</v>
      </c>
    </row>
    <row r="110" spans="1:7" x14ac:dyDescent="0.25">
      <c r="A110" s="185">
        <v>600000427</v>
      </c>
      <c r="B110" s="186" t="s">
        <v>764</v>
      </c>
      <c r="C110" s="181">
        <v>0.11799999999999999</v>
      </c>
      <c r="D110" s="180"/>
      <c r="E110" s="181"/>
      <c r="F110" s="180"/>
      <c r="G110" s="279" t="s">
        <v>643</v>
      </c>
    </row>
    <row r="111" spans="1:7" x14ac:dyDescent="0.25">
      <c r="A111" s="187">
        <v>600000426</v>
      </c>
      <c r="B111" s="186" t="s">
        <v>763</v>
      </c>
      <c r="C111" s="181">
        <v>0.113</v>
      </c>
      <c r="D111" s="180"/>
      <c r="E111" s="181"/>
      <c r="F111" s="180"/>
      <c r="G111" s="280" t="s">
        <v>647</v>
      </c>
    </row>
    <row r="112" spans="1:7" x14ac:dyDescent="0.25">
      <c r="A112" s="187"/>
      <c r="B112" s="186" t="s">
        <v>649</v>
      </c>
      <c r="C112" s="181"/>
      <c r="D112" s="180"/>
      <c r="E112" s="181"/>
      <c r="F112" s="180"/>
      <c r="G112" s="281" t="s">
        <v>648</v>
      </c>
    </row>
    <row r="113" spans="1:7" x14ac:dyDescent="0.25">
      <c r="A113" s="187"/>
      <c r="B113" s="186" t="s">
        <v>654</v>
      </c>
      <c r="C113" s="181"/>
      <c r="D113" s="180"/>
      <c r="E113" s="181"/>
      <c r="F113" s="180"/>
      <c r="G113" s="282" t="s">
        <v>655</v>
      </c>
    </row>
    <row r="114" spans="1:7" x14ac:dyDescent="0.25">
      <c r="A114" s="185">
        <v>600000428</v>
      </c>
      <c r="B114" s="186" t="s">
        <v>765</v>
      </c>
      <c r="C114" s="181">
        <v>0.123</v>
      </c>
      <c r="D114" s="180"/>
      <c r="E114" s="181"/>
      <c r="F114" s="180"/>
      <c r="G114" s="279" t="s">
        <v>643</v>
      </c>
    </row>
    <row r="115" spans="1:7" x14ac:dyDescent="0.25">
      <c r="A115" s="185">
        <v>600000429</v>
      </c>
      <c r="B115" s="186" t="s">
        <v>766</v>
      </c>
      <c r="C115" s="181">
        <v>0.14299999999999999</v>
      </c>
      <c r="D115" s="180"/>
      <c r="E115" s="181"/>
      <c r="F115" s="180"/>
      <c r="G115" s="279" t="s">
        <v>643</v>
      </c>
    </row>
    <row r="116" spans="1:7" x14ac:dyDescent="0.25">
      <c r="A116" s="187">
        <v>600000430</v>
      </c>
      <c r="B116" s="186" t="s">
        <v>841</v>
      </c>
      <c r="C116" s="181">
        <v>0.113</v>
      </c>
      <c r="D116" s="180"/>
      <c r="E116" s="181"/>
      <c r="F116" s="180"/>
      <c r="G116" s="297" t="s">
        <v>789</v>
      </c>
    </row>
    <row r="117" spans="1:7" x14ac:dyDescent="0.25">
      <c r="A117" s="187">
        <v>600000521</v>
      </c>
      <c r="B117" s="186" t="s">
        <v>1211</v>
      </c>
      <c r="C117" s="181">
        <v>0.10100000000000001</v>
      </c>
      <c r="D117" s="180"/>
      <c r="E117" s="181"/>
      <c r="F117" s="180"/>
      <c r="G117" s="289" t="s">
        <v>653</v>
      </c>
    </row>
    <row r="118" spans="1:7" x14ac:dyDescent="0.25">
      <c r="A118" s="187">
        <v>600000431</v>
      </c>
      <c r="B118" s="186" t="s">
        <v>920</v>
      </c>
      <c r="C118" s="181">
        <v>9.0999999999999998E-2</v>
      </c>
      <c r="D118" s="180"/>
      <c r="E118" s="181"/>
      <c r="F118" s="180"/>
      <c r="G118" s="283" t="s">
        <v>660</v>
      </c>
    </row>
    <row r="119" spans="1:7" x14ac:dyDescent="0.25">
      <c r="A119" s="187">
        <v>600000616</v>
      </c>
      <c r="B119" s="186" t="s">
        <v>1772</v>
      </c>
      <c r="C119" s="181">
        <v>0.08</v>
      </c>
      <c r="D119" s="180"/>
      <c r="E119" s="181"/>
      <c r="F119" s="180"/>
      <c r="G119" s="284" t="s">
        <v>661</v>
      </c>
    </row>
    <row r="120" spans="1:7" x14ac:dyDescent="0.25">
      <c r="A120" s="187">
        <v>600000460</v>
      </c>
      <c r="B120" s="186" t="s">
        <v>995</v>
      </c>
      <c r="C120" s="181">
        <v>8.3000000000000004E-2</v>
      </c>
      <c r="D120" s="180"/>
      <c r="E120" s="181"/>
      <c r="F120" s="180"/>
      <c r="G120" s="284" t="s">
        <v>662</v>
      </c>
    </row>
    <row r="121" spans="1:7" x14ac:dyDescent="0.25">
      <c r="A121" s="187">
        <v>600000432</v>
      </c>
      <c r="B121" s="186" t="s">
        <v>927</v>
      </c>
      <c r="C121" s="181">
        <v>8.3000000000000004E-2</v>
      </c>
      <c r="D121" s="180"/>
      <c r="E121" s="181"/>
      <c r="F121" s="180"/>
      <c r="G121" s="285" t="s">
        <v>663</v>
      </c>
    </row>
    <row r="122" spans="1:7" x14ac:dyDescent="0.25">
      <c r="A122" s="187"/>
      <c r="B122" s="186" t="s">
        <v>767</v>
      </c>
      <c r="C122" s="181"/>
      <c r="D122" s="180"/>
      <c r="E122" s="181"/>
      <c r="F122" s="180"/>
    </row>
    <row r="123" spans="1:7" x14ac:dyDescent="0.25">
      <c r="A123" s="187"/>
      <c r="B123" s="186" t="s">
        <v>703</v>
      </c>
      <c r="C123" s="181"/>
      <c r="D123" s="180"/>
      <c r="E123" s="181"/>
      <c r="F123" s="180"/>
    </row>
    <row r="124" spans="1:7" x14ac:dyDescent="0.25">
      <c r="A124" s="187">
        <v>600000415</v>
      </c>
      <c r="B124" s="186" t="s">
        <v>781</v>
      </c>
      <c r="C124" s="181">
        <v>9.8000000000000004E-2</v>
      </c>
      <c r="D124" s="180"/>
      <c r="E124" s="181"/>
      <c r="F124" s="180"/>
      <c r="G124" s="289" t="s">
        <v>705</v>
      </c>
    </row>
    <row r="125" spans="1:7" x14ac:dyDescent="0.25">
      <c r="A125" s="187">
        <v>600000524</v>
      </c>
      <c r="B125" s="186" t="s">
        <v>769</v>
      </c>
      <c r="C125" s="181">
        <v>0.17499999999999999</v>
      </c>
      <c r="D125" s="181"/>
      <c r="E125" s="181"/>
      <c r="F125" s="180"/>
      <c r="G125" s="295" t="s">
        <v>768</v>
      </c>
    </row>
    <row r="126" spans="1:7" x14ac:dyDescent="0.25">
      <c r="A126" s="187">
        <v>600000416</v>
      </c>
      <c r="B126" s="186" t="s">
        <v>782</v>
      </c>
      <c r="C126" s="181">
        <v>0.16500000000000001</v>
      </c>
      <c r="D126" s="181"/>
      <c r="E126" s="181"/>
      <c r="F126" s="180"/>
      <c r="G126" s="296" t="s">
        <v>770</v>
      </c>
    </row>
    <row r="127" spans="1:7" x14ac:dyDescent="0.25">
      <c r="A127" s="187">
        <v>600000564</v>
      </c>
      <c r="B127" s="186" t="s">
        <v>980</v>
      </c>
      <c r="C127" s="181">
        <v>7.6999999999999999E-2</v>
      </c>
      <c r="D127" s="181"/>
      <c r="E127" s="181"/>
      <c r="F127" s="180"/>
      <c r="G127" s="298" t="s">
        <v>790</v>
      </c>
    </row>
    <row r="128" spans="1:7" x14ac:dyDescent="0.25">
      <c r="A128" s="187">
        <v>600000444</v>
      </c>
      <c r="B128" s="186" t="s">
        <v>823</v>
      </c>
      <c r="C128" s="181">
        <v>0.13700000000000001</v>
      </c>
      <c r="D128" s="181"/>
      <c r="E128" s="181"/>
      <c r="F128" s="180"/>
      <c r="G128" s="299" t="s">
        <v>797</v>
      </c>
    </row>
    <row r="129" spans="1:10" x14ac:dyDescent="0.25">
      <c r="A129" s="187">
        <v>600000418</v>
      </c>
      <c r="B129" s="186" t="s">
        <v>1136</v>
      </c>
      <c r="C129" s="181">
        <v>0.16700000000000001</v>
      </c>
      <c r="D129" s="181"/>
      <c r="E129" s="181"/>
      <c r="F129" s="180"/>
      <c r="G129" s="306" t="s">
        <v>883</v>
      </c>
    </row>
    <row r="130" spans="1:10" x14ac:dyDescent="0.25">
      <c r="A130" s="187">
        <v>600000419</v>
      </c>
      <c r="B130" s="186" t="s">
        <v>1137</v>
      </c>
      <c r="C130" s="181">
        <v>0.126</v>
      </c>
      <c r="D130" s="181"/>
      <c r="E130" s="181"/>
      <c r="F130" s="180"/>
      <c r="G130" s="306" t="s">
        <v>886</v>
      </c>
    </row>
    <row r="131" spans="1:10" x14ac:dyDescent="0.25">
      <c r="A131" s="187">
        <v>600000440</v>
      </c>
      <c r="B131" s="186" t="s">
        <v>1035</v>
      </c>
      <c r="C131" s="181">
        <v>0.13200000000000001</v>
      </c>
      <c r="D131" s="181"/>
      <c r="E131" s="181"/>
      <c r="F131" s="180"/>
      <c r="G131" s="306" t="s">
        <v>884</v>
      </c>
    </row>
    <row r="132" spans="1:10" x14ac:dyDescent="0.25">
      <c r="A132" s="187">
        <v>600000436</v>
      </c>
      <c r="B132" s="186" t="s">
        <v>909</v>
      </c>
      <c r="C132" s="181">
        <v>0.154</v>
      </c>
      <c r="D132" s="181"/>
      <c r="E132" s="181"/>
      <c r="F132" s="180"/>
      <c r="G132" s="300" t="s">
        <v>799</v>
      </c>
    </row>
    <row r="133" spans="1:10" x14ac:dyDescent="0.25">
      <c r="A133" s="187"/>
      <c r="B133" s="186" t="s">
        <v>910</v>
      </c>
      <c r="C133" s="181"/>
      <c r="D133" s="181"/>
      <c r="E133" s="181"/>
      <c r="F133" s="180"/>
      <c r="G133" s="300" t="s">
        <v>799</v>
      </c>
    </row>
    <row r="134" spans="1:10" x14ac:dyDescent="0.25">
      <c r="A134" s="187">
        <v>600000445</v>
      </c>
      <c r="B134" s="186" t="s">
        <v>844</v>
      </c>
      <c r="C134" s="181">
        <v>0.114</v>
      </c>
      <c r="D134" s="181"/>
      <c r="E134" s="181"/>
      <c r="F134" s="180"/>
      <c r="G134" s="305" t="s">
        <v>833</v>
      </c>
      <c r="J134" s="102" t="s">
        <v>806</v>
      </c>
    </row>
    <row r="135" spans="1:10" x14ac:dyDescent="0.25">
      <c r="A135" s="187">
        <v>600000441</v>
      </c>
      <c r="B135" s="186" t="s">
        <v>824</v>
      </c>
      <c r="C135" s="181">
        <v>0.104</v>
      </c>
      <c r="D135" s="181"/>
      <c r="E135" s="181"/>
      <c r="F135" s="180"/>
      <c r="G135" s="306" t="s">
        <v>881</v>
      </c>
    </row>
    <row r="136" spans="1:10" x14ac:dyDescent="0.25">
      <c r="A136" s="187">
        <v>600000442</v>
      </c>
      <c r="B136" s="186" t="s">
        <v>891</v>
      </c>
      <c r="C136" s="181">
        <v>0.18099999999999999</v>
      </c>
      <c r="D136" s="181"/>
      <c r="E136" s="181"/>
      <c r="F136" s="180"/>
      <c r="G136" s="306" t="s">
        <v>882</v>
      </c>
      <c r="J136" s="102" t="s">
        <v>806</v>
      </c>
    </row>
    <row r="137" spans="1:10" x14ac:dyDescent="0.25">
      <c r="A137" s="187"/>
      <c r="B137" s="186" t="s">
        <v>908</v>
      </c>
      <c r="C137" s="181"/>
      <c r="D137" s="181"/>
      <c r="E137" s="181"/>
      <c r="F137" s="180"/>
      <c r="G137" s="301" t="s">
        <v>804</v>
      </c>
    </row>
    <row r="138" spans="1:10" x14ac:dyDescent="0.25">
      <c r="A138" s="187"/>
      <c r="B138" s="186" t="s">
        <v>907</v>
      </c>
      <c r="C138" s="181"/>
      <c r="D138" s="181"/>
      <c r="E138" s="181"/>
      <c r="F138" s="180"/>
      <c r="G138" s="301" t="s">
        <v>804</v>
      </c>
    </row>
    <row r="139" spans="1:10" x14ac:dyDescent="0.25">
      <c r="A139" s="187">
        <v>600000446</v>
      </c>
      <c r="B139" s="186" t="s">
        <v>843</v>
      </c>
      <c r="C139" s="181">
        <v>0.114</v>
      </c>
      <c r="D139" s="181"/>
      <c r="E139" s="181"/>
      <c r="F139" s="180"/>
      <c r="G139" s="305" t="s">
        <v>834</v>
      </c>
    </row>
    <row r="140" spans="1:10" x14ac:dyDescent="0.25">
      <c r="A140" s="187">
        <v>600000443</v>
      </c>
      <c r="B140" s="186" t="s">
        <v>890</v>
      </c>
      <c r="C140" s="181">
        <v>0.16600000000000001</v>
      </c>
      <c r="D140" s="181"/>
      <c r="E140" s="181"/>
      <c r="F140" s="180"/>
      <c r="G140" s="302" t="s">
        <v>807</v>
      </c>
    </row>
    <row r="141" spans="1:10" x14ac:dyDescent="0.25">
      <c r="A141" s="187"/>
      <c r="B141" s="186" t="s">
        <v>808</v>
      </c>
      <c r="C141" s="181"/>
      <c r="D141" s="181"/>
      <c r="E141" s="181"/>
      <c r="F141" s="180"/>
      <c r="G141" s="303" t="s">
        <v>809</v>
      </c>
    </row>
    <row r="142" spans="1:10" x14ac:dyDescent="0.25">
      <c r="A142" s="187">
        <v>600000433</v>
      </c>
      <c r="B142" s="186" t="s">
        <v>888</v>
      </c>
      <c r="C142" s="181">
        <v>0.11899999999999999</v>
      </c>
      <c r="D142" s="181"/>
      <c r="E142" s="181"/>
      <c r="F142" s="180"/>
      <c r="G142" s="306" t="s">
        <v>887</v>
      </c>
    </row>
    <row r="143" spans="1:10" x14ac:dyDescent="0.25">
      <c r="A143" s="187">
        <v>600000434</v>
      </c>
      <c r="B143" s="186" t="s">
        <v>815</v>
      </c>
      <c r="C143" s="181">
        <v>0.35499999999999998</v>
      </c>
      <c r="D143" s="181"/>
      <c r="E143" s="181"/>
      <c r="F143" s="180"/>
      <c r="G143" s="304" t="s">
        <v>814</v>
      </c>
    </row>
    <row r="144" spans="1:10" x14ac:dyDescent="0.25">
      <c r="A144" s="187">
        <v>600000435</v>
      </c>
      <c r="B144" s="186" t="s">
        <v>930</v>
      </c>
      <c r="C144" s="181">
        <v>0.16400000000000001</v>
      </c>
      <c r="D144" s="181"/>
      <c r="E144" s="181"/>
      <c r="F144" s="180"/>
      <c r="G144" s="306" t="s">
        <v>885</v>
      </c>
    </row>
    <row r="145" spans="1:7" x14ac:dyDescent="0.25">
      <c r="A145" s="187"/>
      <c r="B145" s="186" t="s">
        <v>897</v>
      </c>
      <c r="C145" s="181"/>
      <c r="D145" s="181"/>
      <c r="E145" s="181"/>
      <c r="F145" s="180"/>
      <c r="G145" s="280" t="s">
        <v>647</v>
      </c>
    </row>
    <row r="146" spans="1:7" x14ac:dyDescent="0.25">
      <c r="A146" s="187">
        <v>600000447</v>
      </c>
      <c r="B146" s="186" t="s">
        <v>906</v>
      </c>
      <c r="C146" s="308">
        <v>0.128</v>
      </c>
      <c r="D146" s="181"/>
      <c r="E146" s="181"/>
      <c r="F146" s="180"/>
      <c r="G146" s="307" t="s">
        <v>899</v>
      </c>
    </row>
    <row r="147" spans="1:7" x14ac:dyDescent="0.25">
      <c r="A147" s="187">
        <v>600000448</v>
      </c>
      <c r="B147" s="186" t="s">
        <v>905</v>
      </c>
      <c r="C147" s="181">
        <v>0.11700000000000001</v>
      </c>
      <c r="D147" s="181"/>
      <c r="E147" s="181"/>
      <c r="F147" s="180"/>
      <c r="G147" s="310" t="s">
        <v>913</v>
      </c>
    </row>
    <row r="148" spans="1:7" x14ac:dyDescent="0.25">
      <c r="A148" s="187">
        <v>600000458</v>
      </c>
      <c r="B148" s="320" t="s">
        <v>1007</v>
      </c>
      <c r="C148" s="181">
        <v>0.14199999999999999</v>
      </c>
      <c r="D148" s="181"/>
      <c r="E148" s="181"/>
      <c r="F148" s="180"/>
      <c r="G148" s="317" t="s">
        <v>1008</v>
      </c>
    </row>
    <row r="149" spans="1:7" x14ac:dyDescent="0.25">
      <c r="A149" s="187">
        <v>600000453</v>
      </c>
      <c r="B149" s="186" t="s">
        <v>989</v>
      </c>
      <c r="C149" s="181">
        <v>0.112</v>
      </c>
      <c r="D149" s="181"/>
      <c r="E149" s="181"/>
      <c r="F149" s="180"/>
      <c r="G149" s="315" t="s">
        <v>990</v>
      </c>
    </row>
    <row r="150" spans="1:7" x14ac:dyDescent="0.25">
      <c r="A150" s="187">
        <v>600000511</v>
      </c>
      <c r="B150" s="186" t="s">
        <v>964</v>
      </c>
      <c r="C150" s="181">
        <v>0.09</v>
      </c>
      <c r="D150" s="181"/>
      <c r="E150" s="181"/>
      <c r="F150" s="180"/>
    </row>
    <row r="151" spans="1:7" x14ac:dyDescent="0.25">
      <c r="A151" s="187">
        <v>600000493</v>
      </c>
      <c r="B151" s="186" t="s">
        <v>965</v>
      </c>
      <c r="C151" s="181">
        <v>0.09</v>
      </c>
      <c r="D151" s="181"/>
      <c r="E151" s="181"/>
      <c r="F151" s="180"/>
      <c r="G151" s="319" t="s">
        <v>1027</v>
      </c>
    </row>
    <row r="152" spans="1:7" x14ac:dyDescent="0.25">
      <c r="A152" s="187">
        <v>600000497</v>
      </c>
      <c r="B152" s="186" t="s">
        <v>1036</v>
      </c>
      <c r="C152" s="181">
        <v>0.26700000000000002</v>
      </c>
      <c r="D152" s="181"/>
      <c r="E152" s="181"/>
      <c r="F152" s="180"/>
      <c r="G152" s="314" t="s">
        <v>988</v>
      </c>
    </row>
    <row r="153" spans="1:7" x14ac:dyDescent="0.25">
      <c r="A153" s="187">
        <v>600000451</v>
      </c>
      <c r="B153" s="186" t="s">
        <v>981</v>
      </c>
      <c r="C153" s="181">
        <v>0.113</v>
      </c>
      <c r="D153" s="181"/>
      <c r="E153" s="181"/>
      <c r="F153" s="180"/>
      <c r="G153" s="280" t="s">
        <v>647</v>
      </c>
    </row>
    <row r="154" spans="1:7" x14ac:dyDescent="0.25">
      <c r="A154" s="187">
        <v>600000439</v>
      </c>
      <c r="B154" s="186" t="s">
        <v>987</v>
      </c>
      <c r="C154" s="181">
        <v>0.23200000000000001</v>
      </c>
      <c r="D154" s="181"/>
      <c r="E154" s="181"/>
      <c r="F154" s="180"/>
      <c r="G154" s="313" t="s">
        <v>986</v>
      </c>
    </row>
    <row r="155" spans="1:7" x14ac:dyDescent="0.25">
      <c r="A155" s="187"/>
      <c r="B155" s="186" t="s">
        <v>1013</v>
      </c>
      <c r="C155" s="181"/>
      <c r="D155" s="181"/>
      <c r="E155" s="181"/>
      <c r="F155" s="180"/>
    </row>
    <row r="156" spans="1:7" x14ac:dyDescent="0.25">
      <c r="A156" s="187">
        <v>600000496</v>
      </c>
      <c r="B156" s="186" t="s">
        <v>1009</v>
      </c>
      <c r="C156" s="181">
        <v>0.14199999999999999</v>
      </c>
      <c r="D156" s="181"/>
      <c r="E156" s="181"/>
      <c r="F156" s="180"/>
      <c r="G156" s="317" t="s">
        <v>1010</v>
      </c>
    </row>
    <row r="157" spans="1:7" x14ac:dyDescent="0.25">
      <c r="A157" s="187"/>
      <c r="B157" s="186" t="s">
        <v>1011</v>
      </c>
      <c r="C157" s="181"/>
      <c r="D157" s="181"/>
      <c r="E157" s="181"/>
      <c r="F157" s="180"/>
    </row>
    <row r="158" spans="1:7" x14ac:dyDescent="0.25">
      <c r="A158" s="187"/>
      <c r="B158" s="186" t="s">
        <v>1012</v>
      </c>
      <c r="C158" s="181"/>
      <c r="D158" s="181"/>
      <c r="E158" s="181"/>
      <c r="F158" s="180"/>
    </row>
    <row r="159" spans="1:7" x14ac:dyDescent="0.25">
      <c r="A159" s="187">
        <v>600000499</v>
      </c>
      <c r="B159" s="186" t="s">
        <v>1037</v>
      </c>
      <c r="C159" s="181">
        <v>0.32</v>
      </c>
      <c r="D159" s="181"/>
      <c r="E159" s="181"/>
      <c r="F159" s="180"/>
      <c r="G159" s="321" t="s">
        <v>1038</v>
      </c>
    </row>
    <row r="160" spans="1:7" x14ac:dyDescent="0.25">
      <c r="A160" s="187">
        <v>600000520</v>
      </c>
      <c r="B160" s="186" t="s">
        <v>1193</v>
      </c>
      <c r="C160" s="181">
        <v>0.16</v>
      </c>
      <c r="D160" s="181"/>
      <c r="E160" s="181"/>
      <c r="F160" s="180"/>
    </row>
    <row r="161" spans="1:11" x14ac:dyDescent="0.25">
      <c r="A161" s="187">
        <v>600000531</v>
      </c>
      <c r="B161" s="186" t="s">
        <v>1213</v>
      </c>
      <c r="C161" s="181">
        <v>6.8000000000000005E-2</v>
      </c>
      <c r="D161" s="181"/>
      <c r="E161" s="181"/>
      <c r="F161" s="180"/>
    </row>
    <row r="162" spans="1:11" x14ac:dyDescent="0.25">
      <c r="A162" s="187"/>
      <c r="B162" s="186" t="s">
        <v>1101</v>
      </c>
      <c r="C162" s="181"/>
      <c r="D162" s="181"/>
      <c r="E162" s="181"/>
      <c r="F162" s="180"/>
    </row>
    <row r="163" spans="1:11" x14ac:dyDescent="0.25">
      <c r="A163" s="187"/>
      <c r="B163" s="186" t="s">
        <v>1102</v>
      </c>
      <c r="C163" s="181"/>
      <c r="D163" s="181"/>
      <c r="E163" s="181"/>
      <c r="F163" s="180"/>
    </row>
    <row r="164" spans="1:11" x14ac:dyDescent="0.25">
      <c r="A164" s="187">
        <v>600000617</v>
      </c>
      <c r="B164" s="186" t="s">
        <v>1783</v>
      </c>
      <c r="C164" s="181">
        <v>7.5999999999999998E-2</v>
      </c>
      <c r="D164" s="181"/>
      <c r="E164" s="181"/>
      <c r="F164" s="180"/>
      <c r="G164" s="324" t="s">
        <v>1105</v>
      </c>
    </row>
    <row r="165" spans="1:11" x14ac:dyDescent="0.25">
      <c r="A165" s="187">
        <v>600000533</v>
      </c>
      <c r="B165" s="186" t="s">
        <v>1223</v>
      </c>
      <c r="C165" s="181">
        <v>7.0999999999999994E-2</v>
      </c>
      <c r="D165" s="181"/>
      <c r="E165" s="181"/>
      <c r="F165" s="180"/>
      <c r="G165" s="324" t="s">
        <v>1106</v>
      </c>
    </row>
    <row r="166" spans="1:11" x14ac:dyDescent="0.25">
      <c r="A166" s="187"/>
      <c r="B166" s="186" t="s">
        <v>1104</v>
      </c>
      <c r="C166" s="181"/>
      <c r="D166" s="181"/>
      <c r="E166" s="181"/>
      <c r="F166" s="180"/>
      <c r="K166" s="102" t="s">
        <v>805</v>
      </c>
    </row>
    <row r="167" spans="1:11" x14ac:dyDescent="0.25">
      <c r="A167" s="187"/>
      <c r="B167" s="186" t="s">
        <v>1103</v>
      </c>
      <c r="C167" s="181"/>
      <c r="D167" s="181"/>
      <c r="E167" s="181"/>
      <c r="F167" s="180"/>
    </row>
    <row r="168" spans="1:11" x14ac:dyDescent="0.25">
      <c r="A168" s="187">
        <v>600000504</v>
      </c>
      <c r="B168" s="186" t="s">
        <v>1143</v>
      </c>
      <c r="C168" s="181">
        <v>9.0999999999999998E-2</v>
      </c>
      <c r="D168" s="181"/>
      <c r="E168" s="181"/>
      <c r="F168" s="180"/>
    </row>
    <row r="169" spans="1:11" x14ac:dyDescent="0.25">
      <c r="A169" s="187">
        <v>600000505</v>
      </c>
      <c r="B169" s="186" t="s">
        <v>1159</v>
      </c>
      <c r="C169" s="181">
        <v>7.4999999999999997E-2</v>
      </c>
      <c r="D169" s="181"/>
      <c r="E169" s="181"/>
      <c r="F169" s="180"/>
    </row>
    <row r="170" spans="1:11" x14ac:dyDescent="0.25">
      <c r="A170" s="187">
        <v>600000506</v>
      </c>
      <c r="B170" s="186" t="s">
        <v>1163</v>
      </c>
      <c r="C170" s="181">
        <v>7.6999999999999999E-2</v>
      </c>
      <c r="D170" s="181"/>
      <c r="E170" s="181"/>
      <c r="F170" s="180"/>
    </row>
    <row r="171" spans="1:11" x14ac:dyDescent="0.25">
      <c r="A171" s="187">
        <v>600000507</v>
      </c>
      <c r="B171" s="186" t="s">
        <v>1164</v>
      </c>
      <c r="C171" s="181">
        <v>7.2999999999999995E-2</v>
      </c>
      <c r="D171" s="181"/>
      <c r="E171" s="181"/>
      <c r="F171" s="180"/>
      <c r="K171" s="309"/>
    </row>
    <row r="172" spans="1:11" x14ac:dyDescent="0.25">
      <c r="A172" s="187">
        <v>600000541</v>
      </c>
      <c r="B172" s="186" t="s">
        <v>1248</v>
      </c>
      <c r="C172" s="181">
        <v>5.8999999999999997E-2</v>
      </c>
      <c r="D172" s="181"/>
      <c r="E172" s="181"/>
      <c r="F172" s="180"/>
      <c r="K172" s="309"/>
    </row>
    <row r="173" spans="1:11" x14ac:dyDescent="0.25">
      <c r="A173" s="187">
        <v>600000543</v>
      </c>
      <c r="B173" s="186" t="s">
        <v>1249</v>
      </c>
      <c r="C173" s="181">
        <v>0.1</v>
      </c>
      <c r="D173" s="181"/>
      <c r="E173" s="181"/>
      <c r="F173" s="180"/>
    </row>
    <row r="174" spans="1:11" x14ac:dyDescent="0.25">
      <c r="A174" s="187">
        <v>600000551</v>
      </c>
      <c r="B174" s="186" t="s">
        <v>1402</v>
      </c>
      <c r="C174" s="181">
        <v>7.3999999999999996E-2</v>
      </c>
      <c r="D174" s="181"/>
      <c r="E174" s="181"/>
      <c r="F174" s="180"/>
    </row>
    <row r="175" spans="1:11" x14ac:dyDescent="0.25">
      <c r="A175" s="187">
        <v>600000552</v>
      </c>
      <c r="B175" s="186" t="s">
        <v>1333</v>
      </c>
      <c r="C175" s="181">
        <v>0.107</v>
      </c>
      <c r="D175" s="181"/>
      <c r="E175" s="181"/>
      <c r="F175" s="180"/>
    </row>
    <row r="176" spans="1:11" x14ac:dyDescent="0.25">
      <c r="A176" s="187">
        <v>600000560</v>
      </c>
      <c r="B176" s="186" t="s">
        <v>1338</v>
      </c>
      <c r="C176" s="181">
        <v>7.4999999999999997E-2</v>
      </c>
      <c r="D176" s="181"/>
      <c r="E176" s="181"/>
      <c r="F176" s="180"/>
    </row>
    <row r="177" spans="1:6" x14ac:dyDescent="0.25">
      <c r="A177" s="187">
        <v>600000570</v>
      </c>
      <c r="B177" s="186" t="s">
        <v>1364</v>
      </c>
      <c r="C177" s="181">
        <v>0.08</v>
      </c>
      <c r="D177" s="181"/>
      <c r="E177" s="181"/>
      <c r="F177" s="180"/>
    </row>
    <row r="178" spans="1:6" x14ac:dyDescent="0.25">
      <c r="A178" s="187">
        <v>600000561</v>
      </c>
      <c r="B178" s="186" t="s">
        <v>1511</v>
      </c>
      <c r="C178" s="181">
        <v>7.4999999999999997E-2</v>
      </c>
      <c r="D178" s="181"/>
      <c r="E178" s="181"/>
      <c r="F178" s="180"/>
    </row>
    <row r="179" spans="1:6" x14ac:dyDescent="0.25">
      <c r="A179" s="187">
        <v>600000571</v>
      </c>
      <c r="B179" s="186" t="s">
        <v>1456</v>
      </c>
      <c r="C179" s="181">
        <v>0.13800000000000001</v>
      </c>
      <c r="D179" s="181"/>
      <c r="E179" s="181"/>
      <c r="F179" s="180"/>
    </row>
    <row r="180" spans="1:6" x14ac:dyDescent="0.25">
      <c r="A180" s="187">
        <v>600000562</v>
      </c>
      <c r="B180" s="186" t="s">
        <v>1367</v>
      </c>
      <c r="C180" s="181">
        <v>0.29199999999999998</v>
      </c>
      <c r="D180" s="181"/>
      <c r="E180" s="181"/>
      <c r="F180" s="180"/>
    </row>
    <row r="181" spans="1:6" x14ac:dyDescent="0.25">
      <c r="A181" s="187">
        <v>600000563</v>
      </c>
      <c r="B181" s="186" t="s">
        <v>1368</v>
      </c>
      <c r="C181" s="181">
        <v>0.14000000000000001</v>
      </c>
      <c r="D181" s="181"/>
      <c r="E181" s="181"/>
      <c r="F181" s="180"/>
    </row>
    <row r="182" spans="1:6" x14ac:dyDescent="0.25">
      <c r="A182" s="187">
        <v>600000572</v>
      </c>
      <c r="B182" s="186" t="s">
        <v>1365</v>
      </c>
      <c r="C182" s="181">
        <v>0.106</v>
      </c>
      <c r="D182" s="181"/>
      <c r="E182" s="181"/>
      <c r="F182" s="180"/>
    </row>
    <row r="183" spans="1:6" x14ac:dyDescent="0.25">
      <c r="A183" s="187">
        <v>600000573</v>
      </c>
      <c r="B183" s="186" t="s">
        <v>1366</v>
      </c>
      <c r="C183" s="181">
        <v>0.15</v>
      </c>
      <c r="D183" s="181"/>
      <c r="E183" s="181"/>
      <c r="F183" s="180"/>
    </row>
    <row r="184" spans="1:6" x14ac:dyDescent="0.25">
      <c r="A184" s="187">
        <v>600000575</v>
      </c>
      <c r="B184" s="186" t="s">
        <v>1775</v>
      </c>
      <c r="C184" s="181">
        <v>7.2999999999999995E-2</v>
      </c>
      <c r="D184" s="181"/>
      <c r="E184" s="181"/>
      <c r="F184" s="180"/>
    </row>
    <row r="185" spans="1:6" x14ac:dyDescent="0.25">
      <c r="A185" s="187">
        <v>600000576</v>
      </c>
      <c r="B185" s="186" t="s">
        <v>1607</v>
      </c>
      <c r="C185" s="181">
        <v>8.2000000000000003E-2</v>
      </c>
      <c r="D185" s="181"/>
      <c r="E185" s="181"/>
      <c r="F185" s="180"/>
    </row>
    <row r="186" spans="1:6" x14ac:dyDescent="0.25">
      <c r="A186" s="187">
        <v>600000577</v>
      </c>
      <c r="B186" s="186" t="s">
        <v>1445</v>
      </c>
      <c r="C186" s="181">
        <v>0.28999999999999998</v>
      </c>
      <c r="D186" s="181"/>
      <c r="E186" s="181"/>
      <c r="F186" s="180"/>
    </row>
    <row r="187" spans="1:6" x14ac:dyDescent="0.25">
      <c r="A187" s="187">
        <v>600000578</v>
      </c>
      <c r="B187" s="186" t="s">
        <v>1544</v>
      </c>
      <c r="C187" s="181">
        <v>0.65</v>
      </c>
      <c r="D187" s="181"/>
      <c r="E187" s="181"/>
      <c r="F187" s="180"/>
    </row>
    <row r="188" spans="1:6" x14ac:dyDescent="0.25">
      <c r="A188" s="187"/>
      <c r="B188" s="186"/>
      <c r="C188" s="181"/>
      <c r="D188" s="181"/>
      <c r="E188" s="181"/>
      <c r="F188" s="180"/>
    </row>
    <row r="189" spans="1:6" x14ac:dyDescent="0.25">
      <c r="A189" s="187">
        <v>600000590</v>
      </c>
      <c r="B189" s="186" t="s">
        <v>1552</v>
      </c>
      <c r="C189" s="181">
        <v>0.13</v>
      </c>
      <c r="D189" s="181"/>
      <c r="E189" s="181"/>
      <c r="F189" s="180"/>
    </row>
    <row r="190" spans="1:6" x14ac:dyDescent="0.25">
      <c r="A190" s="187">
        <v>600000600</v>
      </c>
      <c r="B190" s="186" t="s">
        <v>1652</v>
      </c>
      <c r="C190" s="181">
        <v>0.16</v>
      </c>
      <c r="D190" s="181"/>
      <c r="E190" s="181"/>
      <c r="F190" s="180"/>
    </row>
    <row r="191" spans="1:6" x14ac:dyDescent="0.25">
      <c r="A191" s="187">
        <v>600000601</v>
      </c>
      <c r="B191" s="186" t="s">
        <v>1626</v>
      </c>
      <c r="C191" s="181">
        <v>0.18</v>
      </c>
      <c r="D191" s="181"/>
      <c r="E191" s="181"/>
      <c r="F191" s="180"/>
    </row>
    <row r="192" spans="1:6" x14ac:dyDescent="0.25">
      <c r="A192" s="187">
        <v>600000602</v>
      </c>
      <c r="B192" s="186" t="s">
        <v>1776</v>
      </c>
      <c r="C192" s="181">
        <v>8.5000000000000006E-2</v>
      </c>
      <c r="D192" s="181"/>
      <c r="E192" s="181"/>
      <c r="F192" s="180"/>
    </row>
    <row r="193" spans="1:6" x14ac:dyDescent="0.25">
      <c r="A193" s="187">
        <v>600000603</v>
      </c>
      <c r="B193" s="186" t="s">
        <v>1774</v>
      </c>
      <c r="C193" s="181">
        <v>0.11</v>
      </c>
      <c r="D193" s="181"/>
      <c r="E193" s="181"/>
      <c r="F193" s="180"/>
    </row>
    <row r="194" spans="1:6" x14ac:dyDescent="0.25">
      <c r="A194" s="187">
        <v>600000606</v>
      </c>
      <c r="B194" s="186" t="s">
        <v>1696</v>
      </c>
      <c r="C194" s="181">
        <v>0.2</v>
      </c>
      <c r="D194" s="181"/>
      <c r="E194" s="181"/>
      <c r="F194" s="180"/>
    </row>
    <row r="195" spans="1:6" x14ac:dyDescent="0.25">
      <c r="A195" s="187">
        <v>600000607</v>
      </c>
      <c r="B195" s="186" t="s">
        <v>1697</v>
      </c>
      <c r="C195" s="181">
        <v>0.23599999999999999</v>
      </c>
      <c r="D195" s="181"/>
      <c r="E195" s="181"/>
      <c r="F195" s="180"/>
    </row>
    <row r="196" spans="1:6" x14ac:dyDescent="0.25">
      <c r="A196" s="187">
        <v>600000608</v>
      </c>
      <c r="B196" s="186" t="s">
        <v>1698</v>
      </c>
      <c r="C196" s="181">
        <v>0.19</v>
      </c>
      <c r="D196" s="181"/>
      <c r="E196" s="181"/>
      <c r="F196" s="180"/>
    </row>
    <row r="197" spans="1:6" x14ac:dyDescent="0.25">
      <c r="A197" s="187">
        <v>600000609</v>
      </c>
      <c r="B197" s="186" t="s">
        <v>1699</v>
      </c>
      <c r="C197" s="181">
        <v>0.2</v>
      </c>
      <c r="D197" s="181"/>
      <c r="E197" s="181"/>
      <c r="F197" s="180"/>
    </row>
    <row r="198" spans="1:6" x14ac:dyDescent="0.25">
      <c r="A198" s="187">
        <v>600000610</v>
      </c>
      <c r="B198" s="186" t="s">
        <v>1724</v>
      </c>
      <c r="C198" s="181">
        <v>0.17499999999999999</v>
      </c>
      <c r="D198" s="181"/>
      <c r="E198" s="181"/>
      <c r="F198" s="180"/>
    </row>
    <row r="199" spans="1:6" x14ac:dyDescent="0.25">
      <c r="A199" s="187">
        <v>600000611</v>
      </c>
      <c r="B199" s="186" t="s">
        <v>1722</v>
      </c>
      <c r="C199" s="181">
        <v>0.13500000000000001</v>
      </c>
      <c r="D199" s="181"/>
      <c r="E199" s="181"/>
      <c r="F199" s="180"/>
    </row>
    <row r="200" spans="1:6" x14ac:dyDescent="0.25">
      <c r="A200" s="187">
        <v>600000612</v>
      </c>
      <c r="B200" s="186" t="s">
        <v>1723</v>
      </c>
      <c r="C200" s="181">
        <v>0.17</v>
      </c>
      <c r="D200" s="181"/>
      <c r="E200" s="181"/>
      <c r="F200" s="180"/>
    </row>
    <row r="201" spans="1:6" x14ac:dyDescent="0.25">
      <c r="A201" s="187">
        <v>600000613</v>
      </c>
      <c r="B201" s="186" t="s">
        <v>1725</v>
      </c>
      <c r="C201" s="181">
        <v>0.14000000000000001</v>
      </c>
      <c r="D201" s="181"/>
      <c r="E201" s="181"/>
      <c r="F201" s="180"/>
    </row>
    <row r="202" spans="1:6" x14ac:dyDescent="0.25">
      <c r="A202" s="187">
        <v>600000614</v>
      </c>
      <c r="B202" s="186" t="s">
        <v>1716</v>
      </c>
      <c r="C202" s="181">
        <v>0.25</v>
      </c>
      <c r="D202" s="181"/>
      <c r="E202" s="181"/>
      <c r="F202" s="180"/>
    </row>
    <row r="203" spans="1:6" x14ac:dyDescent="0.25">
      <c r="A203" s="187">
        <v>600000615</v>
      </c>
      <c r="B203" s="186" t="s">
        <v>1726</v>
      </c>
      <c r="C203" s="181">
        <v>0.23499999999999999</v>
      </c>
      <c r="D203" s="181"/>
      <c r="E203" s="181"/>
      <c r="F203" s="180"/>
    </row>
    <row r="204" spans="1:6" x14ac:dyDescent="0.25">
      <c r="A204" s="187"/>
      <c r="B204" s="186"/>
      <c r="C204" s="181"/>
      <c r="D204" s="181"/>
      <c r="E204" s="181"/>
      <c r="F204" s="180"/>
    </row>
    <row r="205" spans="1:6" x14ac:dyDescent="0.25">
      <c r="A205" s="187"/>
      <c r="B205" s="186"/>
      <c r="C205" s="181"/>
      <c r="D205" s="181"/>
      <c r="E205" s="181"/>
      <c r="F205" s="180"/>
    </row>
    <row r="206" spans="1:6" x14ac:dyDescent="0.25">
      <c r="A206" s="187"/>
      <c r="B206" s="186"/>
      <c r="C206" s="181"/>
      <c r="D206" s="181"/>
      <c r="E206" s="181"/>
      <c r="F206" s="180"/>
    </row>
    <row r="207" spans="1:6" x14ac:dyDescent="0.25">
      <c r="A207" s="187"/>
      <c r="B207" s="186"/>
      <c r="C207" s="181"/>
      <c r="D207" s="181"/>
      <c r="E207" s="181"/>
      <c r="F207" s="180"/>
    </row>
    <row r="208" spans="1:6" x14ac:dyDescent="0.25">
      <c r="A208" s="187"/>
      <c r="B208" s="186"/>
      <c r="C208" s="181"/>
      <c r="D208" s="181"/>
      <c r="E208" s="181"/>
      <c r="F208" s="180"/>
    </row>
    <row r="209" spans="1:6" x14ac:dyDescent="0.25">
      <c r="A209" s="187">
        <v>600000604</v>
      </c>
      <c r="B209" s="186" t="s">
        <v>1684</v>
      </c>
      <c r="C209" s="181">
        <v>8.5000000000000006E-2</v>
      </c>
      <c r="D209" s="181"/>
      <c r="E209" s="181"/>
      <c r="F209" s="180"/>
    </row>
    <row r="210" spans="1:6" x14ac:dyDescent="0.25">
      <c r="A210" s="187">
        <v>600000605</v>
      </c>
      <c r="B210" s="186" t="s">
        <v>1682</v>
      </c>
      <c r="C210" s="181">
        <v>0.11</v>
      </c>
      <c r="D210" s="181"/>
      <c r="E210" s="181"/>
      <c r="F210" s="180"/>
    </row>
    <row r="211" spans="1:6" x14ac:dyDescent="0.25">
      <c r="A211" s="187"/>
      <c r="B211" s="186"/>
      <c r="C211" s="181"/>
      <c r="D211" s="181"/>
      <c r="E211" s="181"/>
      <c r="F211" s="180"/>
    </row>
    <row r="212" spans="1:6" x14ac:dyDescent="0.25">
      <c r="A212" s="187">
        <v>600000591</v>
      </c>
      <c r="B212" s="186" t="s">
        <v>2093</v>
      </c>
      <c r="C212" s="181">
        <v>0.1</v>
      </c>
      <c r="D212" s="181"/>
      <c r="E212" s="181"/>
      <c r="F212" s="180"/>
    </row>
    <row r="213" spans="1:6" x14ac:dyDescent="0.25">
      <c r="A213" s="187">
        <v>600000592</v>
      </c>
      <c r="B213" s="186" t="s">
        <v>1802</v>
      </c>
      <c r="C213" s="181">
        <v>6.3E-2</v>
      </c>
      <c r="D213" s="181"/>
      <c r="E213" s="181"/>
      <c r="F213" s="180"/>
    </row>
    <row r="214" spans="1:6" x14ac:dyDescent="0.25">
      <c r="A214" s="187">
        <v>600000593</v>
      </c>
      <c r="B214" s="186" t="s">
        <v>1803</v>
      </c>
      <c r="C214" s="181">
        <v>6.3E-2</v>
      </c>
      <c r="D214" s="181"/>
      <c r="E214" s="181"/>
      <c r="F214" s="180"/>
    </row>
    <row r="215" spans="1:6" x14ac:dyDescent="0.25">
      <c r="A215" s="187">
        <v>600000619</v>
      </c>
      <c r="B215" s="186" t="s">
        <v>1864</v>
      </c>
      <c r="C215" s="181">
        <v>0.17499999999999999</v>
      </c>
      <c r="D215" s="181"/>
      <c r="E215" s="181"/>
      <c r="F215" s="180"/>
    </row>
    <row r="216" spans="1:6" x14ac:dyDescent="0.25">
      <c r="A216" s="187">
        <v>600000618</v>
      </c>
      <c r="B216" s="186" t="s">
        <v>1883</v>
      </c>
      <c r="C216" s="181">
        <v>0.25</v>
      </c>
      <c r="D216" s="181"/>
      <c r="E216" s="181"/>
      <c r="F216" s="180"/>
    </row>
    <row r="217" spans="1:6" x14ac:dyDescent="0.25">
      <c r="A217" s="187">
        <v>600000621</v>
      </c>
      <c r="B217" s="186" t="s">
        <v>1884</v>
      </c>
      <c r="C217" s="181">
        <v>0.25</v>
      </c>
      <c r="D217" s="181"/>
      <c r="E217" s="181"/>
      <c r="F217" s="180"/>
    </row>
    <row r="218" spans="1:6" x14ac:dyDescent="0.25">
      <c r="A218" s="187"/>
      <c r="B218" s="186"/>
      <c r="C218" s="181"/>
      <c r="D218" s="181"/>
      <c r="E218" s="181"/>
      <c r="F218" s="180"/>
    </row>
    <row r="219" spans="1:6" x14ac:dyDescent="0.25">
      <c r="A219" s="187">
        <v>600000624</v>
      </c>
      <c r="B219" s="186" t="s">
        <v>1904</v>
      </c>
      <c r="C219" s="181">
        <v>8.5000000000000006E-2</v>
      </c>
      <c r="D219" s="181"/>
      <c r="E219" s="181"/>
      <c r="F219" s="180"/>
    </row>
    <row r="220" spans="1:6" x14ac:dyDescent="0.25">
      <c r="A220" s="187"/>
      <c r="B220" s="186"/>
      <c r="C220" s="181"/>
      <c r="D220" s="181"/>
      <c r="E220" s="181"/>
      <c r="F220" s="180"/>
    </row>
    <row r="221" spans="1:6" x14ac:dyDescent="0.25">
      <c r="A221" s="187"/>
      <c r="B221" s="186"/>
      <c r="C221" s="181"/>
      <c r="D221" s="181"/>
      <c r="E221" s="181"/>
      <c r="F221" s="180"/>
    </row>
    <row r="222" spans="1:6" x14ac:dyDescent="0.25">
      <c r="A222" s="187"/>
      <c r="B222" s="186"/>
      <c r="C222" s="181"/>
      <c r="D222" s="181"/>
      <c r="E222" s="181"/>
      <c r="F222" s="180"/>
    </row>
    <row r="223" spans="1:6" x14ac:dyDescent="0.25">
      <c r="A223" s="187"/>
      <c r="B223" s="186"/>
      <c r="C223" s="181"/>
      <c r="D223" s="181"/>
      <c r="E223" s="181"/>
      <c r="F223" s="180"/>
    </row>
    <row r="224" spans="1:6" x14ac:dyDescent="0.25">
      <c r="A224" s="187"/>
      <c r="B224" s="186"/>
      <c r="C224" s="181"/>
      <c r="D224" s="181"/>
      <c r="E224" s="181"/>
      <c r="F224" s="180"/>
    </row>
    <row r="225" spans="1:6" x14ac:dyDescent="0.25">
      <c r="A225" s="187"/>
      <c r="B225" s="186"/>
      <c r="C225" s="181"/>
      <c r="D225" s="181"/>
      <c r="E225" s="181"/>
      <c r="F225" s="180"/>
    </row>
    <row r="226" spans="1:6" x14ac:dyDescent="0.25">
      <c r="A226" s="187"/>
      <c r="B226" s="186"/>
      <c r="C226" s="181"/>
      <c r="D226" s="181"/>
      <c r="E226" s="181"/>
      <c r="F226" s="180"/>
    </row>
    <row r="227" spans="1:6" x14ac:dyDescent="0.25">
      <c r="A227" s="187"/>
      <c r="B227" s="186"/>
      <c r="C227" s="181"/>
      <c r="D227" s="181"/>
      <c r="E227" s="181"/>
      <c r="F227" s="180"/>
    </row>
    <row r="228" spans="1:6" x14ac:dyDescent="0.25">
      <c r="A228" s="187"/>
      <c r="B228" s="186"/>
      <c r="C228" s="181"/>
      <c r="D228" s="181"/>
      <c r="E228" s="181"/>
      <c r="F228" s="180"/>
    </row>
    <row r="229" spans="1:6" x14ac:dyDescent="0.25">
      <c r="A229" s="187"/>
      <c r="B229" s="186"/>
      <c r="C229" s="181"/>
      <c r="D229" s="181"/>
      <c r="E229" s="181"/>
      <c r="F229" s="180"/>
    </row>
    <row r="230" spans="1:6" x14ac:dyDescent="0.25">
      <c r="A230" s="187"/>
      <c r="B230" s="186"/>
      <c r="C230" s="181"/>
      <c r="D230" s="181"/>
      <c r="E230" s="181"/>
      <c r="F230" s="180"/>
    </row>
    <row r="231" spans="1:6" x14ac:dyDescent="0.25">
      <c r="A231" s="187"/>
      <c r="B231" s="186"/>
      <c r="C231" s="181"/>
      <c r="D231" s="181"/>
      <c r="E231" s="181"/>
      <c r="F231" s="180"/>
    </row>
    <row r="232" spans="1:6" x14ac:dyDescent="0.25">
      <c r="A232" s="187"/>
      <c r="B232" s="186"/>
      <c r="C232" s="181"/>
      <c r="D232" s="181"/>
      <c r="E232" s="181"/>
      <c r="F232" s="180"/>
    </row>
    <row r="233" spans="1:6" x14ac:dyDescent="0.25">
      <c r="A233" s="187"/>
      <c r="B233" s="186"/>
      <c r="C233" s="181"/>
      <c r="D233" s="181"/>
      <c r="E233" s="181"/>
      <c r="F233" s="180"/>
    </row>
    <row r="234" spans="1:6" x14ac:dyDescent="0.25">
      <c r="A234" s="187"/>
      <c r="B234" s="186"/>
      <c r="C234" s="181"/>
      <c r="D234" s="181"/>
      <c r="E234" s="181"/>
      <c r="F234" s="180"/>
    </row>
    <row r="235" spans="1:6" x14ac:dyDescent="0.25">
      <c r="A235" s="187"/>
      <c r="B235" s="186"/>
      <c r="C235" s="181"/>
      <c r="D235" s="181"/>
      <c r="E235" s="181"/>
      <c r="F235" s="180"/>
    </row>
    <row r="236" spans="1:6" x14ac:dyDescent="0.25">
      <c r="A236" s="187"/>
      <c r="B236" s="186"/>
      <c r="C236" s="181"/>
      <c r="D236" s="181"/>
      <c r="E236" s="181"/>
      <c r="F236" s="180"/>
    </row>
  </sheetData>
  <dataValidations count="1">
    <dataValidation type="textLength" operator="lessThanOrEqual" allowBlank="1" showInputMessage="1" showErrorMessage="1" sqref="B124 B126 B128:B141" xr:uid="{00000000-0002-0000-0100-000000000000}">
      <formula1>40</formula1>
    </dataValidation>
  </dataValidations>
  <pageMargins left="0.70866141732283472" right="0.70866141732283472" top="0.74803149606299213" bottom="0.74803149606299213" header="0.31496062992125984" footer="0.31496062992125984"/>
  <pageSetup paperSize="9" scale="38" fitToHeight="3" orientation="landscape" r:id="rId1"/>
  <ignoredErrors>
    <ignoredError sqref="Q9" numberStoredAsText="1"/>
  </ignoredErrors>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Лист3"/>
  <dimension ref="A1:L341"/>
  <sheetViews>
    <sheetView workbookViewId="0">
      <pane ySplit="1" topLeftCell="A166" activePane="bottomLeft" state="frozen"/>
      <selection activeCell="A3" sqref="A3"/>
      <selection pane="bottomLeft" activeCell="A182" sqref="A182:B182"/>
    </sheetView>
  </sheetViews>
  <sheetFormatPr defaultRowHeight="12.75" x14ac:dyDescent="0.2"/>
  <cols>
    <col min="1" max="1" width="14.140625" bestFit="1" customWidth="1"/>
    <col min="2" max="2" width="47.85546875" bestFit="1" customWidth="1"/>
    <col min="5" max="5" width="9.140625" style="250"/>
    <col min="6" max="6" width="12.85546875" customWidth="1"/>
    <col min="9" max="9" width="9.5703125" bestFit="1" customWidth="1"/>
    <col min="12" max="12" width="10.140625" style="230" bestFit="1" customWidth="1"/>
  </cols>
  <sheetData>
    <row r="1" spans="1:12" ht="51.75" thickBot="1" x14ac:dyDescent="0.25">
      <c r="A1" s="216" t="s">
        <v>27</v>
      </c>
      <c r="B1" s="216" t="s">
        <v>26</v>
      </c>
      <c r="C1" s="216" t="s">
        <v>25</v>
      </c>
      <c r="D1" s="217" t="s">
        <v>114</v>
      </c>
      <c r="E1" s="218" t="s">
        <v>109</v>
      </c>
      <c r="F1" s="219" t="s">
        <v>110</v>
      </c>
      <c r="G1" s="220" t="s">
        <v>111</v>
      </c>
      <c r="H1" s="221" t="s">
        <v>112</v>
      </c>
      <c r="I1" s="222" t="s">
        <v>113</v>
      </c>
      <c r="L1" s="229" t="s">
        <v>519</v>
      </c>
    </row>
    <row r="2" spans="1:12" x14ac:dyDescent="0.2">
      <c r="A2" s="116">
        <v>1001012486874</v>
      </c>
      <c r="B2" s="46" t="s">
        <v>837</v>
      </c>
      <c r="C2" s="23" t="s">
        <v>3</v>
      </c>
      <c r="D2" s="215">
        <v>4.05</v>
      </c>
      <c r="E2" s="249">
        <v>4.05</v>
      </c>
      <c r="F2" s="208">
        <f t="shared" ref="F2:F49" si="0">ROUNDUP(Новая_кратность_короба__кг/Кол_во_штук_в_коробе,3)</f>
        <v>1.35</v>
      </c>
      <c r="G2" s="190">
        <v>3</v>
      </c>
      <c r="H2" s="40">
        <v>128</v>
      </c>
      <c r="I2" s="212">
        <f t="shared" ref="I2:I49" si="1">ROUNDDOWN(Новая_кратность_короба__кг*Кол_во_коробок_на_поддоне,1)</f>
        <v>518.4</v>
      </c>
      <c r="K2" s="211">
        <f>VLOOKUP(A2,КИ_ПФ!B3:AN821,39,FALSE)</f>
        <v>518.4</v>
      </c>
      <c r="L2" s="230" t="str">
        <f t="shared" ref="L2:L49" si="2">IF(I2=K2,"ИСТИНА","ЛОЖЬ")</f>
        <v>ИСТИНА</v>
      </c>
    </row>
    <row r="3" spans="1:12" x14ac:dyDescent="0.2">
      <c r="A3" s="116">
        <v>1001012487568</v>
      </c>
      <c r="B3" s="46" t="s">
        <v>1713</v>
      </c>
      <c r="C3" s="23" t="s">
        <v>3</v>
      </c>
      <c r="D3" s="215">
        <v>10.8</v>
      </c>
      <c r="E3" s="249">
        <v>10.8</v>
      </c>
      <c r="F3" s="208">
        <f t="shared" si="0"/>
        <v>1.35</v>
      </c>
      <c r="G3" s="190">
        <v>8</v>
      </c>
      <c r="H3" s="40">
        <v>72</v>
      </c>
      <c r="I3" s="212">
        <f t="shared" si="1"/>
        <v>777.6</v>
      </c>
      <c r="K3" s="211">
        <f>VLOOKUP(A3,КИ_ПФ!B4:AN822,39,FALSE)</f>
        <v>777.6</v>
      </c>
      <c r="L3" s="230" t="str">
        <f t="shared" si="2"/>
        <v>ИСТИНА</v>
      </c>
    </row>
    <row r="4" spans="1:12" x14ac:dyDescent="0.2">
      <c r="A4" s="116">
        <v>1001012426220</v>
      </c>
      <c r="B4" s="25" t="s">
        <v>1275</v>
      </c>
      <c r="C4" s="23" t="s">
        <v>3</v>
      </c>
      <c r="D4" s="215">
        <v>4.05</v>
      </c>
      <c r="E4" s="249">
        <v>4.05</v>
      </c>
      <c r="F4" s="208">
        <f t="shared" si="0"/>
        <v>1.35</v>
      </c>
      <c r="G4" s="190">
        <v>3</v>
      </c>
      <c r="H4" s="40">
        <v>112</v>
      </c>
      <c r="I4" s="212">
        <f t="shared" si="1"/>
        <v>453.6</v>
      </c>
      <c r="K4" s="211">
        <f>VLOOKUP(A4,КИ_ПФ!B5:AN823,39,FALSE)</f>
        <v>453.6</v>
      </c>
      <c r="L4" s="230" t="str">
        <f t="shared" si="2"/>
        <v>ИСТИНА</v>
      </c>
    </row>
    <row r="5" spans="1:12" x14ac:dyDescent="0.2">
      <c r="A5" s="116">
        <v>1001012993254</v>
      </c>
      <c r="B5" s="46" t="s">
        <v>214</v>
      </c>
      <c r="C5" s="23" t="s">
        <v>3</v>
      </c>
      <c r="D5" s="215">
        <v>4.05</v>
      </c>
      <c r="E5" s="249">
        <v>4.05</v>
      </c>
      <c r="F5" s="208">
        <f t="shared" si="0"/>
        <v>1.35</v>
      </c>
      <c r="G5" s="190">
        <v>3</v>
      </c>
      <c r="H5" s="40">
        <v>128</v>
      </c>
      <c r="I5" s="212">
        <f t="shared" si="1"/>
        <v>518.4</v>
      </c>
      <c r="K5" s="211">
        <f>VLOOKUP(A5,КИ_ПФ!B6:AN824,39,FALSE)</f>
        <v>518.4</v>
      </c>
      <c r="L5" s="230" t="str">
        <f t="shared" si="2"/>
        <v>ИСТИНА</v>
      </c>
    </row>
    <row r="6" spans="1:12" x14ac:dyDescent="0.2">
      <c r="A6" s="116">
        <v>1001012997577</v>
      </c>
      <c r="B6" s="46" t="s">
        <v>1714</v>
      </c>
      <c r="C6" s="23" t="s">
        <v>3</v>
      </c>
      <c r="D6" s="215">
        <v>10.8</v>
      </c>
      <c r="E6" s="249">
        <v>10.8</v>
      </c>
      <c r="F6" s="208">
        <f t="shared" si="0"/>
        <v>1.35</v>
      </c>
      <c r="G6" s="190">
        <v>8</v>
      </c>
      <c r="H6" s="40">
        <v>72</v>
      </c>
      <c r="I6" s="212">
        <f t="shared" si="1"/>
        <v>777.6</v>
      </c>
      <c r="K6" s="211">
        <f>VLOOKUP(A6,КИ_ПФ!B7:AN825,39,FALSE)</f>
        <v>777.6</v>
      </c>
      <c r="L6" s="230" t="str">
        <f t="shared" si="2"/>
        <v>ИСТИНА</v>
      </c>
    </row>
    <row r="7" spans="1:12" x14ac:dyDescent="0.2">
      <c r="A7" s="116">
        <v>1001010011112</v>
      </c>
      <c r="B7" s="25" t="s">
        <v>1753</v>
      </c>
      <c r="C7" s="23" t="s">
        <v>3</v>
      </c>
      <c r="D7" s="311">
        <v>2.65</v>
      </c>
      <c r="E7" s="249">
        <v>2.65</v>
      </c>
      <c r="F7" s="208">
        <f t="shared" si="0"/>
        <v>1.325</v>
      </c>
      <c r="G7" s="190">
        <v>2</v>
      </c>
      <c r="H7" s="40">
        <v>135</v>
      </c>
      <c r="I7" s="212">
        <f t="shared" si="1"/>
        <v>357.7</v>
      </c>
      <c r="K7" s="211">
        <f>VLOOKUP(A7,КИ_ПФ!B8:AN826,39,FALSE)</f>
        <v>357.7</v>
      </c>
      <c r="L7" s="230" t="str">
        <f t="shared" si="2"/>
        <v>ИСТИНА</v>
      </c>
    </row>
    <row r="8" spans="1:12" x14ac:dyDescent="0.2">
      <c r="A8" s="116">
        <v>1001010014555</v>
      </c>
      <c r="B8" s="46" t="s">
        <v>124</v>
      </c>
      <c r="C8" s="23" t="s">
        <v>3</v>
      </c>
      <c r="D8" s="215">
        <v>4.05</v>
      </c>
      <c r="E8" s="249">
        <v>4.05</v>
      </c>
      <c r="F8" s="208">
        <f t="shared" si="0"/>
        <v>1.35</v>
      </c>
      <c r="G8" s="190">
        <v>3</v>
      </c>
      <c r="H8" s="40">
        <v>128</v>
      </c>
      <c r="I8" s="212">
        <f t="shared" si="1"/>
        <v>518.4</v>
      </c>
      <c r="K8" s="211">
        <f>VLOOKUP(A8,КИ_ПФ!B9:AN827,39,FALSE)</f>
        <v>518.4</v>
      </c>
      <c r="L8" s="230" t="str">
        <f t="shared" si="2"/>
        <v>ИСТИНА</v>
      </c>
    </row>
    <row r="9" spans="1:12" x14ac:dyDescent="0.2">
      <c r="A9" s="116">
        <v>1001010017536</v>
      </c>
      <c r="B9" s="46" t="s">
        <v>1690</v>
      </c>
      <c r="C9" s="23" t="s">
        <v>3</v>
      </c>
      <c r="D9" s="215">
        <v>4.05</v>
      </c>
      <c r="E9" s="249">
        <v>4.05</v>
      </c>
      <c r="F9" s="208">
        <f t="shared" si="0"/>
        <v>1.35</v>
      </c>
      <c r="G9" s="190">
        <v>3</v>
      </c>
      <c r="H9" s="40">
        <v>128</v>
      </c>
      <c r="I9" s="212">
        <f t="shared" si="1"/>
        <v>518.4</v>
      </c>
      <c r="K9" s="211">
        <f>VLOOKUP(A9,КИ_ПФ!B10:AN828,39,FALSE)</f>
        <v>518.4</v>
      </c>
      <c r="L9" s="230" t="str">
        <f t="shared" si="2"/>
        <v>ИСТИНА</v>
      </c>
    </row>
    <row r="10" spans="1:12" x14ac:dyDescent="0.2">
      <c r="A10" s="116">
        <v>1001010017557</v>
      </c>
      <c r="B10" s="25" t="s">
        <v>1744</v>
      </c>
      <c r="C10" s="23" t="s">
        <v>3</v>
      </c>
      <c r="D10" s="215">
        <v>6.4</v>
      </c>
      <c r="E10" s="249">
        <v>6.4</v>
      </c>
      <c r="F10" s="208">
        <f t="shared" si="0"/>
        <v>1.6</v>
      </c>
      <c r="G10" s="190">
        <v>4</v>
      </c>
      <c r="H10" s="40">
        <v>96</v>
      </c>
      <c r="I10" s="212">
        <f t="shared" si="1"/>
        <v>614.4</v>
      </c>
      <c r="K10" s="211">
        <f>VLOOKUP(A10,КИ_ПФ!B11:AN829,39,FALSE)</f>
        <v>614.4</v>
      </c>
      <c r="L10" s="230" t="str">
        <f t="shared" si="2"/>
        <v>ИСТИНА</v>
      </c>
    </row>
    <row r="11" spans="1:12" x14ac:dyDescent="0.2">
      <c r="A11" s="116">
        <v>1001010014561</v>
      </c>
      <c r="B11" s="46" t="s">
        <v>316</v>
      </c>
      <c r="C11" s="23" t="s">
        <v>3</v>
      </c>
      <c r="D11" s="215">
        <v>4.05</v>
      </c>
      <c r="E11" s="249">
        <v>4.05</v>
      </c>
      <c r="F11" s="208">
        <f t="shared" si="0"/>
        <v>1.35</v>
      </c>
      <c r="G11" s="190">
        <v>3</v>
      </c>
      <c r="H11" s="40">
        <v>128</v>
      </c>
      <c r="I11" s="212">
        <f t="shared" si="1"/>
        <v>518.4</v>
      </c>
      <c r="K11" s="211">
        <f>VLOOKUP(A11,КИ_ПФ!B11:AN830,39,FALSE)</f>
        <v>518.4</v>
      </c>
      <c r="L11" s="230" t="str">
        <f t="shared" si="2"/>
        <v>ИСТИНА</v>
      </c>
    </row>
    <row r="12" spans="1:12" x14ac:dyDescent="0.2">
      <c r="A12" s="116">
        <v>1001010017567</v>
      </c>
      <c r="B12" s="46" t="s">
        <v>1712</v>
      </c>
      <c r="C12" s="23" t="s">
        <v>3</v>
      </c>
      <c r="D12" s="215">
        <v>10.8</v>
      </c>
      <c r="E12" s="249">
        <v>10.8</v>
      </c>
      <c r="F12" s="208">
        <f t="shared" si="0"/>
        <v>1.35</v>
      </c>
      <c r="G12" s="190">
        <v>8</v>
      </c>
      <c r="H12" s="40">
        <v>72</v>
      </c>
      <c r="I12" s="212">
        <f t="shared" si="1"/>
        <v>777.6</v>
      </c>
      <c r="K12" s="211">
        <f>VLOOKUP(A12,КИ_ПФ!B12:AN831,39,FALSE)</f>
        <v>777.6</v>
      </c>
      <c r="L12" s="230" t="str">
        <f t="shared" si="2"/>
        <v>ИСТИНА</v>
      </c>
    </row>
    <row r="13" spans="1:12" x14ac:dyDescent="0.2">
      <c r="A13" s="116">
        <v>1001010096988</v>
      </c>
      <c r="B13" s="46" t="s">
        <v>971</v>
      </c>
      <c r="C13" s="23" t="s">
        <v>3</v>
      </c>
      <c r="D13" s="215">
        <v>6.2</v>
      </c>
      <c r="E13" s="249">
        <v>6.2</v>
      </c>
      <c r="F13" s="208">
        <f t="shared" si="0"/>
        <v>1.55</v>
      </c>
      <c r="G13" s="190">
        <v>4</v>
      </c>
      <c r="H13" s="40">
        <v>96</v>
      </c>
      <c r="I13" s="212">
        <f t="shared" si="1"/>
        <v>595.20000000000005</v>
      </c>
      <c r="K13" s="211">
        <f>VLOOKUP(A13,КИ_ПФ!B13:AN832,39,FALSE)</f>
        <v>595.20000000000005</v>
      </c>
      <c r="L13" s="230" t="str">
        <f t="shared" si="2"/>
        <v>ИСТИНА</v>
      </c>
    </row>
    <row r="14" spans="1:12" x14ac:dyDescent="0.2">
      <c r="A14" s="116">
        <v>1001017437515</v>
      </c>
      <c r="B14" s="46" t="s">
        <v>1629</v>
      </c>
      <c r="C14" s="23" t="s">
        <v>3</v>
      </c>
      <c r="D14" s="215">
        <v>6.4</v>
      </c>
      <c r="E14" s="249">
        <v>6.4</v>
      </c>
      <c r="F14" s="208">
        <f t="shared" si="0"/>
        <v>1.6</v>
      </c>
      <c r="G14" s="190">
        <v>4</v>
      </c>
      <c r="H14" s="40">
        <v>96</v>
      </c>
      <c r="I14" s="212">
        <f t="shared" si="1"/>
        <v>614.4</v>
      </c>
      <c r="K14" s="211">
        <f>VLOOKUP(A14,КИ_ПФ!B14:AN833,39,FALSE)</f>
        <v>614.4</v>
      </c>
      <c r="L14" s="230" t="str">
        <f t="shared" si="2"/>
        <v>ИСТИНА</v>
      </c>
    </row>
    <row r="15" spans="1:12" x14ac:dyDescent="0.2">
      <c r="A15" s="116">
        <v>1001012497555</v>
      </c>
      <c r="B15" s="46" t="s">
        <v>1743</v>
      </c>
      <c r="C15" s="23" t="s">
        <v>3</v>
      </c>
      <c r="D15" s="215">
        <v>3</v>
      </c>
      <c r="E15" s="249">
        <v>3</v>
      </c>
      <c r="F15" s="208">
        <f t="shared" si="0"/>
        <v>1.5</v>
      </c>
      <c r="G15" s="190">
        <v>2</v>
      </c>
      <c r="H15" s="40">
        <v>128</v>
      </c>
      <c r="I15" s="212">
        <f t="shared" si="1"/>
        <v>384</v>
      </c>
      <c r="K15" s="211">
        <f>VLOOKUP(A15,КИ_ПФ!B15:AN834,39,FALSE)</f>
        <v>384</v>
      </c>
      <c r="L15" s="230" t="str">
        <f t="shared" si="2"/>
        <v>ИСТИНА</v>
      </c>
    </row>
    <row r="16" spans="1:12" x14ac:dyDescent="0.2">
      <c r="A16" s="116">
        <v>1001010108014</v>
      </c>
      <c r="B16" s="25" t="s">
        <v>211</v>
      </c>
      <c r="C16" s="23" t="s">
        <v>3</v>
      </c>
      <c r="D16" s="215">
        <v>5.4</v>
      </c>
      <c r="E16" s="249">
        <v>5.4</v>
      </c>
      <c r="F16" s="208">
        <f t="shared" si="0"/>
        <v>1.35</v>
      </c>
      <c r="G16" s="190">
        <v>4</v>
      </c>
      <c r="H16" s="40">
        <v>128</v>
      </c>
      <c r="I16" s="212">
        <f t="shared" si="1"/>
        <v>691.2</v>
      </c>
      <c r="K16" s="211">
        <f>VLOOKUP(A16,КИ_ПФ!B17:AN836,39,FALSE)</f>
        <v>691.2</v>
      </c>
      <c r="L16" s="230" t="str">
        <f t="shared" si="2"/>
        <v>ИСТИНА</v>
      </c>
    </row>
    <row r="17" spans="1:12" x14ac:dyDescent="0.2">
      <c r="A17" s="116">
        <v>1001015646861</v>
      </c>
      <c r="B17" s="25" t="s">
        <v>862</v>
      </c>
      <c r="C17" s="23" t="s">
        <v>3</v>
      </c>
      <c r="D17" s="215">
        <v>3.9</v>
      </c>
      <c r="E17" s="249">
        <v>3.9</v>
      </c>
      <c r="F17" s="208">
        <f t="shared" si="0"/>
        <v>1.95</v>
      </c>
      <c r="G17" s="190">
        <v>2</v>
      </c>
      <c r="H17" s="40">
        <v>120</v>
      </c>
      <c r="I17" s="212">
        <f t="shared" si="1"/>
        <v>468</v>
      </c>
      <c r="K17" s="211">
        <f>VLOOKUP(A17,КИ_ПФ!B19:AN838,39,FALSE)</f>
        <v>468</v>
      </c>
      <c r="L17" s="230" t="str">
        <f t="shared" si="2"/>
        <v>ИСТИНА</v>
      </c>
    </row>
    <row r="18" spans="1:12" x14ac:dyDescent="0.2">
      <c r="A18" s="116">
        <v>1001015706862</v>
      </c>
      <c r="B18" s="25" t="s">
        <v>864</v>
      </c>
      <c r="C18" s="23" t="s">
        <v>3</v>
      </c>
      <c r="D18" s="215">
        <v>3.9</v>
      </c>
      <c r="E18" s="249">
        <v>3.9</v>
      </c>
      <c r="F18" s="208">
        <f t="shared" si="0"/>
        <v>1.95</v>
      </c>
      <c r="G18" s="190">
        <v>2</v>
      </c>
      <c r="H18" s="40">
        <v>120</v>
      </c>
      <c r="I18" s="212">
        <f t="shared" si="1"/>
        <v>468</v>
      </c>
      <c r="K18" s="211">
        <f>VLOOKUP(A18,КИ_ПФ!B20:AN839,39,FALSE)</f>
        <v>468</v>
      </c>
      <c r="L18" s="230" t="str">
        <f t="shared" si="2"/>
        <v>ИСТИНА</v>
      </c>
    </row>
    <row r="19" spans="1:12" x14ac:dyDescent="0.2">
      <c r="A19" s="116">
        <v>1001011086841</v>
      </c>
      <c r="B19" s="25" t="s">
        <v>822</v>
      </c>
      <c r="C19" s="23" t="s">
        <v>3</v>
      </c>
      <c r="D19" s="215">
        <v>3.15</v>
      </c>
      <c r="E19" s="249">
        <v>3.15</v>
      </c>
      <c r="F19" s="208">
        <f t="shared" si="0"/>
        <v>1.05</v>
      </c>
      <c r="G19" s="190">
        <v>3</v>
      </c>
      <c r="H19" s="40">
        <v>128</v>
      </c>
      <c r="I19" s="212">
        <f t="shared" si="1"/>
        <v>403.2</v>
      </c>
      <c r="K19" s="211">
        <f>VLOOKUP(A19,КИ_ПФ!B21:AN840,39,FALSE)</f>
        <v>403.2</v>
      </c>
      <c r="L19" s="230" t="str">
        <f t="shared" si="2"/>
        <v>ИСТИНА</v>
      </c>
    </row>
    <row r="20" spans="1:12" x14ac:dyDescent="0.2">
      <c r="A20" s="116">
        <v>1001016997512</v>
      </c>
      <c r="B20" s="25" t="s">
        <v>1769</v>
      </c>
      <c r="C20" s="23" t="s">
        <v>3</v>
      </c>
      <c r="D20" s="215">
        <v>3</v>
      </c>
      <c r="E20" s="249">
        <v>3</v>
      </c>
      <c r="F20" s="208">
        <f t="shared" si="0"/>
        <v>1</v>
      </c>
      <c r="G20" s="190">
        <v>3</v>
      </c>
      <c r="H20" s="40">
        <v>128</v>
      </c>
      <c r="I20" s="212">
        <f t="shared" si="1"/>
        <v>384</v>
      </c>
      <c r="K20" s="211">
        <f>VLOOKUP(A20,КИ_ПФ!B22:AN841,39,FALSE)</f>
        <v>384</v>
      </c>
      <c r="L20" s="230" t="str">
        <f t="shared" si="2"/>
        <v>ИСТИНА</v>
      </c>
    </row>
    <row r="21" spans="1:12" x14ac:dyDescent="0.2">
      <c r="A21" s="116">
        <v>1001013643214</v>
      </c>
      <c r="B21" s="25" t="s">
        <v>1886</v>
      </c>
      <c r="C21" s="23" t="s">
        <v>3</v>
      </c>
      <c r="D21" s="215">
        <v>3</v>
      </c>
      <c r="E21" s="249">
        <v>3</v>
      </c>
      <c r="F21" s="208">
        <f t="shared" si="0"/>
        <v>1</v>
      </c>
      <c r="G21" s="190">
        <v>3</v>
      </c>
      <c r="H21" s="40">
        <v>128</v>
      </c>
      <c r="I21" s="212">
        <f t="shared" si="1"/>
        <v>384</v>
      </c>
      <c r="K21" s="211">
        <f>VLOOKUP(A21,КИ_ПФ!B23:AN842,39,FALSE)</f>
        <v>384</v>
      </c>
      <c r="L21" s="230" t="str">
        <f t="shared" si="2"/>
        <v>ИСТИНА</v>
      </c>
    </row>
    <row r="22" spans="1:12" x14ac:dyDescent="0.2">
      <c r="A22" s="116">
        <v>1001013956859</v>
      </c>
      <c r="B22" s="25" t="s">
        <v>854</v>
      </c>
      <c r="C22" s="23" t="s">
        <v>3</v>
      </c>
      <c r="D22" s="215">
        <v>10.8</v>
      </c>
      <c r="E22" s="249">
        <v>10.8</v>
      </c>
      <c r="F22" s="208">
        <f t="shared" si="0"/>
        <v>1.35</v>
      </c>
      <c r="G22" s="190">
        <v>8</v>
      </c>
      <c r="H22" s="40">
        <v>64</v>
      </c>
      <c r="I22" s="212">
        <f t="shared" si="1"/>
        <v>691.2</v>
      </c>
      <c r="K22" s="211">
        <f>VLOOKUP(A22,КИ_ПФ!B23:AN842,39,FALSE)</f>
        <v>691.2</v>
      </c>
      <c r="L22" s="230" t="str">
        <f t="shared" si="2"/>
        <v>ИСТИНА</v>
      </c>
    </row>
    <row r="23" spans="1:12" x14ac:dyDescent="0.2">
      <c r="A23" s="116">
        <v>1001013957572</v>
      </c>
      <c r="B23" s="25" t="s">
        <v>1709</v>
      </c>
      <c r="C23" s="23" t="s">
        <v>3</v>
      </c>
      <c r="D23" s="215">
        <v>10.8</v>
      </c>
      <c r="E23" s="249">
        <v>10.8</v>
      </c>
      <c r="F23" s="208">
        <f t="shared" si="0"/>
        <v>1.35</v>
      </c>
      <c r="G23" s="190">
        <v>8</v>
      </c>
      <c r="H23" s="40">
        <v>72</v>
      </c>
      <c r="I23" s="212">
        <f t="shared" si="1"/>
        <v>777.6</v>
      </c>
      <c r="K23" s="211">
        <f>VLOOKUP(A23,КИ_ПФ!B24:AN843,39,FALSE)</f>
        <v>777.6</v>
      </c>
      <c r="L23" s="230" t="str">
        <f t="shared" si="2"/>
        <v>ИСТИНА</v>
      </c>
    </row>
    <row r="24" spans="1:12" x14ac:dyDescent="0.2">
      <c r="A24" s="116">
        <v>1001013956860</v>
      </c>
      <c r="B24" s="25" t="s">
        <v>959</v>
      </c>
      <c r="C24" s="23" t="s">
        <v>3</v>
      </c>
      <c r="D24" s="215">
        <v>10.8</v>
      </c>
      <c r="E24" s="249">
        <v>10.8</v>
      </c>
      <c r="F24" s="208">
        <f t="shared" si="0"/>
        <v>1.35</v>
      </c>
      <c r="G24" s="190">
        <v>8</v>
      </c>
      <c r="H24" s="40">
        <v>64</v>
      </c>
      <c r="I24" s="212">
        <f t="shared" si="1"/>
        <v>691.2</v>
      </c>
      <c r="K24" s="211">
        <f>VLOOKUP(A24,КИ_ПФ!B25:AN844,39,FALSE)</f>
        <v>691.2</v>
      </c>
      <c r="L24" s="230" t="str">
        <f t="shared" si="2"/>
        <v>ИСТИНА</v>
      </c>
    </row>
    <row r="25" spans="1:12" x14ac:dyDescent="0.2">
      <c r="A25" s="116">
        <v>1001013957571</v>
      </c>
      <c r="B25" s="25" t="s">
        <v>1710</v>
      </c>
      <c r="C25" s="23" t="s">
        <v>3</v>
      </c>
      <c r="D25" s="215">
        <v>10.8</v>
      </c>
      <c r="E25" s="249">
        <v>10.8</v>
      </c>
      <c r="F25" s="208">
        <f t="shared" si="0"/>
        <v>1.35</v>
      </c>
      <c r="G25" s="190">
        <v>8</v>
      </c>
      <c r="H25" s="40">
        <v>72</v>
      </c>
      <c r="I25" s="212">
        <f t="shared" si="1"/>
        <v>777.6</v>
      </c>
      <c r="K25" s="211">
        <f>VLOOKUP(A25,КИ_ПФ!B26:AN845,39,FALSE)</f>
        <v>777.6</v>
      </c>
      <c r="L25" s="230" t="str">
        <f t="shared" si="2"/>
        <v>ИСТИНА</v>
      </c>
    </row>
    <row r="26" spans="1:12" x14ac:dyDescent="0.2">
      <c r="A26" s="116">
        <v>1001013957529</v>
      </c>
      <c r="B26" s="25" t="s">
        <v>1637</v>
      </c>
      <c r="C26" s="23" t="s">
        <v>3</v>
      </c>
      <c r="D26" s="215">
        <v>10.8</v>
      </c>
      <c r="E26" s="249">
        <v>10.8</v>
      </c>
      <c r="F26" s="208">
        <f t="shared" si="0"/>
        <v>1.35</v>
      </c>
      <c r="G26" s="190">
        <v>8</v>
      </c>
      <c r="H26" s="40">
        <v>64</v>
      </c>
      <c r="I26" s="212">
        <f t="shared" si="1"/>
        <v>691.2</v>
      </c>
      <c r="K26" s="211">
        <f>VLOOKUP(A26,КИ_ПФ!B26:AN846,39,FALSE)</f>
        <v>691.2</v>
      </c>
      <c r="L26" s="230" t="str">
        <f t="shared" si="2"/>
        <v>ИСТИНА</v>
      </c>
    </row>
    <row r="27" spans="1:12" x14ac:dyDescent="0.2">
      <c r="A27" s="116">
        <v>1001013956310</v>
      </c>
      <c r="B27" s="25" t="s">
        <v>1217</v>
      </c>
      <c r="C27" s="23" t="s">
        <v>3</v>
      </c>
      <c r="D27" s="215">
        <v>4.05</v>
      </c>
      <c r="E27" s="249">
        <v>4.05</v>
      </c>
      <c r="F27" s="208">
        <f t="shared" si="0"/>
        <v>1.35</v>
      </c>
      <c r="G27" s="190">
        <v>3</v>
      </c>
      <c r="H27" s="40">
        <v>112</v>
      </c>
      <c r="I27" s="212">
        <f t="shared" si="1"/>
        <v>453.6</v>
      </c>
      <c r="K27" s="211">
        <f>VLOOKUP(A27,КИ_ПФ!B27:AN847,39,FALSE)</f>
        <v>453.6</v>
      </c>
      <c r="L27" s="230" t="str">
        <f t="shared" si="2"/>
        <v>ИСТИНА</v>
      </c>
    </row>
    <row r="28" spans="1:12" x14ac:dyDescent="0.2">
      <c r="A28" s="116">
        <v>1001013957196</v>
      </c>
      <c r="B28" s="25" t="s">
        <v>1157</v>
      </c>
      <c r="C28" s="23" t="s">
        <v>3</v>
      </c>
      <c r="D28" s="215">
        <v>4.05</v>
      </c>
      <c r="E28" s="249">
        <v>4.05</v>
      </c>
      <c r="F28" s="208">
        <f t="shared" si="0"/>
        <v>1.35</v>
      </c>
      <c r="G28" s="190">
        <v>3</v>
      </c>
      <c r="H28" s="40">
        <v>112</v>
      </c>
      <c r="I28" s="212">
        <f t="shared" si="1"/>
        <v>453.6</v>
      </c>
      <c r="K28" s="211">
        <f>VLOOKUP(A28,КИ_ПФ!B28:AN848,39,FALSE)</f>
        <v>453.6</v>
      </c>
      <c r="L28" s="230" t="str">
        <f t="shared" si="2"/>
        <v>ИСТИНА</v>
      </c>
    </row>
    <row r="29" spans="1:12" x14ac:dyDescent="0.2">
      <c r="A29" s="116">
        <v>1001013956885</v>
      </c>
      <c r="B29" s="25" t="s">
        <v>1278</v>
      </c>
      <c r="C29" s="23" t="s">
        <v>3</v>
      </c>
      <c r="D29" s="311">
        <v>4.05</v>
      </c>
      <c r="E29" s="249">
        <v>4.05</v>
      </c>
      <c r="F29" s="208">
        <f t="shared" si="0"/>
        <v>1.35</v>
      </c>
      <c r="G29" s="190">
        <v>3</v>
      </c>
      <c r="H29" s="40">
        <v>128</v>
      </c>
      <c r="I29" s="212">
        <f t="shared" si="1"/>
        <v>518.4</v>
      </c>
      <c r="K29" s="211">
        <f>VLOOKUP(A29,КИ_ПФ!B29:AN850,39,FALSE)</f>
        <v>518.4</v>
      </c>
      <c r="L29" s="230" t="str">
        <f t="shared" si="2"/>
        <v>ИСТИНА</v>
      </c>
    </row>
    <row r="30" spans="1:12" x14ac:dyDescent="0.2">
      <c r="A30" s="116">
        <v>1001013955652</v>
      </c>
      <c r="B30" s="25" t="s">
        <v>237</v>
      </c>
      <c r="C30" s="23" t="s">
        <v>3</v>
      </c>
      <c r="D30" s="311">
        <v>4.05</v>
      </c>
      <c r="E30" s="249">
        <v>4.05</v>
      </c>
      <c r="F30" s="208">
        <f t="shared" si="0"/>
        <v>1.35</v>
      </c>
      <c r="G30" s="190">
        <v>3</v>
      </c>
      <c r="H30" s="40">
        <v>112</v>
      </c>
      <c r="I30" s="212">
        <f t="shared" si="1"/>
        <v>453.6</v>
      </c>
      <c r="K30" s="211">
        <f>VLOOKUP(A30,КИ_ПФ!B30:AN851,39,FALSE)</f>
        <v>453.6</v>
      </c>
      <c r="L30" s="230" t="str">
        <f t="shared" si="2"/>
        <v>ИСТИНА</v>
      </c>
    </row>
    <row r="31" spans="1:12" x14ac:dyDescent="0.2">
      <c r="A31" s="116">
        <v>1001013953498</v>
      </c>
      <c r="B31" s="25" t="s">
        <v>328</v>
      </c>
      <c r="C31" s="23" t="s">
        <v>3</v>
      </c>
      <c r="D31" s="311">
        <v>4.05</v>
      </c>
      <c r="E31" s="249">
        <v>4.05</v>
      </c>
      <c r="F31" s="208">
        <f t="shared" si="0"/>
        <v>1.35</v>
      </c>
      <c r="G31" s="190">
        <v>3</v>
      </c>
      <c r="H31" s="40">
        <v>128</v>
      </c>
      <c r="I31" s="212">
        <f t="shared" si="1"/>
        <v>518.4</v>
      </c>
      <c r="K31" s="211">
        <f>VLOOKUP(A31,КИ_ПФ!B31:AN852,39,FALSE)</f>
        <v>518.4</v>
      </c>
      <c r="L31" s="230" t="str">
        <f t="shared" si="2"/>
        <v>ИСТИНА</v>
      </c>
    </row>
    <row r="32" spans="1:12" x14ac:dyDescent="0.2">
      <c r="A32" s="116">
        <v>1001014136501</v>
      </c>
      <c r="B32" s="46" t="s">
        <v>315</v>
      </c>
      <c r="C32" s="23" t="s">
        <v>3</v>
      </c>
      <c r="D32" s="311">
        <v>4.05</v>
      </c>
      <c r="E32" s="249">
        <v>4.05</v>
      </c>
      <c r="F32" s="208">
        <f t="shared" si="0"/>
        <v>1.35</v>
      </c>
      <c r="G32" s="190">
        <v>3</v>
      </c>
      <c r="H32" s="40">
        <v>128</v>
      </c>
      <c r="I32" s="212">
        <f t="shared" si="1"/>
        <v>518.4</v>
      </c>
      <c r="K32" s="211">
        <f>VLOOKUP(A32,КИ_ПФ!B32:AN853,39,FALSE)</f>
        <v>518.4</v>
      </c>
      <c r="L32" s="230" t="str">
        <f t="shared" si="2"/>
        <v>ИСТИНА</v>
      </c>
    </row>
    <row r="33" spans="1:12" x14ac:dyDescent="0.2">
      <c r="A33" s="116">
        <v>1001017557514</v>
      </c>
      <c r="B33" s="46" t="s">
        <v>1631</v>
      </c>
      <c r="C33" s="23" t="s">
        <v>3</v>
      </c>
      <c r="D33" s="311">
        <v>6.4</v>
      </c>
      <c r="E33" s="249">
        <v>6.4</v>
      </c>
      <c r="F33" s="208">
        <f t="shared" si="0"/>
        <v>1.6</v>
      </c>
      <c r="G33" s="190">
        <v>4</v>
      </c>
      <c r="H33" s="40">
        <v>96</v>
      </c>
      <c r="I33" s="212">
        <f t="shared" si="1"/>
        <v>614.4</v>
      </c>
      <c r="K33" s="211">
        <f>VLOOKUP(A33,КИ_ПФ!B33:AN854,39,FALSE)</f>
        <v>614.4</v>
      </c>
      <c r="L33" s="230" t="str">
        <f t="shared" si="2"/>
        <v>ИСТИНА</v>
      </c>
    </row>
    <row r="34" spans="1:12" x14ac:dyDescent="0.2">
      <c r="A34" s="116">
        <v>1001012456464</v>
      </c>
      <c r="B34" s="46" t="s">
        <v>545</v>
      </c>
      <c r="C34" s="23" t="s">
        <v>3</v>
      </c>
      <c r="D34" s="215">
        <v>4</v>
      </c>
      <c r="E34" s="249">
        <v>4</v>
      </c>
      <c r="F34" s="208">
        <f t="shared" si="0"/>
        <v>1</v>
      </c>
      <c r="G34" s="190">
        <v>4</v>
      </c>
      <c r="H34" s="40">
        <v>112</v>
      </c>
      <c r="I34" s="212">
        <f t="shared" si="1"/>
        <v>448</v>
      </c>
      <c r="K34" s="211">
        <f>VLOOKUP(A34,КИ_ПФ!B34:AN855,39,FALSE)</f>
        <v>448</v>
      </c>
      <c r="L34" s="230" t="str">
        <f t="shared" si="2"/>
        <v>ИСТИНА</v>
      </c>
    </row>
    <row r="35" spans="1:12" x14ac:dyDescent="0.2">
      <c r="A35" s="116">
        <v>1001012456876</v>
      </c>
      <c r="B35" s="46" t="s">
        <v>842</v>
      </c>
      <c r="C35" s="23" t="s">
        <v>3</v>
      </c>
      <c r="D35" s="215">
        <v>4</v>
      </c>
      <c r="E35" s="249">
        <v>4</v>
      </c>
      <c r="F35" s="208">
        <f t="shared" si="0"/>
        <v>1</v>
      </c>
      <c r="G35" s="190">
        <v>4</v>
      </c>
      <c r="H35" s="40">
        <v>112</v>
      </c>
      <c r="I35" s="212">
        <f t="shared" si="1"/>
        <v>448</v>
      </c>
      <c r="K35" s="211">
        <f>VLOOKUP(A35,КИ_ПФ!B36:AN856,39,FALSE)</f>
        <v>448</v>
      </c>
      <c r="L35" s="230" t="str">
        <f t="shared" si="2"/>
        <v>ИСТИНА</v>
      </c>
    </row>
    <row r="36" spans="1:12" x14ac:dyDescent="0.2">
      <c r="A36" s="116">
        <v>1001012456498</v>
      </c>
      <c r="B36" s="46" t="s">
        <v>573</v>
      </c>
      <c r="C36" s="23" t="s">
        <v>3</v>
      </c>
      <c r="D36" s="215">
        <v>4</v>
      </c>
      <c r="E36" s="249">
        <v>4</v>
      </c>
      <c r="F36" s="208">
        <f t="shared" si="0"/>
        <v>1</v>
      </c>
      <c r="G36" s="190">
        <v>4</v>
      </c>
      <c r="H36" s="40">
        <v>112</v>
      </c>
      <c r="I36" s="212">
        <f t="shared" si="1"/>
        <v>448</v>
      </c>
      <c r="K36" s="211">
        <f>VLOOKUP(A36,КИ_ПФ!B37:AN857,39,FALSE)</f>
        <v>448</v>
      </c>
      <c r="L36" s="230" t="str">
        <f t="shared" si="2"/>
        <v>ИСТИНА</v>
      </c>
    </row>
    <row r="37" spans="1:12" x14ac:dyDescent="0.2">
      <c r="A37" s="116">
        <v>1001012456481</v>
      </c>
      <c r="B37" s="46" t="s">
        <v>584</v>
      </c>
      <c r="C37" s="23" t="s">
        <v>3</v>
      </c>
      <c r="D37" s="215">
        <v>4</v>
      </c>
      <c r="E37" s="249">
        <v>4</v>
      </c>
      <c r="F37" s="208">
        <f t="shared" si="0"/>
        <v>1</v>
      </c>
      <c r="G37" s="190">
        <v>4</v>
      </c>
      <c r="H37" s="40">
        <v>128</v>
      </c>
      <c r="I37" s="212">
        <f t="shared" si="1"/>
        <v>512</v>
      </c>
      <c r="K37" s="211">
        <f>VLOOKUP(A37,КИ_ПФ!B38:AN858,39,FALSE)</f>
        <v>512</v>
      </c>
      <c r="L37" s="230" t="str">
        <f t="shared" si="2"/>
        <v>ИСТИНА</v>
      </c>
    </row>
    <row r="38" spans="1:12" x14ac:dyDescent="0.2">
      <c r="A38" s="116">
        <v>1001010026594</v>
      </c>
      <c r="B38" s="46" t="s">
        <v>2065</v>
      </c>
      <c r="C38" s="23" t="s">
        <v>3</v>
      </c>
      <c r="D38" s="215">
        <v>10.8</v>
      </c>
      <c r="E38" s="249">
        <v>10.8</v>
      </c>
      <c r="F38" s="208">
        <f t="shared" si="0"/>
        <v>1.35</v>
      </c>
      <c r="G38" s="190">
        <v>8</v>
      </c>
      <c r="H38" s="40">
        <v>64</v>
      </c>
      <c r="I38" s="212">
        <f t="shared" si="1"/>
        <v>691.2</v>
      </c>
      <c r="K38" s="211">
        <f>VLOOKUP(A38,КИ_ПФ!B39:AN859,39,FALSE)</f>
        <v>691.2</v>
      </c>
      <c r="L38" s="230" t="str">
        <f t="shared" si="2"/>
        <v>ИСТИНА</v>
      </c>
    </row>
    <row r="39" spans="1:12" x14ac:dyDescent="0.2">
      <c r="A39" s="116">
        <v>1001012484063</v>
      </c>
      <c r="B39" s="46" t="s">
        <v>7</v>
      </c>
      <c r="C39" s="23" t="s">
        <v>3</v>
      </c>
      <c r="D39" s="215">
        <v>4.05</v>
      </c>
      <c r="E39" s="249">
        <v>4.05</v>
      </c>
      <c r="F39" s="208">
        <f t="shared" si="0"/>
        <v>1.35</v>
      </c>
      <c r="G39" s="190">
        <v>3</v>
      </c>
      <c r="H39" s="40">
        <v>112</v>
      </c>
      <c r="I39" s="212">
        <f t="shared" si="1"/>
        <v>453.6</v>
      </c>
      <c r="K39" s="211">
        <f>VLOOKUP(A39,КИ_ПФ!B39:AN859,39,FALSE)</f>
        <v>453.6</v>
      </c>
      <c r="L39" s="230" t="str">
        <f t="shared" si="2"/>
        <v>ИСТИНА</v>
      </c>
    </row>
    <row r="40" spans="1:12" x14ac:dyDescent="0.2">
      <c r="A40" s="116">
        <v>1001012483969</v>
      </c>
      <c r="B40" s="46" t="s">
        <v>31</v>
      </c>
      <c r="C40" s="23" t="s">
        <v>3</v>
      </c>
      <c r="D40" s="215">
        <v>4.05</v>
      </c>
      <c r="E40" s="249">
        <v>4.05</v>
      </c>
      <c r="F40" s="208">
        <f t="shared" si="0"/>
        <v>1.35</v>
      </c>
      <c r="G40" s="190">
        <v>3</v>
      </c>
      <c r="H40" s="40">
        <v>112</v>
      </c>
      <c r="I40" s="212">
        <f t="shared" si="1"/>
        <v>453.6</v>
      </c>
      <c r="K40" s="211">
        <f>VLOOKUP(A40,КИ_ПФ!B40:AN860,39,FALSE)</f>
        <v>453.6</v>
      </c>
      <c r="L40" s="230" t="str">
        <f t="shared" si="2"/>
        <v>ИСТИНА</v>
      </c>
    </row>
    <row r="41" spans="1:12" x14ac:dyDescent="0.2">
      <c r="A41" s="116">
        <v>1001012484109</v>
      </c>
      <c r="B41" s="46" t="s">
        <v>33</v>
      </c>
      <c r="C41" s="23" t="s">
        <v>3</v>
      </c>
      <c r="D41" s="215">
        <v>4.05</v>
      </c>
      <c r="E41" s="249">
        <v>4.05</v>
      </c>
      <c r="F41" s="208">
        <f t="shared" si="0"/>
        <v>1.35</v>
      </c>
      <c r="G41" s="190">
        <v>3</v>
      </c>
      <c r="H41" s="40">
        <v>128</v>
      </c>
      <c r="I41" s="212">
        <f t="shared" si="1"/>
        <v>518.4</v>
      </c>
      <c r="K41" s="211">
        <f>VLOOKUP(A41,КИ_ПФ!B41:AN861,39,FALSE)</f>
        <v>518.4</v>
      </c>
      <c r="L41" s="230" t="str">
        <f t="shared" si="2"/>
        <v>ИСТИНА</v>
      </c>
    </row>
    <row r="42" spans="1:12" x14ac:dyDescent="0.2">
      <c r="A42" s="116">
        <v>1001012484025</v>
      </c>
      <c r="B42" s="46" t="s">
        <v>188</v>
      </c>
      <c r="C42" s="23" t="s">
        <v>3</v>
      </c>
      <c r="D42" s="215">
        <v>4.05</v>
      </c>
      <c r="E42" s="249">
        <v>4.05</v>
      </c>
      <c r="F42" s="208">
        <f t="shared" si="0"/>
        <v>1.35</v>
      </c>
      <c r="G42" s="190">
        <v>3</v>
      </c>
      <c r="H42" s="40">
        <v>112</v>
      </c>
      <c r="I42" s="212">
        <f t="shared" si="1"/>
        <v>453.6</v>
      </c>
      <c r="K42" s="211">
        <f>VLOOKUP(A42,КИ_ПФ!B42:AN862,39,FALSE)</f>
        <v>453.6</v>
      </c>
      <c r="L42" s="230" t="str">
        <f t="shared" si="2"/>
        <v>ИСТИНА</v>
      </c>
    </row>
    <row r="43" spans="1:12" x14ac:dyDescent="0.2">
      <c r="A43" s="116">
        <v>1001012484405</v>
      </c>
      <c r="B43" s="46" t="s">
        <v>187</v>
      </c>
      <c r="C43" s="23" t="s">
        <v>3</v>
      </c>
      <c r="D43" s="215">
        <v>3.9</v>
      </c>
      <c r="E43" s="249">
        <v>3.9</v>
      </c>
      <c r="F43" s="208">
        <f t="shared" si="0"/>
        <v>1.3</v>
      </c>
      <c r="G43" s="190">
        <v>3</v>
      </c>
      <c r="H43" s="40">
        <v>128</v>
      </c>
      <c r="I43" s="212">
        <f t="shared" si="1"/>
        <v>499.2</v>
      </c>
      <c r="K43" s="211">
        <f>VLOOKUP(A43,КИ_ПФ!B43:AN863,39,FALSE)</f>
        <v>499.2</v>
      </c>
      <c r="L43" s="230" t="str">
        <f t="shared" si="2"/>
        <v>ИСТИНА</v>
      </c>
    </row>
    <row r="44" spans="1:12" x14ac:dyDescent="0.2">
      <c r="A44" s="116">
        <v>1001012484458</v>
      </c>
      <c r="B44" s="46" t="s">
        <v>686</v>
      </c>
      <c r="C44" s="23" t="s">
        <v>3</v>
      </c>
      <c r="D44" s="215">
        <v>4.05</v>
      </c>
      <c r="E44" s="249">
        <v>4.05</v>
      </c>
      <c r="F44" s="208">
        <f t="shared" si="0"/>
        <v>1.35</v>
      </c>
      <c r="G44" s="190">
        <v>3</v>
      </c>
      <c r="H44" s="40">
        <v>128</v>
      </c>
      <c r="I44" s="212">
        <f t="shared" si="1"/>
        <v>518.4</v>
      </c>
      <c r="K44" s="211">
        <f>VLOOKUP(A44,КИ_ПФ!B44:AN864,39,FALSE)</f>
        <v>518.4</v>
      </c>
      <c r="L44" s="230" t="str">
        <f t="shared" si="2"/>
        <v>ИСТИНА</v>
      </c>
    </row>
    <row r="45" spans="1:12" x14ac:dyDescent="0.2">
      <c r="A45" s="116">
        <v>1001012485125</v>
      </c>
      <c r="B45" s="46" t="s">
        <v>329</v>
      </c>
      <c r="C45" s="23" t="s">
        <v>3</v>
      </c>
      <c r="D45" s="215">
        <v>4.05</v>
      </c>
      <c r="E45" s="249">
        <v>4.05</v>
      </c>
      <c r="F45" s="208">
        <f t="shared" si="0"/>
        <v>1.35</v>
      </c>
      <c r="G45" s="190">
        <v>3</v>
      </c>
      <c r="H45" s="40">
        <v>128</v>
      </c>
      <c r="I45" s="212">
        <f t="shared" si="1"/>
        <v>518.4</v>
      </c>
      <c r="K45" s="211">
        <f>VLOOKUP(A45,КИ_ПФ!B45:AN865,39,FALSE)</f>
        <v>518.4</v>
      </c>
      <c r="L45" s="230" t="str">
        <f t="shared" si="2"/>
        <v>ИСТИНА</v>
      </c>
    </row>
    <row r="46" spans="1:12" x14ac:dyDescent="0.2">
      <c r="A46" s="116">
        <v>1001012485055</v>
      </c>
      <c r="B46" s="46" t="s">
        <v>331</v>
      </c>
      <c r="C46" s="23" t="s">
        <v>3</v>
      </c>
      <c r="D46" s="215">
        <v>4.05</v>
      </c>
      <c r="E46" s="249">
        <v>4.05</v>
      </c>
      <c r="F46" s="208">
        <f t="shared" si="0"/>
        <v>1.35</v>
      </c>
      <c r="G46" s="190">
        <v>3</v>
      </c>
      <c r="H46" s="40">
        <v>128</v>
      </c>
      <c r="I46" s="212">
        <f t="shared" si="1"/>
        <v>518.4</v>
      </c>
      <c r="K46" s="211">
        <f>VLOOKUP(A46,КИ_ПФ!B46:AN866,39,FALSE)</f>
        <v>518.4</v>
      </c>
      <c r="L46" s="230" t="str">
        <f t="shared" si="2"/>
        <v>ИСТИНА</v>
      </c>
    </row>
    <row r="47" spans="1:12" x14ac:dyDescent="0.2">
      <c r="A47" s="116">
        <v>1001012634574</v>
      </c>
      <c r="B47" s="46" t="s">
        <v>32</v>
      </c>
      <c r="C47" s="23" t="s">
        <v>3</v>
      </c>
      <c r="D47" s="215">
        <v>4.05</v>
      </c>
      <c r="E47" s="249">
        <v>4.05</v>
      </c>
      <c r="F47" s="208">
        <f t="shared" si="0"/>
        <v>1.35</v>
      </c>
      <c r="G47" s="190">
        <v>3</v>
      </c>
      <c r="H47" s="40">
        <v>128</v>
      </c>
      <c r="I47" s="212">
        <f t="shared" si="1"/>
        <v>518.4</v>
      </c>
      <c r="K47" s="211">
        <f>VLOOKUP(A47,КИ_ПФ!B47:AN867,39,FALSE)</f>
        <v>518.4</v>
      </c>
      <c r="L47" s="230" t="str">
        <f t="shared" si="2"/>
        <v>ИСТИНА</v>
      </c>
    </row>
    <row r="48" spans="1:12" x14ac:dyDescent="0.2">
      <c r="A48" s="116">
        <v>1001012637569</v>
      </c>
      <c r="B48" s="46" t="s">
        <v>1708</v>
      </c>
      <c r="C48" s="23" t="s">
        <v>3</v>
      </c>
      <c r="D48" s="215">
        <v>10.8</v>
      </c>
      <c r="E48" s="249">
        <v>10.8</v>
      </c>
      <c r="F48" s="208">
        <f t="shared" si="0"/>
        <v>1.35</v>
      </c>
      <c r="G48" s="190">
        <v>8</v>
      </c>
      <c r="H48" s="40">
        <v>72</v>
      </c>
      <c r="I48" s="212">
        <f t="shared" si="1"/>
        <v>777.6</v>
      </c>
      <c r="K48" s="211">
        <f>VLOOKUP(A48,КИ_ПФ!B48:AN868,39,FALSE)</f>
        <v>777.6</v>
      </c>
      <c r="L48" s="230" t="str">
        <f t="shared" si="2"/>
        <v>ИСТИНА</v>
      </c>
    </row>
    <row r="49" spans="1:12" x14ac:dyDescent="0.2">
      <c r="A49" s="116">
        <v>1001012634424</v>
      </c>
      <c r="B49" s="46" t="s">
        <v>332</v>
      </c>
      <c r="C49" s="23" t="s">
        <v>3</v>
      </c>
      <c r="D49" s="215">
        <v>4.05</v>
      </c>
      <c r="E49" s="249">
        <v>4.05</v>
      </c>
      <c r="F49" s="208">
        <f t="shared" si="0"/>
        <v>1.35</v>
      </c>
      <c r="G49" s="190">
        <v>3</v>
      </c>
      <c r="H49" s="40">
        <v>128</v>
      </c>
      <c r="I49" s="212">
        <f t="shared" si="1"/>
        <v>518.4</v>
      </c>
      <c r="K49" s="211">
        <f>VLOOKUP(A49,КИ_ПФ!B48:AN869,39,FALSE)</f>
        <v>518.4</v>
      </c>
      <c r="L49" s="230" t="str">
        <f t="shared" si="2"/>
        <v>ИСТИНА</v>
      </c>
    </row>
    <row r="50" spans="1:12" x14ac:dyDescent="0.2">
      <c r="A50" s="116">
        <v>1001016867554</v>
      </c>
      <c r="B50" s="25" t="s">
        <v>1741</v>
      </c>
      <c r="C50" s="23" t="s">
        <v>3</v>
      </c>
      <c r="D50" s="215">
        <v>2.6</v>
      </c>
      <c r="E50" s="249">
        <v>2.6</v>
      </c>
      <c r="F50" s="208">
        <f t="shared" ref="F50:F74" si="3">ROUNDUP(Новая_кратность_короба__кг/Кол_во_штук_в_коробе,3)</f>
        <v>1.3</v>
      </c>
      <c r="G50" s="190">
        <v>2</v>
      </c>
      <c r="H50" s="40">
        <v>135</v>
      </c>
      <c r="I50" s="212">
        <f t="shared" ref="I50:I74" si="4">ROUNDDOWN(Новая_кратность_короба__кг*Кол_во_коробок_на_поддоне,1)</f>
        <v>351</v>
      </c>
      <c r="K50" s="211">
        <f>VLOOKUP(A50,КИ_ПФ!B49:AN870,39,FALSE)</f>
        <v>351</v>
      </c>
      <c r="L50" s="230" t="str">
        <f t="shared" ref="L50:L74" si="5">IF(I50=K50,"ИСТИНА","ЛОЖЬ")</f>
        <v>ИСТИНА</v>
      </c>
    </row>
    <row r="51" spans="1:12" x14ac:dyDescent="0.2">
      <c r="A51" s="116">
        <v>1001016867517</v>
      </c>
      <c r="B51" s="25" t="s">
        <v>1758</v>
      </c>
      <c r="C51" s="23" t="s">
        <v>3</v>
      </c>
      <c r="D51" s="215">
        <v>2.6</v>
      </c>
      <c r="E51" s="249">
        <v>2.6</v>
      </c>
      <c r="F51" s="208">
        <f t="shared" si="3"/>
        <v>1.3</v>
      </c>
      <c r="G51" s="190">
        <v>2</v>
      </c>
      <c r="H51" s="40">
        <v>135</v>
      </c>
      <c r="I51" s="212">
        <f t="shared" si="4"/>
        <v>351</v>
      </c>
      <c r="K51" s="211">
        <f>VLOOKUP(A51,КИ_ПФ!B50:AN871,39,FALSE)</f>
        <v>351</v>
      </c>
      <c r="L51" s="230" t="str">
        <f t="shared" si="5"/>
        <v>ИСТИНА</v>
      </c>
    </row>
    <row r="52" spans="1:12" x14ac:dyDescent="0.2">
      <c r="A52" s="116">
        <v>1001010506989</v>
      </c>
      <c r="B52" s="25" t="s">
        <v>972</v>
      </c>
      <c r="C52" s="23" t="s">
        <v>3</v>
      </c>
      <c r="D52" s="215">
        <v>6.5</v>
      </c>
      <c r="E52" s="249">
        <v>6.5</v>
      </c>
      <c r="F52" s="208">
        <f t="shared" si="3"/>
        <v>1.625</v>
      </c>
      <c r="G52" s="190">
        <v>4</v>
      </c>
      <c r="H52" s="40">
        <v>96</v>
      </c>
      <c r="I52" s="212">
        <f t="shared" si="4"/>
        <v>624</v>
      </c>
      <c r="K52" s="211">
        <f>VLOOKUP(A52,КИ_ПФ!B51:AN872,39,FALSE)</f>
        <v>624</v>
      </c>
      <c r="L52" s="230" t="str">
        <f t="shared" si="5"/>
        <v>ИСТИНА</v>
      </c>
    </row>
    <row r="53" spans="1:12" x14ac:dyDescent="0.2">
      <c r="A53" s="116">
        <v>1001017597556</v>
      </c>
      <c r="B53" s="25" t="s">
        <v>1770</v>
      </c>
      <c r="C53" s="23" t="s">
        <v>3</v>
      </c>
      <c r="D53" s="215">
        <v>3</v>
      </c>
      <c r="E53" s="249">
        <v>3</v>
      </c>
      <c r="F53" s="208">
        <f t="shared" si="3"/>
        <v>1.5</v>
      </c>
      <c r="G53" s="190">
        <v>2</v>
      </c>
      <c r="H53" s="40">
        <v>128</v>
      </c>
      <c r="I53" s="212">
        <f t="shared" si="4"/>
        <v>384</v>
      </c>
      <c r="K53" s="211">
        <f>VLOOKUP(A53,КИ_ПФ!B55:AN876,39,FALSE)</f>
        <v>384</v>
      </c>
      <c r="L53" s="230" t="str">
        <f t="shared" si="5"/>
        <v>ИСТИНА</v>
      </c>
    </row>
    <row r="54" spans="1:12" x14ac:dyDescent="0.2">
      <c r="A54" s="116">
        <v>1001010116327</v>
      </c>
      <c r="B54" s="25" t="s">
        <v>857</v>
      </c>
      <c r="C54" s="23" t="s">
        <v>3</v>
      </c>
      <c r="D54" s="215">
        <v>10.8</v>
      </c>
      <c r="E54" s="249">
        <v>10.8</v>
      </c>
      <c r="F54" s="208">
        <f t="shared" si="3"/>
        <v>1.35</v>
      </c>
      <c r="G54" s="190">
        <v>8</v>
      </c>
      <c r="H54" s="40">
        <v>54</v>
      </c>
      <c r="I54" s="212">
        <f t="shared" si="4"/>
        <v>583.20000000000005</v>
      </c>
      <c r="K54" s="211">
        <f>VLOOKUP(A54,КИ_ПФ!B56:AN877,39,FALSE)</f>
        <v>583.20000000000005</v>
      </c>
      <c r="L54" s="230" t="str">
        <f t="shared" si="5"/>
        <v>ИСТИНА</v>
      </c>
    </row>
    <row r="55" spans="1:12" x14ac:dyDescent="0.2">
      <c r="A55" s="116">
        <v>1001016747342</v>
      </c>
      <c r="B55" s="25" t="s">
        <v>1313</v>
      </c>
      <c r="C55" s="23" t="s">
        <v>3</v>
      </c>
      <c r="D55" s="215">
        <v>5.4</v>
      </c>
      <c r="E55" s="249">
        <v>5.4</v>
      </c>
      <c r="F55" s="208">
        <f t="shared" si="3"/>
        <v>1.35</v>
      </c>
      <c r="G55" s="190">
        <v>4</v>
      </c>
      <c r="H55" s="40">
        <v>112</v>
      </c>
      <c r="I55" s="212">
        <f t="shared" si="4"/>
        <v>604.79999999999995</v>
      </c>
      <c r="K55" s="211">
        <f>VLOOKUP(A55,КИ_ПФ!B57:AN878,39,FALSE)</f>
        <v>604.79999999999995</v>
      </c>
      <c r="L55" s="230" t="str">
        <f t="shared" si="5"/>
        <v>ИСТИНА</v>
      </c>
    </row>
    <row r="56" spans="1:12" x14ac:dyDescent="0.2">
      <c r="A56" s="116">
        <v>1001015696863</v>
      </c>
      <c r="B56" s="25" t="s">
        <v>860</v>
      </c>
      <c r="C56" s="23" t="s">
        <v>3</v>
      </c>
      <c r="D56" s="215">
        <v>10.8</v>
      </c>
      <c r="E56" s="249">
        <v>10.8</v>
      </c>
      <c r="F56" s="208">
        <f t="shared" si="3"/>
        <v>1.35</v>
      </c>
      <c r="G56" s="190">
        <v>8</v>
      </c>
      <c r="H56" s="40">
        <v>54</v>
      </c>
      <c r="I56" s="212">
        <f t="shared" si="4"/>
        <v>583.20000000000005</v>
      </c>
      <c r="K56" s="211">
        <f>VLOOKUP(A56,КИ_ПФ!B58:AN879,39,FALSE)</f>
        <v>583.20000000000005</v>
      </c>
      <c r="L56" s="230" t="str">
        <f t="shared" si="5"/>
        <v>ИСТИНА</v>
      </c>
    </row>
    <row r="57" spans="1:12" x14ac:dyDescent="0.2">
      <c r="A57" s="116">
        <v>1001017567518</v>
      </c>
      <c r="B57" s="25" t="s">
        <v>1785</v>
      </c>
      <c r="C57" s="23" t="s">
        <v>3</v>
      </c>
      <c r="D57" s="215">
        <v>2.7</v>
      </c>
      <c r="E57" s="249">
        <v>2.7</v>
      </c>
      <c r="F57" s="208">
        <f t="shared" si="3"/>
        <v>1.35</v>
      </c>
      <c r="G57" s="190">
        <v>2</v>
      </c>
      <c r="H57" s="40">
        <v>135</v>
      </c>
      <c r="I57" s="212">
        <f t="shared" si="4"/>
        <v>364.5</v>
      </c>
      <c r="K57" s="211">
        <f>VLOOKUP(A57,КИ_ПФ!B59:AN880,39,FALSE)</f>
        <v>364.5</v>
      </c>
      <c r="L57" s="230" t="str">
        <f t="shared" si="5"/>
        <v>ИСТИНА</v>
      </c>
    </row>
    <row r="58" spans="1:12" x14ac:dyDescent="0.2">
      <c r="A58" s="116">
        <v>1001012564813</v>
      </c>
      <c r="B58" s="48" t="s">
        <v>30</v>
      </c>
      <c r="C58" s="49" t="s">
        <v>3</v>
      </c>
      <c r="D58" s="215">
        <v>4.05</v>
      </c>
      <c r="E58" s="249">
        <v>4.05</v>
      </c>
      <c r="F58" s="208">
        <f t="shared" si="3"/>
        <v>1.35</v>
      </c>
      <c r="G58" s="190">
        <v>3</v>
      </c>
      <c r="H58" s="40">
        <v>112</v>
      </c>
      <c r="I58" s="212">
        <f t="shared" si="4"/>
        <v>453.6</v>
      </c>
      <c r="K58" s="211">
        <f>VLOOKUP(A58,КИ_ПФ!B60:AN881,39,FALSE)</f>
        <v>453.6</v>
      </c>
      <c r="L58" s="230" t="str">
        <f t="shared" si="5"/>
        <v>ИСТИНА</v>
      </c>
    </row>
    <row r="59" spans="1:12" x14ac:dyDescent="0.2">
      <c r="A59" s="116">
        <v>1001012566309</v>
      </c>
      <c r="B59" s="48" t="s">
        <v>895</v>
      </c>
      <c r="C59" s="49" t="s">
        <v>3</v>
      </c>
      <c r="D59" s="215">
        <v>4.05</v>
      </c>
      <c r="E59" s="249">
        <v>4.05</v>
      </c>
      <c r="F59" s="208">
        <f t="shared" si="3"/>
        <v>1.35</v>
      </c>
      <c r="G59" s="190">
        <v>3</v>
      </c>
      <c r="H59" s="40">
        <v>112</v>
      </c>
      <c r="I59" s="212">
        <f t="shared" si="4"/>
        <v>453.6</v>
      </c>
      <c r="K59" s="211">
        <f>VLOOKUP(A59,КИ_ПФ!B61:AN882,39,FALSE)</f>
        <v>453.6</v>
      </c>
      <c r="L59" s="230" t="str">
        <f t="shared" si="5"/>
        <v>ИСТИНА</v>
      </c>
    </row>
    <row r="60" spans="1:12" x14ac:dyDescent="0.2">
      <c r="A60" s="116">
        <v>1001012564211</v>
      </c>
      <c r="B60" s="48" t="s">
        <v>117</v>
      </c>
      <c r="C60" s="49" t="s">
        <v>3</v>
      </c>
      <c r="D60" s="215">
        <v>4.05</v>
      </c>
      <c r="E60" s="249">
        <v>4.05</v>
      </c>
      <c r="F60" s="208">
        <f t="shared" si="3"/>
        <v>1.35</v>
      </c>
      <c r="G60" s="190">
        <v>3</v>
      </c>
      <c r="H60" s="40">
        <v>112</v>
      </c>
      <c r="I60" s="212">
        <f t="shared" si="4"/>
        <v>453.6</v>
      </c>
      <c r="K60" s="211">
        <f>VLOOKUP(A60,КИ_ПФ!B63:AN883,39,FALSE)</f>
        <v>453.6</v>
      </c>
      <c r="L60" s="230" t="str">
        <f t="shared" si="5"/>
        <v>ИСТИНА</v>
      </c>
    </row>
    <row r="61" spans="1:12" x14ac:dyDescent="0.2">
      <c r="A61" s="116">
        <v>1001012564335</v>
      </c>
      <c r="B61" s="48" t="s">
        <v>215</v>
      </c>
      <c r="C61" s="49" t="s">
        <v>3</v>
      </c>
      <c r="D61" s="215">
        <v>4.05</v>
      </c>
      <c r="E61" s="249">
        <v>4.05</v>
      </c>
      <c r="F61" s="208">
        <f t="shared" si="3"/>
        <v>1.35</v>
      </c>
      <c r="G61" s="190">
        <v>3</v>
      </c>
      <c r="H61" s="40">
        <v>128</v>
      </c>
      <c r="I61" s="212">
        <f t="shared" si="4"/>
        <v>518.4</v>
      </c>
      <c r="K61" s="211">
        <f>VLOOKUP(A61,КИ_ПФ!B64:AN884,39,FALSE)</f>
        <v>518.4</v>
      </c>
      <c r="L61" s="230" t="str">
        <f t="shared" si="5"/>
        <v>ИСТИНА</v>
      </c>
    </row>
    <row r="62" spans="1:12" x14ac:dyDescent="0.2">
      <c r="A62" s="116">
        <v>1001012564425</v>
      </c>
      <c r="B62" s="48" t="s">
        <v>343</v>
      </c>
      <c r="C62" s="49" t="s">
        <v>3</v>
      </c>
      <c r="D62" s="215">
        <v>4.05</v>
      </c>
      <c r="E62" s="249">
        <v>4.05</v>
      </c>
      <c r="F62" s="208">
        <f t="shared" si="3"/>
        <v>1.35</v>
      </c>
      <c r="G62" s="190">
        <v>3</v>
      </c>
      <c r="H62" s="40">
        <v>128</v>
      </c>
      <c r="I62" s="212">
        <f t="shared" si="4"/>
        <v>518.4</v>
      </c>
      <c r="K62" s="211">
        <f>VLOOKUP(A62,КИ_ПФ!B65:AN885,39,FALSE)</f>
        <v>518.4</v>
      </c>
      <c r="L62" s="230" t="str">
        <f t="shared" si="5"/>
        <v>ИСТИНА</v>
      </c>
    </row>
    <row r="63" spans="1:12" x14ac:dyDescent="0.2">
      <c r="A63" s="116">
        <v>1001012563485</v>
      </c>
      <c r="B63" s="48" t="s">
        <v>342</v>
      </c>
      <c r="C63" s="49" t="s">
        <v>3</v>
      </c>
      <c r="D63" s="215">
        <v>4.05</v>
      </c>
      <c r="E63" s="249">
        <v>4.05</v>
      </c>
      <c r="F63" s="208">
        <f t="shared" si="3"/>
        <v>1.35</v>
      </c>
      <c r="G63" s="190">
        <v>3</v>
      </c>
      <c r="H63" s="40">
        <v>128</v>
      </c>
      <c r="I63" s="212">
        <f t="shared" si="4"/>
        <v>518.4</v>
      </c>
      <c r="K63" s="211">
        <f>VLOOKUP(A63,КИ_ПФ!B66:AN886,39,FALSE)</f>
        <v>518.4</v>
      </c>
      <c r="L63" s="230" t="str">
        <f t="shared" si="5"/>
        <v>ИСТИНА</v>
      </c>
    </row>
    <row r="64" spans="1:12" x14ac:dyDescent="0.2">
      <c r="A64" s="116">
        <v>1001012505851</v>
      </c>
      <c r="B64" s="46" t="s">
        <v>257</v>
      </c>
      <c r="C64" s="23" t="s">
        <v>3</v>
      </c>
      <c r="D64" s="215">
        <v>4.05</v>
      </c>
      <c r="E64" s="249">
        <v>4.05</v>
      </c>
      <c r="F64" s="208">
        <f t="shared" si="3"/>
        <v>1.35</v>
      </c>
      <c r="G64" s="190">
        <v>3</v>
      </c>
      <c r="H64" s="40">
        <v>128</v>
      </c>
      <c r="I64" s="212">
        <f t="shared" si="4"/>
        <v>518.4</v>
      </c>
      <c r="K64" s="211">
        <f>VLOOKUP(A64,КИ_ПФ!B67:AN887,39,FALSE)</f>
        <v>518.4</v>
      </c>
      <c r="L64" s="230" t="str">
        <f t="shared" si="5"/>
        <v>ИСТИНА</v>
      </c>
    </row>
    <row r="65" spans="1:12" x14ac:dyDescent="0.2">
      <c r="A65" s="116">
        <v>1001092674584</v>
      </c>
      <c r="B65" s="48" t="s">
        <v>133</v>
      </c>
      <c r="C65" s="49" t="s">
        <v>3</v>
      </c>
      <c r="D65" s="215">
        <v>7.5</v>
      </c>
      <c r="E65" s="249">
        <v>7.5</v>
      </c>
      <c r="F65" s="209">
        <f t="shared" si="3"/>
        <v>2.5</v>
      </c>
      <c r="G65" s="191">
        <v>3</v>
      </c>
      <c r="H65" s="40">
        <v>80</v>
      </c>
      <c r="I65" s="213">
        <f t="shared" si="4"/>
        <v>600</v>
      </c>
      <c r="K65" s="211">
        <f>VLOOKUP(A65,КИ_ПФ!B68:AN888,39,FALSE)</f>
        <v>600</v>
      </c>
      <c r="L65" s="230" t="str">
        <f t="shared" si="5"/>
        <v>ИСТИНА</v>
      </c>
    </row>
    <row r="66" spans="1:12" x14ac:dyDescent="0.2">
      <c r="A66" s="116">
        <v>1001092675902</v>
      </c>
      <c r="B66" s="48" t="s">
        <v>265</v>
      </c>
      <c r="C66" s="49" t="s">
        <v>3</v>
      </c>
      <c r="D66" s="215">
        <v>7.5</v>
      </c>
      <c r="E66" s="249">
        <v>7.5</v>
      </c>
      <c r="F66" s="209">
        <f t="shared" si="3"/>
        <v>2.5</v>
      </c>
      <c r="G66" s="191">
        <v>3</v>
      </c>
      <c r="H66" s="40">
        <v>80</v>
      </c>
      <c r="I66" s="213">
        <f t="shared" si="4"/>
        <v>600</v>
      </c>
      <c r="K66" s="211">
        <f>VLOOKUP(A66,КИ_ПФ!B69:AN889,39,FALSE)</f>
        <v>600</v>
      </c>
      <c r="L66" s="230" t="str">
        <f t="shared" si="5"/>
        <v>ИСТИНА</v>
      </c>
    </row>
    <row r="67" spans="1:12" x14ac:dyDescent="0.2">
      <c r="A67" s="116">
        <v>1001092675945</v>
      </c>
      <c r="B67" s="48" t="s">
        <v>787</v>
      </c>
      <c r="C67" s="49" t="s">
        <v>3</v>
      </c>
      <c r="D67" s="215">
        <v>7.5</v>
      </c>
      <c r="E67" s="249">
        <v>7.5</v>
      </c>
      <c r="F67" s="209">
        <f t="shared" si="3"/>
        <v>2.5</v>
      </c>
      <c r="G67" s="191">
        <v>3</v>
      </c>
      <c r="H67" s="40">
        <v>80</v>
      </c>
      <c r="I67" s="213">
        <f t="shared" si="4"/>
        <v>600</v>
      </c>
      <c r="K67" s="211">
        <f>VLOOKUP(A67,КИ_ПФ!B70:AN890,39,FALSE)</f>
        <v>600</v>
      </c>
      <c r="L67" s="230" t="str">
        <f t="shared" si="5"/>
        <v>ИСТИНА</v>
      </c>
    </row>
    <row r="68" spans="1:12" x14ac:dyDescent="0.2">
      <c r="A68" s="116">
        <v>1001092677543</v>
      </c>
      <c r="B68" s="48" t="s">
        <v>1692</v>
      </c>
      <c r="C68" s="49" t="s">
        <v>3</v>
      </c>
      <c r="D68" s="215">
        <v>6</v>
      </c>
      <c r="E68" s="249">
        <v>6</v>
      </c>
      <c r="F68" s="209">
        <f t="shared" si="3"/>
        <v>3</v>
      </c>
      <c r="G68" s="190">
        <v>2</v>
      </c>
      <c r="H68" s="40">
        <v>100</v>
      </c>
      <c r="I68" s="213">
        <f t="shared" si="4"/>
        <v>600</v>
      </c>
      <c r="K68" s="211">
        <f>VLOOKUP(A68,КИ_ПФ!B71:AN891,39,FALSE)</f>
        <v>600</v>
      </c>
      <c r="L68" s="230" t="str">
        <f t="shared" si="5"/>
        <v>ИСТИНА</v>
      </c>
    </row>
    <row r="69" spans="1:12" x14ac:dyDescent="0.2">
      <c r="A69" s="116">
        <v>1001094966025</v>
      </c>
      <c r="B69" s="48" t="s">
        <v>293</v>
      </c>
      <c r="C69" s="49" t="s">
        <v>3</v>
      </c>
      <c r="D69" s="215">
        <v>6</v>
      </c>
      <c r="E69" s="249">
        <v>6</v>
      </c>
      <c r="F69" s="209">
        <f t="shared" si="3"/>
        <v>3</v>
      </c>
      <c r="G69" s="190">
        <v>2</v>
      </c>
      <c r="H69" s="40">
        <v>100</v>
      </c>
      <c r="I69" s="213">
        <f t="shared" si="4"/>
        <v>600</v>
      </c>
      <c r="K69" s="211">
        <f>VLOOKUP(A69,КИ_ПФ!B72:AN892,39,FALSE)</f>
        <v>600</v>
      </c>
      <c r="L69" s="230" t="str">
        <f t="shared" si="5"/>
        <v>ИСТИНА</v>
      </c>
    </row>
    <row r="70" spans="1:12" x14ac:dyDescent="0.2">
      <c r="A70" s="116">
        <v>1001094966848</v>
      </c>
      <c r="B70" s="48" t="s">
        <v>832</v>
      </c>
      <c r="C70" s="49" t="s">
        <v>3</v>
      </c>
      <c r="D70" s="215">
        <v>6</v>
      </c>
      <c r="E70" s="249">
        <v>6</v>
      </c>
      <c r="F70" s="209">
        <f t="shared" si="3"/>
        <v>1.5</v>
      </c>
      <c r="G70" s="190">
        <v>4</v>
      </c>
      <c r="H70" s="40">
        <v>128</v>
      </c>
      <c r="I70" s="213">
        <f t="shared" si="4"/>
        <v>768</v>
      </c>
      <c r="K70" s="211">
        <f>VLOOKUP(A70,КИ_ПФ!B73:AN893,39,FALSE)</f>
        <v>768</v>
      </c>
      <c r="L70" s="230" t="str">
        <f t="shared" si="5"/>
        <v>ИСТИНА</v>
      </c>
    </row>
    <row r="71" spans="1:12" x14ac:dyDescent="0.2">
      <c r="A71" s="116">
        <v>1001092646823</v>
      </c>
      <c r="B71" s="48" t="s">
        <v>1917</v>
      </c>
      <c r="C71" s="49" t="s">
        <v>3</v>
      </c>
      <c r="D71" s="215">
        <v>6</v>
      </c>
      <c r="E71" s="249">
        <v>6</v>
      </c>
      <c r="F71" s="209">
        <f t="shared" si="3"/>
        <v>1.5</v>
      </c>
      <c r="G71" s="190">
        <v>4</v>
      </c>
      <c r="H71" s="40">
        <v>128</v>
      </c>
      <c r="I71" s="213">
        <f t="shared" si="4"/>
        <v>768</v>
      </c>
      <c r="K71" s="211">
        <f>VLOOKUP(A71,КИ_ПФ!B74:AN894,39,FALSE)</f>
        <v>768</v>
      </c>
      <c r="L71" s="230" t="str">
        <f t="shared" si="5"/>
        <v>ИСТИНА</v>
      </c>
    </row>
    <row r="72" spans="1:12" x14ac:dyDescent="0.2">
      <c r="A72" s="116">
        <v>1001095726867</v>
      </c>
      <c r="B72" s="48" t="s">
        <v>871</v>
      </c>
      <c r="C72" s="49" t="s">
        <v>3</v>
      </c>
      <c r="D72" s="215">
        <v>4</v>
      </c>
      <c r="E72" s="249">
        <v>4</v>
      </c>
      <c r="F72" s="209">
        <f t="shared" si="3"/>
        <v>2</v>
      </c>
      <c r="G72" s="190">
        <v>2</v>
      </c>
      <c r="H72" s="40">
        <v>120</v>
      </c>
      <c r="I72" s="213">
        <f t="shared" si="4"/>
        <v>480</v>
      </c>
      <c r="K72" s="211">
        <f>VLOOKUP(A72,КИ_ПФ!B74:AN894,39,FALSE)</f>
        <v>480</v>
      </c>
      <c r="L72" s="230" t="str">
        <f t="shared" si="5"/>
        <v>ИСТИНА</v>
      </c>
    </row>
    <row r="73" spans="1:12" x14ac:dyDescent="0.2">
      <c r="A73" s="116">
        <v>1001092436470</v>
      </c>
      <c r="B73" s="48" t="s">
        <v>570</v>
      </c>
      <c r="C73" s="49" t="s">
        <v>3</v>
      </c>
      <c r="D73" s="215">
        <v>4.8</v>
      </c>
      <c r="E73" s="249">
        <v>4.8</v>
      </c>
      <c r="F73" s="209">
        <f t="shared" si="3"/>
        <v>1.2</v>
      </c>
      <c r="G73" s="191">
        <v>4</v>
      </c>
      <c r="H73" s="40">
        <v>112</v>
      </c>
      <c r="I73" s="212">
        <f t="shared" si="4"/>
        <v>537.6</v>
      </c>
      <c r="K73" s="211">
        <f>VLOOKUP(A73,КИ_ПФ!B75:AN895,39,FALSE)</f>
        <v>537.6</v>
      </c>
      <c r="L73" s="230" t="str">
        <f t="shared" si="5"/>
        <v>ИСТИНА</v>
      </c>
    </row>
    <row r="74" spans="1:12" x14ac:dyDescent="0.2">
      <c r="A74" s="116">
        <v>1001092485452</v>
      </c>
      <c r="B74" s="48" t="s">
        <v>203</v>
      </c>
      <c r="C74" s="49" t="s">
        <v>3</v>
      </c>
      <c r="D74" s="215">
        <v>4.05</v>
      </c>
      <c r="E74" s="249">
        <v>4.05</v>
      </c>
      <c r="F74" s="209">
        <f t="shared" si="3"/>
        <v>1.35</v>
      </c>
      <c r="G74" s="191">
        <v>3</v>
      </c>
      <c r="H74" s="40">
        <v>128</v>
      </c>
      <c r="I74" s="212">
        <f t="shared" si="4"/>
        <v>518.4</v>
      </c>
      <c r="K74" s="211">
        <f>VLOOKUP(A74,КИ_ПФ!B76:AN896,39,FALSE)</f>
        <v>518.4</v>
      </c>
      <c r="L74" s="230" t="str">
        <f t="shared" si="5"/>
        <v>ИСТИНА</v>
      </c>
    </row>
    <row r="75" spans="1:12" x14ac:dyDescent="0.2">
      <c r="A75" s="116">
        <v>1001095716866</v>
      </c>
      <c r="B75" s="48" t="s">
        <v>870</v>
      </c>
      <c r="C75" s="49" t="s">
        <v>3</v>
      </c>
      <c r="D75" s="215">
        <v>6</v>
      </c>
      <c r="E75" s="249">
        <v>6</v>
      </c>
      <c r="F75" s="209">
        <f t="shared" ref="F75:F115" si="6">ROUNDUP(Новая_кратность_короба__кг/Кол_во_штук_в_коробе,3)</f>
        <v>1.5</v>
      </c>
      <c r="G75" s="191">
        <v>4</v>
      </c>
      <c r="H75" s="40">
        <v>128</v>
      </c>
      <c r="I75" s="212">
        <f t="shared" ref="I75:I115" si="7">ROUNDDOWN(Новая_кратность_короба__кг*Кол_во_коробок_на_поддоне,1)</f>
        <v>768</v>
      </c>
      <c r="K75" s="211">
        <f>VLOOKUP(A75,КИ_ПФ!B78:AN898,39,FALSE)</f>
        <v>768</v>
      </c>
      <c r="L75" s="230" t="str">
        <f t="shared" ref="L75:L115" si="8">IF(I75=K75,"ИСТИНА","ЛОЖЬ")</f>
        <v>ИСТИНА</v>
      </c>
    </row>
    <row r="76" spans="1:12" x14ac:dyDescent="0.2">
      <c r="A76" s="116">
        <v>1001095717142</v>
      </c>
      <c r="B76" s="48" t="s">
        <v>1112</v>
      </c>
      <c r="C76" s="49" t="s">
        <v>3</v>
      </c>
      <c r="D76" s="215">
        <v>6</v>
      </c>
      <c r="E76" s="249">
        <v>6</v>
      </c>
      <c r="F76" s="209">
        <f t="shared" si="6"/>
        <v>1.5</v>
      </c>
      <c r="G76" s="191">
        <v>4</v>
      </c>
      <c r="H76" s="40">
        <v>128</v>
      </c>
      <c r="I76" s="212">
        <f t="shared" si="7"/>
        <v>768</v>
      </c>
      <c r="K76" s="211">
        <f>VLOOKUP(A76,КИ_ПФ!B79:AN899,39,FALSE)</f>
        <v>768</v>
      </c>
      <c r="L76" s="230" t="str">
        <f t="shared" si="8"/>
        <v>ИСТИНА</v>
      </c>
    </row>
    <row r="77" spans="1:12" x14ac:dyDescent="0.2">
      <c r="A77" s="116">
        <v>1001095716907</v>
      </c>
      <c r="B77" s="48" t="s">
        <v>892</v>
      </c>
      <c r="C77" s="49" t="s">
        <v>3</v>
      </c>
      <c r="D77" s="215">
        <v>6</v>
      </c>
      <c r="E77" s="249">
        <v>6</v>
      </c>
      <c r="F77" s="209">
        <f t="shared" si="6"/>
        <v>1.5</v>
      </c>
      <c r="G77" s="191">
        <v>4</v>
      </c>
      <c r="H77" s="40">
        <v>128</v>
      </c>
      <c r="I77" s="212">
        <f t="shared" si="7"/>
        <v>768</v>
      </c>
      <c r="K77" s="211">
        <f>VLOOKUP(A77,КИ_ПФ!B80:AN900,39,FALSE)</f>
        <v>768</v>
      </c>
      <c r="L77" s="230" t="str">
        <f t="shared" si="8"/>
        <v>ИСТИНА</v>
      </c>
    </row>
    <row r="78" spans="1:12" x14ac:dyDescent="0.2">
      <c r="A78" s="116">
        <v>1001080238154</v>
      </c>
      <c r="B78" s="48" t="s">
        <v>153</v>
      </c>
      <c r="C78" s="49" t="s">
        <v>3</v>
      </c>
      <c r="D78" s="215">
        <v>3.7</v>
      </c>
      <c r="E78" s="249">
        <v>3.7</v>
      </c>
      <c r="F78" s="209">
        <f t="shared" si="6"/>
        <v>1.85</v>
      </c>
      <c r="G78" s="191">
        <v>2</v>
      </c>
      <c r="H78" s="40">
        <v>128</v>
      </c>
      <c r="I78" s="213">
        <f t="shared" si="7"/>
        <v>473.6</v>
      </c>
      <c r="K78" s="211">
        <f>VLOOKUP(A78,КИ_ПФ!B81:AN901,39,FALSE)</f>
        <v>473.6</v>
      </c>
      <c r="L78" s="230" t="str">
        <f t="shared" si="8"/>
        <v>ИСТИНА</v>
      </c>
    </row>
    <row r="79" spans="1:12" x14ac:dyDescent="0.2">
      <c r="A79" s="116">
        <v>1001080226843</v>
      </c>
      <c r="B79" s="48" t="s">
        <v>852</v>
      </c>
      <c r="C79" s="49" t="s">
        <v>3</v>
      </c>
      <c r="D79" s="318">
        <v>5.9</v>
      </c>
      <c r="E79" s="249">
        <v>5.8</v>
      </c>
      <c r="F79" s="208">
        <f t="shared" si="6"/>
        <v>1.45</v>
      </c>
      <c r="G79" s="288">
        <v>4</v>
      </c>
      <c r="H79" s="40">
        <v>105</v>
      </c>
      <c r="I79" s="213">
        <f t="shared" si="7"/>
        <v>609</v>
      </c>
      <c r="K79" s="211">
        <f>VLOOKUP(A79,КИ_ПФ!B82:AN902,39,FALSE)</f>
        <v>609</v>
      </c>
      <c r="L79" s="230" t="str">
        <f t="shared" si="8"/>
        <v>ИСТИНА</v>
      </c>
    </row>
    <row r="80" spans="1:12" x14ac:dyDescent="0.2">
      <c r="A80" s="116">
        <v>1001080226932</v>
      </c>
      <c r="B80" s="48" t="s">
        <v>925</v>
      </c>
      <c r="C80" s="49" t="s">
        <v>3</v>
      </c>
      <c r="D80" s="318">
        <v>5.9</v>
      </c>
      <c r="E80" s="249">
        <v>5.7</v>
      </c>
      <c r="F80" s="208">
        <f t="shared" si="6"/>
        <v>1.425</v>
      </c>
      <c r="G80" s="288">
        <v>4</v>
      </c>
      <c r="H80" s="40">
        <v>105</v>
      </c>
      <c r="I80" s="213">
        <f t="shared" si="7"/>
        <v>598.5</v>
      </c>
      <c r="K80" s="211">
        <f>VLOOKUP(A80,КИ_ПФ!B83:AN903,39,FALSE)</f>
        <v>598.5</v>
      </c>
      <c r="L80" s="230" t="str">
        <f t="shared" si="8"/>
        <v>ИСТИНА</v>
      </c>
    </row>
    <row r="81" spans="1:12" x14ac:dyDescent="0.2">
      <c r="A81" s="116">
        <v>1001085476933</v>
      </c>
      <c r="B81" s="55" t="s">
        <v>926</v>
      </c>
      <c r="C81" s="49" t="s">
        <v>3</v>
      </c>
      <c r="D81" s="215">
        <v>5.5</v>
      </c>
      <c r="E81" s="249">
        <v>5.5</v>
      </c>
      <c r="F81" s="209">
        <f t="shared" si="6"/>
        <v>1.375</v>
      </c>
      <c r="G81" s="191">
        <v>4</v>
      </c>
      <c r="H81" s="40">
        <v>108</v>
      </c>
      <c r="I81" s="213">
        <f t="shared" si="7"/>
        <v>594</v>
      </c>
      <c r="K81" s="211">
        <f>VLOOKUP(A81,КИ_ПФ!B84:AN904,39,FALSE)</f>
        <v>594</v>
      </c>
      <c r="L81" s="230" t="str">
        <f t="shared" si="8"/>
        <v>ИСТИНА</v>
      </c>
    </row>
    <row r="82" spans="1:12" x14ac:dyDescent="0.2">
      <c r="A82" s="116">
        <v>1001085476929</v>
      </c>
      <c r="B82" s="55" t="s">
        <v>923</v>
      </c>
      <c r="C82" s="49" t="s">
        <v>3</v>
      </c>
      <c r="D82" s="215">
        <v>5.5</v>
      </c>
      <c r="E82" s="249">
        <v>5.5</v>
      </c>
      <c r="F82" s="209">
        <f t="shared" si="6"/>
        <v>1.375</v>
      </c>
      <c r="G82" s="191">
        <v>4</v>
      </c>
      <c r="H82" s="40">
        <v>108</v>
      </c>
      <c r="I82" s="213">
        <f t="shared" si="7"/>
        <v>594</v>
      </c>
      <c r="K82" s="211">
        <f>VLOOKUP(A82,КИ_ПФ!B85:AN905,39,FALSE)</f>
        <v>594</v>
      </c>
      <c r="L82" s="230" t="str">
        <f t="shared" si="8"/>
        <v>ИСТИНА</v>
      </c>
    </row>
    <row r="83" spans="1:12" x14ac:dyDescent="0.2">
      <c r="A83" s="116">
        <v>1001085476930</v>
      </c>
      <c r="B83" s="55" t="s">
        <v>924</v>
      </c>
      <c r="C83" s="49" t="s">
        <v>3</v>
      </c>
      <c r="D83" s="215">
        <v>5.6</v>
      </c>
      <c r="E83" s="249">
        <v>5.6</v>
      </c>
      <c r="F83" s="209">
        <f t="shared" si="6"/>
        <v>1.4</v>
      </c>
      <c r="G83" s="191">
        <v>4</v>
      </c>
      <c r="H83" s="40">
        <v>108</v>
      </c>
      <c r="I83" s="212">
        <f t="shared" si="7"/>
        <v>604.79999999999995</v>
      </c>
      <c r="K83" s="211">
        <f>VLOOKUP(A83,КИ_ПФ!B86:AN906,39,FALSE)</f>
        <v>604.79999999999995</v>
      </c>
      <c r="L83" s="230" t="str">
        <f t="shared" si="8"/>
        <v>ИСТИНА</v>
      </c>
    </row>
    <row r="84" spans="1:12" x14ac:dyDescent="0.2">
      <c r="A84" s="116">
        <v>1001081596620</v>
      </c>
      <c r="B84" s="48" t="s">
        <v>627</v>
      </c>
      <c r="C84" s="49" t="s">
        <v>3</v>
      </c>
      <c r="D84" s="215">
        <v>3.15</v>
      </c>
      <c r="E84" s="249">
        <v>3.15</v>
      </c>
      <c r="F84" s="209">
        <f t="shared" si="6"/>
        <v>1.05</v>
      </c>
      <c r="G84" s="191">
        <v>3</v>
      </c>
      <c r="H84" s="40">
        <v>128</v>
      </c>
      <c r="I84" s="212">
        <f t="shared" si="7"/>
        <v>403.2</v>
      </c>
      <c r="K84" s="211">
        <f>VLOOKUP(A84,КИ_ПФ!B88:AN908,39,FALSE)</f>
        <v>403.2</v>
      </c>
      <c r="L84" s="230" t="str">
        <f t="shared" si="8"/>
        <v>ИСТИНА</v>
      </c>
    </row>
    <row r="85" spans="1:12" x14ac:dyDescent="0.2">
      <c r="A85" s="116">
        <v>1001084856189</v>
      </c>
      <c r="B85" s="48" t="s">
        <v>314</v>
      </c>
      <c r="C85" s="49" t="s">
        <v>3</v>
      </c>
      <c r="D85" s="215">
        <v>1.85</v>
      </c>
      <c r="E85" s="249">
        <v>1.75</v>
      </c>
      <c r="F85" s="209">
        <f t="shared" si="6"/>
        <v>0.29199999999999998</v>
      </c>
      <c r="G85" s="191">
        <v>6</v>
      </c>
      <c r="H85" s="40">
        <v>280</v>
      </c>
      <c r="I85" s="212">
        <f t="shared" si="7"/>
        <v>490</v>
      </c>
      <c r="K85" s="211">
        <f>VLOOKUP(A85,КИ_ПФ!B89:AN909,39,FALSE)</f>
        <v>490</v>
      </c>
      <c r="L85" s="230" t="str">
        <f t="shared" si="8"/>
        <v>ИСТИНА</v>
      </c>
    </row>
    <row r="86" spans="1:12" x14ac:dyDescent="0.2">
      <c r="A86" s="116">
        <v>1001084856008</v>
      </c>
      <c r="B86" s="48" t="s">
        <v>284</v>
      </c>
      <c r="C86" s="49" t="s">
        <v>3</v>
      </c>
      <c r="D86" s="215">
        <v>1.85</v>
      </c>
      <c r="E86" s="249">
        <v>1.8</v>
      </c>
      <c r="F86" s="209">
        <f t="shared" si="6"/>
        <v>0.3</v>
      </c>
      <c r="G86" s="191">
        <v>6</v>
      </c>
      <c r="H86" s="40">
        <v>280</v>
      </c>
      <c r="I86" s="212">
        <f t="shared" si="7"/>
        <v>504</v>
      </c>
      <c r="K86" s="211">
        <f>VLOOKUP(A86,КИ_ПФ!B90:AN910,39,FALSE)</f>
        <v>504</v>
      </c>
      <c r="L86" s="230" t="str">
        <f t="shared" si="8"/>
        <v>ИСТИНА</v>
      </c>
    </row>
    <row r="87" spans="1:12" x14ac:dyDescent="0.2">
      <c r="A87" s="116">
        <v>1001454857510</v>
      </c>
      <c r="B87" s="48" t="s">
        <v>1623</v>
      </c>
      <c r="C87" s="49" t="s">
        <v>3</v>
      </c>
      <c r="D87" s="215">
        <v>1.8</v>
      </c>
      <c r="E87" s="249">
        <v>1.8</v>
      </c>
      <c r="F87" s="209">
        <f t="shared" si="6"/>
        <v>0.3</v>
      </c>
      <c r="G87" s="191">
        <v>6</v>
      </c>
      <c r="H87" s="40">
        <v>280</v>
      </c>
      <c r="I87" s="212">
        <f t="shared" si="7"/>
        <v>504</v>
      </c>
      <c r="K87" s="211">
        <f>VLOOKUP(A87,КИ_ПФ!B90:AN911,39,FALSE)</f>
        <v>504</v>
      </c>
      <c r="L87" s="230" t="str">
        <f t="shared" si="8"/>
        <v>ИСТИНА</v>
      </c>
    </row>
    <row r="88" spans="1:12" x14ac:dyDescent="0.2">
      <c r="A88" s="116">
        <v>1001083426210</v>
      </c>
      <c r="B88" s="48" t="s">
        <v>849</v>
      </c>
      <c r="C88" s="49" t="s">
        <v>3</v>
      </c>
      <c r="D88" s="215">
        <v>4</v>
      </c>
      <c r="E88" s="249">
        <v>4</v>
      </c>
      <c r="F88" s="209">
        <f t="shared" si="6"/>
        <v>1.3339999999999999</v>
      </c>
      <c r="G88" s="191">
        <v>3</v>
      </c>
      <c r="H88" s="40">
        <v>108</v>
      </c>
      <c r="I88" s="213">
        <f t="shared" si="7"/>
        <v>432</v>
      </c>
      <c r="K88" s="211">
        <f>VLOOKUP(A88,КИ_ПФ!B90:AN912,39,FALSE)</f>
        <v>432</v>
      </c>
      <c r="L88" s="230" t="str">
        <f t="shared" si="8"/>
        <v>ИСТИНА</v>
      </c>
    </row>
    <row r="89" spans="1:12" x14ac:dyDescent="0.2">
      <c r="A89" s="116">
        <v>1001083426211</v>
      </c>
      <c r="B89" s="48" t="s">
        <v>916</v>
      </c>
      <c r="C89" s="49" t="s">
        <v>3</v>
      </c>
      <c r="D89" s="215">
        <v>3.9</v>
      </c>
      <c r="E89" s="249">
        <v>3.9</v>
      </c>
      <c r="F89" s="209">
        <f t="shared" si="6"/>
        <v>1.3</v>
      </c>
      <c r="G89" s="191">
        <v>3</v>
      </c>
      <c r="H89" s="40">
        <v>108</v>
      </c>
      <c r="I89" s="213">
        <f t="shared" si="7"/>
        <v>421.2</v>
      </c>
      <c r="K89" s="211">
        <f>VLOOKUP(A89,КИ_ПФ!B90:AN913,39,FALSE)</f>
        <v>421.2</v>
      </c>
      <c r="L89" s="230" t="str">
        <f t="shared" si="8"/>
        <v>ИСТИНА</v>
      </c>
    </row>
    <row r="90" spans="1:12" x14ac:dyDescent="0.2">
      <c r="A90" s="116">
        <v>1001083426235</v>
      </c>
      <c r="B90" s="70" t="s">
        <v>848</v>
      </c>
      <c r="C90" s="50" t="s">
        <v>3</v>
      </c>
      <c r="D90" s="311">
        <v>3.6</v>
      </c>
      <c r="E90" s="249">
        <v>3.6</v>
      </c>
      <c r="F90" s="209">
        <f t="shared" si="6"/>
        <v>1.2</v>
      </c>
      <c r="G90" s="192">
        <v>3</v>
      </c>
      <c r="H90" s="40">
        <v>108</v>
      </c>
      <c r="I90" s="213">
        <f t="shared" si="7"/>
        <v>388.8</v>
      </c>
      <c r="K90" s="211">
        <f>VLOOKUP(A90,КИ_ПФ!B91:AN914,39,FALSE)</f>
        <v>388.8</v>
      </c>
      <c r="L90" s="230" t="str">
        <f t="shared" si="8"/>
        <v>ИСТИНА</v>
      </c>
    </row>
    <row r="91" spans="1:12" x14ac:dyDescent="0.2">
      <c r="A91" s="116">
        <v>1001085206945</v>
      </c>
      <c r="B91" s="48" t="s">
        <v>949</v>
      </c>
      <c r="C91" s="49" t="s">
        <v>3</v>
      </c>
      <c r="D91" s="215">
        <v>10.8</v>
      </c>
      <c r="E91" s="249">
        <v>10.8</v>
      </c>
      <c r="F91" s="209">
        <f t="shared" si="6"/>
        <v>2.7</v>
      </c>
      <c r="G91" s="192">
        <v>4</v>
      </c>
      <c r="H91" s="40">
        <v>24</v>
      </c>
      <c r="I91" s="213">
        <f t="shared" si="7"/>
        <v>259.2</v>
      </c>
      <c r="K91" s="211">
        <f>VLOOKUP(A91,КИ_ПФ!B92:AN915,39,FALSE)</f>
        <v>259.2</v>
      </c>
      <c r="L91" s="230" t="str">
        <f t="shared" ref="L91:L98" si="9">IF(I91=K91,"ИСТИНА","ЛОЖЬ")</f>
        <v>ИСТИНА</v>
      </c>
    </row>
    <row r="92" spans="1:12" x14ac:dyDescent="0.2">
      <c r="A92" s="116">
        <v>1001457507598</v>
      </c>
      <c r="B92" s="48" t="s">
        <v>1731</v>
      </c>
      <c r="C92" s="49" t="s">
        <v>3</v>
      </c>
      <c r="D92" s="215">
        <v>10.8</v>
      </c>
      <c r="E92" s="249">
        <v>10.8</v>
      </c>
      <c r="F92" s="209">
        <f t="shared" si="6"/>
        <v>2.7</v>
      </c>
      <c r="G92" s="192">
        <v>4</v>
      </c>
      <c r="H92" s="40">
        <v>24</v>
      </c>
      <c r="I92" s="213">
        <f t="shared" si="7"/>
        <v>259.2</v>
      </c>
      <c r="K92" s="211">
        <f>VLOOKUP(A92,КИ_ПФ!B93:AN916,39,FALSE)</f>
        <v>259.2</v>
      </c>
      <c r="L92" s="230" t="str">
        <f t="shared" si="9"/>
        <v>ИСТИНА</v>
      </c>
    </row>
    <row r="93" spans="1:12" x14ac:dyDescent="0.2">
      <c r="A93" s="116">
        <v>1001081736944</v>
      </c>
      <c r="B93" s="48" t="s">
        <v>950</v>
      </c>
      <c r="C93" s="49" t="s">
        <v>3</v>
      </c>
      <c r="D93" s="215">
        <v>10.8</v>
      </c>
      <c r="E93" s="249">
        <v>10.8</v>
      </c>
      <c r="F93" s="209">
        <f t="shared" si="6"/>
        <v>2.7</v>
      </c>
      <c r="G93" s="192">
        <v>4</v>
      </c>
      <c r="H93" s="40">
        <v>24</v>
      </c>
      <c r="I93" s="213">
        <f t="shared" si="7"/>
        <v>259.2</v>
      </c>
      <c r="K93" s="211">
        <f>VLOOKUP(A93,КИ_ПФ!B94:AN917,39,FALSE)</f>
        <v>259.2</v>
      </c>
      <c r="L93" s="230" t="str">
        <f t="shared" si="9"/>
        <v>ИСТИНА</v>
      </c>
    </row>
    <row r="94" spans="1:12" x14ac:dyDescent="0.2">
      <c r="A94" s="116">
        <v>1001453907495</v>
      </c>
      <c r="B94" s="48" t="s">
        <v>1673</v>
      </c>
      <c r="C94" s="49" t="s">
        <v>3</v>
      </c>
      <c r="D94" s="215">
        <v>3.2</v>
      </c>
      <c r="E94" s="249">
        <v>3.2</v>
      </c>
      <c r="F94" s="209">
        <f t="shared" si="6"/>
        <v>0.8</v>
      </c>
      <c r="G94" s="192">
        <v>4</v>
      </c>
      <c r="H94" s="40">
        <v>168</v>
      </c>
      <c r="I94" s="213">
        <f t="shared" si="7"/>
        <v>537.6</v>
      </c>
      <c r="K94" s="211">
        <f>VLOOKUP(A94,КИ_ПФ!B95:AN918,39,FALSE)</f>
        <v>537.6</v>
      </c>
      <c r="L94" s="230" t="str">
        <f t="shared" si="9"/>
        <v>ИСТИНА</v>
      </c>
    </row>
    <row r="95" spans="1:12" x14ac:dyDescent="0.2">
      <c r="A95" s="116">
        <v>1001455637483</v>
      </c>
      <c r="B95" s="48" t="s">
        <v>1656</v>
      </c>
      <c r="C95" s="49" t="s">
        <v>3</v>
      </c>
      <c r="D95" s="215">
        <v>1.8</v>
      </c>
      <c r="E95" s="249">
        <v>1.8</v>
      </c>
      <c r="F95" s="209">
        <f t="shared" si="6"/>
        <v>0.3</v>
      </c>
      <c r="G95" s="192">
        <v>6</v>
      </c>
      <c r="H95" s="40">
        <v>280</v>
      </c>
      <c r="I95" s="213">
        <f t="shared" si="7"/>
        <v>504</v>
      </c>
      <c r="K95" s="211">
        <f>VLOOKUP(A95,КИ_ПФ!B96:AN919,39,FALSE)</f>
        <v>504</v>
      </c>
      <c r="L95" s="230" t="str">
        <f t="shared" si="9"/>
        <v>ИСТИНА</v>
      </c>
    </row>
    <row r="96" spans="1:12" x14ac:dyDescent="0.2">
      <c r="A96" s="116">
        <v>1001455967623</v>
      </c>
      <c r="B96" s="48" t="s">
        <v>1856</v>
      </c>
      <c r="C96" s="49" t="s">
        <v>3</v>
      </c>
      <c r="D96" s="215">
        <v>1.8</v>
      </c>
      <c r="E96" s="249">
        <v>1.8</v>
      </c>
      <c r="F96" s="209">
        <f t="shared" si="6"/>
        <v>0.3</v>
      </c>
      <c r="G96" s="192">
        <v>6</v>
      </c>
      <c r="H96" s="40">
        <v>280</v>
      </c>
      <c r="I96" s="213">
        <f t="shared" si="7"/>
        <v>504</v>
      </c>
      <c r="K96" s="211">
        <f>VLOOKUP(A96,КИ_ПФ!B97:AN920,39,FALSE)</f>
        <v>504</v>
      </c>
      <c r="L96" s="230" t="str">
        <f t="shared" si="9"/>
        <v>ИСТИНА</v>
      </c>
    </row>
    <row r="97" spans="1:12" x14ac:dyDescent="0.2">
      <c r="A97" s="116">
        <v>1001303637564</v>
      </c>
      <c r="B97" s="48" t="s">
        <v>1746</v>
      </c>
      <c r="C97" s="49" t="s">
        <v>3</v>
      </c>
      <c r="D97" s="215">
        <v>5.04</v>
      </c>
      <c r="E97" s="249">
        <v>5.04</v>
      </c>
      <c r="F97" s="209">
        <f t="shared" si="6"/>
        <v>0.84</v>
      </c>
      <c r="G97" s="192">
        <v>6</v>
      </c>
      <c r="H97" s="40">
        <v>128</v>
      </c>
      <c r="I97" s="213">
        <f t="shared" si="7"/>
        <v>645.1</v>
      </c>
      <c r="K97" s="211">
        <f>VLOOKUP(A97,КИ_ПФ!B99:AN922,39,FALSE)</f>
        <v>645.1</v>
      </c>
      <c r="L97" s="230" t="str">
        <f t="shared" si="9"/>
        <v>ИСТИНА</v>
      </c>
    </row>
    <row r="98" spans="1:12" x14ac:dyDescent="0.2">
      <c r="A98" s="116">
        <v>1001043635226</v>
      </c>
      <c r="B98" s="48" t="s">
        <v>1700</v>
      </c>
      <c r="C98" s="49" t="s">
        <v>3</v>
      </c>
      <c r="D98" s="215">
        <v>5.04</v>
      </c>
      <c r="E98" s="249">
        <v>5.04</v>
      </c>
      <c r="F98" s="209">
        <f t="shared" si="6"/>
        <v>0.84</v>
      </c>
      <c r="G98" s="192">
        <v>6</v>
      </c>
      <c r="H98" s="40">
        <v>128</v>
      </c>
      <c r="I98" s="213">
        <f t="shared" si="7"/>
        <v>645.1</v>
      </c>
      <c r="K98" s="211">
        <f>VLOOKUP(A98,КИ_ПФ!B100:AN923,39,FALSE)</f>
        <v>645.1</v>
      </c>
      <c r="L98" s="230" t="str">
        <f t="shared" si="9"/>
        <v>ИСТИНА</v>
      </c>
    </row>
    <row r="99" spans="1:12" x14ac:dyDescent="0.2">
      <c r="A99" s="116">
        <v>1001300517132</v>
      </c>
      <c r="B99" s="48" t="s">
        <v>1108</v>
      </c>
      <c r="C99" s="49" t="s">
        <v>3</v>
      </c>
      <c r="D99" s="215">
        <v>5.04</v>
      </c>
      <c r="E99" s="249">
        <v>5.04</v>
      </c>
      <c r="F99" s="209">
        <f t="shared" si="6"/>
        <v>0.84</v>
      </c>
      <c r="G99" s="192">
        <v>6</v>
      </c>
      <c r="H99" s="40">
        <v>128</v>
      </c>
      <c r="I99" s="212">
        <f t="shared" si="7"/>
        <v>645.1</v>
      </c>
      <c r="K99" s="211">
        <f>VLOOKUP(A99,КИ_ПФ!B101:AN924,39,FALSE)</f>
        <v>645.1</v>
      </c>
      <c r="L99" s="230" t="str">
        <f t="shared" si="8"/>
        <v>ИСТИНА</v>
      </c>
    </row>
    <row r="100" spans="1:12" x14ac:dyDescent="0.2">
      <c r="A100" s="116">
        <v>1001307587562</v>
      </c>
      <c r="B100" s="70" t="s">
        <v>1809</v>
      </c>
      <c r="C100" s="50" t="s">
        <v>3</v>
      </c>
      <c r="D100" s="311">
        <v>2.8</v>
      </c>
      <c r="E100" s="249">
        <v>2.8</v>
      </c>
      <c r="F100" s="209">
        <f t="shared" si="6"/>
        <v>0.35</v>
      </c>
      <c r="G100" s="192">
        <v>8</v>
      </c>
      <c r="H100" s="40">
        <v>135</v>
      </c>
      <c r="I100" s="212">
        <f t="shared" si="7"/>
        <v>378</v>
      </c>
      <c r="K100" s="211">
        <f>VLOOKUP(A100,КИ_ПФ!B103:AN926,39,FALSE)</f>
        <v>378</v>
      </c>
      <c r="L100" s="230" t="str">
        <f t="shared" si="8"/>
        <v>ИСТИНА</v>
      </c>
    </row>
    <row r="101" spans="1:12" x14ac:dyDescent="0.2">
      <c r="A101" s="116">
        <v>1001300437291</v>
      </c>
      <c r="B101" s="70" t="s">
        <v>2064</v>
      </c>
      <c r="C101" s="50" t="s">
        <v>3</v>
      </c>
      <c r="D101" s="311">
        <v>3.15</v>
      </c>
      <c r="E101" s="249">
        <v>3.15</v>
      </c>
      <c r="F101" s="209">
        <f t="shared" si="6"/>
        <v>1.05</v>
      </c>
      <c r="G101" s="192">
        <v>3</v>
      </c>
      <c r="H101" s="40">
        <v>140</v>
      </c>
      <c r="I101" s="212">
        <f t="shared" si="7"/>
        <v>441</v>
      </c>
      <c r="K101" s="211">
        <f>VLOOKUP(A101,КИ_ПФ!B104:AN927,39,FALSE)</f>
        <v>441</v>
      </c>
      <c r="L101" s="230" t="str">
        <f t="shared" si="8"/>
        <v>ИСТИНА</v>
      </c>
    </row>
    <row r="102" spans="1:12" s="312" customFormat="1" x14ac:dyDescent="0.2">
      <c r="A102" s="116">
        <v>1001303106995</v>
      </c>
      <c r="B102" s="70" t="s">
        <v>976</v>
      </c>
      <c r="C102" s="50" t="s">
        <v>3</v>
      </c>
      <c r="D102" s="311">
        <v>4.4800000000000004</v>
      </c>
      <c r="E102" s="249">
        <v>4.4800000000000004</v>
      </c>
      <c r="F102" s="209">
        <f t="shared" si="6"/>
        <v>0.56000000000000005</v>
      </c>
      <c r="G102" s="192">
        <v>8</v>
      </c>
      <c r="H102" s="40">
        <v>128</v>
      </c>
      <c r="I102" s="212">
        <f t="shared" si="7"/>
        <v>573.4</v>
      </c>
      <c r="K102" s="211">
        <f>VLOOKUP(A102,КИ_ПФ!B104:AN927,39,FALSE)</f>
        <v>573.4</v>
      </c>
      <c r="L102" s="230" t="str">
        <f t="shared" si="8"/>
        <v>ИСТИНА</v>
      </c>
    </row>
    <row r="103" spans="1:12" s="312" customFormat="1" x14ac:dyDescent="0.2">
      <c r="A103" s="116">
        <v>1001307077390</v>
      </c>
      <c r="B103" s="70" t="s">
        <v>1594</v>
      </c>
      <c r="C103" s="50" t="s">
        <v>3</v>
      </c>
      <c r="D103" s="311">
        <v>5.2</v>
      </c>
      <c r="E103" s="249">
        <v>5.2</v>
      </c>
      <c r="F103" s="209">
        <f t="shared" si="6"/>
        <v>0.52</v>
      </c>
      <c r="G103" s="192">
        <v>10</v>
      </c>
      <c r="H103" s="40">
        <v>128</v>
      </c>
      <c r="I103" s="212">
        <f t="shared" si="7"/>
        <v>665.6</v>
      </c>
      <c r="K103" s="211">
        <f>VLOOKUP(A103,КИ_ПФ!B105:AN928,39,FALSE)</f>
        <v>665.6</v>
      </c>
      <c r="L103" s="230" t="str">
        <f t="shared" si="8"/>
        <v>ИСТИНА</v>
      </c>
    </row>
    <row r="104" spans="1:12" s="312" customFormat="1" x14ac:dyDescent="0.2">
      <c r="A104" s="116">
        <v>1001307107415</v>
      </c>
      <c r="B104" s="70" t="s">
        <v>1601</v>
      </c>
      <c r="C104" s="50" t="s">
        <v>3</v>
      </c>
      <c r="D104" s="311">
        <v>5.2</v>
      </c>
      <c r="E104" s="249">
        <v>5.2</v>
      </c>
      <c r="F104" s="209">
        <f t="shared" si="6"/>
        <v>0.65</v>
      </c>
      <c r="G104" s="192">
        <v>8</v>
      </c>
      <c r="H104" s="40">
        <v>128</v>
      </c>
      <c r="I104" s="212">
        <f t="shared" si="7"/>
        <v>665.6</v>
      </c>
      <c r="K104" s="211">
        <f>VLOOKUP(A104,КИ_ПФ!B106:AN929,39,FALSE)</f>
        <v>665.6</v>
      </c>
      <c r="L104" s="230" t="str">
        <f t="shared" si="8"/>
        <v>ИСТИНА</v>
      </c>
    </row>
    <row r="105" spans="1:12" s="312" customFormat="1" x14ac:dyDescent="0.2">
      <c r="A105" s="116">
        <v>1001307137418</v>
      </c>
      <c r="B105" s="70" t="s">
        <v>1604</v>
      </c>
      <c r="C105" s="50" t="s">
        <v>3</v>
      </c>
      <c r="D105" s="311">
        <v>4.05</v>
      </c>
      <c r="E105" s="249">
        <v>4.05</v>
      </c>
      <c r="F105" s="209">
        <f t="shared" si="6"/>
        <v>1.35</v>
      </c>
      <c r="G105" s="192">
        <v>3</v>
      </c>
      <c r="H105" s="40">
        <v>128</v>
      </c>
      <c r="I105" s="212">
        <f t="shared" si="7"/>
        <v>518.4</v>
      </c>
      <c r="K105" s="211">
        <f>VLOOKUP(A105,КИ_ПФ!B107:AN930,39,FALSE)</f>
        <v>518.4</v>
      </c>
      <c r="L105" s="230" t="str">
        <f t="shared" si="8"/>
        <v>ИСТИНА</v>
      </c>
    </row>
    <row r="106" spans="1:12" s="312" customFormat="1" x14ac:dyDescent="0.2">
      <c r="A106" s="116">
        <v>1001306717472</v>
      </c>
      <c r="B106" s="70" t="s">
        <v>1541</v>
      </c>
      <c r="C106" s="50" t="s">
        <v>3</v>
      </c>
      <c r="D106" s="311">
        <v>24</v>
      </c>
      <c r="E106" s="249">
        <v>24</v>
      </c>
      <c r="F106" s="209">
        <f t="shared" si="6"/>
        <v>6</v>
      </c>
      <c r="G106" s="192">
        <v>4</v>
      </c>
      <c r="H106" s="40">
        <v>18</v>
      </c>
      <c r="I106" s="212">
        <f t="shared" si="7"/>
        <v>432</v>
      </c>
      <c r="K106" s="211">
        <f>VLOOKUP(A106,КИ_ПФ!B109:AN932,39,FALSE)</f>
        <v>432</v>
      </c>
      <c r="L106" s="230" t="str">
        <f t="shared" si="8"/>
        <v>ИСТИНА</v>
      </c>
    </row>
    <row r="107" spans="1:12" x14ac:dyDescent="0.2">
      <c r="A107" s="116">
        <v>1001300367133</v>
      </c>
      <c r="B107" s="70" t="s">
        <v>1107</v>
      </c>
      <c r="C107" s="49" t="s">
        <v>3</v>
      </c>
      <c r="D107" s="215">
        <v>5.04</v>
      </c>
      <c r="E107" s="249">
        <v>5.04</v>
      </c>
      <c r="F107" s="209">
        <f t="shared" si="6"/>
        <v>0.84</v>
      </c>
      <c r="G107" s="191">
        <v>6</v>
      </c>
      <c r="H107" s="40">
        <v>128</v>
      </c>
      <c r="I107" s="213">
        <f t="shared" si="7"/>
        <v>645.1</v>
      </c>
      <c r="K107" s="211">
        <f>VLOOKUP(A107,КИ_ПФ!B110:AN933,39,FALSE)</f>
        <v>645.1</v>
      </c>
      <c r="L107" s="230" t="str">
        <f>IF(I107=K107,"ИСТИНА","ЛОЖЬ")</f>
        <v>ИСТИНА</v>
      </c>
    </row>
    <row r="108" spans="1:12" x14ac:dyDescent="0.2">
      <c r="A108" s="116">
        <v>1001050385943</v>
      </c>
      <c r="B108" s="70" t="s">
        <v>338</v>
      </c>
      <c r="C108" s="81" t="s">
        <v>3</v>
      </c>
      <c r="D108" s="215">
        <v>5.6</v>
      </c>
      <c r="E108" s="249">
        <v>5.6</v>
      </c>
      <c r="F108" s="209">
        <f t="shared" si="6"/>
        <v>0.7</v>
      </c>
      <c r="G108" s="191">
        <v>8</v>
      </c>
      <c r="H108" s="40">
        <v>128</v>
      </c>
      <c r="I108" s="213">
        <f t="shared" si="7"/>
        <v>716.8</v>
      </c>
      <c r="K108" s="211">
        <f>VLOOKUP(A108,КИ_ПФ!B111:AN934,39,FALSE)</f>
        <v>716.8</v>
      </c>
      <c r="L108" s="230" t="str">
        <f t="shared" si="8"/>
        <v>ИСТИНА</v>
      </c>
    </row>
    <row r="109" spans="1:12" x14ac:dyDescent="0.2">
      <c r="A109" s="116">
        <v>1001300387157</v>
      </c>
      <c r="B109" s="70" t="s">
        <v>1129</v>
      </c>
      <c r="C109" s="81" t="s">
        <v>3</v>
      </c>
      <c r="D109" s="215">
        <v>5.04</v>
      </c>
      <c r="E109" s="249">
        <v>5.04</v>
      </c>
      <c r="F109" s="209">
        <f t="shared" si="6"/>
        <v>0.63</v>
      </c>
      <c r="G109" s="191">
        <v>8</v>
      </c>
      <c r="H109" s="40">
        <v>128</v>
      </c>
      <c r="I109" s="212">
        <f t="shared" si="7"/>
        <v>645.1</v>
      </c>
      <c r="K109" s="211">
        <f>VLOOKUP(A109,КИ_ПФ!B112:AN935,39,FALSE)</f>
        <v>645.1</v>
      </c>
      <c r="L109" s="230" t="str">
        <f t="shared" si="8"/>
        <v>ИСТИНА</v>
      </c>
    </row>
    <row r="110" spans="1:12" x14ac:dyDescent="0.2">
      <c r="A110" s="116">
        <v>1001300386913</v>
      </c>
      <c r="B110" s="70" t="s">
        <v>898</v>
      </c>
      <c r="C110" s="81" t="s">
        <v>3</v>
      </c>
      <c r="D110" s="215">
        <v>5.6</v>
      </c>
      <c r="E110" s="249">
        <v>5.6</v>
      </c>
      <c r="F110" s="209">
        <f t="shared" si="6"/>
        <v>0.7</v>
      </c>
      <c r="G110" s="191">
        <v>8</v>
      </c>
      <c r="H110" s="40">
        <v>112</v>
      </c>
      <c r="I110" s="212">
        <f t="shared" si="7"/>
        <v>627.20000000000005</v>
      </c>
      <c r="K110" s="211">
        <f>VLOOKUP(A110,КИ_ПФ!B113:AN936,39,FALSE)</f>
        <v>627.20000000000005</v>
      </c>
      <c r="L110" s="230" t="str">
        <f t="shared" si="8"/>
        <v>ИСТИНА</v>
      </c>
    </row>
    <row r="111" spans="1:12" x14ac:dyDescent="0.2">
      <c r="A111" s="116">
        <v>1001300456946</v>
      </c>
      <c r="B111" s="48" t="s">
        <v>951</v>
      </c>
      <c r="C111" s="49" t="s">
        <v>3</v>
      </c>
      <c r="D111" s="215">
        <v>5.04</v>
      </c>
      <c r="E111" s="249">
        <v>5.04</v>
      </c>
      <c r="F111" s="209">
        <f t="shared" si="6"/>
        <v>0.84</v>
      </c>
      <c r="G111" s="191">
        <v>6</v>
      </c>
      <c r="H111" s="40">
        <v>128</v>
      </c>
      <c r="I111" s="212">
        <f t="shared" si="7"/>
        <v>645.1</v>
      </c>
      <c r="K111" s="211">
        <f>VLOOKUP(A111,КИ_ПФ!B114:AN937,39,FALSE)</f>
        <v>645.1</v>
      </c>
      <c r="L111" s="230" t="str">
        <f t="shared" si="8"/>
        <v>ИСТИНА</v>
      </c>
    </row>
    <row r="112" spans="1:12" x14ac:dyDescent="0.2">
      <c r="A112" s="116">
        <v>1001307117416</v>
      </c>
      <c r="B112" s="48" t="s">
        <v>1677</v>
      </c>
      <c r="C112" s="49" t="s">
        <v>3</v>
      </c>
      <c r="D112" s="215">
        <v>4.05</v>
      </c>
      <c r="E112" s="249">
        <v>4.05</v>
      </c>
      <c r="F112" s="209">
        <f t="shared" si="6"/>
        <v>1.35</v>
      </c>
      <c r="G112" s="191">
        <v>3</v>
      </c>
      <c r="H112" s="40">
        <v>128</v>
      </c>
      <c r="I112" s="212">
        <f t="shared" si="7"/>
        <v>518.4</v>
      </c>
      <c r="K112" s="211">
        <f>VLOOKUP(A112,КИ_ПФ!B115:AN938,39,FALSE)</f>
        <v>518.4</v>
      </c>
      <c r="L112" s="230" t="str">
        <f t="shared" si="8"/>
        <v>ИСТИНА</v>
      </c>
    </row>
    <row r="113" spans="1:12" x14ac:dyDescent="0.2">
      <c r="A113" s="116">
        <v>1001307117547</v>
      </c>
      <c r="B113" s="48" t="s">
        <v>1678</v>
      </c>
      <c r="C113" s="49" t="s">
        <v>3</v>
      </c>
      <c r="D113" s="215">
        <v>10.8</v>
      </c>
      <c r="E113" s="249">
        <v>10.8</v>
      </c>
      <c r="F113" s="209">
        <f t="shared" si="6"/>
        <v>1.35</v>
      </c>
      <c r="G113" s="191">
        <v>8</v>
      </c>
      <c r="H113" s="40">
        <v>56</v>
      </c>
      <c r="I113" s="212">
        <f t="shared" si="7"/>
        <v>604.79999999999995</v>
      </c>
      <c r="K113" s="211">
        <f>VLOOKUP(A113,КИ_ПФ!B115:AN939,39,FALSE)</f>
        <v>604.79999999999995</v>
      </c>
      <c r="L113" s="230" t="str">
        <f t="shared" si="8"/>
        <v>ИСТИНА</v>
      </c>
    </row>
    <row r="114" spans="1:12" x14ac:dyDescent="0.2">
      <c r="A114" s="116">
        <v>1001303987166</v>
      </c>
      <c r="B114" s="70" t="s">
        <v>1134</v>
      </c>
      <c r="C114" s="81" t="s">
        <v>3</v>
      </c>
      <c r="D114" s="215">
        <v>5.6</v>
      </c>
      <c r="E114" s="249">
        <v>5.6</v>
      </c>
      <c r="F114" s="209">
        <f t="shared" si="6"/>
        <v>0.7</v>
      </c>
      <c r="G114" s="191">
        <v>8</v>
      </c>
      <c r="H114" s="40">
        <v>128</v>
      </c>
      <c r="I114" s="212">
        <f t="shared" si="7"/>
        <v>716.8</v>
      </c>
      <c r="K114" s="211">
        <f>VLOOKUP(A114,КИ_ПФ!B116:AN940,39,FALSE)</f>
        <v>716.8</v>
      </c>
      <c r="L114" s="230" t="str">
        <f t="shared" si="8"/>
        <v>ИСТИНА</v>
      </c>
    </row>
    <row r="115" spans="1:12" x14ac:dyDescent="0.2">
      <c r="A115" s="116">
        <v>1001303987165</v>
      </c>
      <c r="B115" s="70" t="s">
        <v>1133</v>
      </c>
      <c r="C115" s="81" t="s">
        <v>3</v>
      </c>
      <c r="D115" s="215">
        <v>5.6</v>
      </c>
      <c r="E115" s="249">
        <v>5.6</v>
      </c>
      <c r="F115" s="209">
        <f t="shared" si="6"/>
        <v>0.7</v>
      </c>
      <c r="G115" s="191">
        <v>8</v>
      </c>
      <c r="H115" s="40">
        <v>128</v>
      </c>
      <c r="I115" s="212">
        <f t="shared" si="7"/>
        <v>716.8</v>
      </c>
      <c r="K115" s="211">
        <f>VLOOKUP(A115,КИ_ПФ!B116:AN941,39,FALSE)</f>
        <v>716.8</v>
      </c>
      <c r="L115" s="230" t="str">
        <f t="shared" si="8"/>
        <v>ИСТИНА</v>
      </c>
    </row>
    <row r="116" spans="1:12" x14ac:dyDescent="0.2">
      <c r="A116" s="116">
        <v>1001051875600</v>
      </c>
      <c r="B116" s="48" t="s">
        <v>229</v>
      </c>
      <c r="C116" s="49" t="s">
        <v>3</v>
      </c>
      <c r="D116" s="215">
        <v>5.04</v>
      </c>
      <c r="E116" s="249">
        <v>5.04</v>
      </c>
      <c r="F116" s="209">
        <f t="shared" ref="F116:F156" si="10">ROUNDUP(Новая_кратность_короба__кг/Кол_во_штук_в_коробе,3)</f>
        <v>0.84</v>
      </c>
      <c r="G116" s="191">
        <v>6</v>
      </c>
      <c r="H116" s="40">
        <v>112</v>
      </c>
      <c r="I116" s="212">
        <f t="shared" ref="I116:I156" si="11">ROUNDDOWN(Новая_кратность_короба__кг*Кол_во_коробок_на_поддоне,1)</f>
        <v>564.4</v>
      </c>
      <c r="K116" s="211">
        <f>VLOOKUP(A116,КИ_ПФ!B117:AN942,39,FALSE)</f>
        <v>564.4</v>
      </c>
      <c r="L116" s="230" t="str">
        <f t="shared" ref="L116:L161" si="12">IF(I116=K116,"ИСТИНА","ЛОЖЬ")</f>
        <v>ИСТИНА</v>
      </c>
    </row>
    <row r="117" spans="1:12" x14ac:dyDescent="0.2">
      <c r="A117" s="116">
        <v>1001051875607</v>
      </c>
      <c r="B117" s="48" t="s">
        <v>230</v>
      </c>
      <c r="C117" s="49" t="s">
        <v>3</v>
      </c>
      <c r="D117" s="215">
        <v>5.04</v>
      </c>
      <c r="E117" s="249">
        <v>5.04</v>
      </c>
      <c r="F117" s="209">
        <f t="shared" si="10"/>
        <v>0.84</v>
      </c>
      <c r="G117" s="191">
        <v>6</v>
      </c>
      <c r="H117" s="40">
        <v>128</v>
      </c>
      <c r="I117" s="212">
        <f t="shared" si="11"/>
        <v>645.1</v>
      </c>
      <c r="K117" s="211">
        <f>VLOOKUP(A117,КИ_ПФ!B119:AN943,39,FALSE)</f>
        <v>645.1</v>
      </c>
      <c r="L117" s="230" t="str">
        <f t="shared" si="12"/>
        <v>ИСТИНА</v>
      </c>
    </row>
    <row r="118" spans="1:12" x14ac:dyDescent="0.2">
      <c r="A118" s="116">
        <v>1001051875544</v>
      </c>
      <c r="B118" s="48" t="s">
        <v>226</v>
      </c>
      <c r="C118" s="49" t="s">
        <v>3</v>
      </c>
      <c r="D118" s="215">
        <v>4.8600000000000003</v>
      </c>
      <c r="E118" s="249">
        <v>4.8600000000000003</v>
      </c>
      <c r="F118" s="209">
        <f t="shared" si="10"/>
        <v>0.81</v>
      </c>
      <c r="G118" s="191">
        <v>6</v>
      </c>
      <c r="H118" s="40">
        <v>128</v>
      </c>
      <c r="I118" s="212">
        <f t="shared" si="11"/>
        <v>622</v>
      </c>
      <c r="K118" s="211">
        <f>VLOOKUP(A118,КИ_ПФ!B120:AN944,39,FALSE)</f>
        <v>622</v>
      </c>
      <c r="L118" s="230" t="str">
        <f t="shared" si="12"/>
        <v>ИСТИНА</v>
      </c>
    </row>
    <row r="119" spans="1:12" x14ac:dyDescent="0.2">
      <c r="A119" s="116">
        <v>1001051873657</v>
      </c>
      <c r="B119" s="48" t="s">
        <v>46</v>
      </c>
      <c r="C119" s="49" t="s">
        <v>3</v>
      </c>
      <c r="D119" s="215">
        <v>5.04</v>
      </c>
      <c r="E119" s="249">
        <v>5.04</v>
      </c>
      <c r="F119" s="209">
        <f t="shared" si="10"/>
        <v>0.84</v>
      </c>
      <c r="G119" s="191">
        <v>6</v>
      </c>
      <c r="H119" s="40">
        <v>112</v>
      </c>
      <c r="I119" s="212">
        <f t="shared" si="11"/>
        <v>564.4</v>
      </c>
      <c r="K119" s="211">
        <f>VLOOKUP(A119,КИ_ПФ!B121:AN945,39,FALSE)</f>
        <v>564.4</v>
      </c>
      <c r="L119" s="230" t="str">
        <f t="shared" si="12"/>
        <v>ИСТИНА</v>
      </c>
    </row>
    <row r="120" spans="1:12" x14ac:dyDescent="0.2">
      <c r="A120" s="116">
        <v>1001051873892</v>
      </c>
      <c r="B120" s="48" t="s">
        <v>47</v>
      </c>
      <c r="C120" s="49" t="s">
        <v>3</v>
      </c>
      <c r="D120" s="215">
        <v>5.04</v>
      </c>
      <c r="E120" s="249">
        <v>5.04</v>
      </c>
      <c r="F120" s="209">
        <f t="shared" si="10"/>
        <v>0.84</v>
      </c>
      <c r="G120" s="191">
        <v>6</v>
      </c>
      <c r="H120" s="40">
        <v>128</v>
      </c>
      <c r="I120" s="212">
        <f t="shared" si="11"/>
        <v>645.1</v>
      </c>
      <c r="K120" s="211">
        <f>VLOOKUP(A120,КИ_ПФ!B123:AN946,39,FALSE)</f>
        <v>645.1</v>
      </c>
      <c r="L120" s="230" t="str">
        <f t="shared" si="12"/>
        <v>ИСТИНА</v>
      </c>
    </row>
    <row r="121" spans="1:12" x14ac:dyDescent="0.2">
      <c r="A121" s="116">
        <v>1001051872477</v>
      </c>
      <c r="B121" s="48" t="s">
        <v>45</v>
      </c>
      <c r="C121" s="49" t="s">
        <v>3</v>
      </c>
      <c r="D121" s="215">
        <v>5.04</v>
      </c>
      <c r="E121" s="249">
        <v>5.04</v>
      </c>
      <c r="F121" s="209">
        <f t="shared" si="10"/>
        <v>0.84</v>
      </c>
      <c r="G121" s="191">
        <v>6</v>
      </c>
      <c r="H121" s="40">
        <v>128</v>
      </c>
      <c r="I121" s="212">
        <f t="shared" si="11"/>
        <v>645.1</v>
      </c>
      <c r="K121" s="211">
        <f>VLOOKUP(A121,КИ_ПФ!B124:AN947,39,FALSE)</f>
        <v>645.1</v>
      </c>
      <c r="L121" s="230" t="str">
        <f t="shared" si="12"/>
        <v>ИСТИНА</v>
      </c>
    </row>
    <row r="122" spans="1:12" x14ac:dyDescent="0.2">
      <c r="A122" s="116">
        <v>1001054193265</v>
      </c>
      <c r="B122" s="48" t="s">
        <v>911</v>
      </c>
      <c r="C122" s="49" t="s">
        <v>3</v>
      </c>
      <c r="D122" s="215">
        <v>18</v>
      </c>
      <c r="E122" s="249">
        <v>18</v>
      </c>
      <c r="F122" s="209">
        <f t="shared" si="10"/>
        <v>4.5</v>
      </c>
      <c r="G122" s="194">
        <v>4</v>
      </c>
      <c r="H122" s="40">
        <v>24</v>
      </c>
      <c r="I122" s="212">
        <f t="shared" si="11"/>
        <v>432</v>
      </c>
      <c r="K122" s="211">
        <f>VLOOKUP(A122,КИ_ПФ!B125:AN948,39,FALSE)</f>
        <v>432</v>
      </c>
      <c r="L122" s="230" t="str">
        <f t="shared" si="12"/>
        <v>ИСТИНА</v>
      </c>
    </row>
    <row r="123" spans="1:12" x14ac:dyDescent="0.2">
      <c r="A123" s="116">
        <v>1001306387148</v>
      </c>
      <c r="B123" s="48" t="s">
        <v>1120</v>
      </c>
      <c r="C123" s="49" t="s">
        <v>3</v>
      </c>
      <c r="D123" s="215">
        <v>6.5</v>
      </c>
      <c r="E123" s="249">
        <v>6.5</v>
      </c>
      <c r="F123" s="209">
        <f t="shared" si="10"/>
        <v>0.65</v>
      </c>
      <c r="G123" s="194">
        <v>10</v>
      </c>
      <c r="H123" s="40">
        <v>102</v>
      </c>
      <c r="I123" s="212">
        <f t="shared" si="11"/>
        <v>663</v>
      </c>
      <c r="K123" s="211">
        <f>VLOOKUP(A123,КИ_ПФ!B126:AN949,39,FALSE)</f>
        <v>663</v>
      </c>
      <c r="L123" s="230" t="str">
        <f t="shared" si="12"/>
        <v>ИСТИНА</v>
      </c>
    </row>
    <row r="124" spans="1:12" x14ac:dyDescent="0.2">
      <c r="A124" s="116">
        <v>1001051873828</v>
      </c>
      <c r="B124" s="48" t="s">
        <v>339</v>
      </c>
      <c r="C124" s="49" t="s">
        <v>3</v>
      </c>
      <c r="D124" s="215">
        <v>5.04</v>
      </c>
      <c r="E124" s="249">
        <v>5.04</v>
      </c>
      <c r="F124" s="209">
        <f t="shared" si="10"/>
        <v>0.84</v>
      </c>
      <c r="G124" s="191">
        <v>6</v>
      </c>
      <c r="H124" s="40">
        <v>128</v>
      </c>
      <c r="I124" s="212">
        <f t="shared" si="11"/>
        <v>645.1</v>
      </c>
      <c r="K124" s="211">
        <f>VLOOKUP(A124,КИ_ПФ!B127:AN950,39,FALSE)</f>
        <v>645.1</v>
      </c>
      <c r="L124" s="230" t="str">
        <f t="shared" si="12"/>
        <v>ИСТИНА</v>
      </c>
    </row>
    <row r="125" spans="1:12" x14ac:dyDescent="0.2">
      <c r="A125" s="116">
        <v>1001051873261</v>
      </c>
      <c r="B125" s="48" t="s">
        <v>1208</v>
      </c>
      <c r="C125" s="49" t="s">
        <v>3</v>
      </c>
      <c r="D125" s="215">
        <v>17</v>
      </c>
      <c r="E125" s="249">
        <v>17</v>
      </c>
      <c r="F125" s="209">
        <f t="shared" si="10"/>
        <v>3.4</v>
      </c>
      <c r="G125" s="191">
        <v>5</v>
      </c>
      <c r="H125" s="40">
        <v>24</v>
      </c>
      <c r="I125" s="212">
        <f t="shared" si="11"/>
        <v>408</v>
      </c>
      <c r="K125" s="211">
        <f>VLOOKUP(A125,КИ_ПФ!B128:AN951,39,FALSE)</f>
        <v>408</v>
      </c>
      <c r="L125" s="230" t="str">
        <f t="shared" si="12"/>
        <v>ИСТИНА</v>
      </c>
    </row>
    <row r="126" spans="1:12" x14ac:dyDescent="0.2">
      <c r="A126" s="116">
        <v>1001306657449</v>
      </c>
      <c r="B126" s="48" t="s">
        <v>1487</v>
      </c>
      <c r="C126" s="49" t="s">
        <v>3</v>
      </c>
      <c r="D126" s="215">
        <v>17</v>
      </c>
      <c r="E126" s="249">
        <v>17</v>
      </c>
      <c r="F126" s="209">
        <f t="shared" si="10"/>
        <v>3.4</v>
      </c>
      <c r="G126" s="191">
        <v>5</v>
      </c>
      <c r="H126" s="40">
        <v>24</v>
      </c>
      <c r="I126" s="212">
        <f t="shared" si="11"/>
        <v>408</v>
      </c>
      <c r="K126" s="211">
        <f>VLOOKUP(A126,КИ_ПФ!B129:AN952,39,FALSE)</f>
        <v>408</v>
      </c>
      <c r="L126" s="230" t="str">
        <f t="shared" ref="L126" si="13">IF(I126=K126,"ИСТИНА","ЛОЖЬ")</f>
        <v>ИСТИНА</v>
      </c>
    </row>
    <row r="127" spans="1:12" x14ac:dyDescent="0.2">
      <c r="A127" s="116">
        <v>1001302347292</v>
      </c>
      <c r="B127" s="70" t="s">
        <v>1258</v>
      </c>
      <c r="C127" s="49" t="s">
        <v>3</v>
      </c>
      <c r="D127" s="215">
        <v>5.04</v>
      </c>
      <c r="E127" s="249">
        <v>5.04</v>
      </c>
      <c r="F127" s="209">
        <f t="shared" si="10"/>
        <v>0.84</v>
      </c>
      <c r="G127" s="191">
        <v>6</v>
      </c>
      <c r="H127" s="40">
        <v>128</v>
      </c>
      <c r="I127" s="212">
        <f t="shared" si="11"/>
        <v>645.1</v>
      </c>
      <c r="K127" s="211">
        <f>VLOOKUP(A127,КИ_ПФ!B130:AN953,39,FALSE)</f>
        <v>645.1</v>
      </c>
      <c r="L127" s="230" t="str">
        <f t="shared" si="12"/>
        <v>ИСТИНА</v>
      </c>
    </row>
    <row r="128" spans="1:12" x14ac:dyDescent="0.2">
      <c r="A128" s="116">
        <v>1001042343778</v>
      </c>
      <c r="B128" s="70" t="s">
        <v>344</v>
      </c>
      <c r="C128" s="49" t="s">
        <v>3</v>
      </c>
      <c r="D128" s="215">
        <v>5.04</v>
      </c>
      <c r="E128" s="249">
        <v>5.04</v>
      </c>
      <c r="F128" s="209">
        <f t="shared" si="10"/>
        <v>0.84</v>
      </c>
      <c r="G128" s="191">
        <v>6</v>
      </c>
      <c r="H128" s="40">
        <v>128</v>
      </c>
      <c r="I128" s="213">
        <f t="shared" si="11"/>
        <v>645.1</v>
      </c>
      <c r="K128" s="211">
        <f>VLOOKUP(A128,КИ_ПФ!B131:AN954,39,FALSE)</f>
        <v>645.1</v>
      </c>
      <c r="L128" s="230" t="str">
        <f t="shared" si="12"/>
        <v>ИСТИНА</v>
      </c>
    </row>
    <row r="129" spans="1:12" x14ac:dyDescent="0.2">
      <c r="A129" s="116">
        <v>1001305436728</v>
      </c>
      <c r="B129" s="70" t="s">
        <v>667</v>
      </c>
      <c r="C129" s="49" t="s">
        <v>3</v>
      </c>
      <c r="D129" s="215">
        <v>18</v>
      </c>
      <c r="E129" s="249">
        <v>18</v>
      </c>
      <c r="F129" s="209">
        <f t="shared" si="10"/>
        <v>3.6</v>
      </c>
      <c r="G129" s="191">
        <v>5</v>
      </c>
      <c r="H129" s="40">
        <v>24</v>
      </c>
      <c r="I129" s="213">
        <f t="shared" si="11"/>
        <v>432</v>
      </c>
      <c r="K129" s="211">
        <f>VLOOKUP(A129,КИ_ПФ!B132:AN955,39,FALSE)</f>
        <v>432</v>
      </c>
      <c r="L129" s="230" t="str">
        <f t="shared" si="12"/>
        <v>ИСТИНА</v>
      </c>
    </row>
    <row r="130" spans="1:12" x14ac:dyDescent="0.2">
      <c r="A130" s="116">
        <v>1001303636729</v>
      </c>
      <c r="B130" s="70" t="s">
        <v>670</v>
      </c>
      <c r="C130" s="49" t="s">
        <v>3</v>
      </c>
      <c r="D130" s="215">
        <v>18</v>
      </c>
      <c r="E130" s="249">
        <v>18</v>
      </c>
      <c r="F130" s="209">
        <f t="shared" si="10"/>
        <v>3.6</v>
      </c>
      <c r="G130" s="191">
        <v>5</v>
      </c>
      <c r="H130" s="40">
        <v>24</v>
      </c>
      <c r="I130" s="213">
        <f t="shared" si="11"/>
        <v>432</v>
      </c>
      <c r="K130" s="211">
        <f>VLOOKUP(A130,КИ_ПФ!B133:AN956,39,FALSE)</f>
        <v>432</v>
      </c>
      <c r="L130" s="230" t="str">
        <f t="shared" si="12"/>
        <v>ИСТИНА</v>
      </c>
    </row>
    <row r="131" spans="1:12" x14ac:dyDescent="0.2">
      <c r="A131" s="116">
        <v>1001064447640</v>
      </c>
      <c r="B131" s="70" t="s">
        <v>1871</v>
      </c>
      <c r="C131" s="49" t="s">
        <v>3</v>
      </c>
      <c r="D131" s="215">
        <v>8</v>
      </c>
      <c r="E131" s="249">
        <v>8</v>
      </c>
      <c r="F131" s="209">
        <f t="shared" si="10"/>
        <v>1</v>
      </c>
      <c r="G131" s="191">
        <v>8</v>
      </c>
      <c r="H131" s="40">
        <v>56</v>
      </c>
      <c r="I131" s="213">
        <f t="shared" si="11"/>
        <v>448</v>
      </c>
      <c r="K131" s="211">
        <f>VLOOKUP(A131,КИ_ПФ!B138:AN960,39,FALSE)</f>
        <v>448</v>
      </c>
      <c r="L131" s="230" t="str">
        <f t="shared" si="12"/>
        <v>ИСТИНА</v>
      </c>
    </row>
    <row r="132" spans="1:12" x14ac:dyDescent="0.2">
      <c r="A132" s="116">
        <v>1001203107448</v>
      </c>
      <c r="B132" s="70" t="s">
        <v>1521</v>
      </c>
      <c r="C132" s="49" t="s">
        <v>3</v>
      </c>
      <c r="D132" s="215">
        <v>8</v>
      </c>
      <c r="E132" s="249">
        <v>8</v>
      </c>
      <c r="F132" s="209">
        <f t="shared" si="10"/>
        <v>1</v>
      </c>
      <c r="G132" s="191">
        <v>8</v>
      </c>
      <c r="H132" s="40">
        <v>56</v>
      </c>
      <c r="I132" s="213">
        <f t="shared" si="11"/>
        <v>448</v>
      </c>
      <c r="K132" s="211">
        <f>VLOOKUP(A132,КИ_ПФ!B139:AN961,39,FALSE)</f>
        <v>448</v>
      </c>
      <c r="L132" s="230" t="str">
        <f t="shared" si="12"/>
        <v>ИСТИНА</v>
      </c>
    </row>
    <row r="133" spans="1:12" x14ac:dyDescent="0.2">
      <c r="A133" s="116">
        <v>1001202507491</v>
      </c>
      <c r="B133" s="70" t="s">
        <v>1574</v>
      </c>
      <c r="C133" s="49" t="s">
        <v>3</v>
      </c>
      <c r="D133" s="215">
        <v>2</v>
      </c>
      <c r="E133" s="249">
        <v>2</v>
      </c>
      <c r="F133" s="209">
        <f t="shared" si="10"/>
        <v>1</v>
      </c>
      <c r="G133" s="191">
        <v>2</v>
      </c>
      <c r="H133" s="40">
        <v>128</v>
      </c>
      <c r="I133" s="213">
        <f t="shared" si="11"/>
        <v>256</v>
      </c>
      <c r="K133" s="211">
        <f>VLOOKUP(A133,КИ_ПФ!B140:AN962,39,FALSE)</f>
        <v>256</v>
      </c>
      <c r="L133" s="230" t="str">
        <f t="shared" si="12"/>
        <v>ИСТИНА</v>
      </c>
    </row>
    <row r="134" spans="1:12" x14ac:dyDescent="0.2">
      <c r="A134" s="116">
        <v>1001223297053</v>
      </c>
      <c r="B134" s="70" t="s">
        <v>1067</v>
      </c>
      <c r="C134" s="49" t="s">
        <v>3</v>
      </c>
      <c r="D134" s="215">
        <v>2.1</v>
      </c>
      <c r="E134" s="249">
        <v>2.1</v>
      </c>
      <c r="F134" s="209">
        <f t="shared" si="10"/>
        <v>1.05</v>
      </c>
      <c r="G134" s="191">
        <v>2</v>
      </c>
      <c r="H134" s="40">
        <v>128</v>
      </c>
      <c r="I134" s="213">
        <f t="shared" si="11"/>
        <v>268.8</v>
      </c>
      <c r="K134" s="211">
        <f>VLOOKUP(A134,КИ_ПФ!B140:AN963,39,FALSE)</f>
        <v>268.8</v>
      </c>
      <c r="L134" s="230" t="str">
        <f t="shared" si="12"/>
        <v>ИСТИНА</v>
      </c>
    </row>
    <row r="135" spans="1:12" x14ac:dyDescent="0.2">
      <c r="A135" s="116">
        <v>1001061973582</v>
      </c>
      <c r="B135" s="70" t="s">
        <v>958</v>
      </c>
      <c r="C135" s="50" t="s">
        <v>3</v>
      </c>
      <c r="D135" s="311">
        <v>3.9</v>
      </c>
      <c r="E135" s="249">
        <v>3.9</v>
      </c>
      <c r="F135" s="209">
        <f t="shared" si="10"/>
        <v>0.48799999999999999</v>
      </c>
      <c r="G135" s="192">
        <v>8</v>
      </c>
      <c r="H135" s="40">
        <v>168</v>
      </c>
      <c r="I135" s="212">
        <f t="shared" si="11"/>
        <v>655.20000000000005</v>
      </c>
      <c r="K135" s="211">
        <f>VLOOKUP(A135,КИ_ПФ!B141:AN964,39,FALSE)</f>
        <v>655.20000000000005</v>
      </c>
      <c r="L135" s="230" t="str">
        <f t="shared" si="12"/>
        <v>ИСТИНА</v>
      </c>
    </row>
    <row r="136" spans="1:12" x14ac:dyDescent="0.2">
      <c r="A136" s="116">
        <v>1001061975033</v>
      </c>
      <c r="B136" s="70" t="s">
        <v>326</v>
      </c>
      <c r="C136" s="50" t="s">
        <v>3</v>
      </c>
      <c r="D136" s="311">
        <v>15</v>
      </c>
      <c r="E136" s="249">
        <v>15</v>
      </c>
      <c r="F136" s="209">
        <f t="shared" si="10"/>
        <v>0.5</v>
      </c>
      <c r="G136" s="192">
        <v>30</v>
      </c>
      <c r="H136" s="40">
        <v>48</v>
      </c>
      <c r="I136" s="212">
        <f t="shared" si="11"/>
        <v>720</v>
      </c>
      <c r="K136" s="211">
        <f>VLOOKUP(A136,КИ_ПФ!B142:AN965,39,FALSE)</f>
        <v>720</v>
      </c>
      <c r="L136" s="230" t="str">
        <f t="shared" si="12"/>
        <v>ИСТИНА</v>
      </c>
    </row>
    <row r="137" spans="1:12" x14ac:dyDescent="0.2">
      <c r="A137" s="116">
        <v>1001061975909</v>
      </c>
      <c r="B137" s="70" t="s">
        <v>638</v>
      </c>
      <c r="C137" s="50" t="s">
        <v>3</v>
      </c>
      <c r="D137" s="311">
        <v>13.5</v>
      </c>
      <c r="E137" s="249">
        <v>13.5</v>
      </c>
      <c r="F137" s="209">
        <f t="shared" si="10"/>
        <v>13.5</v>
      </c>
      <c r="G137" s="192">
        <v>1</v>
      </c>
      <c r="H137" s="40">
        <v>24</v>
      </c>
      <c r="I137" s="212">
        <f t="shared" si="11"/>
        <v>324</v>
      </c>
      <c r="K137" s="211">
        <f>VLOOKUP(A137,КИ_ПФ!B143:AN966,39,FALSE)</f>
        <v>324</v>
      </c>
      <c r="L137" s="230" t="str">
        <f t="shared" si="12"/>
        <v>ИСТИНА</v>
      </c>
    </row>
    <row r="138" spans="1:12" x14ac:dyDescent="0.2">
      <c r="A138" s="116">
        <v>1001061977337</v>
      </c>
      <c r="B138" s="70" t="s">
        <v>1303</v>
      </c>
      <c r="C138" s="50" t="s">
        <v>3</v>
      </c>
      <c r="D138" s="311">
        <v>10</v>
      </c>
      <c r="E138" s="249">
        <v>10</v>
      </c>
      <c r="F138" s="209">
        <f t="shared" si="10"/>
        <v>10</v>
      </c>
      <c r="G138" s="192">
        <v>1</v>
      </c>
      <c r="H138" s="40">
        <v>24</v>
      </c>
      <c r="I138" s="212">
        <f t="shared" si="11"/>
        <v>240</v>
      </c>
      <c r="K138" s="211">
        <f>VLOOKUP(A138,КИ_ПФ!B144:AN967,39,FALSE)</f>
        <v>240</v>
      </c>
      <c r="L138" s="230" t="str">
        <f t="shared" si="12"/>
        <v>ИСТИНА</v>
      </c>
    </row>
    <row r="139" spans="1:12" x14ac:dyDescent="0.2">
      <c r="A139" s="116">
        <v>1001060714613</v>
      </c>
      <c r="B139" s="70" t="s">
        <v>164</v>
      </c>
      <c r="C139" s="50" t="s">
        <v>3</v>
      </c>
      <c r="D139" s="311">
        <v>3.7</v>
      </c>
      <c r="E139" s="249">
        <v>3.7</v>
      </c>
      <c r="F139" s="209">
        <f t="shared" si="10"/>
        <v>0.46300000000000002</v>
      </c>
      <c r="G139" s="192">
        <v>8</v>
      </c>
      <c r="H139" s="40">
        <v>168</v>
      </c>
      <c r="I139" s="212">
        <f t="shared" si="11"/>
        <v>621.6</v>
      </c>
      <c r="K139" s="211">
        <f>VLOOKUP(A139,КИ_ПФ!B145:AN968,39,FALSE)</f>
        <v>621.6</v>
      </c>
      <c r="L139" s="230" t="str">
        <f t="shared" si="12"/>
        <v>ИСТИНА</v>
      </c>
    </row>
    <row r="140" spans="1:12" x14ac:dyDescent="0.2">
      <c r="A140" s="116">
        <v>1001060713765</v>
      </c>
      <c r="B140" s="70" t="s">
        <v>165</v>
      </c>
      <c r="C140" s="50" t="s">
        <v>3</v>
      </c>
      <c r="D140" s="311">
        <v>3.7</v>
      </c>
      <c r="E140" s="249">
        <v>3.7</v>
      </c>
      <c r="F140" s="209">
        <f t="shared" si="10"/>
        <v>0.46300000000000002</v>
      </c>
      <c r="G140" s="192">
        <v>8</v>
      </c>
      <c r="H140" s="40">
        <v>168</v>
      </c>
      <c r="I140" s="212">
        <f t="shared" si="11"/>
        <v>621.6</v>
      </c>
      <c r="K140" s="211">
        <f>VLOOKUP(A140,КИ_ПФ!B145:AN969,39,FALSE)</f>
        <v>621.6</v>
      </c>
      <c r="L140" s="230" t="str">
        <f t="shared" si="12"/>
        <v>ИСТИНА</v>
      </c>
    </row>
    <row r="141" spans="1:12" x14ac:dyDescent="0.2">
      <c r="A141" s="116">
        <v>1001060717122</v>
      </c>
      <c r="B141" s="70" t="s">
        <v>1092</v>
      </c>
      <c r="C141" s="50" t="s">
        <v>3</v>
      </c>
      <c r="D141" s="311">
        <v>13.5</v>
      </c>
      <c r="E141" s="249">
        <v>13.5</v>
      </c>
      <c r="F141" s="209">
        <f t="shared" si="10"/>
        <v>13.5</v>
      </c>
      <c r="G141" s="192">
        <v>1</v>
      </c>
      <c r="H141" s="40">
        <v>24</v>
      </c>
      <c r="I141" s="212">
        <f t="shared" si="11"/>
        <v>324</v>
      </c>
      <c r="K141" s="211">
        <f>VLOOKUP(A141,КИ_ПФ!B146:AN970,39,FALSE)</f>
        <v>324</v>
      </c>
      <c r="L141" s="230" t="str">
        <f t="shared" si="12"/>
        <v>ИСТИНА</v>
      </c>
    </row>
    <row r="142" spans="1:12" x14ac:dyDescent="0.2">
      <c r="A142" s="116">
        <v>1001060717657</v>
      </c>
      <c r="B142" s="70" t="s">
        <v>1881</v>
      </c>
      <c r="C142" s="50" t="s">
        <v>3</v>
      </c>
      <c r="D142" s="311">
        <v>10</v>
      </c>
      <c r="E142" s="249">
        <v>10</v>
      </c>
      <c r="F142" s="209">
        <f t="shared" si="10"/>
        <v>5</v>
      </c>
      <c r="G142" s="192">
        <v>2</v>
      </c>
      <c r="H142" s="40">
        <v>24</v>
      </c>
      <c r="I142" s="212">
        <f t="shared" si="11"/>
        <v>240</v>
      </c>
      <c r="K142" s="211">
        <f>VLOOKUP(A142,КИ_ПФ!B147:AN971,39,FALSE)</f>
        <v>240</v>
      </c>
      <c r="L142" s="230" t="str">
        <f t="shared" si="12"/>
        <v>ИСТИНА</v>
      </c>
    </row>
    <row r="143" spans="1:12" x14ac:dyDescent="0.2">
      <c r="A143" s="116">
        <v>1001063657370</v>
      </c>
      <c r="B143" s="70" t="s">
        <v>1382</v>
      </c>
      <c r="C143" s="50" t="s">
        <v>3</v>
      </c>
      <c r="D143" s="311">
        <v>15</v>
      </c>
      <c r="E143" s="249">
        <v>15</v>
      </c>
      <c r="F143" s="209">
        <f t="shared" si="10"/>
        <v>2.5</v>
      </c>
      <c r="G143" s="192">
        <v>6</v>
      </c>
      <c r="H143" s="40">
        <v>48</v>
      </c>
      <c r="I143" s="212">
        <f t="shared" si="11"/>
        <v>720</v>
      </c>
      <c r="K143" s="211">
        <f>VLOOKUP(A143,КИ_ПФ!B147:AN971,39,FALSE)</f>
        <v>720</v>
      </c>
      <c r="L143" s="230" t="str">
        <f t="shared" si="12"/>
        <v>ИСТИНА</v>
      </c>
    </row>
    <row r="144" spans="1:12" x14ac:dyDescent="0.2">
      <c r="A144" s="116">
        <v>1001060707471</v>
      </c>
      <c r="B144" s="70" t="s">
        <v>1736</v>
      </c>
      <c r="C144" s="50" t="s">
        <v>3</v>
      </c>
      <c r="D144" s="311">
        <v>1.76</v>
      </c>
      <c r="E144" s="249">
        <v>1.76</v>
      </c>
      <c r="F144" s="209">
        <f t="shared" si="10"/>
        <v>0.22</v>
      </c>
      <c r="G144" s="192">
        <v>8</v>
      </c>
      <c r="H144" s="40">
        <v>280</v>
      </c>
      <c r="I144" s="212">
        <f t="shared" si="11"/>
        <v>492.8</v>
      </c>
      <c r="K144" s="211">
        <f>VLOOKUP(A144,КИ_ПФ!B148:AN972,39,FALSE)</f>
        <v>492.8</v>
      </c>
      <c r="L144" s="230" t="str">
        <f t="shared" si="12"/>
        <v>ИСТИНА</v>
      </c>
    </row>
    <row r="145" spans="1:12" x14ac:dyDescent="0.2">
      <c r="A145" s="116">
        <v>1001060704070</v>
      </c>
      <c r="B145" s="48" t="s">
        <v>320</v>
      </c>
      <c r="C145" s="49" t="s">
        <v>3</v>
      </c>
      <c r="D145" s="215">
        <v>4.2</v>
      </c>
      <c r="E145" s="249">
        <v>4.0999999999999996</v>
      </c>
      <c r="F145" s="209">
        <f t="shared" si="10"/>
        <v>0.51300000000000001</v>
      </c>
      <c r="G145" s="192">
        <v>8</v>
      </c>
      <c r="H145" s="40">
        <v>168</v>
      </c>
      <c r="I145" s="212">
        <f t="shared" si="11"/>
        <v>688.8</v>
      </c>
      <c r="K145" s="211">
        <f>VLOOKUP(A145,КИ_ПФ!B149:AN973,39,FALSE)</f>
        <v>688.8</v>
      </c>
      <c r="L145" s="230" t="str">
        <f t="shared" si="12"/>
        <v>ИСТИНА</v>
      </c>
    </row>
    <row r="146" spans="1:12" x14ac:dyDescent="0.2">
      <c r="A146" s="116">
        <v>1001060703070</v>
      </c>
      <c r="B146" s="48" t="s">
        <v>325</v>
      </c>
      <c r="C146" s="49" t="s">
        <v>3</v>
      </c>
      <c r="D146" s="215">
        <v>4.25</v>
      </c>
      <c r="E146" s="249">
        <v>4.0999999999999996</v>
      </c>
      <c r="F146" s="209">
        <f t="shared" si="10"/>
        <v>0.51300000000000001</v>
      </c>
      <c r="G146" s="191">
        <v>8</v>
      </c>
      <c r="H146" s="40">
        <v>168</v>
      </c>
      <c r="I146" s="212">
        <f t="shared" si="11"/>
        <v>688.8</v>
      </c>
      <c r="K146" s="211">
        <f>VLOOKUP(A146,КИ_ПФ!B150:AN974,39,FALSE)</f>
        <v>688.8</v>
      </c>
      <c r="L146" s="230" t="str">
        <f t="shared" si="12"/>
        <v>ИСТИНА</v>
      </c>
    </row>
    <row r="147" spans="1:12" x14ac:dyDescent="0.2">
      <c r="A147" s="116">
        <v>1001060704192</v>
      </c>
      <c r="B147" s="48" t="s">
        <v>1489</v>
      </c>
      <c r="C147" s="49" t="s">
        <v>3</v>
      </c>
      <c r="D147" s="215">
        <v>4.0999999999999996</v>
      </c>
      <c r="E147" s="249">
        <v>4.0999999999999996</v>
      </c>
      <c r="F147" s="209">
        <f t="shared" si="10"/>
        <v>0.51300000000000001</v>
      </c>
      <c r="G147" s="191">
        <v>8</v>
      </c>
      <c r="H147" s="40">
        <v>168</v>
      </c>
      <c r="I147" s="212">
        <f t="shared" si="11"/>
        <v>688.8</v>
      </c>
      <c r="K147" s="211">
        <f>VLOOKUP(A147,КИ_ПФ!B151:AN975,39,FALSE)</f>
        <v>688.8</v>
      </c>
      <c r="L147" s="230" t="str">
        <f t="shared" si="12"/>
        <v>ИСТИНА</v>
      </c>
    </row>
    <row r="148" spans="1:12" x14ac:dyDescent="0.2">
      <c r="A148" s="116">
        <v>1001060707621</v>
      </c>
      <c r="B148" s="48" t="s">
        <v>1782</v>
      </c>
      <c r="C148" s="49" t="s">
        <v>3</v>
      </c>
      <c r="D148" s="215">
        <v>10</v>
      </c>
      <c r="E148" s="249">
        <v>10</v>
      </c>
      <c r="F148" s="209">
        <f t="shared" si="10"/>
        <v>5</v>
      </c>
      <c r="G148" s="191">
        <v>2</v>
      </c>
      <c r="H148" s="40">
        <v>24</v>
      </c>
      <c r="I148" s="212">
        <f t="shared" si="11"/>
        <v>240</v>
      </c>
      <c r="K148" s="211">
        <f>VLOOKUP(A148,КИ_ПФ!B158:AN977,39,FALSE)</f>
        <v>240</v>
      </c>
      <c r="L148" s="230" t="str">
        <f t="shared" si="12"/>
        <v>ИСТИНА</v>
      </c>
    </row>
    <row r="149" spans="1:12" x14ac:dyDescent="0.2">
      <c r="A149" s="116">
        <v>1001065616832</v>
      </c>
      <c r="B149" s="48" t="s">
        <v>812</v>
      </c>
      <c r="C149" s="49" t="s">
        <v>3</v>
      </c>
      <c r="D149" s="215">
        <v>2.15</v>
      </c>
      <c r="E149" s="249">
        <v>2.15</v>
      </c>
      <c r="F149" s="209">
        <f t="shared" si="10"/>
        <v>0.215</v>
      </c>
      <c r="G149" s="191">
        <v>10</v>
      </c>
      <c r="H149" s="40">
        <v>165</v>
      </c>
      <c r="I149" s="212">
        <f t="shared" si="11"/>
        <v>354.7</v>
      </c>
      <c r="K149" s="211">
        <f>VLOOKUP(A149,КИ_ПФ!B158:AN978,39,FALSE)</f>
        <v>354.7</v>
      </c>
      <c r="L149" s="230" t="str">
        <f t="shared" si="12"/>
        <v>ИСТИНА</v>
      </c>
    </row>
    <row r="150" spans="1:12" x14ac:dyDescent="0.2">
      <c r="A150" s="116">
        <v>1001065617258</v>
      </c>
      <c r="B150" s="48" t="s">
        <v>1222</v>
      </c>
      <c r="C150" s="49" t="s">
        <v>3</v>
      </c>
      <c r="D150" s="215">
        <v>8.6999999999999993</v>
      </c>
      <c r="E150" s="249">
        <v>8.6999999999999993</v>
      </c>
      <c r="F150" s="209">
        <f t="shared" si="10"/>
        <v>0.28999999999999998</v>
      </c>
      <c r="G150" s="191">
        <v>30</v>
      </c>
      <c r="H150" s="40">
        <v>48</v>
      </c>
      <c r="I150" s="212">
        <f t="shared" si="11"/>
        <v>417.6</v>
      </c>
      <c r="K150" s="211">
        <f>VLOOKUP(A150,КИ_ПФ!B159:AN979,39,FALSE)</f>
        <v>417.6</v>
      </c>
      <c r="L150" s="230" t="str">
        <f t="shared" si="12"/>
        <v>ИСТИНА</v>
      </c>
    </row>
    <row r="151" spans="1:12" x14ac:dyDescent="0.2">
      <c r="A151" s="116">
        <v>1001060677299</v>
      </c>
      <c r="B151" s="48" t="s">
        <v>1270</v>
      </c>
      <c r="C151" s="49" t="s">
        <v>3</v>
      </c>
      <c r="D151" s="215">
        <v>2.15</v>
      </c>
      <c r="E151" s="249">
        <v>2.15</v>
      </c>
      <c r="F151" s="209">
        <f t="shared" si="10"/>
        <v>0.215</v>
      </c>
      <c r="G151" s="191">
        <v>10</v>
      </c>
      <c r="H151" s="40">
        <v>165</v>
      </c>
      <c r="I151" s="212">
        <f t="shared" si="11"/>
        <v>354.7</v>
      </c>
      <c r="K151" s="211">
        <f>VLOOKUP(A151,КИ_ПФ!B160:AN980,39,FALSE)</f>
        <v>354.7</v>
      </c>
      <c r="L151" s="230" t="str">
        <f t="shared" si="12"/>
        <v>ИСТИНА</v>
      </c>
    </row>
    <row r="152" spans="1:12" x14ac:dyDescent="0.2">
      <c r="A152" s="116">
        <v>1001200677442</v>
      </c>
      <c r="B152" s="48" t="s">
        <v>1524</v>
      </c>
      <c r="C152" s="49" t="s">
        <v>3</v>
      </c>
      <c r="D152" s="215">
        <v>9</v>
      </c>
      <c r="E152" s="249">
        <v>9</v>
      </c>
      <c r="F152" s="209">
        <f t="shared" si="10"/>
        <v>3</v>
      </c>
      <c r="G152" s="191">
        <v>3</v>
      </c>
      <c r="H152" s="40">
        <v>80</v>
      </c>
      <c r="I152" s="212">
        <f t="shared" si="11"/>
        <v>720</v>
      </c>
      <c r="K152" s="211">
        <f>VLOOKUP(A152,КИ_ПФ!B161:AN981,39,FALSE)</f>
        <v>720</v>
      </c>
      <c r="L152" s="230" t="str">
        <f t="shared" si="12"/>
        <v>ИСТИНА</v>
      </c>
    </row>
    <row r="153" spans="1:12" x14ac:dyDescent="0.2">
      <c r="A153" s="116">
        <v>1001066967381</v>
      </c>
      <c r="B153" s="48" t="s">
        <v>1398</v>
      </c>
      <c r="C153" s="49" t="s">
        <v>3</v>
      </c>
      <c r="D153" s="215">
        <v>2.04</v>
      </c>
      <c r="E153" s="249">
        <v>2.04</v>
      </c>
      <c r="F153" s="209">
        <f t="shared" si="10"/>
        <v>0.255</v>
      </c>
      <c r="G153" s="191">
        <v>8</v>
      </c>
      <c r="H153" s="40">
        <v>165</v>
      </c>
      <c r="I153" s="212">
        <f t="shared" si="11"/>
        <v>336.6</v>
      </c>
      <c r="K153" s="211">
        <f>VLOOKUP(A153,КИ_ПФ!B162:AN982,39,FALSE)</f>
        <v>336.6</v>
      </c>
      <c r="L153" s="230" t="str">
        <f t="shared" si="12"/>
        <v>ИСТИНА</v>
      </c>
    </row>
    <row r="154" spans="1:12" x14ac:dyDescent="0.2">
      <c r="A154" s="116">
        <v>1001060756288</v>
      </c>
      <c r="B154" s="48" t="s">
        <v>334</v>
      </c>
      <c r="C154" s="49" t="s">
        <v>3</v>
      </c>
      <c r="D154" s="215">
        <v>15</v>
      </c>
      <c r="E154" s="249">
        <v>15</v>
      </c>
      <c r="F154" s="209">
        <f t="shared" si="10"/>
        <v>0.5</v>
      </c>
      <c r="G154" s="191">
        <v>30</v>
      </c>
      <c r="H154" s="40">
        <v>48</v>
      </c>
      <c r="I154" s="212">
        <f t="shared" si="11"/>
        <v>720</v>
      </c>
      <c r="K154" s="211">
        <f>VLOOKUP(A154,КИ_ПФ!B163:AN983,39,FALSE)</f>
        <v>720</v>
      </c>
      <c r="L154" s="230" t="str">
        <f t="shared" si="12"/>
        <v>ИСТИНА</v>
      </c>
    </row>
    <row r="155" spans="1:12" x14ac:dyDescent="0.2">
      <c r="A155" s="116">
        <v>1001060757672</v>
      </c>
      <c r="B155" s="48" t="s">
        <v>2055</v>
      </c>
      <c r="C155" s="49" t="s">
        <v>3</v>
      </c>
      <c r="D155" s="215">
        <v>10</v>
      </c>
      <c r="E155" s="249">
        <v>10</v>
      </c>
      <c r="F155" s="209">
        <f t="shared" si="10"/>
        <v>5</v>
      </c>
      <c r="G155" s="191">
        <v>2</v>
      </c>
      <c r="H155" s="40">
        <v>24</v>
      </c>
      <c r="I155" s="212">
        <f t="shared" si="11"/>
        <v>240</v>
      </c>
      <c r="K155" s="211">
        <f>VLOOKUP(A155,КИ_ПФ!B164:AN984,39,FALSE)</f>
        <v>240</v>
      </c>
      <c r="L155" s="230" t="str">
        <f t="shared" si="12"/>
        <v>ИСТИНА</v>
      </c>
    </row>
    <row r="156" spans="1:12" x14ac:dyDescent="0.2">
      <c r="A156" s="116">
        <v>1001063145708</v>
      </c>
      <c r="B156" s="48" t="s">
        <v>242</v>
      </c>
      <c r="C156" s="49" t="s">
        <v>3</v>
      </c>
      <c r="D156" s="215">
        <v>4</v>
      </c>
      <c r="E156" s="249">
        <v>4</v>
      </c>
      <c r="F156" s="209">
        <f t="shared" si="10"/>
        <v>0.5</v>
      </c>
      <c r="G156" s="191">
        <v>8</v>
      </c>
      <c r="H156" s="40">
        <v>168</v>
      </c>
      <c r="I156" s="212">
        <f t="shared" si="11"/>
        <v>672</v>
      </c>
      <c r="K156" s="211">
        <f>VLOOKUP(A156,КИ_ПФ!B164:AN984,39,FALSE)</f>
        <v>672</v>
      </c>
      <c r="L156" s="230" t="str">
        <f t="shared" si="12"/>
        <v>ИСТИНА</v>
      </c>
    </row>
    <row r="157" spans="1:12" x14ac:dyDescent="0.2">
      <c r="A157" s="116">
        <v>1001060720614</v>
      </c>
      <c r="B157" s="48" t="s">
        <v>166</v>
      </c>
      <c r="C157" s="49" t="s">
        <v>3</v>
      </c>
      <c r="D157" s="215">
        <v>3.64</v>
      </c>
      <c r="E157" s="249">
        <v>3.64</v>
      </c>
      <c r="F157" s="209">
        <f t="shared" ref="F157:F208" si="14">ROUNDUP(Новая_кратность_короба__кг/Кол_во_штук_в_коробе,3)</f>
        <v>0.52</v>
      </c>
      <c r="G157" s="191">
        <v>7</v>
      </c>
      <c r="H157" s="40">
        <v>132</v>
      </c>
      <c r="I157" s="212">
        <f t="shared" ref="I157:I208" si="15">ROUNDDOWN(Новая_кратность_короба__кг*Кол_во_коробок_на_поддоне,1)</f>
        <v>480.4</v>
      </c>
      <c r="K157" s="211">
        <f>VLOOKUP(A157,КИ_ПФ!B166:AN986,39,FALSE)</f>
        <v>480.4</v>
      </c>
      <c r="L157" s="230" t="str">
        <f t="shared" si="12"/>
        <v>ИСТИНА</v>
      </c>
    </row>
    <row r="158" spans="1:12" x14ac:dyDescent="0.2">
      <c r="A158" s="116">
        <v>1001060727320</v>
      </c>
      <c r="B158" s="48" t="s">
        <v>1294</v>
      </c>
      <c r="C158" s="49" t="s">
        <v>3</v>
      </c>
      <c r="D158" s="215">
        <v>3.64</v>
      </c>
      <c r="E158" s="249">
        <v>3.64</v>
      </c>
      <c r="F158" s="209">
        <f t="shared" si="14"/>
        <v>0.52</v>
      </c>
      <c r="G158" s="191">
        <v>7</v>
      </c>
      <c r="H158" s="40">
        <v>132</v>
      </c>
      <c r="I158" s="212">
        <f t="shared" si="15"/>
        <v>480.4</v>
      </c>
      <c r="K158" s="211">
        <f>VLOOKUP(A158,КИ_ПФ!B166:AN987,39,FALSE)</f>
        <v>480.4</v>
      </c>
      <c r="L158" s="230" t="str">
        <f t="shared" si="12"/>
        <v>ИСТИНА</v>
      </c>
    </row>
    <row r="159" spans="1:12" x14ac:dyDescent="0.2">
      <c r="A159" s="116">
        <v>1001060724399</v>
      </c>
      <c r="B159" s="48" t="s">
        <v>167</v>
      </c>
      <c r="C159" s="49" t="s">
        <v>3</v>
      </c>
      <c r="D159" s="215">
        <v>3.64</v>
      </c>
      <c r="E159" s="249">
        <v>3.64</v>
      </c>
      <c r="F159" s="209">
        <f t="shared" si="14"/>
        <v>0.52</v>
      </c>
      <c r="G159" s="191">
        <v>7</v>
      </c>
      <c r="H159" s="40">
        <v>132</v>
      </c>
      <c r="I159" s="212">
        <f t="shared" si="15"/>
        <v>480.4</v>
      </c>
      <c r="K159" s="211">
        <f>VLOOKUP(A159,КИ_ПФ!B167:AN988,39,FALSE)</f>
        <v>480.4</v>
      </c>
      <c r="L159" s="230" t="str">
        <f t="shared" si="12"/>
        <v>ИСТИНА</v>
      </c>
    </row>
    <row r="160" spans="1:12" x14ac:dyDescent="0.2">
      <c r="A160" s="116">
        <v>1001060726971</v>
      </c>
      <c r="B160" s="48" t="s">
        <v>1231</v>
      </c>
      <c r="C160" s="49" t="s">
        <v>3</v>
      </c>
      <c r="D160" s="215">
        <v>2.04</v>
      </c>
      <c r="E160" s="249">
        <v>2.04</v>
      </c>
      <c r="F160" s="209">
        <f t="shared" si="14"/>
        <v>0.255</v>
      </c>
      <c r="G160" s="191">
        <v>8</v>
      </c>
      <c r="H160" s="40">
        <v>165</v>
      </c>
      <c r="I160" s="212">
        <f t="shared" si="15"/>
        <v>336.6</v>
      </c>
      <c r="K160" s="211">
        <f>VLOOKUP(A160,КИ_ПФ!B168:AN989,39,FALSE)</f>
        <v>336.6</v>
      </c>
      <c r="L160" s="230" t="str">
        <f t="shared" si="12"/>
        <v>ИСТИНА</v>
      </c>
    </row>
    <row r="161" spans="1:12" x14ac:dyDescent="0.2">
      <c r="A161" s="116">
        <v>1001062357519</v>
      </c>
      <c r="B161" s="48" t="s">
        <v>1706</v>
      </c>
      <c r="C161" s="49" t="s">
        <v>3</v>
      </c>
      <c r="D161" s="215">
        <v>2</v>
      </c>
      <c r="E161" s="249">
        <v>2</v>
      </c>
      <c r="F161" s="209">
        <f t="shared" si="14"/>
        <v>0.25</v>
      </c>
      <c r="G161" s="191">
        <v>8</v>
      </c>
      <c r="H161" s="40">
        <v>280</v>
      </c>
      <c r="I161" s="212">
        <f t="shared" si="15"/>
        <v>560</v>
      </c>
      <c r="K161" s="211">
        <f>VLOOKUP(A161,КИ_ПФ!B169:AN990,39,FALSE)</f>
        <v>560</v>
      </c>
      <c r="L161" s="230" t="str">
        <f t="shared" si="12"/>
        <v>ИСТИНА</v>
      </c>
    </row>
    <row r="162" spans="1:12" x14ac:dyDescent="0.2">
      <c r="A162" s="116">
        <v>1001062355040</v>
      </c>
      <c r="B162" s="48" t="s">
        <v>335</v>
      </c>
      <c r="C162" s="49" t="s">
        <v>3</v>
      </c>
      <c r="D162" s="215">
        <v>15</v>
      </c>
      <c r="E162" s="249">
        <v>15</v>
      </c>
      <c r="F162" s="209">
        <f t="shared" si="14"/>
        <v>0.5</v>
      </c>
      <c r="G162" s="191">
        <v>30</v>
      </c>
      <c r="H162" s="40">
        <v>48</v>
      </c>
      <c r="I162" s="212">
        <f t="shared" si="15"/>
        <v>720</v>
      </c>
      <c r="K162" s="211">
        <f>VLOOKUP(A162,КИ_ПФ!B170:AN991,39,FALSE)</f>
        <v>720</v>
      </c>
      <c r="L162" s="230" t="str">
        <f t="shared" ref="L162:L208" si="16">IF(I162=K162,"ИСТИНА","ЛОЖЬ")</f>
        <v>ИСТИНА</v>
      </c>
    </row>
    <row r="163" spans="1:12" x14ac:dyDescent="0.2">
      <c r="A163" s="116">
        <v>1001062353679</v>
      </c>
      <c r="B163" s="55" t="s">
        <v>1509</v>
      </c>
      <c r="C163" s="49" t="s">
        <v>3</v>
      </c>
      <c r="D163" s="318">
        <v>3.95</v>
      </c>
      <c r="E163" s="249">
        <v>3.95</v>
      </c>
      <c r="F163" s="209">
        <f t="shared" si="14"/>
        <v>0.49399999999999999</v>
      </c>
      <c r="G163" s="194">
        <v>8</v>
      </c>
      <c r="H163" s="40">
        <v>168</v>
      </c>
      <c r="I163" s="212">
        <f t="shared" si="15"/>
        <v>663.6</v>
      </c>
      <c r="K163" s="211">
        <f>VLOOKUP(A163,КИ_ПФ!B171:AN992,39,FALSE)</f>
        <v>663.6</v>
      </c>
      <c r="L163" s="230" t="str">
        <f t="shared" ref="L163" si="17">IF(I163=K163,"ИСТИНА","ЛОЖЬ")</f>
        <v>ИСТИНА</v>
      </c>
    </row>
    <row r="164" spans="1:12" x14ac:dyDescent="0.2">
      <c r="A164" s="116">
        <v>1001062355996</v>
      </c>
      <c r="B164" s="55" t="s">
        <v>273</v>
      </c>
      <c r="C164" s="87" t="s">
        <v>3</v>
      </c>
      <c r="D164" s="318">
        <v>3.95</v>
      </c>
      <c r="E164" s="249">
        <v>3.95</v>
      </c>
      <c r="F164" s="210">
        <f t="shared" si="14"/>
        <v>0.49399999999999999</v>
      </c>
      <c r="G164" s="194">
        <v>8</v>
      </c>
      <c r="H164" s="40">
        <v>168</v>
      </c>
      <c r="I164" s="212">
        <f t="shared" si="15"/>
        <v>663.6</v>
      </c>
      <c r="K164" s="211">
        <f>VLOOKUP(A164,КИ_ПФ!B172:AN993,39,FALSE)</f>
        <v>663.6</v>
      </c>
      <c r="L164" s="230" t="str">
        <f t="shared" si="16"/>
        <v>ИСТИНА</v>
      </c>
    </row>
    <row r="165" spans="1:12" x14ac:dyDescent="0.2">
      <c r="A165" s="116">
        <v>1001062353680</v>
      </c>
      <c r="B165" s="55" t="s">
        <v>168</v>
      </c>
      <c r="C165" s="87" t="s">
        <v>3</v>
      </c>
      <c r="D165" s="215">
        <v>3.64</v>
      </c>
      <c r="E165" s="249">
        <v>3.64</v>
      </c>
      <c r="F165" s="210">
        <f t="shared" si="14"/>
        <v>0.52</v>
      </c>
      <c r="G165" s="194">
        <v>7</v>
      </c>
      <c r="H165" s="40">
        <v>132</v>
      </c>
      <c r="I165" s="212">
        <f t="shared" si="15"/>
        <v>480.4</v>
      </c>
      <c r="K165" s="211">
        <f>VLOOKUP(A165,КИ_ПФ!B173:AN994,39,FALSE)</f>
        <v>480.4</v>
      </c>
      <c r="L165" s="230" t="str">
        <f t="shared" si="16"/>
        <v>ИСТИНА</v>
      </c>
    </row>
    <row r="166" spans="1:12" x14ac:dyDescent="0.2">
      <c r="A166" s="116">
        <v>1001062353691</v>
      </c>
      <c r="B166" s="55" t="s">
        <v>170</v>
      </c>
      <c r="C166" s="87" t="s">
        <v>3</v>
      </c>
      <c r="D166" s="215">
        <v>3.64</v>
      </c>
      <c r="E166" s="249">
        <v>3.64</v>
      </c>
      <c r="F166" s="210">
        <f t="shared" si="14"/>
        <v>0.52</v>
      </c>
      <c r="G166" s="194">
        <v>7</v>
      </c>
      <c r="H166" s="40">
        <v>132</v>
      </c>
      <c r="I166" s="212">
        <f t="shared" si="15"/>
        <v>480.4</v>
      </c>
      <c r="K166" s="211">
        <f>VLOOKUP(A166,КИ_ПФ!B174:AN995,39,FALSE)</f>
        <v>480.4</v>
      </c>
      <c r="L166" s="230" t="str">
        <f t="shared" si="16"/>
        <v>ИСТИНА</v>
      </c>
    </row>
    <row r="167" spans="1:12" x14ac:dyDescent="0.2">
      <c r="A167" s="116">
        <v>1001062353692</v>
      </c>
      <c r="B167" s="55" t="s">
        <v>169</v>
      </c>
      <c r="C167" s="87" t="s">
        <v>3</v>
      </c>
      <c r="D167" s="215">
        <v>3.5</v>
      </c>
      <c r="E167" s="249">
        <v>3.5</v>
      </c>
      <c r="F167" s="210">
        <f t="shared" si="14"/>
        <v>0.5</v>
      </c>
      <c r="G167" s="194">
        <v>7</v>
      </c>
      <c r="H167" s="40">
        <v>132</v>
      </c>
      <c r="I167" s="212">
        <f t="shared" si="15"/>
        <v>462</v>
      </c>
      <c r="K167" s="211">
        <f>VLOOKUP(A167,КИ_ПФ!B175:AN996,39,FALSE)</f>
        <v>462</v>
      </c>
      <c r="L167" s="230" t="str">
        <f t="shared" si="16"/>
        <v>ИСТИНА</v>
      </c>
    </row>
    <row r="168" spans="1:12" x14ac:dyDescent="0.2">
      <c r="A168" s="116">
        <v>1001063237324</v>
      </c>
      <c r="B168" s="55" t="s">
        <v>1295</v>
      </c>
      <c r="C168" s="87" t="s">
        <v>3</v>
      </c>
      <c r="D168" s="215">
        <v>13.2</v>
      </c>
      <c r="E168" s="249">
        <v>13.2</v>
      </c>
      <c r="F168" s="210">
        <f t="shared" si="14"/>
        <v>13.2</v>
      </c>
      <c r="G168" s="194">
        <v>1</v>
      </c>
      <c r="H168" s="40">
        <v>40</v>
      </c>
      <c r="I168" s="212">
        <f t="shared" si="15"/>
        <v>528</v>
      </c>
      <c r="K168" s="211">
        <f>VLOOKUP(A168,КИ_ПФ!B176:AN997,39,FALSE)</f>
        <v>528</v>
      </c>
      <c r="L168" s="230" t="str">
        <f t="shared" si="16"/>
        <v>ИСТИНА</v>
      </c>
    </row>
    <row r="169" spans="1:12" x14ac:dyDescent="0.2">
      <c r="A169" s="116">
        <v>1001060763287</v>
      </c>
      <c r="B169" s="55" t="s">
        <v>172</v>
      </c>
      <c r="C169" s="87" t="s">
        <v>3</v>
      </c>
      <c r="D169" s="215">
        <v>3.95</v>
      </c>
      <c r="E169" s="249">
        <v>3.9</v>
      </c>
      <c r="F169" s="209">
        <f t="shared" si="14"/>
        <v>0.48799999999999999</v>
      </c>
      <c r="G169" s="191">
        <v>8</v>
      </c>
      <c r="H169" s="40">
        <v>168</v>
      </c>
      <c r="I169" s="212">
        <f t="shared" si="15"/>
        <v>655.20000000000005</v>
      </c>
      <c r="K169" s="211">
        <f>VLOOKUP(A169,КИ_ПФ!B177:AN998,39,FALSE)</f>
        <v>655.20000000000005</v>
      </c>
      <c r="L169" s="230" t="str">
        <f t="shared" si="16"/>
        <v>ИСТИНА</v>
      </c>
    </row>
    <row r="170" spans="1:12" x14ac:dyDescent="0.2">
      <c r="A170" s="116">
        <v>1001060765911</v>
      </c>
      <c r="B170" s="55" t="s">
        <v>574</v>
      </c>
      <c r="C170" s="87" t="s">
        <v>3</v>
      </c>
      <c r="D170" s="215">
        <v>13.5</v>
      </c>
      <c r="E170" s="249">
        <v>13.5</v>
      </c>
      <c r="F170" s="209">
        <f t="shared" si="14"/>
        <v>13.5</v>
      </c>
      <c r="G170" s="191">
        <v>1</v>
      </c>
      <c r="H170" s="40">
        <v>24</v>
      </c>
      <c r="I170" s="212">
        <f t="shared" si="15"/>
        <v>324</v>
      </c>
      <c r="K170" s="211">
        <f>VLOOKUP(A170,КИ_ПФ!B178:AN999,39,FALSE)</f>
        <v>324</v>
      </c>
      <c r="L170" s="230" t="str">
        <f t="shared" si="16"/>
        <v>ИСТИНА</v>
      </c>
    </row>
    <row r="171" spans="1:12" x14ac:dyDescent="0.2">
      <c r="A171" s="116">
        <v>1001060767373</v>
      </c>
      <c r="B171" s="55" t="s">
        <v>1388</v>
      </c>
      <c r="C171" s="87" t="s">
        <v>3</v>
      </c>
      <c r="D171" s="215">
        <v>3.95</v>
      </c>
      <c r="E171" s="249">
        <v>3.95</v>
      </c>
      <c r="F171" s="209">
        <f t="shared" si="14"/>
        <v>0.49399999999999999</v>
      </c>
      <c r="G171" s="191">
        <v>8</v>
      </c>
      <c r="H171" s="40">
        <v>168</v>
      </c>
      <c r="I171" s="212">
        <f t="shared" si="15"/>
        <v>663.6</v>
      </c>
      <c r="K171" s="211">
        <f>VLOOKUP(A171,КИ_ПФ!B179:AN1000,39,FALSE)</f>
        <v>663.6</v>
      </c>
      <c r="L171" s="230" t="str">
        <f t="shared" si="16"/>
        <v>ИСТИНА</v>
      </c>
    </row>
    <row r="172" spans="1:12" x14ac:dyDescent="0.2">
      <c r="A172" s="116">
        <v>1001060766187</v>
      </c>
      <c r="B172" s="48" t="s">
        <v>313</v>
      </c>
      <c r="C172" s="49" t="s">
        <v>3</v>
      </c>
      <c r="D172" s="215">
        <v>3.95</v>
      </c>
      <c r="E172" s="249">
        <v>3.8</v>
      </c>
      <c r="F172" s="209">
        <f t="shared" si="14"/>
        <v>0.47499999999999998</v>
      </c>
      <c r="G172" s="191">
        <v>8</v>
      </c>
      <c r="H172" s="40">
        <v>168</v>
      </c>
      <c r="I172" s="212">
        <f t="shared" si="15"/>
        <v>638.4</v>
      </c>
      <c r="K172" s="211">
        <f>VLOOKUP(A172,КИ_ПФ!B180:AN1001,39,FALSE)</f>
        <v>638.4</v>
      </c>
      <c r="L172" s="230" t="str">
        <f t="shared" si="16"/>
        <v>ИСТИНА</v>
      </c>
    </row>
    <row r="173" spans="1:12" x14ac:dyDescent="0.2">
      <c r="A173" s="116">
        <v>1001060764082</v>
      </c>
      <c r="B173" s="48" t="s">
        <v>174</v>
      </c>
      <c r="C173" s="49" t="s">
        <v>3</v>
      </c>
      <c r="D173" s="215">
        <v>3.95</v>
      </c>
      <c r="E173" s="249">
        <v>3.9</v>
      </c>
      <c r="F173" s="209">
        <f t="shared" si="14"/>
        <v>0.48799999999999999</v>
      </c>
      <c r="G173" s="191">
        <v>8</v>
      </c>
      <c r="H173" s="40">
        <v>168</v>
      </c>
      <c r="I173" s="212">
        <f t="shared" si="15"/>
        <v>655.20000000000005</v>
      </c>
      <c r="K173" s="211">
        <f>VLOOKUP(A173,КИ_ПФ!B181:AN1002,39,FALSE)</f>
        <v>655.20000000000005</v>
      </c>
      <c r="L173" s="230" t="str">
        <f t="shared" si="16"/>
        <v>ИСТИНА</v>
      </c>
    </row>
    <row r="174" spans="1:12" x14ac:dyDescent="0.2">
      <c r="A174" s="116">
        <v>1001060763382</v>
      </c>
      <c r="B174" s="48" t="s">
        <v>173</v>
      </c>
      <c r="C174" s="49" t="s">
        <v>3</v>
      </c>
      <c r="D174" s="215">
        <v>3.9</v>
      </c>
      <c r="E174" s="249">
        <v>3.9</v>
      </c>
      <c r="F174" s="209">
        <f t="shared" si="14"/>
        <v>0.48799999999999999</v>
      </c>
      <c r="G174" s="191">
        <v>8</v>
      </c>
      <c r="H174" s="40">
        <v>168</v>
      </c>
      <c r="I174" s="212">
        <f t="shared" si="15"/>
        <v>655.20000000000005</v>
      </c>
      <c r="K174" s="211">
        <f>VLOOKUP(A174,КИ_ПФ!B182:AN1003,39,FALSE)</f>
        <v>655.20000000000005</v>
      </c>
      <c r="L174" s="230" t="str">
        <f t="shared" si="16"/>
        <v>ИСТИНА</v>
      </c>
    </row>
    <row r="175" spans="1:12" x14ac:dyDescent="0.2">
      <c r="A175" s="116">
        <v>1001060765041</v>
      </c>
      <c r="B175" s="48" t="s">
        <v>336</v>
      </c>
      <c r="C175" s="49" t="s">
        <v>3</v>
      </c>
      <c r="D175" s="215">
        <v>15.75</v>
      </c>
      <c r="E175" s="249">
        <v>15.75</v>
      </c>
      <c r="F175" s="209">
        <f t="shared" si="14"/>
        <v>0.52500000000000002</v>
      </c>
      <c r="G175" s="191">
        <v>30</v>
      </c>
      <c r="H175" s="40">
        <v>48</v>
      </c>
      <c r="I175" s="212">
        <f t="shared" si="15"/>
        <v>756</v>
      </c>
      <c r="K175" s="211">
        <f>VLOOKUP(A175,КИ_ПФ!B183:AN1004,39,FALSE)</f>
        <v>756</v>
      </c>
      <c r="L175" s="230" t="str">
        <f t="shared" si="16"/>
        <v>ИСТИНА</v>
      </c>
    </row>
    <row r="176" spans="1:12" x14ac:dyDescent="0.2">
      <c r="A176" s="116">
        <v>1001060784621</v>
      </c>
      <c r="B176" s="80" t="s">
        <v>177</v>
      </c>
      <c r="C176" s="81" t="s">
        <v>3</v>
      </c>
      <c r="D176" s="215">
        <v>3.9</v>
      </c>
      <c r="E176" s="249">
        <v>3.9</v>
      </c>
      <c r="F176" s="209">
        <f t="shared" si="14"/>
        <v>0.48799999999999999</v>
      </c>
      <c r="G176" s="191">
        <v>8</v>
      </c>
      <c r="H176" s="40">
        <v>168</v>
      </c>
      <c r="I176" s="212">
        <f t="shared" si="15"/>
        <v>655.20000000000005</v>
      </c>
      <c r="K176" s="211">
        <f>VLOOKUP(A176,КИ_ПФ!B184:AN1005,39,FALSE)</f>
        <v>655.20000000000005</v>
      </c>
      <c r="L176" s="230" t="str">
        <f t="shared" si="16"/>
        <v>ИСТИНА</v>
      </c>
    </row>
    <row r="177" spans="1:12" x14ac:dyDescent="0.2">
      <c r="A177" s="116">
        <v>1001063117352</v>
      </c>
      <c r="B177" s="80" t="s">
        <v>1349</v>
      </c>
      <c r="C177" s="81" t="s">
        <v>3</v>
      </c>
      <c r="D177" s="215">
        <v>4</v>
      </c>
      <c r="E177" s="249">
        <v>3.9</v>
      </c>
      <c r="F177" s="209">
        <f t="shared" si="14"/>
        <v>0.48799999999999999</v>
      </c>
      <c r="G177" s="191">
        <v>8</v>
      </c>
      <c r="H177" s="40">
        <v>168</v>
      </c>
      <c r="I177" s="212">
        <f t="shared" si="15"/>
        <v>655.20000000000005</v>
      </c>
      <c r="K177" s="211">
        <f>VLOOKUP(A177,КИ_ПФ!B185:AN1006,39,FALSE)</f>
        <v>655.20000000000005</v>
      </c>
      <c r="L177" s="230" t="str">
        <f t="shared" si="16"/>
        <v>ИСТИНА</v>
      </c>
    </row>
    <row r="178" spans="1:12" x14ac:dyDescent="0.2">
      <c r="A178" s="116">
        <v>1001060784118</v>
      </c>
      <c r="B178" s="48" t="s">
        <v>171</v>
      </c>
      <c r="C178" s="49" t="s">
        <v>3</v>
      </c>
      <c r="D178" s="215">
        <v>3.9</v>
      </c>
      <c r="E178" s="249">
        <v>3.9</v>
      </c>
      <c r="F178" s="209">
        <f t="shared" si="14"/>
        <v>0.48799999999999999</v>
      </c>
      <c r="G178" s="191">
        <v>8</v>
      </c>
      <c r="H178" s="40">
        <v>168</v>
      </c>
      <c r="I178" s="212">
        <f t="shared" si="15"/>
        <v>655.20000000000005</v>
      </c>
      <c r="K178" s="211">
        <f>VLOOKUP(A178,КИ_ПФ!B185:AN1007,39,FALSE)</f>
        <v>655.20000000000005</v>
      </c>
      <c r="L178" s="230" t="str">
        <f t="shared" si="16"/>
        <v>ИСТИНА</v>
      </c>
    </row>
    <row r="179" spans="1:12" x14ac:dyDescent="0.2">
      <c r="A179" s="116">
        <v>1001063115043</v>
      </c>
      <c r="B179" s="48" t="s">
        <v>337</v>
      </c>
      <c r="C179" s="49" t="s">
        <v>3</v>
      </c>
      <c r="D179" s="215">
        <v>15.75</v>
      </c>
      <c r="E179" s="249">
        <v>15.75</v>
      </c>
      <c r="F179" s="209">
        <f t="shared" si="14"/>
        <v>0.52500000000000002</v>
      </c>
      <c r="G179" s="191">
        <v>30</v>
      </c>
      <c r="H179" s="40">
        <v>48</v>
      </c>
      <c r="I179" s="212">
        <f t="shared" si="15"/>
        <v>756</v>
      </c>
      <c r="K179" s="211">
        <f>VLOOKUP(A179,КИ_ПФ!B186:AN1008,39,FALSE)</f>
        <v>756</v>
      </c>
      <c r="L179" s="230" t="str">
        <f t="shared" si="16"/>
        <v>ИСТИНА</v>
      </c>
    </row>
    <row r="180" spans="1:12" x14ac:dyDescent="0.2">
      <c r="A180" s="116">
        <v>1001063115912</v>
      </c>
      <c r="B180" s="48" t="s">
        <v>991</v>
      </c>
      <c r="C180" s="49" t="s">
        <v>3</v>
      </c>
      <c r="D180" s="316">
        <v>13.5</v>
      </c>
      <c r="E180" s="249">
        <v>13.5</v>
      </c>
      <c r="F180" s="209">
        <f t="shared" si="14"/>
        <v>13.5</v>
      </c>
      <c r="G180" s="191">
        <v>1</v>
      </c>
      <c r="H180" s="40">
        <v>24</v>
      </c>
      <c r="I180" s="212">
        <f t="shared" si="15"/>
        <v>324</v>
      </c>
      <c r="K180" s="211">
        <f>VLOOKUP(A180,КИ_ПФ!B187:AN1009,39,FALSE)</f>
        <v>324</v>
      </c>
      <c r="L180" s="230" t="str">
        <f t="shared" si="16"/>
        <v>ИСТИНА</v>
      </c>
    </row>
    <row r="181" spans="1:12" x14ac:dyDescent="0.2">
      <c r="A181" s="116">
        <v>1001063104299</v>
      </c>
      <c r="B181" s="48" t="s">
        <v>1411</v>
      </c>
      <c r="C181" s="49" t="s">
        <v>3</v>
      </c>
      <c r="D181" s="316">
        <v>15</v>
      </c>
      <c r="E181" s="249">
        <v>15</v>
      </c>
      <c r="F181" s="209">
        <f t="shared" si="14"/>
        <v>0.5</v>
      </c>
      <c r="G181" s="191">
        <v>30</v>
      </c>
      <c r="H181" s="40">
        <v>48</v>
      </c>
      <c r="I181" s="212">
        <f t="shared" si="15"/>
        <v>720</v>
      </c>
      <c r="K181" s="211">
        <f>VLOOKUP(A181,КИ_ПФ!B188:AN1010,39,FALSE)</f>
        <v>720</v>
      </c>
      <c r="L181" s="230" t="str">
        <f t="shared" si="16"/>
        <v>ИСТИНА</v>
      </c>
    </row>
    <row r="182" spans="1:12" x14ac:dyDescent="0.2">
      <c r="A182" s="116">
        <v>1001065467666</v>
      </c>
      <c r="B182" s="48" t="s">
        <v>2114</v>
      </c>
      <c r="C182" s="49" t="s">
        <v>3</v>
      </c>
      <c r="D182" s="316">
        <v>1.76</v>
      </c>
      <c r="E182" s="249">
        <v>1.76</v>
      </c>
      <c r="F182" s="209">
        <f t="shared" si="14"/>
        <v>0.22</v>
      </c>
      <c r="G182" s="191">
        <v>8</v>
      </c>
      <c r="H182" s="40">
        <v>280</v>
      </c>
      <c r="I182" s="212">
        <f t="shared" si="15"/>
        <v>492.8</v>
      </c>
      <c r="K182" s="211">
        <f>VLOOKUP(A182,КИ_ПФ!B189:AN1011,39,FALSE)</f>
        <v>492.8</v>
      </c>
      <c r="L182" s="230" t="str">
        <f t="shared" si="16"/>
        <v>ИСТИНА</v>
      </c>
    </row>
    <row r="183" spans="1:12" x14ac:dyDescent="0.2">
      <c r="A183" s="116">
        <v>1001065467394</v>
      </c>
      <c r="B183" s="48" t="s">
        <v>1413</v>
      </c>
      <c r="C183" s="49" t="s">
        <v>3</v>
      </c>
      <c r="D183" s="316">
        <v>13.2</v>
      </c>
      <c r="E183" s="249">
        <v>13.2</v>
      </c>
      <c r="F183" s="209">
        <f t="shared" si="14"/>
        <v>2.2000000000000002</v>
      </c>
      <c r="G183" s="191">
        <v>6</v>
      </c>
      <c r="H183" s="40">
        <v>48</v>
      </c>
      <c r="I183" s="212">
        <f t="shared" si="15"/>
        <v>633.6</v>
      </c>
      <c r="K183" s="211">
        <f>VLOOKUP(A183,КИ_ПФ!B189:AN1011,39,FALSE)</f>
        <v>633.6</v>
      </c>
      <c r="L183" s="230" t="str">
        <f t="shared" si="16"/>
        <v>ИСТИНА</v>
      </c>
    </row>
    <row r="184" spans="1:12" x14ac:dyDescent="0.2">
      <c r="A184" s="116">
        <v>1001065237140</v>
      </c>
      <c r="B184" s="48" t="s">
        <v>1115</v>
      </c>
      <c r="C184" s="49" t="s">
        <v>3</v>
      </c>
      <c r="D184" s="316">
        <v>4</v>
      </c>
      <c r="E184" s="249">
        <v>4</v>
      </c>
      <c r="F184" s="209">
        <f t="shared" si="14"/>
        <v>0.5</v>
      </c>
      <c r="G184" s="191">
        <v>8</v>
      </c>
      <c r="H184" s="40">
        <v>168</v>
      </c>
      <c r="I184" s="212">
        <f t="shared" si="15"/>
        <v>672</v>
      </c>
      <c r="K184" s="211">
        <f>VLOOKUP(A184,КИ_ПФ!B191:AN1012,39,FALSE)</f>
        <v>672</v>
      </c>
      <c r="L184" s="230" t="str">
        <f t="shared" si="16"/>
        <v>ИСТИНА</v>
      </c>
    </row>
    <row r="185" spans="1:12" x14ac:dyDescent="0.2">
      <c r="A185" s="116">
        <v>1001065237652</v>
      </c>
      <c r="B185" s="55" t="s">
        <v>1876</v>
      </c>
      <c r="C185" s="49" t="s">
        <v>3</v>
      </c>
      <c r="D185" s="316">
        <v>10</v>
      </c>
      <c r="E185" s="249">
        <v>10</v>
      </c>
      <c r="F185" s="209">
        <f t="shared" si="14"/>
        <v>5</v>
      </c>
      <c r="G185" s="191">
        <v>2</v>
      </c>
      <c r="H185" s="40">
        <v>24</v>
      </c>
      <c r="I185" s="212">
        <f t="shared" si="15"/>
        <v>240</v>
      </c>
      <c r="K185" s="211">
        <f>VLOOKUP(A185,КИ_ПФ!B194:AN1014,39,FALSE)</f>
        <v>240</v>
      </c>
      <c r="L185" s="230" t="str">
        <f t="shared" si="16"/>
        <v>ИСТИНА</v>
      </c>
    </row>
    <row r="186" spans="1:12" x14ac:dyDescent="0.2">
      <c r="A186" s="116">
        <v>1001063217366</v>
      </c>
      <c r="B186" s="55" t="s">
        <v>1378</v>
      </c>
      <c r="C186" s="49" t="s">
        <v>3</v>
      </c>
      <c r="D186" s="215">
        <v>13.2</v>
      </c>
      <c r="E186" s="249">
        <v>13.2</v>
      </c>
      <c r="F186" s="209">
        <f t="shared" si="14"/>
        <v>13.2</v>
      </c>
      <c r="G186" s="191">
        <v>1</v>
      </c>
      <c r="H186" s="40">
        <v>40</v>
      </c>
      <c r="I186" s="212">
        <f t="shared" si="15"/>
        <v>528</v>
      </c>
      <c r="K186" s="211">
        <f>VLOOKUP(A186,КИ_ПФ!B194:AN1014,39,FALSE)</f>
        <v>528</v>
      </c>
      <c r="L186" s="230" t="str">
        <f t="shared" si="16"/>
        <v>ИСТИНА</v>
      </c>
    </row>
    <row r="187" spans="1:12" x14ac:dyDescent="0.2">
      <c r="A187" s="116">
        <v>1001062504117</v>
      </c>
      <c r="B187" s="48" t="s">
        <v>222</v>
      </c>
      <c r="C187" s="49" t="s">
        <v>3</v>
      </c>
      <c r="D187" s="318">
        <v>3.95</v>
      </c>
      <c r="E187" s="249">
        <v>3.95</v>
      </c>
      <c r="F187" s="209">
        <f t="shared" si="14"/>
        <v>0.49399999999999999</v>
      </c>
      <c r="G187" s="191">
        <v>8</v>
      </c>
      <c r="H187" s="40">
        <v>168</v>
      </c>
      <c r="I187" s="212">
        <f t="shared" si="15"/>
        <v>663.6</v>
      </c>
      <c r="K187" s="211">
        <f>VLOOKUP(A187,КИ_ПФ!B194:AN1015,39,FALSE)</f>
        <v>663.6</v>
      </c>
      <c r="L187" s="230" t="str">
        <f t="shared" si="16"/>
        <v>ИСТИНА</v>
      </c>
    </row>
    <row r="188" spans="1:12" x14ac:dyDescent="0.2">
      <c r="A188" s="116">
        <v>1001062504674</v>
      </c>
      <c r="B188" s="55" t="s">
        <v>345</v>
      </c>
      <c r="C188" s="87" t="s">
        <v>3</v>
      </c>
      <c r="D188" s="215">
        <v>15</v>
      </c>
      <c r="E188" s="249">
        <v>15</v>
      </c>
      <c r="F188" s="210">
        <f t="shared" si="14"/>
        <v>0.5</v>
      </c>
      <c r="G188" s="194">
        <v>30</v>
      </c>
      <c r="H188" s="40">
        <v>48</v>
      </c>
      <c r="I188" s="212">
        <f t="shared" si="15"/>
        <v>720</v>
      </c>
      <c r="K188" s="211">
        <f>VLOOKUP(A188,КИ_ПФ!B195:AN1016,39,FALSE)</f>
        <v>720</v>
      </c>
      <c r="L188" s="230" t="str">
        <f t="shared" si="16"/>
        <v>ИСТИНА</v>
      </c>
    </row>
    <row r="189" spans="1:12" x14ac:dyDescent="0.2">
      <c r="A189" s="116">
        <v>1001062505913</v>
      </c>
      <c r="B189" s="55" t="s">
        <v>992</v>
      </c>
      <c r="C189" s="87" t="s">
        <v>3</v>
      </c>
      <c r="D189" s="316">
        <v>13.5</v>
      </c>
      <c r="E189" s="249">
        <v>13.5</v>
      </c>
      <c r="F189" s="210">
        <f t="shared" si="14"/>
        <v>13.5</v>
      </c>
      <c r="G189" s="191">
        <v>1</v>
      </c>
      <c r="H189" s="40">
        <v>24</v>
      </c>
      <c r="I189" s="212">
        <f t="shared" si="15"/>
        <v>324</v>
      </c>
      <c r="K189" s="211">
        <f>VLOOKUP(A189,КИ_ПФ!B196:AN1017,39,FALSE)</f>
        <v>324</v>
      </c>
      <c r="L189" s="230" t="str">
        <f t="shared" si="16"/>
        <v>ИСТИНА</v>
      </c>
    </row>
    <row r="190" spans="1:12" x14ac:dyDescent="0.2">
      <c r="A190" s="116">
        <v>1001062473970</v>
      </c>
      <c r="B190" s="48" t="s">
        <v>175</v>
      </c>
      <c r="C190" s="49" t="s">
        <v>3</v>
      </c>
      <c r="D190" s="215">
        <v>3.9</v>
      </c>
      <c r="E190" s="249">
        <v>3.9</v>
      </c>
      <c r="F190" s="209">
        <f t="shared" si="14"/>
        <v>0.48799999999999999</v>
      </c>
      <c r="G190" s="191">
        <v>8</v>
      </c>
      <c r="H190" s="40">
        <v>168</v>
      </c>
      <c r="I190" s="212">
        <f t="shared" si="15"/>
        <v>655.20000000000005</v>
      </c>
      <c r="K190" s="211">
        <f>VLOOKUP(A190,КИ_ПФ!B197:AN1018,39,FALSE)</f>
        <v>655.20000000000005</v>
      </c>
      <c r="L190" s="230" t="str">
        <f t="shared" si="16"/>
        <v>ИСТИНА</v>
      </c>
    </row>
    <row r="191" spans="1:12" x14ac:dyDescent="0.2">
      <c r="A191" s="116">
        <v>1001062475047</v>
      </c>
      <c r="B191" s="55" t="s">
        <v>347</v>
      </c>
      <c r="C191" s="87" t="s">
        <v>3</v>
      </c>
      <c r="D191" s="215">
        <v>15</v>
      </c>
      <c r="E191" s="249">
        <v>15</v>
      </c>
      <c r="F191" s="210">
        <f t="shared" si="14"/>
        <v>0.5</v>
      </c>
      <c r="G191" s="194">
        <v>30</v>
      </c>
      <c r="H191" s="40">
        <v>48</v>
      </c>
      <c r="I191" s="212">
        <f t="shared" si="15"/>
        <v>720</v>
      </c>
      <c r="K191" s="211">
        <f>VLOOKUP(A191,КИ_ПФ!B197:AN1019,39,FALSE)</f>
        <v>720</v>
      </c>
      <c r="L191" s="230" t="str">
        <f t="shared" si="16"/>
        <v>ИСТИНА</v>
      </c>
    </row>
    <row r="192" spans="1:12" x14ac:dyDescent="0.2">
      <c r="A192" s="116">
        <v>1001066357180</v>
      </c>
      <c r="B192" s="55" t="s">
        <v>1144</v>
      </c>
      <c r="C192" s="87" t="s">
        <v>3</v>
      </c>
      <c r="D192" s="215">
        <v>10.8</v>
      </c>
      <c r="E192" s="249">
        <v>10.8</v>
      </c>
      <c r="F192" s="210">
        <f t="shared" si="14"/>
        <v>2.7</v>
      </c>
      <c r="G192" s="194">
        <v>4</v>
      </c>
      <c r="H192" s="40">
        <v>24</v>
      </c>
      <c r="I192" s="212">
        <f t="shared" si="15"/>
        <v>259.2</v>
      </c>
      <c r="K192" s="211">
        <f>VLOOKUP(A192,КИ_ПФ!B198:AN1020,39,FALSE)</f>
        <v>259.2</v>
      </c>
      <c r="L192" s="230" t="str">
        <f t="shared" si="16"/>
        <v>ИСТИНА</v>
      </c>
    </row>
    <row r="193" spans="1:12" x14ac:dyDescent="0.2">
      <c r="A193" s="116">
        <v>1001065466943</v>
      </c>
      <c r="B193" s="55" t="s">
        <v>993</v>
      </c>
      <c r="C193" s="87" t="s">
        <v>3</v>
      </c>
      <c r="D193" s="215">
        <v>10.8</v>
      </c>
      <c r="E193" s="249">
        <v>10.8</v>
      </c>
      <c r="F193" s="210">
        <f t="shared" si="14"/>
        <v>2.7</v>
      </c>
      <c r="G193" s="194">
        <v>4</v>
      </c>
      <c r="H193" s="40">
        <v>24</v>
      </c>
      <c r="I193" s="212">
        <f t="shared" si="15"/>
        <v>259.2</v>
      </c>
      <c r="K193" s="211">
        <f>VLOOKUP(A193,КИ_ПФ!B198:AN1021,39,FALSE)</f>
        <v>259.2</v>
      </c>
      <c r="L193" s="230" t="str">
        <f t="shared" si="16"/>
        <v>ИСТИНА</v>
      </c>
    </row>
    <row r="194" spans="1:12" x14ac:dyDescent="0.2">
      <c r="A194" s="116">
        <v>1001063206940</v>
      </c>
      <c r="B194" s="55" t="s">
        <v>947</v>
      </c>
      <c r="C194" s="87" t="s">
        <v>3</v>
      </c>
      <c r="D194" s="215">
        <v>10.8</v>
      </c>
      <c r="E194" s="249">
        <v>10.8</v>
      </c>
      <c r="F194" s="210">
        <f t="shared" si="14"/>
        <v>2.7</v>
      </c>
      <c r="G194" s="194">
        <v>4</v>
      </c>
      <c r="H194" s="40">
        <v>24</v>
      </c>
      <c r="I194" s="212">
        <f t="shared" si="15"/>
        <v>259.2</v>
      </c>
      <c r="K194" s="211">
        <f>VLOOKUP(A194,КИ_ПФ!B199:AN1022,39,FALSE)</f>
        <v>259.2</v>
      </c>
      <c r="L194" s="230" t="str">
        <f t="shared" si="16"/>
        <v>ИСТИНА</v>
      </c>
    </row>
    <row r="195" spans="1:12" x14ac:dyDescent="0.2">
      <c r="A195" s="116">
        <v>1001065446941</v>
      </c>
      <c r="B195" s="55" t="s">
        <v>948</v>
      </c>
      <c r="C195" s="87" t="s">
        <v>3</v>
      </c>
      <c r="D195" s="215">
        <v>10.8</v>
      </c>
      <c r="E195" s="249">
        <v>10.8</v>
      </c>
      <c r="F195" s="210">
        <f t="shared" si="14"/>
        <v>2.7</v>
      </c>
      <c r="G195" s="194">
        <v>4</v>
      </c>
      <c r="H195" s="40">
        <v>24</v>
      </c>
      <c r="I195" s="212">
        <f t="shared" si="15"/>
        <v>259.2</v>
      </c>
      <c r="K195" s="211">
        <f>VLOOKUP(A195,КИ_ПФ!B200:AN1023,39,FALSE)</f>
        <v>259.2</v>
      </c>
      <c r="L195" s="230" t="str">
        <f t="shared" si="16"/>
        <v>ИСТИНА</v>
      </c>
    </row>
    <row r="196" spans="1:12" x14ac:dyDescent="0.2">
      <c r="A196" s="116">
        <v>1001065456942</v>
      </c>
      <c r="B196" s="55" t="s">
        <v>994</v>
      </c>
      <c r="C196" s="87" t="s">
        <v>3</v>
      </c>
      <c r="D196" s="215">
        <v>10.8</v>
      </c>
      <c r="E196" s="249">
        <v>10.8</v>
      </c>
      <c r="F196" s="210">
        <f t="shared" si="14"/>
        <v>2.7</v>
      </c>
      <c r="G196" s="194">
        <v>4</v>
      </c>
      <c r="H196" s="40">
        <v>24</v>
      </c>
      <c r="I196" s="212">
        <f t="shared" si="15"/>
        <v>259.2</v>
      </c>
      <c r="K196" s="211">
        <f>VLOOKUP(A196,КИ_ПФ!B201:AN1024,39,FALSE)</f>
        <v>259.2</v>
      </c>
      <c r="L196" s="230" t="str">
        <f t="shared" si="16"/>
        <v>ИСТИНА</v>
      </c>
    </row>
    <row r="197" spans="1:12" x14ac:dyDescent="0.2">
      <c r="A197" s="116">
        <v>1001060653917</v>
      </c>
      <c r="B197" s="48" t="s">
        <v>176</v>
      </c>
      <c r="C197" s="49" t="s">
        <v>3</v>
      </c>
      <c r="D197" s="215">
        <v>2.15</v>
      </c>
      <c r="E197" s="249">
        <v>2.15</v>
      </c>
      <c r="F197" s="209">
        <f t="shared" si="14"/>
        <v>0.26900000000000002</v>
      </c>
      <c r="G197" s="191">
        <v>8</v>
      </c>
      <c r="H197" s="40">
        <v>165</v>
      </c>
      <c r="I197" s="212">
        <f t="shared" si="15"/>
        <v>354.7</v>
      </c>
      <c r="K197" s="211">
        <f>VLOOKUP(A197,КИ_ПФ!B202:AN1025,39,FALSE)</f>
        <v>354.7</v>
      </c>
      <c r="L197" s="230" t="str">
        <f t="shared" si="16"/>
        <v>ИСТИНА</v>
      </c>
    </row>
    <row r="198" spans="1:12" x14ac:dyDescent="0.2">
      <c r="A198" s="116">
        <v>1001070656289</v>
      </c>
      <c r="B198" s="48" t="s">
        <v>322</v>
      </c>
      <c r="C198" s="49" t="s">
        <v>3</v>
      </c>
      <c r="D198" s="215">
        <v>2.15</v>
      </c>
      <c r="E198" s="249">
        <v>2.15</v>
      </c>
      <c r="F198" s="209">
        <f t="shared" si="14"/>
        <v>0.26900000000000002</v>
      </c>
      <c r="G198" s="191">
        <v>8</v>
      </c>
      <c r="H198" s="40">
        <v>165</v>
      </c>
      <c r="I198" s="212">
        <f t="shared" si="15"/>
        <v>354.7</v>
      </c>
      <c r="K198" s="211">
        <f>VLOOKUP(A198,КИ_ПФ!B202:AN1026,39,FALSE)</f>
        <v>354.7</v>
      </c>
      <c r="L198" s="230" t="str">
        <f t="shared" si="16"/>
        <v>ИСТИНА</v>
      </c>
    </row>
    <row r="199" spans="1:12" x14ac:dyDescent="0.2">
      <c r="A199" s="116">
        <v>1001070656752</v>
      </c>
      <c r="B199" s="48" t="s">
        <v>961</v>
      </c>
      <c r="C199" s="49" t="s">
        <v>3</v>
      </c>
      <c r="D199" s="215">
        <v>2.15</v>
      </c>
      <c r="E199" s="249">
        <v>2.15</v>
      </c>
      <c r="F199" s="209">
        <f t="shared" si="14"/>
        <v>0.26900000000000002</v>
      </c>
      <c r="G199" s="191">
        <v>8</v>
      </c>
      <c r="H199" s="40">
        <v>165</v>
      </c>
      <c r="I199" s="212">
        <f t="shared" si="15"/>
        <v>354.7</v>
      </c>
      <c r="K199" s="211">
        <f>VLOOKUP(A199,КИ_ПФ!B203:AN1027,39,FALSE)</f>
        <v>354.7</v>
      </c>
      <c r="L199" s="230" t="str">
        <f t="shared" si="16"/>
        <v>ИСТИНА</v>
      </c>
    </row>
    <row r="200" spans="1:12" x14ac:dyDescent="0.2">
      <c r="A200" s="116">
        <v>1001070656118</v>
      </c>
      <c r="B200" s="48" t="s">
        <v>952</v>
      </c>
      <c r="C200" s="49" t="s">
        <v>3</v>
      </c>
      <c r="D200" s="215">
        <v>2.14</v>
      </c>
      <c r="E200" s="249">
        <v>2.14</v>
      </c>
      <c r="F200" s="209">
        <f t="shared" si="14"/>
        <v>0.26800000000000002</v>
      </c>
      <c r="G200" s="191">
        <v>8</v>
      </c>
      <c r="H200" s="40">
        <v>165</v>
      </c>
      <c r="I200" s="212">
        <f t="shared" si="15"/>
        <v>353.1</v>
      </c>
      <c r="K200" s="211">
        <f>VLOOKUP(A200,КИ_ПФ!B204:AN1028,39,FALSE)</f>
        <v>353.1</v>
      </c>
      <c r="L200" s="230" t="str">
        <f t="shared" si="16"/>
        <v>ИСТИНА</v>
      </c>
    </row>
    <row r="201" spans="1:12" x14ac:dyDescent="0.2">
      <c r="A201" s="116">
        <v>1001070656152</v>
      </c>
      <c r="B201" s="48" t="s">
        <v>327</v>
      </c>
      <c r="C201" s="49" t="s">
        <v>3</v>
      </c>
      <c r="D201" s="215">
        <v>2.14</v>
      </c>
      <c r="E201" s="249">
        <v>2.14</v>
      </c>
      <c r="F201" s="209">
        <f t="shared" si="14"/>
        <v>0.26800000000000002</v>
      </c>
      <c r="G201" s="191">
        <v>8</v>
      </c>
      <c r="H201" s="40">
        <v>165</v>
      </c>
      <c r="I201" s="212">
        <f t="shared" si="15"/>
        <v>353.1</v>
      </c>
      <c r="K201" s="211">
        <f>VLOOKUP(A201,КИ_ПФ!B205:AN1029,39,FALSE)</f>
        <v>353.1</v>
      </c>
      <c r="L201" s="230" t="str">
        <f t="shared" si="16"/>
        <v>ИСТИНА</v>
      </c>
    </row>
    <row r="202" spans="1:12" x14ac:dyDescent="0.2">
      <c r="A202" s="116">
        <v>1001035937001</v>
      </c>
      <c r="B202" s="48" t="s">
        <v>996</v>
      </c>
      <c r="C202" s="49" t="s">
        <v>3</v>
      </c>
      <c r="D202" s="215">
        <v>3</v>
      </c>
      <c r="E202" s="249">
        <v>3</v>
      </c>
      <c r="F202" s="209">
        <f t="shared" si="14"/>
        <v>1</v>
      </c>
      <c r="G202" s="191">
        <v>3</v>
      </c>
      <c r="H202" s="40">
        <v>128</v>
      </c>
      <c r="I202" s="212">
        <f t="shared" si="15"/>
        <v>384</v>
      </c>
      <c r="K202" s="211">
        <f>VLOOKUP(A202,КИ_ПФ!B206:AN1030,39,FALSE)</f>
        <v>384</v>
      </c>
      <c r="L202" s="230" t="str">
        <f t="shared" si="16"/>
        <v>ИСТИНА</v>
      </c>
    </row>
    <row r="203" spans="1:12" x14ac:dyDescent="0.2">
      <c r="A203" s="116">
        <v>1001032736549</v>
      </c>
      <c r="B203" s="48" t="s">
        <v>603</v>
      </c>
      <c r="C203" s="49" t="s">
        <v>3</v>
      </c>
      <c r="D203" s="215">
        <v>3</v>
      </c>
      <c r="E203" s="249">
        <v>3</v>
      </c>
      <c r="F203" s="209">
        <f t="shared" si="14"/>
        <v>1</v>
      </c>
      <c r="G203" s="191">
        <v>3</v>
      </c>
      <c r="H203" s="40">
        <v>128</v>
      </c>
      <c r="I203" s="212">
        <f t="shared" si="15"/>
        <v>384</v>
      </c>
      <c r="K203" s="211">
        <f>VLOOKUP(A203,КИ_ПФ!B207:AN1031,39,FALSE)</f>
        <v>384</v>
      </c>
      <c r="L203" s="230" t="str">
        <f t="shared" si="16"/>
        <v>ИСТИНА</v>
      </c>
    </row>
    <row r="204" spans="1:12" x14ac:dyDescent="0.2">
      <c r="A204" s="116">
        <v>1001032736529</v>
      </c>
      <c r="B204" s="48" t="s">
        <v>597</v>
      </c>
      <c r="C204" s="49" t="s">
        <v>3</v>
      </c>
      <c r="D204" s="215">
        <v>3</v>
      </c>
      <c r="E204" s="249">
        <v>3</v>
      </c>
      <c r="F204" s="209">
        <f t="shared" si="14"/>
        <v>1</v>
      </c>
      <c r="G204" s="191">
        <v>3</v>
      </c>
      <c r="H204" s="40">
        <v>112</v>
      </c>
      <c r="I204" s="212">
        <f t="shared" si="15"/>
        <v>336</v>
      </c>
      <c r="K204" s="211">
        <f>VLOOKUP(A204,КИ_ПФ!B207:AN1032,39,FALSE)</f>
        <v>336</v>
      </c>
      <c r="L204" s="230" t="str">
        <f t="shared" si="16"/>
        <v>ИСТИНА</v>
      </c>
    </row>
    <row r="205" spans="1:12" x14ac:dyDescent="0.2">
      <c r="A205" s="116">
        <v>1001032736550</v>
      </c>
      <c r="B205" s="48" t="s">
        <v>604</v>
      </c>
      <c r="C205" s="49" t="s">
        <v>3</v>
      </c>
      <c r="D205" s="215">
        <v>3</v>
      </c>
      <c r="E205" s="249">
        <v>3</v>
      </c>
      <c r="F205" s="209">
        <f t="shared" si="14"/>
        <v>1</v>
      </c>
      <c r="G205" s="191">
        <v>3</v>
      </c>
      <c r="H205" s="40">
        <v>128</v>
      </c>
      <c r="I205" s="212">
        <f t="shared" si="15"/>
        <v>384</v>
      </c>
      <c r="K205" s="211">
        <f>VLOOKUP(A205,КИ_ПФ!B208:AN1033,39,FALSE)</f>
        <v>384</v>
      </c>
      <c r="L205" s="230" t="str">
        <f t="shared" si="16"/>
        <v>ИСТИНА</v>
      </c>
    </row>
    <row r="206" spans="1:12" x14ac:dyDescent="0.2">
      <c r="A206" s="116">
        <v>1001033856608</v>
      </c>
      <c r="B206" s="48" t="s">
        <v>618</v>
      </c>
      <c r="C206" s="49" t="s">
        <v>3</v>
      </c>
      <c r="D206" s="215">
        <v>3</v>
      </c>
      <c r="E206" s="249">
        <v>3</v>
      </c>
      <c r="F206" s="209">
        <f t="shared" si="14"/>
        <v>1</v>
      </c>
      <c r="G206" s="191">
        <v>3</v>
      </c>
      <c r="H206" s="40">
        <v>128</v>
      </c>
      <c r="I206" s="212">
        <f t="shared" si="15"/>
        <v>384</v>
      </c>
      <c r="K206" s="211">
        <f>VLOOKUP(A206,КИ_ПФ!B209:AN1034,39,FALSE)</f>
        <v>384</v>
      </c>
      <c r="L206" s="230" t="str">
        <f t="shared" si="16"/>
        <v>ИСТИНА</v>
      </c>
    </row>
    <row r="207" spans="1:12" x14ac:dyDescent="0.2">
      <c r="A207" s="116">
        <v>1001031076527</v>
      </c>
      <c r="B207" s="48" t="s">
        <v>596</v>
      </c>
      <c r="C207" s="49" t="s">
        <v>3</v>
      </c>
      <c r="D207" s="215">
        <v>3</v>
      </c>
      <c r="E207" s="249">
        <v>3</v>
      </c>
      <c r="F207" s="209">
        <f t="shared" si="14"/>
        <v>1</v>
      </c>
      <c r="G207" s="191">
        <v>3</v>
      </c>
      <c r="H207" s="40">
        <v>112</v>
      </c>
      <c r="I207" s="212">
        <f t="shared" si="15"/>
        <v>336</v>
      </c>
      <c r="K207" s="211">
        <f>VLOOKUP(A207,КИ_ПФ!B210:AN1035,39,FALSE)</f>
        <v>336</v>
      </c>
      <c r="L207" s="230" t="str">
        <f t="shared" si="16"/>
        <v>ИСТИНА</v>
      </c>
    </row>
    <row r="208" spans="1:12" x14ac:dyDescent="0.2">
      <c r="A208" s="116">
        <v>1001031076548</v>
      </c>
      <c r="B208" s="48" t="s">
        <v>602</v>
      </c>
      <c r="C208" s="49" t="s">
        <v>3</v>
      </c>
      <c r="D208" s="215">
        <v>3</v>
      </c>
      <c r="E208" s="249">
        <v>3</v>
      </c>
      <c r="F208" s="209">
        <f t="shared" si="14"/>
        <v>1</v>
      </c>
      <c r="G208" s="191">
        <v>3</v>
      </c>
      <c r="H208" s="40">
        <v>128</v>
      </c>
      <c r="I208" s="212">
        <f t="shared" si="15"/>
        <v>384</v>
      </c>
      <c r="K208" s="211">
        <f>VLOOKUP(A208,КИ_ПФ!B211:AN1036,39,FALSE)</f>
        <v>336</v>
      </c>
      <c r="L208" s="230" t="str">
        <f t="shared" si="16"/>
        <v>ЛОЖЬ</v>
      </c>
    </row>
    <row r="209" spans="1:12" x14ac:dyDescent="0.2">
      <c r="A209" s="116">
        <v>1001031897056</v>
      </c>
      <c r="B209" s="48" t="s">
        <v>1039</v>
      </c>
      <c r="C209" s="49" t="s">
        <v>3</v>
      </c>
      <c r="D209" s="215">
        <v>3.1</v>
      </c>
      <c r="E209" s="249">
        <v>3.1</v>
      </c>
      <c r="F209" s="209">
        <f t="shared" ref="F209:F242" si="18">ROUNDUP(Новая_кратность_короба__кг/Кол_во_штук_в_коробе,3)</f>
        <v>1.0339999999999998</v>
      </c>
      <c r="G209" s="191">
        <v>3</v>
      </c>
      <c r="H209" s="40">
        <v>128</v>
      </c>
      <c r="I209" s="212">
        <f t="shared" ref="I209:I242" si="19">ROUNDDOWN(Новая_кратность_короба__кг*Кол_во_коробок_на_поддоне,1)</f>
        <v>396.8</v>
      </c>
      <c r="K209" s="211">
        <f>VLOOKUP(A209,КИ_ПФ!B212:AN1037,39,FALSE)</f>
        <v>396.8</v>
      </c>
      <c r="L209" s="230" t="str">
        <f t="shared" ref="L209:L242" si="20">IF(I209=K209,"ИСТИНА","ЛОЖЬ")</f>
        <v>ИСТИНА</v>
      </c>
    </row>
    <row r="210" spans="1:12" x14ac:dyDescent="0.2">
      <c r="A210" s="116">
        <v>1001035277058</v>
      </c>
      <c r="B210" s="48" t="s">
        <v>1041</v>
      </c>
      <c r="C210" s="49" t="s">
        <v>3</v>
      </c>
      <c r="D210" s="215">
        <v>3.1</v>
      </c>
      <c r="E210" s="249">
        <v>3.1</v>
      </c>
      <c r="F210" s="209">
        <f t="shared" si="18"/>
        <v>1.0339999999999998</v>
      </c>
      <c r="G210" s="191">
        <v>3</v>
      </c>
      <c r="H210" s="40">
        <v>128</v>
      </c>
      <c r="I210" s="212">
        <f t="shared" si="19"/>
        <v>396.8</v>
      </c>
      <c r="K210" s="211">
        <f>VLOOKUP(A210,КИ_ПФ!B213:AN1038,39,FALSE)</f>
        <v>396.8</v>
      </c>
      <c r="L210" s="230" t="str">
        <f t="shared" si="20"/>
        <v>ИСТИНА</v>
      </c>
    </row>
    <row r="211" spans="1:12" x14ac:dyDescent="0.2">
      <c r="A211" s="116">
        <v>1001034206836</v>
      </c>
      <c r="B211" s="48" t="s">
        <v>831</v>
      </c>
      <c r="C211" s="49" t="s">
        <v>3</v>
      </c>
      <c r="D211" s="215">
        <v>3</v>
      </c>
      <c r="E211" s="249">
        <v>3</v>
      </c>
      <c r="F211" s="209">
        <f t="shared" si="18"/>
        <v>1</v>
      </c>
      <c r="G211" s="191">
        <v>3</v>
      </c>
      <c r="H211" s="40">
        <v>128</v>
      </c>
      <c r="I211" s="212">
        <f t="shared" si="19"/>
        <v>384</v>
      </c>
      <c r="K211" s="211">
        <f>VLOOKUP(A211,КИ_ПФ!B214:AN1039,39,FALSE)</f>
        <v>384</v>
      </c>
      <c r="L211" s="230" t="str">
        <f t="shared" si="20"/>
        <v>ИСТИНА</v>
      </c>
    </row>
    <row r="212" spans="1:12" x14ac:dyDescent="0.2">
      <c r="A212" s="116">
        <v>1001020867062</v>
      </c>
      <c r="B212" s="48" t="s">
        <v>1046</v>
      </c>
      <c r="C212" s="49" t="s">
        <v>3</v>
      </c>
      <c r="D212" s="215">
        <v>4</v>
      </c>
      <c r="E212" s="249">
        <v>4</v>
      </c>
      <c r="F212" s="209">
        <f t="shared" si="18"/>
        <v>1</v>
      </c>
      <c r="G212" s="191">
        <v>4</v>
      </c>
      <c r="H212" s="40">
        <v>108</v>
      </c>
      <c r="I212" s="212">
        <f t="shared" si="19"/>
        <v>432</v>
      </c>
      <c r="K212" s="211">
        <f>VLOOKUP(A212,КИ_ПФ!B215:AN1040,39,FALSE)</f>
        <v>432</v>
      </c>
      <c r="L212" s="230" t="str">
        <f t="shared" si="20"/>
        <v>ИСТИНА</v>
      </c>
    </row>
    <row r="213" spans="1:12" x14ac:dyDescent="0.2">
      <c r="A213" s="116">
        <v>1001022726303</v>
      </c>
      <c r="B213" s="48" t="s">
        <v>656</v>
      </c>
      <c r="C213" s="49" t="s">
        <v>3</v>
      </c>
      <c r="D213" s="215">
        <v>4.5</v>
      </c>
      <c r="E213" s="249">
        <v>4.5</v>
      </c>
      <c r="F213" s="209">
        <f t="shared" si="18"/>
        <v>1.5</v>
      </c>
      <c r="G213" s="191">
        <v>3</v>
      </c>
      <c r="H213" s="40">
        <v>108</v>
      </c>
      <c r="I213" s="212">
        <f t="shared" si="19"/>
        <v>486</v>
      </c>
      <c r="K213" s="211">
        <f>VLOOKUP(A213,КИ_ПФ!B215:AN1041,39,FALSE)</f>
        <v>486</v>
      </c>
      <c r="L213" s="230" t="str">
        <f t="shared" si="20"/>
        <v>ИСТИНА</v>
      </c>
    </row>
    <row r="214" spans="1:12" x14ac:dyDescent="0.2">
      <c r="A214" s="116">
        <v>1001025507271</v>
      </c>
      <c r="B214" s="48" t="s">
        <v>1234</v>
      </c>
      <c r="C214" s="49" t="s">
        <v>3</v>
      </c>
      <c r="D214" s="215">
        <v>6</v>
      </c>
      <c r="E214" s="249">
        <v>6</v>
      </c>
      <c r="F214" s="209">
        <f t="shared" si="18"/>
        <v>1.5</v>
      </c>
      <c r="G214" s="191">
        <v>4</v>
      </c>
      <c r="H214" s="40">
        <v>80</v>
      </c>
      <c r="I214" s="212">
        <f t="shared" si="19"/>
        <v>480</v>
      </c>
      <c r="K214" s="211">
        <f>VLOOKUP(A214,КИ_ПФ!B216:AN1042,39,FALSE)</f>
        <v>480</v>
      </c>
      <c r="L214" s="230" t="str">
        <f t="shared" si="20"/>
        <v>ИСТИНА</v>
      </c>
    </row>
    <row r="215" spans="1:12" x14ac:dyDescent="0.2">
      <c r="A215" s="116">
        <v>1001022246958</v>
      </c>
      <c r="B215" s="48" t="s">
        <v>956</v>
      </c>
      <c r="C215" s="49" t="s">
        <v>3</v>
      </c>
      <c r="D215" s="215">
        <v>6.2</v>
      </c>
      <c r="E215" s="249">
        <v>6.2</v>
      </c>
      <c r="F215" s="209">
        <f t="shared" si="18"/>
        <v>1.55</v>
      </c>
      <c r="G215" s="191">
        <v>4</v>
      </c>
      <c r="H215" s="40">
        <v>80</v>
      </c>
      <c r="I215" s="212">
        <f t="shared" si="19"/>
        <v>496</v>
      </c>
      <c r="K215" s="211">
        <f>VLOOKUP(A215,КИ_ПФ!B217:AN1043,39,FALSE)</f>
        <v>496</v>
      </c>
      <c r="L215" s="230" t="str">
        <f t="shared" si="20"/>
        <v>ИСТИНА</v>
      </c>
    </row>
    <row r="216" spans="1:12" x14ac:dyDescent="0.2">
      <c r="A216" s="116">
        <v>1001022246959</v>
      </c>
      <c r="B216" s="48" t="s">
        <v>957</v>
      </c>
      <c r="C216" s="49" t="s">
        <v>3</v>
      </c>
      <c r="D216" s="215">
        <v>6.2</v>
      </c>
      <c r="E216" s="249">
        <v>6.2</v>
      </c>
      <c r="F216" s="209">
        <f t="shared" si="18"/>
        <v>1.55</v>
      </c>
      <c r="G216" s="191">
        <v>4</v>
      </c>
      <c r="H216" s="40">
        <v>80</v>
      </c>
      <c r="I216" s="212">
        <f t="shared" si="19"/>
        <v>496</v>
      </c>
      <c r="K216" s="211">
        <f>VLOOKUP(A216,КИ_ПФ!B218:AN1044,39,FALSE)</f>
        <v>496</v>
      </c>
      <c r="L216" s="230" t="str">
        <f t="shared" si="20"/>
        <v>ИСТИНА</v>
      </c>
    </row>
    <row r="217" spans="1:12" x14ac:dyDescent="0.2">
      <c r="A217" s="116">
        <v>1001022246661</v>
      </c>
      <c r="B217" s="48" t="s">
        <v>644</v>
      </c>
      <c r="C217" s="49" t="s">
        <v>3</v>
      </c>
      <c r="D217" s="215">
        <v>6</v>
      </c>
      <c r="E217" s="249">
        <v>6</v>
      </c>
      <c r="F217" s="209">
        <f t="shared" si="18"/>
        <v>1.5</v>
      </c>
      <c r="G217" s="191">
        <v>4</v>
      </c>
      <c r="H217" s="40">
        <v>80</v>
      </c>
      <c r="I217" s="212">
        <f t="shared" si="19"/>
        <v>480</v>
      </c>
      <c r="K217" s="211">
        <f>VLOOKUP(A217,КИ_ПФ!B219:AN1045,39,FALSE)</f>
        <v>480</v>
      </c>
      <c r="L217" s="230" t="str">
        <f t="shared" si="20"/>
        <v>ИСТИНА</v>
      </c>
    </row>
    <row r="218" spans="1:12" x14ac:dyDescent="0.2">
      <c r="A218" s="116">
        <v>1001025887494</v>
      </c>
      <c r="B218" s="48" t="s">
        <v>1617</v>
      </c>
      <c r="C218" s="49" t="s">
        <v>3</v>
      </c>
      <c r="D218" s="215">
        <v>9</v>
      </c>
      <c r="E218" s="249">
        <v>9</v>
      </c>
      <c r="F218" s="209">
        <f t="shared" si="18"/>
        <v>1.5</v>
      </c>
      <c r="G218" s="191">
        <v>6</v>
      </c>
      <c r="H218" s="40">
        <v>48</v>
      </c>
      <c r="I218" s="212">
        <f t="shared" si="19"/>
        <v>432</v>
      </c>
      <c r="K218" s="211">
        <f>VLOOKUP(A218,КИ_ПФ!B220:AN1046,39,FALSE)</f>
        <v>432</v>
      </c>
      <c r="L218" s="230" t="str">
        <f t="shared" si="20"/>
        <v>ИСТИНА</v>
      </c>
    </row>
    <row r="219" spans="1:12" x14ac:dyDescent="0.2">
      <c r="A219" s="116">
        <v>1001022656853</v>
      </c>
      <c r="B219" s="48" t="s">
        <v>1274</v>
      </c>
      <c r="C219" s="49" t="s">
        <v>3</v>
      </c>
      <c r="D219" s="215">
        <v>6</v>
      </c>
      <c r="E219" s="249">
        <v>6</v>
      </c>
      <c r="F219" s="209">
        <f t="shared" si="18"/>
        <v>1</v>
      </c>
      <c r="G219" s="192">
        <v>6</v>
      </c>
      <c r="H219" s="40">
        <v>80</v>
      </c>
      <c r="I219" s="212">
        <f t="shared" si="19"/>
        <v>480</v>
      </c>
      <c r="K219" s="211">
        <f>VLOOKUP(A219,КИ_ПФ!B221:AN1047,39,FALSE)</f>
        <v>480</v>
      </c>
      <c r="L219" s="230" t="str">
        <f t="shared" ref="L219:L221" si="21">IF(I219=K219,"ИСТИНА","ЛОЖЬ")</f>
        <v>ИСТИНА</v>
      </c>
    </row>
    <row r="220" spans="1:12" x14ac:dyDescent="0.2">
      <c r="A220" s="116">
        <v>1001022657075</v>
      </c>
      <c r="B220" s="48" t="s">
        <v>1053</v>
      </c>
      <c r="C220" s="49" t="s">
        <v>3</v>
      </c>
      <c r="D220" s="215">
        <v>6</v>
      </c>
      <c r="E220" s="249">
        <v>6</v>
      </c>
      <c r="F220" s="209">
        <f t="shared" si="18"/>
        <v>1.5</v>
      </c>
      <c r="G220" s="191">
        <v>4</v>
      </c>
      <c r="H220" s="40">
        <v>80</v>
      </c>
      <c r="I220" s="212">
        <f t="shared" si="19"/>
        <v>480</v>
      </c>
      <c r="K220" s="211">
        <f>VLOOKUP(A220,КИ_ПФ!B225:AN1048,39,FALSE)</f>
        <v>480</v>
      </c>
      <c r="L220" s="230" t="str">
        <f t="shared" si="21"/>
        <v>ИСТИНА</v>
      </c>
    </row>
    <row r="221" spans="1:12" x14ac:dyDescent="0.2">
      <c r="A221" s="116">
        <v>1001022657076</v>
      </c>
      <c r="B221" s="48" t="s">
        <v>1054</v>
      </c>
      <c r="C221" s="49" t="s">
        <v>3</v>
      </c>
      <c r="D221" s="215">
        <v>6</v>
      </c>
      <c r="E221" s="249">
        <v>6</v>
      </c>
      <c r="F221" s="209">
        <f t="shared" si="18"/>
        <v>1.5</v>
      </c>
      <c r="G221" s="191">
        <v>4</v>
      </c>
      <c r="H221" s="40">
        <v>80</v>
      </c>
      <c r="I221" s="212">
        <f t="shared" si="19"/>
        <v>480</v>
      </c>
      <c r="K221" s="211">
        <f>VLOOKUP(A221,КИ_ПФ!B226:AN1049,39,FALSE)</f>
        <v>480</v>
      </c>
      <c r="L221" s="230" t="str">
        <f t="shared" si="21"/>
        <v>ИСТИНА</v>
      </c>
    </row>
    <row r="222" spans="1:12" x14ac:dyDescent="0.2">
      <c r="A222" s="116">
        <v>1001020967079</v>
      </c>
      <c r="B222" s="70" t="s">
        <v>1056</v>
      </c>
      <c r="C222" s="50" t="s">
        <v>3</v>
      </c>
      <c r="D222" s="311">
        <v>6.4</v>
      </c>
      <c r="E222" s="249">
        <v>6.4</v>
      </c>
      <c r="F222" s="209">
        <f t="shared" si="18"/>
        <v>1.0669999999999999</v>
      </c>
      <c r="G222" s="192">
        <v>6</v>
      </c>
      <c r="H222" s="40">
        <v>80</v>
      </c>
      <c r="I222" s="212">
        <f t="shared" si="19"/>
        <v>512</v>
      </c>
      <c r="K222" s="211">
        <f>VLOOKUP(A222,КИ_ПФ!B226:AN1050,39,FALSE)</f>
        <v>512</v>
      </c>
      <c r="L222" s="230" t="str">
        <f t="shared" si="20"/>
        <v>ИСТИНА</v>
      </c>
    </row>
    <row r="223" spans="1:12" x14ac:dyDescent="0.2">
      <c r="A223" s="116">
        <v>1001023696767</v>
      </c>
      <c r="B223" s="48" t="s">
        <v>780</v>
      </c>
      <c r="C223" s="49" t="s">
        <v>3</v>
      </c>
      <c r="D223" s="215">
        <v>4.16</v>
      </c>
      <c r="E223" s="249">
        <v>4.16</v>
      </c>
      <c r="F223" s="209">
        <f t="shared" si="18"/>
        <v>1.04</v>
      </c>
      <c r="G223" s="191">
        <v>4</v>
      </c>
      <c r="H223" s="40">
        <v>102</v>
      </c>
      <c r="I223" s="212">
        <f t="shared" si="19"/>
        <v>424.3</v>
      </c>
      <c r="K223" s="211">
        <f>VLOOKUP(A223,КИ_ПФ!B228:AN1051,39,FALSE)</f>
        <v>424.3</v>
      </c>
      <c r="L223" s="230" t="str">
        <f t="shared" si="20"/>
        <v>ИСТИНА</v>
      </c>
    </row>
    <row r="224" spans="1:12" x14ac:dyDescent="0.2">
      <c r="A224" s="116">
        <v>1001023697595</v>
      </c>
      <c r="B224" s="48" t="s">
        <v>1752</v>
      </c>
      <c r="C224" s="49" t="s">
        <v>3</v>
      </c>
      <c r="D224" s="215">
        <v>4.16</v>
      </c>
      <c r="E224" s="249">
        <v>4.16</v>
      </c>
      <c r="F224" s="209">
        <f t="shared" si="18"/>
        <v>1.04</v>
      </c>
      <c r="G224" s="191">
        <v>4</v>
      </c>
      <c r="H224" s="40">
        <v>102</v>
      </c>
      <c r="I224" s="212">
        <f t="shared" si="19"/>
        <v>424.3</v>
      </c>
      <c r="K224" s="211">
        <f>VLOOKUP(A224,КИ_ПФ!B229:AN1052,39,FALSE)</f>
        <v>424.3</v>
      </c>
      <c r="L224" s="230" t="str">
        <f t="shared" si="20"/>
        <v>ИСТИНА</v>
      </c>
    </row>
    <row r="225" spans="1:12" x14ac:dyDescent="0.2">
      <c r="A225" s="116">
        <v>1001020846764</v>
      </c>
      <c r="B225" s="70" t="s">
        <v>777</v>
      </c>
      <c r="C225" s="49" t="s">
        <v>3</v>
      </c>
      <c r="D225" s="215">
        <v>4</v>
      </c>
      <c r="E225" s="249">
        <v>4</v>
      </c>
      <c r="F225" s="209">
        <f t="shared" si="18"/>
        <v>1</v>
      </c>
      <c r="G225" s="191">
        <v>4</v>
      </c>
      <c r="H225" s="40">
        <v>128</v>
      </c>
      <c r="I225" s="212">
        <f t="shared" si="19"/>
        <v>512</v>
      </c>
      <c r="K225" s="211">
        <f>VLOOKUP(A225,КИ_ПФ!B230:AN1053,39,FALSE)</f>
        <v>512</v>
      </c>
      <c r="L225" s="230" t="str">
        <f t="shared" si="20"/>
        <v>ИСТИНА</v>
      </c>
    </row>
    <row r="226" spans="1:12" x14ac:dyDescent="0.2">
      <c r="A226" s="116">
        <v>1001024976829</v>
      </c>
      <c r="B226" s="70" t="s">
        <v>1316</v>
      </c>
      <c r="C226" s="49" t="s">
        <v>3</v>
      </c>
      <c r="D226" s="215">
        <v>8.4</v>
      </c>
      <c r="E226" s="249">
        <v>8.4</v>
      </c>
      <c r="F226" s="209">
        <f t="shared" si="18"/>
        <v>2.1</v>
      </c>
      <c r="G226" s="191">
        <v>4</v>
      </c>
      <c r="H226" s="40">
        <v>48</v>
      </c>
      <c r="I226" s="212">
        <f t="shared" si="19"/>
        <v>403.2</v>
      </c>
      <c r="K226" s="211">
        <f>VLOOKUP(A226,КИ_ПФ!B231:AN1054,39,FALSE)</f>
        <v>403.2</v>
      </c>
      <c r="L226" s="230" t="str">
        <f t="shared" si="20"/>
        <v>ИСТИНА</v>
      </c>
    </row>
    <row r="227" spans="1:12" x14ac:dyDescent="0.2">
      <c r="A227" s="116">
        <v>1001020836761</v>
      </c>
      <c r="B227" s="70" t="s">
        <v>350</v>
      </c>
      <c r="C227" s="49" t="s">
        <v>3</v>
      </c>
      <c r="D227" s="215">
        <v>4</v>
      </c>
      <c r="E227" s="249">
        <v>4</v>
      </c>
      <c r="F227" s="209">
        <f t="shared" si="18"/>
        <v>1</v>
      </c>
      <c r="G227" s="191">
        <v>4</v>
      </c>
      <c r="H227" s="40">
        <v>128</v>
      </c>
      <c r="I227" s="212">
        <f t="shared" si="19"/>
        <v>512</v>
      </c>
      <c r="K227" s="211">
        <f>VLOOKUP(A227,КИ_ПФ!B232:AN1055,39,FALSE)</f>
        <v>512</v>
      </c>
      <c r="L227" s="230" t="str">
        <f t="shared" si="20"/>
        <v>ИСТИНА</v>
      </c>
    </row>
    <row r="228" spans="1:12" x14ac:dyDescent="0.2">
      <c r="A228" s="116">
        <v>1001026407680</v>
      </c>
      <c r="B228" s="70" t="s">
        <v>2094</v>
      </c>
      <c r="C228" s="49" t="s">
        <v>3</v>
      </c>
      <c r="D228" s="215">
        <v>4</v>
      </c>
      <c r="E228" s="249">
        <v>4</v>
      </c>
      <c r="F228" s="209">
        <f t="shared" si="18"/>
        <v>1</v>
      </c>
      <c r="G228" s="191">
        <v>4</v>
      </c>
      <c r="H228" s="40">
        <v>112</v>
      </c>
      <c r="I228" s="212">
        <f t="shared" si="19"/>
        <v>448</v>
      </c>
      <c r="K228" s="211">
        <f>VLOOKUP(A228,КИ_ПФ!B233:AN1056,39,FALSE)</f>
        <v>448</v>
      </c>
      <c r="L228" s="230" t="str">
        <f t="shared" si="20"/>
        <v>ИСТИНА</v>
      </c>
    </row>
    <row r="229" spans="1:12" x14ac:dyDescent="0.2">
      <c r="A229" s="116">
        <v>1001020836250</v>
      </c>
      <c r="B229" s="70" t="s">
        <v>786</v>
      </c>
      <c r="C229" s="49" t="s">
        <v>3</v>
      </c>
      <c r="D229" s="215">
        <v>9</v>
      </c>
      <c r="E229" s="249">
        <v>9</v>
      </c>
      <c r="F229" s="209">
        <f t="shared" si="18"/>
        <v>1.5</v>
      </c>
      <c r="G229" s="191">
        <v>6</v>
      </c>
      <c r="H229" s="40">
        <v>48</v>
      </c>
      <c r="I229" s="212">
        <f t="shared" si="19"/>
        <v>432</v>
      </c>
      <c r="K229" s="211">
        <f>VLOOKUP(A229,КИ_ПФ!B233:AN1056,39,FALSE)</f>
        <v>432</v>
      </c>
      <c r="L229" s="230" t="str">
        <f t="shared" si="20"/>
        <v>ИСТИНА</v>
      </c>
    </row>
    <row r="230" spans="1:12" x14ac:dyDescent="0.2">
      <c r="A230" s="116">
        <v>1001020837575</v>
      </c>
      <c r="B230" s="70" t="s">
        <v>1719</v>
      </c>
      <c r="C230" s="49" t="s">
        <v>3</v>
      </c>
      <c r="D230" s="215">
        <v>9</v>
      </c>
      <c r="E230" s="249">
        <v>9</v>
      </c>
      <c r="F230" s="209">
        <f t="shared" si="18"/>
        <v>1.5</v>
      </c>
      <c r="G230" s="191">
        <v>6</v>
      </c>
      <c r="H230" s="40">
        <v>64</v>
      </c>
      <c r="I230" s="212">
        <f t="shared" si="19"/>
        <v>576</v>
      </c>
      <c r="K230" s="211">
        <f>VLOOKUP(A230,КИ_ПФ!B234:AN1057,39,FALSE)</f>
        <v>576</v>
      </c>
      <c r="L230" s="230" t="str">
        <f t="shared" si="20"/>
        <v>ИСТИНА</v>
      </c>
    </row>
    <row r="231" spans="1:12" x14ac:dyDescent="0.2">
      <c r="A231" s="116">
        <v>1001020836234</v>
      </c>
      <c r="B231" s="70" t="s">
        <v>651</v>
      </c>
      <c r="C231" s="49" t="s">
        <v>3</v>
      </c>
      <c r="D231" s="215">
        <v>9</v>
      </c>
      <c r="E231" s="249">
        <v>9</v>
      </c>
      <c r="F231" s="209">
        <f t="shared" si="18"/>
        <v>1.5</v>
      </c>
      <c r="G231" s="191">
        <v>6</v>
      </c>
      <c r="H231" s="40">
        <v>48</v>
      </c>
      <c r="I231" s="212">
        <f t="shared" si="19"/>
        <v>432</v>
      </c>
      <c r="K231" s="211">
        <f>VLOOKUP(A231,КИ_ПФ!B235:AN1058,39,FALSE)</f>
        <v>432</v>
      </c>
      <c r="L231" s="230" t="str">
        <f t="shared" si="20"/>
        <v>ИСТИНА</v>
      </c>
    </row>
    <row r="232" spans="1:12" x14ac:dyDescent="0.2">
      <c r="A232" s="116">
        <v>1001020837573</v>
      </c>
      <c r="B232" s="70" t="s">
        <v>1715</v>
      </c>
      <c r="C232" s="49" t="s">
        <v>3</v>
      </c>
      <c r="D232" s="215">
        <v>9</v>
      </c>
      <c r="E232" s="249">
        <v>9</v>
      </c>
      <c r="F232" s="209">
        <f t="shared" si="18"/>
        <v>1.5</v>
      </c>
      <c r="G232" s="191">
        <v>6</v>
      </c>
      <c r="H232" s="40">
        <v>64</v>
      </c>
      <c r="I232" s="212">
        <f t="shared" si="19"/>
        <v>576</v>
      </c>
      <c r="K232" s="211">
        <f>VLOOKUP(A232,КИ_ПФ!B236:AN1059,39,FALSE)</f>
        <v>576</v>
      </c>
      <c r="L232" s="230" t="str">
        <f t="shared" si="20"/>
        <v>ИСТИНА</v>
      </c>
    </row>
    <row r="233" spans="1:12" x14ac:dyDescent="0.2">
      <c r="A233" s="116">
        <v>1001020836709</v>
      </c>
      <c r="B233" s="70" t="s">
        <v>1717</v>
      </c>
      <c r="C233" s="49" t="s">
        <v>3</v>
      </c>
      <c r="D233" s="215">
        <v>9</v>
      </c>
      <c r="E233" s="249">
        <v>9</v>
      </c>
      <c r="F233" s="209">
        <f t="shared" si="18"/>
        <v>1.5</v>
      </c>
      <c r="G233" s="191">
        <v>6</v>
      </c>
      <c r="H233" s="40">
        <v>48</v>
      </c>
      <c r="I233" s="212">
        <f t="shared" si="19"/>
        <v>432</v>
      </c>
      <c r="K233" s="211">
        <f>VLOOKUP(A233,КИ_ПФ!B237:AN1060,39,FALSE)</f>
        <v>432</v>
      </c>
      <c r="L233" s="230" t="str">
        <f t="shared" si="20"/>
        <v>ИСТИНА</v>
      </c>
    </row>
    <row r="234" spans="1:12" x14ac:dyDescent="0.2">
      <c r="A234" s="116">
        <v>1001020837570</v>
      </c>
      <c r="B234" s="70" t="s">
        <v>1718</v>
      </c>
      <c r="C234" s="49" t="s">
        <v>3</v>
      </c>
      <c r="D234" s="215">
        <v>9</v>
      </c>
      <c r="E234" s="249">
        <v>9</v>
      </c>
      <c r="F234" s="209">
        <f t="shared" si="18"/>
        <v>1.5</v>
      </c>
      <c r="G234" s="191">
        <v>6</v>
      </c>
      <c r="H234" s="40">
        <v>64</v>
      </c>
      <c r="I234" s="212">
        <f t="shared" si="19"/>
        <v>576</v>
      </c>
      <c r="K234" s="211">
        <f>VLOOKUP(A234,КИ_ПФ!B237:AN1061,39,FALSE)</f>
        <v>576</v>
      </c>
      <c r="L234" s="230" t="str">
        <f t="shared" si="20"/>
        <v>ИСТИНА</v>
      </c>
    </row>
    <row r="235" spans="1:12" x14ac:dyDescent="0.2">
      <c r="A235" s="116">
        <v>1001022246738</v>
      </c>
      <c r="B235" s="48" t="s">
        <v>1265</v>
      </c>
      <c r="C235" s="49" t="s">
        <v>3</v>
      </c>
      <c r="D235" s="215">
        <v>7.2</v>
      </c>
      <c r="E235" s="249">
        <v>7.2</v>
      </c>
      <c r="F235" s="209">
        <f t="shared" si="18"/>
        <v>1.2</v>
      </c>
      <c r="G235" s="191">
        <v>6</v>
      </c>
      <c r="H235" s="40">
        <v>64</v>
      </c>
      <c r="I235" s="212">
        <f t="shared" si="19"/>
        <v>460.8</v>
      </c>
      <c r="K235" s="211">
        <f>VLOOKUP(A235,КИ_ПФ!B238:AN1062,39,FALSE)</f>
        <v>460.8</v>
      </c>
      <c r="L235" s="230" t="str">
        <f t="shared" si="20"/>
        <v>ИСТИНА</v>
      </c>
    </row>
    <row r="236" spans="1:12" x14ac:dyDescent="0.2">
      <c r="A236" s="116">
        <v>1001022247576</v>
      </c>
      <c r="B236" s="48" t="s">
        <v>1720</v>
      </c>
      <c r="C236" s="49" t="s">
        <v>3</v>
      </c>
      <c r="D236" s="215">
        <v>7.2</v>
      </c>
      <c r="E236" s="249">
        <v>7.2</v>
      </c>
      <c r="F236" s="209">
        <f t="shared" si="18"/>
        <v>1.2</v>
      </c>
      <c r="G236" s="191">
        <v>6</v>
      </c>
      <c r="H236" s="40">
        <v>80</v>
      </c>
      <c r="I236" s="212">
        <f t="shared" si="19"/>
        <v>576</v>
      </c>
      <c r="K236" s="211">
        <f>VLOOKUP(A236,КИ_ПФ!B238:AN1063,39,FALSE)</f>
        <v>576</v>
      </c>
      <c r="L236" s="230" t="str">
        <f t="shared" si="20"/>
        <v>ИСТИНА</v>
      </c>
    </row>
    <row r="237" spans="1:12" x14ac:dyDescent="0.2">
      <c r="A237" s="116">
        <v>1001022246739</v>
      </c>
      <c r="B237" s="48" t="s">
        <v>317</v>
      </c>
      <c r="C237" s="49" t="s">
        <v>3</v>
      </c>
      <c r="D237" s="215">
        <v>5.4</v>
      </c>
      <c r="E237" s="249">
        <v>5.4</v>
      </c>
      <c r="F237" s="209">
        <f t="shared" si="18"/>
        <v>0.9</v>
      </c>
      <c r="G237" s="191">
        <v>6</v>
      </c>
      <c r="H237" s="40">
        <v>80</v>
      </c>
      <c r="I237" s="212">
        <f t="shared" si="19"/>
        <v>432</v>
      </c>
      <c r="K237" s="211">
        <f>VLOOKUP(A237,КИ_ПФ!B239:AN1064,39,FALSE)</f>
        <v>432</v>
      </c>
      <c r="L237" s="230" t="str">
        <f t="shared" si="20"/>
        <v>ИСТИНА</v>
      </c>
    </row>
    <row r="238" spans="1:12" x14ac:dyDescent="0.2">
      <c r="A238" s="116">
        <v>1001022247581</v>
      </c>
      <c r="B238" s="48" t="s">
        <v>1729</v>
      </c>
      <c r="C238" s="49" t="s">
        <v>3</v>
      </c>
      <c r="D238" s="215">
        <v>5.4</v>
      </c>
      <c r="E238" s="249">
        <v>5.4</v>
      </c>
      <c r="F238" s="209">
        <f t="shared" si="18"/>
        <v>0.9</v>
      </c>
      <c r="G238" s="191">
        <v>6</v>
      </c>
      <c r="H238" s="40">
        <v>96</v>
      </c>
      <c r="I238" s="212">
        <f t="shared" si="19"/>
        <v>518.4</v>
      </c>
      <c r="K238" s="211">
        <f>VLOOKUP(A238,КИ_ПФ!B240:AN1065,39,FALSE)</f>
        <v>518.4</v>
      </c>
      <c r="L238" s="230" t="str">
        <f t="shared" si="20"/>
        <v>ИСТИНА</v>
      </c>
    </row>
    <row r="239" spans="1:12" x14ac:dyDescent="0.2">
      <c r="A239" s="116">
        <v>1001022467083</v>
      </c>
      <c r="B239" s="48" t="s">
        <v>1058</v>
      </c>
      <c r="C239" s="49" t="s">
        <v>3</v>
      </c>
      <c r="D239" s="215">
        <v>6</v>
      </c>
      <c r="E239" s="249">
        <v>6</v>
      </c>
      <c r="F239" s="209">
        <f t="shared" si="18"/>
        <v>1.5</v>
      </c>
      <c r="G239" s="191">
        <v>4</v>
      </c>
      <c r="H239" s="40">
        <v>80</v>
      </c>
      <c r="I239" s="212">
        <f t="shared" si="19"/>
        <v>480</v>
      </c>
      <c r="K239" s="211">
        <f>VLOOKUP(A239,КИ_ПФ!B240:AN1066,39,FALSE)</f>
        <v>480</v>
      </c>
      <c r="L239" s="230" t="str">
        <f t="shared" si="20"/>
        <v>ИСТИНА</v>
      </c>
    </row>
    <row r="240" spans="1:12" x14ac:dyDescent="0.2">
      <c r="A240" s="116">
        <v>1001022467084</v>
      </c>
      <c r="B240" s="48" t="s">
        <v>1059</v>
      </c>
      <c r="C240" s="49" t="s">
        <v>3</v>
      </c>
      <c r="D240" s="215">
        <v>6</v>
      </c>
      <c r="E240" s="249">
        <v>6</v>
      </c>
      <c r="F240" s="209">
        <f t="shared" si="18"/>
        <v>1.5</v>
      </c>
      <c r="G240" s="191">
        <v>4</v>
      </c>
      <c r="H240" s="40">
        <v>80</v>
      </c>
      <c r="I240" s="212">
        <f t="shared" si="19"/>
        <v>480</v>
      </c>
      <c r="K240" s="211">
        <f>VLOOKUP(A240,КИ_ПФ!B241:AN1067,39,FALSE)</f>
        <v>480</v>
      </c>
      <c r="L240" s="230" t="str">
        <f t="shared" si="20"/>
        <v>ИСТИНА</v>
      </c>
    </row>
    <row r="241" spans="1:12" x14ac:dyDescent="0.2">
      <c r="A241" s="116">
        <v>1001022467617</v>
      </c>
      <c r="B241" s="48" t="s">
        <v>1817</v>
      </c>
      <c r="C241" s="49" t="s">
        <v>3</v>
      </c>
      <c r="D241" s="215">
        <v>6</v>
      </c>
      <c r="E241" s="249">
        <v>6</v>
      </c>
      <c r="F241" s="209">
        <f t="shared" si="18"/>
        <v>1.5</v>
      </c>
      <c r="G241" s="191">
        <v>4</v>
      </c>
      <c r="H241" s="40">
        <v>80</v>
      </c>
      <c r="I241" s="212">
        <f t="shared" si="19"/>
        <v>480</v>
      </c>
      <c r="K241" s="211">
        <f>VLOOKUP(A241,КИ_ПФ!B241:AN1068,39,FALSE)</f>
        <v>480</v>
      </c>
      <c r="L241" s="230" t="str">
        <f t="shared" si="20"/>
        <v>ИСТИНА</v>
      </c>
    </row>
    <row r="242" spans="1:12" x14ac:dyDescent="0.2">
      <c r="A242" s="116">
        <v>1001022467081</v>
      </c>
      <c r="B242" s="48" t="s">
        <v>1057</v>
      </c>
      <c r="C242" s="49" t="s">
        <v>3</v>
      </c>
      <c r="D242" s="215">
        <v>6</v>
      </c>
      <c r="E242" s="249">
        <v>6</v>
      </c>
      <c r="F242" s="209">
        <f t="shared" si="18"/>
        <v>1.5</v>
      </c>
      <c r="G242" s="191">
        <v>4</v>
      </c>
      <c r="H242" s="40">
        <v>80</v>
      </c>
      <c r="I242" s="212">
        <f t="shared" si="19"/>
        <v>480</v>
      </c>
      <c r="K242" s="211">
        <f>VLOOKUP(A242,КИ_ПФ!B241:AN1069,39,FALSE)</f>
        <v>480</v>
      </c>
      <c r="L242" s="230" t="str">
        <f t="shared" si="20"/>
        <v>ИСТИНА</v>
      </c>
    </row>
    <row r="243" spans="1:12" x14ac:dyDescent="0.2">
      <c r="A243" s="116">
        <v>1001022556254</v>
      </c>
      <c r="B243" s="48" t="s">
        <v>775</v>
      </c>
      <c r="C243" s="49" t="s">
        <v>3</v>
      </c>
      <c r="D243" s="215">
        <v>3</v>
      </c>
      <c r="E243" s="249">
        <v>3</v>
      </c>
      <c r="F243" s="209">
        <f t="shared" ref="F243:F305" si="22">ROUNDUP(Новая_кратность_короба__кг/Кол_во_штук_в_коробе,3)</f>
        <v>1.5</v>
      </c>
      <c r="G243" s="191">
        <v>2</v>
      </c>
      <c r="H243" s="40">
        <v>128</v>
      </c>
      <c r="I243" s="212">
        <f t="shared" ref="I243:I305" si="23">ROUNDDOWN(Новая_кратность_короба__кг*Кол_во_коробок_на_поддоне,1)</f>
        <v>384</v>
      </c>
      <c r="K243" s="211">
        <f>VLOOKUP(A243,КИ_ПФ!B242:AN1070,39,FALSE)</f>
        <v>384</v>
      </c>
      <c r="L243" s="230" t="str">
        <f t="shared" ref="L243:L306" si="24">IF(I243=K243,"ИСТИНА","ЛОЖЬ")</f>
        <v>ИСТИНА</v>
      </c>
    </row>
    <row r="244" spans="1:12" x14ac:dyDescent="0.2">
      <c r="A244" s="116">
        <v>1001022557086</v>
      </c>
      <c r="B244" s="48" t="s">
        <v>1066</v>
      </c>
      <c r="C244" s="49" t="s">
        <v>3</v>
      </c>
      <c r="D244" s="215">
        <v>3.1</v>
      </c>
      <c r="E244" s="249">
        <v>3.1</v>
      </c>
      <c r="F244" s="209">
        <f t="shared" si="22"/>
        <v>1.55</v>
      </c>
      <c r="G244" s="191">
        <v>2</v>
      </c>
      <c r="H244" s="40">
        <v>128</v>
      </c>
      <c r="I244" s="212">
        <f t="shared" si="23"/>
        <v>396.8</v>
      </c>
      <c r="K244" s="211">
        <f>VLOOKUP(A244,КИ_ПФ!B243:AN1071,39,FALSE)</f>
        <v>396.8</v>
      </c>
      <c r="L244" s="230" t="str">
        <f t="shared" si="24"/>
        <v>ИСТИНА</v>
      </c>
    </row>
    <row r="245" spans="1:12" x14ac:dyDescent="0.2">
      <c r="A245" s="116">
        <v>1001022373717</v>
      </c>
      <c r="B245" s="48" t="s">
        <v>1273</v>
      </c>
      <c r="C245" s="49" t="s">
        <v>3</v>
      </c>
      <c r="D245" s="215">
        <v>6</v>
      </c>
      <c r="E245" s="249">
        <v>6</v>
      </c>
      <c r="F245" s="209">
        <f t="shared" si="22"/>
        <v>1</v>
      </c>
      <c r="G245" s="191">
        <v>6</v>
      </c>
      <c r="H245" s="40">
        <v>80</v>
      </c>
      <c r="I245" s="212">
        <f t="shared" si="23"/>
        <v>480</v>
      </c>
      <c r="K245" s="211">
        <f>VLOOKUP(A245,КИ_ПФ!B244:AN1072,39,FALSE)</f>
        <v>480</v>
      </c>
      <c r="L245" s="230" t="str">
        <f t="shared" si="24"/>
        <v>ИСТИНА</v>
      </c>
    </row>
    <row r="246" spans="1:12" x14ac:dyDescent="0.2">
      <c r="A246" s="116">
        <v>1001022375063</v>
      </c>
      <c r="B246" s="48" t="s">
        <v>1432</v>
      </c>
      <c r="C246" s="49" t="s">
        <v>3</v>
      </c>
      <c r="D246" s="215">
        <v>6</v>
      </c>
      <c r="E246" s="249">
        <v>6</v>
      </c>
      <c r="F246" s="209">
        <f t="shared" si="22"/>
        <v>1</v>
      </c>
      <c r="G246" s="191">
        <v>6</v>
      </c>
      <c r="H246" s="40">
        <v>80</v>
      </c>
      <c r="I246" s="212">
        <f t="shared" si="23"/>
        <v>480</v>
      </c>
      <c r="K246" s="211">
        <f>VLOOKUP(A246,КИ_ПФ!B245:AN1073,39,FALSE)</f>
        <v>480</v>
      </c>
      <c r="L246" s="230" t="str">
        <f t="shared" si="24"/>
        <v>ИСТИНА</v>
      </c>
    </row>
    <row r="247" spans="1:12" x14ac:dyDescent="0.2">
      <c r="A247" s="116">
        <v>1001022377675</v>
      </c>
      <c r="B247" s="48" t="s">
        <v>2075</v>
      </c>
      <c r="C247" s="49" t="s">
        <v>3</v>
      </c>
      <c r="D247" s="215">
        <v>6</v>
      </c>
      <c r="E247" s="249">
        <v>6</v>
      </c>
      <c r="F247" s="209">
        <f t="shared" si="22"/>
        <v>0.66700000000000004</v>
      </c>
      <c r="G247" s="191">
        <v>9</v>
      </c>
      <c r="H247" s="40">
        <v>80</v>
      </c>
      <c r="I247" s="212">
        <f t="shared" si="23"/>
        <v>480</v>
      </c>
      <c r="K247" s="211">
        <f>VLOOKUP(A247,КИ_ПФ!B246:AN1074,39,FALSE)</f>
        <v>480</v>
      </c>
      <c r="L247" s="230" t="str">
        <f t="shared" si="24"/>
        <v>ИСТИНА</v>
      </c>
    </row>
    <row r="248" spans="1:12" x14ac:dyDescent="0.2">
      <c r="A248" s="116">
        <v>1001022377071</v>
      </c>
      <c r="B248" s="48" t="s">
        <v>1050</v>
      </c>
      <c r="C248" s="49" t="s">
        <v>3</v>
      </c>
      <c r="D248" s="215">
        <v>6</v>
      </c>
      <c r="E248" s="249">
        <v>6</v>
      </c>
      <c r="F248" s="209">
        <f t="shared" si="22"/>
        <v>1.5</v>
      </c>
      <c r="G248" s="191">
        <v>4</v>
      </c>
      <c r="H248" s="40">
        <v>80</v>
      </c>
      <c r="I248" s="212">
        <f t="shared" si="23"/>
        <v>480</v>
      </c>
      <c r="K248" s="211">
        <f>VLOOKUP(A248,КИ_ПФ!B246:AN1074,39,FALSE)</f>
        <v>480</v>
      </c>
      <c r="L248" s="230" t="str">
        <f t="shared" si="24"/>
        <v>ИСТИНА</v>
      </c>
    </row>
    <row r="249" spans="1:12" x14ac:dyDescent="0.2">
      <c r="A249" s="116">
        <v>1001022377070</v>
      </c>
      <c r="B249" s="48" t="s">
        <v>1049</v>
      </c>
      <c r="C249" s="49" t="s">
        <v>3</v>
      </c>
      <c r="D249" s="215">
        <v>6</v>
      </c>
      <c r="E249" s="249">
        <v>6</v>
      </c>
      <c r="F249" s="209">
        <f t="shared" si="22"/>
        <v>1.5</v>
      </c>
      <c r="G249" s="191">
        <v>4</v>
      </c>
      <c r="H249" s="40">
        <v>80</v>
      </c>
      <c r="I249" s="212">
        <f t="shared" si="23"/>
        <v>480</v>
      </c>
      <c r="K249" s="211">
        <f>VLOOKUP(A249,КИ_ПФ!B247:AN1075,39,FALSE)</f>
        <v>480</v>
      </c>
      <c r="L249" s="230" t="str">
        <f t="shared" si="24"/>
        <v>ИСТИНА</v>
      </c>
    </row>
    <row r="250" spans="1:12" x14ac:dyDescent="0.2">
      <c r="A250" s="116">
        <v>1001022377068</v>
      </c>
      <c r="B250" s="48" t="s">
        <v>1048</v>
      </c>
      <c r="C250" s="49" t="s">
        <v>3</v>
      </c>
      <c r="D250" s="215">
        <v>6</v>
      </c>
      <c r="E250" s="249">
        <v>6</v>
      </c>
      <c r="F250" s="209">
        <f t="shared" si="22"/>
        <v>1.5</v>
      </c>
      <c r="G250" s="191">
        <v>4</v>
      </c>
      <c r="H250" s="40">
        <v>80</v>
      </c>
      <c r="I250" s="212">
        <f t="shared" si="23"/>
        <v>480</v>
      </c>
      <c r="K250" s="211">
        <f>VLOOKUP(A250,КИ_ПФ!B248:AN1076,39,FALSE)</f>
        <v>480</v>
      </c>
      <c r="L250" s="230" t="str">
        <f t="shared" si="24"/>
        <v>ИСТИНА</v>
      </c>
    </row>
    <row r="251" spans="1:12" x14ac:dyDescent="0.2">
      <c r="A251" s="80">
        <v>1003171625567</v>
      </c>
      <c r="B251" s="48" t="s">
        <v>224</v>
      </c>
      <c r="C251" s="87" t="s">
        <v>3</v>
      </c>
      <c r="D251" s="215">
        <v>3.1</v>
      </c>
      <c r="E251" s="249">
        <v>3.1</v>
      </c>
      <c r="F251" s="209">
        <f t="shared" si="22"/>
        <v>1.0339999999999998</v>
      </c>
      <c r="G251" s="191">
        <v>3</v>
      </c>
      <c r="H251" s="40">
        <v>135</v>
      </c>
      <c r="I251" s="212">
        <f t="shared" si="23"/>
        <v>418.5</v>
      </c>
      <c r="K251" s="211">
        <f>VLOOKUP(A251,КИ_ПФ!B249:AN1077,39,FALSE)</f>
        <v>418.5</v>
      </c>
      <c r="L251" s="230" t="str">
        <f t="shared" si="24"/>
        <v>ИСТИНА</v>
      </c>
    </row>
    <row r="252" spans="1:12" x14ac:dyDescent="0.2">
      <c r="A252" s="80">
        <v>1003174565855</v>
      </c>
      <c r="B252" s="48" t="s">
        <v>259</v>
      </c>
      <c r="C252" s="87" t="s">
        <v>3</v>
      </c>
      <c r="D252" s="215">
        <v>2</v>
      </c>
      <c r="E252" s="249">
        <v>2</v>
      </c>
      <c r="F252" s="209">
        <f t="shared" si="22"/>
        <v>1</v>
      </c>
      <c r="G252" s="191">
        <v>2</v>
      </c>
      <c r="H252" s="40">
        <v>128</v>
      </c>
      <c r="I252" s="212">
        <f t="shared" si="23"/>
        <v>256</v>
      </c>
      <c r="K252" s="211">
        <f>VLOOKUP(A252,КИ_ПФ!B250:AN1078,39,FALSE)</f>
        <v>256</v>
      </c>
      <c r="L252" s="230" t="str">
        <f t="shared" si="24"/>
        <v>ИСТИНА</v>
      </c>
    </row>
    <row r="253" spans="1:12" x14ac:dyDescent="0.2">
      <c r="A253" s="80">
        <v>1003174565921</v>
      </c>
      <c r="B253" s="48" t="s">
        <v>321</v>
      </c>
      <c r="C253" s="87" t="s">
        <v>3</v>
      </c>
      <c r="D253" s="215">
        <v>2</v>
      </c>
      <c r="E253" s="249">
        <v>2</v>
      </c>
      <c r="F253" s="209">
        <f t="shared" si="22"/>
        <v>1</v>
      </c>
      <c r="G253" s="191">
        <v>2</v>
      </c>
      <c r="H253" s="40">
        <v>112</v>
      </c>
      <c r="I253" s="212">
        <f t="shared" si="23"/>
        <v>224</v>
      </c>
      <c r="K253" s="211">
        <f>VLOOKUP(A253,КИ_ПФ!B251:AN1079,39,FALSE)</f>
        <v>224</v>
      </c>
      <c r="L253" s="230" t="str">
        <f t="shared" si="24"/>
        <v>ИСТИНА</v>
      </c>
    </row>
    <row r="254" spans="1:12" x14ac:dyDescent="0.2">
      <c r="A254" s="80">
        <v>1003175086171</v>
      </c>
      <c r="B254" s="48" t="s">
        <v>311</v>
      </c>
      <c r="C254" s="87" t="s">
        <v>3</v>
      </c>
      <c r="D254" s="215">
        <v>2.4</v>
      </c>
      <c r="E254" s="249">
        <v>2.4</v>
      </c>
      <c r="F254" s="209">
        <f t="shared" si="22"/>
        <v>1.2</v>
      </c>
      <c r="G254" s="191">
        <v>2</v>
      </c>
      <c r="H254" s="40">
        <v>128</v>
      </c>
      <c r="I254" s="212">
        <f t="shared" si="23"/>
        <v>307.2</v>
      </c>
      <c r="K254" s="211">
        <f>VLOOKUP(A254,КИ_ПФ!B252:AN1080,39,FALSE)</f>
        <v>307.2</v>
      </c>
      <c r="L254" s="230" t="str">
        <f t="shared" si="24"/>
        <v>ИСТИНА</v>
      </c>
    </row>
    <row r="255" spans="1:12" x14ac:dyDescent="0.2">
      <c r="A255" s="80">
        <v>1003175086230</v>
      </c>
      <c r="B255" s="48" t="s">
        <v>1381</v>
      </c>
      <c r="C255" s="87" t="s">
        <v>3</v>
      </c>
      <c r="D255" s="215">
        <v>2.4</v>
      </c>
      <c r="E255" s="249">
        <v>2.4</v>
      </c>
      <c r="F255" s="209">
        <f t="shared" si="22"/>
        <v>1.2</v>
      </c>
      <c r="G255" s="191">
        <v>2</v>
      </c>
      <c r="H255" s="40">
        <v>128</v>
      </c>
      <c r="I255" s="212">
        <f t="shared" si="23"/>
        <v>307.2</v>
      </c>
      <c r="K255" s="211">
        <f>VLOOKUP(A255,КИ_ПФ!B253:AN1081,39,FALSE)</f>
        <v>307.2</v>
      </c>
      <c r="L255" s="230" t="str">
        <f t="shared" si="24"/>
        <v>ИСТИНА</v>
      </c>
    </row>
    <row r="256" spans="1:12" x14ac:dyDescent="0.2">
      <c r="A256" s="80">
        <v>1003175136198</v>
      </c>
      <c r="B256" s="48" t="s">
        <v>319</v>
      </c>
      <c r="C256" s="87" t="s">
        <v>3</v>
      </c>
      <c r="D256" s="215">
        <v>2.1</v>
      </c>
      <c r="E256" s="249">
        <v>2.1</v>
      </c>
      <c r="F256" s="209">
        <f t="shared" si="22"/>
        <v>1.05</v>
      </c>
      <c r="G256" s="191">
        <v>2</v>
      </c>
      <c r="H256" s="40">
        <v>128</v>
      </c>
      <c r="I256" s="212">
        <f t="shared" si="23"/>
        <v>268.8</v>
      </c>
      <c r="K256" s="211">
        <f>VLOOKUP(A256,КИ_ПФ!B254:AN1082,39,FALSE)</f>
        <v>268.8</v>
      </c>
      <c r="L256" s="230" t="str">
        <f t="shared" si="24"/>
        <v>ИСТИНА</v>
      </c>
    </row>
    <row r="257" spans="1:12" x14ac:dyDescent="0.2">
      <c r="A257" s="80">
        <v>1003173544959</v>
      </c>
      <c r="B257" s="48" t="s">
        <v>178</v>
      </c>
      <c r="C257" s="87" t="s">
        <v>3</v>
      </c>
      <c r="D257" s="215">
        <v>2</v>
      </c>
      <c r="E257" s="249">
        <v>2</v>
      </c>
      <c r="F257" s="209">
        <f t="shared" si="22"/>
        <v>1</v>
      </c>
      <c r="G257" s="191">
        <v>2</v>
      </c>
      <c r="H257" s="40">
        <v>128</v>
      </c>
      <c r="I257" s="212">
        <f t="shared" si="23"/>
        <v>256</v>
      </c>
      <c r="K257" s="211">
        <f>VLOOKUP(A257,КИ_ПФ!B254:AN1083,39,FALSE)</f>
        <v>256</v>
      </c>
      <c r="L257" s="230" t="str">
        <f t="shared" si="24"/>
        <v>ИСТИНА</v>
      </c>
    </row>
    <row r="258" spans="1:12" x14ac:dyDescent="0.2">
      <c r="A258" s="80">
        <v>1003173546199</v>
      </c>
      <c r="B258" s="48" t="s">
        <v>1024</v>
      </c>
      <c r="C258" s="87" t="s">
        <v>3</v>
      </c>
      <c r="D258" s="215">
        <v>2</v>
      </c>
      <c r="E258" s="249">
        <v>2</v>
      </c>
      <c r="F258" s="209">
        <f t="shared" si="22"/>
        <v>1</v>
      </c>
      <c r="G258" s="191">
        <v>2</v>
      </c>
      <c r="H258" s="40">
        <v>128</v>
      </c>
      <c r="I258" s="212">
        <f t="shared" si="23"/>
        <v>256</v>
      </c>
      <c r="K258" s="211">
        <f>VLOOKUP(A258,КИ_ПФ!B255:AN1084,39,FALSE)</f>
        <v>256</v>
      </c>
      <c r="L258" s="230" t="str">
        <f t="shared" si="24"/>
        <v>ИСТИНА</v>
      </c>
    </row>
    <row r="259" spans="1:12" x14ac:dyDescent="0.2">
      <c r="A259" s="80">
        <v>1003173545857</v>
      </c>
      <c r="B259" s="48" t="s">
        <v>514</v>
      </c>
      <c r="C259" s="87" t="s">
        <v>3</v>
      </c>
      <c r="D259" s="215">
        <v>2</v>
      </c>
      <c r="E259" s="249">
        <v>2</v>
      </c>
      <c r="F259" s="209">
        <f t="shared" si="22"/>
        <v>1</v>
      </c>
      <c r="G259" s="191">
        <v>2</v>
      </c>
      <c r="H259" s="40">
        <v>128</v>
      </c>
      <c r="I259" s="212">
        <f t="shared" si="23"/>
        <v>256</v>
      </c>
      <c r="K259" s="211">
        <f>VLOOKUP(A259,КИ_ПФ!B256:AN1085,39,FALSE)</f>
        <v>256</v>
      </c>
      <c r="L259" s="230" t="str">
        <f t="shared" si="24"/>
        <v>ИСТИНА</v>
      </c>
    </row>
    <row r="260" spans="1:12" x14ac:dyDescent="0.2">
      <c r="A260" s="80">
        <v>1003171725665</v>
      </c>
      <c r="B260" s="48" t="s">
        <v>238</v>
      </c>
      <c r="C260" s="87" t="s">
        <v>3</v>
      </c>
      <c r="D260" s="215">
        <v>3.6</v>
      </c>
      <c r="E260" s="249">
        <v>3.6</v>
      </c>
      <c r="F260" s="209">
        <f t="shared" si="22"/>
        <v>1.8</v>
      </c>
      <c r="G260" s="191">
        <v>2</v>
      </c>
      <c r="H260" s="40">
        <v>112</v>
      </c>
      <c r="I260" s="212">
        <f t="shared" si="23"/>
        <v>403.2</v>
      </c>
      <c r="K260" s="211">
        <f>VLOOKUP(A260,КИ_ПФ!B257:AN1086,39,FALSE)</f>
        <v>403.2</v>
      </c>
      <c r="L260" s="230" t="str">
        <f t="shared" si="24"/>
        <v>ИСТИНА</v>
      </c>
    </row>
    <row r="261" spans="1:12" x14ac:dyDescent="0.2">
      <c r="A261" s="80">
        <v>1003171726514</v>
      </c>
      <c r="B261" s="48" t="s">
        <v>599</v>
      </c>
      <c r="C261" s="87" t="s">
        <v>3</v>
      </c>
      <c r="D261" s="215">
        <v>3.65</v>
      </c>
      <c r="E261" s="249">
        <v>3.65</v>
      </c>
      <c r="F261" s="209">
        <f t="shared" si="22"/>
        <v>1.825</v>
      </c>
      <c r="G261" s="191">
        <v>2</v>
      </c>
      <c r="H261" s="40">
        <v>128</v>
      </c>
      <c r="I261" s="212">
        <f t="shared" si="23"/>
        <v>467.2</v>
      </c>
      <c r="K261" s="211">
        <f>VLOOKUP(A261,КИ_ПФ!B258:AN1087,39,FALSE)</f>
        <v>467.2</v>
      </c>
      <c r="L261" s="230" t="str">
        <f t="shared" si="24"/>
        <v>ИСТИНА</v>
      </c>
    </row>
    <row r="262" spans="1:12" x14ac:dyDescent="0.2">
      <c r="A262" s="80">
        <v>1003171735534</v>
      </c>
      <c r="B262" s="48" t="s">
        <v>223</v>
      </c>
      <c r="C262" s="87" t="s">
        <v>3</v>
      </c>
      <c r="D262" s="215">
        <v>2.1</v>
      </c>
      <c r="E262" s="249">
        <v>2</v>
      </c>
      <c r="F262" s="209">
        <f t="shared" si="22"/>
        <v>1</v>
      </c>
      <c r="G262" s="191">
        <v>2</v>
      </c>
      <c r="H262" s="40">
        <v>128</v>
      </c>
      <c r="I262" s="212">
        <f t="shared" si="23"/>
        <v>256</v>
      </c>
      <c r="K262" s="211">
        <f>VLOOKUP(A262,КИ_ПФ!B259:AN1088,39,FALSE)</f>
        <v>256</v>
      </c>
      <c r="L262" s="230" t="str">
        <f t="shared" si="24"/>
        <v>ИСТИНА</v>
      </c>
    </row>
    <row r="263" spans="1:12" x14ac:dyDescent="0.2">
      <c r="A263" s="80">
        <v>1003171524720</v>
      </c>
      <c r="B263" s="48" t="s">
        <v>86</v>
      </c>
      <c r="C263" s="87" t="s">
        <v>3</v>
      </c>
      <c r="D263" s="215">
        <v>2.4</v>
      </c>
      <c r="E263" s="249">
        <v>2.4</v>
      </c>
      <c r="F263" s="209">
        <f t="shared" si="22"/>
        <v>1.2</v>
      </c>
      <c r="G263" s="191">
        <v>2</v>
      </c>
      <c r="H263" s="40">
        <v>112</v>
      </c>
      <c r="I263" s="212">
        <f t="shared" si="23"/>
        <v>268.8</v>
      </c>
      <c r="K263" s="211">
        <f>VLOOKUP(A263,КИ_ПФ!B259:AN1089,39,FALSE)</f>
        <v>268.8</v>
      </c>
      <c r="L263" s="230" t="str">
        <f t="shared" si="24"/>
        <v>ИСТИНА</v>
      </c>
    </row>
    <row r="264" spans="1:12" x14ac:dyDescent="0.2">
      <c r="A264" s="80">
        <v>1003171526516</v>
      </c>
      <c r="B264" s="48" t="s">
        <v>600</v>
      </c>
      <c r="C264" s="87" t="s">
        <v>3</v>
      </c>
      <c r="D264" s="215">
        <v>2.4</v>
      </c>
      <c r="E264" s="249">
        <v>2.4</v>
      </c>
      <c r="F264" s="209">
        <f t="shared" si="22"/>
        <v>1.2</v>
      </c>
      <c r="G264" s="191">
        <v>2</v>
      </c>
      <c r="H264" s="40">
        <v>128</v>
      </c>
      <c r="I264" s="212">
        <f t="shared" si="23"/>
        <v>307.2</v>
      </c>
      <c r="K264" s="211">
        <f>VLOOKUP(A264,КИ_ПФ!B260:AN1090,39,FALSE)</f>
        <v>307.2</v>
      </c>
      <c r="L264" s="230" t="str">
        <f t="shared" si="24"/>
        <v>ИСТИНА</v>
      </c>
    </row>
    <row r="265" spans="1:12" x14ac:dyDescent="0.2">
      <c r="A265" s="80">
        <v>1003171524721</v>
      </c>
      <c r="B265" s="48" t="s">
        <v>288</v>
      </c>
      <c r="C265" s="87" t="s">
        <v>3</v>
      </c>
      <c r="D265" s="215">
        <v>2.4</v>
      </c>
      <c r="E265" s="249">
        <v>2.4</v>
      </c>
      <c r="F265" s="209">
        <f t="shared" si="22"/>
        <v>1.2</v>
      </c>
      <c r="G265" s="191">
        <v>2</v>
      </c>
      <c r="H265" s="40">
        <v>112</v>
      </c>
      <c r="I265" s="212">
        <f t="shared" si="23"/>
        <v>268.8</v>
      </c>
      <c r="K265" s="211">
        <f>VLOOKUP(A265,КИ_ПФ!B260:AN1091,39,FALSE)</f>
        <v>268.8</v>
      </c>
      <c r="L265" s="230" t="str">
        <f t="shared" si="24"/>
        <v>ИСТИНА</v>
      </c>
    </row>
    <row r="266" spans="1:12" x14ac:dyDescent="0.2">
      <c r="A266" s="80">
        <v>1003171526167</v>
      </c>
      <c r="B266" s="48" t="s">
        <v>813</v>
      </c>
      <c r="C266" s="87" t="s">
        <v>3</v>
      </c>
      <c r="D266" s="215">
        <v>2.4500000000000002</v>
      </c>
      <c r="E266" s="249">
        <v>2.4500000000000002</v>
      </c>
      <c r="F266" s="209">
        <f t="shared" si="22"/>
        <v>1.2250000000000001</v>
      </c>
      <c r="G266" s="191">
        <v>2</v>
      </c>
      <c r="H266" s="40">
        <v>128</v>
      </c>
      <c r="I266" s="212">
        <f t="shared" si="23"/>
        <v>313.60000000000002</v>
      </c>
      <c r="K266" s="211">
        <f>VLOOKUP(A266,КИ_ПФ!B261:AN1092,39,FALSE)</f>
        <v>313.60000000000002</v>
      </c>
      <c r="L266" s="230" t="str">
        <f t="shared" si="24"/>
        <v>ИСТИНА</v>
      </c>
    </row>
    <row r="267" spans="1:12" x14ac:dyDescent="0.2">
      <c r="A267" s="80">
        <v>1003171355439</v>
      </c>
      <c r="B267" s="48" t="s">
        <v>125</v>
      </c>
      <c r="C267" s="87" t="s">
        <v>3</v>
      </c>
      <c r="D267" s="215">
        <v>8</v>
      </c>
      <c r="E267" s="249">
        <v>8</v>
      </c>
      <c r="F267" s="209">
        <f t="shared" si="22"/>
        <v>1.6</v>
      </c>
      <c r="G267" s="191">
        <v>5</v>
      </c>
      <c r="H267" s="40">
        <v>80</v>
      </c>
      <c r="I267" s="212">
        <f t="shared" si="23"/>
        <v>640</v>
      </c>
      <c r="K267" s="211">
        <f>VLOOKUP(A267,КИ_ПФ!B262:AN1093,39,FALSE)</f>
        <v>640</v>
      </c>
      <c r="L267" s="230" t="str">
        <f t="shared" si="24"/>
        <v>ИСТИНА</v>
      </c>
    </row>
    <row r="268" spans="1:12" x14ac:dyDescent="0.2">
      <c r="A268" s="80">
        <v>1003171355350</v>
      </c>
      <c r="B268" s="48" t="s">
        <v>572</v>
      </c>
      <c r="C268" s="87" t="s">
        <v>3</v>
      </c>
      <c r="D268" s="215">
        <v>5.35</v>
      </c>
      <c r="E268" s="249">
        <v>5.35</v>
      </c>
      <c r="F268" s="209">
        <f t="shared" si="22"/>
        <v>1.07</v>
      </c>
      <c r="G268" s="191">
        <v>5</v>
      </c>
      <c r="H268" s="40">
        <v>80</v>
      </c>
      <c r="I268" s="212">
        <f t="shared" si="23"/>
        <v>428</v>
      </c>
      <c r="K268" s="211">
        <f>VLOOKUP(A268,КИ_ПФ!B263:AN1094,39,FALSE)</f>
        <v>428</v>
      </c>
      <c r="L268" s="230" t="str">
        <f t="shared" si="24"/>
        <v>ИСТИНА</v>
      </c>
    </row>
    <row r="269" spans="1:12" x14ac:dyDescent="0.2">
      <c r="A269" s="80">
        <v>1003171356416</v>
      </c>
      <c r="B269" s="48" t="s">
        <v>516</v>
      </c>
      <c r="C269" s="87" t="s">
        <v>3</v>
      </c>
      <c r="D269" s="215">
        <v>6.5</v>
      </c>
      <c r="E269" s="249">
        <v>6.5</v>
      </c>
      <c r="F269" s="209">
        <f t="shared" si="22"/>
        <v>1.3</v>
      </c>
      <c r="G269" s="191">
        <v>5</v>
      </c>
      <c r="H269" s="40">
        <v>80</v>
      </c>
      <c r="I269" s="212">
        <f t="shared" si="23"/>
        <v>520</v>
      </c>
      <c r="K269" s="211">
        <f>VLOOKUP(A269,КИ_ПФ!B264:AN1095,39,FALSE)</f>
        <v>520</v>
      </c>
      <c r="L269" s="230" t="str">
        <f t="shared" si="24"/>
        <v>ИСТИНА</v>
      </c>
    </row>
    <row r="270" spans="1:12" x14ac:dyDescent="0.2">
      <c r="A270" s="80">
        <v>1003171355348</v>
      </c>
      <c r="B270" s="48" t="s">
        <v>1806</v>
      </c>
      <c r="C270" s="87" t="s">
        <v>3</v>
      </c>
      <c r="D270" s="215">
        <v>5.3</v>
      </c>
      <c r="E270" s="249">
        <v>5.3</v>
      </c>
      <c r="F270" s="209">
        <f t="shared" si="22"/>
        <v>1.06</v>
      </c>
      <c r="G270" s="191">
        <v>5</v>
      </c>
      <c r="H270" s="40">
        <v>80</v>
      </c>
      <c r="I270" s="212">
        <f t="shared" si="23"/>
        <v>424</v>
      </c>
      <c r="K270" s="211">
        <f>VLOOKUP(A270,КИ_ПФ!B265:AN1096,39,FALSE)</f>
        <v>424</v>
      </c>
      <c r="L270" s="230" t="str">
        <f t="shared" si="24"/>
        <v>ИСТИНА</v>
      </c>
    </row>
    <row r="271" spans="1:12" x14ac:dyDescent="0.2">
      <c r="A271" s="80">
        <v>1003171415358</v>
      </c>
      <c r="B271" s="48" t="s">
        <v>81</v>
      </c>
      <c r="C271" s="87" t="s">
        <v>3</v>
      </c>
      <c r="D271" s="215">
        <v>5.3</v>
      </c>
      <c r="E271" s="249">
        <v>5.3</v>
      </c>
      <c r="F271" s="209">
        <f t="shared" si="22"/>
        <v>0.88400000000000001</v>
      </c>
      <c r="G271" s="191">
        <v>6</v>
      </c>
      <c r="H271" s="40">
        <v>80</v>
      </c>
      <c r="I271" s="212">
        <f t="shared" si="23"/>
        <v>424</v>
      </c>
      <c r="K271" s="211">
        <f>VLOOKUP(A271,КИ_ПФ!B266:AN1097,39,FALSE)</f>
        <v>424</v>
      </c>
      <c r="L271" s="230" t="str">
        <f t="shared" si="24"/>
        <v>ИСТИНА</v>
      </c>
    </row>
    <row r="272" spans="1:12" x14ac:dyDescent="0.2">
      <c r="A272" s="80">
        <v>1003171415750</v>
      </c>
      <c r="B272" s="48" t="s">
        <v>246</v>
      </c>
      <c r="C272" s="87" t="s">
        <v>3</v>
      </c>
      <c r="D272" s="215">
        <v>5.4</v>
      </c>
      <c r="E272" s="249">
        <v>5.4</v>
      </c>
      <c r="F272" s="209">
        <f t="shared" si="22"/>
        <v>0.9</v>
      </c>
      <c r="G272" s="191">
        <v>6</v>
      </c>
      <c r="H272" s="40">
        <v>80</v>
      </c>
      <c r="I272" s="212">
        <f t="shared" si="23"/>
        <v>432</v>
      </c>
      <c r="K272" s="211">
        <f>VLOOKUP(A272,КИ_ПФ!B267:AN1098,39,FALSE)</f>
        <v>432</v>
      </c>
      <c r="L272" s="230" t="str">
        <f t="shared" si="24"/>
        <v>ИСТИНА</v>
      </c>
    </row>
    <row r="273" spans="1:12" x14ac:dyDescent="0.2">
      <c r="A273" s="80">
        <v>1003171415357</v>
      </c>
      <c r="B273" s="48" t="s">
        <v>309</v>
      </c>
      <c r="C273" s="87" t="s">
        <v>3</v>
      </c>
      <c r="D273" s="215">
        <v>5.8</v>
      </c>
      <c r="E273" s="249">
        <v>5.8</v>
      </c>
      <c r="F273" s="209">
        <f t="shared" si="22"/>
        <v>0.96699999999999997</v>
      </c>
      <c r="G273" s="191">
        <v>6</v>
      </c>
      <c r="H273" s="40">
        <v>80</v>
      </c>
      <c r="I273" s="212">
        <f t="shared" si="23"/>
        <v>464</v>
      </c>
      <c r="K273" s="211">
        <f>VLOOKUP(A273,КИ_ПФ!B268:AN1099,39,FALSE)</f>
        <v>464</v>
      </c>
      <c r="L273" s="230" t="str">
        <f t="shared" si="24"/>
        <v>ИСТИНА</v>
      </c>
    </row>
    <row r="274" spans="1:12" x14ac:dyDescent="0.2">
      <c r="A274" s="80">
        <v>1003171416183</v>
      </c>
      <c r="B274" s="48" t="s">
        <v>312</v>
      </c>
      <c r="C274" s="87" t="s">
        <v>3</v>
      </c>
      <c r="D274" s="215">
        <v>6</v>
      </c>
      <c r="E274" s="249">
        <v>6</v>
      </c>
      <c r="F274" s="209">
        <f t="shared" si="22"/>
        <v>1</v>
      </c>
      <c r="G274" s="191">
        <v>6</v>
      </c>
      <c r="H274" s="40">
        <v>80</v>
      </c>
      <c r="I274" s="212">
        <f t="shared" si="23"/>
        <v>480</v>
      </c>
      <c r="K274" s="211">
        <f>VLOOKUP(A274,КИ_ПФ!B269:AN1100,39,FALSE)</f>
        <v>480</v>
      </c>
      <c r="L274" s="230" t="str">
        <f t="shared" si="24"/>
        <v>ИСТИНА</v>
      </c>
    </row>
    <row r="275" spans="1:12" x14ac:dyDescent="0.2">
      <c r="A275" s="80">
        <v>1003171416553</v>
      </c>
      <c r="B275" s="48" t="s">
        <v>605</v>
      </c>
      <c r="C275" s="87" t="s">
        <v>3</v>
      </c>
      <c r="D275" s="215">
        <v>6</v>
      </c>
      <c r="E275" s="249">
        <v>6</v>
      </c>
      <c r="F275" s="209">
        <f t="shared" si="22"/>
        <v>1</v>
      </c>
      <c r="G275" s="191">
        <v>6</v>
      </c>
      <c r="H275" s="40">
        <v>80</v>
      </c>
      <c r="I275" s="212">
        <f t="shared" si="23"/>
        <v>480</v>
      </c>
      <c r="K275" s="211">
        <f>VLOOKUP(A275,КИ_ПФ!B270:AN1101,39,FALSE)</f>
        <v>480</v>
      </c>
      <c r="L275" s="230" t="str">
        <f t="shared" si="24"/>
        <v>ИСТИНА</v>
      </c>
    </row>
    <row r="276" spans="1:12" x14ac:dyDescent="0.2">
      <c r="A276" s="80">
        <v>1003171455365</v>
      </c>
      <c r="B276" s="276" t="s">
        <v>614</v>
      </c>
      <c r="C276" s="87" t="s">
        <v>3</v>
      </c>
      <c r="D276" s="215">
        <v>5.7</v>
      </c>
      <c r="E276" s="249">
        <v>5.7</v>
      </c>
      <c r="F276" s="209">
        <f t="shared" si="22"/>
        <v>0.95</v>
      </c>
      <c r="G276" s="191">
        <v>6</v>
      </c>
      <c r="H276" s="40">
        <v>80</v>
      </c>
      <c r="I276" s="212">
        <f t="shared" si="23"/>
        <v>456</v>
      </c>
      <c r="K276" s="211">
        <f>VLOOKUP(A276,КИ_ПФ!B271:AN1102,39,FALSE)</f>
        <v>456</v>
      </c>
      <c r="L276" s="230" t="str">
        <f t="shared" si="24"/>
        <v>ИСТИНА</v>
      </c>
    </row>
    <row r="277" spans="1:12" x14ac:dyDescent="0.2">
      <c r="A277" s="80">
        <v>1003171456184</v>
      </c>
      <c r="B277" s="274" t="s">
        <v>615</v>
      </c>
      <c r="C277" s="87" t="s">
        <v>3</v>
      </c>
      <c r="D277" s="215">
        <v>5.9</v>
      </c>
      <c r="E277" s="249">
        <v>5.9</v>
      </c>
      <c r="F277" s="209">
        <f t="shared" si="22"/>
        <v>0.98399999999999999</v>
      </c>
      <c r="G277" s="191">
        <v>6</v>
      </c>
      <c r="H277" s="40">
        <v>80</v>
      </c>
      <c r="I277" s="212">
        <f t="shared" si="23"/>
        <v>472</v>
      </c>
      <c r="K277" s="211">
        <f>VLOOKUP(A277,КИ_ПФ!B272:AN1103,39,FALSE)</f>
        <v>472</v>
      </c>
      <c r="L277" s="230" t="str">
        <f t="shared" si="24"/>
        <v>ИСТИНА</v>
      </c>
    </row>
    <row r="278" spans="1:12" x14ac:dyDescent="0.2">
      <c r="A278" s="80">
        <v>1003171456496</v>
      </c>
      <c r="B278" s="48" t="s">
        <v>576</v>
      </c>
      <c r="C278" s="87" t="s">
        <v>3</v>
      </c>
      <c r="D278" s="215">
        <v>5.4</v>
      </c>
      <c r="E278" s="249">
        <v>5.4</v>
      </c>
      <c r="F278" s="209">
        <f t="shared" si="22"/>
        <v>0.9</v>
      </c>
      <c r="G278" s="191">
        <v>6</v>
      </c>
      <c r="H278" s="40">
        <v>80</v>
      </c>
      <c r="I278" s="212">
        <f t="shared" si="23"/>
        <v>432</v>
      </c>
      <c r="K278" s="211">
        <f>VLOOKUP(A278,КИ_ПФ!B273:AN1104,39,FALSE)</f>
        <v>432</v>
      </c>
      <c r="L278" s="230" t="str">
        <f t="shared" si="24"/>
        <v>ИСТИНА</v>
      </c>
    </row>
    <row r="279" spans="1:12" x14ac:dyDescent="0.2">
      <c r="A279" s="80">
        <v>1003311457532</v>
      </c>
      <c r="B279" s="48" t="s">
        <v>1760</v>
      </c>
      <c r="C279" s="87" t="s">
        <v>3</v>
      </c>
      <c r="D279" s="215">
        <v>3.6</v>
      </c>
      <c r="E279" s="249">
        <v>3.6</v>
      </c>
      <c r="F279" s="209">
        <f t="shared" si="22"/>
        <v>0.9</v>
      </c>
      <c r="G279" s="191">
        <v>4</v>
      </c>
      <c r="H279" s="40">
        <v>135</v>
      </c>
      <c r="I279" s="212">
        <f t="shared" si="23"/>
        <v>486</v>
      </c>
      <c r="K279" s="211">
        <f>VLOOKUP(A279,КИ_ПФ!B274:AN1105,39,FALSE)</f>
        <v>486</v>
      </c>
      <c r="L279" s="230" t="str">
        <f t="shared" si="24"/>
        <v>ИСТИНА</v>
      </c>
    </row>
    <row r="280" spans="1:12" x14ac:dyDescent="0.2">
      <c r="A280" s="80">
        <v>1003171595406</v>
      </c>
      <c r="B280" s="48" t="s">
        <v>118</v>
      </c>
      <c r="C280" s="87" t="s">
        <v>3</v>
      </c>
      <c r="D280" s="215">
        <v>3.5</v>
      </c>
      <c r="E280" s="249">
        <v>3.5</v>
      </c>
      <c r="F280" s="209">
        <f t="shared" si="22"/>
        <v>0.875</v>
      </c>
      <c r="G280" s="191">
        <v>4</v>
      </c>
      <c r="H280" s="40">
        <v>80</v>
      </c>
      <c r="I280" s="212">
        <f t="shared" si="23"/>
        <v>280</v>
      </c>
      <c r="K280" s="211">
        <f>VLOOKUP(A280,КИ_ПФ!B275:AN1106,39,FALSE)</f>
        <v>280</v>
      </c>
      <c r="L280" s="230" t="str">
        <f t="shared" si="24"/>
        <v>ИСТИНА</v>
      </c>
    </row>
    <row r="281" spans="1:12" x14ac:dyDescent="0.2">
      <c r="A281" s="80">
        <v>1003321596895</v>
      </c>
      <c r="B281" s="48" t="s">
        <v>932</v>
      </c>
      <c r="C281" s="87" t="s">
        <v>3</v>
      </c>
      <c r="D281" s="215">
        <v>3.5</v>
      </c>
      <c r="E281" s="249">
        <v>3.5</v>
      </c>
      <c r="F281" s="209">
        <f t="shared" si="22"/>
        <v>0.875</v>
      </c>
      <c r="G281" s="191">
        <v>4</v>
      </c>
      <c r="H281" s="40">
        <v>80</v>
      </c>
      <c r="I281" s="212">
        <f t="shared" si="23"/>
        <v>280</v>
      </c>
      <c r="K281" s="211">
        <f>VLOOKUP(A281,КИ_ПФ!B275:AN1107,39,FALSE)</f>
        <v>280</v>
      </c>
      <c r="L281" s="230" t="str">
        <f t="shared" si="24"/>
        <v>ИСТИНА</v>
      </c>
    </row>
    <row r="282" spans="1:12" x14ac:dyDescent="0.2">
      <c r="A282" s="80">
        <v>1003171625408</v>
      </c>
      <c r="B282" s="48" t="s">
        <v>90</v>
      </c>
      <c r="C282" s="87" t="s">
        <v>3</v>
      </c>
      <c r="D282" s="215">
        <v>5.2</v>
      </c>
      <c r="E282" s="249">
        <v>5.2</v>
      </c>
      <c r="F282" s="209">
        <f t="shared" si="22"/>
        <v>1.04</v>
      </c>
      <c r="G282" s="191">
        <v>5</v>
      </c>
      <c r="H282" s="40">
        <v>80</v>
      </c>
      <c r="I282" s="212">
        <f t="shared" si="23"/>
        <v>416</v>
      </c>
      <c r="K282" s="211">
        <f>VLOOKUP(A282,КИ_ПФ!B276:AN1108,39,FALSE)</f>
        <v>416</v>
      </c>
      <c r="L282" s="230" t="str">
        <f t="shared" si="24"/>
        <v>ИСТИНА</v>
      </c>
    </row>
    <row r="283" spans="1:12" x14ac:dyDescent="0.2">
      <c r="A283" s="80">
        <v>1003171626419</v>
      </c>
      <c r="B283" s="48" t="s">
        <v>526</v>
      </c>
      <c r="C283" s="87" t="s">
        <v>3</v>
      </c>
      <c r="D283" s="215">
        <v>5</v>
      </c>
      <c r="E283" s="249">
        <v>5</v>
      </c>
      <c r="F283" s="209">
        <f t="shared" si="22"/>
        <v>1</v>
      </c>
      <c r="G283" s="191">
        <v>5</v>
      </c>
      <c r="H283" s="40">
        <v>80</v>
      </c>
      <c r="I283" s="212">
        <f t="shared" si="23"/>
        <v>400</v>
      </c>
      <c r="K283" s="211">
        <f>VLOOKUP(A283,КИ_ПФ!B277:AN1109,39,FALSE)</f>
        <v>400</v>
      </c>
      <c r="L283" s="230" t="str">
        <f t="shared" si="24"/>
        <v>ИСТИНА</v>
      </c>
    </row>
    <row r="284" spans="1:12" x14ac:dyDescent="0.2">
      <c r="A284" s="80">
        <v>1003171625751</v>
      </c>
      <c r="B284" s="48" t="s">
        <v>310</v>
      </c>
      <c r="C284" s="87" t="s">
        <v>3</v>
      </c>
      <c r="D284" s="215">
        <v>5.2</v>
      </c>
      <c r="E284" s="249">
        <v>5.2</v>
      </c>
      <c r="F284" s="209">
        <f t="shared" si="22"/>
        <v>1.04</v>
      </c>
      <c r="G284" s="191">
        <v>5</v>
      </c>
      <c r="H284" s="40">
        <v>80</v>
      </c>
      <c r="I284" s="212">
        <f t="shared" si="23"/>
        <v>416</v>
      </c>
      <c r="K284" s="211">
        <f>VLOOKUP(A284,КИ_ПФ!B278:AN1110,39,FALSE)</f>
        <v>416</v>
      </c>
      <c r="L284" s="230" t="str">
        <f t="shared" si="24"/>
        <v>ИСТИНА</v>
      </c>
    </row>
    <row r="285" spans="1:12" x14ac:dyDescent="0.2">
      <c r="A285" s="80">
        <v>1003171735429</v>
      </c>
      <c r="B285" s="48" t="s">
        <v>95</v>
      </c>
      <c r="C285" s="87" t="s">
        <v>3</v>
      </c>
      <c r="D285" s="215">
        <v>4.9000000000000004</v>
      </c>
      <c r="E285" s="249">
        <v>4.9000000000000004</v>
      </c>
      <c r="F285" s="209">
        <f t="shared" si="22"/>
        <v>1.2250000000000001</v>
      </c>
      <c r="G285" s="191">
        <v>4</v>
      </c>
      <c r="H285" s="40">
        <v>80</v>
      </c>
      <c r="I285" s="212">
        <f t="shared" si="23"/>
        <v>392</v>
      </c>
      <c r="K285" s="211">
        <f>VLOOKUP(A285,КИ_ПФ!B279:AN1111,39,FALSE)</f>
        <v>392</v>
      </c>
      <c r="L285" s="230" t="str">
        <f t="shared" si="24"/>
        <v>ИСТИНА</v>
      </c>
    </row>
    <row r="286" spans="1:12" x14ac:dyDescent="0.2">
      <c r="A286" s="80">
        <v>1003171736185</v>
      </c>
      <c r="B286" s="275" t="s">
        <v>1805</v>
      </c>
      <c r="C286" s="87" t="s">
        <v>3</v>
      </c>
      <c r="D286" s="215">
        <v>5.3</v>
      </c>
      <c r="E286" s="249">
        <v>5.3</v>
      </c>
      <c r="F286" s="209">
        <f t="shared" si="22"/>
        <v>0.88400000000000001</v>
      </c>
      <c r="G286" s="191">
        <v>6</v>
      </c>
      <c r="H286" s="40">
        <v>80</v>
      </c>
      <c r="I286" s="212">
        <f t="shared" si="23"/>
        <v>424</v>
      </c>
      <c r="K286" s="211">
        <f>VLOOKUP(A286,КИ_ПФ!B280:AN1112,39,FALSE)</f>
        <v>424</v>
      </c>
      <c r="L286" s="230" t="str">
        <f t="shared" si="24"/>
        <v>ИСТИНА</v>
      </c>
    </row>
    <row r="287" spans="1:12" x14ac:dyDescent="0.2">
      <c r="A287" s="80">
        <v>1003171736497</v>
      </c>
      <c r="B287" s="48" t="s">
        <v>577</v>
      </c>
      <c r="C287" s="87" t="s">
        <v>3</v>
      </c>
      <c r="D287" s="215">
        <v>5.0999999999999996</v>
      </c>
      <c r="E287" s="249">
        <v>5.8</v>
      </c>
      <c r="F287" s="209">
        <f t="shared" si="22"/>
        <v>0.96699999999999997</v>
      </c>
      <c r="G287" s="191">
        <v>6</v>
      </c>
      <c r="H287" s="40">
        <v>80</v>
      </c>
      <c r="I287" s="212">
        <f t="shared" si="23"/>
        <v>464</v>
      </c>
      <c r="K287" s="211">
        <f>VLOOKUP(A287,КИ_ПФ!B284:AN1113,39,FALSE)</f>
        <v>464</v>
      </c>
      <c r="L287" s="230" t="str">
        <f t="shared" si="24"/>
        <v>ИСТИНА</v>
      </c>
    </row>
    <row r="288" spans="1:12" x14ac:dyDescent="0.2">
      <c r="A288" s="80">
        <v>1003171736526</v>
      </c>
      <c r="B288" s="48" t="s">
        <v>594</v>
      </c>
      <c r="C288" s="87" t="s">
        <v>3</v>
      </c>
      <c r="D288" s="215">
        <v>3.5</v>
      </c>
      <c r="E288" s="249">
        <v>3.5</v>
      </c>
      <c r="F288" s="209">
        <f t="shared" si="22"/>
        <v>0.875</v>
      </c>
      <c r="G288" s="191">
        <v>4</v>
      </c>
      <c r="H288" s="40">
        <v>105</v>
      </c>
      <c r="I288" s="212">
        <f t="shared" si="23"/>
        <v>367.5</v>
      </c>
      <c r="K288" s="211">
        <f>VLOOKUP(A288,КИ_ПФ!B285:AN1114,39,FALSE)</f>
        <v>367.5</v>
      </c>
      <c r="L288" s="230" t="str">
        <f t="shared" si="24"/>
        <v>ИСТИНА</v>
      </c>
    </row>
    <row r="289" spans="1:12" x14ac:dyDescent="0.2">
      <c r="A289" s="80">
        <v>1003171735426</v>
      </c>
      <c r="B289" s="275" t="s">
        <v>616</v>
      </c>
      <c r="C289" s="87" t="s">
        <v>3</v>
      </c>
      <c r="D289" s="215">
        <v>5.7</v>
      </c>
      <c r="E289" s="249">
        <v>5.7</v>
      </c>
      <c r="F289" s="209">
        <f t="shared" si="22"/>
        <v>0.95</v>
      </c>
      <c r="G289" s="191">
        <v>6</v>
      </c>
      <c r="H289" s="40">
        <v>80</v>
      </c>
      <c r="I289" s="212">
        <f t="shared" si="23"/>
        <v>456</v>
      </c>
      <c r="K289" s="211">
        <f>VLOOKUP(A289,КИ_ПФ!B285:AN1115,39,FALSE)</f>
        <v>456</v>
      </c>
      <c r="L289" s="230" t="str">
        <f t="shared" si="24"/>
        <v>ИСТИНА</v>
      </c>
    </row>
    <row r="290" spans="1:12" x14ac:dyDescent="0.2">
      <c r="A290" s="80">
        <v>1003311736896</v>
      </c>
      <c r="B290" s="48" t="s">
        <v>933</v>
      </c>
      <c r="C290" s="87" t="s">
        <v>3</v>
      </c>
      <c r="D290" s="215">
        <v>3.6</v>
      </c>
      <c r="E290" s="249">
        <v>3.6</v>
      </c>
      <c r="F290" s="209">
        <f t="shared" si="22"/>
        <v>0.9</v>
      </c>
      <c r="G290" s="191">
        <v>4</v>
      </c>
      <c r="H290" s="40">
        <v>135</v>
      </c>
      <c r="I290" s="212">
        <f t="shared" si="23"/>
        <v>486</v>
      </c>
      <c r="K290" s="211">
        <f>VLOOKUP(A290,КИ_ПФ!B285:AN1116,39,FALSE)</f>
        <v>486</v>
      </c>
      <c r="L290" s="230" t="str">
        <f t="shared" si="24"/>
        <v>ИСТИНА</v>
      </c>
    </row>
    <row r="291" spans="1:12" x14ac:dyDescent="0.2">
      <c r="A291" s="80">
        <v>1003311737533</v>
      </c>
      <c r="B291" s="48" t="s">
        <v>1761</v>
      </c>
      <c r="C291" s="87" t="s">
        <v>3</v>
      </c>
      <c r="D291" s="215">
        <v>3.6</v>
      </c>
      <c r="E291" s="249">
        <v>3.6</v>
      </c>
      <c r="F291" s="209">
        <f t="shared" si="22"/>
        <v>0.9</v>
      </c>
      <c r="G291" s="191">
        <v>4</v>
      </c>
      <c r="H291" s="40">
        <v>135</v>
      </c>
      <c r="I291" s="212">
        <f t="shared" si="23"/>
        <v>486</v>
      </c>
      <c r="K291" s="211">
        <f>VLOOKUP(A291,КИ_ПФ!B286:AN1117,39,FALSE)</f>
        <v>486</v>
      </c>
      <c r="L291" s="230" t="str">
        <f t="shared" si="24"/>
        <v>ИСТИНА</v>
      </c>
    </row>
    <row r="292" spans="1:12" x14ac:dyDescent="0.2">
      <c r="A292" s="80">
        <v>1003171395354</v>
      </c>
      <c r="B292" s="48" t="s">
        <v>80</v>
      </c>
      <c r="C292" s="87" t="s">
        <v>3</v>
      </c>
      <c r="D292" s="215">
        <v>6.7</v>
      </c>
      <c r="E292" s="249">
        <v>6.7</v>
      </c>
      <c r="F292" s="209">
        <f t="shared" si="22"/>
        <v>1.34</v>
      </c>
      <c r="G292" s="191">
        <v>5</v>
      </c>
      <c r="H292" s="40">
        <v>64</v>
      </c>
      <c r="I292" s="212">
        <f t="shared" si="23"/>
        <v>428.8</v>
      </c>
      <c r="K292" s="211">
        <f>VLOOKUP(A292,КИ_ПФ!B287:AN1118,39,FALSE)</f>
        <v>428.8</v>
      </c>
      <c r="L292" s="230" t="str">
        <f t="shared" si="24"/>
        <v>ИСТИНА</v>
      </c>
    </row>
    <row r="293" spans="1:12" x14ac:dyDescent="0.2">
      <c r="A293" s="80">
        <v>1003171455367</v>
      </c>
      <c r="B293" s="48" t="s">
        <v>83</v>
      </c>
      <c r="C293" s="87" t="s">
        <v>3</v>
      </c>
      <c r="D293" s="215">
        <v>10</v>
      </c>
      <c r="E293" s="249">
        <v>10</v>
      </c>
      <c r="F293" s="209">
        <f t="shared" si="22"/>
        <v>2</v>
      </c>
      <c r="G293" s="191">
        <v>5</v>
      </c>
      <c r="H293" s="40">
        <v>64</v>
      </c>
      <c r="I293" s="212">
        <f t="shared" si="23"/>
        <v>640</v>
      </c>
      <c r="K293" s="211">
        <f>VLOOKUP(A293,КИ_ПФ!B288:AN1119,39,FALSE)</f>
        <v>640</v>
      </c>
      <c r="L293" s="230" t="str">
        <f t="shared" si="24"/>
        <v>ИСТИНА</v>
      </c>
    </row>
    <row r="294" spans="1:12" x14ac:dyDescent="0.2">
      <c r="A294" s="80">
        <v>1003171455366</v>
      </c>
      <c r="B294" s="48" t="s">
        <v>84</v>
      </c>
      <c r="C294" s="87" t="s">
        <v>3</v>
      </c>
      <c r="D294" s="215">
        <v>8</v>
      </c>
      <c r="E294" s="249">
        <v>8</v>
      </c>
      <c r="F294" s="209">
        <f t="shared" si="22"/>
        <v>1.6</v>
      </c>
      <c r="G294" s="191">
        <v>5</v>
      </c>
      <c r="H294" s="40">
        <v>64</v>
      </c>
      <c r="I294" s="212">
        <f t="shared" si="23"/>
        <v>512</v>
      </c>
      <c r="K294" s="211">
        <f>VLOOKUP(A294,КИ_ПФ!B289:AN1120,39,FALSE)</f>
        <v>512</v>
      </c>
      <c r="L294" s="230" t="str">
        <f t="shared" si="24"/>
        <v>ИСТИНА</v>
      </c>
    </row>
    <row r="295" spans="1:12" x14ac:dyDescent="0.2">
      <c r="A295" s="80">
        <v>1003171465371</v>
      </c>
      <c r="B295" s="48" t="s">
        <v>85</v>
      </c>
      <c r="C295" s="87" t="s">
        <v>3</v>
      </c>
      <c r="D295" s="215">
        <v>10.199999999999999</v>
      </c>
      <c r="E295" s="249">
        <v>10.199999999999999</v>
      </c>
      <c r="F295" s="209">
        <f t="shared" si="22"/>
        <v>1.7</v>
      </c>
      <c r="G295" s="191">
        <v>6</v>
      </c>
      <c r="H295" s="40">
        <v>64</v>
      </c>
      <c r="I295" s="212">
        <f t="shared" si="23"/>
        <v>652.79999999999995</v>
      </c>
      <c r="K295" s="211">
        <f>VLOOKUP(A295,КИ_ПФ!B290:AN1121,39,FALSE)</f>
        <v>652.79999999999995</v>
      </c>
      <c r="L295" s="230" t="str">
        <f t="shared" si="24"/>
        <v>ИСТИНА</v>
      </c>
    </row>
    <row r="296" spans="1:12" x14ac:dyDescent="0.2">
      <c r="A296" s="80">
        <v>1003171465370</v>
      </c>
      <c r="B296" s="48" t="s">
        <v>131</v>
      </c>
      <c r="C296" s="87" t="s">
        <v>3</v>
      </c>
      <c r="D296" s="215">
        <v>9.3000000000000007</v>
      </c>
      <c r="E296" s="249">
        <v>9.3000000000000007</v>
      </c>
      <c r="F296" s="209">
        <f t="shared" si="22"/>
        <v>1.86</v>
      </c>
      <c r="G296" s="191">
        <v>5</v>
      </c>
      <c r="H296" s="40">
        <v>64</v>
      </c>
      <c r="I296" s="212">
        <f t="shared" si="23"/>
        <v>595.20000000000005</v>
      </c>
      <c r="K296" s="211">
        <f>VLOOKUP(A296,КИ_ПФ!B291:AN1122,39,FALSE)</f>
        <v>595.20000000000005</v>
      </c>
      <c r="L296" s="230" t="str">
        <f t="shared" si="24"/>
        <v>ИСТИНА</v>
      </c>
    </row>
    <row r="297" spans="1:12" x14ac:dyDescent="0.2">
      <c r="A297" s="80">
        <v>1003311467558</v>
      </c>
      <c r="B297" s="48" t="s">
        <v>1737</v>
      </c>
      <c r="C297" s="87" t="s">
        <v>3</v>
      </c>
      <c r="D297" s="215">
        <v>10</v>
      </c>
      <c r="E297" s="249">
        <v>10</v>
      </c>
      <c r="F297" s="209">
        <f t="shared" si="22"/>
        <v>2</v>
      </c>
      <c r="G297" s="191">
        <v>5</v>
      </c>
      <c r="H297" s="40">
        <v>64</v>
      </c>
      <c r="I297" s="212">
        <f t="shared" si="23"/>
        <v>640</v>
      </c>
      <c r="K297" s="211">
        <f>VLOOKUP(A297,КИ_ПФ!B292:AN1123,39,FALSE)</f>
        <v>640</v>
      </c>
      <c r="L297" s="230" t="str">
        <f t="shared" si="24"/>
        <v>ИСТИНА</v>
      </c>
    </row>
    <row r="298" spans="1:12" x14ac:dyDescent="0.2">
      <c r="A298" s="80">
        <v>1003171465373</v>
      </c>
      <c r="B298" s="48" t="s">
        <v>149</v>
      </c>
      <c r="C298" s="87" t="s">
        <v>3</v>
      </c>
      <c r="D298" s="215">
        <v>8.3000000000000007</v>
      </c>
      <c r="E298" s="249">
        <v>8.3000000000000007</v>
      </c>
      <c r="F298" s="209">
        <f t="shared" si="22"/>
        <v>2.7669999999999999</v>
      </c>
      <c r="G298" s="191">
        <v>3</v>
      </c>
      <c r="H298" s="40">
        <v>64</v>
      </c>
      <c r="I298" s="212">
        <f t="shared" si="23"/>
        <v>531.20000000000005</v>
      </c>
      <c r="K298" s="211">
        <f>VLOOKUP(A298,КИ_ПФ!B293:AN1124,39,FALSE)</f>
        <v>531.20000000000005</v>
      </c>
      <c r="L298" s="230" t="str">
        <f t="shared" si="24"/>
        <v>ИСТИНА</v>
      </c>
    </row>
    <row r="299" spans="1:12" x14ac:dyDescent="0.2">
      <c r="A299" s="80">
        <v>1003171465374</v>
      </c>
      <c r="B299" s="48" t="s">
        <v>150</v>
      </c>
      <c r="C299" s="87" t="s">
        <v>3</v>
      </c>
      <c r="D299" s="215">
        <v>7.8000000000000007</v>
      </c>
      <c r="E299" s="249">
        <v>7.8000000000000007</v>
      </c>
      <c r="F299" s="209">
        <f t="shared" si="22"/>
        <v>2.6</v>
      </c>
      <c r="G299" s="191">
        <v>3</v>
      </c>
      <c r="H299" s="40">
        <v>64</v>
      </c>
      <c r="I299" s="212">
        <f t="shared" si="23"/>
        <v>499.2</v>
      </c>
      <c r="K299" s="211">
        <f>VLOOKUP(A299,КИ_ПФ!B294:AN1125,39,FALSE)</f>
        <v>499.2</v>
      </c>
      <c r="L299" s="230" t="str">
        <f t="shared" si="24"/>
        <v>ИСТИНА</v>
      </c>
    </row>
    <row r="300" spans="1:12" x14ac:dyDescent="0.2">
      <c r="A300" s="80">
        <v>1003311467550</v>
      </c>
      <c r="B300" s="48" t="s">
        <v>1739</v>
      </c>
      <c r="C300" s="87" t="s">
        <v>3</v>
      </c>
      <c r="D300" s="215">
        <v>8.3000000000000007</v>
      </c>
      <c r="E300" s="249">
        <v>8.3000000000000007</v>
      </c>
      <c r="F300" s="209">
        <f t="shared" si="22"/>
        <v>2.7669999999999999</v>
      </c>
      <c r="G300" s="191">
        <v>3</v>
      </c>
      <c r="H300" s="40">
        <v>64</v>
      </c>
      <c r="I300" s="212">
        <f t="shared" si="23"/>
        <v>531.20000000000005</v>
      </c>
      <c r="K300" s="211">
        <f>VLOOKUP(A300,КИ_ПФ!B296:AN1126,39,FALSE)</f>
        <v>531.20000000000005</v>
      </c>
      <c r="L300" s="230" t="str">
        <f t="shared" si="24"/>
        <v>ИСТИНА</v>
      </c>
    </row>
    <row r="301" spans="1:12" x14ac:dyDescent="0.2">
      <c r="A301" s="80">
        <v>1003171765392</v>
      </c>
      <c r="B301" s="48" t="s">
        <v>151</v>
      </c>
      <c r="C301" s="87" t="s">
        <v>3</v>
      </c>
      <c r="D301" s="215">
        <v>5.5</v>
      </c>
      <c r="E301" s="249">
        <v>5.3</v>
      </c>
      <c r="F301" s="209">
        <f t="shared" si="22"/>
        <v>5.3</v>
      </c>
      <c r="G301" s="191">
        <v>1</v>
      </c>
      <c r="H301" s="40">
        <v>64</v>
      </c>
      <c r="I301" s="212">
        <f t="shared" si="23"/>
        <v>339.2</v>
      </c>
      <c r="K301" s="211">
        <f>VLOOKUP(A301,КИ_ПФ!B297:AN1127,39,FALSE)</f>
        <v>339.2</v>
      </c>
      <c r="L301" s="230" t="str">
        <f t="shared" si="24"/>
        <v>ИСТИНА</v>
      </c>
    </row>
    <row r="302" spans="1:12" x14ac:dyDescent="0.2">
      <c r="A302" s="80">
        <v>1003171595402</v>
      </c>
      <c r="B302" s="48" t="s">
        <v>89</v>
      </c>
      <c r="C302" s="87" t="s">
        <v>3</v>
      </c>
      <c r="D302" s="215">
        <v>6.4</v>
      </c>
      <c r="E302" s="249">
        <v>6.2</v>
      </c>
      <c r="F302" s="209">
        <f t="shared" si="22"/>
        <v>0.88600000000000001</v>
      </c>
      <c r="G302" s="191">
        <v>7</v>
      </c>
      <c r="H302" s="40">
        <v>64</v>
      </c>
      <c r="I302" s="212">
        <f t="shared" si="23"/>
        <v>396.8</v>
      </c>
      <c r="K302" s="211">
        <f>VLOOKUP(A302,КИ_ПФ!B298:AN1128,39,FALSE)</f>
        <v>396.8</v>
      </c>
      <c r="L302" s="230" t="str">
        <f t="shared" si="24"/>
        <v>ИСТИНА</v>
      </c>
    </row>
    <row r="303" spans="1:12" x14ac:dyDescent="0.2">
      <c r="A303" s="80">
        <v>1003171595753</v>
      </c>
      <c r="B303" s="48" t="s">
        <v>247</v>
      </c>
      <c r="C303" s="87" t="s">
        <v>3</v>
      </c>
      <c r="D303" s="215">
        <v>6</v>
      </c>
      <c r="E303" s="249">
        <v>6</v>
      </c>
      <c r="F303" s="209">
        <f t="shared" si="22"/>
        <v>0.85799999999999998</v>
      </c>
      <c r="G303" s="191">
        <v>7</v>
      </c>
      <c r="H303" s="40">
        <v>64</v>
      </c>
      <c r="I303" s="212">
        <f t="shared" si="23"/>
        <v>384</v>
      </c>
      <c r="K303" s="211">
        <f>VLOOKUP(A303,КИ_ПФ!B299:AN1129,39,FALSE)</f>
        <v>384</v>
      </c>
      <c r="L303" s="230" t="str">
        <f t="shared" si="24"/>
        <v>ИСТИНА</v>
      </c>
    </row>
    <row r="304" spans="1:12" x14ac:dyDescent="0.2">
      <c r="A304" s="80">
        <v>1003171596740</v>
      </c>
      <c r="B304" s="48" t="s">
        <v>698</v>
      </c>
      <c r="C304" s="87" t="s">
        <v>3</v>
      </c>
      <c r="D304" s="311">
        <v>6</v>
      </c>
      <c r="E304" s="249">
        <v>6</v>
      </c>
      <c r="F304" s="209">
        <f t="shared" si="22"/>
        <v>0.85799999999999998</v>
      </c>
      <c r="G304" s="191">
        <v>7</v>
      </c>
      <c r="H304" s="40">
        <v>64</v>
      </c>
      <c r="I304" s="212">
        <f t="shared" si="23"/>
        <v>384</v>
      </c>
      <c r="K304" s="211">
        <f>VLOOKUP(A304,КИ_ПФ!B300:AN1130,39,FALSE)</f>
        <v>384</v>
      </c>
      <c r="L304" s="230" t="str">
        <f t="shared" si="24"/>
        <v>ИСТИНА</v>
      </c>
    </row>
    <row r="305" spans="1:12" x14ac:dyDescent="0.2">
      <c r="A305" s="80">
        <v>1003311597559</v>
      </c>
      <c r="B305" s="48" t="s">
        <v>1740</v>
      </c>
      <c r="C305" s="87" t="s">
        <v>3</v>
      </c>
      <c r="D305" s="311">
        <v>6.2</v>
      </c>
      <c r="E305" s="249">
        <v>6.2</v>
      </c>
      <c r="F305" s="209">
        <f t="shared" si="22"/>
        <v>0.88600000000000001</v>
      </c>
      <c r="G305" s="191">
        <v>7</v>
      </c>
      <c r="H305" s="40">
        <v>64</v>
      </c>
      <c r="I305" s="212">
        <f t="shared" si="23"/>
        <v>396.8</v>
      </c>
      <c r="K305" s="211">
        <f>VLOOKUP(A305,КИ_ПФ!B301:AN1131,39,FALSE)</f>
        <v>396.8</v>
      </c>
      <c r="L305" s="230" t="str">
        <f t="shared" si="24"/>
        <v>ИСТИНА</v>
      </c>
    </row>
    <row r="306" spans="1:12" x14ac:dyDescent="0.2">
      <c r="A306" s="80">
        <v>1003171595407</v>
      </c>
      <c r="B306" s="48" t="s">
        <v>143</v>
      </c>
      <c r="C306" s="87" t="s">
        <v>3</v>
      </c>
      <c r="D306" s="215">
        <v>8.6999999999999993</v>
      </c>
      <c r="E306" s="249">
        <v>8.3000000000000007</v>
      </c>
      <c r="F306" s="209">
        <f t="shared" ref="F306:F341" si="25">ROUNDUP(Новая_кратность_короба__кг/Кол_во_штук_в_коробе,3)</f>
        <v>2.0750000000000002</v>
      </c>
      <c r="G306" s="191">
        <v>4</v>
      </c>
      <c r="H306" s="40">
        <v>64</v>
      </c>
      <c r="I306" s="212">
        <f t="shared" ref="I306:I341" si="26">ROUNDDOWN(Новая_кратность_короба__кг*Кол_во_коробок_на_поддоне,1)</f>
        <v>531.20000000000005</v>
      </c>
      <c r="K306" s="211">
        <f>VLOOKUP(A306,КИ_ПФ!B302:AN1132,39,FALSE)</f>
        <v>531.20000000000005</v>
      </c>
      <c r="L306" s="230" t="str">
        <f t="shared" si="24"/>
        <v>ИСТИНА</v>
      </c>
    </row>
    <row r="307" spans="1:12" x14ac:dyDescent="0.2">
      <c r="A307" s="80">
        <v>1003171595404</v>
      </c>
      <c r="B307" s="48" t="s">
        <v>88</v>
      </c>
      <c r="C307" s="87" t="s">
        <v>3</v>
      </c>
      <c r="D307" s="215">
        <v>8</v>
      </c>
      <c r="E307" s="249">
        <v>8</v>
      </c>
      <c r="F307" s="209">
        <f t="shared" si="25"/>
        <v>2</v>
      </c>
      <c r="G307" s="191">
        <v>4</v>
      </c>
      <c r="H307" s="40">
        <v>64</v>
      </c>
      <c r="I307" s="212">
        <f t="shared" si="26"/>
        <v>512</v>
      </c>
      <c r="K307" s="211">
        <f>VLOOKUP(A307,КИ_ПФ!B303:AN1133,39,FALSE)</f>
        <v>512</v>
      </c>
      <c r="L307" s="230" t="str">
        <f t="shared" ref="L307:L341" si="27">IF(I307=K307,"ИСТИНА","ЛОЖЬ")</f>
        <v>ИСТИНА</v>
      </c>
    </row>
    <row r="308" spans="1:12" x14ac:dyDescent="0.2">
      <c r="A308" s="80">
        <v>1003171595405</v>
      </c>
      <c r="B308" s="48" t="s">
        <v>87</v>
      </c>
      <c r="C308" s="87" t="s">
        <v>3</v>
      </c>
      <c r="D308" s="215">
        <v>8</v>
      </c>
      <c r="E308" s="249">
        <v>8</v>
      </c>
      <c r="F308" s="209">
        <f t="shared" si="25"/>
        <v>2</v>
      </c>
      <c r="G308" s="191">
        <v>4</v>
      </c>
      <c r="H308" s="40">
        <v>64</v>
      </c>
      <c r="I308" s="212">
        <f t="shared" si="26"/>
        <v>512</v>
      </c>
      <c r="K308" s="211">
        <f>VLOOKUP(A308,КИ_ПФ!B304:AN1134,39,FALSE)</f>
        <v>512</v>
      </c>
      <c r="L308" s="230" t="str">
        <f t="shared" si="27"/>
        <v>ИСТИНА</v>
      </c>
    </row>
    <row r="309" spans="1:12" x14ac:dyDescent="0.2">
      <c r="A309" s="80">
        <v>1003171735425</v>
      </c>
      <c r="B309" s="48" t="s">
        <v>145</v>
      </c>
      <c r="C309" s="87" t="s">
        <v>3</v>
      </c>
      <c r="D309" s="215">
        <v>8.6</v>
      </c>
      <c r="E309" s="249">
        <v>8.6</v>
      </c>
      <c r="F309" s="209">
        <f t="shared" si="25"/>
        <v>2.15</v>
      </c>
      <c r="G309" s="191">
        <v>4</v>
      </c>
      <c r="H309" s="40">
        <v>64</v>
      </c>
      <c r="I309" s="212">
        <f t="shared" si="26"/>
        <v>550.4</v>
      </c>
      <c r="K309" s="211">
        <f>VLOOKUP(A309,КИ_ПФ!B305:AN1135,39,FALSE)</f>
        <v>550.4</v>
      </c>
      <c r="L309" s="230" t="str">
        <f t="shared" si="27"/>
        <v>ИСТИНА</v>
      </c>
    </row>
    <row r="310" spans="1:12" x14ac:dyDescent="0.2">
      <c r="A310" s="80">
        <v>1003171735423</v>
      </c>
      <c r="B310" s="48" t="s">
        <v>146</v>
      </c>
      <c r="C310" s="87" t="s">
        <v>3</v>
      </c>
      <c r="D310" s="215">
        <v>8.6999999999999993</v>
      </c>
      <c r="E310" s="249">
        <v>8.6999999999999993</v>
      </c>
      <c r="F310" s="209">
        <f t="shared" si="25"/>
        <v>2.1749999999999998</v>
      </c>
      <c r="G310" s="191">
        <v>4</v>
      </c>
      <c r="H310" s="40">
        <v>64</v>
      </c>
      <c r="I310" s="212">
        <f t="shared" si="26"/>
        <v>556.79999999999995</v>
      </c>
      <c r="K310" s="211">
        <f>VLOOKUP(A310,КИ_ПФ!B306:AN1136,39,FALSE)</f>
        <v>556.79999999999995</v>
      </c>
      <c r="L310" s="230" t="str">
        <f t="shared" si="27"/>
        <v>ИСТИНА</v>
      </c>
    </row>
    <row r="311" spans="1:12" x14ac:dyDescent="0.2">
      <c r="A311" s="80">
        <v>1003311737041</v>
      </c>
      <c r="B311" s="48" t="s">
        <v>146</v>
      </c>
      <c r="C311" s="87" t="s">
        <v>3</v>
      </c>
      <c r="D311" s="215">
        <v>8.3000000000000007</v>
      </c>
      <c r="E311" s="249">
        <v>8.3000000000000007</v>
      </c>
      <c r="F311" s="209">
        <f t="shared" si="25"/>
        <v>2.0750000000000002</v>
      </c>
      <c r="G311" s="191">
        <v>4</v>
      </c>
      <c r="H311" s="40">
        <v>64</v>
      </c>
      <c r="I311" s="212">
        <f t="shared" si="26"/>
        <v>531.20000000000005</v>
      </c>
      <c r="K311" s="211">
        <f>VLOOKUP(A311,КИ_ПФ!B306:AN1137,39,FALSE)</f>
        <v>531.20000000000005</v>
      </c>
      <c r="L311" s="230" t="str">
        <f t="shared" si="27"/>
        <v>ИСТИНА</v>
      </c>
    </row>
    <row r="312" spans="1:12" x14ac:dyDescent="0.2">
      <c r="A312" s="80">
        <v>1003171735424</v>
      </c>
      <c r="B312" s="48" t="s">
        <v>147</v>
      </c>
      <c r="C312" s="87" t="s">
        <v>3</v>
      </c>
      <c r="D312" s="215">
        <v>8.3000000000000007</v>
      </c>
      <c r="E312" s="249">
        <v>8.6999999999999993</v>
      </c>
      <c r="F312" s="209">
        <f t="shared" si="25"/>
        <v>2.1749999999999998</v>
      </c>
      <c r="G312" s="191">
        <v>4</v>
      </c>
      <c r="H312" s="40">
        <v>64</v>
      </c>
      <c r="I312" s="212">
        <f t="shared" si="26"/>
        <v>556.79999999999995</v>
      </c>
      <c r="K312" s="211">
        <f>VLOOKUP(A312,КИ_ПФ!B307:AN1138,39,FALSE)</f>
        <v>556.79999999999995</v>
      </c>
      <c r="L312" s="230" t="str">
        <f t="shared" si="27"/>
        <v>ИСТИНА</v>
      </c>
    </row>
    <row r="313" spans="1:12" x14ac:dyDescent="0.2">
      <c r="A313" s="80">
        <v>1003311737551</v>
      </c>
      <c r="B313" s="138" t="s">
        <v>1735</v>
      </c>
      <c r="C313" s="87" t="s">
        <v>3</v>
      </c>
      <c r="D313" s="215">
        <v>8.6</v>
      </c>
      <c r="E313" s="249">
        <v>8.6</v>
      </c>
      <c r="F313" s="209">
        <f t="shared" si="25"/>
        <v>2.15</v>
      </c>
      <c r="G313" s="191">
        <v>4</v>
      </c>
      <c r="H313" s="40">
        <v>64</v>
      </c>
      <c r="I313" s="212">
        <f t="shared" si="26"/>
        <v>550.4</v>
      </c>
      <c r="K313" s="211">
        <f>VLOOKUP(A313,КИ_ПФ!B308:AN1139,39,FALSE)</f>
        <v>550.4</v>
      </c>
      <c r="L313" s="230" t="str">
        <f t="shared" si="27"/>
        <v>ИСТИНА</v>
      </c>
    </row>
    <row r="314" spans="1:12" x14ac:dyDescent="0.2">
      <c r="A314" s="80">
        <v>1003162215418</v>
      </c>
      <c r="B314" s="138" t="s">
        <v>99</v>
      </c>
      <c r="C314" s="87" t="s">
        <v>3</v>
      </c>
      <c r="D314" s="215">
        <v>4.05</v>
      </c>
      <c r="E314" s="249">
        <v>4.05</v>
      </c>
      <c r="F314" s="209">
        <f t="shared" si="25"/>
        <v>2.0249999999999999</v>
      </c>
      <c r="G314" s="191">
        <v>2</v>
      </c>
      <c r="H314" s="40">
        <v>84</v>
      </c>
      <c r="I314" s="212">
        <f t="shared" si="26"/>
        <v>340.2</v>
      </c>
      <c r="K314" s="211">
        <f>VLOOKUP(A314,КИ_ПФ!B309:AN1140,39,FALSE)</f>
        <v>340.2</v>
      </c>
      <c r="L314" s="230" t="str">
        <f t="shared" si="27"/>
        <v>ИСТИНА</v>
      </c>
    </row>
    <row r="315" spans="1:12" x14ac:dyDescent="0.2">
      <c r="A315" s="80">
        <f>КИ_ПФ!B760</f>
        <v>1003352217273</v>
      </c>
      <c r="B315" s="325" t="str">
        <f>КИ_ПФ!C760</f>
        <v>ШАШЛЫК ИЗ СВИНИНЫ охл_Гагарин</v>
      </c>
      <c r="C315" s="87" t="s">
        <v>3</v>
      </c>
      <c r="D315" s="215">
        <v>4</v>
      </c>
      <c r="E315" s="249">
        <v>4</v>
      </c>
      <c r="F315" s="209">
        <f t="shared" si="25"/>
        <v>2</v>
      </c>
      <c r="G315" s="191">
        <v>2</v>
      </c>
      <c r="H315" s="40">
        <v>84</v>
      </c>
      <c r="I315" s="212">
        <f t="shared" si="26"/>
        <v>336</v>
      </c>
      <c r="K315" s="211">
        <f>VLOOKUP(A315,КИ_ПФ!B310:AN1141,39,FALSE)</f>
        <v>336</v>
      </c>
      <c r="L315" s="230" t="str">
        <f t="shared" si="27"/>
        <v>ИСТИНА</v>
      </c>
    </row>
    <row r="316" spans="1:12" x14ac:dyDescent="0.2">
      <c r="A316" s="80">
        <v>1003162216515</v>
      </c>
      <c r="B316" s="138" t="s">
        <v>598</v>
      </c>
      <c r="C316" s="87" t="s">
        <v>3</v>
      </c>
      <c r="D316" s="215">
        <v>4</v>
      </c>
      <c r="E316" s="249">
        <v>4</v>
      </c>
      <c r="F316" s="209">
        <f t="shared" si="25"/>
        <v>2</v>
      </c>
      <c r="G316" s="191">
        <v>2</v>
      </c>
      <c r="H316" s="40">
        <v>84</v>
      </c>
      <c r="I316" s="212">
        <f t="shared" si="26"/>
        <v>336</v>
      </c>
      <c r="K316" s="211">
        <f>VLOOKUP(A316,КИ_ПФ!B311:AN1142,39,FALSE)</f>
        <v>336</v>
      </c>
      <c r="L316" s="230" t="str">
        <f t="shared" si="27"/>
        <v>ИСТИНА</v>
      </c>
    </row>
    <row r="317" spans="1:12" x14ac:dyDescent="0.2">
      <c r="A317" s="80">
        <v>1003162215467</v>
      </c>
      <c r="B317" s="138" t="s">
        <v>100</v>
      </c>
      <c r="C317" s="87" t="s">
        <v>3</v>
      </c>
      <c r="D317" s="215">
        <v>4</v>
      </c>
      <c r="E317" s="249">
        <v>4</v>
      </c>
      <c r="F317" s="209">
        <f t="shared" si="25"/>
        <v>2</v>
      </c>
      <c r="G317" s="191">
        <v>2</v>
      </c>
      <c r="H317" s="40">
        <v>84</v>
      </c>
      <c r="I317" s="212">
        <f t="shared" si="26"/>
        <v>336</v>
      </c>
      <c r="K317" s="211">
        <f>VLOOKUP(A317,КИ_ПФ!B311:AN1143,39,FALSE)</f>
        <v>336</v>
      </c>
      <c r="L317" s="230" t="str">
        <f t="shared" si="27"/>
        <v>ИСТИНА</v>
      </c>
    </row>
    <row r="318" spans="1:12" x14ac:dyDescent="0.2">
      <c r="A318" s="80">
        <v>1003162215468</v>
      </c>
      <c r="B318" s="137" t="s">
        <v>120</v>
      </c>
      <c r="C318" s="87" t="s">
        <v>3</v>
      </c>
      <c r="D318" s="215">
        <v>4</v>
      </c>
      <c r="E318" s="249">
        <v>4</v>
      </c>
      <c r="F318" s="209">
        <f t="shared" si="25"/>
        <v>2</v>
      </c>
      <c r="G318" s="191">
        <v>2</v>
      </c>
      <c r="H318" s="40">
        <v>84</v>
      </c>
      <c r="I318" s="212">
        <f t="shared" si="26"/>
        <v>336</v>
      </c>
      <c r="K318" s="211">
        <f>VLOOKUP(A318,КИ_ПФ!B311:AN1144,39,FALSE)</f>
        <v>336</v>
      </c>
      <c r="L318" s="230" t="str">
        <f t="shared" si="27"/>
        <v>ИСТИНА</v>
      </c>
    </row>
    <row r="319" spans="1:12" x14ac:dyDescent="0.2">
      <c r="A319" s="80">
        <v>1003162215469</v>
      </c>
      <c r="B319" s="93" t="s">
        <v>184</v>
      </c>
      <c r="C319" s="87" t="s">
        <v>3</v>
      </c>
      <c r="D319" s="215">
        <v>4.05</v>
      </c>
      <c r="E319" s="249">
        <v>4.05</v>
      </c>
      <c r="F319" s="209">
        <f t="shared" si="25"/>
        <v>2.0249999999999999</v>
      </c>
      <c r="G319" s="191">
        <v>2</v>
      </c>
      <c r="H319" s="40">
        <v>84</v>
      </c>
      <c r="I319" s="212">
        <f t="shared" si="26"/>
        <v>340.2</v>
      </c>
      <c r="K319" s="211">
        <f>VLOOKUP(A319,КИ_ПФ!B312:AN1145,39,FALSE)</f>
        <v>340.2</v>
      </c>
      <c r="L319" s="230" t="str">
        <f t="shared" si="27"/>
        <v>ИСТИНА</v>
      </c>
    </row>
    <row r="320" spans="1:12" x14ac:dyDescent="0.2">
      <c r="A320" s="80">
        <v>1003171356409</v>
      </c>
      <c r="B320" s="93" t="s">
        <v>355</v>
      </c>
      <c r="C320" s="87" t="s">
        <v>3</v>
      </c>
      <c r="D320" s="215">
        <v>5.3</v>
      </c>
      <c r="E320" s="249">
        <v>5.3</v>
      </c>
      <c r="F320" s="209">
        <f t="shared" si="25"/>
        <v>1.06</v>
      </c>
      <c r="G320" s="191">
        <v>5</v>
      </c>
      <c r="H320" s="40">
        <v>80</v>
      </c>
      <c r="I320" s="212">
        <f t="shared" si="26"/>
        <v>424</v>
      </c>
      <c r="K320" s="211">
        <f>VLOOKUP(A320,КИ_ПФ!B313:AN1146,39,FALSE)</f>
        <v>424</v>
      </c>
      <c r="L320" s="230" t="str">
        <f t="shared" si="27"/>
        <v>ИСТИНА</v>
      </c>
    </row>
    <row r="321" spans="1:12" x14ac:dyDescent="0.2">
      <c r="A321" s="80">
        <v>1003311357531</v>
      </c>
      <c r="B321" s="266" t="s">
        <v>1766</v>
      </c>
      <c r="C321" s="87" t="s">
        <v>3</v>
      </c>
      <c r="D321" s="215">
        <v>4.24</v>
      </c>
      <c r="E321" s="249">
        <v>4.24</v>
      </c>
      <c r="F321" s="209">
        <f t="shared" si="25"/>
        <v>1.06</v>
      </c>
      <c r="G321" s="191">
        <v>4</v>
      </c>
      <c r="H321" s="40">
        <v>80</v>
      </c>
      <c r="I321" s="212">
        <f t="shared" si="26"/>
        <v>339.2</v>
      </c>
      <c r="K321" s="211">
        <f>VLOOKUP(A321,КИ_ПФ!B314:AN1147,39,FALSE)</f>
        <v>339.2</v>
      </c>
      <c r="L321" s="230" t="str">
        <f t="shared" si="27"/>
        <v>ИСТИНА</v>
      </c>
    </row>
    <row r="322" spans="1:12" x14ac:dyDescent="0.2">
      <c r="A322" s="80">
        <v>1003311357552</v>
      </c>
      <c r="B322" s="266" t="s">
        <v>1738</v>
      </c>
      <c r="C322" s="87" t="s">
        <v>3</v>
      </c>
      <c r="D322" s="215">
        <v>5.3</v>
      </c>
      <c r="E322" s="249">
        <v>5.3</v>
      </c>
      <c r="F322" s="209">
        <f t="shared" si="25"/>
        <v>1.06</v>
      </c>
      <c r="G322" s="191">
        <v>5</v>
      </c>
      <c r="H322" s="40">
        <v>80</v>
      </c>
      <c r="I322" s="212">
        <f t="shared" si="26"/>
        <v>424</v>
      </c>
      <c r="K322" s="211">
        <f>VLOOKUP(A322,КИ_ПФ!B315:AN1148,39,FALSE)</f>
        <v>424</v>
      </c>
      <c r="L322" s="230" t="str">
        <f t="shared" si="27"/>
        <v>ИСТИНА</v>
      </c>
    </row>
    <row r="323" spans="1:12" x14ac:dyDescent="0.2">
      <c r="A323" s="80">
        <v>1003311356893</v>
      </c>
      <c r="B323" s="266" t="s">
        <v>931</v>
      </c>
      <c r="C323" s="87" t="s">
        <v>3</v>
      </c>
      <c r="D323" s="215">
        <v>3.6</v>
      </c>
      <c r="E323" s="249">
        <v>3.6</v>
      </c>
      <c r="F323" s="209">
        <f t="shared" si="25"/>
        <v>0.9</v>
      </c>
      <c r="G323" s="167">
        <v>4</v>
      </c>
      <c r="H323" s="40">
        <v>135</v>
      </c>
      <c r="I323" s="212">
        <f t="shared" si="26"/>
        <v>486</v>
      </c>
      <c r="K323" s="211">
        <f>VLOOKUP(A323,КИ_ПФ!B316:AN1149,39,FALSE)</f>
        <v>486</v>
      </c>
      <c r="L323" s="230" t="str">
        <f t="shared" si="27"/>
        <v>ИСТИНА</v>
      </c>
    </row>
    <row r="324" spans="1:12" x14ac:dyDescent="0.2">
      <c r="A324" s="80">
        <v>1003311356894</v>
      </c>
      <c r="B324" s="266" t="s">
        <v>1026</v>
      </c>
      <c r="C324" s="87" t="s">
        <v>3</v>
      </c>
      <c r="D324" s="215">
        <v>6.1</v>
      </c>
      <c r="E324" s="249">
        <v>6.1</v>
      </c>
      <c r="F324" s="209">
        <f t="shared" si="25"/>
        <v>1.0169999999999999</v>
      </c>
      <c r="G324" s="167">
        <v>6</v>
      </c>
      <c r="H324" s="40">
        <v>80</v>
      </c>
      <c r="I324" s="212">
        <f t="shared" si="26"/>
        <v>488</v>
      </c>
      <c r="K324" s="211">
        <f>VLOOKUP(A324,КИ_ПФ!B317:AN1150,39,FALSE)</f>
        <v>488</v>
      </c>
      <c r="L324" s="230" t="str">
        <f t="shared" si="27"/>
        <v>ИСТИНА</v>
      </c>
    </row>
    <row r="325" spans="1:12" x14ac:dyDescent="0.2">
      <c r="A325" s="80">
        <v>1002131155754</v>
      </c>
      <c r="B325" s="70" t="s">
        <v>370</v>
      </c>
      <c r="C325" s="87" t="s">
        <v>3</v>
      </c>
      <c r="D325" s="215">
        <v>4.5</v>
      </c>
      <c r="E325" s="249">
        <v>4.5</v>
      </c>
      <c r="F325" s="209">
        <f t="shared" si="25"/>
        <v>4.5</v>
      </c>
      <c r="G325" s="167">
        <v>1</v>
      </c>
      <c r="H325" s="40">
        <v>108</v>
      </c>
      <c r="I325" s="212">
        <f t="shared" si="26"/>
        <v>486</v>
      </c>
      <c r="K325" s="211">
        <f>VLOOKUP(A325,КИ_ПФ!B318:AN1151,39,FALSE)</f>
        <v>486</v>
      </c>
      <c r="L325" s="230" t="str">
        <f t="shared" si="27"/>
        <v>ИСТИНА</v>
      </c>
    </row>
    <row r="326" spans="1:12" x14ac:dyDescent="0.2">
      <c r="A326" s="80">
        <v>1002131185755</v>
      </c>
      <c r="B326" s="70" t="s">
        <v>371</v>
      </c>
      <c r="C326" s="87" t="s">
        <v>3</v>
      </c>
      <c r="D326" s="215">
        <v>4.5</v>
      </c>
      <c r="E326" s="249">
        <v>4.5</v>
      </c>
      <c r="F326" s="209">
        <f t="shared" si="25"/>
        <v>4.5</v>
      </c>
      <c r="G326" s="167">
        <v>1</v>
      </c>
      <c r="H326" s="40">
        <v>108</v>
      </c>
      <c r="I326" s="212">
        <f t="shared" si="26"/>
        <v>486</v>
      </c>
      <c r="K326" s="211">
        <f>VLOOKUP(A326,КИ_ПФ!B319:AN1152,39,FALSE)</f>
        <v>486</v>
      </c>
      <c r="L326" s="230" t="str">
        <f t="shared" si="27"/>
        <v>ИСТИНА</v>
      </c>
    </row>
    <row r="327" spans="1:12" x14ac:dyDescent="0.2">
      <c r="A327" s="80">
        <v>1002171554809</v>
      </c>
      <c r="B327" s="48" t="s">
        <v>694</v>
      </c>
      <c r="C327" s="87" t="s">
        <v>3</v>
      </c>
      <c r="D327" s="215">
        <v>3.2</v>
      </c>
      <c r="E327" s="249">
        <v>3.2</v>
      </c>
      <c r="F327" s="209">
        <f t="shared" si="25"/>
        <v>0.4</v>
      </c>
      <c r="G327" s="196">
        <v>8</v>
      </c>
      <c r="H327" s="40">
        <v>90</v>
      </c>
      <c r="I327" s="212">
        <f t="shared" si="26"/>
        <v>288</v>
      </c>
      <c r="K327" s="211">
        <f>VLOOKUP(A327,КИ_ПФ!B320:AN1153,39,FALSE)</f>
        <v>288</v>
      </c>
      <c r="L327" s="230" t="str">
        <f t="shared" si="27"/>
        <v>ИСТИНА</v>
      </c>
    </row>
    <row r="328" spans="1:12" x14ac:dyDescent="0.2">
      <c r="A328" s="80">
        <v>1002172146099</v>
      </c>
      <c r="B328" s="48" t="s">
        <v>295</v>
      </c>
      <c r="C328" s="87" t="s">
        <v>3</v>
      </c>
      <c r="D328" s="215">
        <v>4.4000000000000004</v>
      </c>
      <c r="E328" s="249">
        <v>4.4000000000000004</v>
      </c>
      <c r="F328" s="209">
        <f t="shared" si="25"/>
        <v>0.73399999999999999</v>
      </c>
      <c r="G328" s="196">
        <v>6</v>
      </c>
      <c r="H328" s="40">
        <v>90</v>
      </c>
      <c r="I328" s="212">
        <f t="shared" si="26"/>
        <v>396</v>
      </c>
      <c r="K328" s="211">
        <f>VLOOKUP(A328,КИ_ПФ!B321:AN1154,39,FALSE)</f>
        <v>396</v>
      </c>
      <c r="L328" s="230" t="str">
        <f t="shared" si="27"/>
        <v>ИСТИНА</v>
      </c>
    </row>
    <row r="329" spans="1:12" x14ac:dyDescent="0.2">
      <c r="A329" s="80">
        <v>1002172146162</v>
      </c>
      <c r="B329" s="48" t="s">
        <v>307</v>
      </c>
      <c r="C329" s="87" t="s">
        <v>3</v>
      </c>
      <c r="D329" s="215">
        <v>4.2</v>
      </c>
      <c r="E329" s="249">
        <v>4.2</v>
      </c>
      <c r="F329" s="209">
        <f t="shared" si="25"/>
        <v>0.7</v>
      </c>
      <c r="G329" s="196">
        <v>6</v>
      </c>
      <c r="H329" s="40">
        <v>90</v>
      </c>
      <c r="I329" s="212">
        <f t="shared" si="26"/>
        <v>378</v>
      </c>
      <c r="K329" s="211">
        <f>VLOOKUP(A329,КИ_ПФ!B322:AN1155,39,FALSE)</f>
        <v>378</v>
      </c>
      <c r="L329" s="230" t="str">
        <f t="shared" si="27"/>
        <v>ИСТИНА</v>
      </c>
    </row>
    <row r="330" spans="1:12" x14ac:dyDescent="0.2">
      <c r="A330" s="80">
        <v>1002174986100</v>
      </c>
      <c r="B330" s="48" t="s">
        <v>296</v>
      </c>
      <c r="C330" s="87" t="s">
        <v>3</v>
      </c>
      <c r="D330" s="215">
        <v>3.3</v>
      </c>
      <c r="E330" s="249">
        <v>3.3</v>
      </c>
      <c r="F330" s="209">
        <f t="shared" si="25"/>
        <v>0.66</v>
      </c>
      <c r="G330" s="196">
        <v>5</v>
      </c>
      <c r="H330" s="40">
        <v>90</v>
      </c>
      <c r="I330" s="212">
        <f t="shared" si="26"/>
        <v>297</v>
      </c>
      <c r="K330" s="211">
        <f>VLOOKUP(A330,КИ_ПФ!B322:AN1156,39,FALSE)</f>
        <v>297</v>
      </c>
      <c r="L330" s="230" t="str">
        <f t="shared" si="27"/>
        <v>ИСТИНА</v>
      </c>
    </row>
    <row r="331" spans="1:12" x14ac:dyDescent="0.2">
      <c r="A331" s="80">
        <v>1002174996101</v>
      </c>
      <c r="B331" s="48" t="s">
        <v>298</v>
      </c>
      <c r="C331" s="87" t="s">
        <v>3</v>
      </c>
      <c r="D331" s="215">
        <v>3.8</v>
      </c>
      <c r="E331" s="249">
        <v>3.8</v>
      </c>
      <c r="F331" s="209">
        <f t="shared" si="25"/>
        <v>0.76</v>
      </c>
      <c r="G331" s="196">
        <v>5</v>
      </c>
      <c r="H331" s="40">
        <v>90</v>
      </c>
      <c r="I331" s="212">
        <f t="shared" si="26"/>
        <v>342</v>
      </c>
      <c r="K331" s="211">
        <f>VLOOKUP(A331,КИ_ПФ!B323:AN1157,39,FALSE)</f>
        <v>342</v>
      </c>
      <c r="L331" s="230" t="str">
        <f t="shared" si="27"/>
        <v>ИСТИНА</v>
      </c>
    </row>
    <row r="332" spans="1:12" x14ac:dyDescent="0.2">
      <c r="A332" s="80">
        <v>1002365006581</v>
      </c>
      <c r="B332" s="48" t="s">
        <v>299</v>
      </c>
      <c r="C332" s="87" t="s">
        <v>3</v>
      </c>
      <c r="D332" s="215">
        <v>3.3</v>
      </c>
      <c r="E332" s="249">
        <v>3.3</v>
      </c>
      <c r="F332" s="209">
        <f t="shared" si="25"/>
        <v>0.47199999999999998</v>
      </c>
      <c r="G332" s="196">
        <v>7</v>
      </c>
      <c r="H332" s="40">
        <v>90</v>
      </c>
      <c r="I332" s="212">
        <f t="shared" si="26"/>
        <v>297</v>
      </c>
      <c r="K332" s="211">
        <f>VLOOKUP(A332,КИ_ПФ!B324:AN1158,39,FALSE)</f>
        <v>297</v>
      </c>
      <c r="L332" s="230" t="str">
        <f>IF(I332=K332,"ИСТИНА","ЛОЖЬ")</f>
        <v>ИСТИНА</v>
      </c>
    </row>
    <row r="333" spans="1:12" x14ac:dyDescent="0.2">
      <c r="A333" s="80">
        <v>1002365006598</v>
      </c>
      <c r="B333" s="48" t="s">
        <v>308</v>
      </c>
      <c r="C333" s="87" t="s">
        <v>3</v>
      </c>
      <c r="D333" s="215">
        <v>3.2</v>
      </c>
      <c r="E333" s="249">
        <v>3.2</v>
      </c>
      <c r="F333" s="209">
        <f t="shared" si="25"/>
        <v>0.45800000000000002</v>
      </c>
      <c r="G333" s="196">
        <v>7</v>
      </c>
      <c r="H333" s="40">
        <v>90</v>
      </c>
      <c r="I333" s="212">
        <f t="shared" si="26"/>
        <v>288</v>
      </c>
      <c r="K333" s="211">
        <f>VLOOKUP(A333,КИ_ПФ!B325:AN1159,39,FALSE)</f>
        <v>288</v>
      </c>
      <c r="L333" s="230" t="str">
        <f>IF(I333=K333,"ИСТИНА","ЛОЖЬ")</f>
        <v>ИСТИНА</v>
      </c>
    </row>
    <row r="334" spans="1:12" x14ac:dyDescent="0.2">
      <c r="A334" s="80">
        <v>1002365007561</v>
      </c>
      <c r="B334" s="48" t="s">
        <v>1759</v>
      </c>
      <c r="C334" s="87" t="s">
        <v>3</v>
      </c>
      <c r="D334" s="215">
        <v>3.2</v>
      </c>
      <c r="E334" s="249">
        <v>3.2</v>
      </c>
      <c r="F334" s="209">
        <f t="shared" si="25"/>
        <v>0.45800000000000002</v>
      </c>
      <c r="G334" s="196">
        <v>7</v>
      </c>
      <c r="H334" s="40">
        <v>90</v>
      </c>
      <c r="I334" s="212">
        <f t="shared" si="26"/>
        <v>288</v>
      </c>
      <c r="K334" s="211">
        <f>VLOOKUP(A334,КИ_ПФ!B326:AN1160,39,FALSE)</f>
        <v>288</v>
      </c>
      <c r="L334" s="230" t="str">
        <f>IF(I334=K334,"ИСТИНА","ЛОЖЬ")</f>
        <v>ИСТИНА</v>
      </c>
    </row>
    <row r="335" spans="1:12" x14ac:dyDescent="0.2">
      <c r="A335" s="80">
        <v>1002365007043</v>
      </c>
      <c r="B335" s="48" t="s">
        <v>1003</v>
      </c>
      <c r="C335" s="87" t="s">
        <v>3</v>
      </c>
      <c r="D335" s="215">
        <v>16</v>
      </c>
      <c r="E335" s="249">
        <v>16</v>
      </c>
      <c r="F335" s="209">
        <f t="shared" si="25"/>
        <v>16</v>
      </c>
      <c r="G335" s="196">
        <v>1</v>
      </c>
      <c r="H335" s="40">
        <v>24</v>
      </c>
      <c r="I335" s="212">
        <f t="shared" si="26"/>
        <v>384</v>
      </c>
      <c r="K335" s="211">
        <f>VLOOKUP(A335,КИ_ПФ!B327:AN1161,39,FALSE)</f>
        <v>384</v>
      </c>
      <c r="L335" s="230" t="str">
        <f>IF(I335=K335,"ИСТИНА","ЛОЖЬ")</f>
        <v>ИСТИНА</v>
      </c>
    </row>
    <row r="336" spans="1:12" x14ac:dyDescent="0.2">
      <c r="A336" s="80">
        <v>1002171586745</v>
      </c>
      <c r="B336" s="48" t="s">
        <v>701</v>
      </c>
      <c r="C336" s="87" t="s">
        <v>3</v>
      </c>
      <c r="D336" s="215">
        <v>11.8</v>
      </c>
      <c r="E336" s="249">
        <v>11.8</v>
      </c>
      <c r="F336" s="209">
        <f t="shared" si="25"/>
        <v>11.8</v>
      </c>
      <c r="G336" s="196">
        <v>1</v>
      </c>
      <c r="H336" s="40">
        <v>24</v>
      </c>
      <c r="I336" s="212">
        <f t="shared" si="26"/>
        <v>283.2</v>
      </c>
      <c r="K336" s="211">
        <f>VLOOKUP(A336,КИ_ПФ!B328:AN1162,39,FALSE)</f>
        <v>283.2</v>
      </c>
      <c r="L336" s="230" t="str">
        <f t="shared" si="27"/>
        <v>ИСТИНА</v>
      </c>
    </row>
    <row r="337" spans="1:12" x14ac:dyDescent="0.2">
      <c r="A337" s="80">
        <v>1002162216872</v>
      </c>
      <c r="B337" s="48" t="s">
        <v>98</v>
      </c>
      <c r="C337" s="87" t="s">
        <v>3</v>
      </c>
      <c r="D337" s="215">
        <v>4</v>
      </c>
      <c r="E337" s="249">
        <v>4</v>
      </c>
      <c r="F337" s="209">
        <f t="shared" si="25"/>
        <v>2</v>
      </c>
      <c r="G337" s="191">
        <v>2</v>
      </c>
      <c r="H337" s="40">
        <v>84</v>
      </c>
      <c r="I337" s="212">
        <f t="shared" si="26"/>
        <v>336</v>
      </c>
      <c r="K337" s="211">
        <f>VLOOKUP(A337,КИ_ПФ!B328:AN1163,39,FALSE)</f>
        <v>336</v>
      </c>
      <c r="L337" s="230" t="str">
        <f t="shared" si="27"/>
        <v>ИСТИНА</v>
      </c>
    </row>
    <row r="338" spans="1:12" x14ac:dyDescent="0.2">
      <c r="A338" s="80">
        <v>1002112857375</v>
      </c>
      <c r="B338" s="48" t="s">
        <v>1389</v>
      </c>
      <c r="C338" s="87" t="s">
        <v>3</v>
      </c>
      <c r="D338" s="215">
        <v>4</v>
      </c>
      <c r="E338" s="249">
        <v>4</v>
      </c>
      <c r="F338" s="209">
        <f t="shared" si="25"/>
        <v>4</v>
      </c>
      <c r="G338" s="191">
        <v>1</v>
      </c>
      <c r="H338" s="40">
        <v>108</v>
      </c>
      <c r="I338" s="212">
        <f t="shared" si="26"/>
        <v>432</v>
      </c>
      <c r="K338" s="211">
        <f>VLOOKUP(A338,КИ_ПФ!B329:AN1164,39,FALSE)</f>
        <v>432</v>
      </c>
      <c r="L338" s="230" t="str">
        <f t="shared" si="27"/>
        <v>ИСТИНА</v>
      </c>
    </row>
    <row r="339" spans="1:12" x14ac:dyDescent="0.2">
      <c r="A339" s="80">
        <v>1002361457051</v>
      </c>
      <c r="B339" s="48" t="s">
        <v>1100</v>
      </c>
      <c r="C339" s="87" t="s">
        <v>3</v>
      </c>
      <c r="D339" s="316">
        <v>9.6</v>
      </c>
      <c r="E339" s="249">
        <v>9.6</v>
      </c>
      <c r="F339" s="209">
        <f t="shared" si="25"/>
        <v>1.3719999999999999</v>
      </c>
      <c r="G339" s="191">
        <v>7</v>
      </c>
      <c r="H339" s="40">
        <v>60</v>
      </c>
      <c r="I339" s="212">
        <f t="shared" si="26"/>
        <v>576</v>
      </c>
      <c r="K339" s="211">
        <f>VLOOKUP(A339,КИ_ПФ!B330:AN1165,39,FALSE)</f>
        <v>576</v>
      </c>
      <c r="L339" s="230" t="str">
        <f t="shared" si="27"/>
        <v>ИСТИНА</v>
      </c>
    </row>
    <row r="340" spans="1:12" x14ac:dyDescent="0.2">
      <c r="A340" s="80">
        <v>1002182025351</v>
      </c>
      <c r="B340" s="48" t="s">
        <v>97</v>
      </c>
      <c r="C340" s="87" t="s">
        <v>3</v>
      </c>
      <c r="D340" s="215">
        <v>24.51</v>
      </c>
      <c r="E340" s="249">
        <v>24.51</v>
      </c>
      <c r="F340" s="209">
        <f t="shared" si="25"/>
        <v>1.5319999999999998</v>
      </c>
      <c r="G340" s="191">
        <v>16</v>
      </c>
      <c r="H340" s="40">
        <v>24</v>
      </c>
      <c r="I340" s="212">
        <f t="shared" si="26"/>
        <v>588.20000000000005</v>
      </c>
      <c r="K340" s="211">
        <f>VLOOKUP(A340,КИ_ПФ!B330:AN1166,39,FALSE)</f>
        <v>588.20000000000005</v>
      </c>
      <c r="L340" s="230" t="str">
        <f t="shared" si="27"/>
        <v>ИСТИНА</v>
      </c>
    </row>
    <row r="341" spans="1:12" x14ac:dyDescent="0.2">
      <c r="A341" s="80">
        <v>1002182135431</v>
      </c>
      <c r="B341" s="48" t="s">
        <v>101</v>
      </c>
      <c r="C341" s="87" t="s">
        <v>3</v>
      </c>
      <c r="D341" s="215">
        <v>22.3</v>
      </c>
      <c r="E341" s="249">
        <v>22.3</v>
      </c>
      <c r="F341" s="209">
        <f t="shared" si="25"/>
        <v>2.23</v>
      </c>
      <c r="G341" s="191">
        <v>10</v>
      </c>
      <c r="H341" s="40">
        <v>24</v>
      </c>
      <c r="I341" s="212">
        <f t="shared" si="26"/>
        <v>535.20000000000005</v>
      </c>
      <c r="K341" s="211">
        <f>VLOOKUP(A341,КИ_ПФ!B331:AN1167,39,FALSE)</f>
        <v>535.20000000000005</v>
      </c>
      <c r="L341" s="230" t="str">
        <f t="shared" si="27"/>
        <v>ИСТИНА</v>
      </c>
    </row>
  </sheetData>
  <sortState xmlns:xlrd2="http://schemas.microsoft.com/office/spreadsheetml/2017/richdata2" ref="A136:K156">
    <sortCondition ref="B136:B156"/>
  </sortState>
  <conditionalFormatting sqref="L336:L341 L2:L331">
    <cfRule type="cellIs" dxfId="75" priority="138" operator="equal">
      <formula>"ЛОЖЬ"</formula>
    </cfRule>
  </conditionalFormatting>
  <conditionalFormatting sqref="I336:I341 I2:I18 I22:I331">
    <cfRule type="expression" dxfId="74" priority="137">
      <formula>I2&lt;&gt;K2</formula>
    </cfRule>
  </conditionalFormatting>
  <conditionalFormatting sqref="E197:E201 E22 E312 E336:E341 E248:E254 E187:E188 E2:E3 E191 E193:E194 E127:E130 E164:E176 E256:E290 E8 E27 E108 E69:E70 E159:E162 E24 E235 E231:E233 E237 E239:E240 E93:E95 E314:E320 E323:E331 E298:E299 E301:E310 E11:E14 E203:E218 E292:E296 E225:E227 E220:E223 E111:E113 E58:E67 E242:E244 E30:E32 E5:E6 E34:E49 E73:E74 E116:E125 E154:E157 E100:E106 E78:E91 E16:E17 E52 E229 E178:E185 E132:E150">
    <cfRule type="expression" dxfId="73" priority="136">
      <formula>E2&lt;&gt;D2</formula>
    </cfRule>
  </conditionalFormatting>
  <conditionalFormatting sqref="I19:I21">
    <cfRule type="expression" dxfId="72" priority="119">
      <formula>I19&lt;&gt;K19</formula>
    </cfRule>
  </conditionalFormatting>
  <conditionalFormatting sqref="E19:E20">
    <cfRule type="expression" dxfId="71" priority="118">
      <formula>E19&lt;&gt;D19</formula>
    </cfRule>
  </conditionalFormatting>
  <conditionalFormatting sqref="E54">
    <cfRule type="expression" dxfId="70" priority="116">
      <formula>E54&lt;&gt;D54</formula>
    </cfRule>
  </conditionalFormatting>
  <conditionalFormatting sqref="E56">
    <cfRule type="expression" dxfId="69" priority="115">
      <formula>E56&lt;&gt;D56</formula>
    </cfRule>
  </conditionalFormatting>
  <conditionalFormatting sqref="E18">
    <cfRule type="expression" dxfId="68" priority="114">
      <formula>E18&lt;&gt;D18</formula>
    </cfRule>
  </conditionalFormatting>
  <conditionalFormatting sqref="E75:E77">
    <cfRule type="expression" dxfId="67" priority="111">
      <formula>E75&lt;&gt;D75</formula>
    </cfRule>
  </conditionalFormatting>
  <conditionalFormatting sqref="E72">
    <cfRule type="expression" dxfId="66" priority="110">
      <formula>E72&lt;&gt;D72</formula>
    </cfRule>
  </conditionalFormatting>
  <conditionalFormatting sqref="E110">
    <cfRule type="expression" dxfId="65" priority="107">
      <formula>E110&lt;&gt;D110</formula>
    </cfRule>
  </conditionalFormatting>
  <conditionalFormatting sqref="E195">
    <cfRule type="expression" dxfId="64" priority="105">
      <formula>E195&lt;&gt;D195</formula>
    </cfRule>
  </conditionalFormatting>
  <conditionalFormatting sqref="E196">
    <cfRule type="expression" dxfId="63" priority="104">
      <formula>E196&lt;&gt;D196</formula>
    </cfRule>
  </conditionalFormatting>
  <conditionalFormatting sqref="E189">
    <cfRule type="expression" dxfId="62" priority="90">
      <formula>E189&lt;&gt;D189</formula>
    </cfRule>
  </conditionalFormatting>
  <conditionalFormatting sqref="E202">
    <cfRule type="expression" dxfId="61" priority="85">
      <formula>E202&lt;&gt;D202</formula>
    </cfRule>
  </conditionalFormatting>
  <conditionalFormatting sqref="E311">
    <cfRule type="expression" dxfId="60" priority="84">
      <formula>E311&lt;&gt;D311</formula>
    </cfRule>
  </conditionalFormatting>
  <conditionalFormatting sqref="L332">
    <cfRule type="cellIs" dxfId="59" priority="83" operator="equal">
      <formula>"ЛОЖЬ"</formula>
    </cfRule>
  </conditionalFormatting>
  <conditionalFormatting sqref="I332">
    <cfRule type="expression" dxfId="58" priority="82">
      <formula>I332&lt;&gt;K332</formula>
    </cfRule>
  </conditionalFormatting>
  <conditionalFormatting sqref="E332">
    <cfRule type="expression" dxfId="57" priority="81">
      <formula>E332&lt;&gt;D332</formula>
    </cfRule>
  </conditionalFormatting>
  <conditionalFormatting sqref="L333:L335">
    <cfRule type="cellIs" dxfId="56" priority="80" operator="equal">
      <formula>"ЛОЖЬ"</formula>
    </cfRule>
  </conditionalFormatting>
  <conditionalFormatting sqref="I333:I335">
    <cfRule type="expression" dxfId="55" priority="79">
      <formula>I333&lt;&gt;K333</formula>
    </cfRule>
  </conditionalFormatting>
  <conditionalFormatting sqref="E333:E335">
    <cfRule type="expression" dxfId="54" priority="78">
      <formula>E333&lt;&gt;D333</formula>
    </cfRule>
  </conditionalFormatting>
  <conditionalFormatting sqref="E107">
    <cfRule type="expression" dxfId="53" priority="72">
      <formula>E107&lt;&gt;D107</formula>
    </cfRule>
  </conditionalFormatting>
  <conditionalFormatting sqref="E99">
    <cfRule type="expression" dxfId="52" priority="71">
      <formula>E99&lt;&gt;D99</formula>
    </cfRule>
  </conditionalFormatting>
  <conditionalFormatting sqref="E190">
    <cfRule type="expression" dxfId="51" priority="70">
      <formula>E190&lt;&gt;D190</formula>
    </cfRule>
  </conditionalFormatting>
  <conditionalFormatting sqref="E109">
    <cfRule type="expression" dxfId="50" priority="68">
      <formula>E109&lt;&gt;D109</formula>
    </cfRule>
  </conditionalFormatting>
  <conditionalFormatting sqref="E115">
    <cfRule type="expression" dxfId="49" priority="66">
      <formula>E115&lt;&gt;D115</formula>
    </cfRule>
  </conditionalFormatting>
  <conditionalFormatting sqref="E114">
    <cfRule type="expression" dxfId="48" priority="65">
      <formula>E114&lt;&gt;D114</formula>
    </cfRule>
  </conditionalFormatting>
  <conditionalFormatting sqref="E192">
    <cfRule type="expression" dxfId="47" priority="64">
      <formula>E192&lt;&gt;D192</formula>
    </cfRule>
  </conditionalFormatting>
  <conditionalFormatting sqref="E28">
    <cfRule type="expression" dxfId="46" priority="63">
      <formula>E28&lt;&gt;D28</formula>
    </cfRule>
  </conditionalFormatting>
  <conditionalFormatting sqref="E151:E153">
    <cfRule type="expression" dxfId="45" priority="59">
      <formula>E151&lt;&gt;D151</formula>
    </cfRule>
  </conditionalFormatting>
  <conditionalFormatting sqref="E245:E246">
    <cfRule type="expression" dxfId="44" priority="58">
      <formula>E245&lt;&gt;D245</formula>
    </cfRule>
  </conditionalFormatting>
  <conditionalFormatting sqref="E219">
    <cfRule type="expression" dxfId="43" priority="57">
      <formula>E219&lt;&gt;D219</formula>
    </cfRule>
  </conditionalFormatting>
  <conditionalFormatting sqref="E4">
    <cfRule type="expression" dxfId="42" priority="55">
      <formula>E4&lt;&gt;D4</formula>
    </cfRule>
  </conditionalFormatting>
  <conditionalFormatting sqref="E29">
    <cfRule type="expression" dxfId="41" priority="54">
      <formula>E29&lt;&gt;D29</formula>
    </cfRule>
  </conditionalFormatting>
  <conditionalFormatting sqref="E158">
    <cfRule type="expression" dxfId="40" priority="53">
      <formula>E158&lt;&gt;D158</formula>
    </cfRule>
  </conditionalFormatting>
  <conditionalFormatting sqref="E55">
    <cfRule type="expression" dxfId="39" priority="52">
      <formula>E55&lt;&gt;D55</formula>
    </cfRule>
  </conditionalFormatting>
  <conditionalFormatting sqref="E177">
    <cfRule type="expression" dxfId="38" priority="51">
      <formula>E177&lt;&gt;D177</formula>
    </cfRule>
  </conditionalFormatting>
  <conditionalFormatting sqref="E186">
    <cfRule type="expression" dxfId="37" priority="50">
      <formula>E186&lt;&gt;D186</formula>
    </cfRule>
  </conditionalFormatting>
  <conditionalFormatting sqref="E255">
    <cfRule type="expression" dxfId="36" priority="49">
      <formula>E255&lt;&gt;D255</formula>
    </cfRule>
  </conditionalFormatting>
  <conditionalFormatting sqref="E126">
    <cfRule type="expression" dxfId="35" priority="42">
      <formula>E126&lt;&gt;D126</formula>
    </cfRule>
  </conditionalFormatting>
  <conditionalFormatting sqref="E163">
    <cfRule type="expression" dxfId="34" priority="41">
      <formula>E163&lt;&gt;D163</formula>
    </cfRule>
  </conditionalFormatting>
  <conditionalFormatting sqref="E33">
    <cfRule type="expression" dxfId="33" priority="40">
      <formula>E33&lt;&gt;D33</formula>
    </cfRule>
  </conditionalFormatting>
  <conditionalFormatting sqref="E7">
    <cfRule type="expression" dxfId="32" priority="39">
      <formula>E7&lt;&gt;D7</formula>
    </cfRule>
  </conditionalFormatting>
  <conditionalFormatting sqref="E26">
    <cfRule type="expression" dxfId="31" priority="38">
      <formula>E26&lt;&gt;D26</formula>
    </cfRule>
  </conditionalFormatting>
  <conditionalFormatting sqref="E9">
    <cfRule type="expression" dxfId="30" priority="37">
      <formula>E9&lt;&gt;D9</formula>
    </cfRule>
  </conditionalFormatting>
  <conditionalFormatting sqref="E68">
    <cfRule type="expression" dxfId="29" priority="36">
      <formula>E68&lt;&gt;D68</formula>
    </cfRule>
  </conditionalFormatting>
  <conditionalFormatting sqref="E98">
    <cfRule type="expression" dxfId="28" priority="34">
      <formula>E98&lt;&gt;D98</formula>
    </cfRule>
  </conditionalFormatting>
  <conditionalFormatting sqref="E23">
    <cfRule type="expression" dxfId="27" priority="33">
      <formula>E23&lt;&gt;D23</formula>
    </cfRule>
  </conditionalFormatting>
  <conditionalFormatting sqref="E25">
    <cfRule type="expression" dxfId="26" priority="32">
      <formula>E25&lt;&gt;D25</formula>
    </cfRule>
  </conditionalFormatting>
  <conditionalFormatting sqref="E234">
    <cfRule type="expression" dxfId="25" priority="31">
      <formula>E234&lt;&gt;D234</formula>
    </cfRule>
  </conditionalFormatting>
  <conditionalFormatting sqref="E230">
    <cfRule type="expression" dxfId="24" priority="30">
      <formula>E230&lt;&gt;D230</formula>
    </cfRule>
  </conditionalFormatting>
  <conditionalFormatting sqref="E236">
    <cfRule type="expression" dxfId="23" priority="29">
      <formula>E236&lt;&gt;D236</formula>
    </cfRule>
  </conditionalFormatting>
  <conditionalFormatting sqref="E238">
    <cfRule type="expression" dxfId="22" priority="28">
      <formula>E238&lt;&gt;D238</formula>
    </cfRule>
  </conditionalFormatting>
  <conditionalFormatting sqref="E92">
    <cfRule type="expression" dxfId="21" priority="27">
      <formula>E92&lt;&gt;D92</formula>
    </cfRule>
  </conditionalFormatting>
  <conditionalFormatting sqref="E313">
    <cfRule type="expression" dxfId="20" priority="26">
      <formula>E313&lt;&gt;D313</formula>
    </cfRule>
  </conditionalFormatting>
  <conditionalFormatting sqref="E322">
    <cfRule type="expression" dxfId="19" priority="25">
      <formula>E322&lt;&gt;D322</formula>
    </cfRule>
  </conditionalFormatting>
  <conditionalFormatting sqref="E297">
    <cfRule type="expression" dxfId="18" priority="24">
      <formula>E297&lt;&gt;D297</formula>
    </cfRule>
  </conditionalFormatting>
  <conditionalFormatting sqref="E300">
    <cfRule type="expression" dxfId="17" priority="23">
      <formula>E300&lt;&gt;D300</formula>
    </cfRule>
  </conditionalFormatting>
  <conditionalFormatting sqref="E50">
    <cfRule type="expression" dxfId="16" priority="22">
      <formula>E50&lt;&gt;D50</formula>
    </cfRule>
  </conditionalFormatting>
  <conditionalFormatting sqref="E15">
    <cfRule type="expression" dxfId="15" priority="20">
      <formula>E15&lt;&gt;D15</formula>
    </cfRule>
  </conditionalFormatting>
  <conditionalFormatting sqref="E10">
    <cfRule type="expression" dxfId="14" priority="19">
      <formula>E10&lt;&gt;D10</formula>
    </cfRule>
  </conditionalFormatting>
  <conditionalFormatting sqref="E97">
    <cfRule type="expression" dxfId="13" priority="18">
      <formula>E97&lt;&gt;D97</formula>
    </cfRule>
  </conditionalFormatting>
  <conditionalFormatting sqref="E224">
    <cfRule type="expression" dxfId="12" priority="17">
      <formula>E224&lt;&gt;D224</formula>
    </cfRule>
  </conditionalFormatting>
  <conditionalFormatting sqref="E51">
    <cfRule type="expression" dxfId="11" priority="15">
      <formula>E51&lt;&gt;D51</formula>
    </cfRule>
  </conditionalFormatting>
  <conditionalFormatting sqref="E291">
    <cfRule type="expression" dxfId="10" priority="14">
      <formula>E291&lt;&gt;D291</formula>
    </cfRule>
  </conditionalFormatting>
  <conditionalFormatting sqref="E321">
    <cfRule type="expression" dxfId="9" priority="12">
      <formula>E321&lt;&gt;D321</formula>
    </cfRule>
  </conditionalFormatting>
  <conditionalFormatting sqref="E53">
    <cfRule type="expression" dxfId="8" priority="11">
      <formula>E53&lt;&gt;D53</formula>
    </cfRule>
  </conditionalFormatting>
  <conditionalFormatting sqref="E57">
    <cfRule type="expression" dxfId="7" priority="8">
      <formula>E57&lt;&gt;D57</formula>
    </cfRule>
  </conditionalFormatting>
  <conditionalFormatting sqref="E241">
    <cfRule type="expression" dxfId="6" priority="7">
      <formula>E241&lt;&gt;D241</formula>
    </cfRule>
  </conditionalFormatting>
  <conditionalFormatting sqref="E96">
    <cfRule type="expression" dxfId="5" priority="6">
      <formula>E96&lt;&gt;D96</formula>
    </cfRule>
  </conditionalFormatting>
  <conditionalFormatting sqref="E131">
    <cfRule type="expression" dxfId="4" priority="5">
      <formula>E131&lt;&gt;D131</formula>
    </cfRule>
  </conditionalFormatting>
  <conditionalFormatting sqref="E21">
    <cfRule type="expression" dxfId="3" priority="4">
      <formula>E21&lt;&gt;D21</formula>
    </cfRule>
  </conditionalFormatting>
  <conditionalFormatting sqref="E71">
    <cfRule type="expression" dxfId="2" priority="3">
      <formula>E71&lt;&gt;D71</formula>
    </cfRule>
  </conditionalFormatting>
  <conditionalFormatting sqref="E247">
    <cfRule type="expression" dxfId="1" priority="2">
      <formula>E247&lt;&gt;D247</formula>
    </cfRule>
  </conditionalFormatting>
  <conditionalFormatting sqref="E228">
    <cfRule type="expression" dxfId="0" priority="1">
      <formula>E228&lt;&gt;D228</formula>
    </cfRule>
  </conditionalFormatting>
  <dataValidations count="1">
    <dataValidation type="textLength" operator="lessThanOrEqual" allowBlank="1" showInputMessage="1" showErrorMessage="1" sqref="B27:B28 B61 B257 B309:B313 B341 B64 B2:B3 B292 B5:B6 B248:B251 B40:B43 B327:B339 B262" xr:uid="{00000000-0002-0000-0200-000000000000}">
      <formula1>40</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11</vt:i4>
      </vt:variant>
    </vt:vector>
  </HeadingPairs>
  <TitlesOfParts>
    <vt:vector size="12" baseType="lpstr">
      <vt:lpstr>КИ_ПФ</vt:lpstr>
      <vt:lpstr>вес_короба__кг</vt:lpstr>
      <vt:lpstr>высота__мм</vt:lpstr>
      <vt:lpstr>итого_г_у</vt:lpstr>
      <vt:lpstr>кол_во_инд.__упак_к</vt:lpstr>
      <vt:lpstr>Кол_во_коробок_на_поддоне</vt:lpstr>
      <vt:lpstr>кол_во_слоев_г_у</vt:lpstr>
      <vt:lpstr>Кол_во_штук_в_коробе</vt:lpstr>
      <vt:lpstr>Новая_кратность_короба__кг</vt:lpstr>
      <vt:lpstr>номин.вес_брутто__кг</vt:lpstr>
      <vt:lpstr>номин.вес_нетто__кг</vt:lpstr>
      <vt:lpstr>номин.вес_нетто_г_у__кг</vt:lpstr>
    </vt:vector>
  </TitlesOfParts>
  <Company>qweqwe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qwe</dc:creator>
  <cp:lastModifiedBy>Uaer4</cp:lastModifiedBy>
  <cp:lastPrinted>2024-04-16T14:50:18Z</cp:lastPrinted>
  <dcterms:created xsi:type="dcterms:W3CDTF">2015-12-15T10:47:28Z</dcterms:created>
  <dcterms:modified xsi:type="dcterms:W3CDTF">2026-07-29T06:48:05Z</dcterms:modified>
</cp:coreProperties>
</file>