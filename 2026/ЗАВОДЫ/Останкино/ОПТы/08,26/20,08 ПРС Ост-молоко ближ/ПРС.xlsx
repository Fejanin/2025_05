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25266BE-F274-4898-87BC-FA9EBC10E9F0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заказ" sheetId="2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6" i="2" l="1"/>
  <c r="I4" i="2"/>
  <c r="I5" i="2"/>
  <c r="I6" i="2"/>
  <c r="I7" i="2"/>
  <c r="I8" i="2"/>
  <c r="I9" i="2"/>
  <c r="I10" i="2"/>
  <c r="I11" i="2"/>
  <c r="I12" i="2"/>
  <c r="I13" i="2"/>
  <c r="I14" i="2"/>
  <c r="I15" i="2"/>
  <c r="I3" i="2"/>
</calcChain>
</file>

<file path=xl/sharedStrings.xml><?xml version="1.0" encoding="utf-8"?>
<sst xmlns="http://schemas.openxmlformats.org/spreadsheetml/2006/main" count="48" uniqueCount="41">
  <si>
    <t>Штрих код</t>
  </si>
  <si>
    <t>Цена приходная</t>
  </si>
  <si>
    <t>Код ЦБ</t>
  </si>
  <si>
    <t>Итого</t>
  </si>
  <si>
    <t>Заказ утвержден</t>
  </si>
  <si>
    <t>кол-во</t>
  </si>
  <si>
    <t>сумма</t>
  </si>
  <si>
    <t>Товар</t>
  </si>
  <si>
    <t>срок годности</t>
  </si>
  <si>
    <t>Майонез провансаль классический 67% ТМ ПАПА МОЖЕТ 372г дой-пак с дозатором</t>
  </si>
  <si>
    <t>1-00380091</t>
  </si>
  <si>
    <t>90 сут.t от 0 °C до +10 °C.</t>
  </si>
  <si>
    <t>Майонез провансаль классический оливковый 67%ТМ ПАПА МОЖЕТ 372г дой-пак с дозатором</t>
  </si>
  <si>
    <t>1-00380092</t>
  </si>
  <si>
    <t>90 сут. t от 0 °C до +10 °C.</t>
  </si>
  <si>
    <t>Сыр ПАПА МОЖЕТ "Гауда Голд" 45 % 180 гр (10шт)</t>
  </si>
  <si>
    <t>1-00007473</t>
  </si>
  <si>
    <t>150 сут tот –4 °C до +6 °C</t>
  </si>
  <si>
    <t>Сыр ПАПА МОЖЕТ "Голландский традиционный" 45% 180 гр (10шт)</t>
  </si>
  <si>
    <t>1-00007474</t>
  </si>
  <si>
    <t>Сыр ПАПА МОЖЕТ "Министерский" фас.мдж 45% 180 гр</t>
  </si>
  <si>
    <t>1-00381514</t>
  </si>
  <si>
    <t>120 сут tот +2 °C до +6 °C</t>
  </si>
  <si>
    <t>Сыр плавленый "С ветчиной" 45% ТМ Папа может 180гр</t>
  </si>
  <si>
    <t>1-00016409</t>
  </si>
  <si>
    <t>270 сут tот +2 °C до +6 °C</t>
  </si>
  <si>
    <t>Сыр плавленый "С грибами" 45% ТМ Папа может 180гр</t>
  </si>
  <si>
    <t>1-00016422</t>
  </si>
  <si>
    <t>Сыр плавленый "Сливочный" 45% ТМ Папа может 180гр</t>
  </si>
  <si>
    <t>1-00016408</t>
  </si>
  <si>
    <t>Сыр плавленый колбасный копченый 40% ТМ Папа Может 400г</t>
  </si>
  <si>
    <t>1-00015995</t>
  </si>
  <si>
    <t>Сыр Российский традиционный 45% ТМ Папа Может 180г</t>
  </si>
  <si>
    <t>1-00015893</t>
  </si>
  <si>
    <t>Сыр Творожный Сливочный 60% ТМ Папа может 140г</t>
  </si>
  <si>
    <t>1-00015913</t>
  </si>
  <si>
    <t>180 сут tот +2 °C до +6 °C</t>
  </si>
  <si>
    <t>Сыр Тильзитер 45% ТМ Папа Может 180г</t>
  </si>
  <si>
    <t>1-00015994</t>
  </si>
  <si>
    <t>Сыр Творожный с Зеленью 60% ТМ Папа Может 140г</t>
  </si>
  <si>
    <t>1-00015940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</si>
</sst>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 ;[Red]\-#,##0\ "/>
    <numFmt numFmtId="165" formatCode="#,##0\ _₽"/>
  </numFmts>
  <fonts count="11" x14ac:knownFonts="1">
    <font>
      <sz val="11"/>
      <color theme="1"/>
      <name val="Calibri"/>
      <family val="2"/>
      <scheme val="minor"/>
    </font>
    <font>
      <sz val="8"/>
      <name val="Arial"/>
      <family val="2"/>
      <charset val="204"/>
    </font>
    <font>
      <sz val="10"/>
      <name val="Arial"/>
      <family val="2"/>
    </font>
    <font>
      <b/>
      <sz val="11"/>
      <name val="Arial"/>
      <family val="2"/>
      <charset val="204"/>
    </font>
    <font>
      <b/>
      <sz val="10"/>
      <color theme="0"/>
      <name val="Arial"/>
      <family val="2"/>
    </font>
    <font>
      <b/>
      <sz val="10"/>
      <color rgb="FFFFFFFF"/>
      <name val="Arial"/>
      <family val="2"/>
    </font>
    <font>
      <sz val="9"/>
      <color theme="1"/>
      <name val="Calibri"/>
      <family val="2"/>
      <charset val="204"/>
      <scheme val="minor"/>
    </font>
    <font>
      <sz val="10"/>
      <name val="Calibri"/>
      <family val="2"/>
      <scheme val="minor"/>
    </font>
    <font>
      <b/>
      <sz val="8"/>
      <color rgb="FF7030A0"/>
      <name val="Arial"/>
      <family val="2"/>
      <charset val="204"/>
    </font>
    <font>
      <b/>
      <sz val="9"/>
      <color rgb="FF7030A0"/>
      <name val="Calibri"/>
      <family val="2"/>
      <charset val="204"/>
      <scheme val="minor"/>
    </font>
    <font>
      <sz val="9"/>
      <color rgb="FF7030A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4574A0"/>
        <bgColor auto="1"/>
      </patternFill>
    </fill>
    <fill>
      <patternFill patternType="solid">
        <fgColor theme="6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DC7EB"/>
      </left>
      <right style="thin">
        <color rgb="FFBDC7EB"/>
      </right>
      <top style="thin">
        <color rgb="FFBDC7EB"/>
      </top>
      <bottom style="thin">
        <color rgb="FFBDC7EB"/>
      </bottom>
      <diagonal/>
    </border>
    <border>
      <left/>
      <right/>
      <top style="thin">
        <color rgb="FFBDC7EB"/>
      </top>
      <bottom style="thin">
        <color rgb="FFBDC7EB"/>
      </bottom>
      <diagonal/>
    </border>
    <border>
      <left/>
      <right style="thin">
        <color rgb="FFBDC7EB"/>
      </right>
      <top style="thin">
        <color rgb="FFBDC7EB"/>
      </top>
      <bottom style="thin">
        <color rgb="FFBDC7EB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BDC7EB"/>
      </left>
      <right style="thin">
        <color rgb="FFBDC7EB"/>
      </right>
      <top style="thin">
        <color rgb="FFBDC7EB"/>
      </top>
      <bottom/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164" fontId="5" fillId="3" borderId="3" xfId="0" applyNumberFormat="1" applyFont="1" applyFill="1" applyBorder="1" applyAlignment="1">
      <alignment horizontal="left" vertical="top" wrapText="1"/>
    </xf>
    <xf numFmtId="1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3" fontId="7" fillId="0" borderId="2" xfId="0" applyNumberFormat="1" applyFont="1" applyBorder="1"/>
    <xf numFmtId="1" fontId="0" fillId="0" borderId="0" xfId="0" applyNumberFormat="1" applyAlignment="1">
      <alignment horizontal="right" vertical="top" wrapText="1"/>
    </xf>
    <xf numFmtId="3" fontId="3" fillId="2" borderId="6" xfId="0" applyNumberFormat="1" applyFont="1" applyFill="1" applyBorder="1" applyAlignment="1">
      <alignment horizontal="right" vertical="top"/>
    </xf>
    <xf numFmtId="0" fontId="3" fillId="0" borderId="0" xfId="0" applyFont="1"/>
    <xf numFmtId="0" fontId="0" fillId="0" borderId="0" xfId="0" applyAlignment="1">
      <alignment horizontal="left"/>
    </xf>
    <xf numFmtId="0" fontId="1" fillId="0" borderId="0" xfId="0" applyFont="1"/>
    <xf numFmtId="164" fontId="5" fillId="3" borderId="7" xfId="0" applyNumberFormat="1" applyFont="1" applyFill="1" applyBorder="1" applyAlignment="1">
      <alignment horizontal="left" vertical="top" wrapText="1"/>
    </xf>
    <xf numFmtId="49" fontId="8" fillId="0" borderId="0" xfId="0" applyNumberFormat="1" applyFont="1"/>
    <xf numFmtId="3" fontId="0" fillId="0" borderId="2" xfId="0" applyNumberFormat="1" applyBorder="1"/>
    <xf numFmtId="49" fontId="9" fillId="0" borderId="0" xfId="0" applyNumberFormat="1" applyFont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0" fontId="3" fillId="2" borderId="6" xfId="0" applyFont="1" applyFill="1" applyBorder="1" applyAlignment="1">
      <alignment horizontal="left" vertical="top"/>
    </xf>
    <xf numFmtId="164" fontId="4" fillId="3" borderId="4" xfId="0" applyNumberFormat="1" applyFont="1" applyFill="1" applyBorder="1" applyAlignment="1">
      <alignment horizontal="center" vertical="top" wrapText="1"/>
    </xf>
    <xf numFmtId="164" fontId="4" fillId="3" borderId="5" xfId="0" applyNumberFormat="1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4" borderId="6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</cellXfs>
  <cellStyles count="2">
    <cellStyle name="Обычный" xfId="0" builtinId="0"/>
    <cellStyle name="Обычный 2" xfId="1" xr:uid="{DBE3996B-D28D-43A0-A14D-78347BB664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21ABB-D46D-4DAA-A49C-25270474D457}">
  <dimension ref="A1:I16"/>
  <sheetViews>
    <sheetView tabSelected="1" workbookViewId="0">
      <selection activeCell="K18" sqref="K18"/>
    </sheetView>
  </sheetViews>
  <sheetFormatPr defaultColWidth="9" defaultRowHeight="15" x14ac:dyDescent="0.25"/>
  <cols>
    <col min="1" max="1" width="73.42578125" style="10" customWidth="1"/>
    <col min="2" max="2" width="10.7109375" style="10" bestFit="1" customWidth="1"/>
    <col min="3" max="3" width="13.28515625" style="10" customWidth="1"/>
    <col min="4" max="4" width="19.5703125" style="10" customWidth="1"/>
    <col min="5" max="5" width="6.5703125" style="10" customWidth="1"/>
    <col min="7" max="7" width="11.42578125" customWidth="1"/>
  </cols>
  <sheetData>
    <row r="1" spans="1:9" ht="15" customHeight="1" x14ac:dyDescent="0.25">
      <c r="A1" s="20" t="s">
        <v>7</v>
      </c>
      <c r="B1" s="22" t="s">
        <v>2</v>
      </c>
      <c r="C1" s="22" t="s">
        <v>0</v>
      </c>
      <c r="D1" s="1" t="s">
        <v>8</v>
      </c>
      <c r="E1" s="22" t="s">
        <v>1</v>
      </c>
      <c r="F1" s="18" t="s">
        <v>4</v>
      </c>
      <c r="G1" s="19"/>
    </row>
    <row r="2" spans="1:9" x14ac:dyDescent="0.25">
      <c r="A2" s="21"/>
      <c r="B2" s="23"/>
      <c r="C2" s="23"/>
      <c r="D2" s="2"/>
      <c r="E2" s="23"/>
      <c r="F2" s="12" t="s">
        <v>5</v>
      </c>
      <c r="G2" s="3" t="s">
        <v>6</v>
      </c>
    </row>
    <row r="3" spans="1:9" ht="26.25" customHeight="1" x14ac:dyDescent="0.25">
      <c r="A3" s="11" t="s">
        <v>9</v>
      </c>
      <c r="B3" s="7" t="s">
        <v>10</v>
      </c>
      <c r="C3" s="4">
        <v>4607016948270</v>
      </c>
      <c r="D3" s="13" t="s">
        <v>11</v>
      </c>
      <c r="E3" s="5">
        <v>116.4</v>
      </c>
      <c r="F3" s="6">
        <v>720</v>
      </c>
      <c r="G3" s="14">
        <v>83808</v>
      </c>
      <c r="H3">
        <v>0.372</v>
      </c>
      <c r="I3">
        <f>H3*F3</f>
        <v>267.83999999999997</v>
      </c>
    </row>
    <row r="4" spans="1:9" ht="15" customHeight="1" x14ac:dyDescent="0.25">
      <c r="A4" t="s">
        <v>12</v>
      </c>
      <c r="B4" s="7" t="s">
        <v>13</v>
      </c>
      <c r="C4" s="4">
        <v>4607016948256</v>
      </c>
      <c r="D4" s="13" t="s">
        <v>14</v>
      </c>
      <c r="E4" s="5">
        <v>119.1</v>
      </c>
      <c r="F4" s="6">
        <v>720</v>
      </c>
      <c r="G4" s="14">
        <v>85752</v>
      </c>
      <c r="H4">
        <v>0.372</v>
      </c>
      <c r="I4">
        <f t="shared" ref="I4:I15" si="0">H4*F4</f>
        <v>267.83999999999997</v>
      </c>
    </row>
    <row r="5" spans="1:9" ht="15" customHeight="1" x14ac:dyDescent="0.25">
      <c r="A5" s="11" t="s">
        <v>15</v>
      </c>
      <c r="B5" s="7" t="s">
        <v>16</v>
      </c>
      <c r="C5" s="4">
        <v>4811485038411</v>
      </c>
      <c r="D5" s="15" t="s">
        <v>17</v>
      </c>
      <c r="E5" s="5">
        <v>207.46</v>
      </c>
      <c r="F5" s="6">
        <v>600</v>
      </c>
      <c r="G5" s="14">
        <v>124476</v>
      </c>
      <c r="H5">
        <v>0.18</v>
      </c>
      <c r="I5">
        <f t="shared" si="0"/>
        <v>108</v>
      </c>
    </row>
    <row r="6" spans="1:9" ht="15" customHeight="1" x14ac:dyDescent="0.25">
      <c r="A6" s="11" t="s">
        <v>18</v>
      </c>
      <c r="B6" s="7" t="s">
        <v>19</v>
      </c>
      <c r="C6" s="4">
        <v>4811485038459</v>
      </c>
      <c r="D6" s="15" t="s">
        <v>17</v>
      </c>
      <c r="E6" s="5">
        <v>207.46</v>
      </c>
      <c r="F6" s="6">
        <v>660</v>
      </c>
      <c r="G6" s="14">
        <v>136923.6</v>
      </c>
      <c r="H6">
        <v>0.18</v>
      </c>
      <c r="I6">
        <f t="shared" si="0"/>
        <v>118.8</v>
      </c>
    </row>
    <row r="7" spans="1:9" x14ac:dyDescent="0.25">
      <c r="A7" s="11" t="s">
        <v>20</v>
      </c>
      <c r="B7" s="7" t="s">
        <v>21</v>
      </c>
      <c r="C7" s="4">
        <v>4811485038831</v>
      </c>
      <c r="D7" s="15" t="s">
        <v>22</v>
      </c>
      <c r="E7" s="5">
        <v>203.38</v>
      </c>
      <c r="F7" s="6">
        <v>420</v>
      </c>
      <c r="G7" s="14">
        <v>85419.599999999991</v>
      </c>
      <c r="H7">
        <v>0.18</v>
      </c>
      <c r="I7">
        <f t="shared" si="0"/>
        <v>75.599999999999994</v>
      </c>
    </row>
    <row r="8" spans="1:9" x14ac:dyDescent="0.25">
      <c r="A8" s="11" t="s">
        <v>23</v>
      </c>
      <c r="B8" s="7" t="s">
        <v>24</v>
      </c>
      <c r="C8" s="4">
        <v>4607069988438</v>
      </c>
      <c r="D8" s="15" t="s">
        <v>25</v>
      </c>
      <c r="E8" s="5">
        <v>159.91999999999999</v>
      </c>
      <c r="F8" s="6">
        <v>600</v>
      </c>
      <c r="G8" s="14">
        <v>95951.999999999985</v>
      </c>
      <c r="H8">
        <v>0.18</v>
      </c>
      <c r="I8">
        <f t="shared" si="0"/>
        <v>108</v>
      </c>
    </row>
    <row r="9" spans="1:9" x14ac:dyDescent="0.25">
      <c r="A9" s="11" t="s">
        <v>26</v>
      </c>
      <c r="B9" s="7" t="s">
        <v>27</v>
      </c>
      <c r="C9" s="4">
        <v>4607069988445</v>
      </c>
      <c r="D9" s="15" t="s">
        <v>25</v>
      </c>
      <c r="E9" s="5">
        <v>159.91999999999999</v>
      </c>
      <c r="F9" s="6">
        <v>600</v>
      </c>
      <c r="G9" s="14">
        <v>95951.999999999985</v>
      </c>
      <c r="H9">
        <v>0.18</v>
      </c>
      <c r="I9">
        <f t="shared" si="0"/>
        <v>108</v>
      </c>
    </row>
    <row r="10" spans="1:9" ht="15" customHeight="1" x14ac:dyDescent="0.25">
      <c r="A10" s="11" t="s">
        <v>28</v>
      </c>
      <c r="B10" s="7" t="s">
        <v>29</v>
      </c>
      <c r="C10" s="4">
        <v>4607069988681</v>
      </c>
      <c r="D10" s="15" t="s">
        <v>22</v>
      </c>
      <c r="E10" s="5">
        <v>159.91999999999999</v>
      </c>
      <c r="F10" s="6">
        <v>360</v>
      </c>
      <c r="G10" s="14">
        <v>57571.199999999997</v>
      </c>
      <c r="H10">
        <v>0.18</v>
      </c>
      <c r="I10">
        <f t="shared" si="0"/>
        <v>64.8</v>
      </c>
    </row>
    <row r="11" spans="1:9" ht="15" customHeight="1" x14ac:dyDescent="0.25">
      <c r="A11" s="11" t="s">
        <v>30</v>
      </c>
      <c r="B11" s="7" t="s">
        <v>31</v>
      </c>
      <c r="C11" s="4">
        <v>4607069988452</v>
      </c>
      <c r="D11" s="15" t="s">
        <v>25</v>
      </c>
      <c r="E11" s="5">
        <v>231.37</v>
      </c>
      <c r="F11" s="6">
        <v>420</v>
      </c>
      <c r="G11" s="14">
        <v>97175.400000000009</v>
      </c>
      <c r="H11">
        <v>0.4</v>
      </c>
      <c r="I11">
        <f t="shared" si="0"/>
        <v>168</v>
      </c>
    </row>
    <row r="12" spans="1:9" ht="15" customHeight="1" x14ac:dyDescent="0.25">
      <c r="A12" s="11" t="s">
        <v>32</v>
      </c>
      <c r="B12" s="7" t="s">
        <v>33</v>
      </c>
      <c r="C12" s="4">
        <v>4811485038435</v>
      </c>
      <c r="D12" s="15" t="s">
        <v>22</v>
      </c>
      <c r="E12" s="5">
        <v>203.38</v>
      </c>
      <c r="F12" s="6">
        <v>720</v>
      </c>
      <c r="G12" s="14">
        <v>146433.60000000001</v>
      </c>
      <c r="H12">
        <v>0.18</v>
      </c>
      <c r="I12">
        <f t="shared" si="0"/>
        <v>129.6</v>
      </c>
    </row>
    <row r="13" spans="1:9" ht="15" customHeight="1" x14ac:dyDescent="0.25">
      <c r="A13" s="11" t="s">
        <v>34</v>
      </c>
      <c r="B13" s="7" t="s">
        <v>35</v>
      </c>
      <c r="C13" s="4">
        <v>4607069988377</v>
      </c>
      <c r="D13" s="15" t="s">
        <v>36</v>
      </c>
      <c r="E13" s="5">
        <v>115.89</v>
      </c>
      <c r="F13" s="6">
        <v>420</v>
      </c>
      <c r="G13" s="14">
        <v>48673.8</v>
      </c>
      <c r="H13">
        <v>0.14000000000000001</v>
      </c>
      <c r="I13">
        <f t="shared" si="0"/>
        <v>58.800000000000004</v>
      </c>
    </row>
    <row r="14" spans="1:9" ht="15" customHeight="1" x14ac:dyDescent="0.25">
      <c r="A14" s="11" t="s">
        <v>37</v>
      </c>
      <c r="B14" s="7" t="s">
        <v>38</v>
      </c>
      <c r="C14" s="4">
        <v>4811485038398</v>
      </c>
      <c r="D14" s="16" t="s">
        <v>22</v>
      </c>
      <c r="E14" s="5">
        <v>207.46</v>
      </c>
      <c r="F14" s="6">
        <v>420</v>
      </c>
      <c r="G14" s="14">
        <v>87133.2</v>
      </c>
      <c r="H14">
        <v>0.18</v>
      </c>
      <c r="I14">
        <f t="shared" si="0"/>
        <v>75.599999999999994</v>
      </c>
    </row>
    <row r="15" spans="1:9" ht="15" customHeight="1" x14ac:dyDescent="0.25">
      <c r="A15" s="11" t="s">
        <v>39</v>
      </c>
      <c r="B15" s="7" t="s">
        <v>40</v>
      </c>
      <c r="C15" s="4">
        <v>4607069988391</v>
      </c>
      <c r="D15" s="15" t="s">
        <v>36</v>
      </c>
      <c r="E15" s="5">
        <v>136.46</v>
      </c>
      <c r="F15" s="6">
        <v>408</v>
      </c>
      <c r="G15" s="14">
        <v>55675.68</v>
      </c>
      <c r="H15">
        <v>0.14000000000000001</v>
      </c>
      <c r="I15">
        <f t="shared" si="0"/>
        <v>57.120000000000005</v>
      </c>
    </row>
    <row r="16" spans="1:9" s="9" customFormat="1" x14ac:dyDescent="0.25">
      <c r="A16" s="17" t="s">
        <v>3</v>
      </c>
      <c r="B16" s="17"/>
      <c r="C16" s="17"/>
      <c r="D16" s="17"/>
      <c r="E16" s="17"/>
      <c r="F16" s="8">
        <v>7068</v>
      </c>
      <c r="G16" s="8">
        <v>1200946.0799999998</v>
      </c>
      <c r="I16" s="8">
        <f>SUM(I3:I15)</f>
        <v>1607.9999999999995</v>
      </c>
    </row>
  </sheetData>
  <mergeCells count="6">
    <mergeCell ref="A16:E16"/>
    <mergeCell ref="F1:G1"/>
    <mergeCell ref="A1:A2"/>
    <mergeCell ref="B1:B2"/>
    <mergeCell ref="C1:C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Амелина Ольга Н.</dc:creator>
  <cp:lastModifiedBy>Uaer4</cp:lastModifiedBy>
  <dcterms:created xsi:type="dcterms:W3CDTF">2015-06-05T18:19:34Z</dcterms:created>
  <dcterms:modified xsi:type="dcterms:W3CDTF">2026-08-20T11:08:32Z</dcterms:modified>
</cp:coreProperties>
</file>