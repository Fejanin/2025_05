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ОПТы\07,26\15,07 Грация (Бердянск) САП 18,07\"/>
    </mc:Choice>
  </mc:AlternateContent>
  <xr:revisionPtr revIDLastSave="0" documentId="13_ncr:1_{AB82CB98-9364-46B5-B0F7-AFE6666C61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<sst xmlns="http://schemas.openxmlformats.org/spreadsheetml/2006/main" count="653" uniqueCount="214">
  <si>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</si>
  <si>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</si>
  <si>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</si>
  <si>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</si>
  <si>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</si>
  <si>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</si>
  <si>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</si>
  <si>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</si>
  <si>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</si>
  <si>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</si>
  <si>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</si>
  <si>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</si>
  <si>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</si>
  <si>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</si>
  <si>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</si>
  <si>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</si>
  <si>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</si>
  <si>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</si>
  <si>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</si>
  <si>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</si>
  <si>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</si>
  <si>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</si>
  <si>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</si>
  <si>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</si>
  <si>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</si>
  <si>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</si>
  <si>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</si>
  <si>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</si>
  <si>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</si>
  <si>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</si>
  <si>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</si>
  <si>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</si>
  <si>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</si>
  <si>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</si>
  <si>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</si>
  <si>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</si>
  <si>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</si>
  <si>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</si>
  <si>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</si>
  <si>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</si>
  <si>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</si>
  <si>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</si>
  <si>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</si>
  <si>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</si>
  <si>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</si>
  <si>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</si>
  <si>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</si>
  <si>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</si>
  <si>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</si>
  <si>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</si>
  <si>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</si>
  <si>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</si>
  <si>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</si>
  <si>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</si>
  <si>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</si>
  <si>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</si>
  <si>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</si>
  <si>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</si>
  <si>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</si>
  <si>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</si>
  <si>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</si>
  <si>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</si>
  <si>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</si>
  <si>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</si>
  <si>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</si>
  <si>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</si>
  <si>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</si>
  <si>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</si>
  <si>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</si>
  <si>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</si>
  <si>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</si>
  <si>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</si>
  <si>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</si>
  <si>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</si>
  <si>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</si>
  <si>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</si>
  <si>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</si>
  <si>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</si>
  <si>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</si>
  <si>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</si>
  <si>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</si>
  <si>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</si>
  <si>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</si>
  <si>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</si>
  <si>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</si>
  <si>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</si>
  <si>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</si>
  <si>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</si>
  <si>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</si>
  <si>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</si>
  <si>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</si>
  <si>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</si>
  <si>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</si>
  <si>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</si>
  <si>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</si>
  <si>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</si>
  <si>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</si>
  <si>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</si>
  <si>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</si>
  <si>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</si>
  <si>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</si>
  <si>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</si>
  <si>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</si>
  <si>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</si>
  <si>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</si>
  <si>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</si>
  <si>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</si>
  <si>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</si>
  <si>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</si>
  <si>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</si>
  <si>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</si>
  <si>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</si>
  <si>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</si>
  <si>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</si>
  <si>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</si>
  <si>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</si>
  <si>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</si>
  <si>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</si>
  <si>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</si>
  <si>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</si>
  <si>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</si>
  <si>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</si>
  <si>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</si>
  <si>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</si>
  <si>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</si>
  <si>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</si>
  <si>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</si>
  <si>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</si>
  <si>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</si>
  <si>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</si>
  <si>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</si>
  <si>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</si>
  <si>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</si>
  <si>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</si>
  <si>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</si>
  <si>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</si>
  <si>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</si>
  <si>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</si>
  <si>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</si>
  <si>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</si>
  <si>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</si>
  <si>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</si>
  <si>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</si>
  <si>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</si>
  <si>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</si>
  <si>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</si>
  <si>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</si>
  <si>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</si>
  <si>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</si>
  <si>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</si>
  <si>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</si>
  <si>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</si>
  <si>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</si>
  <si>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</si>
  <si>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</si>
  <si>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</si>
  <si>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</si>
  <si>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</si>
  <si>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</si>
  <si>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</si>
  <si>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</si>
  <si>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</si>
  <si>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</si>
  <si>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</si>
  <si>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</si>
  <si>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</si>
  <si>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</si>
  <si>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</si>
  <si>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</si>
  <si>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</si>
  <si>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</si>
  <si>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</si>
  <si>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</si>
  <si>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</si>
  <si>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</si>
  <si>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</si>
  <si>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</si>
  <si>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</si>
  <si>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</si>
  <si>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</si>
  <si>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</si>
  <si>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</si>
  <si>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</si>
  <si>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</si>
  <si>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</si>
  <si>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</si>
  <si>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</si>
  <si>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</si>
  <si>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</si>
  <si>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</si>
  <si>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</si>
  <si>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</si>
  <si>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</si>
  <si>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</si>
  <si>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</si>
  <si>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</si>
  <si>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</si>
  <si>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</si>
  <si>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</si>
  <si>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</si>
  <si>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</si>
  <si>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</si>
  <si>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</si>
  <si>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</si>
  <si>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</si>
  <si>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</si>
  <si>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</si>
  <si>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</si>
  <si>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</si>
  <si>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</si>
  <si>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</si>
  <si>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</si>
  <si>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</si>
  <si>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Трояны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</si>
</sst>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Normal="100" workbookViewId="0">
      <pane ySplit="9" topLeftCell="A151" activePane="bottomLeft" state="frozen"/>
      <selection pane="bottomLeft" activeCell="K156" sqref="K15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130439107</v>
      </c>
      <c r="E1" s="153"/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 t="s">
        <v>213</v>
      </c>
      <c r="G3" s="156"/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180</v>
      </c>
      <c r="F13" s="23">
        <v>1.35</v>
      </c>
      <c r="G13" s="23">
        <f t="shared" ref="G13:G20" si="2">E13</f>
        <v>180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500</v>
      </c>
      <c r="F14" s="23">
        <v>1.35</v>
      </c>
      <c r="G14" s="23">
        <f t="shared" si="2"/>
        <v>500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>
        <v>100</v>
      </c>
      <c r="F15" s="23">
        <v>1.35</v>
      </c>
      <c r="G15" s="23">
        <f t="shared" si="2"/>
        <v>100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550</v>
      </c>
      <c r="F16" s="23">
        <v>1.35</v>
      </c>
      <c r="G16" s="23">
        <f t="shared" si="2"/>
        <v>550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600</v>
      </c>
      <c r="F18" s="23">
        <v>1</v>
      </c>
      <c r="G18" s="23">
        <f t="shared" si="2"/>
        <v>600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250</v>
      </c>
      <c r="F22" s="23">
        <v>0.4</v>
      </c>
      <c r="G22" s="23">
        <f t="shared" ref="G22:G23" si="3">E22*F22</f>
        <v>100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300</v>
      </c>
      <c r="F25" s="60">
        <v>0.4</v>
      </c>
      <c r="G25" s="23">
        <f t="shared" ref="G25:G33" si="5">E25*F25</f>
        <v>120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300</v>
      </c>
      <c r="F26" s="60">
        <v>0.4</v>
      </c>
      <c r="G26" s="23">
        <f t="shared" si="5"/>
        <v>120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600</v>
      </c>
      <c r="F29" s="23">
        <v>0.4</v>
      </c>
      <c r="G29" s="23">
        <f t="shared" si="5"/>
        <v>240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650</v>
      </c>
      <c r="F30" s="23">
        <v>0.4</v>
      </c>
      <c r="G30" s="23">
        <f t="shared" si="5"/>
        <v>260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300</v>
      </c>
      <c r="F42" s="60">
        <v>1.5</v>
      </c>
      <c r="G42" s="23">
        <f t="shared" si="6"/>
        <v>300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220</v>
      </c>
      <c r="F45" s="60">
        <v>1.5</v>
      </c>
      <c r="G45" s="23">
        <f t="shared" si="6"/>
        <v>220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>
        <v>80</v>
      </c>
      <c r="F46" s="60">
        <v>1.5</v>
      </c>
      <c r="G46" s="23">
        <f t="shared" si="6"/>
        <v>80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7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>
        <v>500</v>
      </c>
      <c r="F59" s="23">
        <v>0.41</v>
      </c>
      <c r="G59" s="23">
        <f t="shared" si="7"/>
        <v>205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>
        <v>60</v>
      </c>
      <c r="F60" s="23">
        <v>0.41</v>
      </c>
      <c r="G60" s="23">
        <f t="shared" si="7"/>
        <v>24.599999999999998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500</v>
      </c>
      <c r="F61" s="23">
        <v>0.41</v>
      </c>
      <c r="G61" s="23">
        <f t="shared" si="7"/>
        <v>205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300</v>
      </c>
      <c r="F62" s="23">
        <v>0.41</v>
      </c>
      <c r="G62" s="23">
        <f t="shared" si="7"/>
        <v>122.99999999999999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400</v>
      </c>
      <c r="F63" s="23">
        <v>0.4</v>
      </c>
      <c r="G63" s="23">
        <f t="shared" si="7"/>
        <v>160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>
        <v>100</v>
      </c>
      <c r="F65" s="23">
        <v>0.35</v>
      </c>
      <c r="G65" s="23">
        <f t="shared" si="7"/>
        <v>35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/>
      <c r="F67" s="23">
        <v>0.3</v>
      </c>
      <c r="G67" s="23">
        <f t="shared" si="7"/>
        <v>0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>
        <v>80</v>
      </c>
      <c r="F73" s="23">
        <v>1</v>
      </c>
      <c r="G73" s="23">
        <f t="shared" si="8"/>
        <v>80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80</v>
      </c>
      <c r="F76" s="23">
        <v>1</v>
      </c>
      <c r="G76" s="23">
        <f t="shared" si="8"/>
        <v>80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>
        <v>200</v>
      </c>
      <c r="F86" s="60">
        <v>0.63</v>
      </c>
      <c r="G86" s="23">
        <f t="shared" ref="G86:G87" si="13">E86</f>
        <v>200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300</v>
      </c>
      <c r="F87" s="60">
        <v>0.7</v>
      </c>
      <c r="G87" s="23">
        <f t="shared" si="13"/>
        <v>300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200</v>
      </c>
      <c r="F88" s="23">
        <v>0.33</v>
      </c>
      <c r="G88" s="23">
        <f t="shared" ref="G88:G104" si="14">E88*F88</f>
        <v>66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500</v>
      </c>
      <c r="F91" s="23">
        <v>0.35</v>
      </c>
      <c r="G91" s="23">
        <f t="shared" si="14"/>
        <v>175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>
        <v>500</v>
      </c>
      <c r="F92" s="23">
        <v>0.35</v>
      </c>
      <c r="G92" s="23">
        <f t="shared" si="14"/>
        <v>175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400</v>
      </c>
      <c r="F94" s="23">
        <v>0.28000000000000003</v>
      </c>
      <c r="G94" s="23">
        <f t="shared" si="14"/>
        <v>112.00000000000001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>
        <v>200</v>
      </c>
      <c r="F95" s="23">
        <v>0.35</v>
      </c>
      <c r="G95" s="23">
        <f t="shared" si="14"/>
        <v>70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260</v>
      </c>
      <c r="F96" s="23">
        <v>0.28000000000000003</v>
      </c>
      <c r="G96" s="23">
        <f t="shared" si="14"/>
        <v>72.800000000000011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500</v>
      </c>
      <c r="F97" s="23">
        <v>0.35</v>
      </c>
      <c r="G97" s="23">
        <f t="shared" si="14"/>
        <v>175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>
        <v>200</v>
      </c>
      <c r="F98" s="23">
        <v>0.31</v>
      </c>
      <c r="G98" s="23">
        <f t="shared" si="14"/>
        <v>62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500</v>
      </c>
      <c r="F100" s="23">
        <v>0.28000000000000003</v>
      </c>
      <c r="G100" s="23">
        <f t="shared" si="14"/>
        <v>140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>
        <v>40</v>
      </c>
      <c r="F106" s="60">
        <v>0.52</v>
      </c>
      <c r="G106" s="23">
        <f t="shared" ref="G106:G109" si="16">E106</f>
        <v>40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>
        <v>60</v>
      </c>
      <c r="F108" s="23">
        <v>0.5</v>
      </c>
      <c r="G108" s="23">
        <f t="shared" si="16"/>
        <v>60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>
        <v>40</v>
      </c>
      <c r="F109" s="23">
        <v>0.49399999999999999</v>
      </c>
      <c r="G109" s="23">
        <f t="shared" si="16"/>
        <v>40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160</v>
      </c>
      <c r="F116" s="23">
        <v>0.25</v>
      </c>
      <c r="G116" s="23">
        <f t="shared" si="17"/>
        <v>40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260</v>
      </c>
      <c r="F119" s="23">
        <v>0.25</v>
      </c>
      <c r="G119" s="23">
        <f t="shared" si="17"/>
        <v>65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>
        <v>400</v>
      </c>
      <c r="F120" s="23">
        <v>0.25</v>
      </c>
      <c r="G120" s="23">
        <f t="shared" si="17"/>
        <v>100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200</v>
      </c>
      <c r="F121" s="23">
        <v>0.25</v>
      </c>
      <c r="G121" s="23">
        <f t="shared" si="17"/>
        <v>50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350</v>
      </c>
      <c r="F122" s="23">
        <v>0.25</v>
      </c>
      <c r="G122" s="23">
        <f t="shared" si="17"/>
        <v>87.5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250</v>
      </c>
      <c r="F123" s="23">
        <v>0.22</v>
      </c>
      <c r="G123" s="23">
        <f t="shared" si="17"/>
        <v>55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>
        <v>200</v>
      </c>
      <c r="F126" s="23">
        <v>0.15</v>
      </c>
      <c r="G126" s="23">
        <f t="shared" ref="G126:G136" si="19">E126*F126</f>
        <v>30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250</v>
      </c>
      <c r="F128" s="23">
        <v>0.12</v>
      </c>
      <c r="G128" s="23">
        <f t="shared" si="19"/>
        <v>30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100</v>
      </c>
      <c r="F129" s="23">
        <v>0.1</v>
      </c>
      <c r="G129" s="23">
        <f t="shared" si="19"/>
        <v>10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120</v>
      </c>
      <c r="F131" s="23">
        <v>0.09</v>
      </c>
      <c r="G131" s="23">
        <f t="shared" si="19"/>
        <v>10.799999999999999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>
        <v>120</v>
      </c>
      <c r="F132" s="23">
        <v>0.09</v>
      </c>
      <c r="G132" s="23">
        <f t="shared" si="19"/>
        <v>10.799999999999999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120</v>
      </c>
      <c r="F135" s="23">
        <v>0.1</v>
      </c>
      <c r="G135" s="23">
        <f t="shared" si="19"/>
        <v>12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201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202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>
        <v>80</v>
      </c>
      <c r="F138" s="23">
        <v>1.2</v>
      </c>
      <c r="G138" s="23">
        <f>E138</f>
        <v>80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>
        <v>160</v>
      </c>
      <c r="F140" s="60">
        <v>1.35</v>
      </c>
      <c r="G140" s="23">
        <f t="shared" ref="G140:G143" si="21">E140</f>
        <v>160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>
        <v>70</v>
      </c>
      <c r="F141" s="60">
        <v>1.5</v>
      </c>
      <c r="G141" s="23">
        <f t="shared" si="21"/>
        <v>70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>
        <v>100</v>
      </c>
      <c r="F142" s="60">
        <v>3</v>
      </c>
      <c r="G142" s="23">
        <f t="shared" si="21"/>
        <v>100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250</v>
      </c>
      <c r="F144" s="60">
        <v>0.4</v>
      </c>
      <c r="G144" s="23">
        <f t="shared" ref="G144:G147" si="22">E144*F144</f>
        <v>100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/>
      <c r="F145" s="60">
        <v>0.4</v>
      </c>
      <c r="G145" s="23">
        <f t="shared" si="22"/>
        <v>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300</v>
      </c>
      <c r="F154" s="23">
        <v>0.3</v>
      </c>
      <c r="G154" s="23">
        <f t="shared" si="24"/>
        <v>90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240</v>
      </c>
      <c r="F155" s="23">
        <v>0.18</v>
      </c>
      <c r="G155" s="23">
        <f t="shared" si="24"/>
        <v>43.199999999999996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4"/>
        <v>0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200</v>
      </c>
      <c r="F158" s="23">
        <v>0.1</v>
      </c>
      <c r="G158" s="23">
        <f t="shared" si="24"/>
        <v>20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14540</v>
      </c>
      <c r="F163" s="17"/>
      <c r="G163" s="17">
        <f>SUM(G11:G162)</f>
        <v>7158.7000000000007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2026-07-27T09:01:59Z</dcterms:modified>
</cp:coreProperties>
</file>