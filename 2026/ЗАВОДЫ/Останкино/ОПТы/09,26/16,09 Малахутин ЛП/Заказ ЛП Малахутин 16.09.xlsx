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6,09 Малахутин ЛП\"/>
    </mc:Choice>
  </mc:AlternateContent>
  <xr:revisionPtr revIDLastSave="0" documentId="13_ncr:1_{D13EBF5B-FEE5-4694-B5EF-649356BE02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<sst xmlns="http://schemas.openxmlformats.org/spreadsheetml/2006/main" count="677" uniqueCount="221">
  <si>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</si>
  <si>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</si>
  <si>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</si>
  <si>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</si>
  <si>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</si>
  <si>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</si>
  <si>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</si>
  <si>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</si>
  <si>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</si>
  <si>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</si>
  <si>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</si>
  <si>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</si>
  <si>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</si>
  <si>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</si>
  <si>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</si>
  <si>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</si>
  <si>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</si>
  <si>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</si>
  <si>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</si>
  <si>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</si>
  <si>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</si>
  <si>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</si>
  <si>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</si>
  <si>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</si>
  <si>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</si>
  <si>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</si>
  <si>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</si>
  <si>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</si>
  <si>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</si>
  <si>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</si>
  <si>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</si>
  <si>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</si>
  <si>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</si>
  <si>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</si>
  <si>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</si>
  <si>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</si>
  <si>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</si>
  <si>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</si>
  <si>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</si>
  <si>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</si>
  <si>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</si>
  <si>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</si>
  <si>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</si>
  <si>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</si>
  <si>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</si>
  <si>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</si>
  <si>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</si>
  <si>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</si>
  <si>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</si>
  <si>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</si>
  <si>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</si>
  <si>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</si>
  <si>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</si>
  <si>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</si>
  <si>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</si>
  <si>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</si>
  <si>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</si>
  <si>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</si>
  <si>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</si>
  <si>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</si>
  <si>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</si>
  <si>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</si>
  <si>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</si>
  <si>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</si>
  <si>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</si>
  <si>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</si>
  <si>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</si>
  <si>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</si>
  <si>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</si>
  <si>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</si>
  <si>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</si>
  <si>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</si>
  <si>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</si>
  <si>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</si>
  <si>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</si>
  <si>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</si>
  <si>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</si>
  <si>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</si>
  <si>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</si>
  <si>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</si>
  <si>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</si>
  <si>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</si>
  <si>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</si>
  <si>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</si>
  <si>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</si>
  <si>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</si>
  <si>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</si>
  <si>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</si>
  <si>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</si>
  <si>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</si>
  <si>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</si>
  <si>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</si>
  <si>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</si>
  <si>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</si>
  <si>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</si>
  <si>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</si>
  <si>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</si>
  <si>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</si>
  <si>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</si>
  <si>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</si>
  <si>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</si>
  <si>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</si>
  <si>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</si>
  <si>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</si>
  <si>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</si>
  <si>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</si>
  <si>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</si>
  <si>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</si>
  <si>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</si>
  <si>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</si>
  <si>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</si>
  <si>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</si>
  <si>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</si>
  <si>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</si>
  <si>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</si>
  <si>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</si>
  <si>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</si>
  <si>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</si>
  <si>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</si>
  <si>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</si>
  <si>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</si>
  <si>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</si>
  <si>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</si>
  <si>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</si>
  <si>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</si>
  <si>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</si>
  <si>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</si>
  <si>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</si>
  <si>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</si>
  <si>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</si>
  <si>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</si>
  <si>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</si>
  <si>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</si>
  <si>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</si>
  <si>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</si>
  <si>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</si>
  <si>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</si>
  <si>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</si>
  <si>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</si>
  <si>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</si>
  <si>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</si>
  <si>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</si>
  <si>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</si>
  <si>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</si>
  <si>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</si>
  <si>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</si>
  <si>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</si>
  <si>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</si>
  <si>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</si>
  <si>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</si>
  <si>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</si>
  <si>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</si>
  <si>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</si>
  <si>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</si>
  <si>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</si>
  <si>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</si>
  <si>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</si>
  <si>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</si>
  <si>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</si>
  <si>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</si>
  <si>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</si>
  <si>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</si>
  <si>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</si>
  <si>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</si>
  <si>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</si>
  <si>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</si>
  <si>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</si>
  <si>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</si>
  <si>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</si>
  <si>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</si>
  <si>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</si>
  <si>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</si>
  <si>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</si>
  <si>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</si>
  <si>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</si>
  <si>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</si>
  <si>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</si>
  <si>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</si>
  <si>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</si>
  <si>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</si>
  <si>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</si>
  <si>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</si>
  <si>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</si>
  <si>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</si>
  <si>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</si>
  <si>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</si>
  <si>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</si>
  <si>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</si>
  <si>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</si>
  <si>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</si>
  <si>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</si>
  <si>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</si>
  <si>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</si>
  <si>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</si>
  <si>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</si>
  <si>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</si>
  <si>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</si>
  <si>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</si>
  <si>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</si>
  <si>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</si>
  <si>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</si>
  <si>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</si>
  <si>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</si>
  <si>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</si>
  <si>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</si>
  <si>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</si>
  <si>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</si>
  <si>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</si>
  <si>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</si>
  <si>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</si>
  <si>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</si>
  <si>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</si>
  <si>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</si>
  <si>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</si>
  <si>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</si>
  <si>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</si>
  <si>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</si>
  <si>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</si>
  <si>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</si>
  <si>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</si>
  <si>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 xml:space="preserve">г. Донецк ул. Чаадаева,1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</si>
</sst>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85" zoomScaleNormal="85" workbookViewId="0">
      <pane ySplit="9" topLeftCell="A160" activePane="bottomLeft" state="frozen"/>
      <selection pane="bottomLeft" activeCell="K172" sqref="K172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5" t="s">
        <v>219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46285</v>
      </c>
      <c r="E3" s="7" t="s">
        <v>2</v>
      </c>
      <c r="F3" s="55">
        <f>D3+3</f>
        <v>46288</v>
      </c>
      <c r="G3" s="158" t="s">
        <v>220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thickTop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>
        <v>35</v>
      </c>
      <c r="F13" s="23">
        <v>1.35</v>
      </c>
      <c r="G13" s="23">
        <f t="shared" ref="G13:G20" si="1">E13</f>
        <v>35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>
        <v>35</v>
      </c>
      <c r="F14" s="23">
        <v>1.35</v>
      </c>
      <c r="G14" s="23">
        <f t="shared" si="1"/>
        <v>35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>
        <v>35</v>
      </c>
      <c r="F15" s="23">
        <v>1.35</v>
      </c>
      <c r="G15" s="23">
        <f t="shared" si="1"/>
        <v>35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>
        <v>180</v>
      </c>
      <c r="F16" s="23">
        <v>1.35</v>
      </c>
      <c r="G16" s="23">
        <f t="shared" si="1"/>
        <v>180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>
        <v>50</v>
      </c>
      <c r="F17" s="23">
        <v>1.35</v>
      </c>
      <c r="G17" s="23">
        <f t="shared" si="1"/>
        <v>50</v>
      </c>
      <c r="H17" s="14">
        <v>4.05</v>
      </c>
      <c r="I17" s="14">
        <v>60</v>
      </c>
      <c r="J17" s="29"/>
      <c r="L17" s="122"/>
    </row>
    <row r="18" spans="1:67" ht="16.5" hidden="1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>
        <v>36</v>
      </c>
      <c r="F21" s="23">
        <v>0.35</v>
      </c>
      <c r="G21" s="23">
        <f>E21*F21</f>
        <v>12.6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48</v>
      </c>
      <c r="F23" s="23">
        <v>0.4</v>
      </c>
      <c r="G23" s="23">
        <f t="shared" si="2"/>
        <v>19.200000000000003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>
        <v>30</v>
      </c>
      <c r="F25" s="60">
        <v>0.4</v>
      </c>
      <c r="G25" s="23">
        <f t="shared" ref="G25:G33" si="4">E25*F25</f>
        <v>12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>
        <v>30</v>
      </c>
      <c r="F26" s="60">
        <v>0.4</v>
      </c>
      <c r="G26" s="23">
        <f t="shared" si="4"/>
        <v>12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hidden="1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4"/>
        <v>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16</v>
      </c>
      <c r="F30" s="23">
        <v>0.4</v>
      </c>
      <c r="G30" s="23">
        <f t="shared" si="4"/>
        <v>6.4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>
        <v>24</v>
      </c>
      <c r="F32" s="60">
        <v>0.4</v>
      </c>
      <c r="G32" s="23">
        <f t="shared" si="4"/>
        <v>9.6000000000000014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hidden="1" customHeight="1" thickBot="1" x14ac:dyDescent="0.25">
      <c r="A33" s="58"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4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customHeight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>
        <v>30</v>
      </c>
      <c r="F35" s="60">
        <v>1.04</v>
      </c>
      <c r="G35" s="23">
        <f t="shared" ref="G35:G46" si="5">E35</f>
        <v>30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>
        <v>30</v>
      </c>
      <c r="F37" s="60">
        <v>1</v>
      </c>
      <c r="G37" s="23">
        <f t="shared" si="5"/>
        <v>30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hidden="1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5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>
        <v>100</v>
      </c>
      <c r="F42" s="60">
        <v>1.5</v>
      </c>
      <c r="G42" s="23">
        <f t="shared" si="5"/>
        <v>100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>
        <v>70</v>
      </c>
      <c r="F45" s="60">
        <v>1.5</v>
      </c>
      <c r="G45" s="23">
        <f t="shared" si="5"/>
        <v>70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>
        <v>50</v>
      </c>
      <c r="F46" s="60">
        <v>1.5</v>
      </c>
      <c r="G46" s="23">
        <f t="shared" si="5"/>
        <v>50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>
        <v>40</v>
      </c>
      <c r="F48" s="60">
        <v>0.41</v>
      </c>
      <c r="G48" s="23">
        <f t="shared" si="6"/>
        <v>16.399999999999999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>
        <v>78</v>
      </c>
      <c r="F49" s="60">
        <v>0.36</v>
      </c>
      <c r="G49" s="23">
        <f t="shared" si="6"/>
        <v>28.08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hidden="1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6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hidden="1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36</v>
      </c>
      <c r="F55" s="60">
        <v>0.33</v>
      </c>
      <c r="G55" s="23">
        <f>E55*F55</f>
        <v>11.88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hidden="1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6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50</v>
      </c>
      <c r="F61" s="23">
        <v>0.41</v>
      </c>
      <c r="G61" s="23">
        <f t="shared" si="6"/>
        <v>20.5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>
        <v>32</v>
      </c>
      <c r="F62" s="23">
        <v>0.41</v>
      </c>
      <c r="G62" s="23">
        <f t="shared" si="6"/>
        <v>13.12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24</v>
      </c>
      <c r="F63" s="23">
        <v>0.4</v>
      </c>
      <c r="G63" s="23">
        <f t="shared" si="6"/>
        <v>9.6000000000000014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hidden="1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/>
      <c r="F68" s="23">
        <v>0.3</v>
      </c>
      <c r="G68" s="23">
        <f t="shared" si="6"/>
        <v>0</v>
      </c>
      <c r="H68" s="14">
        <v>2.1</v>
      </c>
      <c r="I68" s="14">
        <v>50</v>
      </c>
      <c r="J68" s="29"/>
      <c r="L68" s="122"/>
    </row>
    <row r="69" spans="1:12" ht="16.5" hidden="1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/>
      <c r="F69" s="23">
        <v>0.3</v>
      </c>
      <c r="G69" s="23">
        <f t="shared" si="6"/>
        <v>0</v>
      </c>
      <c r="H69" s="14">
        <v>2.4</v>
      </c>
      <c r="I69" s="14">
        <v>45</v>
      </c>
      <c r="J69" s="29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25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>
        <v>20</v>
      </c>
      <c r="F75" s="23">
        <v>1</v>
      </c>
      <c r="G75" s="23">
        <f t="shared" si="7"/>
        <v>20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>
        <v>35</v>
      </c>
      <c r="F78" s="23">
        <v>1</v>
      </c>
      <c r="G78" s="23">
        <f t="shared" si="7"/>
        <v>35</v>
      </c>
      <c r="H78" s="14">
        <v>3</v>
      </c>
      <c r="I78" s="14">
        <v>45</v>
      </c>
      <c r="J78" s="29"/>
      <c r="L78" s="122"/>
    </row>
    <row r="79" spans="1:12" ht="16.5" hidden="1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hidden="1" customHeight="1" thickBot="1" x14ac:dyDescent="0.25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>
        <v>25</v>
      </c>
      <c r="F86" s="60">
        <v>0.81</v>
      </c>
      <c r="G86" s="23">
        <f t="shared" si="9"/>
        <v>25</v>
      </c>
      <c r="H86" s="61">
        <v>4.8600000000000003</v>
      </c>
      <c r="I86" s="61">
        <v>45</v>
      </c>
      <c r="J86" s="61"/>
      <c r="L86" s="122"/>
    </row>
    <row r="87" spans="1:12" ht="16.5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>
        <v>25</v>
      </c>
      <c r="F87" s="60">
        <v>0.84</v>
      </c>
      <c r="G87" s="23">
        <f>E87*F87</f>
        <v>21</v>
      </c>
      <c r="H87" s="61">
        <v>5.04</v>
      </c>
      <c r="I87" s="61">
        <v>50</v>
      </c>
      <c r="J87" s="61"/>
      <c r="L87" s="122"/>
    </row>
    <row r="88" spans="1:12" ht="16.5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>
        <v>25</v>
      </c>
      <c r="F88" s="60">
        <v>0.63</v>
      </c>
      <c r="G88" s="23">
        <f t="shared" ref="G88:G89" si="10">E88</f>
        <v>25</v>
      </c>
      <c r="H88" s="61">
        <v>5.04</v>
      </c>
      <c r="I88" s="61">
        <v>50</v>
      </c>
      <c r="J88" s="61"/>
      <c r="L88" s="122"/>
    </row>
    <row r="89" spans="1:12" ht="16.5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>
        <v>50</v>
      </c>
      <c r="F89" s="60">
        <v>0.7</v>
      </c>
      <c r="G89" s="23">
        <f t="shared" si="10"/>
        <v>50</v>
      </c>
      <c r="H89" s="61">
        <v>5.6</v>
      </c>
      <c r="I89" s="61">
        <v>50</v>
      </c>
      <c r="J89" s="61"/>
      <c r="L89" s="122"/>
    </row>
    <row r="90" spans="1:12" ht="16.5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>
        <v>32</v>
      </c>
      <c r="F90" s="23">
        <v>0.33</v>
      </c>
      <c r="G90" s="23">
        <f t="shared" ref="G90:G107" si="11">E90*F90</f>
        <v>10.56</v>
      </c>
      <c r="H90" s="14">
        <v>2.64</v>
      </c>
      <c r="I90" s="14">
        <v>45</v>
      </c>
      <c r="J90" s="53" t="s">
        <v>170</v>
      </c>
      <c r="L90" s="122"/>
    </row>
    <row r="91" spans="1:12" ht="16.5" hidden="1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40</v>
      </c>
      <c r="F94" s="23">
        <v>0.35</v>
      </c>
      <c r="G94" s="23">
        <f t="shared" si="11"/>
        <v>14</v>
      </c>
      <c r="H94" s="14">
        <v>2.8</v>
      </c>
      <c r="I94" s="14">
        <v>45</v>
      </c>
      <c r="J94" s="29"/>
      <c r="L94" s="122"/>
    </row>
    <row r="95" spans="1:12" ht="16.5" hidden="1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/>
      <c r="F95" s="23">
        <v>0.35</v>
      </c>
      <c r="G95" s="23">
        <f t="shared" si="11"/>
        <v>0</v>
      </c>
      <c r="H95" s="14">
        <v>2.8</v>
      </c>
      <c r="I95" s="14">
        <v>50</v>
      </c>
      <c r="J95" s="29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24</v>
      </c>
      <c r="F97" s="23">
        <v>0.28000000000000003</v>
      </c>
      <c r="G97" s="23">
        <f t="shared" si="11"/>
        <v>6.7200000000000006</v>
      </c>
      <c r="H97" s="14">
        <v>2.2400000000000002</v>
      </c>
      <c r="I97" s="14">
        <v>45</v>
      </c>
      <c r="J97" s="50"/>
      <c r="L97" s="122"/>
    </row>
    <row r="98" spans="1:67" ht="15.75" hidden="1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  <c r="L98" s="122"/>
    </row>
    <row r="99" spans="1:67" ht="15.75" hidden="1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80</v>
      </c>
      <c r="F100" s="23">
        <v>0.35</v>
      </c>
      <c r="G100" s="23">
        <f t="shared" si="11"/>
        <v>28</v>
      </c>
      <c r="H100" s="14">
        <v>2.8</v>
      </c>
      <c r="I100" s="14">
        <v>50</v>
      </c>
      <c r="J100" s="50"/>
      <c r="L100" s="122"/>
    </row>
    <row r="101" spans="1:67" ht="15.75" hidden="1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hidden="1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/>
      <c r="F103" s="23">
        <v>0.28000000000000003</v>
      </c>
      <c r="G103" s="23">
        <f t="shared" si="11"/>
        <v>0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25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hidden="1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8</v>
      </c>
      <c r="F119" s="23">
        <v>0.25</v>
      </c>
      <c r="G119" s="23">
        <f t="shared" si="13"/>
        <v>2</v>
      </c>
      <c r="H119" s="14">
        <v>2</v>
      </c>
      <c r="I119" s="14">
        <v>120</v>
      </c>
      <c r="J119" s="29"/>
      <c r="L119" s="122"/>
    </row>
    <row r="120" spans="1:12" ht="16.5" hidden="1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hidden="1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/>
      <c r="F122" s="23">
        <v>0.25</v>
      </c>
      <c r="G122" s="23">
        <f t="shared" si="13"/>
        <v>0</v>
      </c>
      <c r="H122" s="14">
        <v>2</v>
      </c>
      <c r="I122" s="14">
        <v>120</v>
      </c>
      <c r="J122" s="29"/>
      <c r="L122" s="122"/>
    </row>
    <row r="123" spans="1:12" ht="16.5" hidden="1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  <c r="L123" s="122"/>
    </row>
    <row r="124" spans="1:12" ht="16.5" hidden="1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>
        <v>16</v>
      </c>
      <c r="F125" s="23">
        <v>0.25</v>
      </c>
      <c r="G125" s="23">
        <f t="shared" si="13"/>
        <v>4</v>
      </c>
      <c r="H125" s="14">
        <v>2</v>
      </c>
      <c r="I125" s="14">
        <v>120</v>
      </c>
      <c r="J125" s="29"/>
      <c r="L125" s="122"/>
    </row>
    <row r="126" spans="1:12" ht="16.5" hidden="1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/>
      <c r="F126" s="23">
        <v>0.22</v>
      </c>
      <c r="G126" s="23">
        <f t="shared" si="13"/>
        <v>0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hidden="1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16</v>
      </c>
      <c r="F131" s="23">
        <v>0.12</v>
      </c>
      <c r="G131" s="23">
        <f t="shared" si="15"/>
        <v>1.92</v>
      </c>
      <c r="H131" s="14">
        <v>0.96</v>
      </c>
      <c r="I131" s="14">
        <v>60</v>
      </c>
      <c r="J131" s="29"/>
      <c r="L131" s="122"/>
    </row>
    <row r="132" spans="1:67" ht="16.5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>
        <v>20</v>
      </c>
      <c r="F132" s="23">
        <v>0.1</v>
      </c>
      <c r="G132" s="23">
        <f t="shared" si="15"/>
        <v>2</v>
      </c>
      <c r="H132" s="14">
        <v>1</v>
      </c>
      <c r="I132" s="14">
        <v>60</v>
      </c>
      <c r="J132" s="53" t="s">
        <v>205</v>
      </c>
      <c r="L132" s="122"/>
    </row>
    <row r="133" spans="1:67" ht="16.5" hidden="1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/>
      <c r="F133" s="23">
        <v>0.1</v>
      </c>
      <c r="G133" s="23">
        <f t="shared" si="15"/>
        <v>0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20</v>
      </c>
      <c r="F134" s="23">
        <v>0.09</v>
      </c>
      <c r="G134" s="23">
        <f t="shared" si="15"/>
        <v>1.7999999999999998</v>
      </c>
      <c r="H134" s="14">
        <v>0.9</v>
      </c>
      <c r="I134" s="14">
        <v>60</v>
      </c>
      <c r="J134" s="29"/>
      <c r="L134" s="122"/>
    </row>
    <row r="135" spans="1:67" ht="16.5" hidden="1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15"/>
        <v>0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customHeight="1" x14ac:dyDescent="0.25">
      <c r="A139" s="145">
        <v>7626</v>
      </c>
      <c r="B139" s="54" t="s">
        <v>201</v>
      </c>
      <c r="C139" s="51" t="s">
        <v>20</v>
      </c>
      <c r="D139" s="52">
        <v>1001066607626</v>
      </c>
      <c r="E139" s="24">
        <v>20</v>
      </c>
      <c r="F139" s="23">
        <v>0.1</v>
      </c>
      <c r="G139" s="23">
        <f t="shared" si="15"/>
        <v>2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>
        <v>8</v>
      </c>
      <c r="F143" s="60">
        <v>1.35</v>
      </c>
      <c r="G143" s="23">
        <f t="shared" ref="G143:G146" si="16">E143</f>
        <v>8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hidden="1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/>
      <c r="F147" s="60">
        <v>0.4</v>
      </c>
      <c r="G147" s="23">
        <f t="shared" ref="G147:G150" si="17">E147*F147</f>
        <v>0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hidden="1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/>
      <c r="F148" s="60">
        <v>0.4</v>
      </c>
      <c r="G148" s="23">
        <f t="shared" si="17"/>
        <v>0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hidden="1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>E151*F151</f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hidden="1" customHeight="1" thickBot="1" x14ac:dyDescent="0.25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25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customHeight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>
        <v>30</v>
      </c>
      <c r="F156" s="23">
        <v>1.05</v>
      </c>
      <c r="G156" s="23">
        <f>E156</f>
        <v>30</v>
      </c>
      <c r="H156" s="14">
        <v>3.15</v>
      </c>
      <c r="I156" s="14">
        <v>30</v>
      </c>
      <c r="J156" s="29"/>
      <c r="L156" s="122"/>
    </row>
    <row r="157" spans="1:67" ht="16.5" hidden="1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hidden="1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/>
      <c r="F159" s="23">
        <v>0.3</v>
      </c>
      <c r="G159" s="23">
        <f t="shared" si="18"/>
        <v>0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30</v>
      </c>
      <c r="F160" s="23">
        <v>0.18</v>
      </c>
      <c r="G160" s="23">
        <f t="shared" si="18"/>
        <v>5.3999999999999995</v>
      </c>
      <c r="H160" s="14">
        <v>1.8</v>
      </c>
      <c r="I160" s="14">
        <v>50</v>
      </c>
      <c r="J160" s="29"/>
      <c r="L160" s="122"/>
    </row>
    <row r="161" spans="1:12" ht="16.5" hidden="1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/>
      <c r="F161" s="23">
        <v>0.15</v>
      </c>
      <c r="G161" s="23">
        <f t="shared" si="18"/>
        <v>0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>
        <v>20</v>
      </c>
      <c r="F163" s="23">
        <v>0.1</v>
      </c>
      <c r="G163" s="23">
        <f t="shared" si="18"/>
        <v>2</v>
      </c>
      <c r="H163" s="14">
        <v>1</v>
      </c>
      <c r="I163" s="14">
        <v>45</v>
      </c>
      <c r="J163" s="29"/>
      <c r="L163" s="122"/>
    </row>
    <row r="164" spans="1:12" ht="16.5" hidden="1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/>
      <c r="F164" s="23">
        <v>0.09</v>
      </c>
      <c r="G164" s="23">
        <f t="shared" si="18"/>
        <v>0</v>
      </c>
      <c r="H164" s="14">
        <v>0.72</v>
      </c>
      <c r="I164" s="14">
        <v>60</v>
      </c>
      <c r="J164" s="29"/>
      <c r="L164" s="122"/>
    </row>
    <row r="165" spans="1:12" ht="16.5" hidden="1" customHeight="1" x14ac:dyDescent="0.25">
      <c r="A165" s="58">
        <v>6208</v>
      </c>
      <c r="B165" s="35" t="s">
        <v>99</v>
      </c>
      <c r="C165" s="51" t="s">
        <v>20</v>
      </c>
      <c r="D165" s="52">
        <v>1001220226208</v>
      </c>
      <c r="E165" s="24"/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  <c r="L165" s="122"/>
    </row>
    <row r="166" spans="1:12" ht="16.5" hidden="1" customHeight="1" x14ac:dyDescent="0.25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>
        <v>40</v>
      </c>
      <c r="F167" s="23">
        <v>0.1</v>
      </c>
      <c r="G167" s="23">
        <f t="shared" si="18"/>
        <v>4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1643</v>
      </c>
      <c r="F168" s="17"/>
      <c r="G168" s="17">
        <f>SUM(G11:G167)</f>
        <v>1084.78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2026-09-16T11:24:08Z</dcterms:modified>
</cp:coreProperties>
</file>