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_Poliakov_PRS\"/>
    </mc:Choice>
  </mc:AlternateContent>
  <xr:revisionPtr revIDLastSave="0" documentId="13_ncr:1_{0F55BEDB-9293-4026-96D5-08D0C0A01E1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Бланк!$A$9:$K$144</definedName>
    <definedName name="кол_во_инд.__упак_к">Бланк!$AC$3:$AC$580</definedName>
    <definedName name="номин.вес_нетто__кг">Бланк!$W$3:$W$580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4" i="1" l="1"/>
  <c r="G143" i="1"/>
  <c r="A143" i="1"/>
  <c r="G142" i="1"/>
  <c r="A142" i="1"/>
  <c r="G141" i="1"/>
  <c r="A141" i="1"/>
  <c r="G140" i="1"/>
  <c r="A140" i="1"/>
  <c r="G139" i="1"/>
  <c r="A139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A62" i="1"/>
  <c r="G61" i="1"/>
  <c r="A61" i="1"/>
  <c r="G60" i="1"/>
  <c r="A60" i="1"/>
  <c r="G59" i="1"/>
  <c r="A59" i="1"/>
  <c r="G58" i="1"/>
  <c r="A58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44" i="1" s="1"/>
  <c r="A11" i="1"/>
  <c r="F3" i="1"/>
</calcChain>
</file>

<file path=xl/sharedStrings.xml><?xml version="1.0" encoding="utf-8"?>
<sst xmlns="http://schemas.openxmlformats.org/spreadsheetml/2006/main" count="281" uniqueCount="158">
  <si>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</si>
  <si>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</si>
  <si>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</si>
  <si>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</si>
  <si>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</si>
  <si>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</si>
  <si>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</si>
  <si>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</si>
  <si>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</si>
  <si>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</si>
  <si>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</si>
  <si>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</si>
  <si>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</si>
  <si>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</si>
  <si>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</si>
  <si>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</si>
  <si>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</si>
  <si>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</si>
  <si>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</si>
  <si>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</si>
  <si>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 6шт.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</si>
  <si>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</si>
  <si>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</si>
  <si>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</si>
  <si>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</si>
  <si>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</si>
  <si>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ДОКТОРСКАЯ ГОСТ вар б/о мгс</t>
  </si>
  <si>
    <t>ДОКТОРСКАЯ ГОСТ Папа может вар п/о</t>
  </si>
  <si>
    <t>МЯСНАЯ СО ШПИКОМ Папа может вар п/о</t>
  </si>
  <si>
    <t>СЕМЕЙНАЯ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</si>
  <si>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</si>
  <si>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</si>
  <si>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</si>
  <si>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</si>
  <si>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</si>
  <si>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</si>
  <si>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</si>
  <si>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</si>
  <si>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</si>
  <si>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</si>
  <si>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ГОВЯЖЬЯ Папа может вар п/о 0.4кг 8шт.</t>
  </si>
  <si>
    <t>ДОКТОРСКАЯ ГОСТ вар п/о 0.4кг 8шт.</t>
  </si>
  <si>
    <t>МОЛОЧНАЯ Папа может вар п/о</t>
  </si>
  <si>
    <t>МОЛОЧНАЯ Останкино вар п/о</t>
  </si>
  <si>
    <t>РУССКАЯ ГОСТ вар п/о</t>
  </si>
  <si>
    <t>Сосиски</t>
  </si>
  <si>
    <t>МЯСНЫЕ С ГОВЯД.ПМ сос п/о мгс 0.4кг 6шт.</t>
  </si>
  <si>
    <t xml:space="preserve"> БАВАРСКИЕ ПМ сос ц/о мгс 0.35кг 8шт.</t>
  </si>
  <si>
    <t>МЯСНЫЕ Папа может сос п/о мгс  1.5*3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</si>
  <si>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</si>
  <si>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</si>
  <si>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</si>
  <si>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</si>
  <si>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</si>
  <si>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</si>
  <si>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</si>
  <si>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1.5*4_Маяк</t>
  </si>
  <si>
    <t>С СЫРОМ Папа может сос ц/о мгс 0.4кг 6шт</t>
  </si>
  <si>
    <t>СОЧНЫЙ ГРИЛЬ ПМ сос п/о мгс 0.41кг 8шт.</t>
  </si>
  <si>
    <t>ФИЛЕЙНЫЕ Папа может сос ц/о мгс 0.33кг</t>
  </si>
  <si>
    <t>ДЛЯ ДЕТЕЙ сос п/о мгс 0.33кг 6шт.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</si>
  <si>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</si>
  <si>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</si>
  <si>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</si>
  <si>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</si>
  <si>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МОЛОЧНЫЕ КЛАССИЧЕСКИЕ сос п/о в/у 0.3кг</t>
  </si>
  <si>
    <t>МОЛОЧ.ПРЕМИУМ ПМ сос п/о мгс 0.6кг_50с</t>
  </si>
  <si>
    <t>МОЛОЧНЫЕ ГОСТ сос ц/о мгс 1*4</t>
  </si>
  <si>
    <t>СЛИВОЧНЫЕ ПМ сос п/о мгс 0.41кг 10шт_50с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</si>
  <si>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</si>
  <si>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</si>
  <si>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</si>
  <si>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</si>
  <si>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</si>
  <si>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</si>
  <si>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</si>
  <si>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</si>
  <si>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МРАМОРНАЯ ПРЕМИУМ в/к в/у 0.33кг 8шт.</t>
  </si>
  <si>
    <t>МРАМОРНАЯ ПРЕМИУМ в/к в/у</t>
  </si>
  <si>
    <t>БАЛЫКОВАЯ Коровино п/к в/у 0.84кг_50с</t>
  </si>
  <si>
    <t>БАЛЫКОВАЯ в/к в/у 0.84кг</t>
  </si>
  <si>
    <t>БАЛЫКОВАЯ ПМ п/к в/у 0.31кг 8шт_209к</t>
  </si>
  <si>
    <t>БОЯNСКАЯ Папа может п/к в/у 0.28кг 8шт.</t>
  </si>
  <si>
    <t>БОЯNСКАЯ ПМ п/к в/у 0.28кг 8шт_50с</t>
  </si>
  <si>
    <t>БОЯNСКАЯ ПМ п/к в/у 0.28кг 8шт_209к</t>
  </si>
  <si>
    <t>САЛЯМИ Папа может п/к в/у 0.28кг 8шт.</t>
  </si>
  <si>
    <t>САЛЯМИ Папа может п/к в/у 0.28кг_209к</t>
  </si>
  <si>
    <t>СЕРВЕЛАТ ЗЕРНИСТЫЙ ПМ в/к в/у срез 1/350</t>
  </si>
  <si>
    <t>СЕРВЕЛАТ ЗЕРНИСТЫЙ Папа может в/к в/у</t>
  </si>
  <si>
    <t>СЕРВЕЛАТ КРЕМЛЕВСКИЙ в/к в/у 0.33кг 8шт.</t>
  </si>
  <si>
    <t>СЕРВЕЛАТ ФИНСКИЙ ПМ в/к в/у 0.35кг 8шт.</t>
  </si>
  <si>
    <t>СЕРВЕЛАТ ШВАРЦЕР ПМ в/к в/у 0.28кг 8шт.</t>
  </si>
  <si>
    <t>СЕРВЕЛАТ ШВАРЦЕР ПМ в/к в/у 0.28кг_209к</t>
  </si>
  <si>
    <t>СЕРВЕЛАТ КАРЕЛЬСКИЙ ПМ в/к в/у 0.28кг</t>
  </si>
  <si>
    <t>СЕРВЕЛАТ ОХОТНИЧИЙ в/к в/у срез 0.35кг</t>
  </si>
  <si>
    <t>СЕРВЕЛАТ ЗЕРНИСТЫЙ ПМ в/к в/у_50с</t>
  </si>
  <si>
    <t>СЕРВЕЛАТ ОХОТНИЧИЙ ПМ в/к в/у_50с</t>
  </si>
  <si>
    <t>СЕРВЕЛАТ ЗЕРНИСТЫЙ ПМ в/к в/у 0.35кг_50с</t>
  </si>
  <si>
    <t>СЕРВЕЛАТ ОХОТНИЧИЙ ПМ в/к в/у 0.35кг_50с</t>
  </si>
  <si>
    <t>СЕРВЕЛАТ ОХОТНИЧИЙ в/к в/у</t>
  </si>
  <si>
    <t>СЕРВЕЛАТ ФИНСКИЙ в/к в/у_45с</t>
  </si>
  <si>
    <t>СЕРВЕЛАТ ЕВРОПЕЙСКИЙ в/к в/у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</si>
  <si>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</si>
  <si>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</si>
  <si>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</si>
  <si>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ОРЕХОВЫЙ ПМ в/к в/у 0.31кг 8шт.</t>
  </si>
  <si>
    <t>СЕРВЕЛАТ ОРЕХОВЫЙ в/к в/у 0.31кг_209к</t>
  </si>
  <si>
    <t>СЕРВЕЛАТ С АРОМ.ТРАВАМИ в/к в/у 0.31кг</t>
  </si>
  <si>
    <t>СЕРВЕЛАТ С АРОМ.ТРАВ. в/к в/у 0.31кг_209к</t>
  </si>
  <si>
    <t>СЕРВЕЛАТ КАРЕЛЬСКИЙ в/к в/у 0.28кг_209к</t>
  </si>
  <si>
    <t>ЧЕСНОЧНАЯ ПМ п/к в/у 0.35кг 8шт_50с</t>
  </si>
  <si>
    <t>СЕРВЕЛАТ ШВЕЙЦАРСК. в/к с/н в/у 1/100*10</t>
  </si>
  <si>
    <t>САН-РЕМО с/в с/н мгс 1/90 12шт.</t>
  </si>
  <si>
    <t>БАЛЫКОВАЯ в/к в/у 0.33кг 8шт.</t>
  </si>
  <si>
    <t>БАЛЫКОВАЯ в/к в/у</t>
  </si>
  <si>
    <t>БАЛЫКОВАЯ Папа Может п/к в/у 0.31кг 8шт.</t>
  </si>
  <si>
    <t>ОСТАНКИНСКАЯ в/к в/у 0.33кг 8шт.</t>
  </si>
  <si>
    <t>ОСТАНКИНСКАЯ в/к в/у</t>
  </si>
  <si>
    <t>СЕРВЕЛАТ КРЕМЛЕВСКИЙ в/к в/у 0.66кг 8шт.</t>
  </si>
  <si>
    <t>ВЕНСКАЯ САЛЯМИ п/к в/у 0.66кг 8шт.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</si>
  <si>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</si>
  <si>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</si>
  <si>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</si>
  <si>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</si>
  <si>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АРОМАТНАЯ с/к с/н в/у 1/100*8_60с</t>
  </si>
  <si>
    <t>ПОСОЛЬСКАЯ Папа может с/к в/у</t>
  </si>
  <si>
    <t>ПРАЗДНИЧНАЯ с/к в/с дек.спец.мгс</t>
  </si>
  <si>
    <t>АРОМАТНАЯ с/к в/у</t>
  </si>
  <si>
    <t>ЮБИЛЕЙНАЯ с/к в/у_Л</t>
  </si>
  <si>
    <t>БУРГУНДИЯ Папа может с/к в/у 1/250 8шт.</t>
  </si>
  <si>
    <t>САЛЯМИ ИТАЛЬЯНСКАЯ с/к в/у 1/250*8_120c</t>
  </si>
  <si>
    <t>САЛЯМИ Папа может с/к в/у 1/250 8шт.</t>
  </si>
  <si>
    <t>САЛЯМИ МЕЛКОЗЕРНЕНАЯ с/к в/у 1/120_60с</t>
  </si>
  <si>
    <t>САЛЯМИ ИТАЛЬЯНСКАЯ с/к в/у 1/150_60с</t>
  </si>
  <si>
    <t>ЭКСТРА Папа может с/к в/у_Л</t>
  </si>
  <si>
    <t>ЭКСТРА Папа может с/к в/у 1/250 8шт.</t>
  </si>
  <si>
    <t>ЭКСТРА Папа может с/к с/н в/у 1/100_60с</t>
  </si>
  <si>
    <t>ОХОТНИЧЬЯ ПМ с/к с/н в/у 1/100 10шт.</t>
  </si>
  <si>
    <t>МЯСНОЕ АССОРТИ к/з с/н мгс 1/90 10шт.</t>
  </si>
  <si>
    <t>НЕАПОЛИТАНСКИЙ ДУЭТ с/к с/н мгс 1/90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</si>
  <si>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</si>
  <si>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</si>
  <si>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</si>
  <si>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</si>
  <si>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ВЕТЧ.ФИРМЕННАЯ С ИНДЕЙКОЙ п/о</t>
  </si>
  <si>
    <t>ВЕТЧ.МРАМОРНАЯ в/у_45с</t>
  </si>
  <si>
    <t>ВЕТЧ.ИЗ ЛОПАТКИ Папа может п/о_HRC</t>
  </si>
  <si>
    <t>ВЕТЧ.МРАМОРНАЯ в/у_С_45с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</si>
  <si>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</si>
  <si>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</si>
  <si>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</si>
  <si>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</si>
  <si>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</si>
  <si>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СВИНИНА ПО-ДОМ. к/в мл/к в/у 0.3кг_50с</t>
  </si>
  <si>
    <t>ДЫМОВИЦА ИЗ ЛОПАТКИ ПМ к/в с/н в/у 1/150</t>
  </si>
  <si>
    <t>БЕКОН ДЛЯ КУЛИНАРИИ с/к с/н мгс 1*2_HRC</t>
  </si>
  <si>
    <t>БЕКОН Останкино с/к с/н в/у 1/180_50с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</si>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</sst>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7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8" borderId="0" xfId="0" applyFont="1" applyFill="1" applyAlignment="1">
      <alignment vertical="center"/>
    </xf>
    <xf numFmtId="0" fontId="9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0" fontId="12" fillId="9" borderId="7" xfId="0" applyFont="1" applyFill="1" applyBorder="1" applyAlignment="1">
      <alignment horizontal="center" vertical="center"/>
    </xf>
    <xf numFmtId="1" fontId="9" fillId="9" borderId="0" xfId="0" applyNumberFormat="1" applyFont="1" applyFill="1" applyAlignment="1">
      <alignment horizontal="center" vertical="center"/>
    </xf>
    <xf numFmtId="0" fontId="21" fillId="9" borderId="0" xfId="0" applyFont="1" applyFill="1"/>
    <xf numFmtId="0" fontId="9" fillId="9" borderId="0" xfId="0" applyFont="1" applyFill="1" applyAlignment="1">
      <alignment horizontal="left" vertical="center"/>
    </xf>
    <xf numFmtId="49" fontId="9" fillId="10" borderId="0" xfId="0" applyNumberFormat="1" applyFont="1" applyFill="1" applyAlignment="1">
      <alignment horizontal="left" vertical="center"/>
    </xf>
    <xf numFmtId="1" fontId="9" fillId="9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1" borderId="0" xfId="0" applyFont="1" applyFill="1" applyAlignment="1">
      <alignment vertical="center"/>
    </xf>
    <xf numFmtId="0" fontId="12" fillId="11" borderId="7" xfId="0" applyFont="1" applyFill="1" applyBorder="1" applyAlignment="1">
      <alignment horizontal="center" vertical="center"/>
    </xf>
    <xf numFmtId="1" fontId="9" fillId="11" borderId="0" xfId="0" applyNumberFormat="1" applyFont="1" applyFill="1" applyAlignment="1">
      <alignment horizontal="center" vertical="center"/>
    </xf>
    <xf numFmtId="2" fontId="7" fillId="11" borderId="4" xfId="0" applyNumberFormat="1" applyFont="1" applyFill="1" applyBorder="1" applyAlignment="1">
      <alignment horizontal="right"/>
    </xf>
    <xf numFmtId="0" fontId="7" fillId="11" borderId="4" xfId="0" applyFont="1" applyFill="1" applyBorder="1" applyAlignment="1">
      <alignment horizontal="right"/>
    </xf>
    <xf numFmtId="0" fontId="0" fillId="11" borderId="0" xfId="0" applyFill="1"/>
    <xf numFmtId="2" fontId="0" fillId="11" borderId="8" xfId="0" applyNumberFormat="1" applyFill="1" applyBorder="1" applyAlignment="1">
      <alignment vertical="top"/>
    </xf>
    <xf numFmtId="0" fontId="0" fillId="12" borderId="0" xfId="0" applyFill="1"/>
    <xf numFmtId="0" fontId="7" fillId="0" borderId="14" xfId="0" applyFont="1" applyBorder="1" applyAlignment="1">
      <alignment horizontal="right"/>
    </xf>
    <xf numFmtId="0" fontId="9" fillId="0" borderId="0" xfId="0" applyFont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9" borderId="4" xfId="0" applyNumberFormat="1" applyFont="1" applyFill="1" applyBorder="1" applyAlignment="1">
      <alignment horizontal="right"/>
    </xf>
    <xf numFmtId="0" fontId="7" fillId="9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9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9" borderId="8" xfId="0" applyFont="1" applyFill="1" applyBorder="1" applyAlignment="1">
      <alignment vertical="center"/>
    </xf>
    <xf numFmtId="164" fontId="16" fillId="3" borderId="2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1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68"/>
  <sheetViews>
    <sheetView tabSelected="1" zoomScale="87" zoomScaleNormal="87" workbookViewId="0">
      <pane ySplit="9" topLeftCell="A141" activePane="bottomLeft" state="frozen"/>
      <selection pane="bottomLeft" activeCell="N151" sqref="N151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130438119</v>
      </c>
      <c r="E1" s="83" t="s">
        <v>1</v>
      </c>
      <c r="F1" s="84"/>
      <c r="G1" s="84"/>
      <c r="H1" s="84"/>
      <c r="I1" s="84"/>
      <c r="J1" s="85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2">
        <v>46033</v>
      </c>
      <c r="E3" s="7" t="s">
        <v>3</v>
      </c>
      <c r="F3" s="82">
        <f>D3+3</f>
        <v>46036</v>
      </c>
      <c r="G3" s="86"/>
      <c r="H3" s="84"/>
      <c r="I3" s="84"/>
      <c r="J3" s="85"/>
    </row>
    <row r="4" spans="1:11" ht="15.75" customHeight="1" thickTop="1" x14ac:dyDescent="0.25"/>
    <row r="5" spans="1:11" x14ac:dyDescent="0.25">
      <c r="C5" s="7" t="s">
        <v>4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5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6</v>
      </c>
      <c r="D7" s="40" t="s">
        <v>7</v>
      </c>
      <c r="E7" s="11" t="s">
        <v>8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0" t="s">
        <v>9</v>
      </c>
      <c r="B9" s="48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11" ht="16.5" customHeight="1" thickTop="1" thickBot="1" x14ac:dyDescent="0.3">
      <c r="A10" s="61"/>
      <c r="B10" s="46" t="s">
        <v>19</v>
      </c>
      <c r="C10" s="46"/>
      <c r="D10" s="46"/>
      <c r="E10" s="46"/>
      <c r="F10" s="45"/>
      <c r="G10" s="46"/>
      <c r="H10" s="46"/>
      <c r="I10" s="46"/>
      <c r="J10" s="47"/>
    </row>
    <row r="11" spans="1:11" s="15" customFormat="1" ht="16.5" customHeight="1" thickTop="1" x14ac:dyDescent="0.25">
      <c r="A11" s="59" t="str">
        <f t="shared" ref="A11:A32" si="0">RIGHT(D11,4)</f>
        <v>6415</v>
      </c>
      <c r="B11" s="80" t="s">
        <v>20</v>
      </c>
      <c r="C11" s="73" t="s">
        <v>21</v>
      </c>
      <c r="D11" s="74">
        <v>1001303636415</v>
      </c>
      <c r="E11" s="24"/>
      <c r="F11" s="23">
        <v>0.84</v>
      </c>
      <c r="G11" s="23">
        <f>E11*F11</f>
        <v>0</v>
      </c>
      <c r="H11" s="14">
        <v>5.04</v>
      </c>
      <c r="I11" s="14">
        <v>45</v>
      </c>
      <c r="J11" s="29"/>
      <c r="K11" s="27"/>
    </row>
    <row r="12" spans="1:11" ht="16.5" customHeight="1" x14ac:dyDescent="0.25">
      <c r="A12" s="59" t="str">
        <f t="shared" si="0"/>
        <v>4063</v>
      </c>
      <c r="B12" s="80" t="s">
        <v>22</v>
      </c>
      <c r="C12" s="73" t="s">
        <v>23</v>
      </c>
      <c r="D12" s="74">
        <v>1001012484063</v>
      </c>
      <c r="E12" s="24">
        <v>353</v>
      </c>
      <c r="F12" s="23">
        <v>1.3340000000000001</v>
      </c>
      <c r="G12" s="23">
        <f>E12</f>
        <v>353</v>
      </c>
      <c r="H12" s="14">
        <v>4</v>
      </c>
      <c r="I12" s="14">
        <v>60</v>
      </c>
      <c r="J12" s="29"/>
    </row>
    <row r="13" spans="1:11" ht="16.5" customHeight="1" x14ac:dyDescent="0.25">
      <c r="A13" s="59" t="str">
        <f t="shared" si="0"/>
        <v>6333</v>
      </c>
      <c r="B13" s="80" t="s">
        <v>24</v>
      </c>
      <c r="C13" s="73" t="s">
        <v>21</v>
      </c>
      <c r="D13" s="74">
        <v>1001012486333</v>
      </c>
      <c r="E13" s="24"/>
      <c r="F13" s="23">
        <v>0.4</v>
      </c>
      <c r="G13" s="23">
        <f>E13*F13</f>
        <v>0</v>
      </c>
      <c r="H13" s="14">
        <v>3.2</v>
      </c>
      <c r="I13" s="14">
        <v>60</v>
      </c>
      <c r="J13" s="29"/>
    </row>
    <row r="14" spans="1:11" ht="16.5" customHeight="1" x14ac:dyDescent="0.25">
      <c r="A14" s="59" t="str">
        <f t="shared" si="0"/>
        <v>4558</v>
      </c>
      <c r="B14" s="80" t="s">
        <v>25</v>
      </c>
      <c r="C14" s="73" t="s">
        <v>23</v>
      </c>
      <c r="D14" s="74">
        <v>1001010014558</v>
      </c>
      <c r="E14" s="24"/>
      <c r="F14" s="23"/>
      <c r="G14" s="23">
        <f t="shared" ref="G14:G19" si="1">E14</f>
        <v>0</v>
      </c>
      <c r="H14" s="14"/>
      <c r="I14" s="14"/>
      <c r="J14" s="29"/>
    </row>
    <row r="15" spans="1:11" ht="16.5" customHeight="1" x14ac:dyDescent="0.25">
      <c r="A15" s="59" t="str">
        <f t="shared" si="0"/>
        <v>6978</v>
      </c>
      <c r="B15" s="80" t="s">
        <v>26</v>
      </c>
      <c r="C15" s="73" t="s">
        <v>23</v>
      </c>
      <c r="D15" s="74">
        <v>1001010016978</v>
      </c>
      <c r="E15" s="24"/>
      <c r="F15" s="23"/>
      <c r="G15" s="23">
        <f t="shared" si="1"/>
        <v>0</v>
      </c>
      <c r="H15" s="14"/>
      <c r="I15" s="14"/>
      <c r="J15" s="29"/>
    </row>
    <row r="16" spans="1:11" ht="16.5" customHeight="1" x14ac:dyDescent="0.25">
      <c r="A16" s="59" t="str">
        <f t="shared" si="0"/>
        <v>4561</v>
      </c>
      <c r="B16" s="80" t="s">
        <v>27</v>
      </c>
      <c r="C16" s="73" t="s">
        <v>23</v>
      </c>
      <c r="D16" s="74">
        <v>1001010014561</v>
      </c>
      <c r="E16" s="24"/>
      <c r="F16" s="23"/>
      <c r="G16" s="23">
        <f t="shared" si="1"/>
        <v>0</v>
      </c>
      <c r="H16" s="14"/>
      <c r="I16" s="14"/>
      <c r="J16" s="29"/>
    </row>
    <row r="17" spans="1:10" ht="16.5" customHeight="1" x14ac:dyDescent="0.25">
      <c r="A17" s="59" t="str">
        <f t="shared" si="0"/>
        <v>4574</v>
      </c>
      <c r="B17" s="80" t="s">
        <v>28</v>
      </c>
      <c r="C17" s="73" t="s">
        <v>23</v>
      </c>
      <c r="D17" s="74">
        <v>1001012634574</v>
      </c>
      <c r="E17" s="24">
        <v>29</v>
      </c>
      <c r="F17" s="23">
        <v>1.35</v>
      </c>
      <c r="G17" s="23">
        <f t="shared" si="1"/>
        <v>29</v>
      </c>
      <c r="H17" s="14">
        <v>4.05</v>
      </c>
      <c r="I17" s="14">
        <v>60</v>
      </c>
      <c r="J17" s="29"/>
    </row>
    <row r="18" spans="1:10" ht="16.5" customHeight="1" x14ac:dyDescent="0.25">
      <c r="A18" s="59" t="str">
        <f t="shared" si="0"/>
        <v>6769</v>
      </c>
      <c r="B18" s="80" t="s">
        <v>29</v>
      </c>
      <c r="C18" s="73" t="s">
        <v>23</v>
      </c>
      <c r="D18" s="74">
        <v>1001015496769</v>
      </c>
      <c r="E18" s="24"/>
      <c r="F18" s="23"/>
      <c r="G18" s="23">
        <f t="shared" si="1"/>
        <v>0</v>
      </c>
      <c r="H18" s="14"/>
      <c r="I18" s="14"/>
      <c r="J18" s="29"/>
    </row>
    <row r="19" spans="1:10" ht="16.5" customHeight="1" x14ac:dyDescent="0.25">
      <c r="A19" s="59" t="str">
        <f t="shared" si="0"/>
        <v>6861</v>
      </c>
      <c r="B19" s="80" t="s">
        <v>30</v>
      </c>
      <c r="C19" s="73" t="s">
        <v>23</v>
      </c>
      <c r="D19" s="74">
        <v>1001015646861</v>
      </c>
      <c r="E19" s="24"/>
      <c r="F19" s="23">
        <v>2</v>
      </c>
      <c r="G19" s="23">
        <f t="shared" si="1"/>
        <v>0</v>
      </c>
      <c r="H19" s="14">
        <v>4</v>
      </c>
      <c r="I19" s="14">
        <v>60</v>
      </c>
      <c r="J19" s="29"/>
    </row>
    <row r="20" spans="1:10" ht="16.5" customHeight="1" x14ac:dyDescent="0.25">
      <c r="A20" s="59" t="str">
        <f t="shared" si="0"/>
        <v>6340</v>
      </c>
      <c r="B20" s="80" t="s">
        <v>31</v>
      </c>
      <c r="C20" s="73" t="s">
        <v>21</v>
      </c>
      <c r="D20" s="74">
        <v>1001012816340</v>
      </c>
      <c r="E20" s="24"/>
      <c r="F20" s="23">
        <v>0.5</v>
      </c>
      <c r="G20" s="23">
        <f>E20*F20</f>
        <v>0</v>
      </c>
      <c r="H20" s="14"/>
      <c r="I20" s="14"/>
      <c r="J20" s="29"/>
    </row>
    <row r="21" spans="1:10" ht="16.5" customHeight="1" x14ac:dyDescent="0.25">
      <c r="A21" s="59" t="str">
        <f t="shared" si="0"/>
        <v>6341</v>
      </c>
      <c r="B21" s="52" t="s">
        <v>32</v>
      </c>
      <c r="C21" s="53" t="s">
        <v>33</v>
      </c>
      <c r="D21" s="54">
        <v>1001012816341</v>
      </c>
      <c r="E21" s="24"/>
      <c r="F21" s="75">
        <v>0.5</v>
      </c>
      <c r="G21" s="23">
        <f>E21*F21</f>
        <v>0</v>
      </c>
      <c r="H21" s="76"/>
      <c r="I21" s="76"/>
      <c r="J21" s="76"/>
    </row>
    <row r="22" spans="1:10" ht="16.5" customHeight="1" x14ac:dyDescent="0.25">
      <c r="A22" s="59" t="str">
        <f t="shared" si="0"/>
        <v>6862</v>
      </c>
      <c r="B22" s="80" t="s">
        <v>34</v>
      </c>
      <c r="C22" s="73" t="s">
        <v>23</v>
      </c>
      <c r="D22" s="74">
        <v>1001015706862</v>
      </c>
      <c r="E22" s="24"/>
      <c r="F22" s="23">
        <v>2</v>
      </c>
      <c r="G22" s="23">
        <f>E22</f>
        <v>0</v>
      </c>
      <c r="H22" s="14">
        <v>4</v>
      </c>
      <c r="I22" s="14">
        <v>60</v>
      </c>
      <c r="J22" s="29"/>
    </row>
    <row r="23" spans="1:10" ht="16.5" customHeight="1" x14ac:dyDescent="0.25">
      <c r="A23" s="59" t="str">
        <f t="shared" si="0"/>
        <v>4813</v>
      </c>
      <c r="B23" s="80" t="s">
        <v>35</v>
      </c>
      <c r="C23" s="73" t="s">
        <v>23</v>
      </c>
      <c r="D23" s="74">
        <v>1001012564813</v>
      </c>
      <c r="E23" s="24">
        <v>21</v>
      </c>
      <c r="F23" s="23">
        <v>1.35</v>
      </c>
      <c r="G23" s="23">
        <f>E23</f>
        <v>21</v>
      </c>
      <c r="H23" s="14">
        <v>4.05</v>
      </c>
      <c r="I23" s="14">
        <v>60</v>
      </c>
      <c r="J23" s="29"/>
    </row>
    <row r="24" spans="1:10" ht="16.5" customHeight="1" x14ac:dyDescent="0.25">
      <c r="A24" s="59" t="str">
        <f t="shared" si="0"/>
        <v>6392</v>
      </c>
      <c r="B24" s="52" t="s">
        <v>36</v>
      </c>
      <c r="C24" s="53" t="s">
        <v>21</v>
      </c>
      <c r="D24" s="54">
        <v>1001012566392</v>
      </c>
      <c r="E24" s="24"/>
      <c r="F24" s="23">
        <v>0.4</v>
      </c>
      <c r="G24" s="23">
        <f>E24*F24</f>
        <v>0</v>
      </c>
      <c r="H24" s="14">
        <v>3.2</v>
      </c>
      <c r="I24" s="14">
        <v>60</v>
      </c>
      <c r="J24" s="29"/>
    </row>
    <row r="25" spans="1:10" ht="16.5" customHeight="1" x14ac:dyDescent="0.25">
      <c r="A25" s="59" t="str">
        <f t="shared" si="0"/>
        <v>5851</v>
      </c>
      <c r="B25" s="80" t="s">
        <v>37</v>
      </c>
      <c r="C25" s="73" t="s">
        <v>38</v>
      </c>
      <c r="D25" s="74">
        <v>1001012505851</v>
      </c>
      <c r="E25" s="24"/>
      <c r="F25" s="23">
        <v>1.3540000000000001</v>
      </c>
      <c r="G25" s="23">
        <f>E25</f>
        <v>0</v>
      </c>
      <c r="H25" s="14">
        <v>4.0599999999999996</v>
      </c>
      <c r="I25" s="14">
        <v>60</v>
      </c>
      <c r="J25" s="29"/>
    </row>
    <row r="26" spans="1:10" ht="16.5" customHeight="1" x14ac:dyDescent="0.25">
      <c r="A26" s="59" t="str">
        <f t="shared" si="0"/>
        <v>6353</v>
      </c>
      <c r="B26" s="80" t="s">
        <v>39</v>
      </c>
      <c r="C26" s="73" t="s">
        <v>21</v>
      </c>
      <c r="D26" s="74">
        <v>1001012506353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</row>
    <row r="27" spans="1:10" ht="16.5" customHeight="1" x14ac:dyDescent="0.25">
      <c r="A27" s="59" t="str">
        <f t="shared" si="0"/>
        <v>6268</v>
      </c>
      <c r="B27" s="80" t="s">
        <v>40</v>
      </c>
      <c r="C27" s="73" t="s">
        <v>21</v>
      </c>
      <c r="D27" s="74">
        <v>1001012426268</v>
      </c>
      <c r="E27" s="24"/>
      <c r="F27" s="23">
        <v>0.4</v>
      </c>
      <c r="G27" s="23">
        <f>E27*F27</f>
        <v>0</v>
      </c>
      <c r="H27" s="14"/>
      <c r="I27" s="14"/>
      <c r="J27" s="29"/>
    </row>
    <row r="28" spans="1:10" ht="16.5" customHeight="1" x14ac:dyDescent="0.25">
      <c r="A28" s="59" t="str">
        <f t="shared" si="0"/>
        <v>6324</v>
      </c>
      <c r="B28" s="50" t="s">
        <v>41</v>
      </c>
      <c r="C28" s="73" t="s">
        <v>21</v>
      </c>
      <c r="D28" s="74">
        <v>1001010016324</v>
      </c>
      <c r="E28" s="24"/>
      <c r="F28" s="23">
        <v>0.4</v>
      </c>
      <c r="G28" s="23">
        <f>E28*F28</f>
        <v>0</v>
      </c>
      <c r="H28" s="14">
        <v>3.2</v>
      </c>
      <c r="I28" s="14">
        <v>60</v>
      </c>
      <c r="J28" s="29"/>
    </row>
    <row r="29" spans="1:10" ht="16.5" customHeight="1" x14ac:dyDescent="0.25">
      <c r="A29" s="59" t="str">
        <f t="shared" si="0"/>
        <v>6498</v>
      </c>
      <c r="B29" s="50" t="s">
        <v>42</v>
      </c>
      <c r="C29" s="73" t="s">
        <v>23</v>
      </c>
      <c r="D29" s="74">
        <v>1001012456498</v>
      </c>
      <c r="E29" s="24"/>
      <c r="F29" s="23">
        <v>1</v>
      </c>
      <c r="G29" s="23">
        <f>E29</f>
        <v>0</v>
      </c>
      <c r="H29" s="14">
        <v>4</v>
      </c>
      <c r="I29" s="14">
        <v>60</v>
      </c>
      <c r="J29" s="29"/>
    </row>
    <row r="30" spans="1:10" ht="16.5" customHeight="1" x14ac:dyDescent="0.25">
      <c r="A30" s="59" t="str">
        <f t="shared" si="0"/>
        <v>7125</v>
      </c>
      <c r="B30" s="50" t="s">
        <v>43</v>
      </c>
      <c r="C30" s="73" t="s">
        <v>23</v>
      </c>
      <c r="D30" s="74">
        <v>1001010027125</v>
      </c>
      <c r="E30" s="24"/>
      <c r="F30" s="23">
        <v>1</v>
      </c>
      <c r="G30" s="23">
        <f>E30</f>
        <v>0</v>
      </c>
      <c r="H30" s="14"/>
      <c r="I30" s="14"/>
      <c r="J30" s="29"/>
    </row>
    <row r="31" spans="1:10" ht="16.5" customHeight="1" thickBot="1" x14ac:dyDescent="0.25">
      <c r="A31" s="59" t="str">
        <f t="shared" si="0"/>
        <v>2675</v>
      </c>
      <c r="B31" s="80" t="s">
        <v>44</v>
      </c>
      <c r="C31" s="73" t="s">
        <v>23</v>
      </c>
      <c r="D31" s="74">
        <v>1001010032675</v>
      </c>
      <c r="E31" s="24"/>
      <c r="F31" s="23"/>
      <c r="G31" s="23">
        <f>E31</f>
        <v>0</v>
      </c>
      <c r="H31" s="14"/>
      <c r="I31" s="14"/>
      <c r="J31" s="29"/>
    </row>
    <row r="32" spans="1:10" ht="16.5" customHeight="1" thickTop="1" thickBot="1" x14ac:dyDescent="0.3">
      <c r="A32" s="59" t="str">
        <f t="shared" si="0"/>
        <v/>
      </c>
      <c r="B32" s="46" t="s">
        <v>45</v>
      </c>
      <c r="C32" s="46"/>
      <c r="D32" s="46"/>
      <c r="E32" s="46"/>
      <c r="F32" s="46"/>
      <c r="G32" s="23"/>
      <c r="H32" s="46"/>
      <c r="I32" s="46"/>
      <c r="J32" s="47"/>
    </row>
    <row r="33" spans="1:11" s="68" customFormat="1" ht="16.5" customHeight="1" thickTop="1" x14ac:dyDescent="0.25">
      <c r="A33" s="59">
        <v>7255</v>
      </c>
      <c r="B33" s="63" t="s">
        <v>46</v>
      </c>
      <c r="C33" s="64" t="s">
        <v>33</v>
      </c>
      <c r="D33" s="65">
        <v>1001025507255</v>
      </c>
      <c r="E33" s="24"/>
      <c r="F33" s="66">
        <v>0.4</v>
      </c>
      <c r="G33" s="23">
        <f>E33*F33</f>
        <v>0</v>
      </c>
      <c r="H33" s="67">
        <v>4</v>
      </c>
      <c r="I33" s="67">
        <v>45</v>
      </c>
      <c r="J33" s="67"/>
      <c r="K33" s="27"/>
    </row>
    <row r="34" spans="1:11" s="15" customFormat="1" ht="16.5" customHeight="1" x14ac:dyDescent="0.25">
      <c r="A34" s="59" t="str">
        <f t="shared" ref="A34:A46" si="2">RIGHT(D34,4)</f>
        <v>6602</v>
      </c>
      <c r="B34" s="80" t="s">
        <v>47</v>
      </c>
      <c r="C34" s="73" t="s">
        <v>33</v>
      </c>
      <c r="D34" s="74">
        <v>1001021966602</v>
      </c>
      <c r="E34" s="24"/>
      <c r="F34" s="23">
        <v>0.35</v>
      </c>
      <c r="G34" s="23">
        <f>E34*F34</f>
        <v>0</v>
      </c>
      <c r="H34" s="14"/>
      <c r="I34" s="14"/>
      <c r="J34" s="29"/>
      <c r="K34" s="27"/>
    </row>
    <row r="35" spans="1:11" s="15" customFormat="1" ht="16.5" customHeight="1" x14ac:dyDescent="0.25">
      <c r="A35" s="59" t="str">
        <f t="shared" si="2"/>
        <v>6303</v>
      </c>
      <c r="B35" s="55" t="s">
        <v>48</v>
      </c>
      <c r="C35" s="53" t="s">
        <v>23</v>
      </c>
      <c r="D35" s="54">
        <v>1001022726303</v>
      </c>
      <c r="E35" s="24">
        <v>99</v>
      </c>
      <c r="F35" s="23">
        <v>1.05</v>
      </c>
      <c r="G35" s="23">
        <f>E35</f>
        <v>99</v>
      </c>
      <c r="H35" s="14">
        <v>3.15</v>
      </c>
      <c r="I35" s="14">
        <v>45</v>
      </c>
      <c r="J35" s="29"/>
      <c r="K35" s="27"/>
    </row>
    <row r="36" spans="1:11" s="15" customFormat="1" ht="16.5" customHeight="1" x14ac:dyDescent="0.25">
      <c r="A36" s="59" t="str">
        <f t="shared" si="2"/>
        <v>5819</v>
      </c>
      <c r="B36" s="36" t="s">
        <v>49</v>
      </c>
      <c r="C36" s="73" t="s">
        <v>21</v>
      </c>
      <c r="D36" s="74">
        <v>1001022725819</v>
      </c>
      <c r="E36" s="24"/>
      <c r="F36" s="23">
        <v>0.4</v>
      </c>
      <c r="G36" s="23">
        <f>E36*F36</f>
        <v>0</v>
      </c>
      <c r="H36" s="14">
        <v>3.2</v>
      </c>
      <c r="I36" s="14">
        <v>45</v>
      </c>
      <c r="J36" s="29"/>
      <c r="K36" s="27"/>
    </row>
    <row r="37" spans="1:11" s="15" customFormat="1" ht="16.5" customHeight="1" x14ac:dyDescent="0.25">
      <c r="A37" s="59" t="str">
        <f t="shared" si="2"/>
        <v>6762</v>
      </c>
      <c r="B37" s="36" t="s">
        <v>50</v>
      </c>
      <c r="C37" s="73" t="s">
        <v>21</v>
      </c>
      <c r="D37" s="74">
        <v>1001020846762</v>
      </c>
      <c r="E37" s="24"/>
      <c r="F37" s="23">
        <v>0.41</v>
      </c>
      <c r="G37" s="23">
        <f>E37*F37</f>
        <v>0</v>
      </c>
      <c r="H37" s="14"/>
      <c r="I37" s="14"/>
      <c r="J37" s="29"/>
      <c r="K37" s="27"/>
    </row>
    <row r="38" spans="1:11" s="15" customFormat="1" ht="16.5" customHeight="1" x14ac:dyDescent="0.25">
      <c r="A38" s="59" t="str">
        <f t="shared" si="2"/>
        <v>6765</v>
      </c>
      <c r="B38" s="36" t="s">
        <v>51</v>
      </c>
      <c r="C38" s="73" t="s">
        <v>21</v>
      </c>
      <c r="D38" s="74">
        <v>1001023696765</v>
      </c>
      <c r="E38" s="24"/>
      <c r="F38" s="23">
        <v>0.36</v>
      </c>
      <c r="G38" s="23">
        <f>E38*F38</f>
        <v>0</v>
      </c>
      <c r="H38" s="14"/>
      <c r="I38" s="14"/>
      <c r="J38" s="29"/>
      <c r="K38" s="27"/>
    </row>
    <row r="39" spans="1:11" s="15" customFormat="1" ht="16.5" customHeight="1" x14ac:dyDescent="0.25">
      <c r="A39" s="59" t="str">
        <f t="shared" si="2"/>
        <v>6759</v>
      </c>
      <c r="B39" s="36" t="s">
        <v>52</v>
      </c>
      <c r="C39" s="73" t="s">
        <v>21</v>
      </c>
      <c r="D39" s="74">
        <v>1001020836759</v>
      </c>
      <c r="E39" s="24"/>
      <c r="F39" s="23">
        <v>0.4</v>
      </c>
      <c r="G39" s="23">
        <f>E39*F39</f>
        <v>0</v>
      </c>
      <c r="H39" s="14"/>
      <c r="I39" s="14"/>
      <c r="J39" s="29"/>
      <c r="K39" s="27"/>
    </row>
    <row r="40" spans="1:11" ht="16.5" customHeight="1" x14ac:dyDescent="0.25">
      <c r="A40" s="59" t="str">
        <f t="shared" si="2"/>
        <v>7082</v>
      </c>
      <c r="B40" s="35" t="s">
        <v>53</v>
      </c>
      <c r="C40" s="73" t="s">
        <v>23</v>
      </c>
      <c r="D40" s="74">
        <v>1001022467082</v>
      </c>
      <c r="E40" s="24"/>
      <c r="F40" s="23">
        <v>2.125</v>
      </c>
      <c r="G40" s="23">
        <f>E40</f>
        <v>0</v>
      </c>
      <c r="H40" s="14">
        <v>4.25</v>
      </c>
      <c r="I40" s="14">
        <v>45</v>
      </c>
      <c r="J40" s="29"/>
    </row>
    <row r="41" spans="1:11" ht="16.5" customHeight="1" x14ac:dyDescent="0.25">
      <c r="A41" s="59" t="str">
        <f t="shared" si="2"/>
        <v>6767</v>
      </c>
      <c r="B41" s="35" t="s">
        <v>54</v>
      </c>
      <c r="C41" s="73" t="s">
        <v>23</v>
      </c>
      <c r="D41" s="74">
        <v>1001023696767</v>
      </c>
      <c r="E41" s="24"/>
      <c r="F41" s="23"/>
      <c r="G41" s="23">
        <f>E41</f>
        <v>0</v>
      </c>
      <c r="H41" s="14"/>
      <c r="I41" s="14"/>
      <c r="J41" s="29"/>
    </row>
    <row r="42" spans="1:11" ht="16.5" customHeight="1" x14ac:dyDescent="0.25">
      <c r="A42" s="59" t="str">
        <f t="shared" si="2"/>
        <v>7070</v>
      </c>
      <c r="B42" s="35" t="s">
        <v>55</v>
      </c>
      <c r="C42" s="73" t="s">
        <v>23</v>
      </c>
      <c r="D42" s="74">
        <v>1001022377070</v>
      </c>
      <c r="E42" s="24">
        <v>66</v>
      </c>
      <c r="F42" s="23"/>
      <c r="G42" s="23">
        <f>E42</f>
        <v>66</v>
      </c>
      <c r="H42" s="14"/>
      <c r="I42" s="14"/>
      <c r="J42" s="29"/>
    </row>
    <row r="43" spans="1:11" s="15" customFormat="1" ht="16.5" customHeight="1" x14ac:dyDescent="0.25">
      <c r="A43" s="59" t="str">
        <f t="shared" si="2"/>
        <v>6661</v>
      </c>
      <c r="B43" s="52" t="s">
        <v>56</v>
      </c>
      <c r="C43" s="53" t="s">
        <v>23</v>
      </c>
      <c r="D43" s="54">
        <v>1001022246661</v>
      </c>
      <c r="E43" s="24">
        <v>60</v>
      </c>
      <c r="F43" s="23">
        <v>1</v>
      </c>
      <c r="G43" s="23">
        <f>E43</f>
        <v>60</v>
      </c>
      <c r="H43" s="14">
        <v>6.4</v>
      </c>
      <c r="I43" s="14">
        <v>45</v>
      </c>
      <c r="J43" s="29"/>
      <c r="K43" s="27"/>
    </row>
    <row r="44" spans="1:11" s="15" customFormat="1" ht="16.5" customHeight="1" x14ac:dyDescent="0.25">
      <c r="A44" s="59" t="str">
        <f t="shared" si="2"/>
        <v>6475</v>
      </c>
      <c r="B44" s="80" t="s">
        <v>57</v>
      </c>
      <c r="C44" s="73" t="s">
        <v>21</v>
      </c>
      <c r="D44" s="74">
        <v>1001025176475</v>
      </c>
      <c r="E44" s="24"/>
      <c r="F44" s="23">
        <v>0.4</v>
      </c>
      <c r="G44" s="23">
        <f>E44*F44</f>
        <v>0</v>
      </c>
      <c r="H44" s="14">
        <v>2.4</v>
      </c>
      <c r="I44" s="14">
        <v>45</v>
      </c>
      <c r="J44" s="29"/>
      <c r="K44" s="27"/>
    </row>
    <row r="45" spans="1:11" ht="16.5" customHeight="1" x14ac:dyDescent="0.25">
      <c r="A45" s="59" t="str">
        <f t="shared" si="2"/>
        <v>6713</v>
      </c>
      <c r="B45" s="56" t="s">
        <v>58</v>
      </c>
      <c r="C45" s="53" t="s">
        <v>21</v>
      </c>
      <c r="D45" s="54">
        <v>1001022246713</v>
      </c>
      <c r="E45" s="24"/>
      <c r="F45" s="23">
        <v>0.41</v>
      </c>
      <c r="G45" s="23">
        <f>E45*F45</f>
        <v>0</v>
      </c>
      <c r="H45" s="14">
        <v>3.28</v>
      </c>
      <c r="I45" s="14">
        <v>45</v>
      </c>
      <c r="J45" s="29"/>
    </row>
    <row r="46" spans="1:11" ht="16.5" customHeight="1" x14ac:dyDescent="0.25">
      <c r="A46" s="59" t="str">
        <f t="shared" si="2"/>
        <v>6069</v>
      </c>
      <c r="B46" s="51" t="s">
        <v>59</v>
      </c>
      <c r="C46" s="73" t="s">
        <v>21</v>
      </c>
      <c r="D46" s="74">
        <v>1001022556069</v>
      </c>
      <c r="E46" s="24"/>
      <c r="F46" s="23">
        <v>0.33</v>
      </c>
      <c r="G46" s="23">
        <f>E46*F46</f>
        <v>0</v>
      </c>
      <c r="H46" s="14">
        <v>2.64</v>
      </c>
      <c r="I46" s="14">
        <v>45</v>
      </c>
      <c r="J46" s="29"/>
    </row>
    <row r="47" spans="1:11" ht="16.5" customHeight="1" x14ac:dyDescent="0.25">
      <c r="A47" s="59">
        <v>7284</v>
      </c>
      <c r="B47" s="51" t="s">
        <v>60</v>
      </c>
      <c r="C47" s="73" t="s">
        <v>21</v>
      </c>
      <c r="D47" s="74">
        <v>1001025767284</v>
      </c>
      <c r="E47" s="24"/>
      <c r="F47" s="23">
        <v>0.33</v>
      </c>
      <c r="G47" s="23">
        <f>E47*F47</f>
        <v>0</v>
      </c>
      <c r="H47" s="14"/>
      <c r="I47" s="14"/>
      <c r="J47" s="29"/>
    </row>
    <row r="48" spans="1:11" ht="16.5" customHeight="1" x14ac:dyDescent="0.25">
      <c r="A48" s="59" t="str">
        <f t="shared" ref="A48:A79" si="3">RIGHT(D48,4)</f>
        <v>6764</v>
      </c>
      <c r="B48" s="51" t="s">
        <v>61</v>
      </c>
      <c r="C48" s="73" t="s">
        <v>23</v>
      </c>
      <c r="D48" s="74">
        <v>1001020846764</v>
      </c>
      <c r="E48" s="24"/>
      <c r="F48" s="23">
        <v>1.05</v>
      </c>
      <c r="G48" s="23">
        <f>E48</f>
        <v>0</v>
      </c>
      <c r="H48" s="14">
        <v>6.3</v>
      </c>
      <c r="I48" s="14">
        <v>30</v>
      </c>
      <c r="J48" s="29"/>
    </row>
    <row r="49" spans="1:10" ht="16.5" customHeight="1" x14ac:dyDescent="0.25">
      <c r="A49" s="59" t="str">
        <f t="shared" si="3"/>
        <v>6829</v>
      </c>
      <c r="B49" s="56" t="s">
        <v>62</v>
      </c>
      <c r="C49" s="53" t="s">
        <v>23</v>
      </c>
      <c r="D49" s="54">
        <v>1001024976829</v>
      </c>
      <c r="E49" s="24"/>
      <c r="F49" s="23">
        <v>1.0249999999999999</v>
      </c>
      <c r="G49" s="23">
        <f>E49</f>
        <v>0</v>
      </c>
      <c r="H49" s="14">
        <v>6.15</v>
      </c>
      <c r="I49" s="14">
        <v>45</v>
      </c>
      <c r="J49" s="29"/>
    </row>
    <row r="50" spans="1:10" ht="16.5" customHeight="1" x14ac:dyDescent="0.25">
      <c r="A50" s="59" t="str">
        <f t="shared" si="3"/>
        <v>7075</v>
      </c>
      <c r="B50" s="72" t="s">
        <v>63</v>
      </c>
      <c r="C50" s="73" t="s">
        <v>23</v>
      </c>
      <c r="D50" s="74">
        <v>1001022657075</v>
      </c>
      <c r="E50" s="24"/>
      <c r="F50" s="23"/>
      <c r="G50" s="23">
        <f>E50</f>
        <v>0</v>
      </c>
      <c r="H50" s="14"/>
      <c r="I50" s="14"/>
      <c r="J50" s="29"/>
    </row>
    <row r="51" spans="1:10" ht="16.5" customHeight="1" x14ac:dyDescent="0.25">
      <c r="A51" s="59" t="str">
        <f t="shared" si="3"/>
        <v>7073</v>
      </c>
      <c r="B51" s="72" t="s">
        <v>64</v>
      </c>
      <c r="C51" s="73" t="s">
        <v>21</v>
      </c>
      <c r="D51" s="74">
        <v>1001022657073</v>
      </c>
      <c r="E51" s="24"/>
      <c r="F51" s="23">
        <v>0.35</v>
      </c>
      <c r="G51" s="23">
        <f>E51*F51</f>
        <v>0</v>
      </c>
      <c r="H51" s="14"/>
      <c r="I51" s="14"/>
      <c r="J51" s="29"/>
    </row>
    <row r="52" spans="1:10" ht="16.5" customHeight="1" x14ac:dyDescent="0.25">
      <c r="A52" s="59" t="str">
        <f t="shared" si="3"/>
        <v>6616</v>
      </c>
      <c r="B52" s="72" t="s">
        <v>65</v>
      </c>
      <c r="C52" s="73" t="s">
        <v>21</v>
      </c>
      <c r="D52" s="74">
        <v>1001024976616</v>
      </c>
      <c r="E52" s="24"/>
      <c r="F52" s="23">
        <v>0.3</v>
      </c>
      <c r="G52" s="23">
        <f>E52*F52</f>
        <v>0</v>
      </c>
      <c r="H52" s="14"/>
      <c r="I52" s="14"/>
      <c r="J52" s="29"/>
    </row>
    <row r="53" spans="1:10" ht="16.5" customHeight="1" x14ac:dyDescent="0.25">
      <c r="A53" s="59" t="str">
        <f t="shared" si="3"/>
        <v>7074</v>
      </c>
      <c r="B53" s="72" t="s">
        <v>66</v>
      </c>
      <c r="C53" s="73" t="s">
        <v>21</v>
      </c>
      <c r="D53" s="74">
        <v>1001022657074</v>
      </c>
      <c r="E53" s="24"/>
      <c r="F53" s="23">
        <v>0.6</v>
      </c>
      <c r="G53" s="23">
        <f>E53*F53</f>
        <v>0</v>
      </c>
      <c r="H53" s="14"/>
      <c r="I53" s="14"/>
      <c r="J53" s="29"/>
    </row>
    <row r="54" spans="1:10" ht="16.5" customHeight="1" x14ac:dyDescent="0.25">
      <c r="A54" s="59" t="str">
        <f t="shared" si="3"/>
        <v>6761</v>
      </c>
      <c r="B54" s="51" t="s">
        <v>67</v>
      </c>
      <c r="C54" s="73" t="s">
        <v>23</v>
      </c>
      <c r="D54" s="74">
        <v>1001020836761</v>
      </c>
      <c r="E54" s="24"/>
      <c r="F54" s="23">
        <v>1.0629999999999999</v>
      </c>
      <c r="G54" s="23">
        <f>E54</f>
        <v>0</v>
      </c>
      <c r="H54" s="14">
        <v>4.25</v>
      </c>
      <c r="I54" s="14">
        <v>30</v>
      </c>
      <c r="J54" s="29"/>
    </row>
    <row r="55" spans="1:10" ht="16.5" customHeight="1" x14ac:dyDescent="0.25">
      <c r="A55" s="59" t="str">
        <f t="shared" si="3"/>
        <v>7080</v>
      </c>
      <c r="B55" s="56" t="s">
        <v>68</v>
      </c>
      <c r="C55" s="53" t="s">
        <v>21</v>
      </c>
      <c r="D55" s="54">
        <v>1001022467080</v>
      </c>
      <c r="E55" s="24"/>
      <c r="F55" s="23">
        <v>0.41</v>
      </c>
      <c r="G55" s="23">
        <f>E55*F55</f>
        <v>0</v>
      </c>
      <c r="H55" s="14">
        <v>4.0999999999999996</v>
      </c>
      <c r="I55" s="14">
        <v>45</v>
      </c>
      <c r="J55" s="29"/>
    </row>
    <row r="56" spans="1:10" ht="16.5" customHeight="1" thickBot="1" x14ac:dyDescent="0.25">
      <c r="A56" s="59" t="str">
        <f t="shared" si="3"/>
        <v>7066</v>
      </c>
      <c r="B56" s="56" t="s">
        <v>69</v>
      </c>
      <c r="C56" s="53" t="s">
        <v>21</v>
      </c>
      <c r="D56" s="54">
        <v>1001022377066</v>
      </c>
      <c r="E56" s="24"/>
      <c r="F56" s="23">
        <v>0.41</v>
      </c>
      <c r="G56" s="23">
        <f>E56*F56</f>
        <v>0</v>
      </c>
      <c r="H56" s="14">
        <v>4.0999999999999996</v>
      </c>
      <c r="I56" s="14">
        <v>45</v>
      </c>
      <c r="J56" s="29"/>
    </row>
    <row r="57" spans="1:10" ht="16.5" customHeight="1" thickTop="1" thickBot="1" x14ac:dyDescent="0.3">
      <c r="A57" s="59" t="str">
        <f t="shared" si="3"/>
        <v/>
      </c>
      <c r="B57" s="46" t="s">
        <v>70</v>
      </c>
      <c r="C57" s="46"/>
      <c r="D57" s="46"/>
      <c r="E57" s="46"/>
      <c r="F57" s="46"/>
      <c r="G57" s="23"/>
      <c r="H57" s="46"/>
      <c r="I57" s="46"/>
      <c r="J57" s="47"/>
    </row>
    <row r="58" spans="1:10" ht="16.5" customHeight="1" thickTop="1" x14ac:dyDescent="0.25">
      <c r="A58" s="59" t="str">
        <f t="shared" si="3"/>
        <v>7001</v>
      </c>
      <c r="B58" s="81" t="s">
        <v>71</v>
      </c>
      <c r="C58" s="53" t="s">
        <v>38</v>
      </c>
      <c r="D58" s="54">
        <v>1001035937001</v>
      </c>
      <c r="E58" s="24"/>
      <c r="F58" s="75">
        <v>0.98699999999999999</v>
      </c>
      <c r="G58" s="23">
        <f>E58</f>
        <v>0</v>
      </c>
      <c r="H58" s="76">
        <v>2.96</v>
      </c>
      <c r="I58" s="76">
        <v>45</v>
      </c>
      <c r="J58" s="76"/>
    </row>
    <row r="59" spans="1:10" ht="16.5" customHeight="1" x14ac:dyDescent="0.25">
      <c r="A59" s="59" t="str">
        <f t="shared" si="3"/>
        <v>6527</v>
      </c>
      <c r="B59" s="72" t="s">
        <v>72</v>
      </c>
      <c r="C59" s="73" t="s">
        <v>38</v>
      </c>
      <c r="D59" s="74">
        <v>1001031076527</v>
      </c>
      <c r="E59" s="24"/>
      <c r="F59" s="23">
        <v>1</v>
      </c>
      <c r="G59" s="23">
        <f>E59</f>
        <v>0</v>
      </c>
      <c r="H59" s="14">
        <v>3</v>
      </c>
      <c r="I59" s="14">
        <v>45</v>
      </c>
      <c r="J59" s="29"/>
    </row>
    <row r="60" spans="1:10" ht="16.5" customHeight="1" x14ac:dyDescent="0.25">
      <c r="A60" s="59" t="str">
        <f t="shared" si="3"/>
        <v>6550</v>
      </c>
      <c r="B60" s="51" t="s">
        <v>73</v>
      </c>
      <c r="C60" s="73" t="s">
        <v>23</v>
      </c>
      <c r="D60" s="74">
        <v>1001032736550</v>
      </c>
      <c r="E60" s="24"/>
      <c r="F60" s="23">
        <v>1</v>
      </c>
      <c r="G60" s="23">
        <f>E60</f>
        <v>0</v>
      </c>
      <c r="H60" s="14"/>
      <c r="I60" s="14"/>
      <c r="J60" s="29"/>
    </row>
    <row r="61" spans="1:10" ht="16.5" customHeight="1" thickBot="1" x14ac:dyDescent="0.25">
      <c r="A61" s="59" t="str">
        <f t="shared" si="3"/>
        <v>6608</v>
      </c>
      <c r="B61" s="51" t="s">
        <v>74</v>
      </c>
      <c r="C61" s="73" t="s">
        <v>23</v>
      </c>
      <c r="D61" s="74">
        <v>1001033856608</v>
      </c>
      <c r="E61" s="24"/>
      <c r="F61" s="23">
        <v>0.99</v>
      </c>
      <c r="G61" s="23">
        <f>E61</f>
        <v>0</v>
      </c>
      <c r="H61" s="14">
        <v>2.97</v>
      </c>
      <c r="I61" s="14">
        <v>45</v>
      </c>
      <c r="J61" s="29"/>
    </row>
    <row r="62" spans="1:10" ht="16.5" customHeight="1" thickTop="1" thickBot="1" x14ac:dyDescent="0.3">
      <c r="A62" s="59" t="str">
        <f t="shared" si="3"/>
        <v/>
      </c>
      <c r="B62" s="46" t="s">
        <v>75</v>
      </c>
      <c r="C62" s="46"/>
      <c r="D62" s="46"/>
      <c r="E62" s="46"/>
      <c r="F62" s="46"/>
      <c r="G62" s="46"/>
      <c r="H62" s="46"/>
      <c r="I62" s="46"/>
      <c r="J62" s="47"/>
    </row>
    <row r="63" spans="1:10" ht="16.5" customHeight="1" thickTop="1" x14ac:dyDescent="0.25">
      <c r="A63" s="59" t="str">
        <f t="shared" si="3"/>
        <v>6586</v>
      </c>
      <c r="B63" s="80" t="s">
        <v>76</v>
      </c>
      <c r="C63" s="73" t="s">
        <v>21</v>
      </c>
      <c r="D63" s="74">
        <v>1001215576586</v>
      </c>
      <c r="E63" s="24"/>
      <c r="F63" s="23">
        <v>0.09</v>
      </c>
      <c r="G63" s="23">
        <f>E63*F63</f>
        <v>0</v>
      </c>
      <c r="H63" s="14"/>
      <c r="I63" s="14"/>
      <c r="J63" s="29"/>
    </row>
    <row r="64" spans="1:10" ht="16.5" customHeight="1" x14ac:dyDescent="0.25">
      <c r="A64" s="59" t="str">
        <f t="shared" si="3"/>
        <v>7144</v>
      </c>
      <c r="B64" s="80" t="s">
        <v>77</v>
      </c>
      <c r="C64" s="73" t="s">
        <v>21</v>
      </c>
      <c r="D64" s="74">
        <v>1001304527144</v>
      </c>
      <c r="E64" s="24"/>
      <c r="F64" s="23">
        <v>0.33</v>
      </c>
      <c r="G64" s="23">
        <f>F64*E64</f>
        <v>0</v>
      </c>
      <c r="H64" s="14"/>
      <c r="I64" s="14"/>
      <c r="J64" s="29"/>
    </row>
    <row r="65" spans="1:10" ht="16.5" customHeight="1" x14ac:dyDescent="0.25">
      <c r="A65" s="59" t="str">
        <f t="shared" si="3"/>
        <v>7146</v>
      </c>
      <c r="B65" s="80" t="s">
        <v>78</v>
      </c>
      <c r="C65" s="73" t="s">
        <v>23</v>
      </c>
      <c r="D65" s="74">
        <v>1001304527146</v>
      </c>
      <c r="E65" s="24"/>
      <c r="F65" s="23"/>
      <c r="G65" s="23">
        <f>E65</f>
        <v>0</v>
      </c>
      <c r="H65" s="14"/>
      <c r="I65" s="14"/>
      <c r="J65" s="29"/>
    </row>
    <row r="66" spans="1:10" ht="16.5" customHeight="1" x14ac:dyDescent="0.25">
      <c r="A66" s="59" t="str">
        <f t="shared" si="3"/>
        <v>7149</v>
      </c>
      <c r="B66" s="80" t="s">
        <v>79</v>
      </c>
      <c r="C66" s="73" t="s">
        <v>23</v>
      </c>
      <c r="D66" s="74">
        <v>1001303637149</v>
      </c>
      <c r="E66" s="24">
        <v>6</v>
      </c>
      <c r="F66" s="23"/>
      <c r="G66" s="23">
        <f>E66</f>
        <v>6</v>
      </c>
      <c r="H66" s="14"/>
      <c r="I66" s="14"/>
      <c r="J66" s="29"/>
    </row>
    <row r="67" spans="1:10" ht="16.5" customHeight="1" x14ac:dyDescent="0.25">
      <c r="A67" s="59" t="str">
        <f t="shared" si="3"/>
        <v>7131</v>
      </c>
      <c r="B67" s="80" t="s">
        <v>80</v>
      </c>
      <c r="C67" s="73" t="s">
        <v>23</v>
      </c>
      <c r="D67" s="74">
        <v>1001303637131</v>
      </c>
      <c r="E67" s="24"/>
      <c r="F67" s="23"/>
      <c r="G67" s="23">
        <f>E67</f>
        <v>0</v>
      </c>
      <c r="H67" s="14"/>
      <c r="I67" s="14"/>
      <c r="J67" s="29"/>
    </row>
    <row r="68" spans="1:10" ht="16.5" customHeight="1" x14ac:dyDescent="0.25">
      <c r="A68" s="59" t="str">
        <f t="shared" si="3"/>
        <v>7233</v>
      </c>
      <c r="B68" s="80" t="s">
        <v>81</v>
      </c>
      <c r="C68" s="73" t="s">
        <v>21</v>
      </c>
      <c r="D68" s="74">
        <v>1001303637233</v>
      </c>
      <c r="E68" s="24"/>
      <c r="F68" s="23">
        <v>0.31</v>
      </c>
      <c r="G68" s="23">
        <f>F68*E68</f>
        <v>0</v>
      </c>
      <c r="H68" s="14"/>
      <c r="I68" s="14"/>
      <c r="J68" s="29"/>
    </row>
    <row r="69" spans="1:10" ht="16.5" customHeight="1" x14ac:dyDescent="0.25">
      <c r="A69" s="59" t="str">
        <f t="shared" si="3"/>
        <v>6666</v>
      </c>
      <c r="B69" s="50" t="s">
        <v>82</v>
      </c>
      <c r="C69" s="73" t="s">
        <v>21</v>
      </c>
      <c r="D69" s="74">
        <v>1001302276666</v>
      </c>
      <c r="E69" s="24"/>
      <c r="F69" s="23">
        <v>0.28000000000000003</v>
      </c>
      <c r="G69" s="23">
        <f t="shared" ref="G69:G74" si="4">E69*F69</f>
        <v>0</v>
      </c>
      <c r="H69" s="14">
        <v>2.2400000000000002</v>
      </c>
      <c r="I69" s="14">
        <v>45</v>
      </c>
      <c r="J69" s="29"/>
    </row>
    <row r="70" spans="1:10" ht="16.5" customHeight="1" x14ac:dyDescent="0.25">
      <c r="A70" s="59" t="str">
        <f t="shared" si="3"/>
        <v>7173</v>
      </c>
      <c r="B70" s="80" t="s">
        <v>83</v>
      </c>
      <c r="C70" s="73" t="s">
        <v>21</v>
      </c>
      <c r="D70" s="74">
        <v>1001302277173</v>
      </c>
      <c r="E70" s="24"/>
      <c r="F70" s="23">
        <v>0.28000000000000003</v>
      </c>
      <c r="G70" s="23">
        <f t="shared" si="4"/>
        <v>0</v>
      </c>
      <c r="H70" s="14"/>
      <c r="I70" s="14"/>
      <c r="J70" s="29"/>
    </row>
    <row r="71" spans="1:10" ht="16.5" customHeight="1" x14ac:dyDescent="0.25">
      <c r="A71" s="59" t="str">
        <f t="shared" si="3"/>
        <v>7232</v>
      </c>
      <c r="B71" s="80" t="s">
        <v>84</v>
      </c>
      <c r="C71" s="73" t="s">
        <v>21</v>
      </c>
      <c r="D71" s="74">
        <v>1001302277232</v>
      </c>
      <c r="E71" s="24">
        <v>8</v>
      </c>
      <c r="F71" s="23">
        <v>0.28000000000000003</v>
      </c>
      <c r="G71" s="23">
        <f t="shared" si="4"/>
        <v>2.2400000000000002</v>
      </c>
      <c r="H71" s="14"/>
      <c r="I71" s="14"/>
      <c r="J71" s="29"/>
    </row>
    <row r="72" spans="1:10" ht="16.5" customHeight="1" x14ac:dyDescent="0.25">
      <c r="A72" s="59" t="str">
        <f t="shared" si="3"/>
        <v>6773</v>
      </c>
      <c r="B72" s="50" t="s">
        <v>85</v>
      </c>
      <c r="C72" s="73" t="s">
        <v>21</v>
      </c>
      <c r="D72" s="74">
        <v>1001303106773</v>
      </c>
      <c r="E72" s="24"/>
      <c r="F72" s="23">
        <v>0.28000000000000003</v>
      </c>
      <c r="G72" s="23">
        <f t="shared" si="4"/>
        <v>0</v>
      </c>
      <c r="H72" s="14">
        <v>2.2400000000000002</v>
      </c>
      <c r="I72" s="14">
        <v>45</v>
      </c>
      <c r="J72" s="29"/>
    </row>
    <row r="73" spans="1:10" ht="16.5" customHeight="1" x14ac:dyDescent="0.25">
      <c r="A73" s="59" t="str">
        <f t="shared" si="3"/>
        <v>7241</v>
      </c>
      <c r="B73" s="50" t="s">
        <v>86</v>
      </c>
      <c r="C73" s="73" t="s">
        <v>21</v>
      </c>
      <c r="D73" s="74">
        <v>1001303107241</v>
      </c>
      <c r="E73" s="24">
        <v>16</v>
      </c>
      <c r="F73" s="23">
        <v>0.28000000000000003</v>
      </c>
      <c r="G73" s="23">
        <f t="shared" si="4"/>
        <v>4.4800000000000004</v>
      </c>
      <c r="H73" s="14"/>
      <c r="I73" s="14"/>
      <c r="J73" s="29"/>
    </row>
    <row r="74" spans="1:10" ht="16.5" customHeight="1" x14ac:dyDescent="0.25">
      <c r="A74" s="59" t="str">
        <f t="shared" si="3"/>
        <v>6683</v>
      </c>
      <c r="B74" s="50" t="s">
        <v>87</v>
      </c>
      <c r="C74" s="73" t="s">
        <v>21</v>
      </c>
      <c r="D74" s="74">
        <v>1001300386683</v>
      </c>
      <c r="E74" s="24"/>
      <c r="F74" s="23">
        <v>0.35</v>
      </c>
      <c r="G74" s="23">
        <f t="shared" si="4"/>
        <v>0</v>
      </c>
      <c r="H74" s="14">
        <v>2.8</v>
      </c>
      <c r="I74" s="14">
        <v>45</v>
      </c>
      <c r="J74" s="29"/>
    </row>
    <row r="75" spans="1:10" ht="15.75" customHeight="1" x14ac:dyDescent="0.25">
      <c r="A75" s="59" t="str">
        <f t="shared" si="3"/>
        <v>5489</v>
      </c>
      <c r="B75" s="80" t="s">
        <v>88</v>
      </c>
      <c r="C75" s="73" t="s">
        <v>23</v>
      </c>
      <c r="D75" s="74">
        <v>1001050385489</v>
      </c>
      <c r="E75" s="24"/>
      <c r="F75" s="23"/>
      <c r="G75" s="23">
        <f>E75</f>
        <v>0</v>
      </c>
      <c r="H75" s="14"/>
      <c r="I75" s="14"/>
      <c r="J75" s="29"/>
    </row>
    <row r="76" spans="1:10" ht="16.5" customHeight="1" x14ac:dyDescent="0.25">
      <c r="A76" s="59" t="str">
        <f t="shared" si="3"/>
        <v>6787</v>
      </c>
      <c r="B76" s="52" t="s">
        <v>89</v>
      </c>
      <c r="C76" s="53" t="s">
        <v>21</v>
      </c>
      <c r="D76" s="54">
        <v>1001300456787</v>
      </c>
      <c r="E76" s="24"/>
      <c r="F76" s="75">
        <v>0.33</v>
      </c>
      <c r="G76" s="23">
        <f t="shared" ref="G76:G81" si="5">E76*F76</f>
        <v>0</v>
      </c>
      <c r="H76" s="76">
        <v>5.04</v>
      </c>
      <c r="I76" s="76">
        <v>45</v>
      </c>
      <c r="J76" s="76"/>
    </row>
    <row r="77" spans="1:10" ht="16.5" customHeight="1" x14ac:dyDescent="0.25">
      <c r="A77" s="59" t="str">
        <f t="shared" si="3"/>
        <v>6697</v>
      </c>
      <c r="B77" s="50" t="s">
        <v>90</v>
      </c>
      <c r="C77" s="73" t="s">
        <v>21</v>
      </c>
      <c r="D77" s="74">
        <v>1001301876697</v>
      </c>
      <c r="E77" s="24">
        <v>8</v>
      </c>
      <c r="F77" s="23">
        <v>0.35</v>
      </c>
      <c r="G77" s="23">
        <f t="shared" si="5"/>
        <v>2.8</v>
      </c>
      <c r="H77" s="14">
        <v>2.8</v>
      </c>
      <c r="I77" s="14">
        <v>45</v>
      </c>
      <c r="J77" s="29"/>
    </row>
    <row r="78" spans="1:10" ht="16.5" customHeight="1" x14ac:dyDescent="0.25">
      <c r="A78" s="59" t="str">
        <f t="shared" si="3"/>
        <v>6701</v>
      </c>
      <c r="B78" s="50" t="s">
        <v>91</v>
      </c>
      <c r="C78" s="73" t="s">
        <v>21</v>
      </c>
      <c r="D78" s="74">
        <v>1001304496701</v>
      </c>
      <c r="E78" s="24"/>
      <c r="F78" s="23">
        <v>0.28000000000000003</v>
      </c>
      <c r="G78" s="23">
        <f t="shared" si="5"/>
        <v>0</v>
      </c>
      <c r="H78" s="14">
        <v>2.2400000000000002</v>
      </c>
      <c r="I78" s="14">
        <v>45</v>
      </c>
      <c r="J78" s="29"/>
    </row>
    <row r="79" spans="1:10" ht="16.5" customHeight="1" x14ac:dyDescent="0.25">
      <c r="A79" s="59" t="str">
        <f t="shared" si="3"/>
        <v>7237</v>
      </c>
      <c r="B79" s="50" t="s">
        <v>92</v>
      </c>
      <c r="C79" s="73" t="s">
        <v>21</v>
      </c>
      <c r="D79" s="74">
        <v>1001304497237</v>
      </c>
      <c r="E79" s="24">
        <v>16</v>
      </c>
      <c r="F79" s="23">
        <v>0.28000000000000003</v>
      </c>
      <c r="G79" s="23">
        <f t="shared" si="5"/>
        <v>4.4800000000000004</v>
      </c>
      <c r="H79" s="14"/>
      <c r="I79" s="14"/>
      <c r="J79" s="29"/>
    </row>
    <row r="80" spans="1:10" ht="16.5" customHeight="1" x14ac:dyDescent="0.25">
      <c r="A80" s="59" t="str">
        <f t="shared" ref="A80:A111" si="6">RIGHT(D80,4)</f>
        <v>6684</v>
      </c>
      <c r="B80" s="52" t="s">
        <v>93</v>
      </c>
      <c r="C80" s="53" t="s">
        <v>21</v>
      </c>
      <c r="D80" s="54">
        <v>1001304506684</v>
      </c>
      <c r="E80" s="24"/>
      <c r="F80" s="23">
        <v>0.28000000000000003</v>
      </c>
      <c r="G80" s="23">
        <f t="shared" si="5"/>
        <v>0</v>
      </c>
      <c r="H80" s="14">
        <v>2.2400000000000002</v>
      </c>
      <c r="I80" s="14">
        <v>45</v>
      </c>
      <c r="J80" s="29"/>
    </row>
    <row r="81" spans="1:10" ht="16.5" customHeight="1" x14ac:dyDescent="0.25">
      <c r="A81" s="59" t="str">
        <f t="shared" si="6"/>
        <v>6689</v>
      </c>
      <c r="B81" s="57" t="s">
        <v>94</v>
      </c>
      <c r="C81" s="53" t="s">
        <v>33</v>
      </c>
      <c r="D81" s="54">
        <v>1001303986689</v>
      </c>
      <c r="E81" s="24"/>
      <c r="F81" s="23">
        <v>0.35</v>
      </c>
      <c r="G81" s="23">
        <f t="shared" si="5"/>
        <v>0</v>
      </c>
      <c r="H81" s="14">
        <v>2.8</v>
      </c>
      <c r="I81" s="14">
        <v>45</v>
      </c>
      <c r="J81" s="29"/>
    </row>
    <row r="82" spans="1:10" ht="16.5" customHeight="1" x14ac:dyDescent="0.25">
      <c r="A82" s="59" t="str">
        <f t="shared" si="6"/>
        <v>7157</v>
      </c>
      <c r="B82" s="80" t="s">
        <v>95</v>
      </c>
      <c r="C82" s="73" t="s">
        <v>23</v>
      </c>
      <c r="D82" s="74">
        <v>1001300387157</v>
      </c>
      <c r="E82" s="24">
        <v>41</v>
      </c>
      <c r="F82" s="23"/>
      <c r="G82" s="23">
        <f>E82</f>
        <v>41</v>
      </c>
      <c r="H82" s="14"/>
      <c r="I82" s="14"/>
      <c r="J82" s="29"/>
    </row>
    <row r="83" spans="1:10" ht="16.5" customHeight="1" x14ac:dyDescent="0.25">
      <c r="A83" s="59" t="str">
        <f t="shared" si="6"/>
        <v>7166</v>
      </c>
      <c r="B83" s="80" t="s">
        <v>96</v>
      </c>
      <c r="C83" s="73" t="s">
        <v>23</v>
      </c>
      <c r="D83" s="74">
        <v>1001303987166</v>
      </c>
      <c r="E83" s="24">
        <v>40</v>
      </c>
      <c r="F83" s="23"/>
      <c r="G83" s="23">
        <f>E83</f>
        <v>40</v>
      </c>
      <c r="H83" s="14"/>
      <c r="I83" s="14"/>
      <c r="J83" s="29"/>
    </row>
    <row r="84" spans="1:10" ht="16.5" customHeight="1" x14ac:dyDescent="0.25">
      <c r="A84" s="59" t="str">
        <f t="shared" si="6"/>
        <v>7154</v>
      </c>
      <c r="B84" s="80" t="s">
        <v>97</v>
      </c>
      <c r="C84" s="73" t="s">
        <v>21</v>
      </c>
      <c r="D84" s="74">
        <v>1001300387154</v>
      </c>
      <c r="E84" s="24">
        <v>8</v>
      </c>
      <c r="F84" s="23">
        <v>0.35</v>
      </c>
      <c r="G84" s="23">
        <f>E84*F84</f>
        <v>2.8</v>
      </c>
      <c r="H84" s="14"/>
      <c r="I84" s="14"/>
      <c r="J84" s="29"/>
    </row>
    <row r="85" spans="1:10" ht="16.5" customHeight="1" x14ac:dyDescent="0.25">
      <c r="A85" s="59" t="str">
        <f t="shared" si="6"/>
        <v>7169</v>
      </c>
      <c r="B85" s="80" t="s">
        <v>98</v>
      </c>
      <c r="C85" s="73" t="s">
        <v>21</v>
      </c>
      <c r="D85" s="74">
        <v>1001303987169</v>
      </c>
      <c r="E85" s="24">
        <v>8</v>
      </c>
      <c r="F85" s="23">
        <v>0.35</v>
      </c>
      <c r="G85" s="23">
        <f>E85*F85</f>
        <v>2.8</v>
      </c>
      <c r="H85" s="14"/>
      <c r="I85" s="14"/>
      <c r="J85" s="29"/>
    </row>
    <row r="86" spans="1:10" ht="16.5" customHeight="1" x14ac:dyDescent="0.25">
      <c r="A86" s="59" t="str">
        <f t="shared" si="6"/>
        <v>5341</v>
      </c>
      <c r="B86" s="80" t="s">
        <v>99</v>
      </c>
      <c r="C86" s="73" t="s">
        <v>23</v>
      </c>
      <c r="D86" s="74">
        <v>1001053985341</v>
      </c>
      <c r="E86" s="24"/>
      <c r="F86" s="23">
        <v>0.69499999999999995</v>
      </c>
      <c r="G86" s="23">
        <f>E86</f>
        <v>0</v>
      </c>
      <c r="H86" s="14">
        <v>5.56</v>
      </c>
      <c r="I86" s="14">
        <v>45</v>
      </c>
      <c r="J86" s="29"/>
    </row>
    <row r="87" spans="1:10" ht="15.75" customHeight="1" x14ac:dyDescent="0.25">
      <c r="A87" s="59" t="str">
        <f t="shared" si="6"/>
        <v>5544</v>
      </c>
      <c r="B87" s="80" t="s">
        <v>100</v>
      </c>
      <c r="C87" s="73" t="s">
        <v>23</v>
      </c>
      <c r="D87" s="74">
        <v>1001051875544</v>
      </c>
      <c r="E87" s="24">
        <v>63</v>
      </c>
      <c r="F87" s="23">
        <v>0.83399999999999996</v>
      </c>
      <c r="G87" s="23">
        <f>E87</f>
        <v>63</v>
      </c>
      <c r="H87" s="14">
        <v>5</v>
      </c>
      <c r="I87" s="14">
        <v>45</v>
      </c>
      <c r="J87" s="29"/>
    </row>
    <row r="88" spans="1:10" ht="15.75" customHeight="1" x14ac:dyDescent="0.25">
      <c r="A88" s="59" t="str">
        <f t="shared" si="6"/>
        <v>6790</v>
      </c>
      <c r="B88" s="80" t="s">
        <v>101</v>
      </c>
      <c r="C88" s="73" t="s">
        <v>23</v>
      </c>
      <c r="D88" s="74">
        <v>1001300366790</v>
      </c>
      <c r="E88" s="24"/>
      <c r="F88" s="23">
        <v>1</v>
      </c>
      <c r="G88" s="23">
        <f>E88</f>
        <v>0</v>
      </c>
      <c r="H88" s="14"/>
      <c r="I88" s="14">
        <v>45</v>
      </c>
      <c r="J88" s="71"/>
    </row>
    <row r="89" spans="1:10" ht="15.75" customHeight="1" x14ac:dyDescent="0.25">
      <c r="A89" s="59" t="str">
        <f t="shared" si="6"/>
        <v>7133</v>
      </c>
      <c r="B89" s="80" t="s">
        <v>102</v>
      </c>
      <c r="C89" s="73" t="s">
        <v>23</v>
      </c>
      <c r="D89" s="74">
        <v>1001300367133</v>
      </c>
      <c r="E89" s="24"/>
      <c r="F89" s="23"/>
      <c r="G89" s="23">
        <f>E89</f>
        <v>0</v>
      </c>
      <c r="H89" s="14"/>
      <c r="I89" s="14"/>
      <c r="J89" s="71"/>
    </row>
    <row r="90" spans="1:10" ht="15.75" customHeight="1" x14ac:dyDescent="0.25">
      <c r="A90" s="59" t="str">
        <f t="shared" si="6"/>
        <v>6791</v>
      </c>
      <c r="B90" s="80" t="s">
        <v>103</v>
      </c>
      <c r="C90" s="73" t="s">
        <v>21</v>
      </c>
      <c r="D90" s="74">
        <v>1001304096791</v>
      </c>
      <c r="E90" s="24"/>
      <c r="F90" s="23">
        <v>0.33</v>
      </c>
      <c r="G90" s="23">
        <f>E90*F90</f>
        <v>0</v>
      </c>
      <c r="H90" s="14"/>
      <c r="I90" s="14">
        <v>45</v>
      </c>
      <c r="J90" s="71"/>
    </row>
    <row r="91" spans="1:10" ht="15.75" customHeight="1" x14ac:dyDescent="0.25">
      <c r="A91" s="59" t="str">
        <f t="shared" si="6"/>
        <v>6792</v>
      </c>
      <c r="B91" s="80" t="s">
        <v>104</v>
      </c>
      <c r="C91" s="73" t="s">
        <v>23</v>
      </c>
      <c r="D91" s="74">
        <v>1001304096792</v>
      </c>
      <c r="E91" s="24"/>
      <c r="F91" s="23">
        <v>1</v>
      </c>
      <c r="G91" s="23">
        <f>E91</f>
        <v>0</v>
      </c>
      <c r="H91" s="14"/>
      <c r="I91" s="14">
        <v>45</v>
      </c>
      <c r="J91" s="71"/>
    </row>
    <row r="92" spans="1:10" ht="15.75" customHeight="1" x14ac:dyDescent="0.25">
      <c r="A92" s="59" t="str">
        <f t="shared" si="6"/>
        <v>6564</v>
      </c>
      <c r="B92" s="80" t="s">
        <v>105</v>
      </c>
      <c r="C92" s="73" t="s">
        <v>21</v>
      </c>
      <c r="D92" s="74">
        <v>1001305196564</v>
      </c>
      <c r="E92" s="24"/>
      <c r="F92" s="23">
        <v>0.31</v>
      </c>
      <c r="G92" s="23">
        <f t="shared" ref="G92:G99" si="7">F92*E92</f>
        <v>0</v>
      </c>
      <c r="H92" s="14"/>
      <c r="I92" s="14"/>
      <c r="J92" s="71"/>
    </row>
    <row r="93" spans="1:10" ht="15.75" customHeight="1" x14ac:dyDescent="0.25">
      <c r="A93" s="59" t="str">
        <f t="shared" si="6"/>
        <v>7238</v>
      </c>
      <c r="B93" s="80" t="s">
        <v>106</v>
      </c>
      <c r="C93" s="73" t="s">
        <v>21</v>
      </c>
      <c r="D93" s="74">
        <v>1001305197238</v>
      </c>
      <c r="E93" s="24"/>
      <c r="F93" s="23">
        <v>0.31</v>
      </c>
      <c r="G93" s="23">
        <f t="shared" si="7"/>
        <v>0</v>
      </c>
      <c r="H93" s="14"/>
      <c r="I93" s="14"/>
      <c r="J93" s="71"/>
    </row>
    <row r="94" spans="1:10" ht="15.75" customHeight="1" x14ac:dyDescent="0.25">
      <c r="A94" s="59" t="str">
        <f t="shared" si="6"/>
        <v>6565</v>
      </c>
      <c r="B94" s="80" t="s">
        <v>107</v>
      </c>
      <c r="C94" s="73" t="s">
        <v>21</v>
      </c>
      <c r="D94" s="74">
        <v>1001305316565</v>
      </c>
      <c r="E94" s="24"/>
      <c r="F94" s="23">
        <v>0.31</v>
      </c>
      <c r="G94" s="23">
        <f t="shared" si="7"/>
        <v>0</v>
      </c>
      <c r="H94" s="14"/>
      <c r="I94" s="14"/>
      <c r="J94" s="71"/>
    </row>
    <row r="95" spans="1:10" ht="15.75" customHeight="1" x14ac:dyDescent="0.25">
      <c r="A95" s="59" t="str">
        <f t="shared" si="6"/>
        <v>7240</v>
      </c>
      <c r="B95" s="80" t="s">
        <v>108</v>
      </c>
      <c r="C95" s="73" t="s">
        <v>21</v>
      </c>
      <c r="D95" s="74">
        <v>1001305317240</v>
      </c>
      <c r="E95" s="24"/>
      <c r="F95" s="23">
        <v>0.31</v>
      </c>
      <c r="G95" s="23">
        <f t="shared" si="7"/>
        <v>0</v>
      </c>
      <c r="H95" s="14"/>
      <c r="I95" s="14"/>
      <c r="J95" s="71"/>
    </row>
    <row r="96" spans="1:10" ht="15.75" customHeight="1" x14ac:dyDescent="0.25">
      <c r="A96" s="59" t="str">
        <f t="shared" si="6"/>
        <v>7236</v>
      </c>
      <c r="B96" s="80" t="s">
        <v>109</v>
      </c>
      <c r="C96" s="73" t="s">
        <v>21</v>
      </c>
      <c r="D96" s="74">
        <v>1001304507236</v>
      </c>
      <c r="E96" s="24"/>
      <c r="F96" s="23">
        <v>0.28000000000000003</v>
      </c>
      <c r="G96" s="23">
        <f t="shared" si="7"/>
        <v>0</v>
      </c>
      <c r="H96" s="14"/>
      <c r="I96" s="14"/>
      <c r="J96" s="71"/>
    </row>
    <row r="97" spans="1:11" ht="15.75" customHeight="1" x14ac:dyDescent="0.25">
      <c r="A97" s="59" t="str">
        <f t="shared" si="6"/>
        <v>7177</v>
      </c>
      <c r="B97" s="80" t="s">
        <v>110</v>
      </c>
      <c r="C97" s="73" t="s">
        <v>21</v>
      </c>
      <c r="D97" s="74">
        <v>1001302347177</v>
      </c>
      <c r="E97" s="24">
        <v>8</v>
      </c>
      <c r="F97" s="23">
        <v>0.35</v>
      </c>
      <c r="G97" s="23">
        <f t="shared" si="7"/>
        <v>2.8</v>
      </c>
      <c r="H97" s="14"/>
      <c r="I97" s="14"/>
      <c r="J97" s="71"/>
    </row>
    <row r="98" spans="1:11" ht="15.75" customHeight="1" x14ac:dyDescent="0.25">
      <c r="A98" s="59" t="str">
        <f t="shared" si="6"/>
        <v>6459</v>
      </c>
      <c r="B98" s="80" t="s">
        <v>111</v>
      </c>
      <c r="C98" s="73" t="s">
        <v>21</v>
      </c>
      <c r="D98" s="74">
        <v>1001214196459</v>
      </c>
      <c r="E98" s="24"/>
      <c r="F98" s="23">
        <v>0.1</v>
      </c>
      <c r="G98" s="23">
        <f t="shared" si="7"/>
        <v>0</v>
      </c>
      <c r="H98" s="14"/>
      <c r="I98" s="14"/>
      <c r="J98" s="71"/>
    </row>
    <row r="99" spans="1:11" ht="15.75" customHeight="1" x14ac:dyDescent="0.25">
      <c r="A99" s="59" t="str">
        <f t="shared" si="6"/>
        <v>7107</v>
      </c>
      <c r="B99" s="80" t="s">
        <v>112</v>
      </c>
      <c r="C99" s="73" t="s">
        <v>21</v>
      </c>
      <c r="D99" s="74">
        <v>1001205467107</v>
      </c>
      <c r="E99" s="24"/>
      <c r="F99" s="23">
        <v>0.09</v>
      </c>
      <c r="G99" s="23">
        <f t="shared" si="7"/>
        <v>0</v>
      </c>
      <c r="H99" s="14"/>
      <c r="I99" s="14"/>
      <c r="J99" s="71"/>
    </row>
    <row r="100" spans="1:11" ht="15.75" customHeight="1" x14ac:dyDescent="0.25">
      <c r="A100" s="59" t="str">
        <f t="shared" si="6"/>
        <v>6793</v>
      </c>
      <c r="B100" s="80" t="s">
        <v>113</v>
      </c>
      <c r="C100" s="73" t="s">
        <v>21</v>
      </c>
      <c r="D100" s="74">
        <v>1001303636793</v>
      </c>
      <c r="E100" s="24"/>
      <c r="F100" s="23">
        <v>0.33</v>
      </c>
      <c r="G100" s="23">
        <f>E100*F100</f>
        <v>0</v>
      </c>
      <c r="H100" s="14"/>
      <c r="I100" s="14">
        <v>45</v>
      </c>
      <c r="J100" s="71"/>
    </row>
    <row r="101" spans="1:11" ht="15.75" customHeight="1" x14ac:dyDescent="0.25">
      <c r="A101" s="59" t="str">
        <f t="shared" si="6"/>
        <v>6794</v>
      </c>
      <c r="B101" s="80" t="s">
        <v>114</v>
      </c>
      <c r="C101" s="73" t="s">
        <v>23</v>
      </c>
      <c r="D101" s="74">
        <v>1001303636794</v>
      </c>
      <c r="E101" s="24"/>
      <c r="F101" s="23">
        <v>1</v>
      </c>
      <c r="G101" s="23">
        <f>E101</f>
        <v>0</v>
      </c>
      <c r="H101" s="14"/>
      <c r="I101" s="14">
        <v>45</v>
      </c>
      <c r="J101" s="71"/>
    </row>
    <row r="102" spans="1:11" ht="15.75" customHeight="1" x14ac:dyDescent="0.25">
      <c r="A102" s="59" t="str">
        <f t="shared" si="6"/>
        <v>6665</v>
      </c>
      <c r="B102" s="80" t="s">
        <v>115</v>
      </c>
      <c r="C102" s="73" t="s">
        <v>21</v>
      </c>
      <c r="D102" s="74">
        <v>1001303636665</v>
      </c>
      <c r="E102" s="24"/>
      <c r="F102" s="23">
        <v>0.31</v>
      </c>
      <c r="G102" s="23">
        <f>F102*E102</f>
        <v>0</v>
      </c>
      <c r="H102" s="14"/>
      <c r="I102" s="14"/>
      <c r="J102" s="71"/>
    </row>
    <row r="103" spans="1:11" ht="15.75" customHeight="1" x14ac:dyDescent="0.25">
      <c r="A103" s="59" t="str">
        <f t="shared" si="6"/>
        <v>6795</v>
      </c>
      <c r="B103" s="80" t="s">
        <v>116</v>
      </c>
      <c r="C103" s="73" t="s">
        <v>21</v>
      </c>
      <c r="D103" s="74">
        <v>1001302596795</v>
      </c>
      <c r="E103" s="24"/>
      <c r="F103" s="23">
        <v>0.33</v>
      </c>
      <c r="G103" s="23">
        <f>E103*F103</f>
        <v>0</v>
      </c>
      <c r="H103" s="14"/>
      <c r="I103" s="14">
        <v>45</v>
      </c>
      <c r="J103" s="71"/>
    </row>
    <row r="104" spans="1:11" ht="15.75" customHeight="1" x14ac:dyDescent="0.25">
      <c r="A104" s="59" t="str">
        <f t="shared" si="6"/>
        <v>6796</v>
      </c>
      <c r="B104" s="80" t="s">
        <v>117</v>
      </c>
      <c r="C104" s="73" t="s">
        <v>23</v>
      </c>
      <c r="D104" s="74">
        <v>1001302596796</v>
      </c>
      <c r="E104" s="24"/>
      <c r="F104" s="23">
        <v>1</v>
      </c>
      <c r="G104" s="23">
        <f>E104</f>
        <v>0</v>
      </c>
      <c r="H104" s="14"/>
      <c r="I104" s="14">
        <v>45</v>
      </c>
      <c r="J104" s="71"/>
    </row>
    <row r="105" spans="1:11" ht="15.75" customHeight="1" x14ac:dyDescent="0.25">
      <c r="A105" s="59" t="str">
        <f t="shared" si="6"/>
        <v>6804</v>
      </c>
      <c r="B105" s="80" t="s">
        <v>118</v>
      </c>
      <c r="C105" s="73" t="s">
        <v>21</v>
      </c>
      <c r="D105" s="74">
        <v>1001300456804</v>
      </c>
      <c r="E105" s="24"/>
      <c r="F105" s="23">
        <v>0.66</v>
      </c>
      <c r="G105" s="23">
        <f>E105*F105</f>
        <v>0</v>
      </c>
      <c r="H105" s="14"/>
      <c r="I105" s="14">
        <v>45</v>
      </c>
      <c r="J105" s="71"/>
    </row>
    <row r="106" spans="1:11" ht="16.5" customHeight="1" x14ac:dyDescent="0.25">
      <c r="A106" s="59" t="str">
        <f t="shared" si="6"/>
        <v>6803</v>
      </c>
      <c r="B106" s="80" t="s">
        <v>119</v>
      </c>
      <c r="C106" s="73" t="s">
        <v>21</v>
      </c>
      <c r="D106" s="74">
        <v>1001300516803</v>
      </c>
      <c r="E106" s="24"/>
      <c r="F106" s="23">
        <v>0.66</v>
      </c>
      <c r="G106" s="23">
        <f>E106*F106</f>
        <v>0</v>
      </c>
      <c r="H106" s="14"/>
      <c r="I106" s="14">
        <v>45</v>
      </c>
      <c r="J106" s="71"/>
    </row>
    <row r="107" spans="1:11" s="68" customFormat="1" ht="16.5" customHeight="1" thickBot="1" x14ac:dyDescent="0.25">
      <c r="A107" s="59" t="str">
        <f t="shared" si="6"/>
        <v>6807</v>
      </c>
      <c r="B107" s="80" t="s">
        <v>120</v>
      </c>
      <c r="C107" s="73" t="s">
        <v>21</v>
      </c>
      <c r="D107" s="74">
        <v>1001300366807</v>
      </c>
      <c r="E107" s="24"/>
      <c r="F107" s="23">
        <v>0.33</v>
      </c>
      <c r="G107" s="23">
        <f>E107*F107</f>
        <v>0</v>
      </c>
      <c r="H107" s="14"/>
      <c r="I107" s="14">
        <v>45</v>
      </c>
      <c r="J107" s="71"/>
      <c r="K107" s="27"/>
    </row>
    <row r="108" spans="1:11" s="68" customFormat="1" ht="16.5" customHeight="1" thickTop="1" thickBot="1" x14ac:dyDescent="0.3">
      <c r="A108" s="59" t="str">
        <f t="shared" si="6"/>
        <v/>
      </c>
      <c r="B108" s="46" t="s">
        <v>121</v>
      </c>
      <c r="C108" s="46"/>
      <c r="D108" s="46"/>
      <c r="E108" s="46"/>
      <c r="F108" s="46"/>
      <c r="G108" s="46"/>
      <c r="H108" s="46"/>
      <c r="I108" s="46"/>
      <c r="J108" s="47"/>
      <c r="K108" s="27"/>
    </row>
    <row r="109" spans="1:11" ht="16.5" customHeight="1" thickTop="1" x14ac:dyDescent="0.25">
      <c r="A109" s="59" t="str">
        <f t="shared" si="6"/>
        <v>5931</v>
      </c>
      <c r="B109" s="63" t="s">
        <v>122</v>
      </c>
      <c r="C109" s="64" t="s">
        <v>21</v>
      </c>
      <c r="D109" s="65">
        <v>1001060755931</v>
      </c>
      <c r="E109" s="24"/>
      <c r="F109" s="66">
        <v>0.22</v>
      </c>
      <c r="G109" s="23">
        <f>E109*F109</f>
        <v>0</v>
      </c>
      <c r="H109" s="69">
        <v>1.76</v>
      </c>
      <c r="I109" s="67">
        <v>120</v>
      </c>
      <c r="J109" s="67"/>
    </row>
    <row r="110" spans="1:11" ht="16.5" customHeight="1" x14ac:dyDescent="0.25">
      <c r="A110" s="59" t="str">
        <f t="shared" si="6"/>
        <v>6834</v>
      </c>
      <c r="B110" s="52" t="s">
        <v>123</v>
      </c>
      <c r="C110" s="53" t="s">
        <v>21</v>
      </c>
      <c r="D110" s="54">
        <v>1001203146834</v>
      </c>
      <c r="E110" s="24"/>
      <c r="F110" s="75">
        <v>0.1</v>
      </c>
      <c r="G110" s="23">
        <f>E110*F110</f>
        <v>0</v>
      </c>
      <c r="H110" s="78">
        <v>1</v>
      </c>
      <c r="I110" s="76">
        <v>60</v>
      </c>
      <c r="J110" s="76"/>
    </row>
    <row r="111" spans="1:11" ht="16.5" customHeight="1" x14ac:dyDescent="0.25">
      <c r="A111" s="59" t="str">
        <f t="shared" si="6"/>
        <v>6454</v>
      </c>
      <c r="B111" s="80" t="s">
        <v>124</v>
      </c>
      <c r="C111" s="73" t="s">
        <v>33</v>
      </c>
      <c r="D111" s="74">
        <v>1001201976454</v>
      </c>
      <c r="E111" s="24"/>
      <c r="F111" s="23">
        <v>0.1</v>
      </c>
      <c r="G111" s="23">
        <f>E111*F111</f>
        <v>0</v>
      </c>
      <c r="H111" s="14">
        <v>1</v>
      </c>
      <c r="I111" s="14">
        <v>60</v>
      </c>
      <c r="J111" s="29"/>
    </row>
    <row r="112" spans="1:11" ht="16.5" customHeight="1" x14ac:dyDescent="0.25">
      <c r="A112" s="59" t="str">
        <f t="shared" ref="A112:A143" si="8">RIGHT(D112,4)</f>
        <v>5708</v>
      </c>
      <c r="B112" s="80" t="s">
        <v>125</v>
      </c>
      <c r="C112" s="73" t="s">
        <v>23</v>
      </c>
      <c r="D112" s="74">
        <v>1001063145708</v>
      </c>
      <c r="E112" s="24"/>
      <c r="F112" s="23">
        <v>0.52500000000000002</v>
      </c>
      <c r="G112" s="23">
        <f>E112</f>
        <v>0</v>
      </c>
      <c r="H112" s="14">
        <v>4.2</v>
      </c>
      <c r="I112" s="14">
        <v>120</v>
      </c>
      <c r="J112" s="29"/>
    </row>
    <row r="113" spans="1:10" ht="16.5" customHeight="1" x14ac:dyDescent="0.25">
      <c r="A113" s="59" t="str">
        <f t="shared" si="8"/>
        <v>0614</v>
      </c>
      <c r="B113" s="80" t="s">
        <v>126</v>
      </c>
      <c r="C113" s="73" t="s">
        <v>23</v>
      </c>
      <c r="D113" s="74">
        <v>1001060720614</v>
      </c>
      <c r="E113" s="24"/>
      <c r="F113" s="23"/>
      <c r="G113" s="23">
        <f>E113</f>
        <v>0</v>
      </c>
      <c r="H113" s="14"/>
      <c r="I113" s="14"/>
      <c r="J113" s="29"/>
    </row>
    <row r="114" spans="1:10" ht="16.5" customHeight="1" x14ac:dyDescent="0.25">
      <c r="A114" s="59" t="str">
        <f t="shared" si="8"/>
        <v>1146</v>
      </c>
      <c r="B114" s="80" t="s">
        <v>127</v>
      </c>
      <c r="C114" s="73" t="s">
        <v>23</v>
      </c>
      <c r="D114" s="74">
        <v>1001061971146</v>
      </c>
      <c r="E114" s="24"/>
      <c r="F114" s="23"/>
      <c r="G114" s="23">
        <f>E114</f>
        <v>0</v>
      </c>
      <c r="H114" s="14"/>
      <c r="I114" s="14"/>
      <c r="J114" s="29"/>
    </row>
    <row r="115" spans="1:10" ht="16.5" customHeight="1" x14ac:dyDescent="0.25">
      <c r="A115" s="59" t="str">
        <f t="shared" si="8"/>
        <v>4154</v>
      </c>
      <c r="B115" s="80" t="s">
        <v>128</v>
      </c>
      <c r="C115" s="73" t="s">
        <v>23</v>
      </c>
      <c r="D115" s="74">
        <v>1001062474154</v>
      </c>
      <c r="E115" s="24"/>
      <c r="F115" s="23"/>
      <c r="G115" s="23">
        <f>E115</f>
        <v>0</v>
      </c>
      <c r="H115" s="14"/>
      <c r="I115" s="14"/>
      <c r="J115" s="29"/>
    </row>
    <row r="116" spans="1:10" ht="16.5" customHeight="1" x14ac:dyDescent="0.25">
      <c r="A116" s="59" t="str">
        <f t="shared" si="8"/>
        <v>6967</v>
      </c>
      <c r="B116" s="80" t="s">
        <v>129</v>
      </c>
      <c r="C116" s="73" t="s">
        <v>21</v>
      </c>
      <c r="D116" s="74">
        <v>1001063656967</v>
      </c>
      <c r="E116" s="24"/>
      <c r="F116" s="23">
        <v>0.25</v>
      </c>
      <c r="G116" s="23">
        <f>F116*E116</f>
        <v>0</v>
      </c>
      <c r="H116" s="14"/>
      <c r="I116" s="14"/>
      <c r="J116" s="29"/>
    </row>
    <row r="117" spans="1:10" ht="16.5" customHeight="1" x14ac:dyDescent="0.25">
      <c r="A117" s="59" t="str">
        <f t="shared" si="8"/>
        <v>4993</v>
      </c>
      <c r="B117" s="80" t="s">
        <v>130</v>
      </c>
      <c r="C117" s="73" t="s">
        <v>33</v>
      </c>
      <c r="D117" s="74">
        <v>1001060764993</v>
      </c>
      <c r="E117" s="24"/>
      <c r="F117" s="23">
        <v>0.25</v>
      </c>
      <c r="G117" s="23">
        <f>E117*F117</f>
        <v>0</v>
      </c>
      <c r="H117" s="14">
        <v>2</v>
      </c>
      <c r="I117" s="14">
        <v>120</v>
      </c>
      <c r="J117" s="29"/>
    </row>
    <row r="118" spans="1:10" ht="16.5" customHeight="1" x14ac:dyDescent="0.25">
      <c r="A118" s="59" t="str">
        <f t="shared" si="8"/>
        <v>6937</v>
      </c>
      <c r="B118" s="80" t="s">
        <v>131</v>
      </c>
      <c r="C118" s="73" t="s">
        <v>33</v>
      </c>
      <c r="D118" s="74">
        <v>1001063106937</v>
      </c>
      <c r="E118" s="24"/>
      <c r="F118" s="23">
        <v>0.25</v>
      </c>
      <c r="G118" s="23">
        <f>E118*F118</f>
        <v>0</v>
      </c>
      <c r="H118" s="14"/>
      <c r="I118" s="14"/>
      <c r="J118" s="29"/>
    </row>
    <row r="119" spans="1:10" ht="16.5" customHeight="1" x14ac:dyDescent="0.25">
      <c r="A119" s="59" t="str">
        <f t="shared" si="8"/>
        <v>5682</v>
      </c>
      <c r="B119" s="80" t="s">
        <v>132</v>
      </c>
      <c r="C119" s="73" t="s">
        <v>21</v>
      </c>
      <c r="D119" s="74">
        <v>1001193115682</v>
      </c>
      <c r="E119" s="24"/>
      <c r="F119" s="23">
        <v>0.12</v>
      </c>
      <c r="G119" s="23">
        <f>E119*F119</f>
        <v>0</v>
      </c>
      <c r="H119" s="14">
        <v>0.96</v>
      </c>
      <c r="I119" s="14">
        <v>60</v>
      </c>
      <c r="J119" s="29"/>
    </row>
    <row r="120" spans="1:10" ht="16.5" customHeight="1" x14ac:dyDescent="0.25">
      <c r="A120" s="59" t="str">
        <f t="shared" si="8"/>
        <v>5679</v>
      </c>
      <c r="B120" s="80" t="s">
        <v>133</v>
      </c>
      <c r="C120" s="73" t="s">
        <v>21</v>
      </c>
      <c r="D120" s="74">
        <v>1001190765679</v>
      </c>
      <c r="E120" s="24"/>
      <c r="F120" s="23">
        <v>0.15</v>
      </c>
      <c r="G120" s="23">
        <f>F120*E120</f>
        <v>0</v>
      </c>
      <c r="H120" s="14"/>
      <c r="I120" s="14"/>
      <c r="J120" s="29"/>
    </row>
    <row r="121" spans="1:10" ht="16.5" customHeight="1" x14ac:dyDescent="0.25">
      <c r="A121" s="59" t="str">
        <f t="shared" si="8"/>
        <v>4117</v>
      </c>
      <c r="B121" s="80" t="s">
        <v>134</v>
      </c>
      <c r="C121" s="73" t="s">
        <v>23</v>
      </c>
      <c r="D121" s="74">
        <v>1001062504117</v>
      </c>
      <c r="E121" s="24"/>
      <c r="F121" s="23">
        <v>0.50700000000000001</v>
      </c>
      <c r="G121" s="23">
        <f>E121</f>
        <v>0</v>
      </c>
      <c r="H121" s="14">
        <v>4.05</v>
      </c>
      <c r="I121" s="14">
        <v>120</v>
      </c>
      <c r="J121" s="29"/>
    </row>
    <row r="122" spans="1:10" ht="16.5" customHeight="1" x14ac:dyDescent="0.25">
      <c r="A122" s="59" t="str">
        <f t="shared" si="8"/>
        <v>5483</v>
      </c>
      <c r="B122" s="80" t="s">
        <v>135</v>
      </c>
      <c r="C122" s="73" t="s">
        <v>21</v>
      </c>
      <c r="D122" s="74">
        <v>1001062505483</v>
      </c>
      <c r="E122" s="24"/>
      <c r="F122" s="23">
        <v>0.25</v>
      </c>
      <c r="G122" s="23">
        <f>E122*F122</f>
        <v>0</v>
      </c>
      <c r="H122" s="14">
        <v>2</v>
      </c>
      <c r="I122" s="14">
        <v>120</v>
      </c>
      <c r="J122" s="29"/>
    </row>
    <row r="123" spans="1:10" ht="16.5" customHeight="1" x14ac:dyDescent="0.25">
      <c r="A123" s="59" t="str">
        <f t="shared" si="8"/>
        <v>6453</v>
      </c>
      <c r="B123" s="80" t="s">
        <v>136</v>
      </c>
      <c r="C123" s="73" t="s">
        <v>33</v>
      </c>
      <c r="D123" s="74">
        <v>1001202506453</v>
      </c>
      <c r="E123" s="24"/>
      <c r="F123" s="23">
        <v>0.1</v>
      </c>
      <c r="G123" s="23">
        <f>E123*F123</f>
        <v>0</v>
      </c>
      <c r="H123" s="14">
        <v>1.4</v>
      </c>
      <c r="I123" s="14">
        <v>60</v>
      </c>
      <c r="J123" s="29"/>
    </row>
    <row r="124" spans="1:10" ht="16.5" customHeight="1" x14ac:dyDescent="0.25">
      <c r="A124" s="59" t="str">
        <f t="shared" si="8"/>
        <v>6557</v>
      </c>
      <c r="B124" s="80" t="s">
        <v>137</v>
      </c>
      <c r="C124" s="73" t="s">
        <v>33</v>
      </c>
      <c r="D124" s="74">
        <v>1001200756557</v>
      </c>
      <c r="E124" s="24"/>
      <c r="F124" s="23">
        <v>0.1</v>
      </c>
      <c r="G124" s="23">
        <f>E124*F124</f>
        <v>0</v>
      </c>
      <c r="H124" s="14"/>
      <c r="I124" s="14"/>
      <c r="J124" s="29"/>
    </row>
    <row r="125" spans="1:10" ht="16.5" customHeight="1" x14ac:dyDescent="0.25">
      <c r="A125" s="59" t="str">
        <f t="shared" si="8"/>
        <v>6228</v>
      </c>
      <c r="B125" s="80" t="s">
        <v>138</v>
      </c>
      <c r="C125" s="73" t="s">
        <v>33</v>
      </c>
      <c r="D125" s="74">
        <v>1001225416228</v>
      </c>
      <c r="E125" s="24"/>
      <c r="F125" s="23">
        <v>0.09</v>
      </c>
      <c r="G125" s="23">
        <f>E125*F125</f>
        <v>0</v>
      </c>
      <c r="H125" s="14"/>
      <c r="I125" s="14"/>
      <c r="J125" s="29"/>
    </row>
    <row r="126" spans="1:10" ht="16.5" customHeight="1" x14ac:dyDescent="0.25">
      <c r="A126" s="59" t="str">
        <f t="shared" si="8"/>
        <v>6221</v>
      </c>
      <c r="B126" s="80" t="s">
        <v>139</v>
      </c>
      <c r="C126" s="73" t="s">
        <v>33</v>
      </c>
      <c r="D126" s="74">
        <v>1001205376221</v>
      </c>
      <c r="E126" s="24"/>
      <c r="F126" s="23">
        <v>0.09</v>
      </c>
      <c r="G126" s="23">
        <f>E126*F126</f>
        <v>0</v>
      </c>
      <c r="H126" s="14"/>
      <c r="I126" s="14"/>
      <c r="J126" s="29"/>
    </row>
    <row r="127" spans="1:10" ht="16.5" customHeight="1" thickBot="1" x14ac:dyDescent="0.25">
      <c r="A127" s="59" t="str">
        <f t="shared" si="8"/>
        <v>3287</v>
      </c>
      <c r="B127" s="80" t="s">
        <v>140</v>
      </c>
      <c r="C127" s="73" t="s">
        <v>23</v>
      </c>
      <c r="D127" s="74">
        <v>1001060763287</v>
      </c>
      <c r="E127" s="24"/>
      <c r="F127" s="23">
        <v>0.51300000000000001</v>
      </c>
      <c r="G127" s="23">
        <f>E127</f>
        <v>0</v>
      </c>
      <c r="H127" s="14">
        <v>4.0999999999999996</v>
      </c>
      <c r="I127" s="14">
        <v>120</v>
      </c>
      <c r="J127" s="29"/>
    </row>
    <row r="128" spans="1:10" ht="16.5" customHeight="1" thickTop="1" thickBot="1" x14ac:dyDescent="0.3">
      <c r="A128" s="59" t="str">
        <f t="shared" si="8"/>
        <v/>
      </c>
      <c r="B128" s="46" t="s">
        <v>141</v>
      </c>
      <c r="C128" s="46"/>
      <c r="D128" s="46"/>
      <c r="E128" s="46"/>
      <c r="F128" s="46"/>
      <c r="G128" s="23"/>
      <c r="H128" s="46"/>
      <c r="I128" s="46"/>
      <c r="J128" s="47"/>
    </row>
    <row r="129" spans="1:11" ht="16.5" customHeight="1" thickTop="1" x14ac:dyDescent="0.25">
      <c r="A129" s="59" t="str">
        <f t="shared" si="8"/>
        <v>6866</v>
      </c>
      <c r="B129" s="77" t="s">
        <v>142</v>
      </c>
      <c r="C129" s="73" t="s">
        <v>38</v>
      </c>
      <c r="D129" s="79">
        <v>1001095716866</v>
      </c>
      <c r="E129" s="24"/>
      <c r="F129" s="23"/>
      <c r="G129" s="23">
        <f>E129</f>
        <v>0</v>
      </c>
      <c r="H129" s="14"/>
      <c r="I129" s="14"/>
      <c r="J129" s="29"/>
    </row>
    <row r="130" spans="1:11" ht="16.5" customHeight="1" x14ac:dyDescent="0.25">
      <c r="A130" s="59" t="str">
        <f t="shared" si="8"/>
        <v>3215</v>
      </c>
      <c r="B130" s="80" t="s">
        <v>143</v>
      </c>
      <c r="C130" s="73" t="s">
        <v>33</v>
      </c>
      <c r="D130" s="42">
        <v>1001094053215</v>
      </c>
      <c r="E130" s="24"/>
      <c r="F130" s="23">
        <v>0.4</v>
      </c>
      <c r="G130" s="23">
        <f>E130*F130</f>
        <v>0</v>
      </c>
      <c r="H130" s="14">
        <v>3.2</v>
      </c>
      <c r="I130" s="14">
        <v>60</v>
      </c>
      <c r="J130" s="29"/>
    </row>
    <row r="131" spans="1:11" ht="16.5" customHeight="1" x14ac:dyDescent="0.25">
      <c r="A131" s="59" t="str">
        <f t="shared" si="8"/>
        <v>6025</v>
      </c>
      <c r="B131" s="80" t="s">
        <v>144</v>
      </c>
      <c r="C131" s="73" t="s">
        <v>23</v>
      </c>
      <c r="D131" s="42">
        <v>1001094966025</v>
      </c>
      <c r="E131" s="24"/>
      <c r="F131" s="23"/>
      <c r="G131" s="23">
        <f>E131</f>
        <v>0</v>
      </c>
      <c r="H131" s="14"/>
      <c r="I131" s="14"/>
      <c r="J131" s="29"/>
    </row>
    <row r="132" spans="1:11" ht="16.5" customHeight="1" x14ac:dyDescent="0.25">
      <c r="A132" s="59" t="str">
        <f t="shared" si="8"/>
        <v>6470</v>
      </c>
      <c r="B132" s="80" t="s">
        <v>145</v>
      </c>
      <c r="C132" s="73" t="s">
        <v>23</v>
      </c>
      <c r="D132" s="42">
        <v>1001092436470</v>
      </c>
      <c r="E132" s="24">
        <v>5</v>
      </c>
      <c r="F132" s="23"/>
      <c r="G132" s="23">
        <f>E132</f>
        <v>5</v>
      </c>
      <c r="H132" s="14"/>
      <c r="I132" s="14"/>
      <c r="J132" s="29"/>
    </row>
    <row r="133" spans="1:11" ht="16.5" customHeight="1" x14ac:dyDescent="0.25">
      <c r="A133" s="59" t="str">
        <f t="shared" si="8"/>
        <v>4584</v>
      </c>
      <c r="B133" s="80" t="s">
        <v>146</v>
      </c>
      <c r="C133" s="73" t="s">
        <v>23</v>
      </c>
      <c r="D133" s="42">
        <v>1001092674584</v>
      </c>
      <c r="E133" s="24"/>
      <c r="F133" s="23"/>
      <c r="G133" s="23">
        <f>E133</f>
        <v>0</v>
      </c>
      <c r="H133" s="14"/>
      <c r="I133" s="14"/>
      <c r="J133" s="29"/>
    </row>
    <row r="134" spans="1:11" ht="16.5" customHeight="1" x14ac:dyDescent="0.25">
      <c r="A134" s="59" t="str">
        <f t="shared" si="8"/>
        <v>6472</v>
      </c>
      <c r="B134" s="80" t="s">
        <v>147</v>
      </c>
      <c r="C134" s="73" t="s">
        <v>23</v>
      </c>
      <c r="D134" s="42">
        <v>1001092436472</v>
      </c>
      <c r="E134" s="24"/>
      <c r="F134" s="23"/>
      <c r="G134" s="23">
        <f>E134</f>
        <v>0</v>
      </c>
      <c r="H134" s="14"/>
      <c r="I134" s="14"/>
      <c r="J134" s="29"/>
    </row>
    <row r="135" spans="1:11" ht="16.5" customHeight="1" x14ac:dyDescent="0.25">
      <c r="A135" s="59" t="str">
        <f t="shared" si="8"/>
        <v>5452</v>
      </c>
      <c r="B135" s="50" t="s">
        <v>148</v>
      </c>
      <c r="C135" s="73" t="s">
        <v>23</v>
      </c>
      <c r="D135" s="42">
        <v>1001092485452</v>
      </c>
      <c r="E135" s="24"/>
      <c r="F135" s="23">
        <v>1.367</v>
      </c>
      <c r="G135" s="23">
        <f>E135</f>
        <v>0</v>
      </c>
      <c r="H135" s="14">
        <v>4.0999999999999996</v>
      </c>
      <c r="I135" s="14">
        <v>60</v>
      </c>
      <c r="J135" s="29"/>
    </row>
    <row r="136" spans="1:11" ht="16.5" customHeight="1" x14ac:dyDescent="0.25">
      <c r="A136" s="59" t="str">
        <f t="shared" si="8"/>
        <v>5495</v>
      </c>
      <c r="B136" s="50" t="s">
        <v>149</v>
      </c>
      <c r="C136" s="73" t="s">
        <v>21</v>
      </c>
      <c r="D136" s="42">
        <v>1001093345495</v>
      </c>
      <c r="E136" s="24"/>
      <c r="F136" s="23">
        <v>0.4</v>
      </c>
      <c r="G136" s="23">
        <f>E136*F136</f>
        <v>0</v>
      </c>
      <c r="H136" s="14">
        <v>2.4</v>
      </c>
      <c r="I136" s="14">
        <v>60</v>
      </c>
      <c r="J136" s="29"/>
    </row>
    <row r="137" spans="1:11" ht="15.75" customHeight="1" thickBot="1" x14ac:dyDescent="0.25">
      <c r="A137" s="59" t="str">
        <f t="shared" si="8"/>
        <v>6495</v>
      </c>
      <c r="B137" s="50" t="s">
        <v>150</v>
      </c>
      <c r="C137" s="73" t="s">
        <v>21</v>
      </c>
      <c r="D137" s="42">
        <v>1001092436495</v>
      </c>
      <c r="E137" s="24"/>
      <c r="F137" s="23">
        <v>0.3</v>
      </c>
      <c r="G137" s="23">
        <f>E137*F137</f>
        <v>0</v>
      </c>
      <c r="H137" s="14">
        <v>1.8</v>
      </c>
      <c r="I137" s="14">
        <v>45</v>
      </c>
      <c r="J137" s="29"/>
    </row>
    <row r="138" spans="1:11" ht="16.5" customHeight="1" thickTop="1" thickBot="1" x14ac:dyDescent="0.3">
      <c r="A138" s="59" t="str">
        <f t="shared" si="8"/>
        <v/>
      </c>
      <c r="B138" s="46" t="s">
        <v>151</v>
      </c>
      <c r="C138" s="46"/>
      <c r="D138" s="46"/>
      <c r="E138" s="46"/>
      <c r="F138" s="46"/>
      <c r="G138" s="23"/>
      <c r="H138" s="46"/>
      <c r="I138" s="46"/>
      <c r="J138" s="47"/>
    </row>
    <row r="139" spans="1:11" ht="16.5" customHeight="1" thickTop="1" x14ac:dyDescent="0.25">
      <c r="A139" s="59" t="str">
        <f t="shared" si="8"/>
        <v>6448</v>
      </c>
      <c r="B139" s="37" t="s">
        <v>152</v>
      </c>
      <c r="C139" s="73" t="s">
        <v>33</v>
      </c>
      <c r="D139" s="74">
        <v>1001234146448</v>
      </c>
      <c r="E139" s="24"/>
      <c r="F139" s="23">
        <v>0.1</v>
      </c>
      <c r="G139" s="23">
        <f>E139*F139</f>
        <v>0</v>
      </c>
      <c r="H139" s="14">
        <v>1</v>
      </c>
      <c r="I139" s="14">
        <v>45</v>
      </c>
      <c r="J139" s="29"/>
    </row>
    <row r="140" spans="1:11" ht="16.5" customHeight="1" x14ac:dyDescent="0.25">
      <c r="A140" s="59" t="str">
        <f t="shared" si="8"/>
        <v>7090</v>
      </c>
      <c r="B140" s="37" t="s">
        <v>153</v>
      </c>
      <c r="C140" s="73" t="s">
        <v>33</v>
      </c>
      <c r="D140" s="74">
        <v>1001084217090</v>
      </c>
      <c r="E140" s="24"/>
      <c r="F140" s="23">
        <v>0.3</v>
      </c>
      <c r="G140" s="23">
        <f>E140*F140</f>
        <v>0</v>
      </c>
      <c r="H140" s="14">
        <v>1.8</v>
      </c>
      <c r="I140" s="14">
        <v>45</v>
      </c>
      <c r="J140" s="29"/>
    </row>
    <row r="141" spans="1:11" ht="16.5" customHeight="1" x14ac:dyDescent="0.25">
      <c r="A141" s="59" t="str">
        <f t="shared" si="8"/>
        <v>6208</v>
      </c>
      <c r="B141" s="37" t="s">
        <v>154</v>
      </c>
      <c r="C141" s="73" t="s">
        <v>21</v>
      </c>
      <c r="D141" s="74">
        <v>1001220226208</v>
      </c>
      <c r="E141" s="24"/>
      <c r="F141" s="23">
        <v>0.15</v>
      </c>
      <c r="G141" s="23">
        <f>F141*E141</f>
        <v>0</v>
      </c>
      <c r="H141" s="14"/>
      <c r="I141" s="14"/>
      <c r="J141" s="29"/>
    </row>
    <row r="142" spans="1:11" ht="16.5" customHeight="1" x14ac:dyDescent="0.25">
      <c r="A142" s="59" t="str">
        <f t="shared" si="8"/>
        <v>7053</v>
      </c>
      <c r="B142" s="37" t="s">
        <v>155</v>
      </c>
      <c r="C142" s="73" t="s">
        <v>23</v>
      </c>
      <c r="D142" s="74">
        <v>1001223297053</v>
      </c>
      <c r="E142" s="24"/>
      <c r="F142" s="23"/>
      <c r="G142" s="23">
        <f>E142</f>
        <v>0</v>
      </c>
      <c r="H142" s="14"/>
      <c r="I142" s="14"/>
      <c r="J142" s="29"/>
    </row>
    <row r="143" spans="1:11" s="70" customFormat="1" ht="16.5" customHeight="1" thickBot="1" x14ac:dyDescent="0.25">
      <c r="A143" s="59" t="str">
        <f t="shared" si="8"/>
        <v>7103</v>
      </c>
      <c r="B143" s="58" t="s">
        <v>156</v>
      </c>
      <c r="C143" s="53" t="s">
        <v>33</v>
      </c>
      <c r="D143" s="54">
        <v>1001223297103</v>
      </c>
      <c r="E143" s="24"/>
      <c r="F143" s="75">
        <v>0.18</v>
      </c>
      <c r="G143" s="23">
        <f>E143*F143</f>
        <v>0</v>
      </c>
      <c r="H143" s="76">
        <v>1.8</v>
      </c>
      <c r="I143" s="76">
        <v>45</v>
      </c>
      <c r="J143" s="76"/>
      <c r="K143" s="27"/>
    </row>
    <row r="144" spans="1:11" ht="16.5" customHeight="1" thickTop="1" thickBot="1" x14ac:dyDescent="0.3">
      <c r="A144" s="62"/>
      <c r="B144" s="49" t="s">
        <v>157</v>
      </c>
      <c r="C144" s="16"/>
      <c r="D144" s="38"/>
      <c r="E144" s="17">
        <f>SUM(E10:E143)</f>
        <v>855</v>
      </c>
      <c r="F144" s="17"/>
      <c r="G144" s="17">
        <f>SUM(G11:G143)</f>
        <v>805.39999999999986</v>
      </c>
      <c r="H144" s="17"/>
      <c r="I144" s="17"/>
      <c r="J144" s="17"/>
    </row>
    <row r="145" spans="2:10" ht="15.75" customHeight="1" thickTop="1" x14ac:dyDescent="0.25">
      <c r="B145" s="39"/>
      <c r="C145" s="18"/>
      <c r="D145" s="43"/>
      <c r="F145" s="19"/>
      <c r="G145" s="19"/>
      <c r="H145" s="20"/>
      <c r="I145" s="20"/>
      <c r="J145" s="21"/>
    </row>
    <row r="146" spans="2:10" x14ac:dyDescent="0.25">
      <c r="B146" s="39"/>
      <c r="C146" s="18"/>
      <c r="D146" s="43"/>
      <c r="F146" s="19"/>
      <c r="G146" s="19"/>
      <c r="H146" s="20"/>
      <c r="I146" s="20"/>
      <c r="J146" s="21"/>
    </row>
    <row r="147" spans="2:10" x14ac:dyDescent="0.25">
      <c r="B147" s="39"/>
      <c r="C147" s="18"/>
      <c r="D147" s="43"/>
      <c r="F147" s="19"/>
      <c r="G147" s="19"/>
      <c r="H147" s="20"/>
      <c r="I147" s="20"/>
      <c r="J147" s="21"/>
    </row>
    <row r="148" spans="2:10" x14ac:dyDescent="0.25">
      <c r="B148" s="39"/>
      <c r="C148" s="18"/>
      <c r="D148" s="43"/>
      <c r="F148" s="19"/>
      <c r="G148" s="19"/>
      <c r="H148" s="20"/>
      <c r="I148" s="20"/>
      <c r="J148" s="21"/>
    </row>
    <row r="149" spans="2:10" x14ac:dyDescent="0.25">
      <c r="B149" s="39"/>
      <c r="C149" s="18"/>
      <c r="D149" s="43"/>
      <c r="F149" s="19"/>
      <c r="G149" s="19"/>
      <c r="H149" s="20"/>
      <c r="I149" s="20"/>
      <c r="J149" s="21"/>
    </row>
    <row r="150" spans="2:10" x14ac:dyDescent="0.25">
      <c r="B150" s="39"/>
      <c r="C150" s="18"/>
      <c r="D150" s="43"/>
      <c r="F150" s="19"/>
      <c r="G150" s="19"/>
      <c r="H150" s="20"/>
      <c r="I150" s="20"/>
      <c r="J150" s="21"/>
    </row>
    <row r="151" spans="2:10" x14ac:dyDescent="0.25">
      <c r="B151" s="39"/>
      <c r="C151" s="18"/>
      <c r="D151" s="43"/>
      <c r="F151" s="19"/>
      <c r="G151" s="19"/>
      <c r="H151" s="20"/>
      <c r="I151" s="20"/>
      <c r="J151" s="21"/>
    </row>
    <row r="152" spans="2:10" x14ac:dyDescent="0.25">
      <c r="B152" s="39"/>
      <c r="C152" s="18"/>
      <c r="D152" s="43"/>
      <c r="F152" s="19"/>
      <c r="G152" s="19"/>
      <c r="H152" s="20"/>
      <c r="I152" s="20"/>
      <c r="J152" s="21"/>
    </row>
    <row r="153" spans="2:10" x14ac:dyDescent="0.25">
      <c r="B153" s="39"/>
      <c r="C153" s="18"/>
      <c r="D153" s="43"/>
      <c r="F153" s="19"/>
      <c r="G153" s="19"/>
      <c r="H153" s="20"/>
      <c r="I153" s="20"/>
      <c r="J153" s="21"/>
    </row>
    <row r="154" spans="2:10" x14ac:dyDescent="0.25">
      <c r="B154" s="39"/>
      <c r="C154" s="18"/>
      <c r="D154" s="43"/>
      <c r="F154" s="19"/>
      <c r="G154" s="19"/>
      <c r="H154" s="20"/>
      <c r="I154" s="20"/>
      <c r="J154" s="21"/>
    </row>
    <row r="155" spans="2:10" x14ac:dyDescent="0.25">
      <c r="B155" s="39"/>
      <c r="C155" s="18"/>
      <c r="D155" s="43"/>
      <c r="F155" s="19"/>
      <c r="G155" s="19"/>
      <c r="H155" s="20"/>
      <c r="I155" s="20"/>
      <c r="J155" s="21"/>
    </row>
    <row r="156" spans="2:10" x14ac:dyDescent="0.25">
      <c r="B156" s="39"/>
      <c r="C156" s="18"/>
      <c r="D156" s="43"/>
      <c r="F156" s="19"/>
      <c r="G156" s="19"/>
      <c r="H156" s="20"/>
      <c r="I156" s="20"/>
      <c r="J156" s="21"/>
    </row>
    <row r="157" spans="2:10" x14ac:dyDescent="0.25">
      <c r="B157" s="39"/>
      <c r="C157" s="18"/>
      <c r="D157" s="43"/>
      <c r="F157" s="19"/>
      <c r="G157" s="19"/>
      <c r="H157" s="20"/>
      <c r="I157" s="20"/>
      <c r="J157" s="21"/>
    </row>
    <row r="158" spans="2:10" x14ac:dyDescent="0.25">
      <c r="B158" s="39"/>
      <c r="C158" s="18"/>
      <c r="D158" s="43"/>
      <c r="F158" s="19"/>
      <c r="G158" s="19"/>
      <c r="H158" s="20"/>
      <c r="I158" s="20"/>
      <c r="J158" s="21"/>
    </row>
    <row r="159" spans="2:10" x14ac:dyDescent="0.25">
      <c r="B159" s="39"/>
      <c r="C159" s="18"/>
      <c r="D159" s="43"/>
      <c r="F159" s="19"/>
      <c r="G159" s="19"/>
      <c r="H159" s="20"/>
      <c r="I159" s="20"/>
      <c r="J159" s="21"/>
    </row>
    <row r="160" spans="2:10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  <row r="1656" spans="2:10" x14ac:dyDescent="0.25">
      <c r="B1656" s="39"/>
      <c r="C1656" s="18"/>
      <c r="D1656" s="43"/>
      <c r="F1656" s="19"/>
      <c r="G1656" s="19"/>
      <c r="H1656" s="20"/>
      <c r="I1656" s="20"/>
      <c r="J1656" s="21"/>
    </row>
    <row r="1657" spans="2:10" x14ac:dyDescent="0.25">
      <c r="B1657" s="39"/>
      <c r="C1657" s="18"/>
      <c r="D1657" s="43"/>
      <c r="F1657" s="19"/>
      <c r="G1657" s="19"/>
      <c r="H1657" s="20"/>
      <c r="I1657" s="20"/>
      <c r="J1657" s="21"/>
    </row>
    <row r="1658" spans="2:10" x14ac:dyDescent="0.25">
      <c r="B1658" s="39"/>
      <c r="C1658" s="18"/>
      <c r="D1658" s="43"/>
      <c r="F1658" s="19"/>
      <c r="G1658" s="19"/>
      <c r="H1658" s="20"/>
      <c r="I1658" s="20"/>
      <c r="J1658" s="21"/>
    </row>
    <row r="1659" spans="2:10" x14ac:dyDescent="0.25">
      <c r="B1659" s="39"/>
      <c r="C1659" s="18"/>
      <c r="D1659" s="43"/>
      <c r="F1659" s="19"/>
      <c r="G1659" s="19"/>
      <c r="H1659" s="20"/>
      <c r="I1659" s="20"/>
      <c r="J1659" s="21"/>
    </row>
    <row r="1660" spans="2:10" x14ac:dyDescent="0.25">
      <c r="B1660" s="39"/>
      <c r="C1660" s="18"/>
      <c r="D1660" s="43"/>
      <c r="F1660" s="19"/>
      <c r="G1660" s="19"/>
      <c r="H1660" s="20"/>
      <c r="I1660" s="20"/>
      <c r="J1660" s="21"/>
    </row>
    <row r="1661" spans="2:10" x14ac:dyDescent="0.25">
      <c r="B1661" s="39"/>
      <c r="C1661" s="18"/>
      <c r="D1661" s="43"/>
      <c r="F1661" s="19"/>
      <c r="G1661" s="19"/>
      <c r="H1661" s="20"/>
      <c r="I1661" s="20"/>
      <c r="J1661" s="21"/>
    </row>
    <row r="1662" spans="2:10" x14ac:dyDescent="0.25">
      <c r="B1662" s="39"/>
      <c r="C1662" s="18"/>
      <c r="D1662" s="43"/>
      <c r="F1662" s="19"/>
      <c r="G1662" s="19"/>
      <c r="H1662" s="20"/>
      <c r="I1662" s="20"/>
      <c r="J1662" s="21"/>
    </row>
    <row r="1663" spans="2:10" x14ac:dyDescent="0.25">
      <c r="B1663" s="39"/>
      <c r="C1663" s="18"/>
      <c r="D1663" s="43"/>
      <c r="F1663" s="19"/>
      <c r="G1663" s="19"/>
      <c r="H1663" s="20"/>
      <c r="I1663" s="20"/>
      <c r="J1663" s="21"/>
    </row>
    <row r="1664" spans="2:10" x14ac:dyDescent="0.25">
      <c r="B1664" s="39"/>
      <c r="C1664" s="18"/>
      <c r="D1664" s="43"/>
      <c r="F1664" s="19"/>
      <c r="G1664" s="19"/>
      <c r="H1664" s="20"/>
      <c r="I1664" s="20"/>
      <c r="J1664" s="21"/>
    </row>
    <row r="1665" spans="2:10" x14ac:dyDescent="0.25">
      <c r="B1665" s="39"/>
      <c r="C1665" s="18"/>
      <c r="D1665" s="43"/>
      <c r="F1665" s="19"/>
      <c r="G1665" s="19"/>
      <c r="H1665" s="20"/>
      <c r="I1665" s="20"/>
      <c r="J1665" s="21"/>
    </row>
    <row r="1666" spans="2:10" x14ac:dyDescent="0.25">
      <c r="B1666" s="39"/>
      <c r="C1666" s="18"/>
      <c r="D1666" s="43"/>
      <c r="F1666" s="19"/>
      <c r="G1666" s="19"/>
      <c r="H1666" s="20"/>
      <c r="I1666" s="20"/>
      <c r="J1666" s="21"/>
    </row>
    <row r="1667" spans="2:10" x14ac:dyDescent="0.25">
      <c r="B1667" s="39"/>
      <c r="C1667" s="18"/>
      <c r="D1667" s="43"/>
      <c r="F1667" s="19"/>
      <c r="G1667" s="19"/>
      <c r="H1667" s="20"/>
      <c r="I1667" s="20"/>
      <c r="J1667" s="21"/>
    </row>
    <row r="1668" spans="2:10" x14ac:dyDescent="0.25">
      <c r="B1668" s="39"/>
      <c r="C1668" s="18"/>
      <c r="D1668" s="43"/>
      <c r="F1668" s="19"/>
      <c r="G1668" s="19"/>
      <c r="H1668" s="20"/>
      <c r="I1668" s="20"/>
      <c r="J1668" s="21"/>
    </row>
  </sheetData>
  <autoFilter ref="A9:K14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2026-01-06T10:20:25Z</dcterms:modified>
</cp:coreProperties>
</file>