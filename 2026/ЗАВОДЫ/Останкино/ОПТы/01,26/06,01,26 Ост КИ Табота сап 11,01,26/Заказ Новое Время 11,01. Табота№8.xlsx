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Останкино\ОПТы\01,26\06,01,26 Ост КИ Табота сап 11,01,26\"/>
    </mc:Choice>
  </mc:AlternateContent>
  <xr:revisionPtr revIDLastSave="0" documentId="13_ncr:1_{73A82580-318B-4F59-827B-B282A030AA60}" xr6:coauthVersionLast="45" xr6:coauthVersionMax="45" xr10:uidLastSave="{00000000-0000-0000-0000-000000000000}"/>
  <bookViews>
    <workbookView xWindow="11700" yWindow="930" windowWidth="17100" windowHeight="1467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4" i="1" s="1"/>
  <c r="A11" i="1"/>
  <c r="F3" i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<sst xmlns="http://schemas.openxmlformats.org/spreadsheetml/2006/main" count="281" uniqueCount="158">
  <si>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</si>
  <si>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</si>
  <si>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</si>
  <si>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</si>
  <si>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</si>
  <si>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</si>
  <si>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</si>
  <si>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</si>
  <si>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</si>
  <si>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</si>
  <si>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</si>
  <si>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</si>
  <si>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</si>
  <si>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</si>
  <si>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</si>
  <si>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</si>
  <si>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</si>
  <si>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</si>
  <si>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</si>
  <si>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</si>
  <si>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</si>
  <si>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</si>
  <si>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</si>
  <si>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</si>
  <si>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</si>
  <si>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</si>
  <si>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</si>
  <si>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</si>
  <si>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</si>
  <si>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</si>
  <si>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</si>
  <si>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</si>
  <si>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</si>
  <si>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</si>
  <si>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</si>
  <si>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</si>
  <si>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</si>
  <si>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</si>
  <si>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</si>
  <si>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</si>
  <si>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</si>
  <si>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</si>
  <si>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</si>
  <si>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</si>
  <si>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</si>
  <si>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</si>
  <si>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</si>
  <si>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</si>
  <si>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</si>
  <si>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</si>
  <si>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</si>
  <si>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</si>
  <si>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</si>
  <si>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</si>
  <si>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</si>
  <si>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</si>
  <si>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</si>
  <si>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</si>
  <si>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</si>
  <si>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</si>
  <si>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</si>
  <si>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</si>
  <si>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</si>
  <si>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</si>
  <si>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</si>
  <si>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КЛАССИЧЕСКИЕ сос п/о в/у 0.3кг</t>
  </si>
  <si>
    <t>МОЛОЧ.ПРЕМИУМ ПМ сос п/о мгс 0.6кг_50с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</si>
  <si>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</si>
  <si>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</si>
  <si>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</si>
  <si>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</si>
  <si>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</si>
  <si>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</si>
  <si>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</si>
  <si>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</si>
  <si>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</si>
  <si>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</si>
  <si>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</si>
  <si>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</si>
  <si>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</si>
  <si>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</si>
  <si>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</si>
  <si>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</si>
  <si>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</si>
  <si>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</si>
  <si>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</si>
  <si>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</si>
  <si>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</si>
  <si>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</si>
  <si>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</si>
  <si>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</si>
  <si>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</si>
  <si>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</si>
  <si>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</si>
  <si>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</si>
  <si>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</si>
  <si>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</si>
  <si>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</si>
  <si>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</si>
  <si>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</si>
  <si>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</si>
  <si>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</si>
  <si>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</si>
  <si>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</si>
  <si>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</si>
  <si>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</si>
  <si>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</si>
  <si>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</si>
  <si>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</si>
  <si>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</si>
  <si>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</si>
  <si>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СЕРВЕЛАТ ШВЕЙЦАРСК. в/к с/н в/у 1/100*10</t>
  </si>
  <si>
    <t>САН-РЕМО с/в с/н мгс 1/90 12шт.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</si>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</sst>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K1668"/>
  <sheetViews>
    <sheetView tabSelected="1" zoomScale="87" zoomScaleNormal="87" workbookViewId="0">
      <pane ySplit="9" topLeftCell="A12" activePane="bottomLeft" state="frozen"/>
      <selection pane="bottomLeft" activeCell="E12" sqref="E1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46033</v>
      </c>
      <c r="E3" s="7" t="s">
        <v>3</v>
      </c>
      <c r="F3" s="82">
        <f>D3+3</f>
        <v>46036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hidden="1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hidden="1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thickTop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353</v>
      </c>
      <c r="F12" s="23">
        <v>1.3340000000000001</v>
      </c>
      <c r="G12" s="23">
        <f>E12</f>
        <v>353</v>
      </c>
      <c r="H12" s="14">
        <v>4</v>
      </c>
      <c r="I12" s="14">
        <v>60</v>
      </c>
      <c r="J12" s="29"/>
    </row>
    <row r="13" spans="1:11" ht="16.5" hidden="1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hidden="1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hidden="1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hidden="1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29</v>
      </c>
      <c r="F17" s="23">
        <v>1.35</v>
      </c>
      <c r="G17" s="23">
        <f t="shared" si="1"/>
        <v>29</v>
      </c>
      <c r="H17" s="14">
        <v>4.05</v>
      </c>
      <c r="I17" s="14">
        <v>60</v>
      </c>
      <c r="J17" s="29"/>
    </row>
    <row r="18" spans="1:10" ht="16.5" hidden="1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hidden="1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hidden="1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hidden="1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hidden="1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21</v>
      </c>
      <c r="F23" s="23">
        <v>1.35</v>
      </c>
      <c r="G23" s="23">
        <f>E23</f>
        <v>21</v>
      </c>
      <c r="H23" s="14">
        <v>4.05</v>
      </c>
      <c r="I23" s="14">
        <v>60</v>
      </c>
      <c r="J23" s="29"/>
    </row>
    <row r="24" spans="1:10" ht="16.5" hidden="1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hidden="1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hidden="1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hidden="1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hidden="1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hidden="1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hidden="1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hidden="1" customHeight="1" thickBot="1" x14ac:dyDescent="0.25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hidden="1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hidden="1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hidden="1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99</v>
      </c>
      <c r="F35" s="23">
        <v>1.05</v>
      </c>
      <c r="G35" s="23">
        <f>E35</f>
        <v>99</v>
      </c>
      <c r="H35" s="14">
        <v>3.15</v>
      </c>
      <c r="I35" s="14">
        <v>45</v>
      </c>
      <c r="J35" s="29"/>
      <c r="K35" s="27"/>
    </row>
    <row r="36" spans="1:11" s="15" customFormat="1" ht="16.5" hidden="1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hidden="1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hidden="1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/>
      <c r="F38" s="23">
        <v>0.36</v>
      </c>
      <c r="G38" s="23">
        <f>E38*F38</f>
        <v>0</v>
      </c>
      <c r="H38" s="14"/>
      <c r="I38" s="14"/>
      <c r="J38" s="29"/>
      <c r="K38" s="27"/>
    </row>
    <row r="39" spans="1:11" s="15" customFormat="1" ht="16.5" hidden="1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hidden="1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hidden="1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66</v>
      </c>
      <c r="F42" s="23"/>
      <c r="G42" s="23">
        <f>E42</f>
        <v>66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60</v>
      </c>
      <c r="F43" s="23">
        <v>1</v>
      </c>
      <c r="G43" s="23">
        <f>E43</f>
        <v>60</v>
      </c>
      <c r="H43" s="14">
        <v>6.4</v>
      </c>
      <c r="I43" s="14">
        <v>45</v>
      </c>
      <c r="J43" s="29"/>
      <c r="K43" s="27"/>
    </row>
    <row r="44" spans="1:11" s="15" customFormat="1" ht="16.5" hidden="1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hidden="1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hidden="1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hidden="1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hidden="1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hidden="1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hidden="1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hidden="1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hidden="1" customHeight="1" x14ac:dyDescent="0.25">
      <c r="A52" s="59" t="str">
        <f t="shared" si="3"/>
        <v>6616</v>
      </c>
      <c r="B52" s="72" t="s">
        <v>65</v>
      </c>
      <c r="C52" s="73" t="s">
        <v>21</v>
      </c>
      <c r="D52" s="74">
        <v>1001024976616</v>
      </c>
      <c r="E52" s="24"/>
      <c r="F52" s="23">
        <v>0.3</v>
      </c>
      <c r="G52" s="23">
        <f>E52*F52</f>
        <v>0</v>
      </c>
      <c r="H52" s="14"/>
      <c r="I52" s="14"/>
      <c r="J52" s="29"/>
    </row>
    <row r="53" spans="1:10" ht="16.5" hidden="1" customHeight="1" x14ac:dyDescent="0.25">
      <c r="A53" s="59" t="str">
        <f t="shared" si="3"/>
        <v>7074</v>
      </c>
      <c r="B53" s="72" t="s">
        <v>66</v>
      </c>
      <c r="C53" s="73" t="s">
        <v>21</v>
      </c>
      <c r="D53" s="74">
        <v>1001022657074</v>
      </c>
      <c r="E53" s="24"/>
      <c r="F53" s="23">
        <v>0.6</v>
      </c>
      <c r="G53" s="23">
        <f>E53*F53</f>
        <v>0</v>
      </c>
      <c r="H53" s="14"/>
      <c r="I53" s="14"/>
      <c r="J53" s="29"/>
    </row>
    <row r="54" spans="1:10" ht="16.5" hidden="1" customHeight="1" x14ac:dyDescent="0.25">
      <c r="A54" s="59" t="str">
        <f t="shared" si="3"/>
        <v>6761</v>
      </c>
      <c r="B54" s="51" t="s">
        <v>67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hidden="1" customHeight="1" x14ac:dyDescent="0.25">
      <c r="A55" s="59" t="str">
        <f t="shared" si="3"/>
        <v>7080</v>
      </c>
      <c r="B55" s="56" t="s">
        <v>68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hidden="1" customHeight="1" thickBot="1" x14ac:dyDescent="0.25">
      <c r="A56" s="59" t="str">
        <f t="shared" si="3"/>
        <v>7066</v>
      </c>
      <c r="B56" s="56" t="s">
        <v>69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hidden="1" customHeight="1" thickTop="1" thickBot="1" x14ac:dyDescent="0.3">
      <c r="A57" s="59" t="str">
        <f t="shared" si="3"/>
        <v/>
      </c>
      <c r="B57" s="46" t="s">
        <v>70</v>
      </c>
      <c r="C57" s="46"/>
      <c r="D57" s="46"/>
      <c r="E57" s="46"/>
      <c r="F57" s="46"/>
      <c r="G57" s="23"/>
      <c r="H57" s="46"/>
      <c r="I57" s="46"/>
      <c r="J57" s="47"/>
    </row>
    <row r="58" spans="1:10" ht="16.5" hidden="1" customHeight="1" thickTop="1" x14ac:dyDescent="0.25">
      <c r="A58" s="59" t="str">
        <f t="shared" si="3"/>
        <v>7001</v>
      </c>
      <c r="B58" s="81" t="s">
        <v>71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hidden="1" customHeight="1" x14ac:dyDescent="0.25">
      <c r="A59" s="59" t="str">
        <f t="shared" si="3"/>
        <v>6527</v>
      </c>
      <c r="B59" s="72" t="s">
        <v>72</v>
      </c>
      <c r="C59" s="73" t="s">
        <v>38</v>
      </c>
      <c r="D59" s="74">
        <v>1001031076527</v>
      </c>
      <c r="E59" s="24"/>
      <c r="F59" s="23">
        <v>1</v>
      </c>
      <c r="G59" s="23">
        <f>E59</f>
        <v>0</v>
      </c>
      <c r="H59" s="14">
        <v>3</v>
      </c>
      <c r="I59" s="14">
        <v>45</v>
      </c>
      <c r="J59" s="29"/>
    </row>
    <row r="60" spans="1:10" ht="16.5" hidden="1" customHeight="1" x14ac:dyDescent="0.25">
      <c r="A60" s="59" t="str">
        <f t="shared" si="3"/>
        <v>6550</v>
      </c>
      <c r="B60" s="51" t="s">
        <v>73</v>
      </c>
      <c r="C60" s="73" t="s">
        <v>23</v>
      </c>
      <c r="D60" s="74">
        <v>1001032736550</v>
      </c>
      <c r="E60" s="24"/>
      <c r="F60" s="23">
        <v>1</v>
      </c>
      <c r="G60" s="23">
        <f>E60</f>
        <v>0</v>
      </c>
      <c r="H60" s="14"/>
      <c r="I60" s="14"/>
      <c r="J60" s="29"/>
    </row>
    <row r="61" spans="1:10" ht="16.5" hidden="1" customHeight="1" thickBot="1" x14ac:dyDescent="0.25">
      <c r="A61" s="59" t="str">
        <f t="shared" si="3"/>
        <v>6608</v>
      </c>
      <c r="B61" s="51" t="s">
        <v>74</v>
      </c>
      <c r="C61" s="73" t="s">
        <v>23</v>
      </c>
      <c r="D61" s="74">
        <v>1001033856608</v>
      </c>
      <c r="E61" s="24"/>
      <c r="F61" s="23">
        <v>0.99</v>
      </c>
      <c r="G61" s="23">
        <f>E61</f>
        <v>0</v>
      </c>
      <c r="H61" s="14">
        <v>2.97</v>
      </c>
      <c r="I61" s="14">
        <v>45</v>
      </c>
      <c r="J61" s="29"/>
    </row>
    <row r="62" spans="1:10" ht="16.5" hidden="1" customHeight="1" thickTop="1" thickBot="1" x14ac:dyDescent="0.3">
      <c r="A62" s="59" t="str">
        <f t="shared" si="3"/>
        <v/>
      </c>
      <c r="B62" s="46" t="s">
        <v>75</v>
      </c>
      <c r="C62" s="46"/>
      <c r="D62" s="46"/>
      <c r="E62" s="46"/>
      <c r="F62" s="46"/>
      <c r="G62" s="46"/>
      <c r="H62" s="46"/>
      <c r="I62" s="46"/>
      <c r="J62" s="47"/>
    </row>
    <row r="63" spans="1:10" ht="16.5" hidden="1" customHeight="1" thickTop="1" x14ac:dyDescent="0.25">
      <c r="A63" s="59" t="str">
        <f t="shared" si="3"/>
        <v>6586</v>
      </c>
      <c r="B63" s="80" t="s">
        <v>76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hidden="1" customHeight="1" x14ac:dyDescent="0.25">
      <c r="A64" s="59" t="str">
        <f t="shared" si="3"/>
        <v>7144</v>
      </c>
      <c r="B64" s="80" t="s">
        <v>77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hidden="1" customHeight="1" x14ac:dyDescent="0.25">
      <c r="A65" s="59" t="str">
        <f t="shared" si="3"/>
        <v>7146</v>
      </c>
      <c r="B65" s="80" t="s">
        <v>78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79</v>
      </c>
      <c r="C66" s="73" t="s">
        <v>23</v>
      </c>
      <c r="D66" s="74">
        <v>1001303637149</v>
      </c>
      <c r="E66" s="24">
        <v>6</v>
      </c>
      <c r="F66" s="23"/>
      <c r="G66" s="23">
        <f>E66</f>
        <v>6</v>
      </c>
      <c r="H66" s="14"/>
      <c r="I66" s="14"/>
      <c r="J66" s="29"/>
    </row>
    <row r="67" spans="1:10" ht="16.5" hidden="1" customHeight="1" x14ac:dyDescent="0.25">
      <c r="A67" s="59" t="str">
        <f t="shared" si="3"/>
        <v>7131</v>
      </c>
      <c r="B67" s="80" t="s">
        <v>80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hidden="1" customHeight="1" x14ac:dyDescent="0.25">
      <c r="A68" s="59" t="str">
        <f t="shared" si="3"/>
        <v>7233</v>
      </c>
      <c r="B68" s="80" t="s">
        <v>81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hidden="1" customHeight="1" x14ac:dyDescent="0.25">
      <c r="A69" s="59" t="str">
        <f t="shared" si="3"/>
        <v>6666</v>
      </c>
      <c r="B69" s="50" t="s">
        <v>82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hidden="1" customHeight="1" x14ac:dyDescent="0.25">
      <c r="A70" s="59" t="str">
        <f t="shared" si="3"/>
        <v>7173</v>
      </c>
      <c r="B70" s="80" t="s">
        <v>83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84</v>
      </c>
      <c r="C71" s="73" t="s">
        <v>21</v>
      </c>
      <c r="D71" s="74">
        <v>1001302277232</v>
      </c>
      <c r="E71" s="24">
        <v>8</v>
      </c>
      <c r="F71" s="23">
        <v>0.28000000000000003</v>
      </c>
      <c r="G71" s="23">
        <f t="shared" si="4"/>
        <v>2.2400000000000002</v>
      </c>
      <c r="H71" s="14"/>
      <c r="I71" s="14"/>
      <c r="J71" s="29"/>
    </row>
    <row r="72" spans="1:10" ht="16.5" hidden="1" customHeight="1" x14ac:dyDescent="0.25">
      <c r="A72" s="59" t="str">
        <f t="shared" si="3"/>
        <v>6773</v>
      </c>
      <c r="B72" s="50" t="s">
        <v>85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3"/>
        <v>7241</v>
      </c>
      <c r="B73" s="50" t="s">
        <v>86</v>
      </c>
      <c r="C73" s="73" t="s">
        <v>21</v>
      </c>
      <c r="D73" s="74">
        <v>1001303107241</v>
      </c>
      <c r="E73" s="24">
        <v>16</v>
      </c>
      <c r="F73" s="23">
        <v>0.28000000000000003</v>
      </c>
      <c r="G73" s="23">
        <f t="shared" si="4"/>
        <v>4.4800000000000004</v>
      </c>
      <c r="H73" s="14"/>
      <c r="I73" s="14"/>
      <c r="J73" s="29"/>
    </row>
    <row r="74" spans="1:10" ht="16.5" hidden="1" customHeight="1" x14ac:dyDescent="0.25">
      <c r="A74" s="59" t="str">
        <f t="shared" si="3"/>
        <v>6683</v>
      </c>
      <c r="B74" s="50" t="s">
        <v>87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hidden="1" customHeight="1" x14ac:dyDescent="0.25">
      <c r="A75" s="59" t="str">
        <f t="shared" si="3"/>
        <v>5489</v>
      </c>
      <c r="B75" s="80" t="s">
        <v>88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hidden="1" customHeight="1" x14ac:dyDescent="0.25">
      <c r="A76" s="59" t="str">
        <f t="shared" si="3"/>
        <v>6787</v>
      </c>
      <c r="B76" s="52" t="s">
        <v>89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5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3"/>
        <v>6697</v>
      </c>
      <c r="B77" s="50" t="s">
        <v>90</v>
      </c>
      <c r="C77" s="73" t="s">
        <v>21</v>
      </c>
      <c r="D77" s="74">
        <v>1001301876697</v>
      </c>
      <c r="E77" s="24">
        <v>8</v>
      </c>
      <c r="F77" s="23">
        <v>0.35</v>
      </c>
      <c r="G77" s="23">
        <f t="shared" si="5"/>
        <v>2.8</v>
      </c>
      <c r="H77" s="14">
        <v>2.8</v>
      </c>
      <c r="I77" s="14">
        <v>45</v>
      </c>
      <c r="J77" s="29"/>
    </row>
    <row r="78" spans="1:10" ht="16.5" hidden="1" customHeight="1" x14ac:dyDescent="0.25">
      <c r="A78" s="59" t="str">
        <f t="shared" si="3"/>
        <v>6701</v>
      </c>
      <c r="B78" s="50" t="s">
        <v>91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3"/>
        <v>7237</v>
      </c>
      <c r="B79" s="50" t="s">
        <v>92</v>
      </c>
      <c r="C79" s="73" t="s">
        <v>21</v>
      </c>
      <c r="D79" s="74">
        <v>1001304497237</v>
      </c>
      <c r="E79" s="24">
        <v>16</v>
      </c>
      <c r="F79" s="23">
        <v>0.28000000000000003</v>
      </c>
      <c r="G79" s="23">
        <f t="shared" si="5"/>
        <v>4.4800000000000004</v>
      </c>
      <c r="H79" s="14"/>
      <c r="I79" s="14"/>
      <c r="J79" s="29"/>
    </row>
    <row r="80" spans="1:10" ht="16.5" hidden="1" customHeight="1" x14ac:dyDescent="0.25">
      <c r="A80" s="59" t="str">
        <f t="shared" ref="A80:A111" si="6">RIGHT(D80,4)</f>
        <v>6684</v>
      </c>
      <c r="B80" s="52" t="s">
        <v>93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5"/>
        <v>0</v>
      </c>
      <c r="H80" s="14">
        <v>2.2400000000000002</v>
      </c>
      <c r="I80" s="14">
        <v>45</v>
      </c>
      <c r="J80" s="29"/>
    </row>
    <row r="81" spans="1:10" ht="16.5" hidden="1" customHeight="1" x14ac:dyDescent="0.25">
      <c r="A81" s="59" t="str">
        <f t="shared" si="6"/>
        <v>6689</v>
      </c>
      <c r="B81" s="57" t="s">
        <v>94</v>
      </c>
      <c r="C81" s="53" t="s">
        <v>33</v>
      </c>
      <c r="D81" s="54">
        <v>1001303986689</v>
      </c>
      <c r="E81" s="24"/>
      <c r="F81" s="23">
        <v>0.35</v>
      </c>
      <c r="G81" s="23">
        <f t="shared" si="5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6"/>
        <v>7157</v>
      </c>
      <c r="B82" s="80" t="s">
        <v>95</v>
      </c>
      <c r="C82" s="73" t="s">
        <v>23</v>
      </c>
      <c r="D82" s="74">
        <v>1001300387157</v>
      </c>
      <c r="E82" s="24">
        <v>41</v>
      </c>
      <c r="F82" s="23"/>
      <c r="G82" s="23">
        <f>E82</f>
        <v>41</v>
      </c>
      <c r="H82" s="14"/>
      <c r="I82" s="14"/>
      <c r="J82" s="29"/>
    </row>
    <row r="83" spans="1:10" ht="16.5" customHeight="1" x14ac:dyDescent="0.25">
      <c r="A83" s="59" t="str">
        <f t="shared" si="6"/>
        <v>7166</v>
      </c>
      <c r="B83" s="80" t="s">
        <v>96</v>
      </c>
      <c r="C83" s="73" t="s">
        <v>23</v>
      </c>
      <c r="D83" s="74">
        <v>1001303987166</v>
      </c>
      <c r="E83" s="24">
        <v>40</v>
      </c>
      <c r="F83" s="23"/>
      <c r="G83" s="23">
        <f>E83</f>
        <v>40</v>
      </c>
      <c r="H83" s="14"/>
      <c r="I83" s="14"/>
      <c r="J83" s="29"/>
    </row>
    <row r="84" spans="1:10" ht="16.5" customHeight="1" x14ac:dyDescent="0.25">
      <c r="A84" s="59" t="str">
        <f t="shared" si="6"/>
        <v>7154</v>
      </c>
      <c r="B84" s="80" t="s">
        <v>97</v>
      </c>
      <c r="C84" s="73" t="s">
        <v>21</v>
      </c>
      <c r="D84" s="74">
        <v>1001300387154</v>
      </c>
      <c r="E84" s="24">
        <v>8</v>
      </c>
      <c r="F84" s="23">
        <v>0.35</v>
      </c>
      <c r="G84" s="23">
        <f>E84*F84</f>
        <v>2.8</v>
      </c>
      <c r="H84" s="14"/>
      <c r="I84" s="14"/>
      <c r="J84" s="29"/>
    </row>
    <row r="85" spans="1:10" ht="16.5" customHeight="1" x14ac:dyDescent="0.25">
      <c r="A85" s="59" t="str">
        <f t="shared" si="6"/>
        <v>7169</v>
      </c>
      <c r="B85" s="80" t="s">
        <v>98</v>
      </c>
      <c r="C85" s="73" t="s">
        <v>21</v>
      </c>
      <c r="D85" s="74">
        <v>1001303987169</v>
      </c>
      <c r="E85" s="24">
        <v>8</v>
      </c>
      <c r="F85" s="23">
        <v>0.35</v>
      </c>
      <c r="G85" s="23">
        <f>E85*F85</f>
        <v>2.8</v>
      </c>
      <c r="H85" s="14"/>
      <c r="I85" s="14"/>
      <c r="J85" s="29"/>
    </row>
    <row r="86" spans="1:10" ht="16.5" hidden="1" customHeight="1" x14ac:dyDescent="0.25">
      <c r="A86" s="59" t="str">
        <f t="shared" si="6"/>
        <v>5341</v>
      </c>
      <c r="B86" s="80" t="s">
        <v>99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6"/>
        <v>5544</v>
      </c>
      <c r="B87" s="80" t="s">
        <v>100</v>
      </c>
      <c r="C87" s="73" t="s">
        <v>23</v>
      </c>
      <c r="D87" s="74">
        <v>1001051875544</v>
      </c>
      <c r="E87" s="24">
        <v>63</v>
      </c>
      <c r="F87" s="23">
        <v>0.83399999999999996</v>
      </c>
      <c r="G87" s="23">
        <f>E87</f>
        <v>63</v>
      </c>
      <c r="H87" s="14">
        <v>5</v>
      </c>
      <c r="I87" s="14">
        <v>45</v>
      </c>
      <c r="J87" s="29"/>
    </row>
    <row r="88" spans="1:10" ht="15.75" hidden="1" customHeight="1" x14ac:dyDescent="0.25">
      <c r="A88" s="59" t="str">
        <f t="shared" si="6"/>
        <v>6790</v>
      </c>
      <c r="B88" s="80" t="s">
        <v>101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hidden="1" customHeight="1" x14ac:dyDescent="0.25">
      <c r="A89" s="59" t="str">
        <f t="shared" si="6"/>
        <v>7133</v>
      </c>
      <c r="B89" s="80" t="s">
        <v>102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hidden="1" customHeight="1" x14ac:dyDescent="0.25">
      <c r="A90" s="59" t="str">
        <f t="shared" si="6"/>
        <v>6791</v>
      </c>
      <c r="B90" s="80" t="s">
        <v>103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hidden="1" customHeight="1" x14ac:dyDescent="0.25">
      <c r="A91" s="59" t="str">
        <f t="shared" si="6"/>
        <v>6792</v>
      </c>
      <c r="B91" s="80" t="s">
        <v>104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hidden="1" customHeight="1" x14ac:dyDescent="0.25">
      <c r="A92" s="59" t="str">
        <f t="shared" si="6"/>
        <v>6564</v>
      </c>
      <c r="B92" s="80" t="s">
        <v>105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hidden="1" customHeight="1" x14ac:dyDescent="0.25">
      <c r="A93" s="59" t="str">
        <f t="shared" si="6"/>
        <v>7238</v>
      </c>
      <c r="B93" s="80" t="s">
        <v>106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hidden="1" customHeight="1" x14ac:dyDescent="0.25">
      <c r="A94" s="59" t="str">
        <f t="shared" si="6"/>
        <v>6565</v>
      </c>
      <c r="B94" s="80" t="s">
        <v>107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hidden="1" customHeight="1" x14ac:dyDescent="0.25">
      <c r="A95" s="59" t="str">
        <f t="shared" si="6"/>
        <v>7240</v>
      </c>
      <c r="B95" s="80" t="s">
        <v>108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hidden="1" customHeight="1" x14ac:dyDescent="0.25">
      <c r="A96" s="59" t="str">
        <f t="shared" si="6"/>
        <v>7236</v>
      </c>
      <c r="B96" s="80" t="s">
        <v>109</v>
      </c>
      <c r="C96" s="73" t="s">
        <v>21</v>
      </c>
      <c r="D96" s="74">
        <v>1001304507236</v>
      </c>
      <c r="E96" s="24"/>
      <c r="F96" s="23">
        <v>0.28000000000000003</v>
      </c>
      <c r="G96" s="23">
        <f t="shared" si="7"/>
        <v>0</v>
      </c>
      <c r="H96" s="14"/>
      <c r="I96" s="14"/>
      <c r="J96" s="71"/>
    </row>
    <row r="97" spans="1:11" ht="15.75" customHeight="1" x14ac:dyDescent="0.25">
      <c r="A97" s="59" t="str">
        <f t="shared" si="6"/>
        <v>7177</v>
      </c>
      <c r="B97" s="80" t="s">
        <v>110</v>
      </c>
      <c r="C97" s="73" t="s">
        <v>21</v>
      </c>
      <c r="D97" s="74">
        <v>1001302347177</v>
      </c>
      <c r="E97" s="24">
        <v>8</v>
      </c>
      <c r="F97" s="23">
        <v>0.35</v>
      </c>
      <c r="G97" s="23">
        <f t="shared" si="7"/>
        <v>2.8</v>
      </c>
      <c r="H97" s="14"/>
      <c r="I97" s="14"/>
      <c r="J97" s="71"/>
    </row>
    <row r="98" spans="1:11" ht="15.75" hidden="1" customHeight="1" x14ac:dyDescent="0.25">
      <c r="A98" s="59" t="str">
        <f t="shared" si="6"/>
        <v>6459</v>
      </c>
      <c r="B98" s="80" t="s">
        <v>111</v>
      </c>
      <c r="C98" s="73" t="s">
        <v>21</v>
      </c>
      <c r="D98" s="74">
        <v>1001214196459</v>
      </c>
      <c r="E98" s="24"/>
      <c r="F98" s="23">
        <v>0.1</v>
      </c>
      <c r="G98" s="23">
        <f t="shared" si="7"/>
        <v>0</v>
      </c>
      <c r="H98" s="14"/>
      <c r="I98" s="14"/>
      <c r="J98" s="71"/>
    </row>
    <row r="99" spans="1:11" ht="15.75" hidden="1" customHeight="1" x14ac:dyDescent="0.25">
      <c r="A99" s="59" t="str">
        <f t="shared" si="6"/>
        <v>7107</v>
      </c>
      <c r="B99" s="80" t="s">
        <v>112</v>
      </c>
      <c r="C99" s="73" t="s">
        <v>21</v>
      </c>
      <c r="D99" s="74">
        <v>1001205467107</v>
      </c>
      <c r="E99" s="24"/>
      <c r="F99" s="23">
        <v>0.09</v>
      </c>
      <c r="G99" s="23">
        <f t="shared" si="7"/>
        <v>0</v>
      </c>
      <c r="H99" s="14"/>
      <c r="I99" s="14"/>
      <c r="J99" s="71"/>
    </row>
    <row r="100" spans="1:11" ht="15.75" hidden="1" customHeight="1" x14ac:dyDescent="0.25">
      <c r="A100" s="59" t="str">
        <f t="shared" si="6"/>
        <v>6793</v>
      </c>
      <c r="B100" s="80" t="s">
        <v>113</v>
      </c>
      <c r="C100" s="73" t="s">
        <v>21</v>
      </c>
      <c r="D100" s="74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hidden="1" customHeight="1" x14ac:dyDescent="0.25">
      <c r="A101" s="59" t="str">
        <f t="shared" si="6"/>
        <v>6794</v>
      </c>
      <c r="B101" s="80" t="s">
        <v>114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hidden="1" customHeight="1" x14ac:dyDescent="0.25">
      <c r="A102" s="59" t="str">
        <f t="shared" si="6"/>
        <v>6665</v>
      </c>
      <c r="B102" s="80" t="s">
        <v>115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hidden="1" customHeight="1" x14ac:dyDescent="0.25">
      <c r="A103" s="59" t="str">
        <f t="shared" si="6"/>
        <v>6795</v>
      </c>
      <c r="B103" s="80" t="s">
        <v>116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hidden="1" customHeight="1" x14ac:dyDescent="0.25">
      <c r="A104" s="59" t="str">
        <f t="shared" si="6"/>
        <v>6796</v>
      </c>
      <c r="B104" s="80" t="s">
        <v>117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hidden="1" customHeight="1" x14ac:dyDescent="0.25">
      <c r="A105" s="59" t="str">
        <f t="shared" si="6"/>
        <v>6804</v>
      </c>
      <c r="B105" s="80" t="s">
        <v>118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hidden="1" customHeight="1" x14ac:dyDescent="0.25">
      <c r="A106" s="59" t="str">
        <f t="shared" si="6"/>
        <v>6803</v>
      </c>
      <c r="B106" s="80" t="s">
        <v>119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hidden="1" customHeight="1" thickBot="1" x14ac:dyDescent="0.25">
      <c r="A107" s="59" t="str">
        <f t="shared" si="6"/>
        <v>6807</v>
      </c>
      <c r="B107" s="80" t="s">
        <v>120</v>
      </c>
      <c r="C107" s="73" t="s">
        <v>21</v>
      </c>
      <c r="D107" s="74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hidden="1" customHeight="1" thickTop="1" thickBot="1" x14ac:dyDescent="0.3">
      <c r="A108" s="59" t="str">
        <f t="shared" si="6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hidden="1" customHeight="1" thickTop="1" x14ac:dyDescent="0.25">
      <c r="A109" s="59" t="str">
        <f t="shared" si="6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hidden="1" customHeight="1" x14ac:dyDescent="0.25">
      <c r="A110" s="59" t="str">
        <f t="shared" si="6"/>
        <v>6834</v>
      </c>
      <c r="B110" s="52" t="s">
        <v>123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hidden="1" customHeight="1" x14ac:dyDescent="0.25">
      <c r="A111" s="59" t="str">
        <f t="shared" si="6"/>
        <v>6454</v>
      </c>
      <c r="B111" s="80" t="s">
        <v>124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hidden="1" customHeight="1" x14ac:dyDescent="0.25">
      <c r="A112" s="59" t="str">
        <f t="shared" ref="A112:A143" si="8">RIGHT(D112,4)</f>
        <v>5708</v>
      </c>
      <c r="B112" s="80" t="s">
        <v>125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hidden="1" customHeight="1" x14ac:dyDescent="0.25">
      <c r="A113" s="59" t="str">
        <f t="shared" si="8"/>
        <v>0614</v>
      </c>
      <c r="B113" s="80" t="s">
        <v>126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hidden="1" customHeight="1" x14ac:dyDescent="0.25">
      <c r="A114" s="59" t="str">
        <f t="shared" si="8"/>
        <v>1146</v>
      </c>
      <c r="B114" s="80" t="s">
        <v>127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hidden="1" customHeight="1" x14ac:dyDescent="0.25">
      <c r="A115" s="59" t="str">
        <f t="shared" si="8"/>
        <v>4154</v>
      </c>
      <c r="B115" s="80" t="s">
        <v>128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hidden="1" customHeight="1" x14ac:dyDescent="0.25">
      <c r="A116" s="59" t="str">
        <f t="shared" si="8"/>
        <v>6967</v>
      </c>
      <c r="B116" s="80" t="s">
        <v>129</v>
      </c>
      <c r="C116" s="73" t="s">
        <v>21</v>
      </c>
      <c r="D116" s="74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hidden="1" customHeight="1" x14ac:dyDescent="0.25">
      <c r="A117" s="59" t="str">
        <f t="shared" si="8"/>
        <v>4993</v>
      </c>
      <c r="B117" s="80" t="s">
        <v>130</v>
      </c>
      <c r="C117" s="73" t="s">
        <v>33</v>
      </c>
      <c r="D117" s="74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hidden="1" customHeight="1" x14ac:dyDescent="0.25">
      <c r="A118" s="59" t="str">
        <f t="shared" si="8"/>
        <v>6937</v>
      </c>
      <c r="B118" s="80" t="s">
        <v>131</v>
      </c>
      <c r="C118" s="73" t="s">
        <v>33</v>
      </c>
      <c r="D118" s="74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hidden="1" customHeight="1" x14ac:dyDescent="0.25">
      <c r="A119" s="59" t="str">
        <f t="shared" si="8"/>
        <v>5682</v>
      </c>
      <c r="B119" s="80" t="s">
        <v>132</v>
      </c>
      <c r="C119" s="73" t="s">
        <v>21</v>
      </c>
      <c r="D119" s="74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hidden="1" customHeight="1" x14ac:dyDescent="0.25">
      <c r="A120" s="59" t="str">
        <f t="shared" si="8"/>
        <v>5679</v>
      </c>
      <c r="B120" s="80" t="s">
        <v>133</v>
      </c>
      <c r="C120" s="73" t="s">
        <v>21</v>
      </c>
      <c r="D120" s="74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hidden="1" customHeight="1" x14ac:dyDescent="0.25">
      <c r="A121" s="59" t="str">
        <f t="shared" si="8"/>
        <v>4117</v>
      </c>
      <c r="B121" s="80" t="s">
        <v>134</v>
      </c>
      <c r="C121" s="73" t="s">
        <v>23</v>
      </c>
      <c r="D121" s="74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hidden="1" customHeight="1" x14ac:dyDescent="0.25">
      <c r="A122" s="59" t="str">
        <f t="shared" si="8"/>
        <v>5483</v>
      </c>
      <c r="B122" s="80" t="s">
        <v>135</v>
      </c>
      <c r="C122" s="73" t="s">
        <v>21</v>
      </c>
      <c r="D122" s="74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hidden="1" customHeight="1" x14ac:dyDescent="0.25">
      <c r="A123" s="59" t="str">
        <f t="shared" si="8"/>
        <v>6453</v>
      </c>
      <c r="B123" s="80" t="s">
        <v>136</v>
      </c>
      <c r="C123" s="73" t="s">
        <v>33</v>
      </c>
      <c r="D123" s="74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hidden="1" customHeight="1" x14ac:dyDescent="0.25">
      <c r="A124" s="59" t="str">
        <f t="shared" si="8"/>
        <v>6557</v>
      </c>
      <c r="B124" s="80" t="s">
        <v>137</v>
      </c>
      <c r="C124" s="73" t="s">
        <v>33</v>
      </c>
      <c r="D124" s="74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hidden="1" customHeight="1" x14ac:dyDescent="0.25">
      <c r="A125" s="59" t="str">
        <f t="shared" si="8"/>
        <v>6228</v>
      </c>
      <c r="B125" s="80" t="s">
        <v>138</v>
      </c>
      <c r="C125" s="73" t="s">
        <v>33</v>
      </c>
      <c r="D125" s="74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hidden="1" customHeight="1" x14ac:dyDescent="0.25">
      <c r="A126" s="59" t="str">
        <f t="shared" si="8"/>
        <v>6221</v>
      </c>
      <c r="B126" s="80" t="s">
        <v>139</v>
      </c>
      <c r="C126" s="73" t="s">
        <v>33</v>
      </c>
      <c r="D126" s="74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hidden="1" customHeight="1" thickBot="1" x14ac:dyDescent="0.25">
      <c r="A127" s="59" t="str">
        <f t="shared" si="8"/>
        <v>3287</v>
      </c>
      <c r="B127" s="80" t="s">
        <v>140</v>
      </c>
      <c r="C127" s="73" t="s">
        <v>23</v>
      </c>
      <c r="D127" s="74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hidden="1" customHeight="1" thickTop="1" thickBot="1" x14ac:dyDescent="0.3">
      <c r="A128" s="59" t="str">
        <f t="shared" si="8"/>
        <v/>
      </c>
      <c r="B128" s="46" t="s">
        <v>141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hidden="1" customHeight="1" thickTop="1" x14ac:dyDescent="0.25">
      <c r="A129" s="59" t="str">
        <f t="shared" si="8"/>
        <v>6866</v>
      </c>
      <c r="B129" s="77" t="s">
        <v>142</v>
      </c>
      <c r="C129" s="73" t="s">
        <v>38</v>
      </c>
      <c r="D129" s="79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hidden="1" customHeight="1" x14ac:dyDescent="0.25">
      <c r="A130" s="59" t="str">
        <f t="shared" si="8"/>
        <v>3215</v>
      </c>
      <c r="B130" s="80" t="s">
        <v>143</v>
      </c>
      <c r="C130" s="73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hidden="1" customHeight="1" x14ac:dyDescent="0.25">
      <c r="A131" s="59" t="str">
        <f t="shared" si="8"/>
        <v>6025</v>
      </c>
      <c r="B131" s="80" t="s">
        <v>144</v>
      </c>
      <c r="C131" s="73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thickBot="1" x14ac:dyDescent="0.3">
      <c r="A132" s="59" t="str">
        <f t="shared" si="8"/>
        <v>6470</v>
      </c>
      <c r="B132" s="80" t="s">
        <v>145</v>
      </c>
      <c r="C132" s="73" t="s">
        <v>23</v>
      </c>
      <c r="D132" s="42">
        <v>1001092436470</v>
      </c>
      <c r="E132" s="24">
        <v>5</v>
      </c>
      <c r="F132" s="23"/>
      <c r="G132" s="23">
        <f>E132</f>
        <v>5</v>
      </c>
      <c r="H132" s="14"/>
      <c r="I132" s="14"/>
      <c r="J132" s="29"/>
    </row>
    <row r="133" spans="1:11" ht="16.5" hidden="1" customHeight="1" x14ac:dyDescent="0.3">
      <c r="A133" s="59" t="str">
        <f t="shared" si="8"/>
        <v>4584</v>
      </c>
      <c r="B133" s="80" t="s">
        <v>146</v>
      </c>
      <c r="C133" s="73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hidden="1" customHeight="1" x14ac:dyDescent="0.3">
      <c r="A134" s="59" t="str">
        <f t="shared" si="8"/>
        <v>6472</v>
      </c>
      <c r="B134" s="80" t="s">
        <v>147</v>
      </c>
      <c r="C134" s="73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hidden="1" customHeight="1" x14ac:dyDescent="0.3">
      <c r="A135" s="59" t="str">
        <f t="shared" si="8"/>
        <v>5452</v>
      </c>
      <c r="B135" s="50" t="s">
        <v>148</v>
      </c>
      <c r="C135" s="73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hidden="1" customHeight="1" x14ac:dyDescent="0.3">
      <c r="A136" s="59" t="str">
        <f t="shared" si="8"/>
        <v>5495</v>
      </c>
      <c r="B136" s="50" t="s">
        <v>149</v>
      </c>
      <c r="C136" s="73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hidden="1" customHeight="1" thickBot="1" x14ac:dyDescent="0.3">
      <c r="A137" s="59" t="str">
        <f t="shared" si="8"/>
        <v>6495</v>
      </c>
      <c r="B137" s="50" t="s">
        <v>150</v>
      </c>
      <c r="C137" s="73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hidden="1" customHeight="1" thickTop="1" thickBot="1" x14ac:dyDescent="0.3">
      <c r="A138" s="59" t="str">
        <f t="shared" si="8"/>
        <v/>
      </c>
      <c r="B138" s="46" t="s">
        <v>151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hidden="1" customHeight="1" thickTop="1" x14ac:dyDescent="0.3">
      <c r="A139" s="59" t="str">
        <f t="shared" si="8"/>
        <v>6448</v>
      </c>
      <c r="B139" s="37" t="s">
        <v>152</v>
      </c>
      <c r="C139" s="73" t="s">
        <v>33</v>
      </c>
      <c r="D139" s="74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hidden="1" customHeight="1" x14ac:dyDescent="0.3">
      <c r="A140" s="59" t="str">
        <f t="shared" si="8"/>
        <v>7090</v>
      </c>
      <c r="B140" s="37" t="s">
        <v>153</v>
      </c>
      <c r="C140" s="73" t="s">
        <v>33</v>
      </c>
      <c r="D140" s="74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hidden="1" customHeight="1" x14ac:dyDescent="0.3">
      <c r="A141" s="59" t="str">
        <f t="shared" si="8"/>
        <v>6208</v>
      </c>
      <c r="B141" s="37" t="s">
        <v>154</v>
      </c>
      <c r="C141" s="73" t="s">
        <v>21</v>
      </c>
      <c r="D141" s="74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hidden="1" customHeight="1" x14ac:dyDescent="0.3">
      <c r="A142" s="59" t="str">
        <f t="shared" si="8"/>
        <v>7053</v>
      </c>
      <c r="B142" s="37" t="s">
        <v>155</v>
      </c>
      <c r="C142" s="73" t="s">
        <v>23</v>
      </c>
      <c r="D142" s="74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hidden="1" customHeight="1" thickBot="1" x14ac:dyDescent="0.3">
      <c r="A143" s="59" t="str">
        <f t="shared" si="8"/>
        <v>7103</v>
      </c>
      <c r="B143" s="58" t="s">
        <v>156</v>
      </c>
      <c r="C143" s="53" t="s">
        <v>33</v>
      </c>
      <c r="D143" s="54">
        <v>1001223297103</v>
      </c>
      <c r="E143" s="24"/>
      <c r="F143" s="75">
        <v>0.18</v>
      </c>
      <c r="G143" s="23">
        <f>E143*F143</f>
        <v>0</v>
      </c>
      <c r="H143" s="76">
        <v>1.8</v>
      </c>
      <c r="I143" s="76">
        <v>45</v>
      </c>
      <c r="J143" s="76"/>
      <c r="K143" s="27"/>
    </row>
    <row r="144" spans="1:11" ht="16.5" customHeight="1" thickTop="1" thickBot="1" x14ac:dyDescent="0.3">
      <c r="A144" s="62"/>
      <c r="B144" s="49" t="s">
        <v>157</v>
      </c>
      <c r="C144" s="16"/>
      <c r="D144" s="38"/>
      <c r="E144" s="17">
        <f>SUM(E10:E143)</f>
        <v>855</v>
      </c>
      <c r="F144" s="17"/>
      <c r="G144" s="17">
        <f>SUM(G11:G143)</f>
        <v>805.39999999999986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2026-01-12T11:16:08Z</dcterms:modified>
</cp:coreProperties>
</file>