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8,01,26 Ост КИ ПРС ЛП\"/>
    </mc:Choice>
  </mc:AlternateContent>
  <xr:revisionPtr revIDLastSave="0" documentId="13_ncr:1_{A00502FB-9486-44A0-9998-6881D2EFA7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4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4" l="1"/>
  <c r="A4" i="4"/>
</calcChain>
</file>

<file path=xl/sharedStrings.xml><?xml version="1.0" encoding="utf-8"?>
<sst xmlns="http://schemas.openxmlformats.org/spreadsheetml/2006/main" count="32" uniqueCount="32">
  <si>
    <t>Артикул</t>
  </si>
  <si>
    <t>Товар</t>
  </si>
  <si>
    <t>Штрих код</t>
  </si>
  <si>
    <t>Заказ</t>
  </si>
  <si>
    <t>БАЛЫК И ШЕЙКА с/в с/н мгс 1/90 10шт. (6223)</t>
  </si>
  <si>
    <t>БАЛЫКОВАЯ Папа Может п/к в/у 0.31кг 8шт. (6665)</t>
  </si>
  <si>
    <t>БЕКОН Останкино с/к с/н в/у 1/180 10шт. (6919)</t>
  </si>
  <si>
    <t>ВЕТЧ.МЯСНАЯ Папа может п/о 0.4кг 8шт. (3215)</t>
  </si>
  <si>
    <t>ДЛЯ ДЕТЕЙ сос п/о мгс 0.33кг 8шт. (6909)</t>
  </si>
  <si>
    <t>ДОКТОРСКАЯ ПРЕМИУМ вар п/о 0.4кг 8шт. (6325)</t>
  </si>
  <si>
    <t>ДЫМОВИЦА ИЗ ЛОПАТКИ ПМ к/в с/н в/у 1/150 (6208)</t>
  </si>
  <si>
    <t>ИТАЛЬЯНСКОЕ АССОРТИ с/в с/н мгс 1/90 (6222)</t>
  </si>
  <si>
    <t>МОЛОЧНЫЕ ПРЕМИУМ ПМ сос п/о мгс 0.6кг (6854)</t>
  </si>
  <si>
    <t>МЯСНАЯ Папа может вар п/о 0.4кг 8шт. (6333)</t>
  </si>
  <si>
    <t>МЯСНАЯ СО ШПИКОМ вар п/о 0.5кг 8шт. (6337)</t>
  </si>
  <si>
    <t>МЯСНОЕ АССОРТИ к/з с/н мгс 1/90 10шт. (6228)</t>
  </si>
  <si>
    <t>НЕАПОЛИТАНСКИЙ ДУЭТ с/к с/н мгс 1/90 (6221)</t>
  </si>
  <si>
    <t>ОХОТНИЧЬЯ Папа может с/к в/у 1/220 8шт. (5931)</t>
  </si>
  <si>
    <t>ПОСОЛЬСКАЯ ПМ с/к с/н в/у 1/100 10шт. (6834)</t>
  </si>
  <si>
    <t>С СЫРОМ Папа может сос ц/о мгс 0.4кг 6шт (6475)</t>
  </si>
  <si>
    <t>САЛЯМИ МЕЛКОЗЕРНЕНАЯ с/к в/у 1/120_60с (5682)</t>
  </si>
  <si>
    <t>САЛЯМИ Папа может п/к в/у 0.28кг 8шт. (6773)</t>
  </si>
  <si>
    <t>САЛЯМИ Папа может с/к в/у 1/250 8шт. (6937)</t>
  </si>
  <si>
    <t>СЕРВЕЛАТ ЗЕРНИСТЫЙ ПМ в/к в/у 0.35кг (6683)</t>
  </si>
  <si>
    <t>СЛИВОЧНЫЕ ПМ сос п/о мгс 0.41кг 10шт. (6726)</t>
  </si>
  <si>
    <t>СОЧНЫЕ ПМ сос п/о мгс 0.41кг 10шт. (6722)</t>
  </si>
  <si>
    <t>СОЧНЫЙ ГРИЛЬ ПМ сос п/о мгс 0.41кг 8шт. (6713)</t>
  </si>
  <si>
    <t>ФИЛЕЙНАЯ Папа может вар п/о 0.4кг (6392)</t>
  </si>
  <si>
    <t>ЧЕСНОЧНАЯ Папа может п/к в/у 0.35кг 8шт. (6676)</t>
  </si>
  <si>
    <t>ЭКСТРА Папа может вар п/о 0.4кг 8шт. (6353)</t>
  </si>
  <si>
    <t>ЭКСТРА Папа может с/к в/у 1/250 8шт. (5483)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</si>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</sst>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8"/>
      <name val="Arial"/>
      <charset val="134"/>
    </font>
    <font>
      <sz val="10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4ECC5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1" fontId="0" fillId="0" borderId="0" xfId="0" applyNumberFormat="1"/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g-assist/Desktop/&#1056;&#1072;&#1073;&#1086;&#1090;&#1072;/&#1047;&#1072;&#1082;&#1072;&#1079;&#1099;/&#1071;&#1085;&#1074;&#1072;&#1088;&#1100;/&#1085;&#1072;%2018.01.26/&#1050;&#1086;&#1087;&#1080;&#1103;%20&#1047;&#1072;&#1082;&#1072;&#1079;%20&#1055;&#1056;&#1057;%20&#1076;&#1086;&#1089;&#1090;&#1072;&#1074;&#1082;&#1072;%20&#1085;&#1072;%2021.01%20(00000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каз"/>
    </sheetNames>
    <sheetDataSet>
      <sheetData sheetId="0">
        <row r="4">
          <cell r="C4" t="str">
            <v>БАЛЫК И ШЕЙКА с/в с/н мгс 1/90 10шт. (6223)</v>
          </cell>
          <cell r="D4">
            <v>700</v>
          </cell>
          <cell r="E4">
            <v>1001225406754</v>
          </cell>
        </row>
        <row r="5">
          <cell r="C5" t="str">
            <v>БАЛЫКОВАЯ Папа Может п/к в/у 0.31кг 8шт. (6665)</v>
          </cell>
          <cell r="D5">
            <v>200</v>
          </cell>
          <cell r="E5">
            <v>1001303637233</v>
          </cell>
        </row>
        <row r="6">
          <cell r="C6" t="str">
            <v>БЕКОН Останкино с/к с/н в/у 1/180 10шт. (6919)</v>
          </cell>
          <cell r="D6">
            <v>600</v>
          </cell>
          <cell r="E6">
            <v>1001223297103</v>
          </cell>
        </row>
        <row r="7">
          <cell r="C7" t="str">
            <v>ВЕТЧ.МЯСНАЯ Папа может п/о 0.4кг 8шт. (3215)</v>
          </cell>
          <cell r="D7">
            <v>288</v>
          </cell>
          <cell r="E7">
            <v>1001094053215</v>
          </cell>
        </row>
        <row r="8">
          <cell r="C8" t="str">
            <v>ДЛЯ ДЕТЕЙ сос п/о мгс 0.33кг 8шт. (6909)</v>
          </cell>
          <cell r="D8">
            <v>506</v>
          </cell>
          <cell r="E8">
            <v>1001025767284</v>
          </cell>
        </row>
        <row r="9">
          <cell r="C9" t="str">
            <v>ДОКТОРСКАЯ ПРЕМИУМ вар п/о 0.4кг 8шт. (6325)</v>
          </cell>
          <cell r="D9">
            <v>796</v>
          </cell>
          <cell r="E9">
            <v>1001010106325</v>
          </cell>
        </row>
        <row r="10">
          <cell r="C10" t="str">
            <v>ДЫМОВИЦА ИЗ ЛОПАТКИ ПМ к/в с/н в/у 1/150 (6208)</v>
          </cell>
          <cell r="D10">
            <v>418</v>
          </cell>
          <cell r="E10">
            <v>1001220226208</v>
          </cell>
        </row>
        <row r="11">
          <cell r="C11" t="str">
            <v>ИТАЛЬЯНСКОЕ АССОРТИ с/в с/н мгс 1/90 (6222)</v>
          </cell>
          <cell r="D11">
            <v>578</v>
          </cell>
          <cell r="E11">
            <v>1001205386222</v>
          </cell>
        </row>
        <row r="12">
          <cell r="C12" t="str">
            <v>МОЛОЧНЫЕ ПРЕМИУМ ПМ сос п/о мгс 0.6кг (6854)</v>
          </cell>
          <cell r="D12">
            <v>726</v>
          </cell>
          <cell r="E12">
            <v>1001022657074</v>
          </cell>
        </row>
        <row r="13">
          <cell r="C13" t="str">
            <v>МЯСНАЯ Папа может вар п/о 0.4кг 8шт. (6333)</v>
          </cell>
          <cell r="D13">
            <v>500</v>
          </cell>
          <cell r="E13">
            <v>1001012486333</v>
          </cell>
        </row>
        <row r="14">
          <cell r="C14" t="str">
            <v>МЯСНАЯ СО ШПИКОМ вар п/о 0.5кг 8шт. (6337)</v>
          </cell>
          <cell r="D14">
            <v>400</v>
          </cell>
          <cell r="E14">
            <v>1001012637334</v>
          </cell>
        </row>
        <row r="15">
          <cell r="C15" t="str">
            <v>МЯСНОЕ АССОРТИ к/з с/н мгс 1/90 10шт. (6228)</v>
          </cell>
          <cell r="D15">
            <v>300</v>
          </cell>
          <cell r="E15">
            <v>1001225416228</v>
          </cell>
        </row>
        <row r="16">
          <cell r="C16" t="str">
            <v>НЕАПОЛИТАНСКИЙ ДУЭТ с/к с/н мгс 1/90 (6221)</v>
          </cell>
          <cell r="D16">
            <v>422</v>
          </cell>
          <cell r="E16">
            <v>1001205376221</v>
          </cell>
        </row>
        <row r="17">
          <cell r="C17" t="str">
            <v>ОХОТНИЧЬЯ Папа может с/к в/у 1/220 8шт. (5931)</v>
          </cell>
          <cell r="D17">
            <v>688</v>
          </cell>
          <cell r="E17">
            <v>1001060755931</v>
          </cell>
        </row>
        <row r="18">
          <cell r="C18" t="str">
            <v>ПОСОЛЬСКАЯ ПМ с/к с/н в/у 1/100 10шт. (6834)</v>
          </cell>
          <cell r="D18">
            <v>200</v>
          </cell>
          <cell r="E18">
            <v>1001203146834</v>
          </cell>
        </row>
        <row r="19">
          <cell r="C19" t="str">
            <v>С СЫРОМ Папа может сос ц/о мгс 0.4кг 6шт (6475)</v>
          </cell>
          <cell r="D19">
            <v>536</v>
          </cell>
          <cell r="E19">
            <v>1001025176475</v>
          </cell>
        </row>
        <row r="20">
          <cell r="C20" t="str">
            <v>САЛЯМИ МЕЛКОЗЕРНЕНАЯ с/к в/у 1/120_60с (5682)</v>
          </cell>
          <cell r="D20">
            <v>300</v>
          </cell>
          <cell r="E20">
            <v>1001203117382</v>
          </cell>
        </row>
        <row r="21">
          <cell r="C21" t="str">
            <v>САЛЯМИ Папа может п/к в/у 0.28кг 8шт. (6773)</v>
          </cell>
          <cell r="D21">
            <v>500</v>
          </cell>
          <cell r="E21">
            <v>1001303107241</v>
          </cell>
        </row>
        <row r="22">
          <cell r="C22" t="str">
            <v>САЛЯМИ Папа может с/к в/у 1/250 8шт. (6937)</v>
          </cell>
          <cell r="D22">
            <v>332</v>
          </cell>
          <cell r="E22">
            <v>1001063106937</v>
          </cell>
        </row>
        <row r="23">
          <cell r="C23" t="str">
            <v>СЕРВЕЛАТ ЗЕРНИСТЫЙ ПМ в/к в/у 0.35кг (6683)</v>
          </cell>
          <cell r="D23">
            <v>504</v>
          </cell>
          <cell r="E23">
            <v>1001300387154</v>
          </cell>
        </row>
        <row r="24">
          <cell r="C24" t="str">
            <v>СЛИВОЧНЫЕ ПМ сос п/о мгс 0.41кг 10шт. (6726)</v>
          </cell>
          <cell r="D24">
            <v>620</v>
          </cell>
          <cell r="E24">
            <v>1001022467080</v>
          </cell>
        </row>
        <row r="25">
          <cell r="C25" t="str">
            <v>СОЧНЫЕ ПМ сос п/о мгс 0.41кг 10шт. (6722)</v>
          </cell>
          <cell r="D25">
            <v>600</v>
          </cell>
          <cell r="E25">
            <v>1001022377066</v>
          </cell>
        </row>
        <row r="26">
          <cell r="C26" t="str">
            <v>СОЧНЫЙ ГРИЛЬ ПМ сос п/о мгс 0.41кг 8шт. (6713)</v>
          </cell>
          <cell r="D26">
            <v>600</v>
          </cell>
          <cell r="E26">
            <v>1001022246713</v>
          </cell>
        </row>
        <row r="27">
          <cell r="C27" t="str">
            <v>ФИЛЕЙНАЯ Папа может вар п/о 0.4кг (6392)</v>
          </cell>
          <cell r="D27">
            <v>400</v>
          </cell>
          <cell r="E27">
            <v>1001012566392</v>
          </cell>
        </row>
        <row r="28">
          <cell r="C28" t="str">
            <v>ЧЕСНОЧНАЯ Папа может п/к в/у 0.35кг 8шт. (6676)</v>
          </cell>
          <cell r="D28">
            <v>424</v>
          </cell>
          <cell r="E28">
            <v>1001302347177</v>
          </cell>
        </row>
        <row r="29">
          <cell r="C29" t="str">
            <v>ЭКСТРА Папа может вар п/о 0.4кг 8шт. (6353)</v>
          </cell>
          <cell r="D29">
            <v>466</v>
          </cell>
          <cell r="E29">
            <v>1001012506353</v>
          </cell>
        </row>
        <row r="30">
          <cell r="C30" t="str">
            <v>ЭКСТРА Папа может с/к в/у 1/250 8шт. (5483)</v>
          </cell>
          <cell r="D30">
            <v>374</v>
          </cell>
          <cell r="E30">
            <v>1001062505483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Normal="100" workbookViewId="0">
      <pane xSplit="3" ySplit="2" topLeftCell="D3" activePane="bottomRight" state="frozen"/>
      <selection pane="topRight"/>
      <selection pane="bottomLeft"/>
      <selection pane="bottomRight" activeCell="A3" sqref="A3"/>
    </sheetView>
  </sheetViews>
  <sheetFormatPr defaultColWidth="10.5" defaultRowHeight="11.25"/>
  <cols>
    <col min="1" max="1" width="17" customWidth="1"/>
    <col min="2" max="2" width="52.83203125" style="1" customWidth="1"/>
    <col min="3" max="3" width="15.5" style="1" customWidth="1"/>
    <col min="4" max="4" width="8.5" style="1" customWidth="1"/>
  </cols>
  <sheetData>
    <row r="1" spans="1:4" ht="12.75">
      <c r="A1" s="2" t="s">
        <v>0</v>
      </c>
      <c r="B1" s="11" t="s">
        <v>1</v>
      </c>
      <c r="C1" s="11" t="s">
        <v>2</v>
      </c>
      <c r="D1" s="4"/>
    </row>
    <row r="2" spans="1:4" ht="12.75">
      <c r="A2" s="2"/>
      <c r="B2" s="12"/>
      <c r="C2" s="12"/>
      <c r="D2" s="5" t="s">
        <v>3</v>
      </c>
    </row>
    <row r="3" spans="1:4" ht="12.75">
      <c r="A3" s="2"/>
      <c r="B3" s="2"/>
      <c r="C3" s="2"/>
      <c r="D3" s="3"/>
    </row>
    <row r="4" spans="1:4" ht="15" customHeight="1">
      <c r="A4" s="6">
        <f>VLOOKUP(B4,[1]заказ!$C$4:$E$30,3,0)</f>
        <v>1001225406754</v>
      </c>
      <c r="B4" t="s">
        <v>4</v>
      </c>
      <c r="C4" s="7">
        <v>4607958076598</v>
      </c>
      <c r="D4" s="8">
        <v>226</v>
      </c>
    </row>
    <row r="5" spans="1:4" ht="15" customHeight="1">
      <c r="A5" s="6">
        <f>VLOOKUP(B5,[1]заказ!$C$4:$E$30,3,0)</f>
        <v>1001303637233</v>
      </c>
      <c r="B5" t="s">
        <v>5</v>
      </c>
      <c r="C5" s="7">
        <v>4607958071616</v>
      </c>
      <c r="D5" s="8">
        <v>192</v>
      </c>
    </row>
    <row r="6" spans="1:4" ht="15" customHeight="1">
      <c r="A6" s="6">
        <v>1001223297103</v>
      </c>
      <c r="B6" t="s">
        <v>6</v>
      </c>
      <c r="C6" s="7">
        <v>4607958072477</v>
      </c>
      <c r="D6" s="8">
        <v>251</v>
      </c>
    </row>
    <row r="7" spans="1:4" ht="15" customHeight="1">
      <c r="A7" s="6">
        <v>1001094053215</v>
      </c>
      <c r="B7" t="s">
        <v>7</v>
      </c>
      <c r="C7" s="7">
        <v>4607958072026</v>
      </c>
      <c r="D7" s="8">
        <v>218</v>
      </c>
    </row>
    <row r="8" spans="1:4" ht="15" customHeight="1">
      <c r="A8" s="6">
        <v>1001025767284</v>
      </c>
      <c r="B8" t="s">
        <v>8</v>
      </c>
      <c r="C8" s="7">
        <v>4607958078059</v>
      </c>
      <c r="D8" s="8">
        <v>332</v>
      </c>
    </row>
    <row r="9" spans="1:4" ht="15" customHeight="1">
      <c r="A9" s="6">
        <v>1001010106325</v>
      </c>
      <c r="B9" t="s">
        <v>9</v>
      </c>
      <c r="C9" s="7">
        <v>4607958072682</v>
      </c>
      <c r="D9" s="8">
        <v>437</v>
      </c>
    </row>
    <row r="10" spans="1:4" ht="15" customHeight="1">
      <c r="A10" s="6">
        <v>1001220226208</v>
      </c>
      <c r="B10" t="s">
        <v>10</v>
      </c>
      <c r="C10" s="7">
        <v>4607958077687</v>
      </c>
      <c r="D10" s="8">
        <v>159</v>
      </c>
    </row>
    <row r="11" spans="1:4" ht="15" customHeight="1">
      <c r="A11" s="6">
        <v>1001205386222</v>
      </c>
      <c r="B11" t="s">
        <v>11</v>
      </c>
      <c r="C11" s="7">
        <v>4607958076581</v>
      </c>
      <c r="D11" s="8">
        <v>228</v>
      </c>
    </row>
    <row r="12" spans="1:4" ht="15" customHeight="1">
      <c r="A12" s="6">
        <v>1001022657074</v>
      </c>
      <c r="B12" t="s">
        <v>12</v>
      </c>
      <c r="C12" s="7">
        <v>4607958077854</v>
      </c>
      <c r="D12" s="8">
        <v>451</v>
      </c>
    </row>
    <row r="13" spans="1:4" ht="15" customHeight="1">
      <c r="A13" s="6">
        <v>1001012486333</v>
      </c>
      <c r="B13" t="s">
        <v>13</v>
      </c>
      <c r="C13" s="7">
        <v>4607958070862</v>
      </c>
      <c r="D13" s="8">
        <v>238</v>
      </c>
    </row>
    <row r="14" spans="1:4" ht="15" customHeight="1">
      <c r="A14" s="6">
        <v>1001012637334</v>
      </c>
      <c r="B14" t="s">
        <v>14</v>
      </c>
      <c r="C14" s="7">
        <v>4607958075638</v>
      </c>
      <c r="D14" s="8">
        <v>152</v>
      </c>
    </row>
    <row r="15" spans="1:4" ht="15" customHeight="1">
      <c r="A15" s="6">
        <v>1001225416228</v>
      </c>
      <c r="B15" t="s">
        <v>15</v>
      </c>
      <c r="C15" s="7">
        <v>4607958076604</v>
      </c>
      <c r="D15" s="8">
        <v>176</v>
      </c>
    </row>
    <row r="16" spans="1:4" ht="15" customHeight="1">
      <c r="A16" s="6">
        <v>1001205376221</v>
      </c>
      <c r="B16" t="s">
        <v>16</v>
      </c>
      <c r="C16" s="7">
        <v>4607958076574</v>
      </c>
      <c r="D16" s="8">
        <v>130</v>
      </c>
    </row>
    <row r="17" spans="1:4" ht="15" customHeight="1">
      <c r="A17" s="6">
        <v>1001060755931</v>
      </c>
      <c r="B17" t="s">
        <v>17</v>
      </c>
      <c r="C17" s="7">
        <v>4607958073665</v>
      </c>
      <c r="D17" s="8">
        <v>410</v>
      </c>
    </row>
    <row r="18" spans="1:4" ht="15" customHeight="1">
      <c r="A18" s="6">
        <v>1001203146834</v>
      </c>
      <c r="B18" t="s">
        <v>18</v>
      </c>
      <c r="C18" s="7">
        <v>4607958077694</v>
      </c>
      <c r="D18" s="8">
        <v>153</v>
      </c>
    </row>
    <row r="19" spans="1:4" ht="15" customHeight="1">
      <c r="A19" s="6">
        <v>1001025176475</v>
      </c>
      <c r="B19" t="s">
        <v>19</v>
      </c>
      <c r="C19" s="7">
        <v>4607958075461</v>
      </c>
      <c r="D19" s="8">
        <v>295</v>
      </c>
    </row>
    <row r="20" spans="1:4" ht="15" customHeight="1">
      <c r="A20" s="6">
        <v>1001203117382</v>
      </c>
      <c r="B20" t="s">
        <v>20</v>
      </c>
      <c r="C20" s="7">
        <v>4601296003957</v>
      </c>
      <c r="D20" s="8">
        <v>241</v>
      </c>
    </row>
    <row r="21" spans="1:4" ht="15" customHeight="1">
      <c r="A21" s="6">
        <v>1001303107241</v>
      </c>
      <c r="B21" t="s">
        <v>21</v>
      </c>
      <c r="C21" s="7">
        <v>4607958077441</v>
      </c>
      <c r="D21" s="8">
        <v>346</v>
      </c>
    </row>
    <row r="22" spans="1:4" ht="15" customHeight="1">
      <c r="A22" s="6">
        <v>1001063106937</v>
      </c>
      <c r="B22" t="s">
        <v>22</v>
      </c>
      <c r="C22" s="7">
        <v>4607958078172</v>
      </c>
      <c r="D22" s="8">
        <v>175</v>
      </c>
    </row>
    <row r="23" spans="1:4" ht="15" customHeight="1">
      <c r="A23" s="6">
        <v>1001300387154</v>
      </c>
      <c r="B23" t="s">
        <v>23</v>
      </c>
      <c r="C23" s="7">
        <v>4607958072347</v>
      </c>
      <c r="D23" s="8">
        <v>360</v>
      </c>
    </row>
    <row r="24" spans="1:4" ht="15" customHeight="1">
      <c r="A24" s="6">
        <v>1001022467080</v>
      </c>
      <c r="B24" t="s">
        <v>24</v>
      </c>
      <c r="C24" s="7">
        <v>4607958076055</v>
      </c>
      <c r="D24" s="8">
        <v>387</v>
      </c>
    </row>
    <row r="25" spans="1:4" ht="15" customHeight="1">
      <c r="A25" s="6">
        <v>1001022377066</v>
      </c>
      <c r="B25" t="s">
        <v>25</v>
      </c>
      <c r="C25" s="7">
        <v>4607958076024</v>
      </c>
      <c r="D25" s="8">
        <v>424</v>
      </c>
    </row>
    <row r="26" spans="1:4" ht="15" customHeight="1">
      <c r="A26" s="6">
        <v>1001022246713</v>
      </c>
      <c r="B26" t="s">
        <v>26</v>
      </c>
      <c r="C26" s="7">
        <v>4607958076031</v>
      </c>
      <c r="D26" s="8">
        <v>291</v>
      </c>
    </row>
    <row r="27" spans="1:4" ht="15" customHeight="1">
      <c r="A27" s="6">
        <v>1001012566392</v>
      </c>
      <c r="B27" t="s">
        <v>27</v>
      </c>
      <c r="C27" s="7">
        <v>4607958072590</v>
      </c>
      <c r="D27" s="8">
        <v>380</v>
      </c>
    </row>
    <row r="28" spans="1:4" ht="15" customHeight="1">
      <c r="A28" s="6">
        <v>1001302347177</v>
      </c>
      <c r="B28" t="s">
        <v>28</v>
      </c>
      <c r="C28" s="7">
        <v>4607958072552</v>
      </c>
      <c r="D28" s="8">
        <v>207</v>
      </c>
    </row>
    <row r="29" spans="1:4" ht="15" customHeight="1">
      <c r="A29" s="6">
        <v>1001012506353</v>
      </c>
      <c r="B29" t="s">
        <v>29</v>
      </c>
      <c r="C29" s="7">
        <v>4607958072392</v>
      </c>
      <c r="D29" s="8">
        <v>204</v>
      </c>
    </row>
    <row r="30" spans="1:4" ht="15" customHeight="1">
      <c r="A30" s="6">
        <v>1001062505483</v>
      </c>
      <c r="B30" t="s">
        <v>30</v>
      </c>
      <c r="C30" s="7">
        <v>4607958071968</v>
      </c>
      <c r="D30" s="8">
        <v>151</v>
      </c>
    </row>
    <row r="31" spans="1:4" ht="12.75">
      <c r="A31" s="6"/>
      <c r="B31" s="10" t="s">
        <v>31</v>
      </c>
      <c r="C31" s="10"/>
      <c r="D31" s="9">
        <v>7214</v>
      </c>
    </row>
    <row r="32" spans="1:4">
      <c r="D32" s="8"/>
    </row>
    <row r="33" spans="4:5">
      <c r="D33" s="8"/>
    </row>
    <row r="34" spans="4:5" ht="12.75">
      <c r="E34" s="9"/>
    </row>
  </sheetData>
  <mergeCells count="3">
    <mergeCell ref="B31:C31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Дегтярев Константин Л.</dc:creator>
  <cp:lastModifiedBy>Uaer4</cp:lastModifiedBy>
  <dcterms:created xsi:type="dcterms:W3CDTF">2025-11-18T10:36:00Z</dcterms:created>
  <dcterms:modified xsi:type="dcterms:W3CDTF">2026-01-28T11:47:50Z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F2CB98667E17482498F94C8613971EC2_13</vt:lpwstr>
  </property>
  <property fmtid="{D5CDD505-2E9C-101B-9397-08002B2CF9AE}" pid="3" name="KSOProductBuildVer">
    <vt:lpwstr>1049-12.2.0.23196</vt:lpwstr>
  </property>
</Properties>
</file>