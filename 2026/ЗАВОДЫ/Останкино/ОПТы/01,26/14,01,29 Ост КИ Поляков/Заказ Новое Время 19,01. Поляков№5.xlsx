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DC044660-0732-492F-8B92-27CB5857F2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6" i="1" s="1"/>
  <c r="A11" i="1"/>
  <c r="F3" i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<sst xmlns="http://schemas.openxmlformats.org/spreadsheetml/2006/main" count="285" uniqueCount="160">
  <si>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</si>
  <si>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</si>
  <si>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</si>
  <si>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</si>
  <si>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</si>
  <si>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</si>
  <si>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</si>
  <si>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</si>
  <si>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</si>
  <si>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</si>
  <si>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</si>
  <si>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</si>
  <si>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</si>
  <si>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</si>
  <si>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</si>
  <si>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</si>
  <si>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</si>
  <si>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</si>
  <si>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</si>
  <si>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</si>
  <si>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</si>
  <si>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</si>
  <si>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</si>
  <si>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</si>
  <si>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</si>
  <si>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</si>
  <si>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</si>
  <si>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</si>
  <si>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</si>
  <si>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</si>
  <si>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</si>
  <si>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</si>
  <si>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</si>
  <si>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</si>
  <si>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</si>
  <si>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</si>
  <si>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</si>
  <si>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</si>
  <si>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</si>
  <si>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</si>
  <si>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</si>
  <si>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</si>
  <si>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</si>
  <si>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</si>
  <si>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</si>
  <si>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</si>
  <si>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</si>
  <si>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</si>
  <si>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</si>
  <si>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</si>
  <si>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</si>
  <si>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</si>
  <si>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</si>
  <si>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</si>
  <si>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</si>
  <si>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</si>
  <si>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</si>
  <si>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</si>
  <si>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</si>
  <si>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</si>
  <si>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</si>
  <si>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</si>
  <si>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</si>
  <si>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</si>
  <si>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</si>
  <si>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</si>
  <si>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</si>
  <si>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</si>
  <si>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</si>
  <si>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</si>
  <si>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</si>
  <si>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</si>
  <si>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</si>
  <si>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</si>
  <si>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</si>
  <si>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</si>
  <si>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</si>
  <si>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</si>
  <si>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</si>
  <si>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</si>
  <si>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</si>
  <si>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</si>
  <si>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</si>
  <si>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</si>
  <si>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</si>
  <si>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</si>
  <si>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</si>
  <si>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</si>
  <si>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</si>
  <si>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</si>
  <si>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</si>
  <si>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</si>
  <si>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</si>
  <si>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</si>
  <si>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</si>
  <si>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</si>
  <si>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</si>
  <si>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</si>
  <si>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</si>
  <si>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</si>
  <si>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</si>
  <si>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</si>
  <si>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</si>
  <si>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</si>
  <si>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</si>
  <si>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</si>
  <si>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</si>
  <si>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</si>
  <si>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</si>
  <si>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</si>
  <si>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</si>
  <si>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</si>
  <si>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</si>
  <si>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</si>
  <si>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</si>
  <si>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</si>
  <si>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</si>
  <si>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</si>
  <si>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</si>
  <si>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</si>
  <si>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</si>
  <si>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</si>
  <si>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</si>
  <si>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</si>
  <si>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</si>
  <si>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АРОМАТНАЯ с/к в/у_А</t>
  </si>
  <si>
    <t>ПОСОЛЬСКАЯ Папа может с/к в/у</t>
  </si>
  <si>
    <t>ПРАЗДНИЧНАЯ с/к в/с дек.спец.мгс</t>
  </si>
  <si>
    <t>АРОМАТНАЯ Папа может с/к в/у 1/250 8шт.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</si>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</sst>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L149" sqref="L14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45676</v>
      </c>
      <c r="E3" s="7" t="s">
        <v>3</v>
      </c>
      <c r="F3" s="82">
        <f>D3+3</f>
        <v>45679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>
        <v>450</v>
      </c>
      <c r="F23" s="23">
        <v>1.35</v>
      </c>
      <c r="G23" s="23">
        <f>E23</f>
        <v>450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80</v>
      </c>
      <c r="F26" s="23">
        <v>0.4</v>
      </c>
      <c r="G26" s="23">
        <f>E26*F26</f>
        <v>32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120</v>
      </c>
      <c r="F33" s="66">
        <v>0.4</v>
      </c>
      <c r="G33" s="23">
        <f>E33*F33</f>
        <v>48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400</v>
      </c>
      <c r="F36" s="23">
        <v>1.05</v>
      </c>
      <c r="G36" s="23">
        <f>E36</f>
        <v>400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3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/>
      <c r="F49" s="23">
        <v>0.33</v>
      </c>
      <c r="G49" s="23">
        <f t="shared" si="3"/>
        <v>0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>
        <v>60</v>
      </c>
      <c r="F50" s="23">
        <v>0.33</v>
      </c>
      <c r="G50" s="23">
        <f t="shared" si="3"/>
        <v>19.8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>
        <v>1100</v>
      </c>
      <c r="F53" s="23">
        <v>1.0249999999999999</v>
      </c>
      <c r="G53" s="23">
        <f>E53</f>
        <v>1100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>
        <v>200</v>
      </c>
      <c r="F58" s="23">
        <v>0.41</v>
      </c>
      <c r="G58" s="23">
        <f>E58*F58</f>
        <v>82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230</v>
      </c>
      <c r="F63" s="23">
        <v>0.99</v>
      </c>
      <c r="G63" s="23">
        <f>E63</f>
        <v>230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>
        <v>60</v>
      </c>
      <c r="F68" s="23"/>
      <c r="G68" s="23">
        <f>E68</f>
        <v>60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>
        <v>80</v>
      </c>
      <c r="F69" s="23"/>
      <c r="G69" s="23">
        <f>E69</f>
        <v>80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>
        <v>160</v>
      </c>
      <c r="F70" s="23">
        <v>0.31</v>
      </c>
      <c r="G70" s="23">
        <f>F70*E70</f>
        <v>49.6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320</v>
      </c>
      <c r="F73" s="23">
        <v>0.28000000000000003</v>
      </c>
      <c r="G73" s="23">
        <f t="shared" si="5"/>
        <v>89.600000000000009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400</v>
      </c>
      <c r="F75" s="23">
        <v>0.28000000000000003</v>
      </c>
      <c r="G75" s="23">
        <f t="shared" si="5"/>
        <v>112.00000000000001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440</v>
      </c>
      <c r="F79" s="23">
        <v>0.35</v>
      </c>
      <c r="G79" s="23">
        <f t="shared" si="6"/>
        <v>154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>
        <v>160</v>
      </c>
      <c r="F81" s="23">
        <v>0.28000000000000003</v>
      </c>
      <c r="G81" s="23">
        <f t="shared" si="6"/>
        <v>44.800000000000004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>
        <v>20</v>
      </c>
      <c r="F91" s="23"/>
      <c r="G91" s="23">
        <f>E91</f>
        <v>20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>
        <v>80</v>
      </c>
      <c r="F95" s="23">
        <v>0.31</v>
      </c>
      <c r="G95" s="23">
        <f t="shared" si="8"/>
        <v>24.8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>
        <v>80</v>
      </c>
      <c r="F107" s="23">
        <v>0.33</v>
      </c>
      <c r="G107" s="23">
        <f>E107*F107</f>
        <v>26.400000000000002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>
        <v>80</v>
      </c>
      <c r="F110" s="74">
        <v>0.1</v>
      </c>
      <c r="G110" s="23">
        <f>E110*F110</f>
        <v>8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300</v>
      </c>
      <c r="F111" s="23">
        <v>0.1</v>
      </c>
      <c r="G111" s="23">
        <f>E111*F111</f>
        <v>30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3582</v>
      </c>
      <c r="B112" s="79" t="s">
        <v>125</v>
      </c>
      <c r="C112" s="72" t="s">
        <v>23</v>
      </c>
      <c r="D112" s="73">
        <v>1001061973582</v>
      </c>
      <c r="E112" s="24">
        <v>50</v>
      </c>
      <c r="F112" s="23"/>
      <c r="G112" s="23">
        <f>E112</f>
        <v>50</v>
      </c>
      <c r="H112" s="14"/>
      <c r="I112" s="14"/>
      <c r="J112" s="29"/>
    </row>
    <row r="113" spans="1:10" ht="16.5" customHeight="1" x14ac:dyDescent="0.25">
      <c r="A113" s="59" t="str">
        <f t="shared" si="7"/>
        <v>5708</v>
      </c>
      <c r="B113" s="79" t="s">
        <v>126</v>
      </c>
      <c r="C113" s="72" t="s">
        <v>23</v>
      </c>
      <c r="D113" s="73">
        <v>1001063145708</v>
      </c>
      <c r="E113" s="24">
        <v>50</v>
      </c>
      <c r="F113" s="23">
        <v>0.52500000000000002</v>
      </c>
      <c r="G113" s="23">
        <f>E113</f>
        <v>50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ref="A114:A145" si="9">RIGHT(D114,4)</f>
        <v>0614</v>
      </c>
      <c r="B114" s="79" t="s">
        <v>127</v>
      </c>
      <c r="C114" s="72" t="s">
        <v>23</v>
      </c>
      <c r="D114" s="73">
        <v>1001060720614</v>
      </c>
      <c r="E114" s="24">
        <v>10</v>
      </c>
      <c r="F114" s="23"/>
      <c r="G114" s="23">
        <f>E114</f>
        <v>10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128</v>
      </c>
      <c r="C115" s="72" t="s">
        <v>21</v>
      </c>
      <c r="D115" s="73">
        <v>1001061973986</v>
      </c>
      <c r="E115" s="24">
        <v>160</v>
      </c>
      <c r="F115" s="23">
        <v>0.25</v>
      </c>
      <c r="G115" s="23">
        <f>E115*F115</f>
        <v>40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129</v>
      </c>
      <c r="C116" s="72" t="s">
        <v>23</v>
      </c>
      <c r="D116" s="73">
        <v>1001061971146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130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131</v>
      </c>
      <c r="C118" s="72" t="s">
        <v>21</v>
      </c>
      <c r="D118" s="73">
        <v>1001063656967</v>
      </c>
      <c r="E118" s="24">
        <v>160</v>
      </c>
      <c r="F118" s="23">
        <v>0.25</v>
      </c>
      <c r="G118" s="23">
        <f>F118*E118</f>
        <v>40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132</v>
      </c>
      <c r="C119" s="72" t="s">
        <v>33</v>
      </c>
      <c r="D119" s="73">
        <v>1001060764993</v>
      </c>
      <c r="E119" s="24">
        <v>350</v>
      </c>
      <c r="F119" s="23">
        <v>0.25</v>
      </c>
      <c r="G119" s="23">
        <f>E119*F119</f>
        <v>87.5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133</v>
      </c>
      <c r="C120" s="72" t="s">
        <v>33</v>
      </c>
      <c r="D120" s="73">
        <v>1001063106937</v>
      </c>
      <c r="E120" s="24">
        <v>350</v>
      </c>
      <c r="F120" s="23">
        <v>0.25</v>
      </c>
      <c r="G120" s="23">
        <f>E120*F120</f>
        <v>87.5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134</v>
      </c>
      <c r="C121" s="72" t="s">
        <v>21</v>
      </c>
      <c r="D121" s="73">
        <v>1001203117382</v>
      </c>
      <c r="E121" s="24"/>
      <c r="F121" s="23">
        <v>0.12</v>
      </c>
      <c r="G121" s="23">
        <f>E121*F121</f>
        <v>0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135</v>
      </c>
      <c r="C122" s="72" t="s">
        <v>21</v>
      </c>
      <c r="D122" s="73">
        <v>1001190765679</v>
      </c>
      <c r="E122" s="24">
        <v>300</v>
      </c>
      <c r="F122" s="23">
        <v>0.15</v>
      </c>
      <c r="G122" s="23">
        <f>F122*E122</f>
        <v>45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136</v>
      </c>
      <c r="C123" s="72" t="s">
        <v>23</v>
      </c>
      <c r="D123" s="73">
        <v>1001062504117</v>
      </c>
      <c r="E123" s="24">
        <v>50</v>
      </c>
      <c r="F123" s="23">
        <v>0.50700000000000001</v>
      </c>
      <c r="G123" s="23">
        <f>E123</f>
        <v>50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137</v>
      </c>
      <c r="C124" s="72" t="s">
        <v>21</v>
      </c>
      <c r="D124" s="73">
        <v>1001062505483</v>
      </c>
      <c r="E124" s="24">
        <v>300</v>
      </c>
      <c r="F124" s="23">
        <v>0.25</v>
      </c>
      <c r="G124" s="23">
        <f>E124*F124</f>
        <v>75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138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139</v>
      </c>
      <c r="C126" s="72" t="s">
        <v>33</v>
      </c>
      <c r="D126" s="73">
        <v>1001200756557</v>
      </c>
      <c r="E126" s="24">
        <v>80</v>
      </c>
      <c r="F126" s="23">
        <v>0.1</v>
      </c>
      <c r="G126" s="23">
        <f>E126*F126</f>
        <v>8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140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141</v>
      </c>
      <c r="C128" s="72" t="s">
        <v>33</v>
      </c>
      <c r="D128" s="73">
        <v>1001205376221</v>
      </c>
      <c r="E128" s="24">
        <v>300</v>
      </c>
      <c r="F128" s="23">
        <v>0.09</v>
      </c>
      <c r="G128" s="23">
        <f>E128*F128</f>
        <v>27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142</v>
      </c>
      <c r="C129" s="72" t="s">
        <v>23</v>
      </c>
      <c r="D129" s="73">
        <v>1001060763287</v>
      </c>
      <c r="E129" s="24">
        <v>50</v>
      </c>
      <c r="F129" s="23">
        <v>0.51300000000000001</v>
      </c>
      <c r="G129" s="23">
        <f>E129</f>
        <v>50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143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144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145</v>
      </c>
      <c r="C132" s="72" t="s">
        <v>33</v>
      </c>
      <c r="D132" s="42">
        <v>1001094053215</v>
      </c>
      <c r="E132" s="24">
        <v>80</v>
      </c>
      <c r="F132" s="23">
        <v>0.4</v>
      </c>
      <c r="G132" s="23">
        <f>E132*F132</f>
        <v>32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146</v>
      </c>
      <c r="C133" s="72" t="s">
        <v>23</v>
      </c>
      <c r="D133" s="42">
        <v>1001094966025</v>
      </c>
      <c r="E133" s="24">
        <v>120</v>
      </c>
      <c r="F133" s="23"/>
      <c r="G133" s="23">
        <f>E133</f>
        <v>120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147</v>
      </c>
      <c r="C134" s="72" t="s">
        <v>23</v>
      </c>
      <c r="D134" s="42">
        <v>1001092436470</v>
      </c>
      <c r="E134" s="24">
        <v>100</v>
      </c>
      <c r="F134" s="23"/>
      <c r="G134" s="23">
        <f>E134</f>
        <v>100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148</v>
      </c>
      <c r="C135" s="72" t="s">
        <v>23</v>
      </c>
      <c r="D135" s="42">
        <v>1001092674584</v>
      </c>
      <c r="E135" s="24">
        <v>30</v>
      </c>
      <c r="F135" s="23"/>
      <c r="G135" s="23">
        <f>E135</f>
        <v>30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149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5452</v>
      </c>
      <c r="B137" s="50" t="s">
        <v>150</v>
      </c>
      <c r="C137" s="72" t="s">
        <v>23</v>
      </c>
      <c r="D137" s="42">
        <v>1001092485452</v>
      </c>
      <c r="E137" s="24">
        <v>80</v>
      </c>
      <c r="F137" s="23">
        <v>1.367</v>
      </c>
      <c r="G137" s="23">
        <f>E137</f>
        <v>80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9"/>
        <v>5495</v>
      </c>
      <c r="B138" s="50" t="s">
        <v>151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9"/>
        <v>6495</v>
      </c>
      <c r="B139" s="50" t="s">
        <v>152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9"/>
        <v/>
      </c>
      <c r="B140" s="46" t="s">
        <v>153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9"/>
        <v>6448</v>
      </c>
      <c r="B141" s="37" t="s">
        <v>154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9"/>
        <v>7090</v>
      </c>
      <c r="B142" s="37" t="s">
        <v>155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9"/>
        <v>6208</v>
      </c>
      <c r="B143" s="37" t="s">
        <v>156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9"/>
        <v>7053</v>
      </c>
      <c r="B144" s="37" t="s">
        <v>157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9"/>
        <v>7103</v>
      </c>
      <c r="B145" s="58" t="s">
        <v>158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159</v>
      </c>
      <c r="C146" s="16"/>
      <c r="D146" s="38"/>
      <c r="E146" s="17">
        <f>SUM(E10:E145)</f>
        <v>7440</v>
      </c>
      <c r="F146" s="17"/>
      <c r="G146" s="17">
        <f>SUM(G11:G145)</f>
        <v>4043.0000000000005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2026-01-14T09:11:18Z</dcterms:modified>
</cp:coreProperties>
</file>