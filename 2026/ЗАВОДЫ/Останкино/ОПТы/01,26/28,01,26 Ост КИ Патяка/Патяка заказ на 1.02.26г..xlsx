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01,26 Ост КИ Патяка\"/>
    </mc:Choice>
  </mc:AlternateContent>
  <xr:revisionPtr revIDLastSave="0" documentId="13_ncr:1_{1F0E787F-6A11-4522-BDB2-B7DB0C5857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Лист1!$B$2:$L$52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1" l="1"/>
  <c r="K4" i="1" l="1"/>
  <c r="L4" i="1" s="1"/>
  <c r="K14" i="1"/>
  <c r="L14" i="1" s="1"/>
  <c r="K15" i="1"/>
  <c r="L15" i="1" s="1"/>
  <c r="K16" i="1"/>
  <c r="L16" i="1" s="1"/>
  <c r="K13" i="1"/>
  <c r="L13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12" i="1"/>
  <c r="L12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10" i="1"/>
  <c r="L10" i="1" s="1"/>
  <c r="K6" i="1"/>
  <c r="L6" i="1" s="1"/>
  <c r="K7" i="1"/>
  <c r="L7" i="1" s="1"/>
  <c r="K9" i="1"/>
  <c r="L9" i="1" s="1"/>
  <c r="K47" i="1"/>
  <c r="L47" i="1" s="1"/>
  <c r="K48" i="1"/>
  <c r="L48" i="1" s="1"/>
  <c r="K49" i="1"/>
  <c r="L49" i="1" s="1"/>
  <c r="K8" i="1"/>
  <c r="L8" i="1" s="1"/>
  <c r="K11" i="1"/>
  <c r="L11" i="1" s="1"/>
  <c r="K50" i="1"/>
  <c r="L50" i="1" s="1"/>
  <c r="K3" i="1"/>
  <c r="L3" i="1" s="1"/>
  <c r="K51" i="1"/>
  <c r="L51" i="1" s="1"/>
  <c r="K5" i="1"/>
  <c r="L5" i="1" l="1"/>
  <c r="L52" i="1" s="1"/>
  <c r="F16" i="1"/>
  <c r="H18" i="1" l="1"/>
  <c r="F18" i="1" l="1"/>
  <c r="F20" i="1"/>
  <c r="F21" i="1"/>
  <c r="F22" i="1"/>
  <c r="F23" i="1"/>
  <c r="F24" i="1"/>
  <c r="F25" i="1"/>
  <c r="F48" i="1"/>
  <c r="F19" i="1"/>
  <c r="F26" i="1"/>
  <c r="F27" i="1"/>
  <c r="F28" i="1"/>
  <c r="F29" i="1"/>
  <c r="F30" i="1"/>
  <c r="F31" i="1"/>
  <c r="F32" i="1"/>
  <c r="F33" i="1"/>
  <c r="F34" i="1"/>
  <c r="F35" i="1"/>
  <c r="F12" i="1"/>
  <c r="F36" i="1"/>
  <c r="F37" i="1"/>
  <c r="F38" i="1"/>
  <c r="F39" i="1"/>
  <c r="F40" i="1"/>
  <c r="F41" i="1"/>
  <c r="F47" i="1"/>
  <c r="F13" i="1"/>
  <c r="F42" i="1"/>
  <c r="F43" i="1"/>
  <c r="F44" i="1"/>
  <c r="F45" i="1"/>
  <c r="F46" i="1"/>
  <c r="F10" i="1"/>
  <c r="F6" i="1"/>
  <c r="F7" i="1"/>
  <c r="F9" i="1"/>
  <c r="F11" i="1" l="1"/>
  <c r="F8" i="1"/>
  <c r="F5" i="1"/>
  <c r="F4" i="1"/>
  <c r="F49" i="1"/>
  <c r="F51" i="1"/>
  <c r="F14" i="1"/>
  <c r="F3" i="1"/>
  <c r="F50" i="1"/>
  <c r="F17" i="1"/>
  <c r="F15" i="1"/>
</calcChain>
</file>

<file path=xl/sharedStrings.xml><?xml version="1.0" encoding="utf-8"?>
<sst xmlns="http://schemas.openxmlformats.org/spreadsheetml/2006/main" count="60" uniqueCount="60">
  <si>
    <t>код</t>
  </si>
  <si>
    <t>еи</t>
  </si>
  <si>
    <t>кг</t>
  </si>
  <si>
    <t>шт</t>
  </si>
  <si>
    <t>СОЧНЫЕ ПМ сос п/о мгс 1.5*4_А_50с</t>
  </si>
  <si>
    <t>МОЛОЧНЫЕ КЛАССИЧЕСКИЕ сосп/о мгс 2*4_С</t>
  </si>
  <si>
    <t>СОЧНЫЕ ПМ сос п/о мгс 0.41кг 10шт.</t>
  </si>
  <si>
    <t>ФИЛЕЙНАЯ Папа может вар п/о</t>
  </si>
  <si>
    <t>МЯСНАЯ Папа может вар п/о</t>
  </si>
  <si>
    <t>ФИЛЕЙНАЯ Папа может вар п/о 0.4кг</t>
  </si>
  <si>
    <t>МЯСНАЯ Папа может вар п/о 0.4кг 8шт.</t>
  </si>
  <si>
    <t>СЕРВЕЛАТ ОХОТНИЧИЙ ПМ в/к в/у_50с</t>
  </si>
  <si>
    <t>СЕРВЕЛАТ ФИНСКИЙ в/кв/у_45с</t>
  </si>
  <si>
    <t>СЕРВЕЛАТ ОХОТНИЧИЙ ПМ в/к в/у 0.35кг_50с</t>
  </si>
  <si>
    <t>СЕРВЕЛАТ ФИНСКИЙ ПМ в/кв/у 0.35кг 8шт.</t>
  </si>
  <si>
    <t>Цена, руб.</t>
  </si>
  <si>
    <t>Артикул</t>
  </si>
  <si>
    <t>Номенклатура</t>
  </si>
  <si>
    <t>3215 ВЕТЧ.МЯСНАЯ Папа может п/о 0.4кг 8шт.    ОСТАНКИНО</t>
  </si>
  <si>
    <t>4117 ЭКСТРА Папа может с/к в/у_Л   ОСТАНКИНО</t>
  </si>
  <si>
    <t>4574 Мясная со шпиком Папа может вар п/о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</si>
  <si>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</si>
  <si>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</si>
  <si>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</si>
  <si>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</si>
  <si>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</si>
  <si>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</si>
  <si>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</si>
  <si>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</si>
  <si>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</si>
  <si>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</si>
  <si>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</si>
  <si>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</si>
  <si>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</si>
  <si>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</si>
  <si>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</si>
  <si>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</si>
  <si>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</si>
  <si>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</si>
  <si>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</si>
  <si>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</si>
  <si>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7001 КЛАССИЧЕСКИЕ Папа может сар б/о мгс 1*3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</si>
  <si>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</si>
  <si>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</si>
  <si>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</si>
  <si>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</si>
  <si>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</si>
  <si>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</si>
  <si>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</si>
  <si>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</si>
  <si>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</si>
  <si>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</si>
  <si>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3986 АРОМАТНАЯ Папа может с/к в/у 1/250 8шт.</t>
  </si>
  <si>
    <t>7382 САЛЯМИ МЕЛКОЗЕРНЕНАЯ с/к в/у 1/120_60с   ОСТАНКИНО</t>
  </si>
  <si>
    <t>7255 МЯСНЫЕ С ГОВЯД. ПМ сос п/о мгс 0,4кг_50с  Останкино</t>
  </si>
  <si>
    <t>ДОМАШНИЙ РЕЦЕПТ Коровино вар п/о</t>
  </si>
  <si>
    <t>заказ Ф1</t>
  </si>
  <si>
    <t>Заказ Ф2</t>
  </si>
  <si>
    <t>Заказ, кг</t>
  </si>
  <si>
    <t>Сумма, кг/шт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</si>
</sst>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8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color indexed="8"/>
      <name val="Calibri"/>
      <family val="2"/>
      <charset val="204"/>
    </font>
    <font>
      <b/>
      <sz val="8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center"/>
    </xf>
    <xf numFmtId="1" fontId="2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center" vertical="center"/>
    </xf>
    <xf numFmtId="1" fontId="4" fillId="0" borderId="1" xfId="0" applyNumberFormat="1" applyFont="1" applyBorder="1" applyAlignment="1">
      <alignment horizontal="right" vertical="center" wrapText="1"/>
    </xf>
    <xf numFmtId="0" fontId="4" fillId="0" borderId="1" xfId="1" applyFont="1" applyBorder="1" applyAlignment="1">
      <alignment horizontal="left" vertical="center" wrapText="1"/>
    </xf>
    <xf numFmtId="2" fontId="2" fillId="0" borderId="1" xfId="1" applyNumberFormat="1" applyFont="1" applyBorder="1" applyAlignment="1">
      <alignment horizontal="center" vertical="center" shrinkToFit="1"/>
    </xf>
    <xf numFmtId="2" fontId="2" fillId="0" borderId="1" xfId="1" applyNumberFormat="1" applyFont="1" applyFill="1" applyBorder="1" applyAlignment="1">
      <alignment horizontal="center" vertical="center" shrinkToFit="1"/>
    </xf>
    <xf numFmtId="0" fontId="5" fillId="0" borderId="2" xfId="1" applyFont="1" applyFill="1" applyBorder="1" applyAlignment="1">
      <alignment horizontal="center" vertical="center" wrapText="1"/>
    </xf>
    <xf numFmtId="1" fontId="5" fillId="0" borderId="3" xfId="1" applyNumberFormat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2" fontId="2" fillId="2" borderId="1" xfId="1" applyNumberFormat="1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right" vertical="center" wrapText="1"/>
    </xf>
    <xf numFmtId="1" fontId="4" fillId="0" borderId="6" xfId="0" applyNumberFormat="1" applyFont="1" applyBorder="1" applyAlignment="1">
      <alignment horizontal="right" vertical="center" wrapText="1"/>
    </xf>
    <xf numFmtId="0" fontId="4" fillId="0" borderId="6" xfId="1" applyFont="1" applyBorder="1" applyAlignment="1">
      <alignment horizontal="left" vertical="center" wrapText="1"/>
    </xf>
    <xf numFmtId="2" fontId="2" fillId="0" borderId="6" xfId="1" applyNumberFormat="1" applyFont="1" applyBorder="1" applyAlignment="1">
      <alignment horizontal="center" vertical="center" shrinkToFit="1"/>
    </xf>
    <xf numFmtId="2" fontId="2" fillId="0" borderId="6" xfId="1" applyNumberFormat="1" applyFont="1" applyFill="1" applyBorder="1" applyAlignment="1">
      <alignment horizontal="center" vertical="center" shrinkToFit="1"/>
    </xf>
    <xf numFmtId="2" fontId="2" fillId="2" borderId="6" xfId="1" applyNumberFormat="1" applyFont="1" applyFill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6" fillId="3" borderId="0" xfId="1" applyFont="1" applyFill="1" applyAlignment="1">
      <alignment horizontal="center" vertical="top"/>
    </xf>
    <xf numFmtId="0" fontId="6" fillId="3" borderId="3" xfId="1" applyFont="1" applyFill="1" applyBorder="1" applyAlignment="1">
      <alignment horizontal="center" vertical="center"/>
    </xf>
    <xf numFmtId="1" fontId="6" fillId="3" borderId="6" xfId="1" applyNumberFormat="1" applyFont="1" applyFill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</cellXfs>
  <cellStyles count="2">
    <cellStyle name="Excel Built-in Normal" xfId="1" xr:uid="{00000000-0005-0000-0000-000000000000}"/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3;&#1086;&#1090;&#1072;/&#1054;&#1089;&#1090;&#1072;&#1085;&#1082;&#1080;&#1085;&#1086;/&#1053;&#1086;&#1074;&#1086;&#1077;%20&#1074;&#1088;&#1077;&#1084;&#1103;/&#1054;&#1087;&#1090;&#1099;/&#1055;&#1086;&#1083;&#1103;&#1082;&#1086;&#1074;/&#1047;&#1072;&#1082;&#1072;&#1079;&#1099;/&#1044;&#1077;&#1082;&#1072;&#1073;&#1088;&#1100;/23.12/&#1055;&#1086;&#1083;&#1103;&#1082;&#1086;&#1074;%20&#1079;&#1072;&#1082;&#1072;&#1079;%20&#1055;&#1052;%20&#1085;&#1072;%2027.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 опт Март"/>
    </sheetNames>
    <sheetDataSet>
      <sheetData sheetId="0">
        <row r="3">
          <cell r="C3">
            <v>1001012564813</v>
          </cell>
          <cell r="D3" t="str">
            <v>ФИЛЕЙНАЯ Папа может вар п/о</v>
          </cell>
          <cell r="E3">
            <v>1</v>
          </cell>
          <cell r="F3">
            <v>550</v>
          </cell>
          <cell r="G3">
            <v>550</v>
          </cell>
          <cell r="H3">
            <v>261.13</v>
          </cell>
          <cell r="I3">
            <v>261.13</v>
          </cell>
          <cell r="J3">
            <v>261.13</v>
          </cell>
          <cell r="K3">
            <v>250</v>
          </cell>
        </row>
        <row r="4">
          <cell r="C4">
            <v>1001010032675</v>
          </cell>
          <cell r="D4" t="str">
            <v>РУССКАЯ ГОСТ вар п/о</v>
          </cell>
          <cell r="E4">
            <v>1</v>
          </cell>
          <cell r="G4">
            <v>0</v>
          </cell>
          <cell r="H4">
            <v>465.53972167500001</v>
          </cell>
          <cell r="I4">
            <v>465.53972167500001</v>
          </cell>
          <cell r="J4">
            <v>470.39391000000001</v>
          </cell>
          <cell r="K4">
            <v>470.39391000000001</v>
          </cell>
        </row>
        <row r="5">
          <cell r="C5">
            <v>1001032736550</v>
          </cell>
          <cell r="D5" t="str">
            <v>МЯСНЫЕ Папа может сар б/о мгс 1*3_О_45с</v>
          </cell>
          <cell r="E5">
            <v>1</v>
          </cell>
          <cell r="G5">
            <v>0</v>
          </cell>
          <cell r="H5">
            <v>293.45</v>
          </cell>
          <cell r="I5">
            <v>293.45</v>
          </cell>
          <cell r="J5">
            <v>303.83999999999997</v>
          </cell>
          <cell r="K5">
            <v>295</v>
          </cell>
        </row>
        <row r="6">
          <cell r="C6">
            <v>1001022377070</v>
          </cell>
          <cell r="D6" t="str">
            <v>СОЧНЫЕ ПМ сос п/о мгс 1.5*4_А_50с</v>
          </cell>
          <cell r="E6">
            <v>1</v>
          </cell>
          <cell r="G6">
            <v>0</v>
          </cell>
          <cell r="H6">
            <v>251.23612176</v>
          </cell>
          <cell r="I6">
            <v>251.23612176</v>
          </cell>
          <cell r="J6">
            <v>255.76</v>
          </cell>
          <cell r="K6">
            <v>249</v>
          </cell>
        </row>
        <row r="7">
          <cell r="C7">
            <v>1001300387157</v>
          </cell>
          <cell r="D7" t="str">
            <v>СЕРВЕЛАТ ЗЕРНИСТЫЙ ПМ в/к в/у_50с</v>
          </cell>
          <cell r="E7">
            <v>1</v>
          </cell>
          <cell r="G7">
            <v>0</v>
          </cell>
          <cell r="H7">
            <v>351.48004880000002</v>
          </cell>
          <cell r="I7">
            <v>351.48004880000002</v>
          </cell>
          <cell r="J7">
            <v>362.51</v>
          </cell>
          <cell r="K7">
            <v>355</v>
          </cell>
        </row>
        <row r="8">
          <cell r="C8">
            <v>1001303987166</v>
          </cell>
          <cell r="D8" t="str">
            <v>СЕРВЕЛАТ ОХОТНИЧИЙ ПМ в/к в/у_50с</v>
          </cell>
          <cell r="E8">
            <v>1</v>
          </cell>
          <cell r="G8">
            <v>0</v>
          </cell>
          <cell r="H8">
            <v>354.7</v>
          </cell>
          <cell r="I8">
            <v>354.7</v>
          </cell>
          <cell r="J8">
            <v>360.23</v>
          </cell>
          <cell r="K8">
            <v>355</v>
          </cell>
        </row>
        <row r="9">
          <cell r="C9">
            <v>1001060720614</v>
          </cell>
          <cell r="D9" t="str">
            <v>ПРАЗДНИЧНАЯ с/к в/с дек.спец.мгс</v>
          </cell>
          <cell r="E9">
            <v>1</v>
          </cell>
          <cell r="F9">
            <v>10</v>
          </cell>
          <cell r="G9">
            <v>10</v>
          </cell>
          <cell r="H9">
            <v>941.35134030000006</v>
          </cell>
          <cell r="I9">
            <v>941.35134030000006</v>
          </cell>
          <cell r="J9">
            <v>959</v>
          </cell>
          <cell r="K9">
            <v>959</v>
          </cell>
        </row>
        <row r="10">
          <cell r="C10">
            <v>1001010014558</v>
          </cell>
          <cell r="D10" t="str">
            <v>ДОКТОРСКАЯ ГОСТ вар п/о  Останкино</v>
          </cell>
          <cell r="E10">
            <v>1</v>
          </cell>
          <cell r="G10">
            <v>0</v>
          </cell>
          <cell r="H10">
            <v>408.3</v>
          </cell>
          <cell r="I10">
            <v>408.3</v>
          </cell>
          <cell r="J10">
            <v>419</v>
          </cell>
          <cell r="K10">
            <v>419</v>
          </cell>
        </row>
        <row r="11">
          <cell r="C11">
            <v>1001010014561</v>
          </cell>
          <cell r="D11" t="str">
            <v>ДОКТОРСКАЯ ГОСТ Папа может вар п/о</v>
          </cell>
          <cell r="E11">
            <v>1</v>
          </cell>
          <cell r="G11">
            <v>0</v>
          </cell>
          <cell r="H11">
            <v>416.17249222500004</v>
          </cell>
          <cell r="I11">
            <v>416.17249222500004</v>
          </cell>
          <cell r="J11">
            <v>424.49594206950007</v>
          </cell>
          <cell r="K11">
            <v>424.49594206950007</v>
          </cell>
        </row>
        <row r="12">
          <cell r="C12">
            <v>1001012634574</v>
          </cell>
          <cell r="D12" t="str">
            <v>МЯСНАЯ СО ШПИКОМ Папаможет вар п/о</v>
          </cell>
          <cell r="E12">
            <v>1</v>
          </cell>
          <cell r="G12">
            <v>0</v>
          </cell>
          <cell r="H12">
            <v>250.14586170000001</v>
          </cell>
          <cell r="I12">
            <v>250.14586170000001</v>
          </cell>
          <cell r="J12">
            <v>250.12134</v>
          </cell>
          <cell r="K12">
            <v>250.12134</v>
          </cell>
        </row>
        <row r="13">
          <cell r="C13">
            <v>1001094053215</v>
          </cell>
          <cell r="D13" t="str">
            <v>ВЕТЧ.МЯСНАЯ Папа может п/о 0.4кг 8шт.</v>
          </cell>
          <cell r="E13">
            <v>0.4</v>
          </cell>
          <cell r="F13">
            <v>100</v>
          </cell>
          <cell r="G13">
            <v>40</v>
          </cell>
          <cell r="H13">
            <v>361.92574193749994</v>
          </cell>
          <cell r="I13">
            <v>144.77029677499999</v>
          </cell>
          <cell r="J13">
            <v>144.77029677499999</v>
          </cell>
          <cell r="K13">
            <v>144.77029677499999</v>
          </cell>
        </row>
        <row r="14">
          <cell r="C14">
            <v>1001060763287</v>
          </cell>
          <cell r="D14" t="str">
            <v>САЛЯМИ ИТАЛЬЯНСКАЯ с/к в/у</v>
          </cell>
          <cell r="E14">
            <v>1</v>
          </cell>
          <cell r="F14">
            <v>50</v>
          </cell>
          <cell r="G14">
            <v>50</v>
          </cell>
          <cell r="H14">
            <v>794.68493265000006</v>
          </cell>
          <cell r="I14">
            <v>794.68493265000006</v>
          </cell>
          <cell r="J14">
            <v>799</v>
          </cell>
          <cell r="K14">
            <v>799</v>
          </cell>
        </row>
        <row r="15">
          <cell r="C15">
            <v>1001061973986</v>
          </cell>
          <cell r="D15" t="str">
            <v>АРОМАТНАЯ Папа может с/к в/у 1/250 8шт.</v>
          </cell>
          <cell r="E15">
            <v>0.25</v>
          </cell>
          <cell r="F15">
            <v>80</v>
          </cell>
          <cell r="G15">
            <v>20</v>
          </cell>
          <cell r="H15">
            <v>759.49913340000001</v>
          </cell>
          <cell r="I15">
            <v>189.87478335</v>
          </cell>
          <cell r="J15">
            <v>189.87478335</v>
          </cell>
          <cell r="K15">
            <v>189.87478335</v>
          </cell>
        </row>
        <row r="16">
          <cell r="C16">
            <v>1001012484063</v>
          </cell>
          <cell r="D16" t="str">
            <v>МЯСНАЯ Папа может вар п/о</v>
          </cell>
          <cell r="E16">
            <v>1</v>
          </cell>
          <cell r="G16">
            <v>0</v>
          </cell>
          <cell r="H16">
            <v>232.54230999999999</v>
          </cell>
          <cell r="I16">
            <v>232.54230999999999</v>
          </cell>
          <cell r="J16">
            <v>233.48</v>
          </cell>
          <cell r="K16">
            <v>233.48</v>
          </cell>
        </row>
        <row r="17">
          <cell r="C17">
            <v>1001062504117</v>
          </cell>
          <cell r="D17" t="str">
            <v>ЭКСТРА Папа может с/к в/у_Л</v>
          </cell>
          <cell r="E17">
            <v>1</v>
          </cell>
          <cell r="G17">
            <v>0</v>
          </cell>
          <cell r="H17">
            <v>712.87928827500002</v>
          </cell>
          <cell r="I17">
            <v>712.87928827500002</v>
          </cell>
          <cell r="J17">
            <v>712.87928827500002</v>
          </cell>
          <cell r="K17">
            <v>712.87928827500002</v>
          </cell>
        </row>
        <row r="18">
          <cell r="C18">
            <v>1001093345495</v>
          </cell>
          <cell r="D18" t="str">
            <v>ВЕТЧ.С ИНДЕЙКОЙ Папа может п/о 400*6</v>
          </cell>
          <cell r="E18">
            <v>0.4</v>
          </cell>
          <cell r="G18">
            <v>0</v>
          </cell>
          <cell r="H18">
            <v>363.45270412499997</v>
          </cell>
          <cell r="I18">
            <v>145.38108165</v>
          </cell>
          <cell r="J18">
            <v>148.28870328299999</v>
          </cell>
          <cell r="K18">
            <v>148.28870328299999</v>
          </cell>
        </row>
        <row r="19">
          <cell r="C19">
            <v>1001092674584</v>
          </cell>
          <cell r="D19" t="str">
            <v>ВЕТЧ.ИЗ ЛОПАТКИ Папа может п/о_HRC</v>
          </cell>
          <cell r="E19">
            <v>1</v>
          </cell>
          <cell r="F19">
            <v>20</v>
          </cell>
          <cell r="G19">
            <v>20</v>
          </cell>
          <cell r="H19">
            <v>338.85809312499998</v>
          </cell>
          <cell r="I19">
            <v>338.85809312499998</v>
          </cell>
          <cell r="J19">
            <v>343</v>
          </cell>
          <cell r="K19">
            <v>343</v>
          </cell>
        </row>
        <row r="20">
          <cell r="C20">
            <v>1001060764993</v>
          </cell>
          <cell r="D20" t="str">
            <v>САЛЯМИ ИТАЛЬЯНСКАЯ с/к в/у 1/250*8_120с</v>
          </cell>
          <cell r="E20">
            <v>0.25</v>
          </cell>
          <cell r="F20">
            <v>200</v>
          </cell>
          <cell r="G20">
            <v>50</v>
          </cell>
          <cell r="H20">
            <v>805.21389479999993</v>
          </cell>
          <cell r="I20">
            <v>201.30347369999998</v>
          </cell>
          <cell r="J20">
            <v>205.32954317399998</v>
          </cell>
          <cell r="K20">
            <v>205.32954317399998</v>
          </cell>
        </row>
        <row r="21">
          <cell r="C21">
            <v>1001092485452</v>
          </cell>
          <cell r="D21" t="str">
            <v>ВЕТЧ.МЯСНАЯ Папа может п/о</v>
          </cell>
          <cell r="E21">
            <v>1</v>
          </cell>
          <cell r="G21">
            <v>0</v>
          </cell>
          <cell r="H21">
            <v>342.03468911908629</v>
          </cell>
          <cell r="I21">
            <v>342.03468911908629</v>
          </cell>
          <cell r="J21">
            <v>342.03468911908629</v>
          </cell>
          <cell r="K21">
            <v>342.03468911908629</v>
          </cell>
        </row>
        <row r="22">
          <cell r="C22">
            <v>1001062475707</v>
          </cell>
          <cell r="D22" t="str">
            <v>ЮБИЛЕЙНАЯ Папа может с/к в/у 1/250 8шт.</v>
          </cell>
          <cell r="E22">
            <v>0.25</v>
          </cell>
          <cell r="G22">
            <v>0</v>
          </cell>
          <cell r="H22">
            <v>777.25805429999991</v>
          </cell>
          <cell r="I22">
            <v>194.31451357499998</v>
          </cell>
          <cell r="J22">
            <v>199</v>
          </cell>
          <cell r="K22">
            <v>199</v>
          </cell>
        </row>
        <row r="23">
          <cell r="C23">
            <v>1001062505483</v>
          </cell>
          <cell r="D23" t="str">
            <v>ЭКСТРА Папа может с/к в/у 1/250 8шт.</v>
          </cell>
          <cell r="E23">
            <v>0.25</v>
          </cell>
          <cell r="F23">
            <v>120</v>
          </cell>
          <cell r="G23">
            <v>30</v>
          </cell>
          <cell r="H23">
            <v>719.05420859999992</v>
          </cell>
          <cell r="I23">
            <v>179.76355214999998</v>
          </cell>
          <cell r="J23">
            <v>179.76355214999998</v>
          </cell>
          <cell r="K23">
            <v>179.76355214999998</v>
          </cell>
        </row>
        <row r="24">
          <cell r="C24">
            <v>1001012505851</v>
          </cell>
          <cell r="D24" t="str">
            <v>ЭКСТРА Папа может вар п/о</v>
          </cell>
          <cell r="E24">
            <v>1</v>
          </cell>
          <cell r="G24">
            <v>0</v>
          </cell>
          <cell r="H24">
            <v>266.86581075000004</v>
          </cell>
          <cell r="I24">
            <v>266.86581075000004</v>
          </cell>
          <cell r="J24">
            <v>270.09549000000004</v>
          </cell>
          <cell r="K24">
            <v>270.09549000000004</v>
          </cell>
        </row>
        <row r="25">
          <cell r="C25">
            <v>1001051875544</v>
          </cell>
          <cell r="D25" t="str">
            <v>СЕРВЕЛАТ ФИНСКИЙ в/кв/у_45с</v>
          </cell>
          <cell r="E25">
            <v>1</v>
          </cell>
          <cell r="G25">
            <v>0</v>
          </cell>
          <cell r="H25">
            <v>364.97</v>
          </cell>
          <cell r="I25">
            <v>364.97</v>
          </cell>
          <cell r="J25">
            <v>364.97</v>
          </cell>
          <cell r="K25">
            <v>364.97</v>
          </cell>
        </row>
        <row r="26">
          <cell r="C26">
            <v>1001220226208</v>
          </cell>
          <cell r="D26" t="str">
            <v>ДЫМОВИЦА ИЗ ЛОПАТКИ ПМ к/в с/н в/у 1/150</v>
          </cell>
          <cell r="E26">
            <v>0.15</v>
          </cell>
          <cell r="G26">
            <v>0</v>
          </cell>
          <cell r="H26">
            <v>738.56260100000009</v>
          </cell>
          <cell r="I26">
            <v>110.78439015000001</v>
          </cell>
          <cell r="J26">
            <v>113.00007795300002</v>
          </cell>
          <cell r="K26">
            <v>113.00007795300002</v>
          </cell>
        </row>
        <row r="27">
          <cell r="C27">
            <v>1001190765679</v>
          </cell>
          <cell r="D27" t="str">
            <v>САЛЯМИ ИТАЛЬЯНСКАЯ с/к в/у 1/150_60с</v>
          </cell>
          <cell r="E27">
            <v>0.15</v>
          </cell>
          <cell r="F27">
            <v>100</v>
          </cell>
          <cell r="G27">
            <v>15</v>
          </cell>
          <cell r="H27">
            <v>950.85561200000018</v>
          </cell>
          <cell r="I27">
            <v>142.62834180000002</v>
          </cell>
          <cell r="J27">
            <v>144</v>
          </cell>
          <cell r="K27">
            <v>144</v>
          </cell>
        </row>
        <row r="28">
          <cell r="C28">
            <v>1001010016324</v>
          </cell>
          <cell r="D28" t="str">
            <v>ДОКТОРСКАЯ ГОСТ вар п/о 0.4кг 8шт.</v>
          </cell>
          <cell r="E28">
            <v>0.4</v>
          </cell>
          <cell r="G28">
            <v>0</v>
          </cell>
          <cell r="H28">
            <v>443.875</v>
          </cell>
          <cell r="I28">
            <v>177.55</v>
          </cell>
          <cell r="J28">
            <v>181.10100000000003</v>
          </cell>
          <cell r="K28">
            <v>181.10100000000003</v>
          </cell>
        </row>
        <row r="29">
          <cell r="C29">
            <v>1001012486333</v>
          </cell>
          <cell r="D29" t="str">
            <v>МЯСНАЯ Папа может вар п/о 0.4кг 8шт.</v>
          </cell>
          <cell r="E29">
            <v>0.4</v>
          </cell>
          <cell r="G29">
            <v>0</v>
          </cell>
          <cell r="H29">
            <v>262.29583824999997</v>
          </cell>
          <cell r="I29">
            <v>104.9183353</v>
          </cell>
          <cell r="J29">
            <v>107.016702006</v>
          </cell>
          <cell r="K29">
            <v>107.016702006</v>
          </cell>
        </row>
        <row r="30">
          <cell r="C30">
            <v>1001012816340</v>
          </cell>
          <cell r="D30" t="str">
            <v>ДОМАШНИЙ РЕЦЕПТ Коровино 0.5кг 8шт.</v>
          </cell>
          <cell r="E30">
            <v>0.5</v>
          </cell>
          <cell r="G30">
            <v>0</v>
          </cell>
          <cell r="H30">
            <v>215.46</v>
          </cell>
          <cell r="I30">
            <v>107.73</v>
          </cell>
          <cell r="J30">
            <v>109.88460000000001</v>
          </cell>
          <cell r="K30">
            <v>109.88460000000001</v>
          </cell>
        </row>
        <row r="31">
          <cell r="C31">
            <v>1001012816341</v>
          </cell>
          <cell r="D31" t="str">
            <v>ДОМАШНИЙ РЕЦЕПТ СО ШПИКОМ Коровино 0.5кг</v>
          </cell>
          <cell r="E31">
            <v>0.5</v>
          </cell>
          <cell r="G31">
            <v>0</v>
          </cell>
          <cell r="H31">
            <v>215.46</v>
          </cell>
          <cell r="I31">
            <v>107.73</v>
          </cell>
          <cell r="J31">
            <v>109.88460000000001</v>
          </cell>
          <cell r="K31">
            <v>109.88460000000001</v>
          </cell>
        </row>
        <row r="32">
          <cell r="C32">
            <v>1001063145708</v>
          </cell>
          <cell r="D32" t="str">
            <v>ПОСОЛЬСКАЯ Папа может с/к в/у</v>
          </cell>
          <cell r="E32">
            <v>1</v>
          </cell>
          <cell r="G32">
            <v>0</v>
          </cell>
          <cell r="H32">
            <v>718.60434449999991</v>
          </cell>
          <cell r="I32">
            <v>718.60434449999991</v>
          </cell>
          <cell r="J32">
            <v>739</v>
          </cell>
          <cell r="K32">
            <v>739</v>
          </cell>
        </row>
        <row r="33">
          <cell r="C33">
            <v>1001012566392</v>
          </cell>
          <cell r="D33" t="str">
            <v>ФИЛЕЙНАЯ Папа может вар п/о 0.4кг</v>
          </cell>
          <cell r="E33">
            <v>0.4</v>
          </cell>
          <cell r="G33">
            <v>0</v>
          </cell>
          <cell r="H33">
            <v>306.71091675000002</v>
          </cell>
          <cell r="I33">
            <v>122.68436670000001</v>
          </cell>
          <cell r="J33">
            <v>124.39665000000001</v>
          </cell>
          <cell r="K33">
            <v>124.39665000000001</v>
          </cell>
        </row>
        <row r="34">
          <cell r="C34">
            <v>1001094966025</v>
          </cell>
          <cell r="D34" t="str">
            <v>ВЕТЧ.ФИРМЕННАЯ С ИНДЕЙКОЙ п/о</v>
          </cell>
          <cell r="E34">
            <v>1</v>
          </cell>
          <cell r="G34">
            <v>0</v>
          </cell>
          <cell r="H34">
            <v>354.71784285000007</v>
          </cell>
          <cell r="I34">
            <v>354.71784285000007</v>
          </cell>
          <cell r="J34">
            <v>361.81219970700005</v>
          </cell>
          <cell r="K34">
            <v>361.81219970700005</v>
          </cell>
        </row>
        <row r="35">
          <cell r="C35">
            <v>1001205376221</v>
          </cell>
          <cell r="D35" t="str">
            <v>НЕАПОЛИТАНСКИЙ ДУЭТ с/к с/н мгс 1/90</v>
          </cell>
          <cell r="E35">
            <v>0.09</v>
          </cell>
          <cell r="F35">
            <v>180</v>
          </cell>
          <cell r="G35">
            <v>16.2</v>
          </cell>
          <cell r="H35">
            <v>1071.6405525</v>
          </cell>
          <cell r="I35">
            <v>96.447649725000005</v>
          </cell>
          <cell r="J35">
            <v>99</v>
          </cell>
          <cell r="K35">
            <v>99</v>
          </cell>
        </row>
        <row r="36">
          <cell r="C36">
            <v>1001022726303</v>
          </cell>
          <cell r="D36" t="str">
            <v>МЯСНЫЕ Папа может сос п/о мгс 1.5*3</v>
          </cell>
          <cell r="E36">
            <v>1</v>
          </cell>
          <cell r="F36">
            <v>250</v>
          </cell>
          <cell r="G36">
            <v>250</v>
          </cell>
          <cell r="H36">
            <v>260.933734625</v>
          </cell>
          <cell r="I36">
            <v>260.933734625</v>
          </cell>
          <cell r="J36">
            <v>266.15240931750003</v>
          </cell>
          <cell r="K36">
            <v>266.15240931750003</v>
          </cell>
        </row>
        <row r="37">
          <cell r="C37">
            <v>1001092436495</v>
          </cell>
          <cell r="D37" t="str">
            <v>ВЕТЧ.МРАМОРНАЯ в/у срез 0.3кг 6шт_45с</v>
          </cell>
          <cell r="E37">
            <v>0.30000000000000004</v>
          </cell>
          <cell r="G37">
            <v>0</v>
          </cell>
          <cell r="H37">
            <v>401.05741549999999</v>
          </cell>
          <cell r="I37">
            <v>120.31722465000001</v>
          </cell>
          <cell r="J37">
            <v>122.72356914300002</v>
          </cell>
          <cell r="K37">
            <v>122.72356914300002</v>
          </cell>
        </row>
        <row r="38">
          <cell r="C38">
            <v>1001012456498</v>
          </cell>
          <cell r="D38" t="str">
            <v>МОЛОЧНАЯ Папа может вар п/о</v>
          </cell>
          <cell r="E38">
            <v>1</v>
          </cell>
          <cell r="G38">
            <v>0</v>
          </cell>
          <cell r="H38">
            <v>273.49059517500001</v>
          </cell>
          <cell r="I38">
            <v>273.49059517500001</v>
          </cell>
          <cell r="J38">
            <v>276.79995000000002</v>
          </cell>
          <cell r="K38">
            <v>276.79995000000002</v>
          </cell>
        </row>
        <row r="39">
          <cell r="C39">
            <v>1001031076527</v>
          </cell>
          <cell r="D39" t="str">
            <v>ШПИКАЧКИ СОЧНЫЕ ПМ сарб/о мгс 1*3_45с</v>
          </cell>
          <cell r="E39">
            <v>1</v>
          </cell>
          <cell r="G39">
            <v>0</v>
          </cell>
          <cell r="H39">
            <v>334.15798237500002</v>
          </cell>
          <cell r="I39">
            <v>334.15798237500002</v>
          </cell>
          <cell r="J39">
            <v>342.7</v>
          </cell>
          <cell r="K39">
            <v>342.7</v>
          </cell>
        </row>
        <row r="40">
          <cell r="C40">
            <v>1001012506353</v>
          </cell>
          <cell r="D40" t="str">
            <v>ЭКСТРА Папа может вар п/о 0.4кг 8шт.</v>
          </cell>
          <cell r="E40">
            <v>0.4</v>
          </cell>
          <cell r="F40">
            <v>160</v>
          </cell>
          <cell r="G40">
            <v>64</v>
          </cell>
          <cell r="H40">
            <v>266.47776168749999</v>
          </cell>
          <cell r="I40">
            <v>106.591104675</v>
          </cell>
          <cell r="J40">
            <v>111</v>
          </cell>
          <cell r="K40">
            <v>111</v>
          </cell>
        </row>
        <row r="41">
          <cell r="C41">
            <v>1001201976454</v>
          </cell>
          <cell r="D41" t="str">
            <v>АРОМАТНАЯ с/к с/н в/у 1/100 10шт.</v>
          </cell>
          <cell r="E41">
            <v>0.1</v>
          </cell>
          <cell r="F41">
            <v>80</v>
          </cell>
          <cell r="G41">
            <v>8</v>
          </cell>
          <cell r="H41">
            <v>947.01748574999988</v>
          </cell>
          <cell r="I41">
            <v>94.701748574999996</v>
          </cell>
          <cell r="J41">
            <v>97</v>
          </cell>
          <cell r="K41">
            <v>97</v>
          </cell>
        </row>
        <row r="42">
          <cell r="C42">
            <v>1001092436470</v>
          </cell>
          <cell r="D42" t="str">
            <v>ВЕТЧ.МРАМОРНАЯ в/у_45с</v>
          </cell>
          <cell r="E42">
            <v>1</v>
          </cell>
          <cell r="F42">
            <v>150</v>
          </cell>
          <cell r="G42">
            <v>150</v>
          </cell>
          <cell r="H42">
            <v>367.08910560000004</v>
          </cell>
          <cell r="I42">
            <v>367.08910560000004</v>
          </cell>
          <cell r="J42">
            <v>374</v>
          </cell>
          <cell r="K42">
            <v>374</v>
          </cell>
        </row>
        <row r="43">
          <cell r="C43">
            <v>1001024976616</v>
          </cell>
          <cell r="D43" t="str">
            <v>Молочные классические 0,35</v>
          </cell>
          <cell r="E43">
            <v>0.35</v>
          </cell>
          <cell r="G43">
            <v>0</v>
          </cell>
          <cell r="H43">
            <v>221.80319928000003</v>
          </cell>
          <cell r="I43">
            <v>77.631119748000003</v>
          </cell>
          <cell r="J43">
            <v>79.18374214296</v>
          </cell>
          <cell r="K43">
            <v>79.18374214296</v>
          </cell>
        </row>
        <row r="44">
          <cell r="C44">
            <v>1001025176475</v>
          </cell>
          <cell r="D44" t="str">
            <v>С СЫРОМ Папа может сос ц/о мгс 0.4кг 6шт</v>
          </cell>
          <cell r="E44">
            <v>0.4</v>
          </cell>
          <cell r="F44">
            <v>80</v>
          </cell>
          <cell r="G44">
            <v>32</v>
          </cell>
          <cell r="H44">
            <v>336.45448249999998</v>
          </cell>
          <cell r="I44">
            <v>134.581793</v>
          </cell>
          <cell r="J44">
            <v>139.38</v>
          </cell>
          <cell r="K44">
            <v>139.38</v>
          </cell>
        </row>
        <row r="45">
          <cell r="C45">
            <v>1001200756557</v>
          </cell>
          <cell r="D45" t="str">
            <v>ОХОТНИЧЬЯ ПМ с/к с/н в/у 1/100 10шт.</v>
          </cell>
          <cell r="E45">
            <v>0.1</v>
          </cell>
          <cell r="F45">
            <v>40</v>
          </cell>
          <cell r="G45">
            <v>4</v>
          </cell>
          <cell r="H45">
            <v>765.35807775000001</v>
          </cell>
          <cell r="I45">
            <v>76.535807775000009</v>
          </cell>
          <cell r="J45">
            <v>79</v>
          </cell>
          <cell r="K45">
            <v>79</v>
          </cell>
        </row>
        <row r="46">
          <cell r="C46">
            <v>1001033856608</v>
          </cell>
          <cell r="D46" t="str">
            <v>С ГОВЯДИНОЙ ОРИГИН. сар б/омгс 1*3_45с</v>
          </cell>
          <cell r="E46">
            <v>1</v>
          </cell>
          <cell r="F46">
            <v>80</v>
          </cell>
          <cell r="G46">
            <v>80</v>
          </cell>
          <cell r="H46">
            <v>314.72278215</v>
          </cell>
          <cell r="I46">
            <v>314.72278215</v>
          </cell>
          <cell r="J46">
            <v>324</v>
          </cell>
          <cell r="K46">
            <v>324</v>
          </cell>
        </row>
        <row r="47">
          <cell r="C47">
            <v>1001020846762</v>
          </cell>
          <cell r="D47" t="str">
            <v>СЛИВОЧНЫЕ ПМ сос п/о мгс 0.41кг 10шт.</v>
          </cell>
          <cell r="E47">
            <v>0.41</v>
          </cell>
          <cell r="G47">
            <v>0</v>
          </cell>
          <cell r="H47">
            <v>428.65853658536588</v>
          </cell>
          <cell r="I47">
            <v>175.75</v>
          </cell>
          <cell r="J47">
            <v>179.26500000000001</v>
          </cell>
          <cell r="K47">
            <v>179.26500000000001</v>
          </cell>
        </row>
        <row r="48">
          <cell r="C48">
            <v>1001025166776</v>
          </cell>
          <cell r="D48" t="str">
            <v>ХОТ-ДОГ Папа может сос п/о мгс 0.35кг</v>
          </cell>
          <cell r="E48">
            <v>0.35</v>
          </cell>
          <cell r="G48">
            <v>0</v>
          </cell>
          <cell r="H48">
            <v>278.68571428571431</v>
          </cell>
          <cell r="I48">
            <v>97.54</v>
          </cell>
          <cell r="J48">
            <v>105</v>
          </cell>
          <cell r="K48">
            <v>105</v>
          </cell>
        </row>
        <row r="49">
          <cell r="C49">
            <v>1001303636793</v>
          </cell>
          <cell r="D49" t="str">
            <v>БАЛЫКОВАЯ в/к в/у 0.33кг 8шт.</v>
          </cell>
          <cell r="E49">
            <v>0.33</v>
          </cell>
          <cell r="G49">
            <v>0</v>
          </cell>
          <cell r="H49">
            <v>552.93939393939388</v>
          </cell>
          <cell r="I49">
            <v>182.47</v>
          </cell>
          <cell r="J49">
            <v>186.11940000000001</v>
          </cell>
          <cell r="K49">
            <v>186.11940000000001</v>
          </cell>
        </row>
        <row r="50">
          <cell r="C50">
            <v>1001303637233</v>
          </cell>
          <cell r="D50" t="str">
            <v>БАЛЫКОВАЯ ПМ п/к в/у 0.31кг 8шт_209к</v>
          </cell>
          <cell r="E50">
            <v>0.31</v>
          </cell>
          <cell r="F50">
            <v>120</v>
          </cell>
          <cell r="G50">
            <v>37.200000000000003</v>
          </cell>
          <cell r="H50">
            <v>503.00472870967747</v>
          </cell>
          <cell r="I50">
            <v>155.93146590000001</v>
          </cell>
          <cell r="J50">
            <v>159.050095218</v>
          </cell>
          <cell r="K50">
            <v>159.050095218</v>
          </cell>
        </row>
        <row r="51">
          <cell r="C51">
            <v>1001301876697</v>
          </cell>
          <cell r="D51" t="str">
            <v>СЕРВЕЛАТ ФИНСКИЙ ПМ в/кв/у 0.35кг 8шт.</v>
          </cell>
          <cell r="E51">
            <v>0.35</v>
          </cell>
          <cell r="F51">
            <v>350</v>
          </cell>
          <cell r="G51">
            <v>122.49999999999999</v>
          </cell>
          <cell r="H51">
            <v>384.34709507142861</v>
          </cell>
          <cell r="I51">
            <v>134.52148327500001</v>
          </cell>
          <cell r="J51">
            <v>135.99</v>
          </cell>
          <cell r="K51">
            <v>135.99</v>
          </cell>
        </row>
        <row r="52">
          <cell r="C52">
            <v>1001022246713</v>
          </cell>
          <cell r="D52" t="str">
            <v>СОЧНЫЙ ГРИЛЬ ПМ сос п/о мгс 0.41кг 8шт.</v>
          </cell>
          <cell r="E52">
            <v>0.41</v>
          </cell>
          <cell r="G52">
            <v>0</v>
          </cell>
          <cell r="H52">
            <v>248.48780487804879</v>
          </cell>
          <cell r="I52">
            <v>101.88</v>
          </cell>
          <cell r="J52">
            <v>109</v>
          </cell>
          <cell r="K52">
            <v>109</v>
          </cell>
        </row>
        <row r="53">
          <cell r="C53">
            <v>1001015646861</v>
          </cell>
          <cell r="D53" t="str">
            <v>ДОМАШНИЙ РЕЦЕПТ Коровино вар п/о</v>
          </cell>
          <cell r="E53">
            <v>1</v>
          </cell>
          <cell r="G53">
            <v>0</v>
          </cell>
          <cell r="H53">
            <v>203.96</v>
          </cell>
          <cell r="I53">
            <v>203.96</v>
          </cell>
          <cell r="J53">
            <v>208.03920000000002</v>
          </cell>
          <cell r="K53">
            <v>208.03920000000002</v>
          </cell>
        </row>
        <row r="54">
          <cell r="C54">
            <v>1001015706862</v>
          </cell>
          <cell r="D54" t="str">
            <v>ДОМАШНИЙ РЕЦЕПТ СО ШПИК.Коровино вар п/о</v>
          </cell>
          <cell r="E54">
            <v>1</v>
          </cell>
          <cell r="G54">
            <v>0</v>
          </cell>
          <cell r="H54">
            <v>202.72</v>
          </cell>
          <cell r="I54">
            <v>202.72</v>
          </cell>
          <cell r="J54">
            <v>206.77440000000001</v>
          </cell>
          <cell r="K54">
            <v>206.77440000000001</v>
          </cell>
        </row>
        <row r="55">
          <cell r="C55">
            <v>1001300366807</v>
          </cell>
          <cell r="D55" t="str">
            <v>СЕРВЕЛАТ ЕВРОПЕЙСКИЙ в/к в/у 0.33кг 8шт.</v>
          </cell>
          <cell r="E55">
            <v>0.33</v>
          </cell>
          <cell r="F55">
            <v>40</v>
          </cell>
          <cell r="G55">
            <v>13.200000000000001</v>
          </cell>
          <cell r="H55">
            <v>513.60606060606062</v>
          </cell>
          <cell r="I55">
            <v>169.49</v>
          </cell>
          <cell r="J55">
            <v>179</v>
          </cell>
          <cell r="K55">
            <v>179</v>
          </cell>
        </row>
        <row r="56">
          <cell r="C56">
            <v>1001024976829</v>
          </cell>
          <cell r="D56" t="str">
            <v>МОЛОЧНЫЕ КЛАССИЧЕСКИЕ сосп/о мгс 2*4_С</v>
          </cell>
          <cell r="E56">
            <v>1</v>
          </cell>
          <cell r="F56">
            <v>1000</v>
          </cell>
          <cell r="G56">
            <v>1000</v>
          </cell>
          <cell r="H56">
            <v>219.6</v>
          </cell>
          <cell r="I56">
            <v>219.6</v>
          </cell>
          <cell r="J56">
            <v>219.6</v>
          </cell>
          <cell r="K56">
            <v>219.6</v>
          </cell>
        </row>
        <row r="57">
          <cell r="C57">
            <v>1001203146834</v>
          </cell>
          <cell r="D57" t="str">
            <v>ПОСОЛЬСКАЯ ПМ с/к с/н в/у 1/100 10шт.</v>
          </cell>
          <cell r="E57">
            <v>0.1</v>
          </cell>
          <cell r="G57">
            <v>0</v>
          </cell>
          <cell r="H57">
            <v>803.4358605000001</v>
          </cell>
          <cell r="I57">
            <v>80.343586050000013</v>
          </cell>
          <cell r="J57">
            <v>84</v>
          </cell>
          <cell r="K57">
            <v>84</v>
          </cell>
        </row>
        <row r="58">
          <cell r="C58">
            <v>1001010016978</v>
          </cell>
          <cell r="D58" t="str">
            <v>ДОКТОРСКАЯ ГОСТ вар б/о мгс</v>
          </cell>
          <cell r="E58">
            <v>1</v>
          </cell>
          <cell r="G58">
            <v>0</v>
          </cell>
          <cell r="H58">
            <v>474.63340312499997</v>
          </cell>
          <cell r="I58">
            <v>474.63340312499997</v>
          </cell>
          <cell r="J58">
            <v>478.24434000000002</v>
          </cell>
          <cell r="K58">
            <v>478.24434000000002</v>
          </cell>
        </row>
        <row r="59">
          <cell r="C59">
            <v>1001035937001</v>
          </cell>
          <cell r="D59" t="str">
            <v>КЛАССИЧЕСКИЕ Папа может сар б/о мгс 1*3</v>
          </cell>
          <cell r="E59">
            <v>1</v>
          </cell>
          <cell r="G59">
            <v>0</v>
          </cell>
          <cell r="H59">
            <v>305.82189960000005</v>
          </cell>
          <cell r="I59">
            <v>305.82189960000005</v>
          </cell>
          <cell r="J59">
            <v>311.93833759200004</v>
          </cell>
          <cell r="K59">
            <v>311.93833759200004</v>
          </cell>
        </row>
        <row r="60">
          <cell r="C60">
            <v>1001025767284</v>
          </cell>
          <cell r="D60" t="str">
            <v>ДЛЯ ДЕТЕЙ сос п/о мгс 0.33кг 8шт.</v>
          </cell>
          <cell r="E60">
            <v>0.33</v>
          </cell>
          <cell r="F60">
            <v>60</v>
          </cell>
          <cell r="G60">
            <v>19.8</v>
          </cell>
          <cell r="H60">
            <v>390.40154363636367</v>
          </cell>
          <cell r="I60">
            <v>128.83250940000002</v>
          </cell>
          <cell r="J60">
            <v>131.40915958800002</v>
          </cell>
          <cell r="K60">
            <v>131.40915958800002</v>
          </cell>
        </row>
        <row r="61">
          <cell r="C61">
            <v>1001063106937</v>
          </cell>
          <cell r="D61" t="str">
            <v>САЛЯМИ Папа может с/к в/у 1/250 8шт.</v>
          </cell>
          <cell r="E61">
            <v>0.25</v>
          </cell>
          <cell r="F61">
            <v>80</v>
          </cell>
          <cell r="G61">
            <v>20</v>
          </cell>
          <cell r="H61">
            <v>809.02702860000022</v>
          </cell>
          <cell r="I61">
            <v>202.25675715000006</v>
          </cell>
          <cell r="J61">
            <v>198.27150000000003</v>
          </cell>
          <cell r="K61">
            <v>198.27150000000003</v>
          </cell>
        </row>
        <row r="62">
          <cell r="C62">
            <v>1001022657075</v>
          </cell>
          <cell r="D62" t="str">
            <v>МОЛОЧ.ПРЕМИУМ ПМ сос п/о мгс 1.5*4_О_50с</v>
          </cell>
          <cell r="E62">
            <v>1</v>
          </cell>
          <cell r="G62">
            <v>0</v>
          </cell>
          <cell r="H62">
            <v>273.30896032499999</v>
          </cell>
          <cell r="I62">
            <v>273.30896032499999</v>
          </cell>
          <cell r="J62">
            <v>278.77513953149997</v>
          </cell>
          <cell r="K62">
            <v>278.77513953149997</v>
          </cell>
        </row>
        <row r="63">
          <cell r="C63">
            <v>1001063656967</v>
          </cell>
          <cell r="D63" t="str">
            <v>БУРГУНДИЯ Папа может с/к в/у 1/250 8шт.</v>
          </cell>
          <cell r="E63">
            <v>0.25</v>
          </cell>
          <cell r="F63">
            <v>80</v>
          </cell>
          <cell r="G63">
            <v>20</v>
          </cell>
          <cell r="H63">
            <v>787.34786340000005</v>
          </cell>
          <cell r="I63">
            <v>196.83696585000001</v>
          </cell>
          <cell r="J63">
            <v>199</v>
          </cell>
          <cell r="K63">
            <v>199</v>
          </cell>
        </row>
        <row r="64">
          <cell r="C64">
            <v>1001084217090</v>
          </cell>
          <cell r="D64" t="str">
            <v>СВИНИНА ПО-ДОМАШНЕМУ к/вмл/к в/у 0.3кг</v>
          </cell>
          <cell r="E64">
            <v>0.30000000000000004</v>
          </cell>
          <cell r="G64">
            <v>0</v>
          </cell>
          <cell r="H64">
            <v>574.00516949999997</v>
          </cell>
          <cell r="I64">
            <v>172.20155085000002</v>
          </cell>
          <cell r="J64">
            <v>176</v>
          </cell>
          <cell r="K64">
            <v>176</v>
          </cell>
        </row>
        <row r="65">
          <cell r="C65">
            <v>1001022377066</v>
          </cell>
          <cell r="D65" t="str">
            <v>СОЧНЫЕ ПМ сос п/о мгс 0.41кг 10шт.</v>
          </cell>
          <cell r="E65">
            <v>0.41</v>
          </cell>
          <cell r="F65">
            <v>100</v>
          </cell>
          <cell r="G65">
            <v>41</v>
          </cell>
          <cell r="H65">
            <v>265.71241353658542</v>
          </cell>
          <cell r="I65">
            <v>108.94208955000001</v>
          </cell>
          <cell r="J65">
            <v>114</v>
          </cell>
          <cell r="K65">
            <v>114</v>
          </cell>
        </row>
        <row r="66">
          <cell r="C66">
            <v>1001010027125</v>
          </cell>
          <cell r="D66" t="str">
            <v>МОЛОЧНАЯ Останкино вар п/о</v>
          </cell>
          <cell r="E66">
            <v>1</v>
          </cell>
          <cell r="G66">
            <v>0</v>
          </cell>
          <cell r="H66">
            <v>400.13</v>
          </cell>
          <cell r="I66">
            <v>400.13</v>
          </cell>
          <cell r="J66">
            <v>408.13260000000002</v>
          </cell>
          <cell r="K66">
            <v>408.13260000000002</v>
          </cell>
        </row>
        <row r="67">
          <cell r="C67">
            <v>1001010027126</v>
          </cell>
          <cell r="D67" t="str">
            <v>МОЛОЧНАЯ Останкино вар п/о 0.4кг 8шт.</v>
          </cell>
          <cell r="E67">
            <v>0.4</v>
          </cell>
          <cell r="G67">
            <v>0</v>
          </cell>
          <cell r="H67">
            <v>366.19999999999993</v>
          </cell>
          <cell r="I67">
            <v>146.47999999999999</v>
          </cell>
          <cell r="J67">
            <v>149.40959999999998</v>
          </cell>
          <cell r="K67">
            <v>149.40959999999998</v>
          </cell>
        </row>
        <row r="68">
          <cell r="C68">
            <v>1001022467082</v>
          </cell>
          <cell r="D68" t="str">
            <v>СЛИВОЧНЫЕ Папа может сос п/о мгс 1.5*4</v>
          </cell>
          <cell r="E68">
            <v>1</v>
          </cell>
          <cell r="G68">
            <v>0</v>
          </cell>
          <cell r="H68">
            <v>259.76979112999999</v>
          </cell>
          <cell r="I68">
            <v>259.76979112999999</v>
          </cell>
          <cell r="J68">
            <v>260.81</v>
          </cell>
          <cell r="K68">
            <v>260.81</v>
          </cell>
        </row>
        <row r="69">
          <cell r="C69">
            <v>1001223297103</v>
          </cell>
          <cell r="D69" t="str">
            <v>БЕКОН Останкино с/к с/н в/у 1/180 10шт.</v>
          </cell>
          <cell r="E69">
            <v>0.18</v>
          </cell>
          <cell r="G69">
            <v>0</v>
          </cell>
          <cell r="H69">
            <v>982.82809625000004</v>
          </cell>
          <cell r="I69">
            <v>176.90905732499999</v>
          </cell>
          <cell r="J69">
            <v>176.90905732499999</v>
          </cell>
          <cell r="K69">
            <v>176.90905732499999</v>
          </cell>
        </row>
        <row r="70">
          <cell r="C70">
            <v>1001304527144</v>
          </cell>
          <cell r="D70" t="str">
            <v xml:space="preserve"> МРАМОРНАЯ ПРЕМИУМ в/к в/у 0,33кг 8 шт  Останкино</v>
          </cell>
          <cell r="E70">
            <v>0.33</v>
          </cell>
          <cell r="G70">
            <v>0</v>
          </cell>
          <cell r="H70">
            <v>610.18181818181824</v>
          </cell>
          <cell r="I70">
            <v>201.36</v>
          </cell>
          <cell r="J70">
            <v>205.38720000000001</v>
          </cell>
          <cell r="K70">
            <v>205.38720000000001</v>
          </cell>
        </row>
        <row r="71">
          <cell r="C71">
            <v>1001304527146</v>
          </cell>
          <cell r="D71" t="str">
            <v>7146 МРАМОРНАЯ ПРЕМИУМ в/к в/у  Останкино</v>
          </cell>
          <cell r="E71">
            <v>1</v>
          </cell>
          <cell r="G71">
            <v>0</v>
          </cell>
          <cell r="H71">
            <v>587.47967040000003</v>
          </cell>
          <cell r="I71">
            <v>587.47967040000003</v>
          </cell>
          <cell r="J71">
            <v>599.22926380800004</v>
          </cell>
          <cell r="K71">
            <v>599.22926380800004</v>
          </cell>
        </row>
        <row r="72">
          <cell r="C72">
            <v>1001303637131</v>
          </cell>
          <cell r="D72" t="str">
            <v>7131 БАЛЫКОВАЯ в/к в/у 0,84кг  Останкино</v>
          </cell>
          <cell r="E72">
            <v>0.84</v>
          </cell>
          <cell r="F72">
            <v>100</v>
          </cell>
          <cell r="G72">
            <v>84</v>
          </cell>
          <cell r="H72">
            <v>631.88095238095241</v>
          </cell>
          <cell r="I72">
            <v>530.78</v>
          </cell>
          <cell r="J72">
            <v>530.78</v>
          </cell>
          <cell r="K72">
            <v>530.78</v>
          </cell>
        </row>
        <row r="73">
          <cell r="C73">
            <v>1001300367133</v>
          </cell>
          <cell r="D73" t="str">
            <v>7133 СЕРВЕЛАТ ЕВРОПЕЙСКИЙ в/к в/у 0,84кг  Останкино</v>
          </cell>
          <cell r="E73">
            <v>0.84</v>
          </cell>
          <cell r="F73">
            <v>70</v>
          </cell>
          <cell r="G73">
            <v>58.8</v>
          </cell>
          <cell r="H73">
            <v>622.08248250000008</v>
          </cell>
          <cell r="I73">
            <v>522.54928530000007</v>
          </cell>
          <cell r="J73">
            <v>518.91</v>
          </cell>
          <cell r="K73">
            <v>518.91</v>
          </cell>
        </row>
        <row r="74">
          <cell r="C74">
            <v>1001303637149</v>
          </cell>
          <cell r="D74" t="str">
            <v>7149 БАЛЫКОВАЯ Коровино п/к в/у 0,84кг_50с  Останкино</v>
          </cell>
          <cell r="E74">
            <v>0.84</v>
          </cell>
          <cell r="G74">
            <v>0</v>
          </cell>
          <cell r="H74">
            <v>468.48092500000001</v>
          </cell>
          <cell r="I74">
            <v>393.523977</v>
          </cell>
          <cell r="J74">
            <v>389.27700000000004</v>
          </cell>
          <cell r="K74">
            <v>389.27700000000004</v>
          </cell>
        </row>
        <row r="75">
          <cell r="C75">
            <v>1001300387154</v>
          </cell>
          <cell r="D75" t="str">
            <v>СЕРВЕЛАТ ЗЕРНИСТЫЙ ПМ в/кв/у 0.35кг</v>
          </cell>
          <cell r="E75">
            <v>0.35</v>
          </cell>
          <cell r="G75">
            <v>0</v>
          </cell>
          <cell r="H75">
            <v>370.38810900000004</v>
          </cell>
          <cell r="I75">
            <v>129.63583815000001</v>
          </cell>
          <cell r="J75">
            <v>136.84999999999997</v>
          </cell>
          <cell r="K75">
            <v>136.84999999999997</v>
          </cell>
        </row>
        <row r="76">
          <cell r="C76">
            <v>1001303987169</v>
          </cell>
          <cell r="D76" t="str">
            <v>СЕРВЕЛАТ ОХОТНИЧИЙ ПМ в/к в/у 0.35кг_50с</v>
          </cell>
          <cell r="E76">
            <v>0.35</v>
          </cell>
          <cell r="G76">
            <v>0</v>
          </cell>
          <cell r="H76">
            <v>391.18211885714288</v>
          </cell>
          <cell r="I76">
            <v>136.91374160000001</v>
          </cell>
          <cell r="J76">
            <v>138.86249999999998</v>
          </cell>
          <cell r="K76">
            <v>138.86249999999998</v>
          </cell>
        </row>
        <row r="77">
          <cell r="C77">
            <v>1001302347177</v>
          </cell>
          <cell r="D77" t="str">
            <v>ЧЕСНОЧНАЯ ПМ п/к в/у 0.35кг 8шт_50с</v>
          </cell>
          <cell r="E77">
            <v>0.35</v>
          </cell>
          <cell r="F77">
            <v>24</v>
          </cell>
          <cell r="G77">
            <v>8.3999999999999986</v>
          </cell>
          <cell r="H77">
            <v>417.51672900000011</v>
          </cell>
          <cell r="I77">
            <v>146.13085515000003</v>
          </cell>
          <cell r="J77">
            <v>146</v>
          </cell>
          <cell r="K77">
            <v>146</v>
          </cell>
        </row>
        <row r="78">
          <cell r="C78">
            <v>1001302277232</v>
          </cell>
          <cell r="D78" t="str">
            <v>БОЯNСКАЯ ПМ п/к в/у 0.28кг 8шт_50с</v>
          </cell>
          <cell r="E78">
            <v>0.28000000000000008</v>
          </cell>
          <cell r="F78">
            <v>80</v>
          </cell>
          <cell r="G78">
            <v>22.400000000000006</v>
          </cell>
          <cell r="H78">
            <v>458.81249999999989</v>
          </cell>
          <cell r="I78">
            <v>135.51620460000001</v>
          </cell>
          <cell r="J78">
            <v>135.51620460000001</v>
          </cell>
          <cell r="K78">
            <v>135.51620460000001</v>
          </cell>
        </row>
        <row r="79">
          <cell r="C79">
            <v>1001304507236</v>
          </cell>
          <cell r="D79" t="str">
            <v>СЕРВЕЛАТ КАРЕЛЬСКИЙ в/к в/у 0.28кг_209к</v>
          </cell>
          <cell r="E79">
            <v>0.28000000000000003</v>
          </cell>
          <cell r="G79">
            <v>0</v>
          </cell>
          <cell r="H79">
            <v>416.85111375000002</v>
          </cell>
          <cell r="I79">
            <v>116.71831185000002</v>
          </cell>
          <cell r="J79">
            <v>116.71831185000002</v>
          </cell>
          <cell r="K79">
            <v>116.71831185000002</v>
          </cell>
        </row>
        <row r="80">
          <cell r="C80">
            <v>1001304497237</v>
          </cell>
          <cell r="D80" t="str">
            <v>СЕРВЕЛАТ ШВАРЦЕР ПМ в/к в/у 0.28кг_209к</v>
          </cell>
          <cell r="E80">
            <v>0.28000000000000008</v>
          </cell>
          <cell r="F80">
            <v>120</v>
          </cell>
          <cell r="G80">
            <v>33.600000000000009</v>
          </cell>
          <cell r="H80">
            <v>417.92857142857127</v>
          </cell>
          <cell r="I80">
            <v>117.02</v>
          </cell>
          <cell r="J80">
            <v>124</v>
          </cell>
          <cell r="K80">
            <v>124</v>
          </cell>
        </row>
        <row r="81">
          <cell r="C81">
            <v>1001305197238</v>
          </cell>
          <cell r="D81" t="str">
            <v>СЕРВЕЛАТ ОРЕХОВЫЙ в/к в/у 0.31кг_209к</v>
          </cell>
          <cell r="E81">
            <v>0.31</v>
          </cell>
          <cell r="F81">
            <v>80</v>
          </cell>
          <cell r="G81">
            <v>24.8</v>
          </cell>
          <cell r="H81">
            <v>414.34487612903223</v>
          </cell>
          <cell r="I81">
            <v>128.44691159999999</v>
          </cell>
          <cell r="J81">
            <v>129.76599999999999</v>
          </cell>
          <cell r="K81">
            <v>129.76599999999999</v>
          </cell>
        </row>
        <row r="82">
          <cell r="C82">
            <v>1001305317240</v>
          </cell>
          <cell r="D82" t="str">
            <v>СЕРВЕЛАТ С АРОМ.ТРАВАМИ в/к в/у 0.31кг</v>
          </cell>
          <cell r="E82">
            <v>0.31</v>
          </cell>
          <cell r="G82">
            <v>0</v>
          </cell>
          <cell r="H82">
            <v>384.53709677419357</v>
          </cell>
          <cell r="I82">
            <v>123.310963125</v>
          </cell>
          <cell r="J82">
            <v>129</v>
          </cell>
          <cell r="K82">
            <v>129</v>
          </cell>
        </row>
        <row r="83">
          <cell r="C83">
            <v>1001303107241</v>
          </cell>
          <cell r="D83" t="str">
            <v>САЛЯМИ Папа может п/к в/у 0.28кг_209к</v>
          </cell>
          <cell r="E83">
            <v>0.28000000000000003</v>
          </cell>
          <cell r="F83">
            <v>300</v>
          </cell>
          <cell r="G83">
            <v>84.000000000000014</v>
          </cell>
          <cell r="H83">
            <v>431.92309124999997</v>
          </cell>
          <cell r="I83">
            <v>120.93846555</v>
          </cell>
          <cell r="J83">
            <v>119.8155</v>
          </cell>
          <cell r="K83">
            <v>119.8155</v>
          </cell>
        </row>
        <row r="84">
          <cell r="C84">
            <v>1001025507255</v>
          </cell>
          <cell r="D84" t="str">
            <v>МЯСНЫЕ С ГОВЯД.ПМ сос п/о мгс 0.4кг_50с</v>
          </cell>
          <cell r="E84">
            <v>0.4</v>
          </cell>
          <cell r="F84">
            <v>120</v>
          </cell>
          <cell r="G84">
            <v>48</v>
          </cell>
          <cell r="H84">
            <v>263.14372087500004</v>
          </cell>
          <cell r="I84">
            <v>105.25748835000002</v>
          </cell>
          <cell r="J84">
            <v>109</v>
          </cell>
          <cell r="K84">
            <v>109</v>
          </cell>
        </row>
        <row r="85">
          <cell r="C85">
            <v>1001022556837</v>
          </cell>
          <cell r="D85" t="str">
            <v>ФИЛЕЙНЫЕ Папа может сос ц/о мгс 0.33кг</v>
          </cell>
          <cell r="E85">
            <v>0.33</v>
          </cell>
          <cell r="F85">
            <v>36</v>
          </cell>
          <cell r="G85">
            <v>11.88</v>
          </cell>
          <cell r="H85">
            <v>399.03529909090918</v>
          </cell>
          <cell r="I85">
            <v>131.68164870000004</v>
          </cell>
          <cell r="J85">
            <v>130.83000000000001</v>
          </cell>
          <cell r="K85">
            <v>130.83000000000001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2"/>
  <sheetViews>
    <sheetView tabSelected="1" workbookViewId="0">
      <selection activeCell="Q62" sqref="Q62"/>
    </sheetView>
  </sheetViews>
  <sheetFormatPr defaultColWidth="8" defaultRowHeight="12.6" customHeight="1" x14ac:dyDescent="0.25"/>
  <cols>
    <col min="1" max="1" width="5.5703125" style="7" customWidth="1"/>
    <col min="2" max="2" width="8.42578125" style="9" customWidth="1"/>
    <col min="3" max="3" width="13.140625" style="10" customWidth="1"/>
    <col min="4" max="4" width="42.7109375" style="7" customWidth="1"/>
    <col min="5" max="5" width="7.5703125" style="11" customWidth="1"/>
    <col min="6" max="6" width="7.140625" style="12" customWidth="1"/>
    <col min="7" max="7" width="7.5703125" style="7" customWidth="1"/>
    <col min="8" max="8" width="12" style="7" customWidth="1"/>
    <col min="9" max="10" width="9.42578125" style="12" customWidth="1"/>
    <col min="11" max="11" width="9.85546875" style="41" customWidth="1"/>
    <col min="12" max="12" width="12.7109375" style="7" customWidth="1"/>
    <col min="13" max="256" width="8" style="7"/>
    <col min="257" max="257" width="5.5703125" style="7" customWidth="1"/>
    <col min="258" max="258" width="8.42578125" style="7" customWidth="1"/>
    <col min="259" max="259" width="14" style="7" customWidth="1"/>
    <col min="260" max="260" width="37.85546875" style="7" customWidth="1"/>
    <col min="261" max="261" width="7.5703125" style="7" customWidth="1"/>
    <col min="262" max="262" width="7.140625" style="7" customWidth="1"/>
    <col min="263" max="263" width="7.5703125" style="7" customWidth="1"/>
    <col min="264" max="264" width="16.140625" style="7" customWidth="1"/>
    <col min="265" max="512" width="8" style="7"/>
    <col min="513" max="513" width="5.5703125" style="7" customWidth="1"/>
    <col min="514" max="514" width="8.42578125" style="7" customWidth="1"/>
    <col min="515" max="515" width="14" style="7" customWidth="1"/>
    <col min="516" max="516" width="37.85546875" style="7" customWidth="1"/>
    <col min="517" max="517" width="7.5703125" style="7" customWidth="1"/>
    <col min="518" max="518" width="7.140625" style="7" customWidth="1"/>
    <col min="519" max="519" width="7.5703125" style="7" customWidth="1"/>
    <col min="520" max="520" width="16.140625" style="7" customWidth="1"/>
    <col min="521" max="768" width="8" style="7"/>
    <col min="769" max="769" width="5.5703125" style="7" customWidth="1"/>
    <col min="770" max="770" width="8.42578125" style="7" customWidth="1"/>
    <col min="771" max="771" width="14" style="7" customWidth="1"/>
    <col min="772" max="772" width="37.85546875" style="7" customWidth="1"/>
    <col min="773" max="773" width="7.5703125" style="7" customWidth="1"/>
    <col min="774" max="774" width="7.140625" style="7" customWidth="1"/>
    <col min="775" max="775" width="7.5703125" style="7" customWidth="1"/>
    <col min="776" max="776" width="16.140625" style="7" customWidth="1"/>
    <col min="777" max="1024" width="8" style="7"/>
    <col min="1025" max="1025" width="5.5703125" style="7" customWidth="1"/>
    <col min="1026" max="1026" width="8.42578125" style="7" customWidth="1"/>
    <col min="1027" max="1027" width="14" style="7" customWidth="1"/>
    <col min="1028" max="1028" width="37.85546875" style="7" customWidth="1"/>
    <col min="1029" max="1029" width="7.5703125" style="7" customWidth="1"/>
    <col min="1030" max="1030" width="7.140625" style="7" customWidth="1"/>
    <col min="1031" max="1031" width="7.5703125" style="7" customWidth="1"/>
    <col min="1032" max="1032" width="16.140625" style="7" customWidth="1"/>
    <col min="1033" max="1280" width="8" style="7"/>
    <col min="1281" max="1281" width="5.5703125" style="7" customWidth="1"/>
    <col min="1282" max="1282" width="8.42578125" style="7" customWidth="1"/>
    <col min="1283" max="1283" width="14" style="7" customWidth="1"/>
    <col min="1284" max="1284" width="37.85546875" style="7" customWidth="1"/>
    <col min="1285" max="1285" width="7.5703125" style="7" customWidth="1"/>
    <col min="1286" max="1286" width="7.140625" style="7" customWidth="1"/>
    <col min="1287" max="1287" width="7.5703125" style="7" customWidth="1"/>
    <col min="1288" max="1288" width="16.140625" style="7" customWidth="1"/>
    <col min="1289" max="1536" width="8" style="7"/>
    <col min="1537" max="1537" width="5.5703125" style="7" customWidth="1"/>
    <col min="1538" max="1538" width="8.42578125" style="7" customWidth="1"/>
    <col min="1539" max="1539" width="14" style="7" customWidth="1"/>
    <col min="1540" max="1540" width="37.85546875" style="7" customWidth="1"/>
    <col min="1541" max="1541" width="7.5703125" style="7" customWidth="1"/>
    <col min="1542" max="1542" width="7.140625" style="7" customWidth="1"/>
    <col min="1543" max="1543" width="7.5703125" style="7" customWidth="1"/>
    <col min="1544" max="1544" width="16.140625" style="7" customWidth="1"/>
    <col min="1545" max="1792" width="8" style="7"/>
    <col min="1793" max="1793" width="5.5703125" style="7" customWidth="1"/>
    <col min="1794" max="1794" width="8.42578125" style="7" customWidth="1"/>
    <col min="1795" max="1795" width="14" style="7" customWidth="1"/>
    <col min="1796" max="1796" width="37.85546875" style="7" customWidth="1"/>
    <col min="1797" max="1797" width="7.5703125" style="7" customWidth="1"/>
    <col min="1798" max="1798" width="7.140625" style="7" customWidth="1"/>
    <col min="1799" max="1799" width="7.5703125" style="7" customWidth="1"/>
    <col min="1800" max="1800" width="16.140625" style="7" customWidth="1"/>
    <col min="1801" max="2048" width="8" style="7"/>
    <col min="2049" max="2049" width="5.5703125" style="7" customWidth="1"/>
    <col min="2050" max="2050" width="8.42578125" style="7" customWidth="1"/>
    <col min="2051" max="2051" width="14" style="7" customWidth="1"/>
    <col min="2052" max="2052" width="37.85546875" style="7" customWidth="1"/>
    <col min="2053" max="2053" width="7.5703125" style="7" customWidth="1"/>
    <col min="2054" max="2054" width="7.140625" style="7" customWidth="1"/>
    <col min="2055" max="2055" width="7.5703125" style="7" customWidth="1"/>
    <col min="2056" max="2056" width="16.140625" style="7" customWidth="1"/>
    <col min="2057" max="2304" width="8" style="7"/>
    <col min="2305" max="2305" width="5.5703125" style="7" customWidth="1"/>
    <col min="2306" max="2306" width="8.42578125" style="7" customWidth="1"/>
    <col min="2307" max="2307" width="14" style="7" customWidth="1"/>
    <col min="2308" max="2308" width="37.85546875" style="7" customWidth="1"/>
    <col min="2309" max="2309" width="7.5703125" style="7" customWidth="1"/>
    <col min="2310" max="2310" width="7.140625" style="7" customWidth="1"/>
    <col min="2311" max="2311" width="7.5703125" style="7" customWidth="1"/>
    <col min="2312" max="2312" width="16.140625" style="7" customWidth="1"/>
    <col min="2313" max="2560" width="8" style="7"/>
    <col min="2561" max="2561" width="5.5703125" style="7" customWidth="1"/>
    <col min="2562" max="2562" width="8.42578125" style="7" customWidth="1"/>
    <col min="2563" max="2563" width="14" style="7" customWidth="1"/>
    <col min="2564" max="2564" width="37.85546875" style="7" customWidth="1"/>
    <col min="2565" max="2565" width="7.5703125" style="7" customWidth="1"/>
    <col min="2566" max="2566" width="7.140625" style="7" customWidth="1"/>
    <col min="2567" max="2567" width="7.5703125" style="7" customWidth="1"/>
    <col min="2568" max="2568" width="16.140625" style="7" customWidth="1"/>
    <col min="2569" max="2816" width="8" style="7"/>
    <col min="2817" max="2817" width="5.5703125" style="7" customWidth="1"/>
    <col min="2818" max="2818" width="8.42578125" style="7" customWidth="1"/>
    <col min="2819" max="2819" width="14" style="7" customWidth="1"/>
    <col min="2820" max="2820" width="37.85546875" style="7" customWidth="1"/>
    <col min="2821" max="2821" width="7.5703125" style="7" customWidth="1"/>
    <col min="2822" max="2822" width="7.140625" style="7" customWidth="1"/>
    <col min="2823" max="2823" width="7.5703125" style="7" customWidth="1"/>
    <col min="2824" max="2824" width="16.140625" style="7" customWidth="1"/>
    <col min="2825" max="3072" width="8" style="7"/>
    <col min="3073" max="3073" width="5.5703125" style="7" customWidth="1"/>
    <col min="3074" max="3074" width="8.42578125" style="7" customWidth="1"/>
    <col min="3075" max="3075" width="14" style="7" customWidth="1"/>
    <col min="3076" max="3076" width="37.85546875" style="7" customWidth="1"/>
    <col min="3077" max="3077" width="7.5703125" style="7" customWidth="1"/>
    <col min="3078" max="3078" width="7.140625" style="7" customWidth="1"/>
    <col min="3079" max="3079" width="7.5703125" style="7" customWidth="1"/>
    <col min="3080" max="3080" width="16.140625" style="7" customWidth="1"/>
    <col min="3081" max="3328" width="8" style="7"/>
    <col min="3329" max="3329" width="5.5703125" style="7" customWidth="1"/>
    <col min="3330" max="3330" width="8.42578125" style="7" customWidth="1"/>
    <col min="3331" max="3331" width="14" style="7" customWidth="1"/>
    <col min="3332" max="3332" width="37.85546875" style="7" customWidth="1"/>
    <col min="3333" max="3333" width="7.5703125" style="7" customWidth="1"/>
    <col min="3334" max="3334" width="7.140625" style="7" customWidth="1"/>
    <col min="3335" max="3335" width="7.5703125" style="7" customWidth="1"/>
    <col min="3336" max="3336" width="16.140625" style="7" customWidth="1"/>
    <col min="3337" max="3584" width="8" style="7"/>
    <col min="3585" max="3585" width="5.5703125" style="7" customWidth="1"/>
    <col min="3586" max="3586" width="8.42578125" style="7" customWidth="1"/>
    <col min="3587" max="3587" width="14" style="7" customWidth="1"/>
    <col min="3588" max="3588" width="37.85546875" style="7" customWidth="1"/>
    <col min="3589" max="3589" width="7.5703125" style="7" customWidth="1"/>
    <col min="3590" max="3590" width="7.140625" style="7" customWidth="1"/>
    <col min="3591" max="3591" width="7.5703125" style="7" customWidth="1"/>
    <col min="3592" max="3592" width="16.140625" style="7" customWidth="1"/>
    <col min="3593" max="3840" width="8" style="7"/>
    <col min="3841" max="3841" width="5.5703125" style="7" customWidth="1"/>
    <col min="3842" max="3842" width="8.42578125" style="7" customWidth="1"/>
    <col min="3843" max="3843" width="14" style="7" customWidth="1"/>
    <col min="3844" max="3844" width="37.85546875" style="7" customWidth="1"/>
    <col min="3845" max="3845" width="7.5703125" style="7" customWidth="1"/>
    <col min="3846" max="3846" width="7.140625" style="7" customWidth="1"/>
    <col min="3847" max="3847" width="7.5703125" style="7" customWidth="1"/>
    <col min="3848" max="3848" width="16.140625" style="7" customWidth="1"/>
    <col min="3849" max="4096" width="8" style="7"/>
    <col min="4097" max="4097" width="5.5703125" style="7" customWidth="1"/>
    <col min="4098" max="4098" width="8.42578125" style="7" customWidth="1"/>
    <col min="4099" max="4099" width="14" style="7" customWidth="1"/>
    <col min="4100" max="4100" width="37.85546875" style="7" customWidth="1"/>
    <col min="4101" max="4101" width="7.5703125" style="7" customWidth="1"/>
    <col min="4102" max="4102" width="7.140625" style="7" customWidth="1"/>
    <col min="4103" max="4103" width="7.5703125" style="7" customWidth="1"/>
    <col min="4104" max="4104" width="16.140625" style="7" customWidth="1"/>
    <col min="4105" max="4352" width="8" style="7"/>
    <col min="4353" max="4353" width="5.5703125" style="7" customWidth="1"/>
    <col min="4354" max="4354" width="8.42578125" style="7" customWidth="1"/>
    <col min="4355" max="4355" width="14" style="7" customWidth="1"/>
    <col min="4356" max="4356" width="37.85546875" style="7" customWidth="1"/>
    <col min="4357" max="4357" width="7.5703125" style="7" customWidth="1"/>
    <col min="4358" max="4358" width="7.140625" style="7" customWidth="1"/>
    <col min="4359" max="4359" width="7.5703125" style="7" customWidth="1"/>
    <col min="4360" max="4360" width="16.140625" style="7" customWidth="1"/>
    <col min="4361" max="4608" width="8" style="7"/>
    <col min="4609" max="4609" width="5.5703125" style="7" customWidth="1"/>
    <col min="4610" max="4610" width="8.42578125" style="7" customWidth="1"/>
    <col min="4611" max="4611" width="14" style="7" customWidth="1"/>
    <col min="4612" max="4612" width="37.85546875" style="7" customWidth="1"/>
    <col min="4613" max="4613" width="7.5703125" style="7" customWidth="1"/>
    <col min="4614" max="4614" width="7.140625" style="7" customWidth="1"/>
    <col min="4615" max="4615" width="7.5703125" style="7" customWidth="1"/>
    <col min="4616" max="4616" width="16.140625" style="7" customWidth="1"/>
    <col min="4617" max="4864" width="8" style="7"/>
    <col min="4865" max="4865" width="5.5703125" style="7" customWidth="1"/>
    <col min="4866" max="4866" width="8.42578125" style="7" customWidth="1"/>
    <col min="4867" max="4867" width="14" style="7" customWidth="1"/>
    <col min="4868" max="4868" width="37.85546875" style="7" customWidth="1"/>
    <col min="4869" max="4869" width="7.5703125" style="7" customWidth="1"/>
    <col min="4870" max="4870" width="7.140625" style="7" customWidth="1"/>
    <col min="4871" max="4871" width="7.5703125" style="7" customWidth="1"/>
    <col min="4872" max="4872" width="16.140625" style="7" customWidth="1"/>
    <col min="4873" max="5120" width="8" style="7"/>
    <col min="5121" max="5121" width="5.5703125" style="7" customWidth="1"/>
    <col min="5122" max="5122" width="8.42578125" style="7" customWidth="1"/>
    <col min="5123" max="5123" width="14" style="7" customWidth="1"/>
    <col min="5124" max="5124" width="37.85546875" style="7" customWidth="1"/>
    <col min="5125" max="5125" width="7.5703125" style="7" customWidth="1"/>
    <col min="5126" max="5126" width="7.140625" style="7" customWidth="1"/>
    <col min="5127" max="5127" width="7.5703125" style="7" customWidth="1"/>
    <col min="5128" max="5128" width="16.140625" style="7" customWidth="1"/>
    <col min="5129" max="5376" width="8" style="7"/>
    <col min="5377" max="5377" width="5.5703125" style="7" customWidth="1"/>
    <col min="5378" max="5378" width="8.42578125" style="7" customWidth="1"/>
    <col min="5379" max="5379" width="14" style="7" customWidth="1"/>
    <col min="5380" max="5380" width="37.85546875" style="7" customWidth="1"/>
    <col min="5381" max="5381" width="7.5703125" style="7" customWidth="1"/>
    <col min="5382" max="5382" width="7.140625" style="7" customWidth="1"/>
    <col min="5383" max="5383" width="7.5703125" style="7" customWidth="1"/>
    <col min="5384" max="5384" width="16.140625" style="7" customWidth="1"/>
    <col min="5385" max="5632" width="8" style="7"/>
    <col min="5633" max="5633" width="5.5703125" style="7" customWidth="1"/>
    <col min="5634" max="5634" width="8.42578125" style="7" customWidth="1"/>
    <col min="5635" max="5635" width="14" style="7" customWidth="1"/>
    <col min="5636" max="5636" width="37.85546875" style="7" customWidth="1"/>
    <col min="5637" max="5637" width="7.5703125" style="7" customWidth="1"/>
    <col min="5638" max="5638" width="7.140625" style="7" customWidth="1"/>
    <col min="5639" max="5639" width="7.5703125" style="7" customWidth="1"/>
    <col min="5640" max="5640" width="16.140625" style="7" customWidth="1"/>
    <col min="5641" max="5888" width="8" style="7"/>
    <col min="5889" max="5889" width="5.5703125" style="7" customWidth="1"/>
    <col min="5890" max="5890" width="8.42578125" style="7" customWidth="1"/>
    <col min="5891" max="5891" width="14" style="7" customWidth="1"/>
    <col min="5892" max="5892" width="37.85546875" style="7" customWidth="1"/>
    <col min="5893" max="5893" width="7.5703125" style="7" customWidth="1"/>
    <col min="5894" max="5894" width="7.140625" style="7" customWidth="1"/>
    <col min="5895" max="5895" width="7.5703125" style="7" customWidth="1"/>
    <col min="5896" max="5896" width="16.140625" style="7" customWidth="1"/>
    <col min="5897" max="6144" width="8" style="7"/>
    <col min="6145" max="6145" width="5.5703125" style="7" customWidth="1"/>
    <col min="6146" max="6146" width="8.42578125" style="7" customWidth="1"/>
    <col min="6147" max="6147" width="14" style="7" customWidth="1"/>
    <col min="6148" max="6148" width="37.85546875" style="7" customWidth="1"/>
    <col min="6149" max="6149" width="7.5703125" style="7" customWidth="1"/>
    <col min="6150" max="6150" width="7.140625" style="7" customWidth="1"/>
    <col min="6151" max="6151" width="7.5703125" style="7" customWidth="1"/>
    <col min="6152" max="6152" width="16.140625" style="7" customWidth="1"/>
    <col min="6153" max="6400" width="8" style="7"/>
    <col min="6401" max="6401" width="5.5703125" style="7" customWidth="1"/>
    <col min="6402" max="6402" width="8.42578125" style="7" customWidth="1"/>
    <col min="6403" max="6403" width="14" style="7" customWidth="1"/>
    <col min="6404" max="6404" width="37.85546875" style="7" customWidth="1"/>
    <col min="6405" max="6405" width="7.5703125" style="7" customWidth="1"/>
    <col min="6406" max="6406" width="7.140625" style="7" customWidth="1"/>
    <col min="6407" max="6407" width="7.5703125" style="7" customWidth="1"/>
    <col min="6408" max="6408" width="16.140625" style="7" customWidth="1"/>
    <col min="6409" max="6656" width="8" style="7"/>
    <col min="6657" max="6657" width="5.5703125" style="7" customWidth="1"/>
    <col min="6658" max="6658" width="8.42578125" style="7" customWidth="1"/>
    <col min="6659" max="6659" width="14" style="7" customWidth="1"/>
    <col min="6660" max="6660" width="37.85546875" style="7" customWidth="1"/>
    <col min="6661" max="6661" width="7.5703125" style="7" customWidth="1"/>
    <col min="6662" max="6662" width="7.140625" style="7" customWidth="1"/>
    <col min="6663" max="6663" width="7.5703125" style="7" customWidth="1"/>
    <col min="6664" max="6664" width="16.140625" style="7" customWidth="1"/>
    <col min="6665" max="6912" width="8" style="7"/>
    <col min="6913" max="6913" width="5.5703125" style="7" customWidth="1"/>
    <col min="6914" max="6914" width="8.42578125" style="7" customWidth="1"/>
    <col min="6915" max="6915" width="14" style="7" customWidth="1"/>
    <col min="6916" max="6916" width="37.85546875" style="7" customWidth="1"/>
    <col min="6917" max="6917" width="7.5703125" style="7" customWidth="1"/>
    <col min="6918" max="6918" width="7.140625" style="7" customWidth="1"/>
    <col min="6919" max="6919" width="7.5703125" style="7" customWidth="1"/>
    <col min="6920" max="6920" width="16.140625" style="7" customWidth="1"/>
    <col min="6921" max="7168" width="8" style="7"/>
    <col min="7169" max="7169" width="5.5703125" style="7" customWidth="1"/>
    <col min="7170" max="7170" width="8.42578125" style="7" customWidth="1"/>
    <col min="7171" max="7171" width="14" style="7" customWidth="1"/>
    <col min="7172" max="7172" width="37.85546875" style="7" customWidth="1"/>
    <col min="7173" max="7173" width="7.5703125" style="7" customWidth="1"/>
    <col min="7174" max="7174" width="7.140625" style="7" customWidth="1"/>
    <col min="7175" max="7175" width="7.5703125" style="7" customWidth="1"/>
    <col min="7176" max="7176" width="16.140625" style="7" customWidth="1"/>
    <col min="7177" max="7424" width="8" style="7"/>
    <col min="7425" max="7425" width="5.5703125" style="7" customWidth="1"/>
    <col min="7426" max="7426" width="8.42578125" style="7" customWidth="1"/>
    <col min="7427" max="7427" width="14" style="7" customWidth="1"/>
    <col min="7428" max="7428" width="37.85546875" style="7" customWidth="1"/>
    <col min="7429" max="7429" width="7.5703125" style="7" customWidth="1"/>
    <col min="7430" max="7430" width="7.140625" style="7" customWidth="1"/>
    <col min="7431" max="7431" width="7.5703125" style="7" customWidth="1"/>
    <col min="7432" max="7432" width="16.140625" style="7" customWidth="1"/>
    <col min="7433" max="7680" width="8" style="7"/>
    <col min="7681" max="7681" width="5.5703125" style="7" customWidth="1"/>
    <col min="7682" max="7682" width="8.42578125" style="7" customWidth="1"/>
    <col min="7683" max="7683" width="14" style="7" customWidth="1"/>
    <col min="7684" max="7684" width="37.85546875" style="7" customWidth="1"/>
    <col min="7685" max="7685" width="7.5703125" style="7" customWidth="1"/>
    <col min="7686" max="7686" width="7.140625" style="7" customWidth="1"/>
    <col min="7687" max="7687" width="7.5703125" style="7" customWidth="1"/>
    <col min="7688" max="7688" width="16.140625" style="7" customWidth="1"/>
    <col min="7689" max="7936" width="8" style="7"/>
    <col min="7937" max="7937" width="5.5703125" style="7" customWidth="1"/>
    <col min="7938" max="7938" width="8.42578125" style="7" customWidth="1"/>
    <col min="7939" max="7939" width="14" style="7" customWidth="1"/>
    <col min="7940" max="7940" width="37.85546875" style="7" customWidth="1"/>
    <col min="7941" max="7941" width="7.5703125" style="7" customWidth="1"/>
    <col min="7942" max="7942" width="7.140625" style="7" customWidth="1"/>
    <col min="7943" max="7943" width="7.5703125" style="7" customWidth="1"/>
    <col min="7944" max="7944" width="16.140625" style="7" customWidth="1"/>
    <col min="7945" max="8192" width="8" style="7"/>
    <col min="8193" max="8193" width="5.5703125" style="7" customWidth="1"/>
    <col min="8194" max="8194" width="8.42578125" style="7" customWidth="1"/>
    <col min="8195" max="8195" width="14" style="7" customWidth="1"/>
    <col min="8196" max="8196" width="37.85546875" style="7" customWidth="1"/>
    <col min="8197" max="8197" width="7.5703125" style="7" customWidth="1"/>
    <col min="8198" max="8198" width="7.140625" style="7" customWidth="1"/>
    <col min="8199" max="8199" width="7.5703125" style="7" customWidth="1"/>
    <col min="8200" max="8200" width="16.140625" style="7" customWidth="1"/>
    <col min="8201" max="8448" width="8" style="7"/>
    <col min="8449" max="8449" width="5.5703125" style="7" customWidth="1"/>
    <col min="8450" max="8450" width="8.42578125" style="7" customWidth="1"/>
    <col min="8451" max="8451" width="14" style="7" customWidth="1"/>
    <col min="8452" max="8452" width="37.85546875" style="7" customWidth="1"/>
    <col min="8453" max="8453" width="7.5703125" style="7" customWidth="1"/>
    <col min="8454" max="8454" width="7.140625" style="7" customWidth="1"/>
    <col min="8455" max="8455" width="7.5703125" style="7" customWidth="1"/>
    <col min="8456" max="8456" width="16.140625" style="7" customWidth="1"/>
    <col min="8457" max="8704" width="8" style="7"/>
    <col min="8705" max="8705" width="5.5703125" style="7" customWidth="1"/>
    <col min="8706" max="8706" width="8.42578125" style="7" customWidth="1"/>
    <col min="8707" max="8707" width="14" style="7" customWidth="1"/>
    <col min="8708" max="8708" width="37.85546875" style="7" customWidth="1"/>
    <col min="8709" max="8709" width="7.5703125" style="7" customWidth="1"/>
    <col min="8710" max="8710" width="7.140625" style="7" customWidth="1"/>
    <col min="8711" max="8711" width="7.5703125" style="7" customWidth="1"/>
    <col min="8712" max="8712" width="16.140625" style="7" customWidth="1"/>
    <col min="8713" max="8960" width="8" style="7"/>
    <col min="8961" max="8961" width="5.5703125" style="7" customWidth="1"/>
    <col min="8962" max="8962" width="8.42578125" style="7" customWidth="1"/>
    <col min="8963" max="8963" width="14" style="7" customWidth="1"/>
    <col min="8964" max="8964" width="37.85546875" style="7" customWidth="1"/>
    <col min="8965" max="8965" width="7.5703125" style="7" customWidth="1"/>
    <col min="8966" max="8966" width="7.140625" style="7" customWidth="1"/>
    <col min="8967" max="8967" width="7.5703125" style="7" customWidth="1"/>
    <col min="8968" max="8968" width="16.140625" style="7" customWidth="1"/>
    <col min="8969" max="9216" width="8" style="7"/>
    <col min="9217" max="9217" width="5.5703125" style="7" customWidth="1"/>
    <col min="9218" max="9218" width="8.42578125" style="7" customWidth="1"/>
    <col min="9219" max="9219" width="14" style="7" customWidth="1"/>
    <col min="9220" max="9220" width="37.85546875" style="7" customWidth="1"/>
    <col min="9221" max="9221" width="7.5703125" style="7" customWidth="1"/>
    <col min="9222" max="9222" width="7.140625" style="7" customWidth="1"/>
    <col min="9223" max="9223" width="7.5703125" style="7" customWidth="1"/>
    <col min="9224" max="9224" width="16.140625" style="7" customWidth="1"/>
    <col min="9225" max="9472" width="8" style="7"/>
    <col min="9473" max="9473" width="5.5703125" style="7" customWidth="1"/>
    <col min="9474" max="9474" width="8.42578125" style="7" customWidth="1"/>
    <col min="9475" max="9475" width="14" style="7" customWidth="1"/>
    <col min="9476" max="9476" width="37.85546875" style="7" customWidth="1"/>
    <col min="9477" max="9477" width="7.5703125" style="7" customWidth="1"/>
    <col min="9478" max="9478" width="7.140625" style="7" customWidth="1"/>
    <col min="9479" max="9479" width="7.5703125" style="7" customWidth="1"/>
    <col min="9480" max="9480" width="16.140625" style="7" customWidth="1"/>
    <col min="9481" max="9728" width="8" style="7"/>
    <col min="9729" max="9729" width="5.5703125" style="7" customWidth="1"/>
    <col min="9730" max="9730" width="8.42578125" style="7" customWidth="1"/>
    <col min="9731" max="9731" width="14" style="7" customWidth="1"/>
    <col min="9732" max="9732" width="37.85546875" style="7" customWidth="1"/>
    <col min="9733" max="9733" width="7.5703125" style="7" customWidth="1"/>
    <col min="9734" max="9734" width="7.140625" style="7" customWidth="1"/>
    <col min="9735" max="9735" width="7.5703125" style="7" customWidth="1"/>
    <col min="9736" max="9736" width="16.140625" style="7" customWidth="1"/>
    <col min="9737" max="9984" width="8" style="7"/>
    <col min="9985" max="9985" width="5.5703125" style="7" customWidth="1"/>
    <col min="9986" max="9986" width="8.42578125" style="7" customWidth="1"/>
    <col min="9987" max="9987" width="14" style="7" customWidth="1"/>
    <col min="9988" max="9988" width="37.85546875" style="7" customWidth="1"/>
    <col min="9989" max="9989" width="7.5703125" style="7" customWidth="1"/>
    <col min="9990" max="9990" width="7.140625" style="7" customWidth="1"/>
    <col min="9991" max="9991" width="7.5703125" style="7" customWidth="1"/>
    <col min="9992" max="9992" width="16.140625" style="7" customWidth="1"/>
    <col min="9993" max="10240" width="8" style="7"/>
    <col min="10241" max="10241" width="5.5703125" style="7" customWidth="1"/>
    <col min="10242" max="10242" width="8.42578125" style="7" customWidth="1"/>
    <col min="10243" max="10243" width="14" style="7" customWidth="1"/>
    <col min="10244" max="10244" width="37.85546875" style="7" customWidth="1"/>
    <col min="10245" max="10245" width="7.5703125" style="7" customWidth="1"/>
    <col min="10246" max="10246" width="7.140625" style="7" customWidth="1"/>
    <col min="10247" max="10247" width="7.5703125" style="7" customWidth="1"/>
    <col min="10248" max="10248" width="16.140625" style="7" customWidth="1"/>
    <col min="10249" max="10496" width="8" style="7"/>
    <col min="10497" max="10497" width="5.5703125" style="7" customWidth="1"/>
    <col min="10498" max="10498" width="8.42578125" style="7" customWidth="1"/>
    <col min="10499" max="10499" width="14" style="7" customWidth="1"/>
    <col min="10500" max="10500" width="37.85546875" style="7" customWidth="1"/>
    <col min="10501" max="10501" width="7.5703125" style="7" customWidth="1"/>
    <col min="10502" max="10502" width="7.140625" style="7" customWidth="1"/>
    <col min="10503" max="10503" width="7.5703125" style="7" customWidth="1"/>
    <col min="10504" max="10504" width="16.140625" style="7" customWidth="1"/>
    <col min="10505" max="10752" width="8" style="7"/>
    <col min="10753" max="10753" width="5.5703125" style="7" customWidth="1"/>
    <col min="10754" max="10754" width="8.42578125" style="7" customWidth="1"/>
    <col min="10755" max="10755" width="14" style="7" customWidth="1"/>
    <col min="10756" max="10756" width="37.85546875" style="7" customWidth="1"/>
    <col min="10757" max="10757" width="7.5703125" style="7" customWidth="1"/>
    <col min="10758" max="10758" width="7.140625" style="7" customWidth="1"/>
    <col min="10759" max="10759" width="7.5703125" style="7" customWidth="1"/>
    <col min="10760" max="10760" width="16.140625" style="7" customWidth="1"/>
    <col min="10761" max="11008" width="8" style="7"/>
    <col min="11009" max="11009" width="5.5703125" style="7" customWidth="1"/>
    <col min="11010" max="11010" width="8.42578125" style="7" customWidth="1"/>
    <col min="11011" max="11011" width="14" style="7" customWidth="1"/>
    <col min="11012" max="11012" width="37.85546875" style="7" customWidth="1"/>
    <col min="11013" max="11013" width="7.5703125" style="7" customWidth="1"/>
    <col min="11014" max="11014" width="7.140625" style="7" customWidth="1"/>
    <col min="11015" max="11015" width="7.5703125" style="7" customWidth="1"/>
    <col min="11016" max="11016" width="16.140625" style="7" customWidth="1"/>
    <col min="11017" max="11264" width="8" style="7"/>
    <col min="11265" max="11265" width="5.5703125" style="7" customWidth="1"/>
    <col min="11266" max="11266" width="8.42578125" style="7" customWidth="1"/>
    <col min="11267" max="11267" width="14" style="7" customWidth="1"/>
    <col min="11268" max="11268" width="37.85546875" style="7" customWidth="1"/>
    <col min="11269" max="11269" width="7.5703125" style="7" customWidth="1"/>
    <col min="11270" max="11270" width="7.140625" style="7" customWidth="1"/>
    <col min="11271" max="11271" width="7.5703125" style="7" customWidth="1"/>
    <col min="11272" max="11272" width="16.140625" style="7" customWidth="1"/>
    <col min="11273" max="11520" width="8" style="7"/>
    <col min="11521" max="11521" width="5.5703125" style="7" customWidth="1"/>
    <col min="11522" max="11522" width="8.42578125" style="7" customWidth="1"/>
    <col min="11523" max="11523" width="14" style="7" customWidth="1"/>
    <col min="11524" max="11524" width="37.85546875" style="7" customWidth="1"/>
    <col min="11525" max="11525" width="7.5703125" style="7" customWidth="1"/>
    <col min="11526" max="11526" width="7.140625" style="7" customWidth="1"/>
    <col min="11527" max="11527" width="7.5703125" style="7" customWidth="1"/>
    <col min="11528" max="11528" width="16.140625" style="7" customWidth="1"/>
    <col min="11529" max="11776" width="8" style="7"/>
    <col min="11777" max="11777" width="5.5703125" style="7" customWidth="1"/>
    <col min="11778" max="11778" width="8.42578125" style="7" customWidth="1"/>
    <col min="11779" max="11779" width="14" style="7" customWidth="1"/>
    <col min="11780" max="11780" width="37.85546875" style="7" customWidth="1"/>
    <col min="11781" max="11781" width="7.5703125" style="7" customWidth="1"/>
    <col min="11782" max="11782" width="7.140625" style="7" customWidth="1"/>
    <col min="11783" max="11783" width="7.5703125" style="7" customWidth="1"/>
    <col min="11784" max="11784" width="16.140625" style="7" customWidth="1"/>
    <col min="11785" max="12032" width="8" style="7"/>
    <col min="12033" max="12033" width="5.5703125" style="7" customWidth="1"/>
    <col min="12034" max="12034" width="8.42578125" style="7" customWidth="1"/>
    <col min="12035" max="12035" width="14" style="7" customWidth="1"/>
    <col min="12036" max="12036" width="37.85546875" style="7" customWidth="1"/>
    <col min="12037" max="12037" width="7.5703125" style="7" customWidth="1"/>
    <col min="12038" max="12038" width="7.140625" style="7" customWidth="1"/>
    <col min="12039" max="12039" width="7.5703125" style="7" customWidth="1"/>
    <col min="12040" max="12040" width="16.140625" style="7" customWidth="1"/>
    <col min="12041" max="12288" width="8" style="7"/>
    <col min="12289" max="12289" width="5.5703125" style="7" customWidth="1"/>
    <col min="12290" max="12290" width="8.42578125" style="7" customWidth="1"/>
    <col min="12291" max="12291" width="14" style="7" customWidth="1"/>
    <col min="12292" max="12292" width="37.85546875" style="7" customWidth="1"/>
    <col min="12293" max="12293" width="7.5703125" style="7" customWidth="1"/>
    <col min="12294" max="12294" width="7.140625" style="7" customWidth="1"/>
    <col min="12295" max="12295" width="7.5703125" style="7" customWidth="1"/>
    <col min="12296" max="12296" width="16.140625" style="7" customWidth="1"/>
    <col min="12297" max="12544" width="8" style="7"/>
    <col min="12545" max="12545" width="5.5703125" style="7" customWidth="1"/>
    <col min="12546" max="12546" width="8.42578125" style="7" customWidth="1"/>
    <col min="12547" max="12547" width="14" style="7" customWidth="1"/>
    <col min="12548" max="12548" width="37.85546875" style="7" customWidth="1"/>
    <col min="12549" max="12549" width="7.5703125" style="7" customWidth="1"/>
    <col min="12550" max="12550" width="7.140625" style="7" customWidth="1"/>
    <col min="12551" max="12551" width="7.5703125" style="7" customWidth="1"/>
    <col min="12552" max="12552" width="16.140625" style="7" customWidth="1"/>
    <col min="12553" max="12800" width="8" style="7"/>
    <col min="12801" max="12801" width="5.5703125" style="7" customWidth="1"/>
    <col min="12802" max="12802" width="8.42578125" style="7" customWidth="1"/>
    <col min="12803" max="12803" width="14" style="7" customWidth="1"/>
    <col min="12804" max="12804" width="37.85546875" style="7" customWidth="1"/>
    <col min="12805" max="12805" width="7.5703125" style="7" customWidth="1"/>
    <col min="12806" max="12806" width="7.140625" style="7" customWidth="1"/>
    <col min="12807" max="12807" width="7.5703125" style="7" customWidth="1"/>
    <col min="12808" max="12808" width="16.140625" style="7" customWidth="1"/>
    <col min="12809" max="13056" width="8" style="7"/>
    <col min="13057" max="13057" width="5.5703125" style="7" customWidth="1"/>
    <col min="13058" max="13058" width="8.42578125" style="7" customWidth="1"/>
    <col min="13059" max="13059" width="14" style="7" customWidth="1"/>
    <col min="13060" max="13060" width="37.85546875" style="7" customWidth="1"/>
    <col min="13061" max="13061" width="7.5703125" style="7" customWidth="1"/>
    <col min="13062" max="13062" width="7.140625" style="7" customWidth="1"/>
    <col min="13063" max="13063" width="7.5703125" style="7" customWidth="1"/>
    <col min="13064" max="13064" width="16.140625" style="7" customWidth="1"/>
    <col min="13065" max="13312" width="8" style="7"/>
    <col min="13313" max="13313" width="5.5703125" style="7" customWidth="1"/>
    <col min="13314" max="13314" width="8.42578125" style="7" customWidth="1"/>
    <col min="13315" max="13315" width="14" style="7" customWidth="1"/>
    <col min="13316" max="13316" width="37.85546875" style="7" customWidth="1"/>
    <col min="13317" max="13317" width="7.5703125" style="7" customWidth="1"/>
    <col min="13318" max="13318" width="7.140625" style="7" customWidth="1"/>
    <col min="13319" max="13319" width="7.5703125" style="7" customWidth="1"/>
    <col min="13320" max="13320" width="16.140625" style="7" customWidth="1"/>
    <col min="13321" max="13568" width="8" style="7"/>
    <col min="13569" max="13569" width="5.5703125" style="7" customWidth="1"/>
    <col min="13570" max="13570" width="8.42578125" style="7" customWidth="1"/>
    <col min="13571" max="13571" width="14" style="7" customWidth="1"/>
    <col min="13572" max="13572" width="37.85546875" style="7" customWidth="1"/>
    <col min="13573" max="13573" width="7.5703125" style="7" customWidth="1"/>
    <col min="13574" max="13574" width="7.140625" style="7" customWidth="1"/>
    <col min="13575" max="13575" width="7.5703125" style="7" customWidth="1"/>
    <col min="13576" max="13576" width="16.140625" style="7" customWidth="1"/>
    <col min="13577" max="13824" width="8" style="7"/>
    <col min="13825" max="13825" width="5.5703125" style="7" customWidth="1"/>
    <col min="13826" max="13826" width="8.42578125" style="7" customWidth="1"/>
    <col min="13827" max="13827" width="14" style="7" customWidth="1"/>
    <col min="13828" max="13828" width="37.85546875" style="7" customWidth="1"/>
    <col min="13829" max="13829" width="7.5703125" style="7" customWidth="1"/>
    <col min="13830" max="13830" width="7.140625" style="7" customWidth="1"/>
    <col min="13831" max="13831" width="7.5703125" style="7" customWidth="1"/>
    <col min="13832" max="13832" width="16.140625" style="7" customWidth="1"/>
    <col min="13833" max="14080" width="8" style="7"/>
    <col min="14081" max="14081" width="5.5703125" style="7" customWidth="1"/>
    <col min="14082" max="14082" width="8.42578125" style="7" customWidth="1"/>
    <col min="14083" max="14083" width="14" style="7" customWidth="1"/>
    <col min="14084" max="14084" width="37.85546875" style="7" customWidth="1"/>
    <col min="14085" max="14085" width="7.5703125" style="7" customWidth="1"/>
    <col min="14086" max="14086" width="7.140625" style="7" customWidth="1"/>
    <col min="14087" max="14087" width="7.5703125" style="7" customWidth="1"/>
    <col min="14088" max="14088" width="16.140625" style="7" customWidth="1"/>
    <col min="14089" max="14336" width="8" style="7"/>
    <col min="14337" max="14337" width="5.5703125" style="7" customWidth="1"/>
    <col min="14338" max="14338" width="8.42578125" style="7" customWidth="1"/>
    <col min="14339" max="14339" width="14" style="7" customWidth="1"/>
    <col min="14340" max="14340" width="37.85546875" style="7" customWidth="1"/>
    <col min="14341" max="14341" width="7.5703125" style="7" customWidth="1"/>
    <col min="14342" max="14342" width="7.140625" style="7" customWidth="1"/>
    <col min="14343" max="14343" width="7.5703125" style="7" customWidth="1"/>
    <col min="14344" max="14344" width="16.140625" style="7" customWidth="1"/>
    <col min="14345" max="14592" width="8" style="7"/>
    <col min="14593" max="14593" width="5.5703125" style="7" customWidth="1"/>
    <col min="14594" max="14594" width="8.42578125" style="7" customWidth="1"/>
    <col min="14595" max="14595" width="14" style="7" customWidth="1"/>
    <col min="14596" max="14596" width="37.85546875" style="7" customWidth="1"/>
    <col min="14597" max="14597" width="7.5703125" style="7" customWidth="1"/>
    <col min="14598" max="14598" width="7.140625" style="7" customWidth="1"/>
    <col min="14599" max="14599" width="7.5703125" style="7" customWidth="1"/>
    <col min="14600" max="14600" width="16.140625" style="7" customWidth="1"/>
    <col min="14601" max="14848" width="8" style="7"/>
    <col min="14849" max="14849" width="5.5703125" style="7" customWidth="1"/>
    <col min="14850" max="14850" width="8.42578125" style="7" customWidth="1"/>
    <col min="14851" max="14851" width="14" style="7" customWidth="1"/>
    <col min="14852" max="14852" width="37.85546875" style="7" customWidth="1"/>
    <col min="14853" max="14853" width="7.5703125" style="7" customWidth="1"/>
    <col min="14854" max="14854" width="7.140625" style="7" customWidth="1"/>
    <col min="14855" max="14855" width="7.5703125" style="7" customWidth="1"/>
    <col min="14856" max="14856" width="16.140625" style="7" customWidth="1"/>
    <col min="14857" max="15104" width="8" style="7"/>
    <col min="15105" max="15105" width="5.5703125" style="7" customWidth="1"/>
    <col min="15106" max="15106" width="8.42578125" style="7" customWidth="1"/>
    <col min="15107" max="15107" width="14" style="7" customWidth="1"/>
    <col min="15108" max="15108" width="37.85546875" style="7" customWidth="1"/>
    <col min="15109" max="15109" width="7.5703125" style="7" customWidth="1"/>
    <col min="15110" max="15110" width="7.140625" style="7" customWidth="1"/>
    <col min="15111" max="15111" width="7.5703125" style="7" customWidth="1"/>
    <col min="15112" max="15112" width="16.140625" style="7" customWidth="1"/>
    <col min="15113" max="15360" width="8" style="7"/>
    <col min="15361" max="15361" width="5.5703125" style="7" customWidth="1"/>
    <col min="15362" max="15362" width="8.42578125" style="7" customWidth="1"/>
    <col min="15363" max="15363" width="14" style="7" customWidth="1"/>
    <col min="15364" max="15364" width="37.85546875" style="7" customWidth="1"/>
    <col min="15365" max="15365" width="7.5703125" style="7" customWidth="1"/>
    <col min="15366" max="15366" width="7.140625" style="7" customWidth="1"/>
    <col min="15367" max="15367" width="7.5703125" style="7" customWidth="1"/>
    <col min="15368" max="15368" width="16.140625" style="7" customWidth="1"/>
    <col min="15369" max="15616" width="8" style="7"/>
    <col min="15617" max="15617" width="5.5703125" style="7" customWidth="1"/>
    <col min="15618" max="15618" width="8.42578125" style="7" customWidth="1"/>
    <col min="15619" max="15619" width="14" style="7" customWidth="1"/>
    <col min="15620" max="15620" width="37.85546875" style="7" customWidth="1"/>
    <col min="15621" max="15621" width="7.5703125" style="7" customWidth="1"/>
    <col min="15622" max="15622" width="7.140625" style="7" customWidth="1"/>
    <col min="15623" max="15623" width="7.5703125" style="7" customWidth="1"/>
    <col min="15624" max="15624" width="16.140625" style="7" customWidth="1"/>
    <col min="15625" max="15872" width="8" style="7"/>
    <col min="15873" max="15873" width="5.5703125" style="7" customWidth="1"/>
    <col min="15874" max="15874" width="8.42578125" style="7" customWidth="1"/>
    <col min="15875" max="15875" width="14" style="7" customWidth="1"/>
    <col min="15876" max="15876" width="37.85546875" style="7" customWidth="1"/>
    <col min="15877" max="15877" width="7.5703125" style="7" customWidth="1"/>
    <col min="15878" max="15878" width="7.140625" style="7" customWidth="1"/>
    <col min="15879" max="15879" width="7.5703125" style="7" customWidth="1"/>
    <col min="15880" max="15880" width="16.140625" style="7" customWidth="1"/>
    <col min="15881" max="16128" width="8" style="7"/>
    <col min="16129" max="16129" width="5.5703125" style="7" customWidth="1"/>
    <col min="16130" max="16130" width="8.42578125" style="7" customWidth="1"/>
    <col min="16131" max="16131" width="14" style="7" customWidth="1"/>
    <col min="16132" max="16132" width="37.85546875" style="7" customWidth="1"/>
    <col min="16133" max="16133" width="7.5703125" style="7" customWidth="1"/>
    <col min="16134" max="16134" width="7.140625" style="7" customWidth="1"/>
    <col min="16135" max="16135" width="7.5703125" style="7" customWidth="1"/>
    <col min="16136" max="16136" width="16.140625" style="7" customWidth="1"/>
    <col min="16137" max="16384" width="8" style="7"/>
  </cols>
  <sheetData>
    <row r="1" spans="1:12" s="6" customFormat="1" ht="12.6" customHeight="1" thickBot="1" x14ac:dyDescent="0.3">
      <c r="A1" s="1"/>
      <c r="B1" s="2"/>
      <c r="C1" s="3"/>
      <c r="D1" s="4"/>
      <c r="E1" s="5"/>
      <c r="F1" s="5"/>
      <c r="G1" s="1"/>
      <c r="H1" s="1"/>
      <c r="I1" s="11"/>
      <c r="J1" s="11"/>
      <c r="K1" s="37"/>
    </row>
    <row r="2" spans="1:12" ht="12.6" customHeight="1" thickBot="1" x14ac:dyDescent="0.3">
      <c r="A2" s="4"/>
      <c r="B2" s="17" t="s">
        <v>0</v>
      </c>
      <c r="C2" s="18" t="s">
        <v>16</v>
      </c>
      <c r="D2" s="19" t="s">
        <v>17</v>
      </c>
      <c r="E2" s="19" t="s">
        <v>1</v>
      </c>
      <c r="F2" s="20" t="s">
        <v>2</v>
      </c>
      <c r="G2" s="19" t="s">
        <v>3</v>
      </c>
      <c r="H2" s="21" t="s">
        <v>15</v>
      </c>
      <c r="I2" s="34" t="s">
        <v>56</v>
      </c>
      <c r="J2" s="34" t="s">
        <v>57</v>
      </c>
      <c r="K2" s="38" t="s">
        <v>59</v>
      </c>
      <c r="L2" s="35" t="s">
        <v>58</v>
      </c>
    </row>
    <row r="3" spans="1:12" ht="12.6" customHeight="1" x14ac:dyDescent="0.25">
      <c r="B3" s="27">
        <v>4813</v>
      </c>
      <c r="C3" s="28">
        <v>1001012564813</v>
      </c>
      <c r="D3" s="29" t="s">
        <v>7</v>
      </c>
      <c r="E3" s="30">
        <v>1</v>
      </c>
      <c r="F3" s="30">
        <f>G3/E3</f>
        <v>250</v>
      </c>
      <c r="G3" s="31">
        <v>250</v>
      </c>
      <c r="H3" s="32">
        <v>250</v>
      </c>
      <c r="I3" s="33">
        <v>50</v>
      </c>
      <c r="J3" s="33">
        <v>100</v>
      </c>
      <c r="K3" s="39">
        <f t="shared" ref="K3:K13" si="0">I3+J3</f>
        <v>150</v>
      </c>
      <c r="L3" s="33">
        <f t="shared" ref="L3:L13" si="1">K3*E3</f>
        <v>150</v>
      </c>
    </row>
    <row r="4" spans="1:12" ht="12.6" customHeight="1" x14ac:dyDescent="0.25">
      <c r="A4" s="8"/>
      <c r="B4" s="25">
        <v>7166</v>
      </c>
      <c r="C4" s="13">
        <v>1001303987166</v>
      </c>
      <c r="D4" s="14" t="s">
        <v>11</v>
      </c>
      <c r="E4" s="15">
        <v>1</v>
      </c>
      <c r="F4" s="15">
        <f>G4/E4</f>
        <v>336</v>
      </c>
      <c r="G4" s="16">
        <v>336</v>
      </c>
      <c r="H4" s="26">
        <v>336</v>
      </c>
      <c r="I4" s="22">
        <v>40</v>
      </c>
      <c r="J4" s="36">
        <v>130</v>
      </c>
      <c r="K4" s="40">
        <f t="shared" si="0"/>
        <v>170</v>
      </c>
      <c r="L4" s="22">
        <f t="shared" si="1"/>
        <v>170</v>
      </c>
    </row>
    <row r="5" spans="1:12" ht="12.6" customHeight="1" x14ac:dyDescent="0.25">
      <c r="B5" s="25">
        <v>5544</v>
      </c>
      <c r="C5" s="13">
        <v>1001051875544</v>
      </c>
      <c r="D5" s="14" t="s">
        <v>12</v>
      </c>
      <c r="E5" s="15">
        <v>1</v>
      </c>
      <c r="F5" s="15">
        <f t="shared" ref="F5:F41" si="2">G5/E5</f>
        <v>319</v>
      </c>
      <c r="G5" s="16">
        <v>319</v>
      </c>
      <c r="H5" s="26">
        <v>319</v>
      </c>
      <c r="I5" s="22">
        <v>40</v>
      </c>
      <c r="J5" s="36">
        <v>130</v>
      </c>
      <c r="K5" s="40">
        <f t="shared" si="0"/>
        <v>170</v>
      </c>
      <c r="L5" s="22">
        <f t="shared" si="1"/>
        <v>170</v>
      </c>
    </row>
    <row r="6" spans="1:12" ht="12.6" customHeight="1" x14ac:dyDescent="0.25">
      <c r="B6" s="25">
        <v>7232</v>
      </c>
      <c r="C6" s="13">
        <v>1001302277232</v>
      </c>
      <c r="D6" s="14" t="s">
        <v>49</v>
      </c>
      <c r="E6" s="15">
        <v>0.28000000000000008</v>
      </c>
      <c r="F6" s="15">
        <f t="shared" ref="F6:F13" si="3">G6/E6</f>
        <v>483.98644499999989</v>
      </c>
      <c r="G6" s="16">
        <v>135.51620460000001</v>
      </c>
      <c r="H6" s="26">
        <v>135.51620460000001</v>
      </c>
      <c r="I6" s="22">
        <v>72</v>
      </c>
      <c r="J6" s="22">
        <v>240</v>
      </c>
      <c r="K6" s="40">
        <f t="shared" si="0"/>
        <v>312</v>
      </c>
      <c r="L6" s="22">
        <f t="shared" si="1"/>
        <v>87.360000000000028</v>
      </c>
    </row>
    <row r="7" spans="1:12" ht="12.6" customHeight="1" x14ac:dyDescent="0.25">
      <c r="B7" s="25">
        <v>7236</v>
      </c>
      <c r="C7" s="13">
        <v>1001304507236</v>
      </c>
      <c r="D7" s="14" t="s">
        <v>50</v>
      </c>
      <c r="E7" s="15">
        <v>0.28000000000000003</v>
      </c>
      <c r="F7" s="15">
        <f t="shared" si="3"/>
        <v>416.85111375000002</v>
      </c>
      <c r="G7" s="16">
        <v>116.71831185000002</v>
      </c>
      <c r="H7" s="26">
        <v>116.71831185000002</v>
      </c>
      <c r="I7" s="22">
        <v>72</v>
      </c>
      <c r="J7" s="22">
        <v>240</v>
      </c>
      <c r="K7" s="40">
        <f t="shared" si="0"/>
        <v>312</v>
      </c>
      <c r="L7" s="22">
        <f t="shared" si="1"/>
        <v>87.360000000000014</v>
      </c>
    </row>
    <row r="8" spans="1:12" ht="12.6" customHeight="1" x14ac:dyDescent="0.25">
      <c r="A8" s="8"/>
      <c r="B8" s="25">
        <v>7169</v>
      </c>
      <c r="C8" s="13">
        <v>1001303987169</v>
      </c>
      <c r="D8" s="14" t="s">
        <v>13</v>
      </c>
      <c r="E8" s="15">
        <v>0.35</v>
      </c>
      <c r="F8" s="15">
        <f t="shared" si="3"/>
        <v>396.75</v>
      </c>
      <c r="G8" s="16">
        <v>138.86249999999998</v>
      </c>
      <c r="H8" s="26">
        <v>138.86249999999998</v>
      </c>
      <c r="I8" s="22">
        <v>72</v>
      </c>
      <c r="J8" s="22">
        <v>240</v>
      </c>
      <c r="K8" s="40">
        <f t="shared" si="0"/>
        <v>312</v>
      </c>
      <c r="L8" s="22">
        <f t="shared" si="1"/>
        <v>109.19999999999999</v>
      </c>
    </row>
    <row r="9" spans="1:12" ht="12.6" customHeight="1" x14ac:dyDescent="0.25">
      <c r="B9" s="25">
        <v>7241</v>
      </c>
      <c r="C9" s="13">
        <v>1001303107241</v>
      </c>
      <c r="D9" s="14" t="s">
        <v>51</v>
      </c>
      <c r="E9" s="15">
        <v>0.28000000000000003</v>
      </c>
      <c r="F9" s="15">
        <f t="shared" si="3"/>
        <v>427.91249999999997</v>
      </c>
      <c r="G9" s="16">
        <v>119.8155</v>
      </c>
      <c r="H9" s="26">
        <v>119.8155</v>
      </c>
      <c r="I9" s="22">
        <v>72</v>
      </c>
      <c r="J9" s="22">
        <v>240</v>
      </c>
      <c r="K9" s="40">
        <f t="shared" si="0"/>
        <v>312</v>
      </c>
      <c r="L9" s="22">
        <f t="shared" si="1"/>
        <v>87.360000000000014</v>
      </c>
    </row>
    <row r="10" spans="1:12" ht="12.6" customHeight="1" x14ac:dyDescent="0.25">
      <c r="B10" s="25">
        <v>7154</v>
      </c>
      <c r="C10" s="13">
        <v>1001300387154</v>
      </c>
      <c r="D10" s="14" t="s">
        <v>48</v>
      </c>
      <c r="E10" s="15">
        <v>0.35</v>
      </c>
      <c r="F10" s="15">
        <f t="shared" si="3"/>
        <v>390.99999999999994</v>
      </c>
      <c r="G10" s="16">
        <v>136.84999999999997</v>
      </c>
      <c r="H10" s="26">
        <v>136.84999999999997</v>
      </c>
      <c r="I10" s="22">
        <v>72</v>
      </c>
      <c r="J10" s="22">
        <v>240</v>
      </c>
      <c r="K10" s="40">
        <f t="shared" si="0"/>
        <v>312</v>
      </c>
      <c r="L10" s="22">
        <f t="shared" si="1"/>
        <v>109.19999999999999</v>
      </c>
    </row>
    <row r="11" spans="1:12" ht="12.6" customHeight="1" x14ac:dyDescent="0.25">
      <c r="B11" s="25">
        <v>6697</v>
      </c>
      <c r="C11" s="13">
        <v>1001301876697</v>
      </c>
      <c r="D11" s="14" t="s">
        <v>14</v>
      </c>
      <c r="E11" s="15">
        <v>0.35</v>
      </c>
      <c r="F11" s="15">
        <f t="shared" si="3"/>
        <v>388.5428571428572</v>
      </c>
      <c r="G11" s="16">
        <v>135.99</v>
      </c>
      <c r="H11" s="26">
        <v>135.99</v>
      </c>
      <c r="I11" s="22">
        <v>72</v>
      </c>
      <c r="J11" s="22">
        <v>180</v>
      </c>
      <c r="K11" s="40">
        <f t="shared" si="0"/>
        <v>252</v>
      </c>
      <c r="L11" s="22">
        <f t="shared" si="1"/>
        <v>88.199999999999989</v>
      </c>
    </row>
    <row r="12" spans="1:12" ht="12.6" customHeight="1" x14ac:dyDescent="0.25">
      <c r="B12" s="25">
        <v>6608</v>
      </c>
      <c r="C12" s="13">
        <v>1001033856608</v>
      </c>
      <c r="D12" s="14" t="s">
        <v>35</v>
      </c>
      <c r="E12" s="15">
        <v>1</v>
      </c>
      <c r="F12" s="15">
        <f t="shared" si="3"/>
        <v>324</v>
      </c>
      <c r="G12" s="16">
        <v>324</v>
      </c>
      <c r="H12" s="26">
        <v>324</v>
      </c>
      <c r="I12" s="22"/>
      <c r="J12" s="22">
        <v>20</v>
      </c>
      <c r="K12" s="40">
        <f t="shared" si="0"/>
        <v>20</v>
      </c>
      <c r="L12" s="22">
        <f t="shared" si="1"/>
        <v>20</v>
      </c>
    </row>
    <row r="13" spans="1:12" ht="12.6" customHeight="1" x14ac:dyDescent="0.25">
      <c r="B13" s="25">
        <v>7082</v>
      </c>
      <c r="C13" s="13">
        <v>1001022467082</v>
      </c>
      <c r="D13" s="14" t="s">
        <v>42</v>
      </c>
      <c r="E13" s="15">
        <v>1</v>
      </c>
      <c r="F13" s="15">
        <f t="shared" si="3"/>
        <v>260.81</v>
      </c>
      <c r="G13" s="16">
        <v>260.81</v>
      </c>
      <c r="H13" s="26">
        <v>260.81</v>
      </c>
      <c r="I13" s="22">
        <v>30</v>
      </c>
      <c r="J13" s="36">
        <v>20</v>
      </c>
      <c r="K13" s="40">
        <f t="shared" si="0"/>
        <v>50</v>
      </c>
      <c r="L13" s="22">
        <f t="shared" si="1"/>
        <v>50</v>
      </c>
    </row>
    <row r="14" spans="1:12" ht="12.6" hidden="1" customHeight="1" x14ac:dyDescent="0.25">
      <c r="B14" s="25">
        <v>4063</v>
      </c>
      <c r="C14" s="13">
        <v>1001012484063</v>
      </c>
      <c r="D14" s="14" t="s">
        <v>8</v>
      </c>
      <c r="E14" s="15">
        <v>1</v>
      </c>
      <c r="F14" s="15">
        <f t="shared" si="2"/>
        <v>224</v>
      </c>
      <c r="G14" s="16">
        <v>224</v>
      </c>
      <c r="H14" s="26">
        <v>224</v>
      </c>
      <c r="I14" s="22"/>
      <c r="J14" s="23"/>
      <c r="K14" s="40">
        <f t="shared" ref="K14:K51" si="4">I14+J14</f>
        <v>0</v>
      </c>
      <c r="L14" s="22">
        <f t="shared" ref="L14:L51" si="5">K14*E14</f>
        <v>0</v>
      </c>
    </row>
    <row r="15" spans="1:12" ht="12.6" hidden="1" customHeight="1" x14ac:dyDescent="0.25">
      <c r="B15" s="25">
        <v>7070</v>
      </c>
      <c r="C15" s="13">
        <v>1001022377070</v>
      </c>
      <c r="D15" s="14" t="s">
        <v>4</v>
      </c>
      <c r="E15" s="15">
        <v>1</v>
      </c>
      <c r="F15" s="15">
        <f t="shared" si="2"/>
        <v>248</v>
      </c>
      <c r="G15" s="16">
        <v>248</v>
      </c>
      <c r="H15" s="26">
        <v>248</v>
      </c>
      <c r="I15" s="22"/>
      <c r="J15" s="23"/>
      <c r="K15" s="40">
        <f t="shared" si="4"/>
        <v>0</v>
      </c>
      <c r="L15" s="22">
        <f t="shared" si="5"/>
        <v>0</v>
      </c>
    </row>
    <row r="16" spans="1:12" ht="12.6" hidden="1" customHeight="1" x14ac:dyDescent="0.25">
      <c r="A16" s="8"/>
      <c r="B16" s="25">
        <v>6861</v>
      </c>
      <c r="C16" s="13">
        <v>1001015646861</v>
      </c>
      <c r="D16" s="14" t="s">
        <v>55</v>
      </c>
      <c r="E16" s="15">
        <v>1</v>
      </c>
      <c r="F16" s="15">
        <f t="shared" si="2"/>
        <v>197</v>
      </c>
      <c r="G16" s="16">
        <v>197</v>
      </c>
      <c r="H16" s="26">
        <v>197</v>
      </c>
      <c r="I16" s="22"/>
      <c r="J16" s="23"/>
      <c r="K16" s="40">
        <f t="shared" si="4"/>
        <v>0</v>
      </c>
      <c r="L16" s="22">
        <f t="shared" si="5"/>
        <v>0</v>
      </c>
    </row>
    <row r="17" spans="1:12" ht="12.6" hidden="1" customHeight="1" x14ac:dyDescent="0.25">
      <c r="B17" s="25">
        <v>6829</v>
      </c>
      <c r="C17" s="13">
        <v>1001024976829</v>
      </c>
      <c r="D17" s="14" t="s">
        <v>5</v>
      </c>
      <c r="E17" s="15">
        <v>1</v>
      </c>
      <c r="F17" s="15">
        <f t="shared" si="2"/>
        <v>219.6</v>
      </c>
      <c r="G17" s="16">
        <v>219.6</v>
      </c>
      <c r="H17" s="26">
        <v>219.6</v>
      </c>
      <c r="I17" s="22"/>
      <c r="J17" s="23"/>
      <c r="K17" s="40">
        <f t="shared" si="4"/>
        <v>0</v>
      </c>
      <c r="L17" s="22">
        <f t="shared" si="5"/>
        <v>0</v>
      </c>
    </row>
    <row r="18" spans="1:12" ht="12.6" hidden="1" customHeight="1" x14ac:dyDescent="0.25">
      <c r="B18" s="25">
        <v>3215</v>
      </c>
      <c r="C18" s="13">
        <v>1001094053215</v>
      </c>
      <c r="D18" s="14" t="s">
        <v>18</v>
      </c>
      <c r="E18" s="15">
        <v>0.4</v>
      </c>
      <c r="F18" s="15">
        <f t="shared" si="2"/>
        <v>361.92574193749994</v>
      </c>
      <c r="G18" s="16">
        <v>144.77029677499999</v>
      </c>
      <c r="H18" s="26">
        <f>VLOOKUP(C18,'[1]КП опт Март'!C$3:K$85,9,0)</f>
        <v>144.77029677499999</v>
      </c>
      <c r="I18" s="22"/>
      <c r="J18" s="22"/>
      <c r="K18" s="40">
        <f t="shared" si="4"/>
        <v>0</v>
      </c>
      <c r="L18" s="22">
        <f t="shared" si="5"/>
        <v>0</v>
      </c>
    </row>
    <row r="19" spans="1:12" ht="12.6" hidden="1" customHeight="1" x14ac:dyDescent="0.25">
      <c r="B19" s="25">
        <v>3986</v>
      </c>
      <c r="C19" s="13">
        <v>1001061973986</v>
      </c>
      <c r="D19" s="14" t="s">
        <v>52</v>
      </c>
      <c r="E19" s="15">
        <v>0.25</v>
      </c>
      <c r="F19" s="15">
        <f t="shared" si="2"/>
        <v>759.49913340000001</v>
      </c>
      <c r="G19" s="16">
        <v>189.87478335</v>
      </c>
      <c r="H19" s="26">
        <v>189.87478335</v>
      </c>
      <c r="I19" s="22"/>
      <c r="J19" s="22"/>
      <c r="K19" s="40">
        <f t="shared" si="4"/>
        <v>0</v>
      </c>
      <c r="L19" s="22">
        <f t="shared" si="5"/>
        <v>0</v>
      </c>
    </row>
    <row r="20" spans="1:12" ht="12.6" hidden="1" customHeight="1" x14ac:dyDescent="0.25">
      <c r="A20" s="8"/>
      <c r="B20" s="25">
        <v>4117</v>
      </c>
      <c r="C20" s="13">
        <v>1001062504117</v>
      </c>
      <c r="D20" s="14" t="s">
        <v>19</v>
      </c>
      <c r="E20" s="15">
        <v>1</v>
      </c>
      <c r="F20" s="15">
        <f t="shared" si="2"/>
        <v>712.87928827500002</v>
      </c>
      <c r="G20" s="16">
        <v>712.87928827500002</v>
      </c>
      <c r="H20" s="26">
        <v>712.87928827500002</v>
      </c>
      <c r="I20" s="22"/>
      <c r="J20" s="22"/>
      <c r="K20" s="40">
        <f t="shared" si="4"/>
        <v>0</v>
      </c>
      <c r="L20" s="22">
        <f t="shared" si="5"/>
        <v>0</v>
      </c>
    </row>
    <row r="21" spans="1:12" ht="12.6" hidden="1" customHeight="1" x14ac:dyDescent="0.25">
      <c r="B21" s="25">
        <v>4574</v>
      </c>
      <c r="C21" s="13">
        <v>1001012634574</v>
      </c>
      <c r="D21" s="14" t="s">
        <v>20</v>
      </c>
      <c r="E21" s="15">
        <v>1</v>
      </c>
      <c r="F21" s="15">
        <f t="shared" si="2"/>
        <v>250.12134</v>
      </c>
      <c r="G21" s="16">
        <v>250.12134</v>
      </c>
      <c r="H21" s="26">
        <v>250.12134</v>
      </c>
      <c r="I21" s="22"/>
      <c r="J21" s="22"/>
      <c r="K21" s="40">
        <f t="shared" si="4"/>
        <v>0</v>
      </c>
      <c r="L21" s="22">
        <f t="shared" si="5"/>
        <v>0</v>
      </c>
    </row>
    <row r="22" spans="1:12" ht="12.6" hidden="1" customHeight="1" x14ac:dyDescent="0.25">
      <c r="B22" s="25">
        <v>4993</v>
      </c>
      <c r="C22" s="13">
        <v>1001060764993</v>
      </c>
      <c r="D22" s="14" t="s">
        <v>21</v>
      </c>
      <c r="E22" s="15">
        <v>0.25</v>
      </c>
      <c r="F22" s="15">
        <f t="shared" si="2"/>
        <v>821.31817269599992</v>
      </c>
      <c r="G22" s="16">
        <v>205.32954317399998</v>
      </c>
      <c r="H22" s="26">
        <v>205.32954317399998</v>
      </c>
      <c r="I22" s="22"/>
      <c r="J22" s="22"/>
      <c r="K22" s="40">
        <f t="shared" si="4"/>
        <v>0</v>
      </c>
      <c r="L22" s="22">
        <f t="shared" si="5"/>
        <v>0</v>
      </c>
    </row>
    <row r="23" spans="1:12" ht="12.6" hidden="1" customHeight="1" x14ac:dyDescent="0.25">
      <c r="B23" s="25">
        <v>5452</v>
      </c>
      <c r="C23" s="13">
        <v>1001092485452</v>
      </c>
      <c r="D23" s="14" t="s">
        <v>22</v>
      </c>
      <c r="E23" s="15">
        <v>1</v>
      </c>
      <c r="F23" s="15">
        <f t="shared" si="2"/>
        <v>342.03468911908629</v>
      </c>
      <c r="G23" s="16">
        <v>342.03468911908629</v>
      </c>
      <c r="H23" s="26">
        <v>342.03468911908629</v>
      </c>
      <c r="I23" s="22"/>
      <c r="J23" s="22"/>
      <c r="K23" s="40">
        <f t="shared" si="4"/>
        <v>0</v>
      </c>
      <c r="L23" s="22">
        <f t="shared" si="5"/>
        <v>0</v>
      </c>
    </row>
    <row r="24" spans="1:12" ht="12.6" hidden="1" customHeight="1" x14ac:dyDescent="0.25">
      <c r="B24" s="25">
        <v>5483</v>
      </c>
      <c r="C24" s="13">
        <v>1001062505483</v>
      </c>
      <c r="D24" s="14" t="s">
        <v>23</v>
      </c>
      <c r="E24" s="15">
        <v>0.25</v>
      </c>
      <c r="F24" s="15">
        <f t="shared" si="2"/>
        <v>719.05420859999992</v>
      </c>
      <c r="G24" s="16">
        <v>179.76355214999998</v>
      </c>
      <c r="H24" s="26">
        <v>179.76355214999998</v>
      </c>
      <c r="I24" s="22"/>
      <c r="J24" s="22"/>
      <c r="K24" s="40">
        <f t="shared" si="4"/>
        <v>0</v>
      </c>
      <c r="L24" s="22">
        <f t="shared" si="5"/>
        <v>0</v>
      </c>
    </row>
    <row r="25" spans="1:12" ht="12.6" hidden="1" customHeight="1" x14ac:dyDescent="0.25">
      <c r="B25" s="25">
        <v>5495</v>
      </c>
      <c r="C25" s="13">
        <v>1001093345495</v>
      </c>
      <c r="D25" s="14" t="s">
        <v>24</v>
      </c>
      <c r="E25" s="15">
        <v>0.4</v>
      </c>
      <c r="F25" s="15">
        <f t="shared" si="2"/>
        <v>370.72175820749993</v>
      </c>
      <c r="G25" s="16">
        <v>148.28870328299999</v>
      </c>
      <c r="H25" s="26">
        <v>148.28870328299999</v>
      </c>
      <c r="I25" s="22"/>
      <c r="J25" s="22"/>
      <c r="K25" s="40">
        <f t="shared" si="4"/>
        <v>0</v>
      </c>
      <c r="L25" s="22">
        <f t="shared" si="5"/>
        <v>0</v>
      </c>
    </row>
    <row r="26" spans="1:12" ht="12.6" hidden="1" customHeight="1" x14ac:dyDescent="0.25">
      <c r="B26" s="25">
        <v>5708</v>
      </c>
      <c r="C26" s="13">
        <v>1001063145708</v>
      </c>
      <c r="D26" s="14" t="s">
        <v>25</v>
      </c>
      <c r="E26" s="15">
        <v>1</v>
      </c>
      <c r="F26" s="15">
        <f t="shared" si="2"/>
        <v>739</v>
      </c>
      <c r="G26" s="16">
        <v>739</v>
      </c>
      <c r="H26" s="26">
        <v>739</v>
      </c>
      <c r="I26" s="22"/>
      <c r="J26" s="22"/>
      <c r="K26" s="40">
        <f t="shared" si="4"/>
        <v>0</v>
      </c>
      <c r="L26" s="22">
        <f t="shared" si="5"/>
        <v>0</v>
      </c>
    </row>
    <row r="27" spans="1:12" ht="12.6" hidden="1" customHeight="1" x14ac:dyDescent="0.25">
      <c r="A27" s="8"/>
      <c r="B27" s="25">
        <v>5851</v>
      </c>
      <c r="C27" s="13">
        <v>1001012505851</v>
      </c>
      <c r="D27" s="14" t="s">
        <v>26</v>
      </c>
      <c r="E27" s="15">
        <v>1</v>
      </c>
      <c r="F27" s="15">
        <f t="shared" si="2"/>
        <v>270.09549000000004</v>
      </c>
      <c r="G27" s="16">
        <v>270.09549000000004</v>
      </c>
      <c r="H27" s="26">
        <v>270.09549000000004</v>
      </c>
      <c r="I27" s="22"/>
      <c r="J27" s="22"/>
      <c r="K27" s="40">
        <f t="shared" si="4"/>
        <v>0</v>
      </c>
      <c r="L27" s="22">
        <f t="shared" si="5"/>
        <v>0</v>
      </c>
    </row>
    <row r="28" spans="1:12" ht="12.6" hidden="1" customHeight="1" x14ac:dyDescent="0.25">
      <c r="B28" s="25">
        <v>6303</v>
      </c>
      <c r="C28" s="13">
        <v>1001022726303</v>
      </c>
      <c r="D28" s="14" t="s">
        <v>27</v>
      </c>
      <c r="E28" s="15">
        <v>1</v>
      </c>
      <c r="F28" s="15">
        <f t="shared" si="2"/>
        <v>266.15240931750003</v>
      </c>
      <c r="G28" s="16">
        <v>266.15240931750003</v>
      </c>
      <c r="H28" s="26">
        <v>266.15240931750003</v>
      </c>
      <c r="I28" s="22"/>
      <c r="J28" s="22"/>
      <c r="K28" s="40">
        <f t="shared" si="4"/>
        <v>0</v>
      </c>
      <c r="L28" s="22">
        <f t="shared" si="5"/>
        <v>0</v>
      </c>
    </row>
    <row r="29" spans="1:12" ht="12.6" hidden="1" customHeight="1" x14ac:dyDescent="0.25">
      <c r="A29" s="8"/>
      <c r="B29" s="25">
        <v>6324</v>
      </c>
      <c r="C29" s="13">
        <v>1001010016324</v>
      </c>
      <c r="D29" s="14" t="s">
        <v>28</v>
      </c>
      <c r="E29" s="15">
        <v>0.4</v>
      </c>
      <c r="F29" s="15">
        <f t="shared" si="2"/>
        <v>452.75250000000005</v>
      </c>
      <c r="G29" s="16">
        <v>181.10100000000003</v>
      </c>
      <c r="H29" s="26">
        <v>181.10100000000003</v>
      </c>
      <c r="I29" s="22"/>
      <c r="J29" s="22"/>
      <c r="K29" s="40">
        <f t="shared" si="4"/>
        <v>0</v>
      </c>
      <c r="L29" s="22">
        <f t="shared" si="5"/>
        <v>0</v>
      </c>
    </row>
    <row r="30" spans="1:12" ht="12.6" hidden="1" customHeight="1" x14ac:dyDescent="0.25">
      <c r="B30" s="25">
        <v>6353</v>
      </c>
      <c r="C30" s="13">
        <v>1001012506353</v>
      </c>
      <c r="D30" s="14" t="s">
        <v>29</v>
      </c>
      <c r="E30" s="15">
        <v>0.4</v>
      </c>
      <c r="F30" s="15">
        <f t="shared" si="2"/>
        <v>277.5</v>
      </c>
      <c r="G30" s="16">
        <v>111</v>
      </c>
      <c r="H30" s="26">
        <v>111</v>
      </c>
      <c r="I30" s="22"/>
      <c r="J30" s="22"/>
      <c r="K30" s="40">
        <f t="shared" si="4"/>
        <v>0</v>
      </c>
      <c r="L30" s="22">
        <f t="shared" si="5"/>
        <v>0</v>
      </c>
    </row>
    <row r="31" spans="1:12" ht="12.6" hidden="1" customHeight="1" x14ac:dyDescent="0.25">
      <c r="B31" s="25">
        <v>6454</v>
      </c>
      <c r="C31" s="13">
        <v>1001201976454</v>
      </c>
      <c r="D31" s="14" t="s">
        <v>30</v>
      </c>
      <c r="E31" s="15">
        <v>0.1</v>
      </c>
      <c r="F31" s="15">
        <f t="shared" si="2"/>
        <v>970</v>
      </c>
      <c r="G31" s="16">
        <v>97</v>
      </c>
      <c r="H31" s="26">
        <v>97</v>
      </c>
      <c r="I31" s="22"/>
      <c r="J31" s="22"/>
      <c r="K31" s="40">
        <f t="shared" si="4"/>
        <v>0</v>
      </c>
      <c r="L31" s="22">
        <f t="shared" si="5"/>
        <v>0</v>
      </c>
    </row>
    <row r="32" spans="1:12" ht="12.6" hidden="1" customHeight="1" x14ac:dyDescent="0.25">
      <c r="B32" s="25">
        <v>6475</v>
      </c>
      <c r="C32" s="13">
        <v>1001025176475</v>
      </c>
      <c r="D32" s="14" t="s">
        <v>31</v>
      </c>
      <c r="E32" s="15">
        <v>0.4</v>
      </c>
      <c r="F32" s="15">
        <f t="shared" si="2"/>
        <v>348.45</v>
      </c>
      <c r="G32" s="16">
        <v>139.38</v>
      </c>
      <c r="H32" s="26">
        <v>139.38</v>
      </c>
      <c r="I32" s="22"/>
      <c r="J32" s="22"/>
      <c r="K32" s="40">
        <f t="shared" si="4"/>
        <v>0</v>
      </c>
      <c r="L32" s="22">
        <f t="shared" si="5"/>
        <v>0</v>
      </c>
    </row>
    <row r="33" spans="1:12" ht="12.6" hidden="1" customHeight="1" x14ac:dyDescent="0.25">
      <c r="B33" s="25">
        <v>6498</v>
      </c>
      <c r="C33" s="13">
        <v>1001012456498</v>
      </c>
      <c r="D33" s="14" t="s">
        <v>32</v>
      </c>
      <c r="E33" s="15">
        <v>1</v>
      </c>
      <c r="F33" s="15">
        <f t="shared" si="2"/>
        <v>276.79995000000002</v>
      </c>
      <c r="G33" s="16">
        <v>276.79995000000002</v>
      </c>
      <c r="H33" s="26">
        <v>276.79995000000002</v>
      </c>
      <c r="I33" s="22"/>
      <c r="J33" s="22"/>
      <c r="K33" s="40">
        <f t="shared" si="4"/>
        <v>0</v>
      </c>
      <c r="L33" s="22">
        <f t="shared" si="5"/>
        <v>0</v>
      </c>
    </row>
    <row r="34" spans="1:12" ht="12.6" hidden="1" customHeight="1" x14ac:dyDescent="0.25">
      <c r="B34" s="25">
        <v>6527</v>
      </c>
      <c r="C34" s="13">
        <v>1001031076527</v>
      </c>
      <c r="D34" s="14" t="s">
        <v>33</v>
      </c>
      <c r="E34" s="15">
        <v>1</v>
      </c>
      <c r="F34" s="15">
        <f t="shared" si="2"/>
        <v>342.7</v>
      </c>
      <c r="G34" s="16">
        <v>342.7</v>
      </c>
      <c r="H34" s="26">
        <v>342.7</v>
      </c>
      <c r="I34" s="22"/>
      <c r="J34" s="22"/>
      <c r="K34" s="40">
        <f t="shared" si="4"/>
        <v>0</v>
      </c>
      <c r="L34" s="22">
        <f t="shared" si="5"/>
        <v>0</v>
      </c>
    </row>
    <row r="35" spans="1:12" ht="12.6" hidden="1" customHeight="1" x14ac:dyDescent="0.25">
      <c r="B35" s="25">
        <v>6550</v>
      </c>
      <c r="C35" s="13">
        <v>1001032736550</v>
      </c>
      <c r="D35" s="14" t="s">
        <v>34</v>
      </c>
      <c r="E35" s="15">
        <v>1</v>
      </c>
      <c r="F35" s="15">
        <f t="shared" si="2"/>
        <v>295</v>
      </c>
      <c r="G35" s="16">
        <v>295</v>
      </c>
      <c r="H35" s="26">
        <v>295</v>
      </c>
      <c r="I35" s="22"/>
      <c r="J35" s="22"/>
      <c r="K35" s="40">
        <f t="shared" si="4"/>
        <v>0</v>
      </c>
      <c r="L35" s="22">
        <f t="shared" si="5"/>
        <v>0</v>
      </c>
    </row>
    <row r="36" spans="1:12" ht="12.6" hidden="1" customHeight="1" x14ac:dyDescent="0.25">
      <c r="A36" s="8"/>
      <c r="B36" s="25">
        <v>6616</v>
      </c>
      <c r="C36" s="13">
        <v>1001024976616</v>
      </c>
      <c r="D36" s="14" t="s">
        <v>36</v>
      </c>
      <c r="E36" s="15">
        <v>0.35</v>
      </c>
      <c r="F36" s="15">
        <f t="shared" si="2"/>
        <v>226.23926326560002</v>
      </c>
      <c r="G36" s="16">
        <v>79.18374214296</v>
      </c>
      <c r="H36" s="26">
        <v>79.18374214296</v>
      </c>
      <c r="I36" s="22"/>
      <c r="J36" s="22"/>
      <c r="K36" s="40">
        <f t="shared" si="4"/>
        <v>0</v>
      </c>
      <c r="L36" s="22">
        <f t="shared" si="5"/>
        <v>0</v>
      </c>
    </row>
    <row r="37" spans="1:12" ht="12.6" hidden="1" customHeight="1" x14ac:dyDescent="0.25">
      <c r="B37" s="25">
        <v>6713</v>
      </c>
      <c r="C37" s="13">
        <v>1001022246713</v>
      </c>
      <c r="D37" s="14" t="s">
        <v>37</v>
      </c>
      <c r="E37" s="15">
        <v>0.41</v>
      </c>
      <c r="F37" s="15">
        <f t="shared" si="2"/>
        <v>265.85365853658539</v>
      </c>
      <c r="G37" s="16">
        <v>109</v>
      </c>
      <c r="H37" s="26">
        <v>109</v>
      </c>
      <c r="I37" s="22"/>
      <c r="J37" s="22"/>
      <c r="K37" s="40">
        <f t="shared" si="4"/>
        <v>0</v>
      </c>
      <c r="L37" s="22">
        <f t="shared" si="5"/>
        <v>0</v>
      </c>
    </row>
    <row r="38" spans="1:12" ht="12.6" hidden="1" customHeight="1" x14ac:dyDescent="0.25">
      <c r="B38" s="25">
        <v>6793</v>
      </c>
      <c r="C38" s="13">
        <v>1001303636793</v>
      </c>
      <c r="D38" s="14" t="s">
        <v>38</v>
      </c>
      <c r="E38" s="15">
        <v>0.33</v>
      </c>
      <c r="F38" s="15">
        <f t="shared" si="2"/>
        <v>563.99818181818182</v>
      </c>
      <c r="G38" s="16">
        <v>186.11940000000001</v>
      </c>
      <c r="H38" s="26">
        <v>186.11940000000001</v>
      </c>
      <c r="I38" s="22"/>
      <c r="J38" s="22"/>
      <c r="K38" s="40">
        <f t="shared" si="4"/>
        <v>0</v>
      </c>
      <c r="L38" s="22">
        <f t="shared" si="5"/>
        <v>0</v>
      </c>
    </row>
    <row r="39" spans="1:12" ht="12.6" hidden="1" customHeight="1" x14ac:dyDescent="0.25">
      <c r="B39" s="25">
        <v>6807</v>
      </c>
      <c r="C39" s="13">
        <v>1001300366807</v>
      </c>
      <c r="D39" s="14" t="s">
        <v>39</v>
      </c>
      <c r="E39" s="15">
        <v>0.33</v>
      </c>
      <c r="F39" s="15">
        <f t="shared" si="2"/>
        <v>542.42424242424238</v>
      </c>
      <c r="G39" s="16">
        <v>179</v>
      </c>
      <c r="H39" s="26">
        <v>179</v>
      </c>
      <c r="I39" s="22"/>
      <c r="J39" s="22"/>
      <c r="K39" s="40">
        <f t="shared" si="4"/>
        <v>0</v>
      </c>
      <c r="L39" s="22">
        <f t="shared" si="5"/>
        <v>0</v>
      </c>
    </row>
    <row r="40" spans="1:12" ht="12.6" hidden="1" customHeight="1" x14ac:dyDescent="0.25">
      <c r="A40" s="8"/>
      <c r="B40" s="25">
        <v>6834</v>
      </c>
      <c r="C40" s="13">
        <v>1001203146834</v>
      </c>
      <c r="D40" s="14" t="s">
        <v>40</v>
      </c>
      <c r="E40" s="15">
        <v>0.1</v>
      </c>
      <c r="F40" s="15">
        <f t="shared" si="2"/>
        <v>840</v>
      </c>
      <c r="G40" s="16">
        <v>84</v>
      </c>
      <c r="H40" s="26">
        <v>84</v>
      </c>
      <c r="I40" s="22"/>
      <c r="J40" s="22"/>
      <c r="K40" s="40">
        <f t="shared" si="4"/>
        <v>0</v>
      </c>
      <c r="L40" s="22">
        <f t="shared" si="5"/>
        <v>0</v>
      </c>
    </row>
    <row r="41" spans="1:12" ht="12.6" hidden="1" customHeight="1" x14ac:dyDescent="0.25">
      <c r="B41" s="25">
        <v>7001</v>
      </c>
      <c r="C41" s="13">
        <v>1001035937001</v>
      </c>
      <c r="D41" s="14" t="s">
        <v>41</v>
      </c>
      <c r="E41" s="15">
        <v>1</v>
      </c>
      <c r="F41" s="15">
        <f t="shared" si="2"/>
        <v>311.93833759200004</v>
      </c>
      <c r="G41" s="16">
        <v>311.93833759200004</v>
      </c>
      <c r="H41" s="26">
        <v>311.93833759200004</v>
      </c>
      <c r="I41" s="22"/>
      <c r="J41" s="22"/>
      <c r="K41" s="40">
        <f t="shared" si="4"/>
        <v>0</v>
      </c>
      <c r="L41" s="22">
        <f t="shared" si="5"/>
        <v>0</v>
      </c>
    </row>
    <row r="42" spans="1:12" ht="12.6" hidden="1" customHeight="1" x14ac:dyDescent="0.25">
      <c r="B42" s="25">
        <v>7090</v>
      </c>
      <c r="C42" s="13">
        <v>1001084217090</v>
      </c>
      <c r="D42" s="14" t="s">
        <v>43</v>
      </c>
      <c r="E42" s="15">
        <v>0.30000000000000004</v>
      </c>
      <c r="F42" s="15">
        <f t="shared" ref="F42:F51" si="6">G42/E42</f>
        <v>586.66666666666663</v>
      </c>
      <c r="G42" s="16">
        <v>176</v>
      </c>
      <c r="H42" s="26">
        <v>176</v>
      </c>
      <c r="I42" s="22"/>
      <c r="J42" s="22"/>
      <c r="K42" s="40">
        <f t="shared" si="4"/>
        <v>0</v>
      </c>
      <c r="L42" s="22">
        <f t="shared" si="5"/>
        <v>0</v>
      </c>
    </row>
    <row r="43" spans="1:12" ht="12.6" hidden="1" customHeight="1" x14ac:dyDescent="0.25">
      <c r="A43" s="8"/>
      <c r="B43" s="25">
        <v>7103</v>
      </c>
      <c r="C43" s="13">
        <v>1001223297103</v>
      </c>
      <c r="D43" s="14" t="s">
        <v>44</v>
      </c>
      <c r="E43" s="15">
        <v>0.18</v>
      </c>
      <c r="F43" s="15">
        <f t="shared" si="6"/>
        <v>982.82809625000004</v>
      </c>
      <c r="G43" s="16">
        <v>176.90905732499999</v>
      </c>
      <c r="H43" s="26">
        <v>176.90905732499999</v>
      </c>
      <c r="I43" s="22"/>
      <c r="J43" s="22"/>
      <c r="K43" s="40">
        <f t="shared" si="4"/>
        <v>0</v>
      </c>
      <c r="L43" s="22">
        <f t="shared" si="5"/>
        <v>0</v>
      </c>
    </row>
    <row r="44" spans="1:12" ht="12.6" hidden="1" customHeight="1" x14ac:dyDescent="0.25">
      <c r="A44" s="8"/>
      <c r="B44" s="25">
        <v>7126</v>
      </c>
      <c r="C44" s="13">
        <v>1001010027126</v>
      </c>
      <c r="D44" s="14" t="s">
        <v>45</v>
      </c>
      <c r="E44" s="15">
        <v>0.4</v>
      </c>
      <c r="F44" s="15">
        <f t="shared" si="6"/>
        <v>373.52399999999994</v>
      </c>
      <c r="G44" s="16">
        <v>149.40959999999998</v>
      </c>
      <c r="H44" s="26">
        <v>149.40959999999998</v>
      </c>
      <c r="I44" s="22"/>
      <c r="J44" s="22"/>
      <c r="K44" s="40">
        <f t="shared" si="4"/>
        <v>0</v>
      </c>
      <c r="L44" s="22">
        <f t="shared" si="5"/>
        <v>0</v>
      </c>
    </row>
    <row r="45" spans="1:12" ht="12.6" hidden="1" customHeight="1" x14ac:dyDescent="0.25">
      <c r="B45" s="25">
        <v>7131</v>
      </c>
      <c r="C45" s="13">
        <v>1001303637131</v>
      </c>
      <c r="D45" s="14" t="s">
        <v>46</v>
      </c>
      <c r="E45" s="15">
        <v>0.84</v>
      </c>
      <c r="F45" s="15">
        <f t="shared" si="6"/>
        <v>631.88095238095241</v>
      </c>
      <c r="G45" s="16">
        <v>530.78</v>
      </c>
      <c r="H45" s="26">
        <v>530.78</v>
      </c>
      <c r="I45" s="22"/>
      <c r="J45" s="22"/>
      <c r="K45" s="40">
        <f t="shared" si="4"/>
        <v>0</v>
      </c>
      <c r="L45" s="22">
        <f t="shared" si="5"/>
        <v>0</v>
      </c>
    </row>
    <row r="46" spans="1:12" ht="12.6" hidden="1" customHeight="1" x14ac:dyDescent="0.25">
      <c r="B46" s="25">
        <v>7149</v>
      </c>
      <c r="C46" s="13">
        <v>1001303637149</v>
      </c>
      <c r="D46" s="14" t="s">
        <v>47</v>
      </c>
      <c r="E46" s="15">
        <v>0.84</v>
      </c>
      <c r="F46" s="15">
        <f t="shared" si="6"/>
        <v>463.42500000000007</v>
      </c>
      <c r="G46" s="16">
        <v>389.27700000000004</v>
      </c>
      <c r="H46" s="26">
        <v>389.27700000000004</v>
      </c>
      <c r="I46" s="22"/>
      <c r="J46" s="22"/>
      <c r="K46" s="40">
        <f t="shared" si="4"/>
        <v>0</v>
      </c>
      <c r="L46" s="22">
        <f t="shared" si="5"/>
        <v>0</v>
      </c>
    </row>
    <row r="47" spans="1:12" ht="12.6" hidden="1" customHeight="1" x14ac:dyDescent="0.25">
      <c r="B47" s="25">
        <v>7255</v>
      </c>
      <c r="C47" s="13">
        <v>1001025507255</v>
      </c>
      <c r="D47" s="14" t="s">
        <v>54</v>
      </c>
      <c r="E47" s="15">
        <v>0.4</v>
      </c>
      <c r="F47" s="15">
        <f t="shared" si="6"/>
        <v>272.5</v>
      </c>
      <c r="G47" s="16">
        <v>109</v>
      </c>
      <c r="H47" s="26">
        <v>109</v>
      </c>
      <c r="I47" s="22"/>
      <c r="J47" s="22"/>
      <c r="K47" s="40">
        <f t="shared" si="4"/>
        <v>0</v>
      </c>
      <c r="L47" s="22">
        <f t="shared" si="5"/>
        <v>0</v>
      </c>
    </row>
    <row r="48" spans="1:12" ht="12.6" hidden="1" customHeight="1" x14ac:dyDescent="0.25">
      <c r="B48" s="25">
        <v>7382</v>
      </c>
      <c r="C48" s="13">
        <v>1001203117382</v>
      </c>
      <c r="D48" s="14" t="s">
        <v>53</v>
      </c>
      <c r="E48" s="15">
        <v>0.12</v>
      </c>
      <c r="F48" s="15">
        <f t="shared" si="6"/>
        <v>1008.3333333333334</v>
      </c>
      <c r="G48" s="16">
        <v>121</v>
      </c>
      <c r="H48" s="26">
        <v>121</v>
      </c>
      <c r="I48" s="22"/>
      <c r="J48" s="22"/>
      <c r="K48" s="40">
        <f t="shared" si="4"/>
        <v>0</v>
      </c>
      <c r="L48" s="22">
        <f t="shared" si="5"/>
        <v>0</v>
      </c>
    </row>
    <row r="49" spans="1:12" ht="12.6" hidden="1" customHeight="1" x14ac:dyDescent="0.25">
      <c r="A49" s="8"/>
      <c r="B49" s="25">
        <v>6333</v>
      </c>
      <c r="C49" s="13">
        <v>1001012486333</v>
      </c>
      <c r="D49" s="14" t="s">
        <v>10</v>
      </c>
      <c r="E49" s="15">
        <v>0.4</v>
      </c>
      <c r="F49" s="15">
        <f t="shared" si="6"/>
        <v>267.54175501499998</v>
      </c>
      <c r="G49" s="16">
        <v>107.016702006</v>
      </c>
      <c r="H49" s="26">
        <v>107.016702006</v>
      </c>
      <c r="I49" s="22"/>
      <c r="J49" s="22"/>
      <c r="K49" s="40">
        <f t="shared" si="4"/>
        <v>0</v>
      </c>
      <c r="L49" s="22">
        <f t="shared" si="5"/>
        <v>0</v>
      </c>
    </row>
    <row r="50" spans="1:12" ht="12.6" hidden="1" customHeight="1" x14ac:dyDescent="0.25">
      <c r="B50" s="25">
        <v>7066</v>
      </c>
      <c r="C50" s="13">
        <v>1001022377066</v>
      </c>
      <c r="D50" s="14" t="s">
        <v>6</v>
      </c>
      <c r="E50" s="15">
        <v>0.41</v>
      </c>
      <c r="F50" s="15">
        <f t="shared" si="6"/>
        <v>278.04878048780489</v>
      </c>
      <c r="G50" s="16">
        <v>114</v>
      </c>
      <c r="H50" s="26">
        <v>114</v>
      </c>
      <c r="I50" s="22"/>
      <c r="J50" s="22"/>
      <c r="K50" s="40">
        <f t="shared" si="4"/>
        <v>0</v>
      </c>
      <c r="L50" s="22">
        <f t="shared" si="5"/>
        <v>0</v>
      </c>
    </row>
    <row r="51" spans="1:12" ht="12.6" hidden="1" customHeight="1" x14ac:dyDescent="0.25">
      <c r="B51" s="25">
        <v>6392</v>
      </c>
      <c r="C51" s="13">
        <v>1001012566392</v>
      </c>
      <c r="D51" s="14" t="s">
        <v>9</v>
      </c>
      <c r="E51" s="15">
        <v>0.4</v>
      </c>
      <c r="F51" s="15">
        <f t="shared" si="6"/>
        <v>310.991625</v>
      </c>
      <c r="G51" s="16">
        <v>124.39665000000001</v>
      </c>
      <c r="H51" s="26">
        <v>124.39665000000001</v>
      </c>
      <c r="I51" s="22"/>
      <c r="J51" s="22"/>
      <c r="K51" s="40">
        <f t="shared" si="4"/>
        <v>0</v>
      </c>
      <c r="L51" s="22">
        <f t="shared" si="5"/>
        <v>0</v>
      </c>
    </row>
    <row r="52" spans="1:12" ht="12.6" customHeight="1" x14ac:dyDescent="0.25">
      <c r="K52" s="24">
        <f>SUM(K3:K51)</f>
        <v>2372</v>
      </c>
      <c r="L52" s="24">
        <f>SUM(L3:L51)</f>
        <v>1128.68</v>
      </c>
    </row>
  </sheetData>
  <autoFilter ref="B2:L52" xr:uid="{41B804FF-EA8C-4058-9BA0-B8DFF2BDA38E}">
    <filterColumn colId="9">
      <filters>
        <filter val="150"/>
        <filter val="170"/>
        <filter val="20"/>
        <filter val="2052"/>
        <filter val="252"/>
        <filter val="312"/>
        <filter val="50"/>
      </filters>
    </filterColumn>
  </autoFilter>
  <conditionalFormatting sqref="F2 B1:C3 B6:C13 B16:C65419">
    <cfRule type="expression" dxfId="6" priority="14" stopIfTrue="1">
      <formula>AND(COUNTIF($B:$C,B1)&gt;1,NOT(ISBLANK(B1)))</formula>
    </cfRule>
  </conditionalFormatting>
  <conditionalFormatting sqref="B6:B13 B16:B50">
    <cfRule type="duplicateValues" dxfId="5" priority="11"/>
  </conditionalFormatting>
  <conditionalFormatting sqref="B51 B3">
    <cfRule type="duplicateValues" dxfId="4" priority="21"/>
  </conditionalFormatting>
  <conditionalFormatting sqref="B4:C5">
    <cfRule type="expression" dxfId="3" priority="4" stopIfTrue="1">
      <formula>AND(COUNTIF($B:$C,B4)&gt;1,NOT(ISBLANK(B4)))</formula>
    </cfRule>
  </conditionalFormatting>
  <conditionalFormatting sqref="B4:B5">
    <cfRule type="duplicateValues" dxfId="2" priority="3"/>
  </conditionalFormatting>
  <conditionalFormatting sqref="B14:C15">
    <cfRule type="expression" dxfId="1" priority="2" stopIfTrue="1">
      <formula>AND(COUNTIF($B:$C,B14)&gt;1,NOT(ISBLANK(B14)))</formula>
    </cfRule>
  </conditionalFormatting>
  <conditionalFormatting sqref="B14:B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2025-07-22T10:02:36Z</dcterms:created>
  <dcterms:modified xsi:type="dcterms:W3CDTF">2026-01-28T09:46:31Z</dcterms:modified>
</cp:coreProperties>
</file>