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"/>
    </mc:Choice>
  </mc:AlternateContent>
  <xr:revisionPtr revIDLastSave="0" documentId="13_ncr:1_{DEA000B7-0324-45EE-BCFB-764CC3410DB6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заказ" sheetId="2" r:id="rId2"/>
  </sheets>
  <externalReferences>
    <externalReference r:id="rId3"/>
  </externalReferences>
  <definedNames>
    <definedName name="_xlnm._FilterDatabase" localSheetId="0" hidden="1">Sheet!$A$3:$AI$42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7" i="1" l="1"/>
  <c r="T9" i="1"/>
  <c r="T12" i="1"/>
  <c r="T14" i="1"/>
  <c r="T16" i="1"/>
  <c r="T17" i="1"/>
  <c r="T19" i="1"/>
  <c r="T20" i="1"/>
  <c r="T23" i="1"/>
  <c r="T24" i="1"/>
  <c r="T25" i="1"/>
  <c r="T26" i="1"/>
  <c r="T29" i="1"/>
  <c r="T30" i="1"/>
  <c r="T35" i="1"/>
  <c r="T36" i="1"/>
  <c r="T39" i="1"/>
  <c r="T41" i="1"/>
  <c r="T5" i="1" l="1"/>
  <c r="Q14" i="1"/>
  <c r="S8" i="1"/>
  <c r="S10" i="1"/>
  <c r="S11" i="1"/>
  <c r="S13" i="1"/>
  <c r="S15" i="1"/>
  <c r="S18" i="1"/>
  <c r="S21" i="1"/>
  <c r="S22" i="1"/>
  <c r="S27" i="1"/>
  <c r="S28" i="1"/>
  <c r="S31" i="1"/>
  <c r="S32" i="1"/>
  <c r="S33" i="1"/>
  <c r="S34" i="1"/>
  <c r="S37" i="1"/>
  <c r="S38" i="1"/>
  <c r="S40" i="1"/>
  <c r="S42" i="1"/>
  <c r="S6" i="1"/>
  <c r="U10" i="1"/>
  <c r="U11" i="1"/>
  <c r="U9" i="1" l="1"/>
  <c r="U14" i="1"/>
  <c r="U16" i="1"/>
  <c r="U18" i="1"/>
  <c r="U20" i="1"/>
  <c r="U23" i="1"/>
  <c r="U26" i="1"/>
  <c r="U30" i="1"/>
  <c r="U31" i="1"/>
  <c r="U35" i="1"/>
  <c r="U36" i="1"/>
  <c r="AI6" i="1"/>
  <c r="AI8" i="1" l="1"/>
  <c r="AI10" i="1"/>
  <c r="AI11" i="1"/>
  <c r="AI13" i="1"/>
  <c r="AI14" i="1"/>
  <c r="AI15" i="1"/>
  <c r="AI18" i="1"/>
  <c r="AI21" i="1"/>
  <c r="AI22" i="1"/>
  <c r="AI26" i="1"/>
  <c r="AI27" i="1"/>
  <c r="AI28" i="1"/>
  <c r="AI31" i="1"/>
  <c r="AI32" i="1"/>
  <c r="AI33" i="1"/>
  <c r="AI34" i="1"/>
  <c r="AI36" i="1"/>
  <c r="AI37" i="1"/>
  <c r="AI38" i="1"/>
  <c r="AI40" i="1"/>
  <c r="AI42" i="1"/>
  <c r="U5" i="1"/>
  <c r="Q7" i="1" l="1"/>
  <c r="Q8" i="1"/>
  <c r="Q9" i="1"/>
  <c r="Q10" i="1"/>
  <c r="V10" i="1" s="1"/>
  <c r="Q11" i="1"/>
  <c r="V11" i="1" s="1"/>
  <c r="Q12" i="1"/>
  <c r="Q13" i="1"/>
  <c r="V14" i="1"/>
  <c r="Q15" i="1"/>
  <c r="V15" i="1" s="1"/>
  <c r="Q16" i="1"/>
  <c r="Q17" i="1"/>
  <c r="Q18" i="1"/>
  <c r="V18" i="1" s="1"/>
  <c r="Q19" i="1"/>
  <c r="Q20" i="1"/>
  <c r="Q21" i="1"/>
  <c r="Q22" i="1"/>
  <c r="V22" i="1" s="1"/>
  <c r="Q23" i="1"/>
  <c r="Q24" i="1"/>
  <c r="Q25" i="1"/>
  <c r="Q26" i="1"/>
  <c r="Q27" i="1"/>
  <c r="V27" i="1" s="1"/>
  <c r="Q28" i="1"/>
  <c r="Q29" i="1"/>
  <c r="Q30" i="1"/>
  <c r="Q31" i="1"/>
  <c r="V31" i="1" s="1"/>
  <c r="Q32" i="1"/>
  <c r="V32" i="1" s="1"/>
  <c r="Q33" i="1"/>
  <c r="V33" i="1" s="1"/>
  <c r="Q34" i="1"/>
  <c r="V34" i="1" s="1"/>
  <c r="Q35" i="1"/>
  <c r="Q36" i="1"/>
  <c r="V36" i="1" s="1"/>
  <c r="Q37" i="1"/>
  <c r="Q38" i="1"/>
  <c r="Q39" i="1"/>
  <c r="Q40" i="1"/>
  <c r="V40" i="1" s="1"/>
  <c r="Q41" i="1"/>
  <c r="Q42" i="1"/>
  <c r="Q6" i="1"/>
  <c r="V6" i="1" s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AG5" i="1"/>
  <c r="AF5" i="1"/>
  <c r="AE5" i="1"/>
  <c r="AD5" i="1"/>
  <c r="AC5" i="1"/>
  <c r="AB5" i="1"/>
  <c r="AA5" i="1"/>
  <c r="Z5" i="1"/>
  <c r="Y5" i="1"/>
  <c r="X5" i="1"/>
  <c r="P5" i="1"/>
  <c r="O5" i="1"/>
  <c r="N5" i="1"/>
  <c r="M5" i="1"/>
  <c r="K5" i="1"/>
  <c r="F5" i="1"/>
  <c r="E5" i="1"/>
  <c r="R41" i="1" l="1"/>
  <c r="S41" i="1" s="1"/>
  <c r="AI41" i="1" s="1"/>
  <c r="R39" i="1"/>
  <c r="S39" i="1" s="1"/>
  <c r="AI39" i="1" s="1"/>
  <c r="W37" i="1"/>
  <c r="V37" i="1"/>
  <c r="R35" i="1"/>
  <c r="AI35" i="1" s="1"/>
  <c r="R29" i="1"/>
  <c r="S29" i="1" s="1"/>
  <c r="AI29" i="1" s="1"/>
  <c r="W25" i="1"/>
  <c r="W23" i="1"/>
  <c r="W21" i="1"/>
  <c r="V21" i="1"/>
  <c r="R19" i="1"/>
  <c r="S19" i="1" s="1"/>
  <c r="AI19" i="1" s="1"/>
  <c r="R17" i="1"/>
  <c r="S17" i="1" s="1"/>
  <c r="AI17" i="1" s="1"/>
  <c r="W13" i="1"/>
  <c r="V13" i="1"/>
  <c r="R9" i="1"/>
  <c r="AI9" i="1" s="1"/>
  <c r="W7" i="1"/>
  <c r="W42" i="1"/>
  <c r="V42" i="1"/>
  <c r="W38" i="1"/>
  <c r="V38" i="1"/>
  <c r="R30" i="1"/>
  <c r="AI30" i="1" s="1"/>
  <c r="V30" i="1"/>
  <c r="W28" i="1"/>
  <c r="V28" i="1"/>
  <c r="W26" i="1"/>
  <c r="V26" i="1"/>
  <c r="W24" i="1"/>
  <c r="R20" i="1"/>
  <c r="AI20" i="1" s="1"/>
  <c r="V20" i="1"/>
  <c r="R16" i="1"/>
  <c r="AI16" i="1" s="1"/>
  <c r="V16" i="1"/>
  <c r="R12" i="1"/>
  <c r="S12" i="1" s="1"/>
  <c r="AI12" i="1" s="1"/>
  <c r="W8" i="1"/>
  <c r="V8" i="1"/>
  <c r="W41" i="1"/>
  <c r="W39" i="1"/>
  <c r="W30" i="1"/>
  <c r="R23" i="1"/>
  <c r="AI23" i="1" s="1"/>
  <c r="W6" i="1"/>
  <c r="W29" i="1"/>
  <c r="W27" i="1"/>
  <c r="W22" i="1"/>
  <c r="W17" i="1"/>
  <c r="W9" i="1"/>
  <c r="W12" i="1"/>
  <c r="W11" i="1"/>
  <c r="W33" i="1"/>
  <c r="W32" i="1"/>
  <c r="W31" i="1"/>
  <c r="W20" i="1"/>
  <c r="W19" i="1"/>
  <c r="L5" i="1"/>
  <c r="W40" i="1"/>
  <c r="W18" i="1"/>
  <c r="R25" i="1"/>
  <c r="S25" i="1" s="1"/>
  <c r="AI25" i="1" s="1"/>
  <c r="R24" i="1"/>
  <c r="S24" i="1" s="1"/>
  <c r="AI24" i="1" s="1"/>
  <c r="W16" i="1"/>
  <c r="W36" i="1"/>
  <c r="W15" i="1"/>
  <c r="W35" i="1"/>
  <c r="W14" i="1"/>
  <c r="W34" i="1"/>
  <c r="Q5" i="1"/>
  <c r="W10" i="1"/>
  <c r="R7" i="1"/>
  <c r="S7" i="1" s="1"/>
  <c r="V12" i="1" l="1"/>
  <c r="V24" i="1"/>
  <c r="V7" i="1"/>
  <c r="AI7" i="1"/>
  <c r="S5" i="1"/>
  <c r="V9" i="1"/>
  <c r="V17" i="1"/>
  <c r="V19" i="1"/>
  <c r="V23" i="1"/>
  <c r="V25" i="1"/>
  <c r="V29" i="1"/>
  <c r="V35" i="1"/>
  <c r="V39" i="1"/>
  <c r="V41" i="1"/>
  <c r="R5" i="1"/>
  <c r="AI5" i="1" l="1"/>
</calcChain>
</file>

<file path=xl/sharedStrings.xml><?xml version="1.0" encoding="utf-8"?>
<sst xmlns="http://schemas.openxmlformats.org/spreadsheetml/2006/main" count="160" uniqueCount="90">
  <si>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</si>
  <si>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</si>
  <si>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</si>
  <si>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</si>
  <si>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</si>
  <si>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</si>
  <si>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</si>
  <si>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</si>
  <si>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</si>
  <si>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</si>
  <si>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</si>
  <si>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</si>
  <si>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</si>
  <si>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</si>
  <si>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</si>
  <si>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</si>
  <si>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</si>
  <si>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</si>
  <si>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</si>
  <si>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</si>
  <si>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</si>
  <si>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</si>
  <si>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ошибка</t>
  </si>
  <si>
    <t>14,09,</t>
  </si>
  <si>
    <t>16,09,</t>
  </si>
  <si>
    <t>08,09,</t>
  </si>
  <si>
    <t>01,09,</t>
  </si>
  <si>
    <t>25,08,</t>
  </si>
  <si>
    <t>18,08,</t>
  </si>
  <si>
    <t>11,08,</t>
  </si>
  <si>
    <t>04,08,</t>
  </si>
  <si>
    <t>28,07,</t>
  </si>
  <si>
    <t>21,07,</t>
  </si>
  <si>
    <t>14,07,</t>
  </si>
  <si>
    <t>07,07,</t>
  </si>
  <si>
    <t>1103201 Сыр копченый "Косичка" мини ПАПА МОЖЕТ 55г лоток  ОСТАНКИНО</t>
  </si>
  <si>
    <t>шт</t>
  </si>
  <si>
    <t>2103201 БЖП, произведенный по технологии сыра копченый "Косичка" мини Ассорти  ОСТАНКИНО</t>
  </si>
  <si>
    <t>новинка</t>
  </si>
  <si>
    <t>2105201 БЖП, произведенный по технологии сыра копченый "Балык" резаный 4 вкуса  ОСТАНКИНО</t>
  </si>
  <si>
    <t>3323 Сыр Российский цилиндр 1/4 пленка ЮКМП м.д.ж. 50%  ОСТАНКИНО</t>
  </si>
  <si>
    <t>кг</t>
  </si>
  <si>
    <t>ВЫЧЕСТЬ из остатка 320кг (ошибка инвенторизации - 25,07,26)</t>
  </si>
  <si>
    <t>4421577 Спред растительно-сливочный "Сливочный вкус" 82,5% 180гр  Останкино</t>
  </si>
  <si>
    <t>4421584 Спред растительно-сливочный "Сливочный вкус" 72,5% 180гр  Останкино</t>
  </si>
  <si>
    <t>4931  Сыр полутвердый "Купеческий" с ароматом топленого молока, с м.д.ж. 50% ОСТАНКИНО</t>
  </si>
  <si>
    <t>6948249 Майонезный соус провансаль 824,5гр деликатес.с массовой долей жирн.25% Коровино Останкино</t>
  </si>
  <si>
    <t>нужно увеличить продажи!!!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</si>
  <si>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</si>
  <si>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</si>
  <si>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нужно увеличить продажи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</si>
  <si>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</si>
  <si>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</si>
  <si>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24,08,26 - отсутствует на заводе</t>
  </si>
  <si>
    <t>9988438 Плавленый Сыр 45% "С ветчиной" СТМ"ПапаМожет" 180гр  Останкино</t>
  </si>
  <si>
    <t>Масло "Папа может" 82,5% 180гр  Останкино</t>
  </si>
  <si>
    <t>Масло сливочное 72,5 % 180 гр.(10 шт) СЛАВЯНА  Останкино</t>
  </si>
  <si>
    <t>132шт в уценку (04,08,26) / 400шт в уценку (24,07,26)</t>
  </si>
  <si>
    <t>Плавленый Сыр колбасный копченый 40% СТМ"ПапаМожет"400гр  Останкино</t>
  </si>
  <si>
    <t>Плавленый продукт с Сыром колбасный копченый 40% СТМ "Коровино" 400гр  Останкино</t>
  </si>
  <si>
    <t>Сыр "Пармезан" 40% кусок 180 гр 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</si>
  <si>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</si>
  <si>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</si>
  <si>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ВНИМАНИЕ</t>
  </si>
  <si>
    <t>Главторг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</si>
  <si>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</si>
  <si>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</si>
  <si>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Сыр ПАПА МОЖЕТ "Папин завтрак"  45% 180 г  Останкино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</si>
  <si>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</si>
  <si>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</si>
  <si>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Сыр Папа Может "Гауда Голд" 45% (-2,5 кг брус) (6 шт)  Останкино</t>
  </si>
  <si>
    <t>Сыр Творожный с зеленью 60% Папа может 140 гр.  Останкино</t>
  </si>
  <si>
    <t>Сыр плавленный Сливочный ж.45% 180г ТМ Папа может (16шт)  Останкино</t>
  </si>
  <si>
    <t>Сыр полутвердый "Гауда" с массовой долей жира в пересчете на сухое вещество 45%,   Останкино</t>
  </si>
  <si>
    <t>18кг списано (29,08,26 инвенторизация)</t>
  </si>
  <si>
    <t>Сыр полутвердый "Сметанковый", с масс долей жира в пересчете на сухое вещес50%, брус  Останкино</t>
  </si>
  <si>
    <t>Сыр рассольный жирный Чечил 45% 100 гр  ОСТАНКИНО</t>
  </si>
  <si>
    <t>Сыр рассольный жирный Чечил копченый 43% 100 гр  Останкино</t>
  </si>
  <si>
    <t>Сыр творожный Сливочный 140 гр.  Останкино</t>
  </si>
  <si>
    <t>Сыч/Прод Коровино Российский 50% 200г НОВАЯ СЗМЖ  ОСТАНКИНО</t>
  </si>
  <si>
    <t>Сыч/Прод Коровино Российский Оригин 50% ВЕС НОВАЯ (3,5 кг)  ОСТАНКИНО</t>
  </si>
  <si>
    <t>Сыч/Прод Коровино Тильзитер 50% 200г НОВАЯ СЗМЖ  ОСТАНКИНО</t>
  </si>
  <si>
    <t>Сыч/Прод Коровино Тильзитер Оригин 50% ВЕС НОВАЯ (5 кг брус) СЗМЖ  ОСТАНКИНО</t>
  </si>
  <si>
    <t>127кг в уценке (04,09,26)</t>
  </si>
  <si>
    <t>сети</t>
  </si>
  <si>
    <t>нужно увеличить продажи / новинка</t>
  </si>
  <si>
    <t>итого</t>
  </si>
  <si>
    <t>ТК</t>
  </si>
  <si>
    <t>нет потребности / 10,09,26 - нет на заводе / 03,09,26 - нет на заводе / 27,08,26 - нет на заводе / 24,08,26 - нет на заводе / 30,07,26 - нет на заводе / 175шт в уценку (24,07,26)</t>
  </si>
  <si>
    <t>заказ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</si>
</sst>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1"/>
  </cellStyleXfs>
  <cellXfs count="19">
    <xf numFmtId="0" fontId="0" fillId="0" borderId="0" xfId="0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4" fillId="4" borderId="1" xfId="1" applyNumberFormat="1" applyFont="1" applyFill="1"/>
    <xf numFmtId="164" fontId="4" fillId="5" borderId="1" xfId="1" applyNumberFormat="1" applyFont="1" applyFill="1"/>
    <xf numFmtId="164" fontId="1" fillId="5" borderId="1" xfId="1" applyNumberFormat="1" applyFill="1"/>
    <xf numFmtId="164" fontId="5" fillId="5" borderId="1" xfId="1" applyNumberFormat="1" applyFont="1" applyFill="1"/>
    <xf numFmtId="164" fontId="1" fillId="0" borderId="1" xfId="1" applyNumberFormat="1" applyBorder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1" fillId="6" borderId="1" xfId="1" applyNumberFormat="1" applyFill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2025_05/&#1056;&#1040;&#1041;&#1054;&#1063;&#1048;&#1049;%20&#1057;&#1058;&#1054;&#1051;/&#1088;&#1072;&#1089;&#1095;&#1077;&#1090;&#1099;%20&#1054;&#1089;&#1090;&#1072;&#1085;&#1082;&#1080;&#1085;&#1086;%20&#1057;&#1067;&#1056;&#1067;/_&#1076;&#1074;%20160926%20&#1083;&#1075;&#1088;&#1089;&#1095;%20&#1086;&#1089;&#1090;%20&#1089;&#1099;&#1088;%20(&#1063;&#1077;&#1087;&#1088;&#1072;&#1089;&#1086;&#1074;&#1072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2">
          <cell r="D2" t="str">
            <v>сети</v>
          </cell>
        </row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ср нов</v>
          </cell>
          <cell r="R3" t="str">
            <v>расчет</v>
          </cell>
        </row>
        <row r="4">
          <cell r="O4" t="str">
            <v>ошибка</v>
          </cell>
          <cell r="P4" t="str">
            <v>14,09,</v>
          </cell>
          <cell r="Q4" t="str">
            <v>16,09,</v>
          </cell>
        </row>
        <row r="5">
          <cell r="E5">
            <v>1724.3329999999999</v>
          </cell>
          <cell r="F5">
            <v>2600.5280000000002</v>
          </cell>
          <cell r="K5">
            <v>1875</v>
          </cell>
          <cell r="L5">
            <v>-150.667</v>
          </cell>
          <cell r="M5">
            <v>0</v>
          </cell>
          <cell r="N5">
            <v>0</v>
          </cell>
          <cell r="O5">
            <v>-320</v>
          </cell>
          <cell r="P5">
            <v>1642</v>
          </cell>
          <cell r="Q5">
            <v>344.86660000000001</v>
          </cell>
          <cell r="R5">
            <v>1709.9405999999999</v>
          </cell>
          <cell r="S5">
            <v>1200</v>
          </cell>
        </row>
        <row r="6">
          <cell r="A6" t="str">
            <v>1103201 Сыр копченый "Косичка" мини ПАПА МОЖЕТ 55г лоток  ОСТАНКИНО</v>
          </cell>
          <cell r="B6" t="str">
            <v>шт</v>
          </cell>
          <cell r="C6">
            <v>73</v>
          </cell>
          <cell r="E6">
            <v>16</v>
          </cell>
          <cell r="F6">
            <v>57</v>
          </cell>
          <cell r="G6">
            <v>5.5E-2</v>
          </cell>
          <cell r="H6">
            <v>120</v>
          </cell>
          <cell r="K6">
            <v>16</v>
          </cell>
          <cell r="L6">
            <v>0</v>
          </cell>
          <cell r="Q6">
            <v>3.2</v>
          </cell>
        </row>
        <row r="7">
          <cell r="A7" t="str">
            <v>2103201 БЖП, произведенный по технологии сыра копченый "Косичка" мини Ассорти  ОСТАНКИНО</v>
          </cell>
          <cell r="B7" t="str">
            <v>шт</v>
          </cell>
          <cell r="C7">
            <v>92</v>
          </cell>
          <cell r="E7">
            <v>28</v>
          </cell>
          <cell r="F7">
            <v>63</v>
          </cell>
          <cell r="G7">
            <v>0.1</v>
          </cell>
          <cell r="H7">
            <v>120</v>
          </cell>
          <cell r="K7">
            <v>28</v>
          </cell>
          <cell r="L7">
            <v>0</v>
          </cell>
          <cell r="Q7">
            <v>5.6</v>
          </cell>
          <cell r="R7">
            <v>15.399999999999991</v>
          </cell>
        </row>
        <row r="8">
          <cell r="A8" t="str">
            <v>2105201 БЖП, произведенный по технологии сыра копченый "Балык" резаный 4 вкуса  ОСТАНКИНО</v>
          </cell>
          <cell r="B8" t="str">
            <v>шт</v>
          </cell>
          <cell r="C8">
            <v>79</v>
          </cell>
          <cell r="E8">
            <v>13</v>
          </cell>
          <cell r="F8">
            <v>66</v>
          </cell>
          <cell r="G8">
            <v>0.1</v>
          </cell>
          <cell r="H8">
            <v>120</v>
          </cell>
          <cell r="K8">
            <v>13</v>
          </cell>
          <cell r="L8">
            <v>0</v>
          </cell>
          <cell r="Q8">
            <v>2.6</v>
          </cell>
        </row>
        <row r="9">
          <cell r="A9" t="str">
            <v>3323 Сыр Российский цилиндр 1/4 пленка ЮКМП м.д.ж. 50%  ОСТАНКИНО</v>
          </cell>
          <cell r="B9" t="str">
            <v>кг</v>
          </cell>
          <cell r="C9">
            <v>372.94099999999997</v>
          </cell>
          <cell r="D9">
            <v>53.694000000000003</v>
          </cell>
          <cell r="E9">
            <v>69.724999999999994</v>
          </cell>
          <cell r="F9">
            <v>355.37200000000001</v>
          </cell>
          <cell r="G9">
            <v>1</v>
          </cell>
          <cell r="H9">
            <v>120</v>
          </cell>
          <cell r="K9">
            <v>73.5</v>
          </cell>
          <cell r="L9">
            <v>-3.7750000000000057</v>
          </cell>
          <cell r="O9">
            <v>-320</v>
          </cell>
          <cell r="Q9">
            <v>13.944999999999999</v>
          </cell>
          <cell r="R9">
            <v>145.91299999999995</v>
          </cell>
          <cell r="S9">
            <v>170</v>
          </cell>
        </row>
        <row r="10">
          <cell r="A10" t="str">
            <v>4421577 Спред растительно-сливочный "Сливочный вкус" 82,5% 180гр  Останкино</v>
          </cell>
          <cell r="B10" t="str">
            <v>шт</v>
          </cell>
          <cell r="G10">
            <v>0.18</v>
          </cell>
          <cell r="H10">
            <v>180</v>
          </cell>
          <cell r="L10">
            <v>0</v>
          </cell>
          <cell r="P10">
            <v>0</v>
          </cell>
          <cell r="Q10">
            <v>0</v>
          </cell>
          <cell r="R10">
            <v>12</v>
          </cell>
          <cell r="S10">
            <v>0</v>
          </cell>
        </row>
        <row r="11">
          <cell r="A11" t="str">
            <v>4421584 Спред растительно-сливочный "Сливочный вкус" 72,5% 180гр  Останкино</v>
          </cell>
          <cell r="B11" t="str">
            <v>шт</v>
          </cell>
          <cell r="G11">
            <v>0.18</v>
          </cell>
          <cell r="H11">
            <v>180</v>
          </cell>
          <cell r="L11">
            <v>0</v>
          </cell>
          <cell r="P11">
            <v>0</v>
          </cell>
          <cell r="Q11">
            <v>0</v>
          </cell>
          <cell r="R11">
            <v>12</v>
          </cell>
          <cell r="S11">
            <v>0</v>
          </cell>
        </row>
        <row r="12">
          <cell r="A12" t="str">
            <v>4931  Сыр полутвердый "Купеческий" с ароматом топленого молока, с м.д.ж. 50% ОСТАНКИНО</v>
          </cell>
          <cell r="B12" t="str">
            <v>кг</v>
          </cell>
          <cell r="C12">
            <v>67.757999999999996</v>
          </cell>
          <cell r="E12">
            <v>31.21</v>
          </cell>
          <cell r="F12">
            <v>23.408000000000001</v>
          </cell>
          <cell r="G12">
            <v>1</v>
          </cell>
          <cell r="H12">
            <v>180</v>
          </cell>
          <cell r="K12">
            <v>34.1</v>
          </cell>
          <cell r="L12">
            <v>-2.8900000000000006</v>
          </cell>
          <cell r="Q12">
            <v>6.242</v>
          </cell>
          <cell r="R12">
            <v>63.980000000000004</v>
          </cell>
        </row>
        <row r="13">
          <cell r="A13" t="str">
            <v>6948249 Майонезный соус провансаль 824,5гр деликатес.с массовой долей жирн.25% Коровино Останкино</v>
          </cell>
          <cell r="B13" t="str">
            <v>шт</v>
          </cell>
          <cell r="C13">
            <v>40</v>
          </cell>
          <cell r="E13">
            <v>2</v>
          </cell>
          <cell r="F13">
            <v>38</v>
          </cell>
          <cell r="G13">
            <v>0.82450000000000001</v>
          </cell>
          <cell r="H13">
            <v>180</v>
          </cell>
          <cell r="K13">
            <v>2</v>
          </cell>
          <cell r="L13">
            <v>0</v>
          </cell>
          <cell r="Q13">
            <v>0.4</v>
          </cell>
        </row>
        <row r="14">
          <cell r="A14" t="str">
            <v>6948256 Майонез провансаль классич.оливковый Папа может 372гр с массовой долей жирн. 67% Останкино</v>
          </cell>
          <cell r="B14" t="str">
            <v>шт</v>
          </cell>
          <cell r="C14">
            <v>56</v>
          </cell>
          <cell r="D14">
            <v>24</v>
          </cell>
          <cell r="E14">
            <v>84</v>
          </cell>
          <cell r="F14">
            <v>-4</v>
          </cell>
          <cell r="G14">
            <v>0.372</v>
          </cell>
          <cell r="H14">
            <v>180</v>
          </cell>
          <cell r="K14">
            <v>122</v>
          </cell>
          <cell r="L14">
            <v>-38</v>
          </cell>
          <cell r="P14">
            <v>312</v>
          </cell>
          <cell r="Q14">
            <v>16.8</v>
          </cell>
          <cell r="S14">
            <v>300</v>
          </cell>
        </row>
        <row r="15">
          <cell r="A15" t="str">
            <v>6948263 Майонез провансаль классич.оливковый Папа может 744гр с массовой долей жирн. 67% Останкино</v>
          </cell>
          <cell r="B15" t="str">
            <v>шт</v>
          </cell>
          <cell r="C15">
            <v>255</v>
          </cell>
          <cell r="E15">
            <v>41</v>
          </cell>
          <cell r="F15">
            <v>205</v>
          </cell>
          <cell r="G15">
            <v>0.74399999999999999</v>
          </cell>
          <cell r="H15">
            <v>180</v>
          </cell>
          <cell r="K15">
            <v>41</v>
          </cell>
          <cell r="L15">
            <v>0</v>
          </cell>
          <cell r="Q15">
            <v>8.1999999999999993</v>
          </cell>
        </row>
        <row r="16">
          <cell r="A16" t="str">
            <v>6948270 Майонез провансаль классич.Папа может 372гр с массовой долей жирн. 67% Останкино</v>
          </cell>
          <cell r="B16" t="str">
            <v>шт</v>
          </cell>
          <cell r="C16">
            <v>152</v>
          </cell>
          <cell r="D16">
            <v>96</v>
          </cell>
          <cell r="E16">
            <v>208</v>
          </cell>
          <cell r="F16">
            <v>25</v>
          </cell>
          <cell r="G16">
            <v>0.372</v>
          </cell>
          <cell r="H16">
            <v>180</v>
          </cell>
          <cell r="K16">
            <v>217</v>
          </cell>
          <cell r="L16">
            <v>-9</v>
          </cell>
          <cell r="P16">
            <v>528</v>
          </cell>
          <cell r="Q16">
            <v>41.6</v>
          </cell>
          <cell r="R16">
            <v>29.399999999999977</v>
          </cell>
          <cell r="S16">
            <v>200</v>
          </cell>
        </row>
        <row r="17">
          <cell r="A17" t="str">
            <v>6948287 Майонез провансаль классич.Папа может 744гр с массовой долей жирн. 67% Останкино</v>
          </cell>
          <cell r="B17" t="str">
            <v>шт</v>
          </cell>
          <cell r="C17">
            <v>281</v>
          </cell>
          <cell r="D17">
            <v>48</v>
          </cell>
          <cell r="E17">
            <v>135</v>
          </cell>
          <cell r="F17">
            <v>182</v>
          </cell>
          <cell r="G17">
            <v>0.74399999999999999</v>
          </cell>
          <cell r="H17">
            <v>180</v>
          </cell>
          <cell r="K17">
            <v>141</v>
          </cell>
          <cell r="L17">
            <v>-6</v>
          </cell>
          <cell r="Q17">
            <v>27</v>
          </cell>
          <cell r="R17">
            <v>196</v>
          </cell>
        </row>
        <row r="18">
          <cell r="A18" t="str">
            <v>9988438 Плавленый Сыр 45% "С ветчиной" СТМ"ПапаМожет" 180гр  Останкино</v>
          </cell>
          <cell r="B18" t="str">
            <v>шт</v>
          </cell>
          <cell r="C18">
            <v>50</v>
          </cell>
          <cell r="E18">
            <v>17</v>
          </cell>
          <cell r="F18">
            <v>26</v>
          </cell>
          <cell r="G18">
            <v>0.18</v>
          </cell>
          <cell r="H18">
            <v>270</v>
          </cell>
          <cell r="K18">
            <v>18</v>
          </cell>
          <cell r="L18">
            <v>-1</v>
          </cell>
          <cell r="P18">
            <v>128</v>
          </cell>
          <cell r="Q18">
            <v>3.4</v>
          </cell>
          <cell r="S18">
            <v>50</v>
          </cell>
        </row>
        <row r="19">
          <cell r="A19" t="str">
            <v>Масло "Папа может" 82,5% 180гр  Останкино</v>
          </cell>
          <cell r="B19" t="str">
            <v>шт</v>
          </cell>
          <cell r="C19">
            <v>246</v>
          </cell>
          <cell r="E19">
            <v>138</v>
          </cell>
          <cell r="F19">
            <v>92</v>
          </cell>
          <cell r="G19">
            <v>0.18</v>
          </cell>
          <cell r="H19">
            <v>180</v>
          </cell>
          <cell r="K19">
            <v>144</v>
          </cell>
          <cell r="L19">
            <v>-6</v>
          </cell>
          <cell r="Q19">
            <v>27.6</v>
          </cell>
          <cell r="R19">
            <v>266.8</v>
          </cell>
        </row>
        <row r="20">
          <cell r="A20" t="str">
            <v>Масло сливочное 72,5 % 180 гр.(10 шт) СЛАВЯНА  Останкино</v>
          </cell>
          <cell r="B20" t="str">
            <v>шт</v>
          </cell>
          <cell r="C20">
            <v>79</v>
          </cell>
          <cell r="E20">
            <v>75</v>
          </cell>
          <cell r="F20">
            <v>2</v>
          </cell>
          <cell r="G20">
            <v>0.18</v>
          </cell>
          <cell r="H20">
            <v>180</v>
          </cell>
          <cell r="K20">
            <v>75</v>
          </cell>
          <cell r="L20">
            <v>0</v>
          </cell>
          <cell r="Q20">
            <v>15</v>
          </cell>
          <cell r="R20">
            <v>148</v>
          </cell>
          <cell r="S20">
            <v>180</v>
          </cell>
        </row>
        <row r="21">
          <cell r="A21" t="str">
            <v>Плавленый Сыр колбасный копченый 40% СТМ"ПапаМожет"400гр  Останкино</v>
          </cell>
          <cell r="B21" t="str">
            <v>шт</v>
          </cell>
          <cell r="C21">
            <v>16</v>
          </cell>
          <cell r="F21">
            <v>16</v>
          </cell>
          <cell r="G21">
            <v>0.4</v>
          </cell>
          <cell r="H21">
            <v>270</v>
          </cell>
          <cell r="L21">
            <v>0</v>
          </cell>
          <cell r="Q21">
            <v>0</v>
          </cell>
        </row>
        <row r="22">
          <cell r="A22" t="str">
            <v>Плавленый продукт с Сыром колбасный копченый 40% СТМ "Коровино" 400гр  Останкино</v>
          </cell>
          <cell r="B22" t="str">
            <v>шт</v>
          </cell>
          <cell r="C22">
            <v>66</v>
          </cell>
          <cell r="E22">
            <v>3</v>
          </cell>
          <cell r="F22">
            <v>63</v>
          </cell>
          <cell r="G22">
            <v>0.4</v>
          </cell>
          <cell r="H22">
            <v>270</v>
          </cell>
          <cell r="K22">
            <v>3</v>
          </cell>
          <cell r="L22">
            <v>0</v>
          </cell>
          <cell r="Q22">
            <v>0.6</v>
          </cell>
        </row>
        <row r="23">
          <cell r="A23" t="str">
            <v>Сыр "Пармезан" 40% кусок 180 гр  ОСТАНКИНО</v>
          </cell>
          <cell r="B23" t="str">
            <v>шт</v>
          </cell>
          <cell r="C23">
            <v>15</v>
          </cell>
          <cell r="D23">
            <v>24</v>
          </cell>
          <cell r="E23">
            <v>23</v>
          </cell>
          <cell r="F23">
            <v>16</v>
          </cell>
          <cell r="G23">
            <v>0.18</v>
          </cell>
          <cell r="H23">
            <v>150</v>
          </cell>
          <cell r="K23">
            <v>34</v>
          </cell>
          <cell r="L23">
            <v>-11</v>
          </cell>
          <cell r="Q23">
            <v>4.5999999999999996</v>
          </cell>
          <cell r="R23">
            <v>43.8</v>
          </cell>
          <cell r="S23">
            <v>60</v>
          </cell>
        </row>
        <row r="24">
          <cell r="A24" t="str">
            <v>Сыр Косичка сырная копченая 43% 100г/8шт Папа Может Останкино</v>
          </cell>
          <cell r="B24" t="str">
            <v>шт</v>
          </cell>
          <cell r="C24">
            <v>25</v>
          </cell>
          <cell r="D24">
            <v>56</v>
          </cell>
          <cell r="E24">
            <v>43</v>
          </cell>
          <cell r="F24">
            <v>37</v>
          </cell>
          <cell r="G24">
            <v>0.1</v>
          </cell>
          <cell r="H24">
            <v>90</v>
          </cell>
          <cell r="K24">
            <v>43</v>
          </cell>
          <cell r="L24">
            <v>0</v>
          </cell>
          <cell r="P24">
            <v>32</v>
          </cell>
          <cell r="Q24">
            <v>8.6</v>
          </cell>
          <cell r="R24">
            <v>51.399999999999991</v>
          </cell>
        </row>
        <row r="25">
          <cell r="A25" t="str">
            <v>Сыр ПАПА МОЖЕТ "Гауда Голд" 45 % 180 гр (10шт) Останкино</v>
          </cell>
          <cell r="B25" t="str">
            <v>шт</v>
          </cell>
          <cell r="C25">
            <v>246</v>
          </cell>
          <cell r="D25">
            <v>150</v>
          </cell>
          <cell r="E25">
            <v>139</v>
          </cell>
          <cell r="F25">
            <v>246</v>
          </cell>
          <cell r="G25">
            <v>0.18</v>
          </cell>
          <cell r="H25">
            <v>150</v>
          </cell>
          <cell r="I25" t="str">
            <v>ВНИМАНИЕ</v>
          </cell>
          <cell r="K25">
            <v>142</v>
          </cell>
          <cell r="L25">
            <v>-3</v>
          </cell>
          <cell r="Q25">
            <v>27.8</v>
          </cell>
          <cell r="R25">
            <v>143.19999999999999</v>
          </cell>
        </row>
        <row r="26">
          <cell r="A26" t="str">
            <v>Сыр ПАПА МОЖЕТ "Голландский традиционный" 45% 180 гр (10шт)  Останкино</v>
          </cell>
          <cell r="B26" t="str">
            <v>шт</v>
          </cell>
          <cell r="C26">
            <v>4</v>
          </cell>
          <cell r="D26">
            <v>130</v>
          </cell>
          <cell r="E26">
            <v>74</v>
          </cell>
          <cell r="F26">
            <v>47</v>
          </cell>
          <cell r="G26">
            <v>0.18</v>
          </cell>
          <cell r="H26">
            <v>150</v>
          </cell>
          <cell r="K26">
            <v>103</v>
          </cell>
          <cell r="L26">
            <v>-29</v>
          </cell>
          <cell r="P26">
            <v>180</v>
          </cell>
          <cell r="Q26">
            <v>14.8</v>
          </cell>
          <cell r="S26">
            <v>100</v>
          </cell>
        </row>
        <row r="27">
          <cell r="A27" t="str">
            <v>Сыр ПАПА МОЖЕТ "Министерский" 180 г фасованный массовая  Останкино</v>
          </cell>
          <cell r="B27" t="str">
            <v>шт</v>
          </cell>
          <cell r="C27">
            <v>1</v>
          </cell>
          <cell r="D27">
            <v>40</v>
          </cell>
          <cell r="E27">
            <v>10</v>
          </cell>
          <cell r="F27">
            <v>25</v>
          </cell>
          <cell r="G27">
            <v>0.18</v>
          </cell>
          <cell r="H27">
            <v>150</v>
          </cell>
          <cell r="K27">
            <v>36</v>
          </cell>
          <cell r="L27">
            <v>-26</v>
          </cell>
          <cell r="P27">
            <v>170</v>
          </cell>
          <cell r="Q27">
            <v>2</v>
          </cell>
        </row>
        <row r="28">
          <cell r="A28" t="str">
            <v>Сыр ПАПА МОЖЕТ "Папин завтрак"  45% 180 г  Останкино</v>
          </cell>
          <cell r="B28" t="str">
            <v>шт</v>
          </cell>
          <cell r="C28">
            <v>44</v>
          </cell>
          <cell r="D28">
            <v>60</v>
          </cell>
          <cell r="E28">
            <v>25</v>
          </cell>
          <cell r="F28">
            <v>71</v>
          </cell>
          <cell r="G28">
            <v>0.18</v>
          </cell>
          <cell r="H28">
            <v>150</v>
          </cell>
          <cell r="K28">
            <v>27</v>
          </cell>
          <cell r="L28">
            <v>-2</v>
          </cell>
          <cell r="Q28">
            <v>5</v>
          </cell>
        </row>
        <row r="29">
          <cell r="A29" t="str">
            <v>Сыр ПАПА МОЖЕТ "Российский традиционный"45 % 180 г Останкино</v>
          </cell>
          <cell r="B29" t="str">
            <v>шт</v>
          </cell>
          <cell r="C29">
            <v>150</v>
          </cell>
          <cell r="D29">
            <v>160</v>
          </cell>
          <cell r="E29">
            <v>136</v>
          </cell>
          <cell r="F29">
            <v>161</v>
          </cell>
          <cell r="G29">
            <v>0.18</v>
          </cell>
          <cell r="H29">
            <v>150</v>
          </cell>
          <cell r="K29">
            <v>145</v>
          </cell>
          <cell r="L29">
            <v>-9</v>
          </cell>
          <cell r="P29">
            <v>20</v>
          </cell>
          <cell r="Q29">
            <v>27.2</v>
          </cell>
          <cell r="R29">
            <v>199.8</v>
          </cell>
        </row>
        <row r="30">
          <cell r="A30" t="str">
            <v>Сыр ПАПА МОЖЕТ "Тильзитер" фасованный массовая доля жира в сухом веществе 45%, 180г  Останкино</v>
          </cell>
          <cell r="B30" t="str">
            <v>шт</v>
          </cell>
          <cell r="C30">
            <v>138</v>
          </cell>
          <cell r="E30">
            <v>43</v>
          </cell>
          <cell r="F30">
            <v>87</v>
          </cell>
          <cell r="G30">
            <v>0.18</v>
          </cell>
          <cell r="H30">
            <v>150</v>
          </cell>
          <cell r="K30">
            <v>43</v>
          </cell>
          <cell r="L30">
            <v>0</v>
          </cell>
          <cell r="P30">
            <v>10</v>
          </cell>
          <cell r="Q30">
            <v>8.6</v>
          </cell>
          <cell r="R30">
            <v>23.399999999999991</v>
          </cell>
          <cell r="S30">
            <v>60</v>
          </cell>
        </row>
        <row r="31">
          <cell r="A31" t="str">
            <v>Сыр Папа Может "Гауда Голд" 45% (-2,5 кг брус) (6 шт)  Останкино</v>
          </cell>
          <cell r="B31" t="str">
            <v>кг</v>
          </cell>
          <cell r="C31">
            <v>36.363999999999997</v>
          </cell>
          <cell r="F31">
            <v>36.363999999999997</v>
          </cell>
          <cell r="G31">
            <v>1</v>
          </cell>
          <cell r="L31">
            <v>0</v>
          </cell>
          <cell r="Q31">
            <v>0</v>
          </cell>
          <cell r="S31">
            <v>10</v>
          </cell>
        </row>
        <row r="32">
          <cell r="A32" t="str">
            <v>Сыр Творожный с зеленью 60% Папа может 140 гр.  Останкино</v>
          </cell>
          <cell r="B32" t="str">
            <v>шт</v>
          </cell>
          <cell r="C32">
            <v>64</v>
          </cell>
          <cell r="D32">
            <v>48</v>
          </cell>
          <cell r="E32">
            <v>14</v>
          </cell>
          <cell r="F32">
            <v>90</v>
          </cell>
          <cell r="G32">
            <v>0.14000000000000001</v>
          </cell>
          <cell r="H32">
            <v>180</v>
          </cell>
          <cell r="K32">
            <v>18</v>
          </cell>
          <cell r="L32">
            <v>-4</v>
          </cell>
          <cell r="Q32">
            <v>2.8</v>
          </cell>
        </row>
        <row r="33">
          <cell r="A33" t="str">
            <v>Сыр плавленный Сливочный ж.45% 180г ТМ Папа может (16шт)  Останкино</v>
          </cell>
          <cell r="B33" t="str">
            <v>шт</v>
          </cell>
          <cell r="C33">
            <v>97</v>
          </cell>
          <cell r="E33">
            <v>17</v>
          </cell>
          <cell r="F33">
            <v>76</v>
          </cell>
          <cell r="G33">
            <v>0.18</v>
          </cell>
          <cell r="H33">
            <v>270</v>
          </cell>
          <cell r="K33">
            <v>18</v>
          </cell>
          <cell r="L33">
            <v>-1</v>
          </cell>
          <cell r="P33">
            <v>48</v>
          </cell>
          <cell r="Q33">
            <v>3.4</v>
          </cell>
        </row>
        <row r="34">
          <cell r="A34" t="str">
            <v>Сыр полутвердый "Гауда" с массовой долей жира в пересчете на сухое вещество 45%,   Останкино</v>
          </cell>
          <cell r="B34" t="str">
            <v>кг</v>
          </cell>
          <cell r="C34">
            <v>-3.052</v>
          </cell>
          <cell r="D34">
            <v>16.975999999999999</v>
          </cell>
          <cell r="E34">
            <v>3.234</v>
          </cell>
          <cell r="F34">
            <v>10.69</v>
          </cell>
          <cell r="G34">
            <v>1</v>
          </cell>
          <cell r="H34">
            <v>180</v>
          </cell>
          <cell r="K34">
            <v>2.5</v>
          </cell>
          <cell r="L34">
            <v>0.73399999999999999</v>
          </cell>
          <cell r="Q34">
            <v>0.64680000000000004</v>
          </cell>
        </row>
        <row r="35">
          <cell r="A35" t="str">
            <v>Сыр полутвердый "Сметанковый", с масс долей жира в пересчете на сухое вещес50%, брус  Останкино</v>
          </cell>
          <cell r="B35" t="str">
            <v>кг</v>
          </cell>
          <cell r="C35">
            <v>33.718000000000004</v>
          </cell>
          <cell r="E35">
            <v>21.411999999999999</v>
          </cell>
          <cell r="F35">
            <v>12.305999999999999</v>
          </cell>
          <cell r="G35">
            <v>1</v>
          </cell>
          <cell r="H35">
            <v>180</v>
          </cell>
          <cell r="K35">
            <v>22.4</v>
          </cell>
          <cell r="L35">
            <v>-0.98799999999999955</v>
          </cell>
          <cell r="P35">
            <v>33</v>
          </cell>
          <cell r="Q35">
            <v>4.2824</v>
          </cell>
          <cell r="R35">
            <v>14.647600000000002</v>
          </cell>
          <cell r="S35">
            <v>30</v>
          </cell>
        </row>
        <row r="36">
          <cell r="A36" t="str">
            <v>Сыр рассольный жирный Чечил 45% 100 гр  ОСТАНКИНО</v>
          </cell>
          <cell r="B36" t="str">
            <v>шт</v>
          </cell>
          <cell r="C36">
            <v>65</v>
          </cell>
          <cell r="E36">
            <v>18</v>
          </cell>
          <cell r="F36">
            <v>47</v>
          </cell>
          <cell r="G36">
            <v>0.1</v>
          </cell>
          <cell r="H36">
            <v>60</v>
          </cell>
          <cell r="K36">
            <v>18</v>
          </cell>
          <cell r="L36">
            <v>0</v>
          </cell>
          <cell r="Q36">
            <v>3.6</v>
          </cell>
          <cell r="S36">
            <v>40</v>
          </cell>
        </row>
        <row r="37">
          <cell r="A37" t="str">
            <v>Сыр рассольный жирный Чечил копченый 43% 100 гр  Останкино</v>
          </cell>
          <cell r="B37" t="str">
            <v>шт</v>
          </cell>
          <cell r="C37">
            <v>115</v>
          </cell>
          <cell r="E37">
            <v>22</v>
          </cell>
          <cell r="F37">
            <v>91</v>
          </cell>
          <cell r="G37">
            <v>0.1</v>
          </cell>
          <cell r="H37">
            <v>90</v>
          </cell>
          <cell r="K37">
            <v>22</v>
          </cell>
          <cell r="L37">
            <v>0</v>
          </cell>
          <cell r="Q37">
            <v>4.4000000000000004</v>
          </cell>
        </row>
        <row r="38">
          <cell r="A38" t="str">
            <v>Сыр творожный Сливочный 140 гр.  Останкино</v>
          </cell>
          <cell r="B38" t="str">
            <v>шт</v>
          </cell>
          <cell r="C38">
            <v>12</v>
          </cell>
          <cell r="D38">
            <v>96</v>
          </cell>
          <cell r="E38">
            <v>11</v>
          </cell>
          <cell r="F38">
            <v>94</v>
          </cell>
          <cell r="G38">
            <v>0.14000000000000001</v>
          </cell>
          <cell r="H38">
            <v>180</v>
          </cell>
          <cell r="K38">
            <v>12</v>
          </cell>
          <cell r="L38">
            <v>-1</v>
          </cell>
          <cell r="P38">
            <v>16</v>
          </cell>
          <cell r="Q38">
            <v>2.2000000000000002</v>
          </cell>
        </row>
        <row r="39">
          <cell r="A39" t="str">
            <v>Сыч/Прод Коровино Российский 50% 200г НОВАЯ СЗМЖ  ОСТАНКИНО</v>
          </cell>
          <cell r="B39" t="str">
            <v>шт</v>
          </cell>
          <cell r="C39">
            <v>60</v>
          </cell>
          <cell r="D39">
            <v>212</v>
          </cell>
          <cell r="E39">
            <v>168</v>
          </cell>
          <cell r="F39">
            <v>102</v>
          </cell>
          <cell r="G39">
            <v>0.2</v>
          </cell>
          <cell r="H39">
            <v>120</v>
          </cell>
          <cell r="K39">
            <v>165</v>
          </cell>
          <cell r="L39">
            <v>3</v>
          </cell>
          <cell r="P39">
            <v>140</v>
          </cell>
          <cell r="Q39">
            <v>33.6</v>
          </cell>
          <cell r="R39">
            <v>228.40000000000003</v>
          </cell>
        </row>
        <row r="40">
          <cell r="A40" t="str">
            <v>Сыч/Прод Коровино Российский Оригин 50% ВЕС НОВАЯ (3,5 кг)  ОСТАНКИНО</v>
          </cell>
          <cell r="B40" t="str">
            <v>кг</v>
          </cell>
          <cell r="C40">
            <v>35.374000000000002</v>
          </cell>
          <cell r="E40">
            <v>9.7520000000000007</v>
          </cell>
          <cell r="F40">
            <v>25.622</v>
          </cell>
          <cell r="G40">
            <v>1</v>
          </cell>
          <cell r="H40">
            <v>120</v>
          </cell>
          <cell r="K40">
            <v>10.5</v>
          </cell>
          <cell r="L40">
            <v>-0.74799999999999933</v>
          </cell>
          <cell r="Q40">
            <v>1.9504000000000001</v>
          </cell>
        </row>
        <row r="41">
          <cell r="A41" t="str">
            <v>Сыч/Прод Коровино Тильзитер 50% 200г НОВАЯ СЗМЖ  ОСТАНКИНО</v>
          </cell>
          <cell r="B41" t="str">
            <v>шт</v>
          </cell>
          <cell r="C41">
            <v>209</v>
          </cell>
          <cell r="D41">
            <v>2</v>
          </cell>
          <cell r="E41">
            <v>86</v>
          </cell>
          <cell r="F41">
            <v>115</v>
          </cell>
          <cell r="G41">
            <v>0.2</v>
          </cell>
          <cell r="H41">
            <v>120</v>
          </cell>
          <cell r="K41">
            <v>86</v>
          </cell>
          <cell r="L41">
            <v>0</v>
          </cell>
          <cell r="P41">
            <v>10</v>
          </cell>
          <cell r="Q41">
            <v>17.2</v>
          </cell>
          <cell r="R41">
            <v>115.79999999999998</v>
          </cell>
        </row>
        <row r="42">
          <cell r="A42" t="str">
            <v>Сыч/Прод Коровино Тильзитер Оригин 50% ВЕС НОВАЯ (5 кг брус) СЗМЖ  ОСТАНКИНО</v>
          </cell>
          <cell r="B42" t="str">
            <v>кг</v>
          </cell>
          <cell r="C42">
            <v>0.76600000000000001</v>
          </cell>
          <cell r="F42">
            <v>0.76600000000000001</v>
          </cell>
          <cell r="G42">
            <v>1</v>
          </cell>
          <cell r="H42">
            <v>120</v>
          </cell>
          <cell r="L42">
            <v>0</v>
          </cell>
          <cell r="P42">
            <v>15</v>
          </cell>
          <cell r="Q42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Y1" sqref="Y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0.140625" customWidth="1"/>
    <col min="10" max="10" width="1" customWidth="1"/>
    <col min="11" max="12" width="7" customWidth="1"/>
    <col min="13" max="14" width="0.5703125" customWidth="1"/>
    <col min="15" max="21" width="7" customWidth="1"/>
    <col min="22" max="23" width="5" customWidth="1"/>
    <col min="24" max="33" width="6" customWidth="1"/>
    <col min="34" max="34" width="49.7109375" customWidth="1"/>
    <col min="35" max="35" width="7" customWidth="1"/>
    <col min="36" max="50" width="8" customWidth="1"/>
  </cols>
  <sheetData>
    <row r="1" spans="1:5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0" t="s">
        <v>84</v>
      </c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3" t="s">
        <v>86</v>
      </c>
      <c r="T3" s="3" t="s">
        <v>89</v>
      </c>
      <c r="U3" s="3" t="s">
        <v>87</v>
      </c>
      <c r="V3" s="2" t="s">
        <v>17</v>
      </c>
      <c r="W3" s="2" t="s">
        <v>18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20</v>
      </c>
      <c r="AI3" s="2" t="s">
        <v>21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/>
      <c r="S4" s="1"/>
      <c r="T4" s="1"/>
      <c r="U4" s="1"/>
      <c r="V4" s="1"/>
      <c r="W4" s="1"/>
      <c r="X4" s="1" t="s">
        <v>25</v>
      </c>
      <c r="Y4" s="1" t="s">
        <v>26</v>
      </c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SUM(E6:E500)</f>
        <v>1724.3329999999999</v>
      </c>
      <c r="F5" s="4">
        <f>SUM(F6:F500)</f>
        <v>2600.5280000000002</v>
      </c>
      <c r="G5" s="7"/>
      <c r="H5" s="1"/>
      <c r="I5" s="1"/>
      <c r="J5" s="1"/>
      <c r="K5" s="4">
        <f t="shared" ref="K5:U5" si="0">SUM(K6:K500)</f>
        <v>1875</v>
      </c>
      <c r="L5" s="4">
        <f t="shared" si="0"/>
        <v>-150.667</v>
      </c>
      <c r="M5" s="4">
        <f t="shared" si="0"/>
        <v>0</v>
      </c>
      <c r="N5" s="4">
        <f t="shared" si="0"/>
        <v>0</v>
      </c>
      <c r="O5" s="4">
        <f t="shared" si="0"/>
        <v>-320</v>
      </c>
      <c r="P5" s="4">
        <f t="shared" si="0"/>
        <v>1642</v>
      </c>
      <c r="Q5" s="4">
        <f t="shared" si="0"/>
        <v>344.86660000000001</v>
      </c>
      <c r="R5" s="4">
        <f t="shared" si="0"/>
        <v>1685.9405999999999</v>
      </c>
      <c r="S5" s="4">
        <f t="shared" si="0"/>
        <v>2350.7800000000002</v>
      </c>
      <c r="T5" s="4">
        <f t="shared" si="0"/>
        <v>2365</v>
      </c>
      <c r="U5" s="4">
        <f t="shared" si="0"/>
        <v>1200</v>
      </c>
      <c r="V5" s="1"/>
      <c r="W5" s="1"/>
      <c r="X5" s="4">
        <f t="shared" ref="X5:AG5" si="1">SUM(X6:X500)</f>
        <v>356.29920000000016</v>
      </c>
      <c r="Y5" s="4">
        <f t="shared" si="1"/>
        <v>297.89479999999998</v>
      </c>
      <c r="Z5" s="4">
        <f t="shared" si="1"/>
        <v>334.9140000000001</v>
      </c>
      <c r="AA5" s="4">
        <f t="shared" si="1"/>
        <v>295.55619999999999</v>
      </c>
      <c r="AB5" s="4">
        <f t="shared" si="1"/>
        <v>290.94040000000001</v>
      </c>
      <c r="AC5" s="4">
        <f t="shared" si="1"/>
        <v>423.62720000000007</v>
      </c>
      <c r="AD5" s="4">
        <f t="shared" si="1"/>
        <v>407.03879999999987</v>
      </c>
      <c r="AE5" s="4">
        <f t="shared" si="1"/>
        <v>324.46199999999999</v>
      </c>
      <c r="AF5" s="4">
        <f t="shared" si="1"/>
        <v>381.00680000000006</v>
      </c>
      <c r="AG5" s="4">
        <f t="shared" si="1"/>
        <v>402.34719999999999</v>
      </c>
      <c r="AH5" s="1"/>
      <c r="AI5" s="4">
        <f>SUM(AI6:AI500)</f>
        <v>846.08799999999985</v>
      </c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pans="1:50" x14ac:dyDescent="0.25">
      <c r="A6" s="1" t="s">
        <v>35</v>
      </c>
      <c r="B6" s="1" t="s">
        <v>36</v>
      </c>
      <c r="C6" s="1">
        <v>73</v>
      </c>
      <c r="D6" s="1"/>
      <c r="E6" s="1">
        <v>16</v>
      </c>
      <c r="F6" s="1">
        <v>57</v>
      </c>
      <c r="G6" s="7">
        <v>5.5E-2</v>
      </c>
      <c r="H6" s="1">
        <v>120</v>
      </c>
      <c r="I6" s="1"/>
      <c r="J6" s="1"/>
      <c r="K6" s="1">
        <v>16</v>
      </c>
      <c r="L6" s="1">
        <f t="shared" ref="L6:L42" si="2">E6-K6</f>
        <v>0</v>
      </c>
      <c r="M6" s="1"/>
      <c r="N6" s="1"/>
      <c r="O6" s="1"/>
      <c r="P6" s="1"/>
      <c r="Q6" s="1">
        <f>E6/5</f>
        <v>3.2</v>
      </c>
      <c r="R6" s="5"/>
      <c r="S6" s="5">
        <f>R6</f>
        <v>0</v>
      </c>
      <c r="T6" s="5"/>
      <c r="U6" s="14"/>
      <c r="V6" s="1">
        <f>(F6+O6+P6+S6)/Q6</f>
        <v>17.8125</v>
      </c>
      <c r="W6" s="1">
        <f>(F6+O6+P6)/Q6</f>
        <v>17.8125</v>
      </c>
      <c r="X6" s="1">
        <v>0.4</v>
      </c>
      <c r="Y6" s="1">
        <v>2.4</v>
      </c>
      <c r="Z6" s="1">
        <v>1.6</v>
      </c>
      <c r="AA6" s="1">
        <v>0</v>
      </c>
      <c r="AB6" s="1">
        <v>1.8</v>
      </c>
      <c r="AC6" s="1">
        <v>7.4</v>
      </c>
      <c r="AD6" s="1">
        <v>0.4</v>
      </c>
      <c r="AE6" s="1">
        <v>0</v>
      </c>
      <c r="AF6" s="1">
        <v>0</v>
      </c>
      <c r="AG6" s="1">
        <v>0</v>
      </c>
      <c r="AH6" s="11" t="s">
        <v>85</v>
      </c>
      <c r="AI6" s="1">
        <f>G6*S6</f>
        <v>0</v>
      </c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pans="1:50" x14ac:dyDescent="0.25">
      <c r="A7" s="1" t="s">
        <v>37</v>
      </c>
      <c r="B7" s="1" t="s">
        <v>36</v>
      </c>
      <c r="C7" s="1">
        <v>92</v>
      </c>
      <c r="D7" s="1"/>
      <c r="E7" s="1">
        <v>28</v>
      </c>
      <c r="F7" s="1">
        <v>63</v>
      </c>
      <c r="G7" s="7">
        <v>0.1</v>
      </c>
      <c r="H7" s="1">
        <v>120</v>
      </c>
      <c r="I7" s="1"/>
      <c r="J7" s="1"/>
      <c r="K7" s="1">
        <v>28</v>
      </c>
      <c r="L7" s="1">
        <f t="shared" si="2"/>
        <v>0</v>
      </c>
      <c r="M7" s="1"/>
      <c r="N7" s="1"/>
      <c r="O7" s="1"/>
      <c r="P7" s="1"/>
      <c r="Q7" s="1">
        <f t="shared" ref="Q7:Q42" si="3">E7/5</f>
        <v>5.6</v>
      </c>
      <c r="R7" s="5">
        <f t="shared" ref="R7:R41" si="4">14*Q7-P7-O7-F7</f>
        <v>15.399999999999991</v>
      </c>
      <c r="S7" s="5">
        <f t="shared" ref="S7:S42" si="5">R7</f>
        <v>15.399999999999991</v>
      </c>
      <c r="T7" s="5">
        <f>VLOOKUP(A7,заказ!A:B,2,0)</f>
        <v>24</v>
      </c>
      <c r="U7" s="14"/>
      <c r="V7" s="1">
        <f>(F7+O7+P7+S7)/Q7</f>
        <v>14</v>
      </c>
      <c r="W7" s="1">
        <f t="shared" ref="W7:W42" si="6">(F7+O7+P7)/Q7</f>
        <v>11.25</v>
      </c>
      <c r="X7" s="1">
        <v>6.2</v>
      </c>
      <c r="Y7" s="1">
        <v>4</v>
      </c>
      <c r="Z7" s="1">
        <v>9.4</v>
      </c>
      <c r="AA7" s="1">
        <v>0.4</v>
      </c>
      <c r="AB7" s="1">
        <v>0</v>
      </c>
      <c r="AC7" s="1">
        <v>9.1999999999999993</v>
      </c>
      <c r="AD7" s="1">
        <v>0.4</v>
      </c>
      <c r="AE7" s="1">
        <v>0</v>
      </c>
      <c r="AF7" s="1">
        <v>0</v>
      </c>
      <c r="AG7" s="1">
        <v>0</v>
      </c>
      <c r="AH7" s="1" t="s">
        <v>38</v>
      </c>
      <c r="AI7" s="1">
        <f t="shared" ref="AI7:AI42" si="7">G7*S7</f>
        <v>1.5399999999999991</v>
      </c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1" t="s">
        <v>39</v>
      </c>
      <c r="B8" s="1" t="s">
        <v>36</v>
      </c>
      <c r="C8" s="1">
        <v>79</v>
      </c>
      <c r="D8" s="1"/>
      <c r="E8" s="1">
        <v>13</v>
      </c>
      <c r="F8" s="1">
        <v>66</v>
      </c>
      <c r="G8" s="7">
        <v>0.1</v>
      </c>
      <c r="H8" s="1">
        <v>120</v>
      </c>
      <c r="I8" s="1"/>
      <c r="J8" s="1"/>
      <c r="K8" s="1">
        <v>13</v>
      </c>
      <c r="L8" s="1">
        <f t="shared" si="2"/>
        <v>0</v>
      </c>
      <c r="M8" s="1"/>
      <c r="N8" s="1"/>
      <c r="O8" s="1"/>
      <c r="P8" s="1"/>
      <c r="Q8" s="1">
        <f t="shared" si="3"/>
        <v>2.6</v>
      </c>
      <c r="R8" s="5"/>
      <c r="S8" s="5">
        <f t="shared" si="5"/>
        <v>0</v>
      </c>
      <c r="T8" s="5"/>
      <c r="U8" s="14"/>
      <c r="V8" s="1">
        <f t="shared" ref="V8:V42" si="8">(F8+O8+P8+S8)/Q8</f>
        <v>25.384615384615383</v>
      </c>
      <c r="W8" s="1">
        <f t="shared" si="6"/>
        <v>25.384615384615383</v>
      </c>
      <c r="X8" s="1">
        <v>4.8</v>
      </c>
      <c r="Y8" s="1">
        <v>3.4</v>
      </c>
      <c r="Z8" s="1">
        <v>7.6</v>
      </c>
      <c r="AA8" s="1">
        <v>0.4</v>
      </c>
      <c r="AB8" s="1">
        <v>0.2</v>
      </c>
      <c r="AC8" s="1">
        <v>9</v>
      </c>
      <c r="AD8" s="1">
        <v>0.4</v>
      </c>
      <c r="AE8" s="1">
        <v>0</v>
      </c>
      <c r="AF8" s="1">
        <v>0</v>
      </c>
      <c r="AG8" s="1">
        <v>0</v>
      </c>
      <c r="AH8" s="11" t="s">
        <v>85</v>
      </c>
      <c r="AI8" s="1">
        <f t="shared" si="7"/>
        <v>0</v>
      </c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pans="1:50" x14ac:dyDescent="0.25">
      <c r="A9" s="1" t="s">
        <v>40</v>
      </c>
      <c r="B9" s="1" t="s">
        <v>41</v>
      </c>
      <c r="C9" s="1">
        <v>372.94099999999997</v>
      </c>
      <c r="D9" s="1">
        <v>53.694000000000003</v>
      </c>
      <c r="E9" s="1">
        <v>69.724999999999994</v>
      </c>
      <c r="F9" s="1">
        <v>355.37200000000001</v>
      </c>
      <c r="G9" s="7">
        <v>1</v>
      </c>
      <c r="H9" s="1">
        <v>120</v>
      </c>
      <c r="I9" s="1"/>
      <c r="J9" s="1"/>
      <c r="K9" s="1">
        <v>73.5</v>
      </c>
      <c r="L9" s="1">
        <f t="shared" si="2"/>
        <v>-3.7750000000000057</v>
      </c>
      <c r="M9" s="1"/>
      <c r="N9" s="1"/>
      <c r="O9" s="1">
        <v>-320</v>
      </c>
      <c r="P9" s="1"/>
      <c r="Q9" s="1">
        <f t="shared" si="3"/>
        <v>13.944999999999999</v>
      </c>
      <c r="R9" s="5">
        <f>13*Q9-P9-O9-F9</f>
        <v>145.91299999999995</v>
      </c>
      <c r="S9" s="5">
        <v>170</v>
      </c>
      <c r="T9" s="5">
        <f>VLOOKUP(A9,заказ!A:B,2,0)</f>
        <v>170</v>
      </c>
      <c r="U9" s="14">
        <f>VLOOKUP(A9,[1]Sheet!$A:$S,19,0)</f>
        <v>170</v>
      </c>
      <c r="V9" s="1">
        <f t="shared" si="8"/>
        <v>14.727285765507354</v>
      </c>
      <c r="W9" s="1">
        <f t="shared" si="6"/>
        <v>2.5365363929723928</v>
      </c>
      <c r="X9" s="1">
        <v>3.8052000000000001</v>
      </c>
      <c r="Y9" s="1">
        <v>0</v>
      </c>
      <c r="Z9" s="1">
        <v>8.1988000000000003</v>
      </c>
      <c r="AA9" s="1">
        <v>12.0482</v>
      </c>
      <c r="AB9" s="1">
        <v>5.5632000000000001</v>
      </c>
      <c r="AC9" s="1">
        <v>12.304</v>
      </c>
      <c r="AD9" s="1">
        <v>7.5140000000000002</v>
      </c>
      <c r="AE9" s="1">
        <v>11.027200000000001</v>
      </c>
      <c r="AF9" s="1">
        <v>9.781600000000001</v>
      </c>
      <c r="AG9" s="1">
        <v>9.0831999999999997</v>
      </c>
      <c r="AH9" s="1" t="s">
        <v>42</v>
      </c>
      <c r="AI9" s="1">
        <f t="shared" si="7"/>
        <v>170</v>
      </c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pans="1:50" x14ac:dyDescent="0.25">
      <c r="A10" s="15" t="s">
        <v>43</v>
      </c>
      <c r="B10" s="15" t="s">
        <v>36</v>
      </c>
      <c r="C10" s="15"/>
      <c r="D10" s="15"/>
      <c r="E10" s="15"/>
      <c r="F10" s="15"/>
      <c r="G10" s="16">
        <v>0</v>
      </c>
      <c r="H10" s="15">
        <v>180</v>
      </c>
      <c r="I10" s="15"/>
      <c r="J10" s="15"/>
      <c r="K10" s="15"/>
      <c r="L10" s="15">
        <f t="shared" si="2"/>
        <v>0</v>
      </c>
      <c r="M10" s="15"/>
      <c r="N10" s="15"/>
      <c r="O10" s="15"/>
      <c r="P10" s="15">
        <v>0</v>
      </c>
      <c r="Q10" s="15">
        <f t="shared" si="3"/>
        <v>0</v>
      </c>
      <c r="R10" s="17">
        <v>0</v>
      </c>
      <c r="S10" s="5">
        <f t="shared" si="5"/>
        <v>0</v>
      </c>
      <c r="T10" s="5"/>
      <c r="U10" s="18">
        <f>VLOOKUP(A10,[1]Sheet!$A:$S,19,0)</f>
        <v>0</v>
      </c>
      <c r="V10" s="15" t="e">
        <f t="shared" si="8"/>
        <v>#DIV/0!</v>
      </c>
      <c r="W10" s="15" t="e">
        <f t="shared" si="6"/>
        <v>#DIV/0!</v>
      </c>
      <c r="X10" s="15">
        <v>0</v>
      </c>
      <c r="Y10" s="15">
        <v>0</v>
      </c>
      <c r="Z10" s="15">
        <v>0</v>
      </c>
      <c r="AA10" s="15">
        <v>0</v>
      </c>
      <c r="AB10" s="15">
        <v>0.4</v>
      </c>
      <c r="AC10" s="15">
        <v>-0.6</v>
      </c>
      <c r="AD10" s="15">
        <v>2.4</v>
      </c>
      <c r="AE10" s="15">
        <v>4.5999999999999996</v>
      </c>
      <c r="AF10" s="15">
        <v>0</v>
      </c>
      <c r="AG10" s="15">
        <v>0</v>
      </c>
      <c r="AH10" s="15" t="s">
        <v>88</v>
      </c>
      <c r="AI10" s="15">
        <f t="shared" si="7"/>
        <v>0</v>
      </c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pans="1:50" x14ac:dyDescent="0.25">
      <c r="A11" s="15" t="s">
        <v>44</v>
      </c>
      <c r="B11" s="15" t="s">
        <v>36</v>
      </c>
      <c r="C11" s="15"/>
      <c r="D11" s="15"/>
      <c r="E11" s="15"/>
      <c r="F11" s="15"/>
      <c r="G11" s="16">
        <v>0</v>
      </c>
      <c r="H11" s="15">
        <v>180</v>
      </c>
      <c r="I11" s="15"/>
      <c r="J11" s="15"/>
      <c r="K11" s="15"/>
      <c r="L11" s="15">
        <f t="shared" si="2"/>
        <v>0</v>
      </c>
      <c r="M11" s="15"/>
      <c r="N11" s="15"/>
      <c r="O11" s="15"/>
      <c r="P11" s="15">
        <v>0</v>
      </c>
      <c r="Q11" s="15">
        <f t="shared" si="3"/>
        <v>0</v>
      </c>
      <c r="R11" s="17">
        <v>0</v>
      </c>
      <c r="S11" s="5">
        <f t="shared" si="5"/>
        <v>0</v>
      </c>
      <c r="T11" s="5"/>
      <c r="U11" s="18">
        <f>VLOOKUP(A11,[1]Sheet!$A:$S,19,0)</f>
        <v>0</v>
      </c>
      <c r="V11" s="15" t="e">
        <f t="shared" si="8"/>
        <v>#DIV/0!</v>
      </c>
      <c r="W11" s="15" t="e">
        <f t="shared" si="6"/>
        <v>#DIV/0!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15">
        <v>-0.8</v>
      </c>
      <c r="AD11" s="15">
        <v>0.8</v>
      </c>
      <c r="AE11" s="15">
        <v>5.6</v>
      </c>
      <c r="AF11" s="15">
        <v>0</v>
      </c>
      <c r="AG11" s="15">
        <v>0</v>
      </c>
      <c r="AH11" s="15" t="s">
        <v>88</v>
      </c>
      <c r="AI11" s="15">
        <f t="shared" si="7"/>
        <v>0</v>
      </c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pans="1:50" x14ac:dyDescent="0.25">
      <c r="A12" s="1" t="s">
        <v>45</v>
      </c>
      <c r="B12" s="1" t="s">
        <v>41</v>
      </c>
      <c r="C12" s="1">
        <v>67.757999999999996</v>
      </c>
      <c r="D12" s="1"/>
      <c r="E12" s="1">
        <v>31.21</v>
      </c>
      <c r="F12" s="1">
        <v>23.408000000000001</v>
      </c>
      <c r="G12" s="7">
        <v>1</v>
      </c>
      <c r="H12" s="1">
        <v>180</v>
      </c>
      <c r="I12" s="1"/>
      <c r="J12" s="1"/>
      <c r="K12" s="1">
        <v>34.1</v>
      </c>
      <c r="L12" s="1">
        <f t="shared" si="2"/>
        <v>-2.8900000000000006</v>
      </c>
      <c r="M12" s="1"/>
      <c r="N12" s="1"/>
      <c r="O12" s="1"/>
      <c r="P12" s="1"/>
      <c r="Q12" s="1">
        <f t="shared" si="3"/>
        <v>6.242</v>
      </c>
      <c r="R12" s="5">
        <f t="shared" si="4"/>
        <v>63.980000000000004</v>
      </c>
      <c r="S12" s="5">
        <f t="shared" si="5"/>
        <v>63.980000000000004</v>
      </c>
      <c r="T12" s="5">
        <f>VLOOKUP(A12,заказ!A:B,2,0)</f>
        <v>66</v>
      </c>
      <c r="U12" s="14"/>
      <c r="V12" s="1">
        <f t="shared" si="8"/>
        <v>14</v>
      </c>
      <c r="W12" s="1">
        <f t="shared" si="6"/>
        <v>3.75008010253124</v>
      </c>
      <c r="X12" s="1">
        <v>3.8908</v>
      </c>
      <c r="Y12" s="1">
        <v>3.9020000000000001</v>
      </c>
      <c r="Z12" s="1">
        <v>4.0808</v>
      </c>
      <c r="AA12" s="1">
        <v>2.5880000000000001</v>
      </c>
      <c r="AB12" s="1">
        <v>2.6507999999999998</v>
      </c>
      <c r="AC12" s="1">
        <v>8.3065999999999995</v>
      </c>
      <c r="AD12" s="1">
        <v>3.7275999999999998</v>
      </c>
      <c r="AE12" s="1">
        <v>2.6724000000000001</v>
      </c>
      <c r="AF12" s="1">
        <v>0.63600000000000001</v>
      </c>
      <c r="AG12" s="1">
        <v>2.7296</v>
      </c>
      <c r="AH12" s="1"/>
      <c r="AI12" s="1">
        <f t="shared" si="7"/>
        <v>63.980000000000004</v>
      </c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pans="1:50" x14ac:dyDescent="0.25">
      <c r="A13" s="1" t="s">
        <v>46</v>
      </c>
      <c r="B13" s="1" t="s">
        <v>36</v>
      </c>
      <c r="C13" s="1">
        <v>40</v>
      </c>
      <c r="D13" s="1"/>
      <c r="E13" s="1">
        <v>2</v>
      </c>
      <c r="F13" s="1">
        <v>38</v>
      </c>
      <c r="G13" s="7">
        <v>0.82450000000000001</v>
      </c>
      <c r="H13" s="1">
        <v>180</v>
      </c>
      <c r="I13" s="1"/>
      <c r="J13" s="1"/>
      <c r="K13" s="1">
        <v>2</v>
      </c>
      <c r="L13" s="1">
        <f t="shared" si="2"/>
        <v>0</v>
      </c>
      <c r="M13" s="1"/>
      <c r="N13" s="1"/>
      <c r="O13" s="1"/>
      <c r="P13" s="1"/>
      <c r="Q13" s="1">
        <f t="shared" si="3"/>
        <v>0.4</v>
      </c>
      <c r="R13" s="5"/>
      <c r="S13" s="5">
        <f t="shared" si="5"/>
        <v>0</v>
      </c>
      <c r="T13" s="5"/>
      <c r="U13" s="14"/>
      <c r="V13" s="1">
        <f t="shared" si="8"/>
        <v>95</v>
      </c>
      <c r="W13" s="1">
        <f t="shared" si="6"/>
        <v>95</v>
      </c>
      <c r="X13" s="1">
        <v>0.8</v>
      </c>
      <c r="Y13" s="1">
        <v>1</v>
      </c>
      <c r="Z13" s="1">
        <v>1</v>
      </c>
      <c r="AA13" s="1">
        <v>3</v>
      </c>
      <c r="AB13" s="1">
        <v>1.4</v>
      </c>
      <c r="AC13" s="1">
        <v>3</v>
      </c>
      <c r="AD13" s="1">
        <v>1.8</v>
      </c>
      <c r="AE13" s="1">
        <v>0.8</v>
      </c>
      <c r="AF13" s="1">
        <v>0.8</v>
      </c>
      <c r="AG13" s="1">
        <v>1</v>
      </c>
      <c r="AH13" s="13" t="s">
        <v>47</v>
      </c>
      <c r="AI13" s="1">
        <f t="shared" si="7"/>
        <v>0</v>
      </c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pans="1:50" x14ac:dyDescent="0.25">
      <c r="A14" s="1" t="s">
        <v>48</v>
      </c>
      <c r="B14" s="1" t="s">
        <v>36</v>
      </c>
      <c r="C14" s="1">
        <v>56</v>
      </c>
      <c r="D14" s="1">
        <v>24</v>
      </c>
      <c r="E14" s="1">
        <v>84</v>
      </c>
      <c r="F14" s="1">
        <v>-4</v>
      </c>
      <c r="G14" s="7">
        <v>0.372</v>
      </c>
      <c r="H14" s="1">
        <v>180</v>
      </c>
      <c r="I14" s="1"/>
      <c r="J14" s="1"/>
      <c r="K14" s="1">
        <v>122</v>
      </c>
      <c r="L14" s="1">
        <f t="shared" si="2"/>
        <v>-38</v>
      </c>
      <c r="M14" s="1"/>
      <c r="N14" s="1"/>
      <c r="O14" s="1"/>
      <c r="P14" s="1">
        <v>312</v>
      </c>
      <c r="Q14" s="1">
        <f t="shared" si="3"/>
        <v>16.8</v>
      </c>
      <c r="R14" s="5"/>
      <c r="S14" s="5">
        <v>300</v>
      </c>
      <c r="T14" s="5">
        <f>VLOOKUP(A14,заказ!A:B,2,0)</f>
        <v>300</v>
      </c>
      <c r="U14" s="14">
        <f>VLOOKUP(A14,[1]Sheet!$A:$S,19,0)</f>
        <v>300</v>
      </c>
      <c r="V14" s="1">
        <f t="shared" si="8"/>
        <v>36.19047619047619</v>
      </c>
      <c r="W14" s="1">
        <f t="shared" si="6"/>
        <v>18.333333333333332</v>
      </c>
      <c r="X14" s="1">
        <v>32.200000000000003</v>
      </c>
      <c r="Y14" s="1">
        <v>13.2</v>
      </c>
      <c r="Z14" s="1">
        <v>15</v>
      </c>
      <c r="AA14" s="1">
        <v>22.8</v>
      </c>
      <c r="AB14" s="1">
        <v>15.2</v>
      </c>
      <c r="AC14" s="1">
        <v>13.4</v>
      </c>
      <c r="AD14" s="1">
        <v>24.4</v>
      </c>
      <c r="AE14" s="1">
        <v>11.6</v>
      </c>
      <c r="AF14" s="1">
        <v>25.2</v>
      </c>
      <c r="AG14" s="1">
        <v>28.2</v>
      </c>
      <c r="AH14" s="1"/>
      <c r="AI14" s="1">
        <f t="shared" si="7"/>
        <v>111.6</v>
      </c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pans="1:50" x14ac:dyDescent="0.25">
      <c r="A15" s="1" t="s">
        <v>49</v>
      </c>
      <c r="B15" s="1" t="s">
        <v>36</v>
      </c>
      <c r="C15" s="1">
        <v>255</v>
      </c>
      <c r="D15" s="1"/>
      <c r="E15" s="1">
        <v>41</v>
      </c>
      <c r="F15" s="1">
        <v>205</v>
      </c>
      <c r="G15" s="7">
        <v>0.74399999999999999</v>
      </c>
      <c r="H15" s="1">
        <v>180</v>
      </c>
      <c r="I15" s="1"/>
      <c r="J15" s="1"/>
      <c r="K15" s="1">
        <v>41</v>
      </c>
      <c r="L15" s="1">
        <f t="shared" si="2"/>
        <v>0</v>
      </c>
      <c r="M15" s="1"/>
      <c r="N15" s="1"/>
      <c r="O15" s="1"/>
      <c r="P15" s="1"/>
      <c r="Q15" s="1">
        <f t="shared" si="3"/>
        <v>8.1999999999999993</v>
      </c>
      <c r="R15" s="5"/>
      <c r="S15" s="5">
        <f t="shared" si="5"/>
        <v>0</v>
      </c>
      <c r="T15" s="5"/>
      <c r="U15" s="14"/>
      <c r="V15" s="1">
        <f t="shared" si="8"/>
        <v>25.000000000000004</v>
      </c>
      <c r="W15" s="1">
        <f t="shared" si="6"/>
        <v>25.000000000000004</v>
      </c>
      <c r="X15" s="1">
        <v>16.600000000000001</v>
      </c>
      <c r="Y15" s="1">
        <v>5.2</v>
      </c>
      <c r="Z15" s="1">
        <v>7</v>
      </c>
      <c r="AA15" s="1">
        <v>12.6</v>
      </c>
      <c r="AB15" s="1">
        <v>4.2</v>
      </c>
      <c r="AC15" s="1">
        <v>32</v>
      </c>
      <c r="AD15" s="1">
        <v>5.8</v>
      </c>
      <c r="AE15" s="1">
        <v>5.2</v>
      </c>
      <c r="AF15" s="1">
        <v>23</v>
      </c>
      <c r="AG15" s="1">
        <v>16.8</v>
      </c>
      <c r="AH15" s="12" t="s">
        <v>50</v>
      </c>
      <c r="AI15" s="1">
        <f t="shared" si="7"/>
        <v>0</v>
      </c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pans="1:50" x14ac:dyDescent="0.25">
      <c r="A16" s="1" t="s">
        <v>51</v>
      </c>
      <c r="B16" s="1" t="s">
        <v>36</v>
      </c>
      <c r="C16" s="1">
        <v>152</v>
      </c>
      <c r="D16" s="1">
        <v>96</v>
      </c>
      <c r="E16" s="1">
        <v>208</v>
      </c>
      <c r="F16" s="1">
        <v>25</v>
      </c>
      <c r="G16" s="7">
        <v>0.372</v>
      </c>
      <c r="H16" s="1">
        <v>180</v>
      </c>
      <c r="I16" s="1"/>
      <c r="J16" s="1"/>
      <c r="K16" s="1">
        <v>217</v>
      </c>
      <c r="L16" s="1">
        <f t="shared" si="2"/>
        <v>-9</v>
      </c>
      <c r="M16" s="1"/>
      <c r="N16" s="1"/>
      <c r="O16" s="1"/>
      <c r="P16" s="1">
        <v>528</v>
      </c>
      <c r="Q16" s="1">
        <f t="shared" si="3"/>
        <v>41.6</v>
      </c>
      <c r="R16" s="5">
        <f t="shared" si="4"/>
        <v>29.399999999999977</v>
      </c>
      <c r="S16" s="5">
        <v>200</v>
      </c>
      <c r="T16" s="5">
        <f>VLOOKUP(A16,заказ!A:B,2,0)</f>
        <v>204</v>
      </c>
      <c r="U16" s="14">
        <f>VLOOKUP(A16,[1]Sheet!$A:$S,19,0)</f>
        <v>200</v>
      </c>
      <c r="V16" s="1">
        <f t="shared" si="8"/>
        <v>18.100961538461537</v>
      </c>
      <c r="W16" s="1">
        <f t="shared" si="6"/>
        <v>13.29326923076923</v>
      </c>
      <c r="X16" s="1">
        <v>55.2</v>
      </c>
      <c r="Y16" s="1">
        <v>32.6</v>
      </c>
      <c r="Z16" s="1">
        <v>31.8</v>
      </c>
      <c r="AA16" s="1">
        <v>48.2</v>
      </c>
      <c r="AB16" s="1">
        <v>30.2</v>
      </c>
      <c r="AC16" s="1">
        <v>26.2</v>
      </c>
      <c r="AD16" s="1">
        <v>47.4</v>
      </c>
      <c r="AE16" s="1">
        <v>41.4</v>
      </c>
      <c r="AF16" s="1">
        <v>44.2</v>
      </c>
      <c r="AG16" s="1">
        <v>38.6</v>
      </c>
      <c r="AH16" s="1"/>
      <c r="AI16" s="1">
        <f t="shared" si="7"/>
        <v>74.400000000000006</v>
      </c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pans="1:50" x14ac:dyDescent="0.25">
      <c r="A17" s="1" t="s">
        <v>52</v>
      </c>
      <c r="B17" s="1" t="s">
        <v>36</v>
      </c>
      <c r="C17" s="1">
        <v>281</v>
      </c>
      <c r="D17" s="1">
        <v>48</v>
      </c>
      <c r="E17" s="1">
        <v>135</v>
      </c>
      <c r="F17" s="1">
        <v>182</v>
      </c>
      <c r="G17" s="7">
        <v>0.74399999999999999</v>
      </c>
      <c r="H17" s="1">
        <v>180</v>
      </c>
      <c r="I17" s="1"/>
      <c r="J17" s="1"/>
      <c r="K17" s="1">
        <v>141</v>
      </c>
      <c r="L17" s="1">
        <f t="shared" si="2"/>
        <v>-6</v>
      </c>
      <c r="M17" s="1"/>
      <c r="N17" s="1"/>
      <c r="O17" s="1"/>
      <c r="P17" s="1"/>
      <c r="Q17" s="1">
        <f t="shared" si="3"/>
        <v>27</v>
      </c>
      <c r="R17" s="5">
        <f t="shared" si="4"/>
        <v>196</v>
      </c>
      <c r="S17" s="5">
        <f t="shared" si="5"/>
        <v>196</v>
      </c>
      <c r="T17" s="5">
        <f>VLOOKUP(A17,заказ!A:B,2,0)</f>
        <v>192</v>
      </c>
      <c r="U17" s="14"/>
      <c r="V17" s="1">
        <f t="shared" si="8"/>
        <v>14</v>
      </c>
      <c r="W17" s="1">
        <f t="shared" si="6"/>
        <v>6.7407407407407405</v>
      </c>
      <c r="X17" s="1">
        <v>21.6</v>
      </c>
      <c r="Y17" s="1">
        <v>31.8</v>
      </c>
      <c r="Z17" s="1">
        <v>35.200000000000003</v>
      </c>
      <c r="AA17" s="1">
        <v>35.200000000000003</v>
      </c>
      <c r="AB17" s="1">
        <v>38.799999999999997</v>
      </c>
      <c r="AC17" s="1">
        <v>43.8</v>
      </c>
      <c r="AD17" s="1">
        <v>26.2</v>
      </c>
      <c r="AE17" s="1">
        <v>30.2</v>
      </c>
      <c r="AF17" s="1">
        <v>41.4</v>
      </c>
      <c r="AG17" s="1">
        <v>58.6</v>
      </c>
      <c r="AH17" s="1" t="s">
        <v>53</v>
      </c>
      <c r="AI17" s="1">
        <f t="shared" si="7"/>
        <v>145.82400000000001</v>
      </c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pans="1:50" x14ac:dyDescent="0.25">
      <c r="A18" s="1" t="s">
        <v>54</v>
      </c>
      <c r="B18" s="1" t="s">
        <v>36</v>
      </c>
      <c r="C18" s="1">
        <v>50</v>
      </c>
      <c r="D18" s="1"/>
      <c r="E18" s="1">
        <v>17</v>
      </c>
      <c r="F18" s="1">
        <v>26</v>
      </c>
      <c r="G18" s="7">
        <v>0.18</v>
      </c>
      <c r="H18" s="1">
        <v>270</v>
      </c>
      <c r="I18" s="1"/>
      <c r="J18" s="1"/>
      <c r="K18" s="1">
        <v>18</v>
      </c>
      <c r="L18" s="1">
        <f t="shared" si="2"/>
        <v>-1</v>
      </c>
      <c r="M18" s="1"/>
      <c r="N18" s="1"/>
      <c r="O18" s="1"/>
      <c r="P18" s="1">
        <v>128</v>
      </c>
      <c r="Q18" s="1">
        <f t="shared" si="3"/>
        <v>3.4</v>
      </c>
      <c r="R18" s="5"/>
      <c r="S18" s="5">
        <f t="shared" si="5"/>
        <v>0</v>
      </c>
      <c r="T18" s="5"/>
      <c r="U18" s="14">
        <f>VLOOKUP(A18,[1]Sheet!$A:$S,19,0)</f>
        <v>50</v>
      </c>
      <c r="V18" s="1">
        <f t="shared" si="8"/>
        <v>45.294117647058826</v>
      </c>
      <c r="W18" s="1">
        <f t="shared" si="6"/>
        <v>45.294117647058826</v>
      </c>
      <c r="X18" s="1">
        <v>12.4</v>
      </c>
      <c r="Y18" s="1">
        <v>4.5999999999999996</v>
      </c>
      <c r="Z18" s="1">
        <v>9.6</v>
      </c>
      <c r="AA18" s="1">
        <v>5.6</v>
      </c>
      <c r="AB18" s="1">
        <v>2.8</v>
      </c>
      <c r="AC18" s="1">
        <v>10.199999999999999</v>
      </c>
      <c r="AD18" s="1">
        <v>8.1999999999999993</v>
      </c>
      <c r="AE18" s="1">
        <v>3.4</v>
      </c>
      <c r="AF18" s="1">
        <v>2.2000000000000002</v>
      </c>
      <c r="AG18" s="1">
        <v>9.6</v>
      </c>
      <c r="AH18" s="1"/>
      <c r="AI18" s="1">
        <f t="shared" si="7"/>
        <v>0</v>
      </c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pans="1:50" x14ac:dyDescent="0.25">
      <c r="A19" s="1" t="s">
        <v>55</v>
      </c>
      <c r="B19" s="1" t="s">
        <v>36</v>
      </c>
      <c r="C19" s="1">
        <v>246</v>
      </c>
      <c r="D19" s="1"/>
      <c r="E19" s="1">
        <v>138</v>
      </c>
      <c r="F19" s="1">
        <v>92</v>
      </c>
      <c r="G19" s="7">
        <v>0.18</v>
      </c>
      <c r="H19" s="1">
        <v>180</v>
      </c>
      <c r="I19" s="1"/>
      <c r="J19" s="1"/>
      <c r="K19" s="1">
        <v>144</v>
      </c>
      <c r="L19" s="1">
        <f t="shared" si="2"/>
        <v>-6</v>
      </c>
      <c r="M19" s="1"/>
      <c r="N19" s="1"/>
      <c r="O19" s="1"/>
      <c r="P19" s="1"/>
      <c r="Q19" s="1">
        <f t="shared" si="3"/>
        <v>27.6</v>
      </c>
      <c r="R19" s="5">
        <f>13*Q19-P19-O19-F19</f>
        <v>266.8</v>
      </c>
      <c r="S19" s="5">
        <f t="shared" si="5"/>
        <v>266.8</v>
      </c>
      <c r="T19" s="5">
        <f>VLOOKUP(A19,заказ!A:B,2,0)</f>
        <v>270</v>
      </c>
      <c r="U19" s="14"/>
      <c r="V19" s="1">
        <f t="shared" si="8"/>
        <v>13</v>
      </c>
      <c r="W19" s="1">
        <f t="shared" si="6"/>
        <v>3.333333333333333</v>
      </c>
      <c r="X19" s="1">
        <v>4</v>
      </c>
      <c r="Y19" s="1">
        <v>6.6</v>
      </c>
      <c r="Z19" s="1">
        <v>28.6</v>
      </c>
      <c r="AA19" s="1">
        <v>10.199999999999999</v>
      </c>
      <c r="AB19" s="1">
        <v>10.199999999999999</v>
      </c>
      <c r="AC19" s="1">
        <v>17.399999999999999</v>
      </c>
      <c r="AD19" s="1">
        <v>26.2</v>
      </c>
      <c r="AE19" s="1">
        <v>11.8</v>
      </c>
      <c r="AF19" s="1">
        <v>17.399999999999999</v>
      </c>
      <c r="AG19" s="1">
        <v>20</v>
      </c>
      <c r="AH19" s="1"/>
      <c r="AI19" s="1">
        <f t="shared" si="7"/>
        <v>48.024000000000001</v>
      </c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25">
      <c r="A20" s="1" t="s">
        <v>56</v>
      </c>
      <c r="B20" s="1" t="s">
        <v>36</v>
      </c>
      <c r="C20" s="1">
        <v>79</v>
      </c>
      <c r="D20" s="1"/>
      <c r="E20" s="1">
        <v>75</v>
      </c>
      <c r="F20" s="1">
        <v>2</v>
      </c>
      <c r="G20" s="7">
        <v>0.18</v>
      </c>
      <c r="H20" s="1">
        <v>180</v>
      </c>
      <c r="I20" s="1"/>
      <c r="J20" s="1"/>
      <c r="K20" s="1">
        <v>75</v>
      </c>
      <c r="L20" s="1">
        <f t="shared" si="2"/>
        <v>0</v>
      </c>
      <c r="M20" s="1"/>
      <c r="N20" s="1"/>
      <c r="O20" s="1"/>
      <c r="P20" s="1"/>
      <c r="Q20" s="1">
        <f t="shared" si="3"/>
        <v>15</v>
      </c>
      <c r="R20" s="5">
        <f>10*Q20-P20-O20-F20</f>
        <v>148</v>
      </c>
      <c r="S20" s="5">
        <v>180</v>
      </c>
      <c r="T20" s="5">
        <f>VLOOKUP(A20,заказ!A:B,2,0)</f>
        <v>180</v>
      </c>
      <c r="U20" s="14">
        <f>VLOOKUP(A20,[1]Sheet!$A:$S,19,0)</f>
        <v>180</v>
      </c>
      <c r="V20" s="1">
        <f t="shared" si="8"/>
        <v>12.133333333333333</v>
      </c>
      <c r="W20" s="1">
        <f t="shared" si="6"/>
        <v>0.13333333333333333</v>
      </c>
      <c r="X20" s="1">
        <v>4.8</v>
      </c>
      <c r="Y20" s="1">
        <v>6.8</v>
      </c>
      <c r="Z20" s="1">
        <v>9.8000000000000007</v>
      </c>
      <c r="AA20" s="1">
        <v>5.6</v>
      </c>
      <c r="AB20" s="1">
        <v>-5.4</v>
      </c>
      <c r="AC20" s="1">
        <v>8.4</v>
      </c>
      <c r="AD20" s="1">
        <v>15.2</v>
      </c>
      <c r="AE20" s="1">
        <v>22.4</v>
      </c>
      <c r="AF20" s="1">
        <v>20.8</v>
      </c>
      <c r="AG20" s="1">
        <v>22.8</v>
      </c>
      <c r="AH20" s="1" t="s">
        <v>57</v>
      </c>
      <c r="AI20" s="1">
        <f t="shared" si="7"/>
        <v>32.4</v>
      </c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25">
      <c r="A21" s="1" t="s">
        <v>58</v>
      </c>
      <c r="B21" s="1" t="s">
        <v>36</v>
      </c>
      <c r="C21" s="1">
        <v>16</v>
      </c>
      <c r="D21" s="1"/>
      <c r="E21" s="1"/>
      <c r="F21" s="1">
        <v>16</v>
      </c>
      <c r="G21" s="7">
        <v>0.4</v>
      </c>
      <c r="H21" s="1">
        <v>270</v>
      </c>
      <c r="I21" s="1"/>
      <c r="J21" s="1"/>
      <c r="K21" s="1"/>
      <c r="L21" s="1">
        <f t="shared" si="2"/>
        <v>0</v>
      </c>
      <c r="M21" s="1"/>
      <c r="N21" s="1"/>
      <c r="O21" s="1"/>
      <c r="P21" s="1"/>
      <c r="Q21" s="1">
        <f t="shared" si="3"/>
        <v>0</v>
      </c>
      <c r="R21" s="5"/>
      <c r="S21" s="5">
        <f t="shared" si="5"/>
        <v>0</v>
      </c>
      <c r="T21" s="5"/>
      <c r="U21" s="14"/>
      <c r="V21" s="1" t="e">
        <f t="shared" si="8"/>
        <v>#DIV/0!</v>
      </c>
      <c r="W21" s="1" t="e">
        <f t="shared" si="6"/>
        <v>#DIV/0!</v>
      </c>
      <c r="X21" s="1">
        <v>0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0.6</v>
      </c>
      <c r="AE21" s="1">
        <v>0.2</v>
      </c>
      <c r="AF21" s="1">
        <v>0</v>
      </c>
      <c r="AG21" s="1">
        <v>1.2</v>
      </c>
      <c r="AH21" s="13" t="s">
        <v>47</v>
      </c>
      <c r="AI21" s="1">
        <f t="shared" si="7"/>
        <v>0</v>
      </c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25">
      <c r="A22" s="1" t="s">
        <v>59</v>
      </c>
      <c r="B22" s="1" t="s">
        <v>36</v>
      </c>
      <c r="C22" s="1">
        <v>66</v>
      </c>
      <c r="D22" s="1"/>
      <c r="E22" s="1">
        <v>3</v>
      </c>
      <c r="F22" s="1">
        <v>63</v>
      </c>
      <c r="G22" s="7">
        <v>0.4</v>
      </c>
      <c r="H22" s="1">
        <v>270</v>
      </c>
      <c r="I22" s="1"/>
      <c r="J22" s="1"/>
      <c r="K22" s="1">
        <v>3</v>
      </c>
      <c r="L22" s="1">
        <f t="shared" si="2"/>
        <v>0</v>
      </c>
      <c r="M22" s="1"/>
      <c r="N22" s="1"/>
      <c r="O22" s="1"/>
      <c r="P22" s="1"/>
      <c r="Q22" s="1">
        <f t="shared" si="3"/>
        <v>0.6</v>
      </c>
      <c r="R22" s="5"/>
      <c r="S22" s="5">
        <f t="shared" si="5"/>
        <v>0</v>
      </c>
      <c r="T22" s="5"/>
      <c r="U22" s="14"/>
      <c r="V22" s="1">
        <f t="shared" si="8"/>
        <v>105</v>
      </c>
      <c r="W22" s="1">
        <f t="shared" si="6"/>
        <v>105</v>
      </c>
      <c r="X22" s="1">
        <v>0.8</v>
      </c>
      <c r="Y22" s="1">
        <v>1</v>
      </c>
      <c r="Z22" s="1">
        <v>0.8</v>
      </c>
      <c r="AA22" s="1">
        <v>0.4</v>
      </c>
      <c r="AB22" s="1">
        <v>3.8</v>
      </c>
      <c r="AC22" s="1">
        <v>1.4</v>
      </c>
      <c r="AD22" s="1">
        <v>6</v>
      </c>
      <c r="AE22" s="1">
        <v>1.6</v>
      </c>
      <c r="AF22" s="1">
        <v>1.4</v>
      </c>
      <c r="AG22" s="1">
        <v>3.2</v>
      </c>
      <c r="AH22" s="13" t="s">
        <v>47</v>
      </c>
      <c r="AI22" s="1">
        <f t="shared" si="7"/>
        <v>0</v>
      </c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pans="1:50" x14ac:dyDescent="0.25">
      <c r="A23" s="1" t="s">
        <v>60</v>
      </c>
      <c r="B23" s="1" t="s">
        <v>36</v>
      </c>
      <c r="C23" s="1">
        <v>15</v>
      </c>
      <c r="D23" s="1">
        <v>24</v>
      </c>
      <c r="E23" s="1">
        <v>23</v>
      </c>
      <c r="F23" s="1">
        <v>16</v>
      </c>
      <c r="G23" s="7">
        <v>0.18</v>
      </c>
      <c r="H23" s="1">
        <v>150</v>
      </c>
      <c r="I23" s="1"/>
      <c r="J23" s="1"/>
      <c r="K23" s="1">
        <v>34</v>
      </c>
      <c r="L23" s="1">
        <f t="shared" si="2"/>
        <v>-11</v>
      </c>
      <c r="M23" s="1"/>
      <c r="N23" s="1"/>
      <c r="O23" s="1"/>
      <c r="P23" s="1"/>
      <c r="Q23" s="1">
        <f t="shared" si="3"/>
        <v>4.5999999999999996</v>
      </c>
      <c r="R23" s="5">
        <f>13*Q23-P23-O23-F23</f>
        <v>43.8</v>
      </c>
      <c r="S23" s="5">
        <v>60</v>
      </c>
      <c r="T23" s="5">
        <f>VLOOKUP(A23,заказ!A:B,2,0)</f>
        <v>60</v>
      </c>
      <c r="U23" s="14">
        <f>VLOOKUP(A23,[1]Sheet!$A:$S,19,0)</f>
        <v>60</v>
      </c>
      <c r="V23" s="1">
        <f t="shared" si="8"/>
        <v>16.521739130434785</v>
      </c>
      <c r="W23" s="1">
        <f t="shared" si="6"/>
        <v>3.4782608695652177</v>
      </c>
      <c r="X23" s="1">
        <v>0</v>
      </c>
      <c r="Y23" s="1">
        <v>0</v>
      </c>
      <c r="Z23" s="1">
        <v>2.6</v>
      </c>
      <c r="AA23" s="1">
        <v>0.8</v>
      </c>
      <c r="AB23" s="1">
        <v>4.2</v>
      </c>
      <c r="AC23" s="1">
        <v>3.2</v>
      </c>
      <c r="AD23" s="1">
        <v>4.2</v>
      </c>
      <c r="AE23" s="1">
        <v>3.4</v>
      </c>
      <c r="AF23" s="1">
        <v>2.6</v>
      </c>
      <c r="AG23" s="1">
        <v>4.4000000000000004</v>
      </c>
      <c r="AH23" s="1"/>
      <c r="AI23" s="1">
        <f t="shared" si="7"/>
        <v>10.799999999999999</v>
      </c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pans="1:50" x14ac:dyDescent="0.25">
      <c r="A24" s="1" t="s">
        <v>61</v>
      </c>
      <c r="B24" s="1" t="s">
        <v>36</v>
      </c>
      <c r="C24" s="1">
        <v>25</v>
      </c>
      <c r="D24" s="1">
        <v>56</v>
      </c>
      <c r="E24" s="1">
        <v>43</v>
      </c>
      <c r="F24" s="1">
        <v>37</v>
      </c>
      <c r="G24" s="7">
        <v>0.1</v>
      </c>
      <c r="H24" s="1">
        <v>90</v>
      </c>
      <c r="I24" s="1"/>
      <c r="J24" s="1"/>
      <c r="K24" s="1">
        <v>43</v>
      </c>
      <c r="L24" s="1">
        <f t="shared" si="2"/>
        <v>0</v>
      </c>
      <c r="M24" s="1"/>
      <c r="N24" s="1"/>
      <c r="O24" s="1"/>
      <c r="P24" s="1">
        <v>32</v>
      </c>
      <c r="Q24" s="1">
        <f t="shared" si="3"/>
        <v>8.6</v>
      </c>
      <c r="R24" s="5">
        <f t="shared" si="4"/>
        <v>51.399999999999991</v>
      </c>
      <c r="S24" s="5">
        <f t="shared" si="5"/>
        <v>51.399999999999991</v>
      </c>
      <c r="T24" s="5">
        <f>VLOOKUP(A24,заказ!A:B,2,0)</f>
        <v>48</v>
      </c>
      <c r="U24" s="14"/>
      <c r="V24" s="1">
        <f t="shared" si="8"/>
        <v>14</v>
      </c>
      <c r="W24" s="1">
        <f t="shared" si="6"/>
        <v>8.0232558139534884</v>
      </c>
      <c r="X24" s="1">
        <v>7.8</v>
      </c>
      <c r="Y24" s="1">
        <v>8</v>
      </c>
      <c r="Z24" s="1">
        <v>7.2</v>
      </c>
      <c r="AA24" s="1">
        <v>6.6</v>
      </c>
      <c r="AB24" s="1">
        <v>9.4</v>
      </c>
      <c r="AC24" s="1">
        <v>9.8000000000000007</v>
      </c>
      <c r="AD24" s="1">
        <v>7</v>
      </c>
      <c r="AE24" s="1">
        <v>6</v>
      </c>
      <c r="AF24" s="1">
        <v>14</v>
      </c>
      <c r="AG24" s="1">
        <v>7.2</v>
      </c>
      <c r="AH24" s="1"/>
      <c r="AI24" s="1">
        <f t="shared" si="7"/>
        <v>5.14</v>
      </c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pans="1:50" x14ac:dyDescent="0.25">
      <c r="A25" s="1" t="s">
        <v>62</v>
      </c>
      <c r="B25" s="1" t="s">
        <v>36</v>
      </c>
      <c r="C25" s="1">
        <v>246</v>
      </c>
      <c r="D25" s="9">
        <v>150</v>
      </c>
      <c r="E25" s="1">
        <v>139</v>
      </c>
      <c r="F25" s="1">
        <v>246</v>
      </c>
      <c r="G25" s="7">
        <v>0.18</v>
      </c>
      <c r="H25" s="1">
        <v>150</v>
      </c>
      <c r="I25" s="1" t="s">
        <v>63</v>
      </c>
      <c r="J25" s="1"/>
      <c r="K25" s="1">
        <v>142</v>
      </c>
      <c r="L25" s="1">
        <f t="shared" si="2"/>
        <v>-3</v>
      </c>
      <c r="M25" s="1"/>
      <c r="N25" s="1"/>
      <c r="O25" s="1"/>
      <c r="P25" s="1"/>
      <c r="Q25" s="1">
        <f t="shared" si="3"/>
        <v>27.8</v>
      </c>
      <c r="R25" s="5">
        <f t="shared" si="4"/>
        <v>143.19999999999999</v>
      </c>
      <c r="S25" s="5">
        <f t="shared" si="5"/>
        <v>143.19999999999999</v>
      </c>
      <c r="T25" s="5">
        <f>VLOOKUP(A25,заказ!A:B,2,0)</f>
        <v>140</v>
      </c>
      <c r="U25" s="14"/>
      <c r="V25" s="1">
        <f t="shared" si="8"/>
        <v>14</v>
      </c>
      <c r="W25" s="1">
        <f t="shared" si="6"/>
        <v>8.8489208633093526</v>
      </c>
      <c r="X25" s="1">
        <v>25</v>
      </c>
      <c r="Y25" s="1">
        <v>24</v>
      </c>
      <c r="Z25" s="1">
        <v>23.2</v>
      </c>
      <c r="AA25" s="1">
        <v>17.2</v>
      </c>
      <c r="AB25" s="1">
        <v>21.4</v>
      </c>
      <c r="AC25" s="1">
        <v>38.799999999999997</v>
      </c>
      <c r="AD25" s="1">
        <v>31.4</v>
      </c>
      <c r="AE25" s="1">
        <v>28.2</v>
      </c>
      <c r="AF25" s="1">
        <v>30.4</v>
      </c>
      <c r="AG25" s="1">
        <v>20.8</v>
      </c>
      <c r="AH25" s="1" t="s">
        <v>64</v>
      </c>
      <c r="AI25" s="1">
        <f t="shared" si="7"/>
        <v>25.775999999999996</v>
      </c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pans="1:50" x14ac:dyDescent="0.25">
      <c r="A26" s="1" t="s">
        <v>65</v>
      </c>
      <c r="B26" s="1" t="s">
        <v>36</v>
      </c>
      <c r="C26" s="1">
        <v>4</v>
      </c>
      <c r="D26" s="1">
        <v>130</v>
      </c>
      <c r="E26" s="1">
        <v>74</v>
      </c>
      <c r="F26" s="1">
        <v>47</v>
      </c>
      <c r="G26" s="7">
        <v>0.18</v>
      </c>
      <c r="H26" s="1">
        <v>150</v>
      </c>
      <c r="I26" s="1"/>
      <c r="J26" s="1"/>
      <c r="K26" s="1">
        <v>103</v>
      </c>
      <c r="L26" s="1">
        <f t="shared" si="2"/>
        <v>-29</v>
      </c>
      <c r="M26" s="1"/>
      <c r="N26" s="1"/>
      <c r="O26" s="1"/>
      <c r="P26" s="1">
        <v>180</v>
      </c>
      <c r="Q26" s="1">
        <f t="shared" si="3"/>
        <v>14.8</v>
      </c>
      <c r="R26" s="5"/>
      <c r="S26" s="5">
        <v>50</v>
      </c>
      <c r="T26" s="5">
        <f>VLOOKUP(A26,заказ!A:B,2,0)</f>
        <v>50</v>
      </c>
      <c r="U26" s="14">
        <f>VLOOKUP(A26,[1]Sheet!$A:$S,19,0)</f>
        <v>100</v>
      </c>
      <c r="V26" s="1">
        <f t="shared" si="8"/>
        <v>18.716216216216214</v>
      </c>
      <c r="W26" s="1">
        <f t="shared" si="6"/>
        <v>15.337837837837837</v>
      </c>
      <c r="X26" s="1">
        <v>21.2</v>
      </c>
      <c r="Y26" s="1">
        <v>14.6</v>
      </c>
      <c r="Z26" s="1">
        <v>10.8</v>
      </c>
      <c r="AA26" s="1">
        <v>16.399999999999999</v>
      </c>
      <c r="AB26" s="1">
        <v>20.2</v>
      </c>
      <c r="AC26" s="1">
        <v>23.4</v>
      </c>
      <c r="AD26" s="1">
        <v>19</v>
      </c>
      <c r="AE26" s="1">
        <v>19.399999999999999</v>
      </c>
      <c r="AF26" s="1">
        <v>25</v>
      </c>
      <c r="AG26" s="1">
        <v>20.2</v>
      </c>
      <c r="AH26" s="1"/>
      <c r="AI26" s="1">
        <f t="shared" si="7"/>
        <v>9</v>
      </c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pans="1:50" x14ac:dyDescent="0.25">
      <c r="A27" s="1" t="s">
        <v>66</v>
      </c>
      <c r="B27" s="1" t="s">
        <v>36</v>
      </c>
      <c r="C27" s="1">
        <v>1</v>
      </c>
      <c r="D27" s="1">
        <v>40</v>
      </c>
      <c r="E27" s="1">
        <v>10</v>
      </c>
      <c r="F27" s="1">
        <v>25</v>
      </c>
      <c r="G27" s="7">
        <v>0.18</v>
      </c>
      <c r="H27" s="1">
        <v>150</v>
      </c>
      <c r="I27" s="1"/>
      <c r="J27" s="1"/>
      <c r="K27" s="1">
        <v>36</v>
      </c>
      <c r="L27" s="1">
        <f t="shared" si="2"/>
        <v>-26</v>
      </c>
      <c r="M27" s="1"/>
      <c r="N27" s="1"/>
      <c r="O27" s="1"/>
      <c r="P27" s="1">
        <v>170</v>
      </c>
      <c r="Q27" s="1">
        <f t="shared" si="3"/>
        <v>2</v>
      </c>
      <c r="R27" s="5"/>
      <c r="S27" s="5">
        <f t="shared" si="5"/>
        <v>0</v>
      </c>
      <c r="T27" s="5"/>
      <c r="U27" s="14"/>
      <c r="V27" s="1">
        <f t="shared" si="8"/>
        <v>97.5</v>
      </c>
      <c r="W27" s="1">
        <f t="shared" si="6"/>
        <v>97.5</v>
      </c>
      <c r="X27" s="1">
        <v>17.600000000000001</v>
      </c>
      <c r="Y27" s="1">
        <v>8.4</v>
      </c>
      <c r="Z27" s="1">
        <v>4.5999999999999996</v>
      </c>
      <c r="AA27" s="1">
        <v>10.199999999999999</v>
      </c>
      <c r="AB27" s="1">
        <v>7.2</v>
      </c>
      <c r="AC27" s="1">
        <v>6.8</v>
      </c>
      <c r="AD27" s="1">
        <v>9.4</v>
      </c>
      <c r="AE27" s="1">
        <v>9.4</v>
      </c>
      <c r="AF27" s="1">
        <v>8</v>
      </c>
      <c r="AG27" s="1">
        <v>7.4</v>
      </c>
      <c r="AH27" s="1"/>
      <c r="AI27" s="1">
        <f t="shared" si="7"/>
        <v>0</v>
      </c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pans="1:50" x14ac:dyDescent="0.25">
      <c r="A28" s="1" t="s">
        <v>67</v>
      </c>
      <c r="B28" s="1" t="s">
        <v>36</v>
      </c>
      <c r="C28" s="1">
        <v>44</v>
      </c>
      <c r="D28" s="1">
        <v>60</v>
      </c>
      <c r="E28" s="1">
        <v>25</v>
      </c>
      <c r="F28" s="1">
        <v>71</v>
      </c>
      <c r="G28" s="7">
        <v>0.18</v>
      </c>
      <c r="H28" s="1">
        <v>150</v>
      </c>
      <c r="I28" s="1"/>
      <c r="J28" s="1"/>
      <c r="K28" s="1">
        <v>27</v>
      </c>
      <c r="L28" s="1">
        <f t="shared" si="2"/>
        <v>-2</v>
      </c>
      <c r="M28" s="1"/>
      <c r="N28" s="1"/>
      <c r="O28" s="1"/>
      <c r="P28" s="1"/>
      <c r="Q28" s="1">
        <f t="shared" si="3"/>
        <v>5</v>
      </c>
      <c r="R28" s="5"/>
      <c r="S28" s="5">
        <f t="shared" si="5"/>
        <v>0</v>
      </c>
      <c r="T28" s="5"/>
      <c r="U28" s="14"/>
      <c r="V28" s="1">
        <f t="shared" si="8"/>
        <v>14.2</v>
      </c>
      <c r="W28" s="1">
        <f t="shared" si="6"/>
        <v>14.2</v>
      </c>
      <c r="X28" s="1">
        <v>4</v>
      </c>
      <c r="Y28" s="1">
        <v>9</v>
      </c>
      <c r="Z28" s="1">
        <v>7.8</v>
      </c>
      <c r="AA28" s="1">
        <v>6.4</v>
      </c>
      <c r="AB28" s="1">
        <v>7</v>
      </c>
      <c r="AC28" s="1">
        <v>8.8000000000000007</v>
      </c>
      <c r="AD28" s="1">
        <v>6.6</v>
      </c>
      <c r="AE28" s="1">
        <v>6.8</v>
      </c>
      <c r="AF28" s="1">
        <v>7.8</v>
      </c>
      <c r="AG28" s="1">
        <v>9.4</v>
      </c>
      <c r="AH28" s="1"/>
      <c r="AI28" s="1">
        <f t="shared" si="7"/>
        <v>0</v>
      </c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pans="1:50" x14ac:dyDescent="0.25">
      <c r="A29" s="1" t="s">
        <v>68</v>
      </c>
      <c r="B29" s="1" t="s">
        <v>36</v>
      </c>
      <c r="C29" s="1">
        <v>150</v>
      </c>
      <c r="D29" s="1">
        <v>160</v>
      </c>
      <c r="E29" s="1">
        <v>136</v>
      </c>
      <c r="F29" s="1">
        <v>161</v>
      </c>
      <c r="G29" s="7">
        <v>0.18</v>
      </c>
      <c r="H29" s="1">
        <v>150</v>
      </c>
      <c r="I29" s="1"/>
      <c r="J29" s="1"/>
      <c r="K29" s="1">
        <v>145</v>
      </c>
      <c r="L29" s="1">
        <f t="shared" si="2"/>
        <v>-9</v>
      </c>
      <c r="M29" s="1"/>
      <c r="N29" s="1"/>
      <c r="O29" s="1"/>
      <c r="P29" s="1">
        <v>20</v>
      </c>
      <c r="Q29" s="1">
        <f t="shared" si="3"/>
        <v>27.2</v>
      </c>
      <c r="R29" s="5">
        <f t="shared" si="4"/>
        <v>199.8</v>
      </c>
      <c r="S29" s="5">
        <f t="shared" si="5"/>
        <v>199.8</v>
      </c>
      <c r="T29" s="5">
        <f>VLOOKUP(A29,заказ!A:B,2,0)</f>
        <v>200</v>
      </c>
      <c r="U29" s="14"/>
      <c r="V29" s="1">
        <f t="shared" si="8"/>
        <v>14</v>
      </c>
      <c r="W29" s="1">
        <f t="shared" si="6"/>
        <v>6.6544117647058822</v>
      </c>
      <c r="X29" s="1">
        <v>22.2</v>
      </c>
      <c r="Y29" s="1">
        <v>20.399999999999999</v>
      </c>
      <c r="Z29" s="1">
        <v>18.2</v>
      </c>
      <c r="AA29" s="1">
        <v>19.8</v>
      </c>
      <c r="AB29" s="1">
        <v>24.6</v>
      </c>
      <c r="AC29" s="1">
        <v>26.8</v>
      </c>
      <c r="AD29" s="1">
        <v>26.2</v>
      </c>
      <c r="AE29" s="1">
        <v>26.6</v>
      </c>
      <c r="AF29" s="1">
        <v>32.6</v>
      </c>
      <c r="AG29" s="1">
        <v>15.6</v>
      </c>
      <c r="AH29" s="1"/>
      <c r="AI29" s="1">
        <f t="shared" si="7"/>
        <v>35.963999999999999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pans="1:50" x14ac:dyDescent="0.25">
      <c r="A30" s="1" t="s">
        <v>69</v>
      </c>
      <c r="B30" s="1" t="s">
        <v>36</v>
      </c>
      <c r="C30" s="1">
        <v>138</v>
      </c>
      <c r="D30" s="1"/>
      <c r="E30" s="1">
        <v>43</v>
      </c>
      <c r="F30" s="1">
        <v>87</v>
      </c>
      <c r="G30" s="7">
        <v>0.18</v>
      </c>
      <c r="H30" s="1">
        <v>150</v>
      </c>
      <c r="I30" s="1"/>
      <c r="J30" s="1"/>
      <c r="K30" s="1">
        <v>43</v>
      </c>
      <c r="L30" s="1">
        <f t="shared" si="2"/>
        <v>0</v>
      </c>
      <c r="M30" s="1"/>
      <c r="N30" s="1"/>
      <c r="O30" s="1"/>
      <c r="P30" s="1">
        <v>10</v>
      </c>
      <c r="Q30" s="1">
        <f t="shared" si="3"/>
        <v>8.6</v>
      </c>
      <c r="R30" s="5">
        <f t="shared" si="4"/>
        <v>23.399999999999991</v>
      </c>
      <c r="S30" s="5">
        <v>60</v>
      </c>
      <c r="T30" s="5">
        <f>VLOOKUP(A30,заказ!A:B,2,0)</f>
        <v>60</v>
      </c>
      <c r="U30" s="14">
        <f>VLOOKUP(A30,[1]Sheet!$A:$S,19,0)</f>
        <v>60</v>
      </c>
      <c r="V30" s="1">
        <f t="shared" si="8"/>
        <v>18.255813953488374</v>
      </c>
      <c r="W30" s="1">
        <f t="shared" si="6"/>
        <v>11.279069767441861</v>
      </c>
      <c r="X30" s="1">
        <v>10.8</v>
      </c>
      <c r="Y30" s="1">
        <v>5.2</v>
      </c>
      <c r="Z30" s="1">
        <v>9.4</v>
      </c>
      <c r="AA30" s="1">
        <v>10.199999999999999</v>
      </c>
      <c r="AB30" s="1">
        <v>8</v>
      </c>
      <c r="AC30" s="1">
        <v>4.5999999999999996</v>
      </c>
      <c r="AD30" s="1">
        <v>19.600000000000001</v>
      </c>
      <c r="AE30" s="1">
        <v>8.1999999999999993</v>
      </c>
      <c r="AF30" s="1">
        <v>14</v>
      </c>
      <c r="AG30" s="1">
        <v>12.4</v>
      </c>
      <c r="AH30" s="1"/>
      <c r="AI30" s="1">
        <f t="shared" si="7"/>
        <v>10.799999999999999</v>
      </c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pans="1:50" x14ac:dyDescent="0.25">
      <c r="A31" s="1" t="s">
        <v>70</v>
      </c>
      <c r="B31" s="1" t="s">
        <v>41</v>
      </c>
      <c r="C31" s="1">
        <v>36.363999999999997</v>
      </c>
      <c r="D31" s="1"/>
      <c r="E31" s="1"/>
      <c r="F31" s="1">
        <v>36.363999999999997</v>
      </c>
      <c r="G31" s="7">
        <v>1</v>
      </c>
      <c r="H31" s="1"/>
      <c r="I31" s="1"/>
      <c r="J31" s="1"/>
      <c r="K31" s="1"/>
      <c r="L31" s="1">
        <f t="shared" si="2"/>
        <v>0</v>
      </c>
      <c r="M31" s="1"/>
      <c r="N31" s="1"/>
      <c r="O31" s="1"/>
      <c r="P31" s="1"/>
      <c r="Q31" s="1">
        <f t="shared" si="3"/>
        <v>0</v>
      </c>
      <c r="R31" s="5"/>
      <c r="S31" s="5">
        <f t="shared" si="5"/>
        <v>0</v>
      </c>
      <c r="T31" s="5"/>
      <c r="U31" s="14">
        <f>VLOOKUP(A31,[1]Sheet!$A:$S,19,0)</f>
        <v>10</v>
      </c>
      <c r="V31" s="1" t="e">
        <f t="shared" si="8"/>
        <v>#DIV/0!</v>
      </c>
      <c r="W31" s="1" t="e">
        <f t="shared" si="6"/>
        <v>#DIV/0!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3" t="s">
        <v>47</v>
      </c>
      <c r="AI31" s="1">
        <f t="shared" si="7"/>
        <v>0</v>
      </c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pans="1:50" x14ac:dyDescent="0.25">
      <c r="A32" s="1" t="s">
        <v>71</v>
      </c>
      <c r="B32" s="1" t="s">
        <v>36</v>
      </c>
      <c r="C32" s="1">
        <v>64</v>
      </c>
      <c r="D32" s="1">
        <v>48</v>
      </c>
      <c r="E32" s="1">
        <v>14</v>
      </c>
      <c r="F32" s="1">
        <v>90</v>
      </c>
      <c r="G32" s="7">
        <v>0.14000000000000001</v>
      </c>
      <c r="H32" s="1">
        <v>180</v>
      </c>
      <c r="I32" s="1"/>
      <c r="J32" s="1"/>
      <c r="K32" s="1">
        <v>18</v>
      </c>
      <c r="L32" s="1">
        <f t="shared" si="2"/>
        <v>-4</v>
      </c>
      <c r="M32" s="1"/>
      <c r="N32" s="1"/>
      <c r="O32" s="1"/>
      <c r="P32" s="1"/>
      <c r="Q32" s="1">
        <f t="shared" si="3"/>
        <v>2.8</v>
      </c>
      <c r="R32" s="5"/>
      <c r="S32" s="5">
        <f t="shared" si="5"/>
        <v>0</v>
      </c>
      <c r="T32" s="5"/>
      <c r="U32" s="14"/>
      <c r="V32" s="1">
        <f t="shared" si="8"/>
        <v>32.142857142857146</v>
      </c>
      <c r="W32" s="1">
        <f t="shared" si="6"/>
        <v>32.142857142857146</v>
      </c>
      <c r="X32" s="1">
        <v>5.6</v>
      </c>
      <c r="Y32" s="1">
        <v>9.8000000000000007</v>
      </c>
      <c r="Z32" s="1">
        <v>7.2</v>
      </c>
      <c r="AA32" s="1">
        <v>4.8</v>
      </c>
      <c r="AB32" s="1">
        <v>3</v>
      </c>
      <c r="AC32" s="1">
        <v>9</v>
      </c>
      <c r="AD32" s="1">
        <v>6.4</v>
      </c>
      <c r="AE32" s="1">
        <v>2.4</v>
      </c>
      <c r="AF32" s="1">
        <v>2.2000000000000002</v>
      </c>
      <c r="AG32" s="1">
        <v>9.1999999999999993</v>
      </c>
      <c r="AH32" s="12" t="s">
        <v>50</v>
      </c>
      <c r="AI32" s="1">
        <f t="shared" si="7"/>
        <v>0</v>
      </c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pans="1:50" x14ac:dyDescent="0.25">
      <c r="A33" s="1" t="s">
        <v>72</v>
      </c>
      <c r="B33" s="1" t="s">
        <v>36</v>
      </c>
      <c r="C33" s="1">
        <v>97</v>
      </c>
      <c r="D33" s="1"/>
      <c r="E33" s="1">
        <v>17</v>
      </c>
      <c r="F33" s="1">
        <v>76</v>
      </c>
      <c r="G33" s="7">
        <v>0.18</v>
      </c>
      <c r="H33" s="1">
        <v>270</v>
      </c>
      <c r="I33" s="1"/>
      <c r="J33" s="1"/>
      <c r="K33" s="1">
        <v>18</v>
      </c>
      <c r="L33" s="1">
        <f t="shared" si="2"/>
        <v>-1</v>
      </c>
      <c r="M33" s="1"/>
      <c r="N33" s="1"/>
      <c r="O33" s="1"/>
      <c r="P33" s="1">
        <v>48</v>
      </c>
      <c r="Q33" s="1">
        <f t="shared" si="3"/>
        <v>3.4</v>
      </c>
      <c r="R33" s="5"/>
      <c r="S33" s="5">
        <f t="shared" si="5"/>
        <v>0</v>
      </c>
      <c r="T33" s="5"/>
      <c r="U33" s="14"/>
      <c r="V33" s="1">
        <f t="shared" si="8"/>
        <v>36.470588235294116</v>
      </c>
      <c r="W33" s="1">
        <f t="shared" si="6"/>
        <v>36.470588235294116</v>
      </c>
      <c r="X33" s="1">
        <v>10</v>
      </c>
      <c r="Y33" s="1">
        <v>3.6</v>
      </c>
      <c r="Z33" s="1">
        <v>11.8</v>
      </c>
      <c r="AA33" s="1">
        <v>3.8</v>
      </c>
      <c r="AB33" s="1">
        <v>2.4</v>
      </c>
      <c r="AC33" s="1">
        <v>11</v>
      </c>
      <c r="AD33" s="1">
        <v>8.4</v>
      </c>
      <c r="AE33" s="1">
        <v>6.2</v>
      </c>
      <c r="AF33" s="1">
        <v>2.4</v>
      </c>
      <c r="AG33" s="1">
        <v>9.8000000000000007</v>
      </c>
      <c r="AH33" s="12" t="s">
        <v>50</v>
      </c>
      <c r="AI33" s="1">
        <f t="shared" si="7"/>
        <v>0</v>
      </c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pans="1:50" x14ac:dyDescent="0.25">
      <c r="A34" s="1" t="s">
        <v>73</v>
      </c>
      <c r="B34" s="1" t="s">
        <v>41</v>
      </c>
      <c r="C34" s="1">
        <v>-3.052</v>
      </c>
      <c r="D34" s="1">
        <v>16.975999999999999</v>
      </c>
      <c r="E34" s="1">
        <v>3.234</v>
      </c>
      <c r="F34" s="1">
        <v>10.69</v>
      </c>
      <c r="G34" s="7">
        <v>1</v>
      </c>
      <c r="H34" s="1">
        <v>180</v>
      </c>
      <c r="I34" s="1"/>
      <c r="J34" s="1"/>
      <c r="K34" s="1">
        <v>2.5</v>
      </c>
      <c r="L34" s="1">
        <f t="shared" si="2"/>
        <v>0.73399999999999999</v>
      </c>
      <c r="M34" s="1"/>
      <c r="N34" s="1"/>
      <c r="O34" s="1"/>
      <c r="P34" s="1"/>
      <c r="Q34" s="1">
        <f t="shared" si="3"/>
        <v>0.64680000000000004</v>
      </c>
      <c r="R34" s="5"/>
      <c r="S34" s="5">
        <f t="shared" si="5"/>
        <v>0</v>
      </c>
      <c r="T34" s="5"/>
      <c r="U34" s="14"/>
      <c r="V34" s="1">
        <f t="shared" si="8"/>
        <v>16.527520098948667</v>
      </c>
      <c r="W34" s="1">
        <f t="shared" si="6"/>
        <v>16.527520098948667</v>
      </c>
      <c r="X34" s="1">
        <v>0.61040000000000005</v>
      </c>
      <c r="Y34" s="1">
        <v>0</v>
      </c>
      <c r="Z34" s="1">
        <v>0.69920000000000004</v>
      </c>
      <c r="AA34" s="1">
        <v>1.3295999999999999</v>
      </c>
      <c r="AB34" s="1">
        <v>0</v>
      </c>
      <c r="AC34" s="1">
        <v>1.9048</v>
      </c>
      <c r="AD34" s="1">
        <v>0</v>
      </c>
      <c r="AE34" s="1">
        <v>1.4072</v>
      </c>
      <c r="AF34" s="1">
        <v>1.3271999999999999</v>
      </c>
      <c r="AG34" s="1">
        <v>1.9408000000000001</v>
      </c>
      <c r="AH34" s="1" t="s">
        <v>74</v>
      </c>
      <c r="AI34" s="1">
        <f t="shared" si="7"/>
        <v>0</v>
      </c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pans="1:50" x14ac:dyDescent="0.25">
      <c r="A35" s="1" t="s">
        <v>75</v>
      </c>
      <c r="B35" s="1" t="s">
        <v>41</v>
      </c>
      <c r="C35" s="1">
        <v>33.718000000000004</v>
      </c>
      <c r="D35" s="1"/>
      <c r="E35" s="1">
        <v>21.411999999999999</v>
      </c>
      <c r="F35" s="1">
        <v>12.305999999999999</v>
      </c>
      <c r="G35" s="7">
        <v>1</v>
      </c>
      <c r="H35" s="1">
        <v>180</v>
      </c>
      <c r="I35" s="1"/>
      <c r="J35" s="1"/>
      <c r="K35" s="1">
        <v>22.4</v>
      </c>
      <c r="L35" s="1">
        <f t="shared" si="2"/>
        <v>-0.98799999999999955</v>
      </c>
      <c r="M35" s="1"/>
      <c r="N35" s="1"/>
      <c r="O35" s="1"/>
      <c r="P35" s="1">
        <v>33</v>
      </c>
      <c r="Q35" s="1">
        <f t="shared" si="3"/>
        <v>4.2824</v>
      </c>
      <c r="R35" s="5">
        <f t="shared" si="4"/>
        <v>14.647600000000002</v>
      </c>
      <c r="S35" s="5">
        <v>30</v>
      </c>
      <c r="T35" s="5">
        <f>VLOOKUP(A35,заказ!A:B,2,0)</f>
        <v>33</v>
      </c>
      <c r="U35" s="14">
        <f>VLOOKUP(A35,[1]Sheet!$A:$S,19,0)</f>
        <v>30</v>
      </c>
      <c r="V35" s="1">
        <f t="shared" si="8"/>
        <v>17.584999065944331</v>
      </c>
      <c r="W35" s="1">
        <f t="shared" si="6"/>
        <v>10.579581543059966</v>
      </c>
      <c r="X35" s="1">
        <v>4.2279999999999998</v>
      </c>
      <c r="Y35" s="1">
        <v>1.8388</v>
      </c>
      <c r="Z35" s="1">
        <v>1.8648</v>
      </c>
      <c r="AA35" s="1">
        <v>2.508</v>
      </c>
      <c r="AB35" s="1">
        <v>6.5763999999999996</v>
      </c>
      <c r="AC35" s="1">
        <v>5.2422000000000004</v>
      </c>
      <c r="AD35" s="1">
        <v>3.0844</v>
      </c>
      <c r="AE35" s="1">
        <v>3.2427999999999999</v>
      </c>
      <c r="AF35" s="1">
        <v>4.4512</v>
      </c>
      <c r="AG35" s="1">
        <v>4.6284000000000001</v>
      </c>
      <c r="AH35" s="1"/>
      <c r="AI35" s="1">
        <f t="shared" si="7"/>
        <v>30</v>
      </c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pans="1:50" x14ac:dyDescent="0.25">
      <c r="A36" s="1" t="s">
        <v>76</v>
      </c>
      <c r="B36" s="1" t="s">
        <v>36</v>
      </c>
      <c r="C36" s="1">
        <v>65</v>
      </c>
      <c r="D36" s="1"/>
      <c r="E36" s="1">
        <v>18</v>
      </c>
      <c r="F36" s="1">
        <v>47</v>
      </c>
      <c r="G36" s="7">
        <v>0.1</v>
      </c>
      <c r="H36" s="1">
        <v>60</v>
      </c>
      <c r="I36" s="1"/>
      <c r="J36" s="1"/>
      <c r="K36" s="1">
        <v>18</v>
      </c>
      <c r="L36" s="1">
        <f t="shared" si="2"/>
        <v>0</v>
      </c>
      <c r="M36" s="1"/>
      <c r="N36" s="1"/>
      <c r="O36" s="1"/>
      <c r="P36" s="1"/>
      <c r="Q36" s="1">
        <f t="shared" si="3"/>
        <v>3.6</v>
      </c>
      <c r="R36" s="5"/>
      <c r="S36" s="5">
        <v>20</v>
      </c>
      <c r="T36" s="5">
        <f>VLOOKUP(A36,заказ!A:B,2,0)</f>
        <v>18</v>
      </c>
      <c r="U36" s="14">
        <f>VLOOKUP(A36,[1]Sheet!$A:$S,19,0)</f>
        <v>40</v>
      </c>
      <c r="V36" s="1">
        <f t="shared" si="8"/>
        <v>18.611111111111111</v>
      </c>
      <c r="W36" s="1">
        <f t="shared" si="6"/>
        <v>13.055555555555555</v>
      </c>
      <c r="X36" s="1">
        <v>4.8</v>
      </c>
      <c r="Y36" s="1">
        <v>6.4</v>
      </c>
      <c r="Z36" s="1">
        <v>7.6</v>
      </c>
      <c r="AA36" s="1">
        <v>2.8</v>
      </c>
      <c r="AB36" s="1">
        <v>7.4</v>
      </c>
      <c r="AC36" s="1">
        <v>9.1999999999999993</v>
      </c>
      <c r="AD36" s="1">
        <v>1.4</v>
      </c>
      <c r="AE36" s="1">
        <v>0</v>
      </c>
      <c r="AF36" s="1">
        <v>-0.2</v>
      </c>
      <c r="AG36" s="1">
        <v>-0.2</v>
      </c>
      <c r="AH36" s="1"/>
      <c r="AI36" s="1">
        <f t="shared" si="7"/>
        <v>2</v>
      </c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pans="1:50" x14ac:dyDescent="0.25">
      <c r="A37" s="1" t="s">
        <v>77</v>
      </c>
      <c r="B37" s="1" t="s">
        <v>36</v>
      </c>
      <c r="C37" s="1">
        <v>115</v>
      </c>
      <c r="D37" s="1"/>
      <c r="E37" s="1">
        <v>22</v>
      </c>
      <c r="F37" s="1">
        <v>91</v>
      </c>
      <c r="G37" s="7">
        <v>0.1</v>
      </c>
      <c r="H37" s="1">
        <v>90</v>
      </c>
      <c r="I37" s="1"/>
      <c r="J37" s="1"/>
      <c r="K37" s="1">
        <v>22</v>
      </c>
      <c r="L37" s="1">
        <f t="shared" si="2"/>
        <v>0</v>
      </c>
      <c r="M37" s="1"/>
      <c r="N37" s="1"/>
      <c r="O37" s="1"/>
      <c r="P37" s="1"/>
      <c r="Q37" s="1">
        <f t="shared" si="3"/>
        <v>4.4000000000000004</v>
      </c>
      <c r="R37" s="5"/>
      <c r="S37" s="5">
        <f t="shared" si="5"/>
        <v>0</v>
      </c>
      <c r="T37" s="5"/>
      <c r="U37" s="14"/>
      <c r="V37" s="1">
        <f t="shared" si="8"/>
        <v>20.68181818181818</v>
      </c>
      <c r="W37" s="1">
        <f t="shared" si="6"/>
        <v>20.68181818181818</v>
      </c>
      <c r="X37" s="1">
        <v>3</v>
      </c>
      <c r="Y37" s="1">
        <v>4.5999999999999996</v>
      </c>
      <c r="Z37" s="1">
        <v>12.6</v>
      </c>
      <c r="AA37" s="1">
        <v>6.2</v>
      </c>
      <c r="AB37" s="1">
        <v>6</v>
      </c>
      <c r="AC37" s="1">
        <v>7.8</v>
      </c>
      <c r="AD37" s="1">
        <v>8.4</v>
      </c>
      <c r="AE37" s="1">
        <v>11</v>
      </c>
      <c r="AF37" s="1">
        <v>9.1999999999999993</v>
      </c>
      <c r="AG37" s="1">
        <v>8.4</v>
      </c>
      <c r="AH37" s="1"/>
      <c r="AI37" s="1">
        <f t="shared" si="7"/>
        <v>0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pans="1:50" x14ac:dyDescent="0.25">
      <c r="A38" s="1" t="s">
        <v>78</v>
      </c>
      <c r="B38" s="1" t="s">
        <v>36</v>
      </c>
      <c r="C38" s="1">
        <v>12</v>
      </c>
      <c r="D38" s="1">
        <v>96</v>
      </c>
      <c r="E38" s="1">
        <v>11</v>
      </c>
      <c r="F38" s="1">
        <v>94</v>
      </c>
      <c r="G38" s="7">
        <v>0.14000000000000001</v>
      </c>
      <c r="H38" s="1">
        <v>180</v>
      </c>
      <c r="I38" s="1"/>
      <c r="J38" s="1"/>
      <c r="K38" s="1">
        <v>12</v>
      </c>
      <c r="L38" s="1">
        <f t="shared" si="2"/>
        <v>-1</v>
      </c>
      <c r="M38" s="1"/>
      <c r="N38" s="1"/>
      <c r="O38" s="1"/>
      <c r="P38" s="1">
        <v>16</v>
      </c>
      <c r="Q38" s="1">
        <f t="shared" si="3"/>
        <v>2.2000000000000002</v>
      </c>
      <c r="R38" s="5"/>
      <c r="S38" s="5">
        <f t="shared" si="5"/>
        <v>0</v>
      </c>
      <c r="T38" s="5"/>
      <c r="U38" s="14"/>
      <c r="V38" s="1">
        <f t="shared" si="8"/>
        <v>49.999999999999993</v>
      </c>
      <c r="W38" s="1">
        <f t="shared" si="6"/>
        <v>49.999999999999993</v>
      </c>
      <c r="X38" s="1">
        <v>8.1999999999999993</v>
      </c>
      <c r="Y38" s="1">
        <v>9.6</v>
      </c>
      <c r="Z38" s="1">
        <v>4</v>
      </c>
      <c r="AA38" s="1">
        <v>5.8</v>
      </c>
      <c r="AB38" s="1">
        <v>4.4000000000000004</v>
      </c>
      <c r="AC38" s="1">
        <v>12</v>
      </c>
      <c r="AD38" s="1">
        <v>5</v>
      </c>
      <c r="AE38" s="1">
        <v>3.6</v>
      </c>
      <c r="AF38" s="1">
        <v>3.6</v>
      </c>
      <c r="AG38" s="1">
        <v>10</v>
      </c>
      <c r="AH38" s="1"/>
      <c r="AI38" s="1">
        <f t="shared" si="7"/>
        <v>0</v>
      </c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50" x14ac:dyDescent="0.25">
      <c r="A39" s="1" t="s">
        <v>79</v>
      </c>
      <c r="B39" s="1" t="s">
        <v>36</v>
      </c>
      <c r="C39" s="1">
        <v>60</v>
      </c>
      <c r="D39" s="1">
        <v>212</v>
      </c>
      <c r="E39" s="1">
        <v>168</v>
      </c>
      <c r="F39" s="1">
        <v>102</v>
      </c>
      <c r="G39" s="7">
        <v>0.2</v>
      </c>
      <c r="H39" s="1">
        <v>120</v>
      </c>
      <c r="I39" s="1"/>
      <c r="J39" s="1"/>
      <c r="K39" s="1">
        <v>165</v>
      </c>
      <c r="L39" s="1">
        <f t="shared" si="2"/>
        <v>3</v>
      </c>
      <c r="M39" s="1"/>
      <c r="N39" s="1"/>
      <c r="O39" s="1"/>
      <c r="P39" s="1">
        <v>140</v>
      </c>
      <c r="Q39" s="1">
        <f t="shared" si="3"/>
        <v>33.6</v>
      </c>
      <c r="R39" s="5">
        <f t="shared" si="4"/>
        <v>228.40000000000003</v>
      </c>
      <c r="S39" s="5">
        <f t="shared" si="5"/>
        <v>228.40000000000003</v>
      </c>
      <c r="T39" s="5">
        <f>VLOOKUP(A39,заказ!A:B,2,0)</f>
        <v>230</v>
      </c>
      <c r="U39" s="14"/>
      <c r="V39" s="1">
        <f t="shared" si="8"/>
        <v>14</v>
      </c>
      <c r="W39" s="1">
        <f t="shared" si="6"/>
        <v>7.2023809523809517</v>
      </c>
      <c r="X39" s="1">
        <v>27.6</v>
      </c>
      <c r="Y39" s="1">
        <v>28.6</v>
      </c>
      <c r="Z39" s="1">
        <v>19.600000000000001</v>
      </c>
      <c r="AA39" s="1">
        <v>9</v>
      </c>
      <c r="AB39" s="1">
        <v>28.4</v>
      </c>
      <c r="AC39" s="1">
        <v>24.8</v>
      </c>
      <c r="AD39" s="1">
        <v>38.799999999999997</v>
      </c>
      <c r="AE39" s="1">
        <v>18.600000000000001</v>
      </c>
      <c r="AF39" s="1">
        <v>21.8</v>
      </c>
      <c r="AG39" s="1">
        <v>28</v>
      </c>
      <c r="AH39" s="1"/>
      <c r="AI39" s="1">
        <f t="shared" si="7"/>
        <v>45.680000000000007</v>
      </c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50" x14ac:dyDescent="0.25">
      <c r="A40" s="1" t="s">
        <v>80</v>
      </c>
      <c r="B40" s="1" t="s">
        <v>41</v>
      </c>
      <c r="C40" s="1">
        <v>35.374000000000002</v>
      </c>
      <c r="D40" s="1"/>
      <c r="E40" s="1">
        <v>9.7520000000000007</v>
      </c>
      <c r="F40" s="1">
        <v>25.622</v>
      </c>
      <c r="G40" s="7">
        <v>1</v>
      </c>
      <c r="H40" s="1">
        <v>120</v>
      </c>
      <c r="I40" s="1"/>
      <c r="J40" s="1"/>
      <c r="K40" s="1">
        <v>10.5</v>
      </c>
      <c r="L40" s="1">
        <f t="shared" si="2"/>
        <v>-0.74799999999999933</v>
      </c>
      <c r="M40" s="1"/>
      <c r="N40" s="1"/>
      <c r="O40" s="1"/>
      <c r="P40" s="1"/>
      <c r="Q40" s="1">
        <f t="shared" si="3"/>
        <v>1.9504000000000001</v>
      </c>
      <c r="R40" s="5"/>
      <c r="S40" s="5">
        <f t="shared" si="5"/>
        <v>0</v>
      </c>
      <c r="T40" s="5"/>
      <c r="U40" s="14"/>
      <c r="V40" s="1">
        <f t="shared" si="8"/>
        <v>13.136792452830187</v>
      </c>
      <c r="W40" s="1">
        <f t="shared" si="6"/>
        <v>13.136792452830187</v>
      </c>
      <c r="X40" s="1">
        <v>0</v>
      </c>
      <c r="Y40" s="1">
        <v>3.2932000000000001</v>
      </c>
      <c r="Z40" s="1">
        <v>3.2704</v>
      </c>
      <c r="AA40" s="1">
        <v>4.3572000000000006</v>
      </c>
      <c r="AB40" s="1">
        <v>1.8528</v>
      </c>
      <c r="AC40" s="1">
        <v>3.2056</v>
      </c>
      <c r="AD40" s="1">
        <v>3.8132000000000001</v>
      </c>
      <c r="AE40" s="1">
        <v>1.9352</v>
      </c>
      <c r="AF40" s="1">
        <v>2.5895999999999999</v>
      </c>
      <c r="AG40" s="1">
        <v>3.7652000000000001</v>
      </c>
      <c r="AH40" s="1"/>
      <c r="AI40" s="1">
        <f t="shared" si="7"/>
        <v>0</v>
      </c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50" x14ac:dyDescent="0.25">
      <c r="A41" s="1" t="s">
        <v>81</v>
      </c>
      <c r="B41" s="1" t="s">
        <v>36</v>
      </c>
      <c r="C41" s="1">
        <v>209</v>
      </c>
      <c r="D41" s="1">
        <v>2</v>
      </c>
      <c r="E41" s="1">
        <v>86</v>
      </c>
      <c r="F41" s="1">
        <v>115</v>
      </c>
      <c r="G41" s="7">
        <v>0.2</v>
      </c>
      <c r="H41" s="1">
        <v>120</v>
      </c>
      <c r="I41" s="1"/>
      <c r="J41" s="1"/>
      <c r="K41" s="1">
        <v>86</v>
      </c>
      <c r="L41" s="1">
        <f t="shared" si="2"/>
        <v>0</v>
      </c>
      <c r="M41" s="1"/>
      <c r="N41" s="1"/>
      <c r="O41" s="1"/>
      <c r="P41" s="1">
        <v>10</v>
      </c>
      <c r="Q41" s="1">
        <f t="shared" si="3"/>
        <v>17.2</v>
      </c>
      <c r="R41" s="5">
        <f t="shared" si="4"/>
        <v>115.79999999999998</v>
      </c>
      <c r="S41" s="5">
        <f t="shared" si="5"/>
        <v>115.79999999999998</v>
      </c>
      <c r="T41" s="5">
        <f>VLOOKUP(A41,заказ!A:B,2,0)</f>
        <v>120</v>
      </c>
      <c r="U41" s="14"/>
      <c r="V41" s="1">
        <f t="shared" si="8"/>
        <v>14</v>
      </c>
      <c r="W41" s="1">
        <f t="shared" si="6"/>
        <v>7.2674418604651168</v>
      </c>
      <c r="X41" s="1">
        <v>14.8</v>
      </c>
      <c r="Y41" s="1">
        <v>16.2</v>
      </c>
      <c r="Z41" s="1">
        <v>12.8</v>
      </c>
      <c r="AA41" s="1">
        <v>6.8</v>
      </c>
      <c r="AB41" s="1">
        <v>15.6</v>
      </c>
      <c r="AC41" s="1">
        <v>13.8</v>
      </c>
      <c r="AD41" s="1">
        <v>29.4</v>
      </c>
      <c r="AE41" s="1">
        <v>13.4</v>
      </c>
      <c r="AF41" s="1">
        <v>11</v>
      </c>
      <c r="AG41" s="1">
        <v>17.600000000000001</v>
      </c>
      <c r="AH41" s="1"/>
      <c r="AI41" s="1">
        <f t="shared" si="7"/>
        <v>23.159999999999997</v>
      </c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pans="1:50" x14ac:dyDescent="0.25">
      <c r="A42" s="1" t="s">
        <v>82</v>
      </c>
      <c r="B42" s="1" t="s">
        <v>41</v>
      </c>
      <c r="C42" s="1">
        <v>0.76600000000000001</v>
      </c>
      <c r="D42" s="1"/>
      <c r="E42" s="1"/>
      <c r="F42" s="1">
        <v>0.76600000000000001</v>
      </c>
      <c r="G42" s="7">
        <v>1</v>
      </c>
      <c r="H42" s="1">
        <v>120</v>
      </c>
      <c r="I42" s="1"/>
      <c r="J42" s="1"/>
      <c r="K42" s="1"/>
      <c r="L42" s="1">
        <f t="shared" si="2"/>
        <v>0</v>
      </c>
      <c r="M42" s="1"/>
      <c r="N42" s="1"/>
      <c r="O42" s="1"/>
      <c r="P42" s="1">
        <v>15</v>
      </c>
      <c r="Q42" s="1">
        <f t="shared" si="3"/>
        <v>0</v>
      </c>
      <c r="R42" s="5"/>
      <c r="S42" s="5">
        <f t="shared" si="5"/>
        <v>0</v>
      </c>
      <c r="T42" s="5"/>
      <c r="U42" s="14"/>
      <c r="V42" s="1" t="e">
        <f t="shared" si="8"/>
        <v>#DIV/0!</v>
      </c>
      <c r="W42" s="1" t="e">
        <f t="shared" si="6"/>
        <v>#DIV/0!</v>
      </c>
      <c r="X42" s="1">
        <v>1.3648</v>
      </c>
      <c r="Y42" s="1">
        <v>6.8608000000000002</v>
      </c>
      <c r="Z42" s="1">
        <v>0</v>
      </c>
      <c r="AA42" s="1">
        <v>1.5251999999999999</v>
      </c>
      <c r="AB42" s="1">
        <v>1.4972000000000001</v>
      </c>
      <c r="AC42" s="1">
        <v>2.8639999999999999</v>
      </c>
      <c r="AD42" s="1">
        <v>1.4996</v>
      </c>
      <c r="AE42" s="1">
        <v>2.1772</v>
      </c>
      <c r="AF42" s="1">
        <v>1.4212</v>
      </c>
      <c r="AG42" s="1">
        <v>0</v>
      </c>
      <c r="AH42" s="1" t="s">
        <v>83</v>
      </c>
      <c r="AI42" s="1">
        <f t="shared" si="7"/>
        <v>0</v>
      </c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pans="1:50" x14ac:dyDescent="0.25">
      <c r="A43" s="1"/>
      <c r="B43" s="1"/>
      <c r="C43" s="1"/>
      <c r="D43" s="1"/>
      <c r="E43" s="1"/>
      <c r="F43" s="1"/>
      <c r="G43" s="7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50" x14ac:dyDescent="0.25">
      <c r="A44" s="1"/>
      <c r="B44" s="1"/>
      <c r="C44" s="1"/>
      <c r="D44" s="1"/>
      <c r="E44" s="1"/>
      <c r="F44" s="1"/>
      <c r="G44" s="7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50" x14ac:dyDescent="0.25">
      <c r="A45" s="1"/>
      <c r="B45" s="1"/>
      <c r="C45" s="1"/>
      <c r="D45" s="1"/>
      <c r="E45" s="1"/>
      <c r="F45" s="1"/>
      <c r="G45" s="7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50" x14ac:dyDescent="0.25">
      <c r="A46" s="1"/>
      <c r="B46" s="1"/>
      <c r="C46" s="1"/>
      <c r="D46" s="1"/>
      <c r="E46" s="1"/>
      <c r="F46" s="1"/>
      <c r="G46" s="7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 x14ac:dyDescent="0.25">
      <c r="A47" s="1"/>
      <c r="B47" s="1"/>
      <c r="C47" s="1"/>
      <c r="D47" s="1"/>
      <c r="E47" s="1"/>
      <c r="F47" s="1"/>
      <c r="G47" s="7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50" x14ac:dyDescent="0.25">
      <c r="A48" s="1"/>
      <c r="B48" s="1"/>
      <c r="C48" s="1"/>
      <c r="D48" s="1"/>
      <c r="E48" s="1"/>
      <c r="F48" s="1"/>
      <c r="G48" s="7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50" x14ac:dyDescent="0.25">
      <c r="A49" s="1"/>
      <c r="B49" s="1"/>
      <c r="C49" s="1"/>
      <c r="D49" s="1"/>
      <c r="E49" s="1"/>
      <c r="F49" s="1"/>
      <c r="G49" s="7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50" x14ac:dyDescent="0.25">
      <c r="A50" s="1"/>
      <c r="B50" s="1"/>
      <c r="C50" s="1"/>
      <c r="D50" s="1"/>
      <c r="E50" s="1"/>
      <c r="F50" s="1"/>
      <c r="G50" s="7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pans="1:50" x14ac:dyDescent="0.25">
      <c r="A51" s="1"/>
      <c r="B51" s="1"/>
      <c r="C51" s="1"/>
      <c r="D51" s="1"/>
      <c r="E51" s="1"/>
      <c r="F51" s="1"/>
      <c r="G51" s="7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pans="1:50" x14ac:dyDescent="0.25">
      <c r="A52" s="1"/>
      <c r="B52" s="1"/>
      <c r="C52" s="1"/>
      <c r="D52" s="1"/>
      <c r="E52" s="1"/>
      <c r="F52" s="1"/>
      <c r="G52" s="7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pans="1:50" x14ac:dyDescent="0.25">
      <c r="A53" s="1"/>
      <c r="B53" s="1"/>
      <c r="C53" s="1"/>
      <c r="D53" s="1"/>
      <c r="E53" s="1"/>
      <c r="F53" s="1"/>
      <c r="G53" s="7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pans="1:50" x14ac:dyDescent="0.25">
      <c r="A54" s="1"/>
      <c r="B54" s="1"/>
      <c r="C54" s="1"/>
      <c r="D54" s="1"/>
      <c r="E54" s="1"/>
      <c r="F54" s="1"/>
      <c r="G54" s="7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pans="1:50" x14ac:dyDescent="0.25">
      <c r="A55" s="1"/>
      <c r="B55" s="1"/>
      <c r="C55" s="1"/>
      <c r="D55" s="1"/>
      <c r="E55" s="1"/>
      <c r="F55" s="1"/>
      <c r="G55" s="7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pans="1:50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pans="1:50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pans="1:50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pans="1:50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pans="1:50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pans="1:50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pans="1:50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pans="1:50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pans="1:50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pans="1:50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pans="1:50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pans="1:50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pans="1:50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pans="1:50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pans="1:50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pans="1:50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pans="1:50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pans="1:50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pans="1:50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pans="1:50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pans="1:50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pans="1:50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pans="1:50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pans="1:50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pans="1:50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pans="1:50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pans="1:50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pans="1:50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pans="1:50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pans="1:50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pans="1:50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pans="1:50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pans="1:50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pans="1:50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pans="1:50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pans="1:50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pans="1:50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pans="1:50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pans="1:50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pans="1:50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pans="1:50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pans="1:50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pans="1:50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pans="1:50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spans="1:50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spans="1:50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spans="1:50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  <row r="499" spans="1:50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</row>
    <row r="500" spans="1:50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</row>
  </sheetData>
  <autoFilter ref="A3:AI42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3E99-27AE-48CE-93AC-96397397A1BF}">
  <dimension ref="A1:B18"/>
  <sheetViews>
    <sheetView workbookViewId="0">
      <selection activeCell="C1" sqref="C1"/>
    </sheetView>
  </sheetViews>
  <sheetFormatPr defaultRowHeight="15" x14ac:dyDescent="0.25"/>
  <sheetData>
    <row r="1" spans="1:2" x14ac:dyDescent="0.25">
      <c r="A1" t="s">
        <v>37</v>
      </c>
      <c r="B1">
        <v>24</v>
      </c>
    </row>
    <row r="2" spans="1:2" x14ac:dyDescent="0.25">
      <c r="A2" t="s">
        <v>40</v>
      </c>
      <c r="B2">
        <v>170</v>
      </c>
    </row>
    <row r="3" spans="1:2" x14ac:dyDescent="0.25">
      <c r="A3" t="s">
        <v>45</v>
      </c>
      <c r="B3">
        <v>66</v>
      </c>
    </row>
    <row r="4" spans="1:2" x14ac:dyDescent="0.25">
      <c r="A4" t="s">
        <v>48</v>
      </c>
      <c r="B4">
        <v>300</v>
      </c>
    </row>
    <row r="5" spans="1:2" x14ac:dyDescent="0.25">
      <c r="A5" t="s">
        <v>51</v>
      </c>
      <c r="B5">
        <v>204</v>
      </c>
    </row>
    <row r="6" spans="1:2" x14ac:dyDescent="0.25">
      <c r="A6" t="s">
        <v>52</v>
      </c>
      <c r="B6">
        <v>192</v>
      </c>
    </row>
    <row r="7" spans="1:2" x14ac:dyDescent="0.25">
      <c r="A7" t="s">
        <v>55</v>
      </c>
      <c r="B7">
        <v>270</v>
      </c>
    </row>
    <row r="8" spans="1:2" x14ac:dyDescent="0.25">
      <c r="A8" t="s">
        <v>56</v>
      </c>
      <c r="B8">
        <v>180</v>
      </c>
    </row>
    <row r="9" spans="1:2" x14ac:dyDescent="0.25">
      <c r="A9" t="s">
        <v>60</v>
      </c>
      <c r="B9">
        <v>60</v>
      </c>
    </row>
    <row r="10" spans="1:2" x14ac:dyDescent="0.25">
      <c r="A10" t="s">
        <v>61</v>
      </c>
      <c r="B10">
        <v>48</v>
      </c>
    </row>
    <row r="11" spans="1:2" x14ac:dyDescent="0.25">
      <c r="A11" t="s">
        <v>62</v>
      </c>
      <c r="B11">
        <v>140</v>
      </c>
    </row>
    <row r="12" spans="1:2" x14ac:dyDescent="0.25">
      <c r="A12" t="s">
        <v>65</v>
      </c>
      <c r="B12">
        <v>50</v>
      </c>
    </row>
    <row r="13" spans="1:2" x14ac:dyDescent="0.25">
      <c r="A13" t="s">
        <v>68</v>
      </c>
      <c r="B13">
        <v>200</v>
      </c>
    </row>
    <row r="14" spans="1:2" x14ac:dyDescent="0.25">
      <c r="A14" t="s">
        <v>69</v>
      </c>
      <c r="B14">
        <v>60</v>
      </c>
    </row>
    <row r="15" spans="1:2" x14ac:dyDescent="0.25">
      <c r="A15" t="s">
        <v>75</v>
      </c>
      <c r="B15">
        <v>33</v>
      </c>
    </row>
    <row r="16" spans="1:2" x14ac:dyDescent="0.25">
      <c r="A16" t="s">
        <v>76</v>
      </c>
      <c r="B16">
        <v>18</v>
      </c>
    </row>
    <row r="17" spans="1:2" x14ac:dyDescent="0.25">
      <c r="A17" t="s">
        <v>79</v>
      </c>
      <c r="B17">
        <v>230</v>
      </c>
    </row>
    <row r="18" spans="1:2" x14ac:dyDescent="0.25">
      <c r="A18" t="s">
        <v>81</v>
      </c>
      <c r="B18">
        <v>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заказ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2026-09-16T16:14:46Z</dcterms:created>
  <dcterms:modified xsi:type="dcterms:W3CDTF">2026-09-17T09:53:03Z</dcterms:modified>
</cp:coreProperties>
</file>