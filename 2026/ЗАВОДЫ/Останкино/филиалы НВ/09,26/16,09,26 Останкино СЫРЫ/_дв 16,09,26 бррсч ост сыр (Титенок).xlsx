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EE6B40-7387-492F-A622-32AE6DA69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9" i="1" l="1"/>
  <c r="AF48" i="1"/>
  <c r="AF37" i="1"/>
  <c r="AF36" i="1"/>
  <c r="AF34" i="1"/>
  <c r="AF29" i="1"/>
  <c r="AF22" i="1"/>
  <c r="AF8" i="1"/>
  <c r="F56" i="1"/>
  <c r="E56" i="1"/>
  <c r="P56" i="1" s="1"/>
  <c r="P55" i="1"/>
  <c r="T55" i="1" s="1"/>
  <c r="L55" i="1"/>
  <c r="P54" i="1"/>
  <c r="T54" i="1" s="1"/>
  <c r="L54" i="1"/>
  <c r="F53" i="1"/>
  <c r="E53" i="1"/>
  <c r="P52" i="1"/>
  <c r="S52" i="1" s="1"/>
  <c r="L52" i="1"/>
  <c r="P51" i="1"/>
  <c r="L51" i="1"/>
  <c r="P50" i="1"/>
  <c r="AF50" i="1" s="1"/>
  <c r="L50" i="1"/>
  <c r="P49" i="1"/>
  <c r="T49" i="1" s="1"/>
  <c r="L49" i="1"/>
  <c r="P48" i="1"/>
  <c r="T48" i="1" s="1"/>
  <c r="L48" i="1"/>
  <c r="P47" i="1"/>
  <c r="L47" i="1"/>
  <c r="P46" i="1"/>
  <c r="Q46" i="1" s="1"/>
  <c r="AF46" i="1" s="1"/>
  <c r="L46" i="1"/>
  <c r="P45" i="1"/>
  <c r="S45" i="1" s="1"/>
  <c r="L45" i="1"/>
  <c r="P44" i="1"/>
  <c r="T44" i="1" s="1"/>
  <c r="L44" i="1"/>
  <c r="P43" i="1"/>
  <c r="T43" i="1" s="1"/>
  <c r="L43" i="1"/>
  <c r="P42" i="1"/>
  <c r="T42" i="1" s="1"/>
  <c r="L42" i="1"/>
  <c r="P41" i="1"/>
  <c r="AF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T31" i="1" s="1"/>
  <c r="L31" i="1"/>
  <c r="P30" i="1"/>
  <c r="T30" i="1" s="1"/>
  <c r="L30" i="1"/>
  <c r="P29" i="1"/>
  <c r="L29" i="1"/>
  <c r="P28" i="1"/>
  <c r="T28" i="1" s="1"/>
  <c r="L28" i="1"/>
  <c r="AF27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AF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F9" i="1"/>
  <c r="E9" i="1"/>
  <c r="L9" i="1" s="1"/>
  <c r="P8" i="1"/>
  <c r="T8" i="1" s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7" i="1" l="1"/>
  <c r="AF17" i="1" s="1"/>
  <c r="Q32" i="1"/>
  <c r="AF32" i="1" s="1"/>
  <c r="E5" i="1"/>
  <c r="Q12" i="1"/>
  <c r="Q35" i="1"/>
  <c r="AF35" i="1" s="1"/>
  <c r="T56" i="1"/>
  <c r="Q14" i="1"/>
  <c r="AF14" i="1" s="1"/>
  <c r="P9" i="1"/>
  <c r="Q15" i="1"/>
  <c r="Q19" i="1"/>
  <c r="T52" i="1"/>
  <c r="F5" i="1"/>
  <c r="Q16" i="1"/>
  <c r="AF16" i="1" s="1"/>
  <c r="AF18" i="1"/>
  <c r="Q38" i="1"/>
  <c r="AF38" i="1" s="1"/>
  <c r="AF39" i="1"/>
  <c r="S47" i="1"/>
  <c r="S54" i="1"/>
  <c r="Q20" i="1"/>
  <c r="AF20" i="1" s="1"/>
  <c r="AF40" i="1"/>
  <c r="S41" i="1"/>
  <c r="Q42" i="1"/>
  <c r="AF42" i="1" s="1"/>
  <c r="Q23" i="1"/>
  <c r="AF23" i="1" s="1"/>
  <c r="S6" i="1"/>
  <c r="AF24" i="1"/>
  <c r="AF44" i="1"/>
  <c r="AF25" i="1"/>
  <c r="S13" i="1"/>
  <c r="AF6" i="1"/>
  <c r="AF26" i="1"/>
  <c r="AF47" i="1"/>
  <c r="S21" i="1"/>
  <c r="AF28" i="1"/>
  <c r="AF10" i="1"/>
  <c r="AF30" i="1"/>
  <c r="Q51" i="1"/>
  <c r="AF51" i="1" s="1"/>
  <c r="AF11" i="1"/>
  <c r="AF31" i="1"/>
  <c r="AF12" i="1"/>
  <c r="AF13" i="1"/>
  <c r="Q33" i="1"/>
  <c r="AF33" i="1" s="1"/>
  <c r="AF56" i="1"/>
  <c r="AF52" i="1"/>
  <c r="S29" i="1"/>
  <c r="S50" i="1"/>
  <c r="S46" i="1"/>
  <c r="L53" i="1"/>
  <c r="S48" i="1"/>
  <c r="P53" i="1"/>
  <c r="S55" i="1"/>
  <c r="L56" i="1"/>
  <c r="L5" i="1" s="1"/>
  <c r="S39" i="1"/>
  <c r="S27" i="1"/>
  <c r="T53" i="1"/>
  <c r="T51" i="1"/>
  <c r="T13" i="1"/>
  <c r="T21" i="1"/>
  <c r="T29" i="1"/>
  <c r="T33" i="1"/>
  <c r="T41" i="1"/>
  <c r="T45" i="1"/>
  <c r="T6" i="1"/>
  <c r="S18" i="1"/>
  <c r="S22" i="1"/>
  <c r="S26" i="1"/>
  <c r="S30" i="1"/>
  <c r="S34" i="1"/>
  <c r="T46" i="1"/>
  <c r="T50" i="1"/>
  <c r="T47" i="1"/>
  <c r="S49" i="1"/>
  <c r="S37" i="1"/>
  <c r="S8" i="1"/>
  <c r="S16" i="1"/>
  <c r="S36" i="1"/>
  <c r="AF19" i="1" l="1"/>
  <c r="S19" i="1"/>
  <c r="S17" i="1"/>
  <c r="S35" i="1"/>
  <c r="T9" i="1"/>
  <c r="Q9" i="1"/>
  <c r="S14" i="1"/>
  <c r="S42" i="1"/>
  <c r="S15" i="1"/>
  <c r="AF15" i="1"/>
  <c r="S38" i="1"/>
  <c r="S40" i="1"/>
  <c r="S28" i="1"/>
  <c r="S20" i="1"/>
  <c r="AF43" i="1"/>
  <c r="S43" i="1"/>
  <c r="S33" i="1"/>
  <c r="S32" i="1"/>
  <c r="S11" i="1"/>
  <c r="S51" i="1"/>
  <c r="S44" i="1"/>
  <c r="S10" i="1"/>
  <c r="P5" i="1"/>
  <c r="Q53" i="1"/>
  <c r="S24" i="1"/>
  <c r="S23" i="1"/>
  <c r="S12" i="1"/>
  <c r="AF7" i="1"/>
  <c r="S7" i="1"/>
  <c r="S56" i="1"/>
  <c r="S31" i="1"/>
  <c r="S25" i="1"/>
  <c r="Q5" i="1" l="1"/>
  <c r="AF9" i="1"/>
  <c r="S9" i="1"/>
  <c r="AF53" i="1"/>
  <c r="S53" i="1"/>
  <c r="AF5" i="1" l="1"/>
</calcChain>
</file>

<file path=xl/sharedStrings.xml><?xml version="1.0" encoding="utf-8"?>
<sst xmlns="http://schemas.openxmlformats.org/spreadsheetml/2006/main" count="177" uniqueCount="101">
  <si>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</si>
  <si>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</si>
  <si>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</si>
  <si>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</si>
  <si>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</si>
  <si>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</si>
  <si>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</si>
  <si>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</si>
  <si>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</si>
  <si>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</si>
  <si>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</si>
  <si>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</si>
  <si>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</si>
  <si>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</si>
  <si>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</si>
  <si>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</si>
  <si>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</si>
  <si>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</si>
  <si>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</si>
  <si>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</si>
  <si>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</si>
  <si>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</si>
  <si>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</si>
  <si>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</si>
  <si>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</si>
  <si>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</si>
  <si>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</si>
  <si>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</si>
  <si>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</si>
  <si>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</si>
  <si>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</si>
  <si>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</si>
  <si>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</si>
  <si>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</si>
  <si>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</si>
  <si>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</si>
  <si>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</si>
  <si>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</si>
  <si>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</si>
  <si>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</si>
  <si>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</si>
  <si>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</si>
  <si>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</si>
  <si>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</si>
  <si>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</si>
  <si>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</si>
  <si>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</si>
  <si>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</si>
  <si>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</si>
  <si>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</si>
  <si>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</si>
  <si>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задвоили приход (07,09,26) / 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</si>
  <si>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</si>
  <si>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</si>
  <si>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</si>
  <si>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</si>
  <si>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</si>
  <si>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</si>
  <si>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</si>
  <si>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</si>
  <si>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</si>
  <si>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</si>
  <si>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</si>
  <si>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</si>
  <si>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</si>
  <si>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</si>
  <si>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</si>
  <si>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</si>
  <si>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</si>
  <si>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</si>
  <si>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</si>
  <si>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</si>
  <si>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</si>
  <si>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</si>
  <si>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</si>
  <si>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</si>
  <si>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</si>
  <si>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</si>
  <si>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</si>
  <si>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</si>
  <si>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</si>
  <si>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</si>
  <si>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</si>
  <si>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</si>
  <si>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</si>
  <si>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</si>
  <si>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</si>
  <si>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</si>
  <si>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</si>
  <si>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</si>
  <si>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</si>
  <si>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</si>
  <si>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</si>
  <si>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</si>
  <si>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</si>
  <si>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</si>
  <si>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</si>
  <si>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новинка</t>
  </si>
  <si>
    <t>нет потребности / 15кг списано (14,09,26)</t>
  </si>
  <si>
    <t>14шт списано (16,09,26)</t>
  </si>
  <si>
    <t>не стабильные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</si>
</sst>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40" activePane="bottomRight" state="frozen"/>
      <selection pane="topRight"/>
      <selection pane="bottomLeft"/>
      <selection pane="bottomRight" activeCell="R57" sqref="R5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6953125" customWidth="1"/>
    <col min="10" max="10" width="1" customWidth="1"/>
    <col min="11" max="12" width="7" customWidth="1"/>
    <col min="13" max="14" width="0.54296875" customWidth="1"/>
    <col min="15" max="17" width="7" customWidth="1"/>
    <col min="18" max="18" width="7" style="19" customWidth="1"/>
    <col min="19" max="20" width="5" customWidth="1"/>
    <col min="21" max="30" width="6" customWidth="1"/>
    <col min="31" max="31" width="46.1796875" customWidth="1"/>
    <col min="32" max="32" width="7" customWidth="1"/>
    <col min="33" max="48" width="3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SUM(E6:E500)</f>
        <v>2686.7109999999993</v>
      </c>
      <c r="F5" s="4">
        <f>SUM(F6:F500)</f>
        <v>4411.5550000000012</v>
      </c>
      <c r="G5" s="7"/>
      <c r="H5" s="1"/>
      <c r="I5" s="1"/>
      <c r="J5" s="1"/>
      <c r="K5" s="4">
        <f t="shared" ref="K5:Q5" si="0">SUM(K6:K500)</f>
        <v>4783.5119999999997</v>
      </c>
      <c r="L5" s="4">
        <f t="shared" si="0"/>
        <v>-2096.8010000000004</v>
      </c>
      <c r="M5" s="4">
        <f t="shared" si="0"/>
        <v>0</v>
      </c>
      <c r="N5" s="4">
        <f t="shared" si="0"/>
        <v>0</v>
      </c>
      <c r="O5" s="4">
        <f t="shared" si="0"/>
        <v>1855</v>
      </c>
      <c r="P5" s="4">
        <f t="shared" si="0"/>
        <v>537.34220000000005</v>
      </c>
      <c r="Q5" s="4">
        <f t="shared" si="0"/>
        <v>3010.9992000000002</v>
      </c>
      <c r="R5" s="4"/>
      <c r="S5" s="1"/>
      <c r="T5" s="1"/>
      <c r="U5" s="4">
        <f t="shared" ref="U5:AD5" si="1">SUM(U6:U500)</f>
        <v>486.08820000000009</v>
      </c>
      <c r="V5" s="4">
        <f t="shared" si="1"/>
        <v>809.48320000000001</v>
      </c>
      <c r="W5" s="4">
        <f t="shared" si="1"/>
        <v>613.53500000000008</v>
      </c>
      <c r="X5" s="4">
        <f t="shared" si="1"/>
        <v>554.01200000000017</v>
      </c>
      <c r="Y5" s="4">
        <f t="shared" si="1"/>
        <v>803.35120000000006</v>
      </c>
      <c r="Z5" s="4">
        <f t="shared" si="1"/>
        <v>614.32119999999998</v>
      </c>
      <c r="AA5" s="4">
        <f t="shared" si="1"/>
        <v>721.64419999999996</v>
      </c>
      <c r="AB5" s="4">
        <f t="shared" si="1"/>
        <v>865.60019999999997</v>
      </c>
      <c r="AC5" s="4">
        <f t="shared" si="1"/>
        <v>773.1673999999997</v>
      </c>
      <c r="AD5" s="4">
        <f t="shared" si="1"/>
        <v>839.99680000000001</v>
      </c>
      <c r="AE5" s="1"/>
      <c r="AF5" s="4">
        <f>SUM(AF6:AF500)</f>
        <v>1235.5039999999999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34</v>
      </c>
      <c r="B6" s="1" t="s">
        <v>35</v>
      </c>
      <c r="C6" s="1">
        <v>24</v>
      </c>
      <c r="D6" s="1"/>
      <c r="E6" s="1">
        <v>1</v>
      </c>
      <c r="F6" s="1">
        <v>23</v>
      </c>
      <c r="G6" s="7">
        <v>5.5E-2</v>
      </c>
      <c r="H6" s="1">
        <v>120</v>
      </c>
      <c r="I6" s="1"/>
      <c r="J6" s="1"/>
      <c r="K6" s="1">
        <v>1</v>
      </c>
      <c r="L6" s="1">
        <f t="shared" ref="L6:L37" si="2">E6-K6</f>
        <v>0</v>
      </c>
      <c r="M6" s="1"/>
      <c r="N6" s="1"/>
      <c r="O6" s="1"/>
      <c r="P6" s="1">
        <f t="shared" ref="P6:P37" si="3">E6/5</f>
        <v>0.2</v>
      </c>
      <c r="Q6" s="5"/>
      <c r="R6" s="17">
        <v>50</v>
      </c>
      <c r="S6" s="1">
        <f t="shared" ref="S6:S37" si="4">(F6+O6+Q6)/P6</f>
        <v>115</v>
      </c>
      <c r="T6" s="1">
        <f t="shared" ref="T6:T37" si="5">(F6+O6)/P6</f>
        <v>115</v>
      </c>
      <c r="U6" s="1">
        <v>0.6</v>
      </c>
      <c r="V6" s="1">
        <v>0</v>
      </c>
      <c r="W6" s="1">
        <v>0.4</v>
      </c>
      <c r="X6" s="1">
        <v>1.2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3" t="s">
        <v>36</v>
      </c>
      <c r="AF6" s="1">
        <f t="shared" ref="AF6:AF44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37</v>
      </c>
      <c r="B7" s="1" t="s">
        <v>35</v>
      </c>
      <c r="C7" s="1">
        <v>28</v>
      </c>
      <c r="D7" s="1"/>
      <c r="E7" s="1">
        <v>7</v>
      </c>
      <c r="F7" s="1">
        <v>21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si="3"/>
        <v>1.4</v>
      </c>
      <c r="Q7" s="5"/>
      <c r="R7" s="17">
        <v>50</v>
      </c>
      <c r="S7" s="1">
        <f t="shared" si="4"/>
        <v>15.000000000000002</v>
      </c>
      <c r="T7" s="1">
        <f t="shared" si="5"/>
        <v>15.000000000000002</v>
      </c>
      <c r="U7" s="1">
        <v>0.2</v>
      </c>
      <c r="V7" s="1">
        <v>0</v>
      </c>
      <c r="W7" s="1">
        <v>0.4</v>
      </c>
      <c r="X7" s="1">
        <v>1.6</v>
      </c>
      <c r="Y7" s="1">
        <v>1.2</v>
      </c>
      <c r="Z7" s="1">
        <v>1.2</v>
      </c>
      <c r="AA7" s="1">
        <v>0</v>
      </c>
      <c r="AB7" s="1">
        <v>0</v>
      </c>
      <c r="AC7" s="1">
        <v>0</v>
      </c>
      <c r="AD7" s="1">
        <v>0</v>
      </c>
      <c r="AE7" s="14" t="s">
        <v>97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38</v>
      </c>
      <c r="B8" s="1" t="s">
        <v>35</v>
      </c>
      <c r="C8" s="1">
        <v>27</v>
      </c>
      <c r="D8" s="1"/>
      <c r="E8" s="1"/>
      <c r="F8" s="1">
        <v>27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7"/>
      <c r="S8" s="1" t="e">
        <f t="shared" si="4"/>
        <v>#DIV/0!</v>
      </c>
      <c r="T8" s="1" t="e">
        <f t="shared" si="5"/>
        <v>#DIV/0!</v>
      </c>
      <c r="U8" s="1">
        <v>0.8</v>
      </c>
      <c r="V8" s="1">
        <v>0</v>
      </c>
      <c r="W8" s="1">
        <v>0</v>
      </c>
      <c r="X8" s="1">
        <v>0.8</v>
      </c>
      <c r="Y8" s="1">
        <v>1.2</v>
      </c>
      <c r="Z8" s="1">
        <v>1.6</v>
      </c>
      <c r="AA8" s="1">
        <v>0</v>
      </c>
      <c r="AB8" s="1">
        <v>0</v>
      </c>
      <c r="AC8" s="1">
        <v>0</v>
      </c>
      <c r="AD8" s="1">
        <v>0</v>
      </c>
      <c r="AE8" s="13" t="s">
        <v>36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39</v>
      </c>
      <c r="B9" s="1" t="s">
        <v>40</v>
      </c>
      <c r="C9" s="1">
        <v>149.91300000000001</v>
      </c>
      <c r="D9" s="1">
        <v>6.1440000000000001</v>
      </c>
      <c r="E9" s="12">
        <f>86.706+E45</f>
        <v>92.75200000000001</v>
      </c>
      <c r="F9" s="12">
        <f>31.091+F45</f>
        <v>16.133000000000003</v>
      </c>
      <c r="G9" s="7">
        <v>1</v>
      </c>
      <c r="H9" s="1">
        <v>120</v>
      </c>
      <c r="I9" s="1"/>
      <c r="J9" s="1"/>
      <c r="K9" s="1">
        <v>104.11199999999999</v>
      </c>
      <c r="L9" s="1">
        <f t="shared" si="2"/>
        <v>-11.359999999999985</v>
      </c>
      <c r="M9" s="1"/>
      <c r="N9" s="1"/>
      <c r="O9" s="1">
        <v>10</v>
      </c>
      <c r="P9" s="1">
        <f t="shared" si="3"/>
        <v>18.550400000000003</v>
      </c>
      <c r="Q9" s="5">
        <f>10*P9-O9-F9</f>
        <v>159.37100000000001</v>
      </c>
      <c r="R9" s="17">
        <v>400</v>
      </c>
      <c r="S9" s="1">
        <f t="shared" si="4"/>
        <v>10</v>
      </c>
      <c r="T9" s="1">
        <f t="shared" si="5"/>
        <v>1.4087566844919786</v>
      </c>
      <c r="U9" s="1">
        <v>11.003</v>
      </c>
      <c r="V9" s="1">
        <v>11.139200000000001</v>
      </c>
      <c r="W9" s="1">
        <v>9.8320000000000007</v>
      </c>
      <c r="X9" s="1">
        <v>7.8068</v>
      </c>
      <c r="Y9" s="1">
        <v>12.0304</v>
      </c>
      <c r="Z9" s="1">
        <v>13.2544</v>
      </c>
      <c r="AA9" s="1">
        <v>23.414999999999999</v>
      </c>
      <c r="AB9" s="1">
        <v>16.726800000000001</v>
      </c>
      <c r="AC9" s="1">
        <v>14.728400000000001</v>
      </c>
      <c r="AD9" s="1">
        <v>13.632400000000001</v>
      </c>
      <c r="AE9" s="1"/>
      <c r="AF9" s="1">
        <f t="shared" si="6"/>
        <v>159.37100000000001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41</v>
      </c>
      <c r="B10" s="1" t="s">
        <v>35</v>
      </c>
      <c r="C10" s="1">
        <v>32</v>
      </c>
      <c r="D10" s="1"/>
      <c r="E10" s="1"/>
      <c r="F10" s="1">
        <v>32</v>
      </c>
      <c r="G10" s="7">
        <v>0.18</v>
      </c>
      <c r="H10" s="1">
        <v>180</v>
      </c>
      <c r="I10" s="1"/>
      <c r="J10" s="1"/>
      <c r="K10" s="1">
        <v>25</v>
      </c>
      <c r="L10" s="1">
        <f t="shared" si="2"/>
        <v>-25</v>
      </c>
      <c r="M10" s="1"/>
      <c r="N10" s="1"/>
      <c r="O10" s="1"/>
      <c r="P10" s="1">
        <f t="shared" si="3"/>
        <v>0</v>
      </c>
      <c r="Q10" s="5"/>
      <c r="R10" s="17"/>
      <c r="S10" s="1" t="e">
        <f t="shared" si="4"/>
        <v>#DIV/0!</v>
      </c>
      <c r="T10" s="1" t="e">
        <f t="shared" si="5"/>
        <v>#DIV/0!</v>
      </c>
      <c r="U10" s="1">
        <v>-9.6</v>
      </c>
      <c r="V10" s="1">
        <v>-12.6</v>
      </c>
      <c r="W10" s="1">
        <v>118.8</v>
      </c>
      <c r="X10" s="1">
        <v>0.6</v>
      </c>
      <c r="Y10" s="1">
        <v>-0.4</v>
      </c>
      <c r="Z10" s="1">
        <v>0</v>
      </c>
      <c r="AA10" s="1">
        <v>2.4</v>
      </c>
      <c r="AB10" s="1">
        <v>6.4</v>
      </c>
      <c r="AC10" s="1">
        <v>5.2</v>
      </c>
      <c r="AD10" s="1">
        <v>4.5999999999999996</v>
      </c>
      <c r="AE10" s="1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43</v>
      </c>
      <c r="B11" s="1" t="s">
        <v>35</v>
      </c>
      <c r="C11" s="1">
        <v>123</v>
      </c>
      <c r="D11" s="1"/>
      <c r="E11" s="1"/>
      <c r="F11" s="1">
        <v>123</v>
      </c>
      <c r="G11" s="7">
        <v>0.18</v>
      </c>
      <c r="H11" s="1">
        <v>180</v>
      </c>
      <c r="I11" s="1"/>
      <c r="J11" s="1"/>
      <c r="K11" s="1">
        <v>28</v>
      </c>
      <c r="L11" s="1">
        <f t="shared" si="2"/>
        <v>-28</v>
      </c>
      <c r="M11" s="1"/>
      <c r="N11" s="1"/>
      <c r="O11" s="1"/>
      <c r="P11" s="1">
        <f t="shared" si="3"/>
        <v>0</v>
      </c>
      <c r="Q11" s="5"/>
      <c r="R11" s="17"/>
      <c r="S11" s="1" t="e">
        <f t="shared" si="4"/>
        <v>#DIV/0!</v>
      </c>
      <c r="T11" s="1" t="e">
        <f t="shared" si="5"/>
        <v>#DIV/0!</v>
      </c>
      <c r="U11" s="1">
        <v>-0.2</v>
      </c>
      <c r="V11" s="1">
        <v>2.8</v>
      </c>
      <c r="W11" s="1">
        <v>-0.2</v>
      </c>
      <c r="X11" s="1">
        <v>1.2</v>
      </c>
      <c r="Y11" s="1">
        <v>23.4</v>
      </c>
      <c r="Z11" s="1">
        <v>-0.4</v>
      </c>
      <c r="AA11" s="1">
        <v>-1.2</v>
      </c>
      <c r="AB11" s="1">
        <v>3.6</v>
      </c>
      <c r="AC11" s="1">
        <v>3</v>
      </c>
      <c r="AD11" s="1">
        <v>7.2</v>
      </c>
      <c r="AE11" s="13" t="s">
        <v>44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45</v>
      </c>
      <c r="B12" s="1" t="s">
        <v>40</v>
      </c>
      <c r="C12" s="1">
        <v>25.692</v>
      </c>
      <c r="D12" s="1">
        <v>3.2519999999999998</v>
      </c>
      <c r="E12" s="1">
        <v>15.848000000000001</v>
      </c>
      <c r="F12" s="1">
        <v>3.2519999999999998</v>
      </c>
      <c r="G12" s="7">
        <v>1</v>
      </c>
      <c r="H12" s="1">
        <v>180</v>
      </c>
      <c r="I12" s="1"/>
      <c r="J12" s="1"/>
      <c r="K12" s="1">
        <v>20.5</v>
      </c>
      <c r="L12" s="1">
        <f t="shared" si="2"/>
        <v>-4.6519999999999992</v>
      </c>
      <c r="M12" s="1"/>
      <c r="N12" s="1"/>
      <c r="O12" s="1"/>
      <c r="P12" s="1">
        <f t="shared" si="3"/>
        <v>3.1696</v>
      </c>
      <c r="Q12" s="5">
        <f>10*P12-O12-F12</f>
        <v>28.443999999999999</v>
      </c>
      <c r="R12" s="17">
        <v>100</v>
      </c>
      <c r="S12" s="1">
        <f t="shared" si="4"/>
        <v>10</v>
      </c>
      <c r="T12" s="1">
        <f t="shared" si="5"/>
        <v>1.0259969712266532</v>
      </c>
      <c r="U12" s="1">
        <v>1.2887999999999999</v>
      </c>
      <c r="V12" s="1">
        <v>0.63559999999999994</v>
      </c>
      <c r="W12" s="1">
        <v>1.2452000000000001</v>
      </c>
      <c r="X12" s="1">
        <v>0.61959999999999993</v>
      </c>
      <c r="Y12" s="1">
        <v>2.4516</v>
      </c>
      <c r="Z12" s="1">
        <v>3.2412000000000001</v>
      </c>
      <c r="AA12" s="1">
        <v>0</v>
      </c>
      <c r="AB12" s="1">
        <v>0.68120000000000003</v>
      </c>
      <c r="AC12" s="1">
        <v>4.0174000000000003</v>
      </c>
      <c r="AD12" s="1">
        <v>6.1176000000000004</v>
      </c>
      <c r="AE12" s="1"/>
      <c r="AF12" s="1">
        <f t="shared" si="6"/>
        <v>28.443999999999999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46</v>
      </c>
      <c r="B13" s="1" t="s">
        <v>35</v>
      </c>
      <c r="C13" s="1">
        <v>132</v>
      </c>
      <c r="D13" s="1"/>
      <c r="E13" s="1">
        <v>4</v>
      </c>
      <c r="F13" s="1">
        <v>126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>
        <f t="shared" si="3"/>
        <v>0.8</v>
      </c>
      <c r="Q13" s="5"/>
      <c r="R13" s="17"/>
      <c r="S13" s="1">
        <f t="shared" si="4"/>
        <v>157.5</v>
      </c>
      <c r="T13" s="1">
        <f t="shared" si="5"/>
        <v>157.5</v>
      </c>
      <c r="U13" s="1">
        <v>0.4</v>
      </c>
      <c r="V13" s="1">
        <v>0</v>
      </c>
      <c r="W13" s="1">
        <v>0.2</v>
      </c>
      <c r="X13" s="1">
        <v>9.6</v>
      </c>
      <c r="Y13" s="1">
        <v>0.4</v>
      </c>
      <c r="Z13" s="1">
        <v>0.6</v>
      </c>
      <c r="AA13" s="1">
        <v>0</v>
      </c>
      <c r="AB13" s="1">
        <v>1.8</v>
      </c>
      <c r="AC13" s="1">
        <v>2.8</v>
      </c>
      <c r="AD13" s="1">
        <v>2.8</v>
      </c>
      <c r="AE13" s="13" t="s">
        <v>44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47</v>
      </c>
      <c r="B14" s="1" t="s">
        <v>35</v>
      </c>
      <c r="C14" s="1">
        <v>45</v>
      </c>
      <c r="D14" s="1">
        <v>219</v>
      </c>
      <c r="E14" s="1">
        <v>137</v>
      </c>
      <c r="F14" s="1">
        <v>102</v>
      </c>
      <c r="G14" s="7">
        <v>0.372</v>
      </c>
      <c r="H14" s="1">
        <v>180</v>
      </c>
      <c r="I14" s="1"/>
      <c r="J14" s="1"/>
      <c r="K14" s="1">
        <v>151</v>
      </c>
      <c r="L14" s="1">
        <f t="shared" si="2"/>
        <v>-14</v>
      </c>
      <c r="M14" s="1"/>
      <c r="N14" s="1"/>
      <c r="O14" s="1">
        <v>12</v>
      </c>
      <c r="P14" s="1">
        <f t="shared" si="3"/>
        <v>27.4</v>
      </c>
      <c r="Q14" s="5">
        <f t="shared" ref="Q14:Q42" si="7">14*P14-O14-F14</f>
        <v>269.59999999999997</v>
      </c>
      <c r="R14" s="17">
        <v>350</v>
      </c>
      <c r="S14" s="1">
        <f t="shared" si="4"/>
        <v>14</v>
      </c>
      <c r="T14" s="1">
        <f t="shared" si="5"/>
        <v>4.1605839416058394</v>
      </c>
      <c r="U14" s="1">
        <v>18</v>
      </c>
      <c r="V14" s="1">
        <v>35.4</v>
      </c>
      <c r="W14" s="1">
        <v>16.2</v>
      </c>
      <c r="X14" s="1">
        <v>25.8</v>
      </c>
      <c r="Y14" s="1">
        <v>10</v>
      </c>
      <c r="Z14" s="1">
        <v>15.2</v>
      </c>
      <c r="AA14" s="1">
        <v>29</v>
      </c>
      <c r="AB14" s="1">
        <v>14.6</v>
      </c>
      <c r="AC14" s="1">
        <v>26.2</v>
      </c>
      <c r="AD14" s="1">
        <v>40.6</v>
      </c>
      <c r="AE14" s="1"/>
      <c r="AF14" s="1">
        <f t="shared" si="6"/>
        <v>100.29119999999999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48</v>
      </c>
      <c r="B15" s="1" t="s">
        <v>35</v>
      </c>
      <c r="C15" s="1">
        <v>101</v>
      </c>
      <c r="D15" s="1">
        <v>156</v>
      </c>
      <c r="E15" s="1">
        <v>91</v>
      </c>
      <c r="F15" s="1">
        <v>131</v>
      </c>
      <c r="G15" s="7">
        <v>0.74399999999999999</v>
      </c>
      <c r="H15" s="1">
        <v>180</v>
      </c>
      <c r="I15" s="1"/>
      <c r="J15" s="1"/>
      <c r="K15" s="1">
        <v>80</v>
      </c>
      <c r="L15" s="1">
        <f t="shared" si="2"/>
        <v>11</v>
      </c>
      <c r="M15" s="1"/>
      <c r="N15" s="1"/>
      <c r="O15" s="1"/>
      <c r="P15" s="1">
        <f t="shared" si="3"/>
        <v>18.2</v>
      </c>
      <c r="Q15" s="5">
        <f t="shared" si="7"/>
        <v>123.79999999999998</v>
      </c>
      <c r="R15" s="17">
        <v>250</v>
      </c>
      <c r="S15" s="1">
        <f t="shared" si="4"/>
        <v>14</v>
      </c>
      <c r="T15" s="1">
        <f t="shared" si="5"/>
        <v>7.197802197802198</v>
      </c>
      <c r="U15" s="1">
        <v>11.4</v>
      </c>
      <c r="V15" s="1">
        <v>27.6</v>
      </c>
      <c r="W15" s="1">
        <v>7.6</v>
      </c>
      <c r="X15" s="1">
        <v>7.4</v>
      </c>
      <c r="Y15" s="1">
        <v>3.2</v>
      </c>
      <c r="Z15" s="1">
        <v>21.8</v>
      </c>
      <c r="AA15" s="1">
        <v>17.8</v>
      </c>
      <c r="AB15" s="1">
        <v>5.6</v>
      </c>
      <c r="AC15" s="1">
        <v>21.2</v>
      </c>
      <c r="AD15" s="1">
        <v>30.2</v>
      </c>
      <c r="AE15" s="1"/>
      <c r="AF15" s="1">
        <f t="shared" si="6"/>
        <v>92.107199999999992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49</v>
      </c>
      <c r="B16" s="1" t="s">
        <v>35</v>
      </c>
      <c r="C16" s="1">
        <v>87</v>
      </c>
      <c r="D16" s="1">
        <v>324</v>
      </c>
      <c r="E16" s="1">
        <v>111</v>
      </c>
      <c r="F16" s="1">
        <v>251</v>
      </c>
      <c r="G16" s="7">
        <v>0.372</v>
      </c>
      <c r="H16" s="1">
        <v>180</v>
      </c>
      <c r="I16" s="1"/>
      <c r="J16" s="1"/>
      <c r="K16" s="1">
        <v>310</v>
      </c>
      <c r="L16" s="1">
        <f t="shared" si="2"/>
        <v>-199</v>
      </c>
      <c r="M16" s="1"/>
      <c r="N16" s="1"/>
      <c r="O16" s="1"/>
      <c r="P16" s="1">
        <f t="shared" si="3"/>
        <v>22.2</v>
      </c>
      <c r="Q16" s="5">
        <f t="shared" si="7"/>
        <v>59.800000000000011</v>
      </c>
      <c r="R16" s="17">
        <v>150</v>
      </c>
      <c r="S16" s="1">
        <f t="shared" si="4"/>
        <v>14.000000000000002</v>
      </c>
      <c r="T16" s="1">
        <f t="shared" si="5"/>
        <v>11.306306306306306</v>
      </c>
      <c r="U16" s="1">
        <v>25</v>
      </c>
      <c r="V16" s="1">
        <v>53.2</v>
      </c>
      <c r="W16" s="1">
        <v>26.4</v>
      </c>
      <c r="X16" s="1">
        <v>39</v>
      </c>
      <c r="Y16" s="1">
        <v>23</v>
      </c>
      <c r="Z16" s="1">
        <v>32.6</v>
      </c>
      <c r="AA16" s="1">
        <v>49.6</v>
      </c>
      <c r="AB16" s="1">
        <v>62.6</v>
      </c>
      <c r="AC16" s="1">
        <v>42.2</v>
      </c>
      <c r="AD16" s="1">
        <v>83.8</v>
      </c>
      <c r="AE16" s="1"/>
      <c r="AF16" s="1">
        <f t="shared" si="6"/>
        <v>22.245600000000003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50</v>
      </c>
      <c r="B17" s="1" t="s">
        <v>35</v>
      </c>
      <c r="C17" s="1">
        <v>160</v>
      </c>
      <c r="D17" s="1">
        <v>265</v>
      </c>
      <c r="E17" s="1">
        <v>252</v>
      </c>
      <c r="F17" s="1">
        <v>79</v>
      </c>
      <c r="G17" s="7">
        <v>0.74399999999999999</v>
      </c>
      <c r="H17" s="1">
        <v>180</v>
      </c>
      <c r="I17" s="1"/>
      <c r="J17" s="1"/>
      <c r="K17" s="1">
        <v>355</v>
      </c>
      <c r="L17" s="1">
        <f t="shared" si="2"/>
        <v>-103</v>
      </c>
      <c r="M17" s="1"/>
      <c r="N17" s="1"/>
      <c r="O17" s="1">
        <v>84</v>
      </c>
      <c r="P17" s="1">
        <f t="shared" si="3"/>
        <v>50.4</v>
      </c>
      <c r="Q17" s="5">
        <f>13*P17-O17-F17</f>
        <v>492.19999999999993</v>
      </c>
      <c r="R17" s="17">
        <v>700</v>
      </c>
      <c r="S17" s="1">
        <f t="shared" si="4"/>
        <v>12.999999999999998</v>
      </c>
      <c r="T17" s="1">
        <f t="shared" si="5"/>
        <v>3.2341269841269842</v>
      </c>
      <c r="U17" s="1">
        <v>33.799999999999997</v>
      </c>
      <c r="V17" s="1">
        <v>43</v>
      </c>
      <c r="W17" s="1">
        <v>35.4</v>
      </c>
      <c r="X17" s="1">
        <v>38.799999999999997</v>
      </c>
      <c r="Y17" s="1">
        <v>30.8</v>
      </c>
      <c r="Z17" s="1">
        <v>20.6</v>
      </c>
      <c r="AA17" s="1">
        <v>48</v>
      </c>
      <c r="AB17" s="1">
        <v>52.8</v>
      </c>
      <c r="AC17" s="1">
        <v>34.200000000000003</v>
      </c>
      <c r="AD17" s="1">
        <v>70.599999999999994</v>
      </c>
      <c r="AE17" s="1" t="s">
        <v>51</v>
      </c>
      <c r="AF17" s="1">
        <f t="shared" si="6"/>
        <v>366.19679999999994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52</v>
      </c>
      <c r="B18" s="1" t="s">
        <v>35</v>
      </c>
      <c r="C18" s="1">
        <v>3</v>
      </c>
      <c r="D18" s="1">
        <v>32</v>
      </c>
      <c r="E18" s="1">
        <v>2</v>
      </c>
      <c r="F18" s="1">
        <v>25</v>
      </c>
      <c r="G18" s="7">
        <v>0.14000000000000001</v>
      </c>
      <c r="H18" s="1">
        <v>180</v>
      </c>
      <c r="I18" s="1"/>
      <c r="J18" s="1"/>
      <c r="K18" s="1">
        <v>25</v>
      </c>
      <c r="L18" s="1">
        <f t="shared" si="2"/>
        <v>-23</v>
      </c>
      <c r="M18" s="1"/>
      <c r="N18" s="1"/>
      <c r="O18" s="1">
        <v>16</v>
      </c>
      <c r="P18" s="1">
        <f t="shared" si="3"/>
        <v>0.4</v>
      </c>
      <c r="Q18" s="5"/>
      <c r="R18" s="17"/>
      <c r="S18" s="1">
        <f t="shared" si="4"/>
        <v>102.5</v>
      </c>
      <c r="T18" s="1">
        <f t="shared" si="5"/>
        <v>102.5</v>
      </c>
      <c r="U18" s="1">
        <v>3</v>
      </c>
      <c r="V18" s="1">
        <v>5.8</v>
      </c>
      <c r="W18" s="1">
        <v>2.8</v>
      </c>
      <c r="X18" s="1">
        <v>3.6</v>
      </c>
      <c r="Y18" s="1">
        <v>0.8</v>
      </c>
      <c r="Z18" s="1">
        <v>3.8</v>
      </c>
      <c r="AA18" s="1">
        <v>3.8</v>
      </c>
      <c r="AB18" s="1">
        <v>2.2000000000000002</v>
      </c>
      <c r="AC18" s="1">
        <v>4.5999999999999996</v>
      </c>
      <c r="AD18" s="1">
        <v>3.4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 t="s">
        <v>53</v>
      </c>
      <c r="B19" s="1" t="s">
        <v>35</v>
      </c>
      <c r="C19" s="1">
        <v>3</v>
      </c>
      <c r="D19" s="1">
        <v>80</v>
      </c>
      <c r="E19" s="1">
        <v>23</v>
      </c>
      <c r="F19" s="1">
        <v>31</v>
      </c>
      <c r="G19" s="7">
        <v>0.18</v>
      </c>
      <c r="H19" s="1">
        <v>270</v>
      </c>
      <c r="I19" s="1"/>
      <c r="J19" s="1"/>
      <c r="K19" s="1">
        <v>111</v>
      </c>
      <c r="L19" s="1">
        <f t="shared" si="2"/>
        <v>-88</v>
      </c>
      <c r="M19" s="1"/>
      <c r="N19" s="1"/>
      <c r="O19" s="1"/>
      <c r="P19" s="1">
        <f t="shared" si="3"/>
        <v>4.5999999999999996</v>
      </c>
      <c r="Q19" s="5">
        <f t="shared" si="7"/>
        <v>33.399999999999991</v>
      </c>
      <c r="R19" s="17">
        <v>70</v>
      </c>
      <c r="S19" s="1">
        <f t="shared" si="4"/>
        <v>14</v>
      </c>
      <c r="T19" s="1">
        <f t="shared" si="5"/>
        <v>6.7391304347826093</v>
      </c>
      <c r="U19" s="1">
        <v>0.4</v>
      </c>
      <c r="V19" s="1">
        <v>14.8</v>
      </c>
      <c r="W19" s="1">
        <v>1</v>
      </c>
      <c r="X19" s="1">
        <v>3.2</v>
      </c>
      <c r="Y19" s="1">
        <v>11</v>
      </c>
      <c r="Z19" s="1">
        <v>2.6</v>
      </c>
      <c r="AA19" s="1">
        <v>0</v>
      </c>
      <c r="AB19" s="1">
        <v>5.2</v>
      </c>
      <c r="AC19" s="1">
        <v>0.2</v>
      </c>
      <c r="AD19" s="1">
        <v>0</v>
      </c>
      <c r="AE19" s="1"/>
      <c r="AF19" s="1">
        <f t="shared" si="6"/>
        <v>6.0119999999999987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54</v>
      </c>
      <c r="B20" s="1" t="s">
        <v>35</v>
      </c>
      <c r="C20" s="1">
        <v>65</v>
      </c>
      <c r="D20" s="1">
        <v>83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91</v>
      </c>
      <c r="L20" s="1">
        <f t="shared" si="2"/>
        <v>-30</v>
      </c>
      <c r="M20" s="1"/>
      <c r="N20" s="1"/>
      <c r="O20" s="1"/>
      <c r="P20" s="1">
        <f t="shared" si="3"/>
        <v>12.2</v>
      </c>
      <c r="Q20" s="5">
        <f t="shared" si="7"/>
        <v>120.79999999999998</v>
      </c>
      <c r="R20" s="17">
        <v>250</v>
      </c>
      <c r="S20" s="1">
        <f t="shared" si="4"/>
        <v>14</v>
      </c>
      <c r="T20" s="1">
        <f t="shared" si="5"/>
        <v>4.0983606557377055</v>
      </c>
      <c r="U20" s="1">
        <v>3.4</v>
      </c>
      <c r="V20" s="1">
        <v>12.4</v>
      </c>
      <c r="W20" s="1">
        <v>12.2</v>
      </c>
      <c r="X20" s="1">
        <v>8</v>
      </c>
      <c r="Y20" s="1">
        <v>9.6</v>
      </c>
      <c r="Z20" s="1">
        <v>11</v>
      </c>
      <c r="AA20" s="1">
        <v>7.4</v>
      </c>
      <c r="AB20" s="1">
        <v>13</v>
      </c>
      <c r="AC20" s="1">
        <v>9.1999999999999993</v>
      </c>
      <c r="AD20" s="1">
        <v>7.4</v>
      </c>
      <c r="AE20" s="1"/>
      <c r="AF20" s="1">
        <f t="shared" si="6"/>
        <v>21.743999999999996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55</v>
      </c>
      <c r="B21" s="1" t="s">
        <v>35</v>
      </c>
      <c r="C21" s="1">
        <v>58</v>
      </c>
      <c r="D21" s="1"/>
      <c r="E21" s="1">
        <v>-2</v>
      </c>
      <c r="F21" s="1">
        <v>44</v>
      </c>
      <c r="G21" s="7">
        <v>0.1</v>
      </c>
      <c r="H21" s="1">
        <v>60</v>
      </c>
      <c r="I21" s="1"/>
      <c r="J21" s="1"/>
      <c r="K21" s="1">
        <v>3</v>
      </c>
      <c r="L21" s="1">
        <f t="shared" si="2"/>
        <v>-5</v>
      </c>
      <c r="M21" s="1"/>
      <c r="N21" s="1"/>
      <c r="O21" s="1"/>
      <c r="P21" s="1">
        <f t="shared" si="3"/>
        <v>-0.4</v>
      </c>
      <c r="Q21" s="5"/>
      <c r="R21" s="17"/>
      <c r="S21" s="1">
        <f t="shared" si="4"/>
        <v>-110</v>
      </c>
      <c r="T21" s="1">
        <f t="shared" si="5"/>
        <v>-110</v>
      </c>
      <c r="U21" s="1">
        <v>1.8</v>
      </c>
      <c r="V21" s="1">
        <v>2</v>
      </c>
      <c r="W21" s="1">
        <v>2.4</v>
      </c>
      <c r="X21" s="1">
        <v>4</v>
      </c>
      <c r="Y21" s="1">
        <v>2.6</v>
      </c>
      <c r="Z21" s="1">
        <v>-0.6</v>
      </c>
      <c r="AA21" s="1">
        <v>4.5999999999999996</v>
      </c>
      <c r="AB21" s="1">
        <v>9.1999999999999993</v>
      </c>
      <c r="AC21" s="1">
        <v>2</v>
      </c>
      <c r="AD21" s="1">
        <v>6.4</v>
      </c>
      <c r="AE21" s="13" t="s">
        <v>44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56</v>
      </c>
      <c r="B22" s="1" t="s">
        <v>35</v>
      </c>
      <c r="C22" s="1">
        <v>47</v>
      </c>
      <c r="D22" s="1">
        <v>560</v>
      </c>
      <c r="E22" s="1">
        <v>200</v>
      </c>
      <c r="F22" s="1">
        <v>269</v>
      </c>
      <c r="G22" s="7">
        <v>0.18</v>
      </c>
      <c r="H22" s="1">
        <v>180</v>
      </c>
      <c r="I22" s="1"/>
      <c r="J22" s="1"/>
      <c r="K22" s="1">
        <v>483</v>
      </c>
      <c r="L22" s="1">
        <f t="shared" si="2"/>
        <v>-283</v>
      </c>
      <c r="M22" s="1"/>
      <c r="N22" s="1"/>
      <c r="O22" s="1">
        <v>660</v>
      </c>
      <c r="P22" s="1">
        <f t="shared" si="3"/>
        <v>40</v>
      </c>
      <c r="Q22" s="5"/>
      <c r="R22" s="17">
        <v>1500</v>
      </c>
      <c r="S22" s="1">
        <f t="shared" si="4"/>
        <v>23.225000000000001</v>
      </c>
      <c r="T22" s="1">
        <f t="shared" si="5"/>
        <v>23.225000000000001</v>
      </c>
      <c r="U22" s="1">
        <v>85.8</v>
      </c>
      <c r="V22" s="1">
        <v>89.8</v>
      </c>
      <c r="W22" s="1">
        <v>60.2</v>
      </c>
      <c r="X22" s="1">
        <v>74.599999999999994</v>
      </c>
      <c r="Y22" s="1">
        <v>55.2</v>
      </c>
      <c r="Z22" s="1">
        <v>65.8</v>
      </c>
      <c r="AA22" s="1">
        <v>79</v>
      </c>
      <c r="AB22" s="1">
        <v>93</v>
      </c>
      <c r="AC22" s="1">
        <v>72.599999999999994</v>
      </c>
      <c r="AD22" s="1">
        <v>37.4</v>
      </c>
      <c r="AE22" s="1"/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57</v>
      </c>
      <c r="B23" s="1" t="s">
        <v>35</v>
      </c>
      <c r="C23" s="1">
        <v>60</v>
      </c>
      <c r="D23" s="1">
        <v>620</v>
      </c>
      <c r="E23" s="1">
        <v>192</v>
      </c>
      <c r="F23" s="1">
        <v>345</v>
      </c>
      <c r="G23" s="7">
        <v>0.18</v>
      </c>
      <c r="H23" s="1">
        <v>180</v>
      </c>
      <c r="I23" s="1"/>
      <c r="J23" s="1"/>
      <c r="K23" s="1">
        <v>618</v>
      </c>
      <c r="L23" s="1">
        <f t="shared" si="2"/>
        <v>-426</v>
      </c>
      <c r="M23" s="1"/>
      <c r="N23" s="1"/>
      <c r="O23" s="1"/>
      <c r="P23" s="1">
        <f t="shared" si="3"/>
        <v>38.4</v>
      </c>
      <c r="Q23" s="5">
        <f t="shared" si="7"/>
        <v>192.60000000000002</v>
      </c>
      <c r="R23" s="17">
        <v>1000</v>
      </c>
      <c r="S23" s="1">
        <f t="shared" si="4"/>
        <v>14.000000000000002</v>
      </c>
      <c r="T23" s="1">
        <f t="shared" si="5"/>
        <v>8.984375</v>
      </c>
      <c r="U23" s="1">
        <v>42</v>
      </c>
      <c r="V23" s="1">
        <v>110</v>
      </c>
      <c r="W23" s="1">
        <v>7.4</v>
      </c>
      <c r="X23" s="1">
        <v>1.6</v>
      </c>
      <c r="Y23" s="1">
        <v>330.4</v>
      </c>
      <c r="Z23" s="1">
        <v>83.4</v>
      </c>
      <c r="AA23" s="1">
        <v>102.2</v>
      </c>
      <c r="AB23" s="1">
        <v>110.8</v>
      </c>
      <c r="AC23" s="1">
        <v>97.8</v>
      </c>
      <c r="AD23" s="1">
        <v>126.6</v>
      </c>
      <c r="AE23" s="1" t="s">
        <v>58</v>
      </c>
      <c r="AF23" s="1">
        <f t="shared" si="6"/>
        <v>34.667999999999999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59</v>
      </c>
      <c r="B24" s="1" t="s">
        <v>35</v>
      </c>
      <c r="C24" s="1">
        <v>43</v>
      </c>
      <c r="D24" s="1"/>
      <c r="E24" s="1">
        <v>1</v>
      </c>
      <c r="F24" s="1">
        <v>42</v>
      </c>
      <c r="G24" s="7">
        <v>0.4</v>
      </c>
      <c r="H24" s="1">
        <v>270</v>
      </c>
      <c r="I24" s="1"/>
      <c r="J24" s="1"/>
      <c r="K24" s="1">
        <v>1</v>
      </c>
      <c r="L24" s="1">
        <f t="shared" si="2"/>
        <v>0</v>
      </c>
      <c r="M24" s="1"/>
      <c r="N24" s="1"/>
      <c r="O24" s="1"/>
      <c r="P24" s="1">
        <f t="shared" si="3"/>
        <v>0.2</v>
      </c>
      <c r="Q24" s="5"/>
      <c r="R24" s="17"/>
      <c r="S24" s="1">
        <f t="shared" si="4"/>
        <v>210</v>
      </c>
      <c r="T24" s="1">
        <f t="shared" si="5"/>
        <v>210</v>
      </c>
      <c r="U24" s="1">
        <v>1.2</v>
      </c>
      <c r="V24" s="1">
        <v>1.2</v>
      </c>
      <c r="W24" s="1">
        <v>1</v>
      </c>
      <c r="X24" s="1">
        <v>-0.2</v>
      </c>
      <c r="Y24" s="1">
        <v>1.2</v>
      </c>
      <c r="Z24" s="1">
        <v>0.6</v>
      </c>
      <c r="AA24" s="1">
        <v>1</v>
      </c>
      <c r="AB24" s="1">
        <v>3.2</v>
      </c>
      <c r="AC24" s="1">
        <v>2.6</v>
      </c>
      <c r="AD24" s="1">
        <v>0</v>
      </c>
      <c r="AE24" s="13" t="s">
        <v>44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 t="s">
        <v>60</v>
      </c>
      <c r="B25" s="1" t="s">
        <v>35</v>
      </c>
      <c r="C25" s="1">
        <v>87</v>
      </c>
      <c r="D25" s="1"/>
      <c r="E25" s="1">
        <v>2</v>
      </c>
      <c r="F25" s="1">
        <v>85</v>
      </c>
      <c r="G25" s="7">
        <v>0.4</v>
      </c>
      <c r="H25" s="1">
        <v>270</v>
      </c>
      <c r="I25" s="1"/>
      <c r="J25" s="1"/>
      <c r="K25" s="1">
        <v>2</v>
      </c>
      <c r="L25" s="1">
        <f t="shared" si="2"/>
        <v>0</v>
      </c>
      <c r="M25" s="1"/>
      <c r="N25" s="1"/>
      <c r="O25" s="1"/>
      <c r="P25" s="1">
        <f t="shared" si="3"/>
        <v>0.4</v>
      </c>
      <c r="Q25" s="5"/>
      <c r="R25" s="17"/>
      <c r="S25" s="1">
        <f t="shared" si="4"/>
        <v>212.5</v>
      </c>
      <c r="T25" s="1">
        <f t="shared" si="5"/>
        <v>212.5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0.2</v>
      </c>
      <c r="AD25" s="1">
        <v>0</v>
      </c>
      <c r="AE25" s="13" t="s">
        <v>44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 t="s">
        <v>61</v>
      </c>
      <c r="B26" s="1" t="s">
        <v>35</v>
      </c>
      <c r="C26" s="1">
        <v>173</v>
      </c>
      <c r="D26" s="1">
        <v>10</v>
      </c>
      <c r="E26" s="1">
        <v>9</v>
      </c>
      <c r="F26" s="1">
        <v>174</v>
      </c>
      <c r="G26" s="7">
        <v>0.18</v>
      </c>
      <c r="H26" s="1">
        <v>270</v>
      </c>
      <c r="I26" s="1"/>
      <c r="J26" s="1"/>
      <c r="K26" s="1">
        <v>9</v>
      </c>
      <c r="L26" s="1">
        <f t="shared" si="2"/>
        <v>0</v>
      </c>
      <c r="M26" s="1"/>
      <c r="N26" s="1"/>
      <c r="O26" s="1"/>
      <c r="P26" s="1">
        <f t="shared" si="3"/>
        <v>1.8</v>
      </c>
      <c r="Q26" s="5"/>
      <c r="R26" s="17"/>
      <c r="S26" s="1">
        <f t="shared" si="4"/>
        <v>96.666666666666657</v>
      </c>
      <c r="T26" s="1">
        <f t="shared" si="5"/>
        <v>96.666666666666657</v>
      </c>
      <c r="U26" s="1">
        <v>0.4</v>
      </c>
      <c r="V26" s="1">
        <v>3.2</v>
      </c>
      <c r="W26" s="1">
        <v>0.2</v>
      </c>
      <c r="X26" s="1">
        <v>19.600000000000001</v>
      </c>
      <c r="Y26" s="1">
        <v>1.4</v>
      </c>
      <c r="Z26" s="1">
        <v>1</v>
      </c>
      <c r="AA26" s="1">
        <v>0.2</v>
      </c>
      <c r="AB26" s="1">
        <v>2.8</v>
      </c>
      <c r="AC26" s="1">
        <v>3.6</v>
      </c>
      <c r="AD26" s="1">
        <v>1.8</v>
      </c>
      <c r="AE26" s="13" t="s">
        <v>44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62</v>
      </c>
      <c r="B27" s="1" t="s">
        <v>35</v>
      </c>
      <c r="C27" s="1">
        <v>24</v>
      </c>
      <c r="D27" s="1"/>
      <c r="E27" s="1"/>
      <c r="F27" s="1">
        <v>5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7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3" t="s">
        <v>44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9" t="s">
        <v>63</v>
      </c>
      <c r="B28" s="9" t="s">
        <v>40</v>
      </c>
      <c r="C28" s="9">
        <v>14.645</v>
      </c>
      <c r="D28" s="9"/>
      <c r="E28" s="9"/>
      <c r="F28" s="9"/>
      <c r="G28" s="10">
        <v>0</v>
      </c>
      <c r="H28" s="9">
        <v>180</v>
      </c>
      <c r="I28" s="9"/>
      <c r="J28" s="9"/>
      <c r="K28" s="9"/>
      <c r="L28" s="9">
        <f t="shared" si="2"/>
        <v>0</v>
      </c>
      <c r="M28" s="9"/>
      <c r="N28" s="9"/>
      <c r="O28" s="9"/>
      <c r="P28" s="9">
        <f t="shared" si="3"/>
        <v>0</v>
      </c>
      <c r="Q28" s="11"/>
      <c r="R28" s="18"/>
      <c r="S28" s="9" t="e">
        <f t="shared" si="4"/>
        <v>#DIV/0!</v>
      </c>
      <c r="T28" s="9" t="e">
        <f t="shared" si="5"/>
        <v>#DIV/0!</v>
      </c>
      <c r="U28" s="9">
        <v>0</v>
      </c>
      <c r="V28" s="9">
        <v>-0.36159999999999998</v>
      </c>
      <c r="W28" s="9">
        <v>0</v>
      </c>
      <c r="X28" s="9">
        <v>0</v>
      </c>
      <c r="Y28" s="9">
        <v>0</v>
      </c>
      <c r="Z28" s="9">
        <v>0</v>
      </c>
      <c r="AA28" s="9">
        <v>0.46300000000000002</v>
      </c>
      <c r="AB28" s="9">
        <v>0.88900000000000001</v>
      </c>
      <c r="AC28" s="9">
        <v>0.34799999999999998</v>
      </c>
      <c r="AD28" s="9">
        <v>0.56299999999999994</v>
      </c>
      <c r="AE28" s="15" t="s">
        <v>98</v>
      </c>
      <c r="AF28" s="9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64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7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3" t="s">
        <v>44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65</v>
      </c>
      <c r="B30" s="1" t="s">
        <v>35</v>
      </c>
      <c r="C30" s="1">
        <v>111</v>
      </c>
      <c r="D30" s="1"/>
      <c r="E30" s="1">
        <v>-2</v>
      </c>
      <c r="F30" s="1">
        <v>111</v>
      </c>
      <c r="G30" s="7">
        <v>0.18</v>
      </c>
      <c r="H30" s="1">
        <v>150</v>
      </c>
      <c r="I30" s="1"/>
      <c r="J30" s="1"/>
      <c r="K30" s="1">
        <v>93</v>
      </c>
      <c r="L30" s="1">
        <f t="shared" si="2"/>
        <v>-95</v>
      </c>
      <c r="M30" s="1"/>
      <c r="N30" s="1"/>
      <c r="O30" s="1"/>
      <c r="P30" s="1">
        <f t="shared" si="3"/>
        <v>-0.4</v>
      </c>
      <c r="Q30" s="5"/>
      <c r="R30" s="17"/>
      <c r="S30" s="1">
        <f t="shared" si="4"/>
        <v>-277.5</v>
      </c>
      <c r="T30" s="1">
        <f t="shared" si="5"/>
        <v>-277.5</v>
      </c>
      <c r="U30" s="1">
        <v>-0.8</v>
      </c>
      <c r="V30" s="1">
        <v>0</v>
      </c>
      <c r="W30" s="1">
        <v>0</v>
      </c>
      <c r="X30" s="1">
        <v>2.8</v>
      </c>
      <c r="Y30" s="1">
        <v>4.8</v>
      </c>
      <c r="Z30" s="1">
        <v>8.4</v>
      </c>
      <c r="AA30" s="1">
        <v>7.2</v>
      </c>
      <c r="AB30" s="1">
        <v>12</v>
      </c>
      <c r="AC30" s="1">
        <v>4.2</v>
      </c>
      <c r="AD30" s="1">
        <v>5.4</v>
      </c>
      <c r="AE30" s="13" t="s">
        <v>44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66</v>
      </c>
      <c r="B31" s="1" t="s">
        <v>35</v>
      </c>
      <c r="C31" s="1">
        <v>29</v>
      </c>
      <c r="D31" s="1">
        <v>96</v>
      </c>
      <c r="E31" s="1">
        <v>36</v>
      </c>
      <c r="F31" s="1">
        <v>73</v>
      </c>
      <c r="G31" s="7">
        <v>0.1</v>
      </c>
      <c r="H31" s="1">
        <v>90</v>
      </c>
      <c r="I31" s="1"/>
      <c r="J31" s="1"/>
      <c r="K31" s="1">
        <v>47</v>
      </c>
      <c r="L31" s="1">
        <f t="shared" si="2"/>
        <v>-11</v>
      </c>
      <c r="M31" s="1"/>
      <c r="N31" s="1"/>
      <c r="O31" s="1">
        <v>152</v>
      </c>
      <c r="P31" s="1">
        <f t="shared" si="3"/>
        <v>7.2</v>
      </c>
      <c r="Q31" s="5"/>
      <c r="R31" s="17"/>
      <c r="S31" s="1">
        <f t="shared" si="4"/>
        <v>31.25</v>
      </c>
      <c r="T31" s="1">
        <f t="shared" si="5"/>
        <v>31.25</v>
      </c>
      <c r="U31" s="1">
        <v>21.4</v>
      </c>
      <c r="V31" s="1">
        <v>16.2</v>
      </c>
      <c r="W31" s="1">
        <v>9</v>
      </c>
      <c r="X31" s="1">
        <v>9.1999999999999993</v>
      </c>
      <c r="Y31" s="1">
        <v>12.4</v>
      </c>
      <c r="Z31" s="1">
        <v>18.600000000000001</v>
      </c>
      <c r="AA31" s="1">
        <v>6</v>
      </c>
      <c r="AB31" s="1">
        <v>16</v>
      </c>
      <c r="AC31" s="1">
        <v>13.8</v>
      </c>
      <c r="AD31" s="1">
        <v>0.2</v>
      </c>
      <c r="AE31" s="1"/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67</v>
      </c>
      <c r="B32" s="1" t="s">
        <v>35</v>
      </c>
      <c r="C32" s="1">
        <v>265</v>
      </c>
      <c r="D32" s="1">
        <v>192</v>
      </c>
      <c r="E32" s="1">
        <v>154</v>
      </c>
      <c r="F32" s="1">
        <v>277</v>
      </c>
      <c r="G32" s="7">
        <v>0.1</v>
      </c>
      <c r="H32" s="1">
        <v>60</v>
      </c>
      <c r="I32" s="1"/>
      <c r="J32" s="1"/>
      <c r="K32" s="1">
        <v>155</v>
      </c>
      <c r="L32" s="1">
        <f t="shared" si="2"/>
        <v>-1</v>
      </c>
      <c r="M32" s="1"/>
      <c r="N32" s="1"/>
      <c r="O32" s="1"/>
      <c r="P32" s="1">
        <f t="shared" si="3"/>
        <v>30.8</v>
      </c>
      <c r="Q32" s="5">
        <f>13*P32-O32-F32</f>
        <v>123.40000000000003</v>
      </c>
      <c r="R32" s="17">
        <v>250</v>
      </c>
      <c r="S32" s="1">
        <f t="shared" si="4"/>
        <v>13</v>
      </c>
      <c r="T32" s="1">
        <f t="shared" si="5"/>
        <v>8.9935064935064926</v>
      </c>
      <c r="U32" s="1">
        <v>13.6</v>
      </c>
      <c r="V32" s="1">
        <v>37.200000000000003</v>
      </c>
      <c r="W32" s="1">
        <v>35.4</v>
      </c>
      <c r="X32" s="1">
        <v>27</v>
      </c>
      <c r="Y32" s="1">
        <v>16.2</v>
      </c>
      <c r="Z32" s="1">
        <v>21.6</v>
      </c>
      <c r="AA32" s="1">
        <v>43.4</v>
      </c>
      <c r="AB32" s="1">
        <v>29.8</v>
      </c>
      <c r="AC32" s="1">
        <v>18.399999999999999</v>
      </c>
      <c r="AD32" s="1">
        <v>30.4</v>
      </c>
      <c r="AE32" s="1"/>
      <c r="AF32" s="1">
        <f t="shared" si="6"/>
        <v>12.340000000000003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68</v>
      </c>
      <c r="B33" s="1" t="s">
        <v>35</v>
      </c>
      <c r="C33" s="1">
        <v>164</v>
      </c>
      <c r="D33" s="1">
        <v>40</v>
      </c>
      <c r="E33" s="1">
        <v>130</v>
      </c>
      <c r="F33" s="1">
        <v>51</v>
      </c>
      <c r="G33" s="7">
        <v>0.1</v>
      </c>
      <c r="H33" s="1">
        <v>90</v>
      </c>
      <c r="I33" s="1"/>
      <c r="J33" s="1"/>
      <c r="K33" s="1">
        <v>132</v>
      </c>
      <c r="L33" s="1">
        <f t="shared" si="2"/>
        <v>-2</v>
      </c>
      <c r="M33" s="1"/>
      <c r="N33" s="1"/>
      <c r="O33" s="1">
        <v>32</v>
      </c>
      <c r="P33" s="1">
        <f t="shared" si="3"/>
        <v>26</v>
      </c>
      <c r="Q33" s="5">
        <f t="shared" si="7"/>
        <v>281</v>
      </c>
      <c r="R33" s="17">
        <v>450</v>
      </c>
      <c r="S33" s="1">
        <f t="shared" si="4"/>
        <v>14</v>
      </c>
      <c r="T33" s="1">
        <f t="shared" si="5"/>
        <v>3.1923076923076925</v>
      </c>
      <c r="U33" s="1">
        <v>15.8</v>
      </c>
      <c r="V33" s="1">
        <v>20.8</v>
      </c>
      <c r="W33" s="1">
        <v>22.6</v>
      </c>
      <c r="X33" s="1">
        <v>23.8</v>
      </c>
      <c r="Y33" s="1">
        <v>16.600000000000001</v>
      </c>
      <c r="Z33" s="1">
        <v>13.8</v>
      </c>
      <c r="AA33" s="1">
        <v>35.6</v>
      </c>
      <c r="AB33" s="1">
        <v>30.6</v>
      </c>
      <c r="AC33" s="1">
        <v>18.8</v>
      </c>
      <c r="AD33" s="1">
        <v>21</v>
      </c>
      <c r="AE33" s="1"/>
      <c r="AF33" s="1">
        <f t="shared" si="6"/>
        <v>28.1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 t="s">
        <v>69</v>
      </c>
      <c r="B34" s="1" t="s">
        <v>35</v>
      </c>
      <c r="C34" s="1">
        <v>95</v>
      </c>
      <c r="D34" s="1"/>
      <c r="E34" s="1">
        <v>-1</v>
      </c>
      <c r="F34" s="1">
        <v>95</v>
      </c>
      <c r="G34" s="7">
        <v>0.18</v>
      </c>
      <c r="H34" s="1">
        <v>150</v>
      </c>
      <c r="I34" s="1"/>
      <c r="J34" s="1"/>
      <c r="K34" s="1">
        <v>106</v>
      </c>
      <c r="L34" s="1">
        <f t="shared" si="2"/>
        <v>-107</v>
      </c>
      <c r="M34" s="1"/>
      <c r="N34" s="1"/>
      <c r="O34" s="1"/>
      <c r="P34" s="1">
        <f t="shared" si="3"/>
        <v>-0.2</v>
      </c>
      <c r="Q34" s="5"/>
      <c r="R34" s="17"/>
      <c r="S34" s="1">
        <f t="shared" si="4"/>
        <v>-475</v>
      </c>
      <c r="T34" s="1">
        <f t="shared" si="5"/>
        <v>-475</v>
      </c>
      <c r="U34" s="1">
        <v>-1</v>
      </c>
      <c r="V34" s="1">
        <v>-0.6</v>
      </c>
      <c r="W34" s="1">
        <v>-0.8</v>
      </c>
      <c r="X34" s="1">
        <v>-2.8</v>
      </c>
      <c r="Y34" s="1">
        <v>6</v>
      </c>
      <c r="Z34" s="1">
        <v>34.799999999999997</v>
      </c>
      <c r="AA34" s="1">
        <v>21.2</v>
      </c>
      <c r="AB34" s="1">
        <v>39.6</v>
      </c>
      <c r="AC34" s="1">
        <v>29</v>
      </c>
      <c r="AD34" s="1">
        <v>34.799999999999997</v>
      </c>
      <c r="AE34" s="13" t="s">
        <v>44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70</v>
      </c>
      <c r="B35" s="1" t="s">
        <v>35</v>
      </c>
      <c r="C35" s="1">
        <v>210</v>
      </c>
      <c r="D35" s="1">
        <v>184</v>
      </c>
      <c r="E35" s="1">
        <v>253</v>
      </c>
      <c r="F35" s="1">
        <v>71</v>
      </c>
      <c r="G35" s="7">
        <v>0.18</v>
      </c>
      <c r="H35" s="1">
        <v>150</v>
      </c>
      <c r="I35" s="1"/>
      <c r="J35" s="1"/>
      <c r="K35" s="1">
        <v>278</v>
      </c>
      <c r="L35" s="1">
        <f t="shared" si="2"/>
        <v>-25</v>
      </c>
      <c r="M35" s="1"/>
      <c r="N35" s="1"/>
      <c r="O35" s="1"/>
      <c r="P35" s="1">
        <f t="shared" si="3"/>
        <v>50.6</v>
      </c>
      <c r="Q35" s="5">
        <f>10*P35-O35-F35</f>
        <v>435</v>
      </c>
      <c r="R35" s="17">
        <v>600</v>
      </c>
      <c r="S35" s="1">
        <f t="shared" si="4"/>
        <v>10</v>
      </c>
      <c r="T35" s="1">
        <f t="shared" si="5"/>
        <v>1.4031620553359683</v>
      </c>
      <c r="U35" s="1">
        <v>14.8</v>
      </c>
      <c r="V35" s="1">
        <v>37.799999999999997</v>
      </c>
      <c r="W35" s="1">
        <v>36.799999999999997</v>
      </c>
      <c r="X35" s="1">
        <v>32</v>
      </c>
      <c r="Y35" s="1">
        <v>29.2</v>
      </c>
      <c r="Z35" s="1">
        <v>29.2</v>
      </c>
      <c r="AA35" s="1">
        <v>55.6</v>
      </c>
      <c r="AB35" s="1">
        <v>68</v>
      </c>
      <c r="AC35" s="1">
        <v>72</v>
      </c>
      <c r="AD35" s="1">
        <v>60.2</v>
      </c>
      <c r="AE35" s="1"/>
      <c r="AF35" s="1">
        <f t="shared" si="6"/>
        <v>78.3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71</v>
      </c>
      <c r="B36" s="1" t="s">
        <v>35</v>
      </c>
      <c r="C36" s="1">
        <v>3</v>
      </c>
      <c r="D36" s="1"/>
      <c r="E36" s="1"/>
      <c r="F36" s="1">
        <v>3</v>
      </c>
      <c r="G36" s="7">
        <v>0.18</v>
      </c>
      <c r="H36" s="1">
        <v>150</v>
      </c>
      <c r="I36" s="1"/>
      <c r="J36" s="1"/>
      <c r="K36" s="1">
        <v>31</v>
      </c>
      <c r="L36" s="1">
        <f t="shared" si="2"/>
        <v>-31</v>
      </c>
      <c r="M36" s="1"/>
      <c r="N36" s="1"/>
      <c r="O36" s="1"/>
      <c r="P36" s="1">
        <f t="shared" si="3"/>
        <v>0</v>
      </c>
      <c r="Q36" s="5">
        <v>30</v>
      </c>
      <c r="R36" s="17">
        <v>70</v>
      </c>
      <c r="S36" s="1" t="e">
        <f t="shared" si="4"/>
        <v>#DIV/0!</v>
      </c>
      <c r="T36" s="1" t="e">
        <f t="shared" si="5"/>
        <v>#DIV/0!</v>
      </c>
      <c r="U36" s="1">
        <v>0</v>
      </c>
      <c r="V36" s="1">
        <v>0</v>
      </c>
      <c r="W36" s="1">
        <v>0</v>
      </c>
      <c r="X36" s="1">
        <v>0</v>
      </c>
      <c r="Y36" s="1">
        <v>-0.2</v>
      </c>
      <c r="Z36" s="1">
        <v>0</v>
      </c>
      <c r="AA36" s="1">
        <v>0</v>
      </c>
      <c r="AB36" s="1">
        <v>0</v>
      </c>
      <c r="AC36" s="1">
        <v>0.4</v>
      </c>
      <c r="AD36" s="1">
        <v>0</v>
      </c>
      <c r="AE36" s="1" t="s">
        <v>72</v>
      </c>
      <c r="AF36" s="1">
        <f t="shared" si="6"/>
        <v>5.3999999999999995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73</v>
      </c>
      <c r="B37" s="1" t="s">
        <v>35</v>
      </c>
      <c r="C37" s="1">
        <v>43</v>
      </c>
      <c r="D37" s="1">
        <v>70</v>
      </c>
      <c r="E37" s="1">
        <v>5</v>
      </c>
      <c r="F37" s="1">
        <v>102</v>
      </c>
      <c r="G37" s="7">
        <v>0.18</v>
      </c>
      <c r="H37" s="1">
        <v>150</v>
      </c>
      <c r="I37" s="1"/>
      <c r="J37" s="1"/>
      <c r="K37" s="1">
        <v>49</v>
      </c>
      <c r="L37" s="1">
        <f t="shared" si="2"/>
        <v>-44</v>
      </c>
      <c r="M37" s="1"/>
      <c r="N37" s="1"/>
      <c r="O37" s="1"/>
      <c r="P37" s="1">
        <f t="shared" si="3"/>
        <v>1</v>
      </c>
      <c r="Q37" s="5"/>
      <c r="R37" s="17"/>
      <c r="S37" s="1">
        <f t="shared" si="4"/>
        <v>102</v>
      </c>
      <c r="T37" s="1">
        <f t="shared" si="5"/>
        <v>102</v>
      </c>
      <c r="U37" s="1">
        <v>6.6</v>
      </c>
      <c r="V37" s="1">
        <v>11.8</v>
      </c>
      <c r="W37" s="1">
        <v>8</v>
      </c>
      <c r="X37" s="1">
        <v>3.8</v>
      </c>
      <c r="Y37" s="1">
        <v>5</v>
      </c>
      <c r="Z37" s="1">
        <v>7.2</v>
      </c>
      <c r="AA37" s="1">
        <v>9</v>
      </c>
      <c r="AB37" s="1">
        <v>10.6</v>
      </c>
      <c r="AC37" s="1">
        <v>17.2</v>
      </c>
      <c r="AD37" s="1">
        <v>14.4</v>
      </c>
      <c r="AE37" s="13" t="s">
        <v>44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74</v>
      </c>
      <c r="B38" s="1" t="s">
        <v>35</v>
      </c>
      <c r="C38" s="1">
        <v>429</v>
      </c>
      <c r="D38" s="1">
        <v>353</v>
      </c>
      <c r="E38" s="1">
        <v>235</v>
      </c>
      <c r="F38" s="1">
        <v>505</v>
      </c>
      <c r="G38" s="7">
        <v>0.18</v>
      </c>
      <c r="H38" s="1">
        <v>150</v>
      </c>
      <c r="I38" s="1"/>
      <c r="J38" s="1"/>
      <c r="K38" s="1">
        <v>245</v>
      </c>
      <c r="L38" s="1">
        <f t="shared" ref="L38:L56" si="8">E38-K38</f>
        <v>-10</v>
      </c>
      <c r="M38" s="1"/>
      <c r="N38" s="1"/>
      <c r="O38" s="1"/>
      <c r="P38" s="1">
        <f t="shared" ref="P38:P56" si="9">E38/5</f>
        <v>47</v>
      </c>
      <c r="Q38" s="5">
        <f t="shared" si="7"/>
        <v>153</v>
      </c>
      <c r="R38" s="17">
        <v>300</v>
      </c>
      <c r="S38" s="1">
        <f t="shared" ref="S38:S56" si="10">(F38+O38+Q38)/P38</f>
        <v>14</v>
      </c>
      <c r="T38" s="1">
        <f t="shared" ref="T38:T56" si="11">(F38+O38)/P38</f>
        <v>10.74468085106383</v>
      </c>
      <c r="U38" s="1">
        <v>29.4</v>
      </c>
      <c r="V38" s="1">
        <v>71.8</v>
      </c>
      <c r="W38" s="1">
        <v>65.8</v>
      </c>
      <c r="X38" s="1">
        <v>47.8</v>
      </c>
      <c r="Y38" s="1">
        <v>28.6</v>
      </c>
      <c r="Z38" s="1">
        <v>50.4</v>
      </c>
      <c r="AA38" s="1">
        <v>52.6</v>
      </c>
      <c r="AB38" s="1">
        <v>88</v>
      </c>
      <c r="AC38" s="1">
        <v>14</v>
      </c>
      <c r="AD38" s="1">
        <v>62.6</v>
      </c>
      <c r="AE38" s="1"/>
      <c r="AF38" s="1">
        <f t="shared" si="6"/>
        <v>27.54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 t="s">
        <v>75</v>
      </c>
      <c r="B39" s="1" t="s">
        <v>35</v>
      </c>
      <c r="C39" s="1">
        <v>59</v>
      </c>
      <c r="D39" s="1">
        <v>210</v>
      </c>
      <c r="E39" s="1">
        <v>65</v>
      </c>
      <c r="F39" s="1">
        <v>200</v>
      </c>
      <c r="G39" s="7">
        <v>0.18</v>
      </c>
      <c r="H39" s="1">
        <v>150</v>
      </c>
      <c r="I39" s="1"/>
      <c r="J39" s="1"/>
      <c r="K39" s="1">
        <v>95</v>
      </c>
      <c r="L39" s="1">
        <f t="shared" si="8"/>
        <v>-30</v>
      </c>
      <c r="M39" s="1"/>
      <c r="N39" s="1"/>
      <c r="O39" s="1"/>
      <c r="P39" s="1">
        <f t="shared" si="9"/>
        <v>13</v>
      </c>
      <c r="Q39" s="5"/>
      <c r="R39" s="17"/>
      <c r="S39" s="1">
        <f t="shared" si="10"/>
        <v>15.384615384615385</v>
      </c>
      <c r="T39" s="1">
        <f t="shared" si="11"/>
        <v>15.384615384615385</v>
      </c>
      <c r="U39" s="1">
        <v>5.8</v>
      </c>
      <c r="V39" s="1">
        <v>33.200000000000003</v>
      </c>
      <c r="W39" s="1">
        <v>16.600000000000001</v>
      </c>
      <c r="X39" s="1">
        <v>11.2</v>
      </c>
      <c r="Y39" s="1">
        <v>12.2</v>
      </c>
      <c r="Z39" s="1">
        <v>15.8</v>
      </c>
      <c r="AA39" s="1">
        <v>13</v>
      </c>
      <c r="AB39" s="1">
        <v>18.399999999999999</v>
      </c>
      <c r="AC39" s="1">
        <v>27.4</v>
      </c>
      <c r="AD39" s="1">
        <v>23.8</v>
      </c>
      <c r="AE39" s="1"/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 t="s">
        <v>76</v>
      </c>
      <c r="B40" s="1" t="s">
        <v>35</v>
      </c>
      <c r="C40" s="1">
        <v>24</v>
      </c>
      <c r="D40" s="1"/>
      <c r="E40" s="1">
        <v>3</v>
      </c>
      <c r="F40" s="1">
        <v>6</v>
      </c>
      <c r="G40" s="7">
        <v>0.1</v>
      </c>
      <c r="H40" s="1">
        <v>60</v>
      </c>
      <c r="I40" s="1"/>
      <c r="J40" s="1"/>
      <c r="K40" s="1">
        <v>8</v>
      </c>
      <c r="L40" s="1">
        <f t="shared" si="8"/>
        <v>-5</v>
      </c>
      <c r="M40" s="1"/>
      <c r="N40" s="1"/>
      <c r="O40" s="1"/>
      <c r="P40" s="1">
        <f t="shared" si="9"/>
        <v>0.6</v>
      </c>
      <c r="Q40" s="5">
        <v>8</v>
      </c>
      <c r="R40" s="17"/>
      <c r="S40" s="1">
        <f t="shared" si="10"/>
        <v>23.333333333333336</v>
      </c>
      <c r="T40" s="1">
        <f t="shared" si="11"/>
        <v>10</v>
      </c>
      <c r="U40" s="1">
        <v>0.2</v>
      </c>
      <c r="V40" s="1">
        <v>0.8</v>
      </c>
      <c r="W40" s="1">
        <v>2.2000000000000002</v>
      </c>
      <c r="X40" s="1">
        <v>0.2</v>
      </c>
      <c r="Y40" s="1">
        <v>2</v>
      </c>
      <c r="Z40" s="1">
        <v>-0.4</v>
      </c>
      <c r="AA40" s="1">
        <v>-0.2</v>
      </c>
      <c r="AB40" s="1">
        <v>0.2</v>
      </c>
      <c r="AC40" s="1">
        <v>2.8</v>
      </c>
      <c r="AD40" s="1">
        <v>3</v>
      </c>
      <c r="AE40" s="14" t="s">
        <v>99</v>
      </c>
      <c r="AF40" s="1">
        <f t="shared" si="6"/>
        <v>0.8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77</v>
      </c>
      <c r="B41" s="1" t="s">
        <v>35</v>
      </c>
      <c r="C41" s="1">
        <v>6</v>
      </c>
      <c r="D41" s="1">
        <v>48</v>
      </c>
      <c r="E41" s="1">
        <v>5</v>
      </c>
      <c r="F41" s="1">
        <v>39</v>
      </c>
      <c r="G41" s="7">
        <v>0.14000000000000001</v>
      </c>
      <c r="H41" s="1">
        <v>180</v>
      </c>
      <c r="I41" s="1"/>
      <c r="J41" s="1"/>
      <c r="K41" s="1">
        <v>36</v>
      </c>
      <c r="L41" s="1">
        <f t="shared" si="8"/>
        <v>-31</v>
      </c>
      <c r="M41" s="1"/>
      <c r="N41" s="1"/>
      <c r="O41" s="1"/>
      <c r="P41" s="1">
        <f t="shared" si="9"/>
        <v>1</v>
      </c>
      <c r="Q41" s="5"/>
      <c r="R41" s="17"/>
      <c r="S41" s="1">
        <f t="shared" si="10"/>
        <v>39</v>
      </c>
      <c r="T41" s="1">
        <f t="shared" si="11"/>
        <v>39</v>
      </c>
      <c r="U41" s="1">
        <v>2.4</v>
      </c>
      <c r="V41" s="1">
        <v>7.8</v>
      </c>
      <c r="W41" s="1">
        <v>4</v>
      </c>
      <c r="X41" s="1">
        <v>4.5999999999999996</v>
      </c>
      <c r="Y41" s="1">
        <v>1.6</v>
      </c>
      <c r="Z41" s="1">
        <v>4.5999999999999996</v>
      </c>
      <c r="AA41" s="1">
        <v>5.8</v>
      </c>
      <c r="AB41" s="1">
        <v>3.4</v>
      </c>
      <c r="AC41" s="1">
        <v>6.8</v>
      </c>
      <c r="AD41" s="1">
        <v>5.4</v>
      </c>
      <c r="AE41" s="1"/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 t="s">
        <v>78</v>
      </c>
      <c r="B42" s="1" t="s">
        <v>35</v>
      </c>
      <c r="C42" s="1">
        <v>115</v>
      </c>
      <c r="D42" s="1">
        <v>150</v>
      </c>
      <c r="E42" s="1">
        <v>115</v>
      </c>
      <c r="F42" s="1">
        <v>122</v>
      </c>
      <c r="G42" s="7">
        <v>0.18</v>
      </c>
      <c r="H42" s="1">
        <v>270</v>
      </c>
      <c r="I42" s="1"/>
      <c r="J42" s="1"/>
      <c r="K42" s="1">
        <v>133</v>
      </c>
      <c r="L42" s="1">
        <f t="shared" si="8"/>
        <v>-18</v>
      </c>
      <c r="M42" s="1"/>
      <c r="N42" s="1"/>
      <c r="O42" s="1"/>
      <c r="P42" s="1">
        <f t="shared" si="9"/>
        <v>23</v>
      </c>
      <c r="Q42" s="5">
        <f t="shared" si="7"/>
        <v>200</v>
      </c>
      <c r="R42" s="17">
        <v>500</v>
      </c>
      <c r="S42" s="1">
        <f t="shared" si="10"/>
        <v>14</v>
      </c>
      <c r="T42" s="1">
        <f t="shared" si="11"/>
        <v>5.3043478260869561</v>
      </c>
      <c r="U42" s="1">
        <v>6.8</v>
      </c>
      <c r="V42" s="1">
        <v>23.6</v>
      </c>
      <c r="W42" s="1">
        <v>19.2</v>
      </c>
      <c r="X42" s="1">
        <v>10.8</v>
      </c>
      <c r="Y42" s="1">
        <v>12.8</v>
      </c>
      <c r="Z42" s="1">
        <v>18</v>
      </c>
      <c r="AA42" s="1">
        <v>20</v>
      </c>
      <c r="AB42" s="1">
        <v>16.8</v>
      </c>
      <c r="AC42" s="1">
        <v>14.2</v>
      </c>
      <c r="AD42" s="1">
        <v>11.6</v>
      </c>
      <c r="AE42" s="1"/>
      <c r="AF42" s="1">
        <f t="shared" si="6"/>
        <v>36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79</v>
      </c>
      <c r="B43" s="1" t="s">
        <v>40</v>
      </c>
      <c r="C43" s="1">
        <v>178.43</v>
      </c>
      <c r="D43" s="1"/>
      <c r="E43" s="1">
        <v>12.62</v>
      </c>
      <c r="F43" s="1">
        <v>162.59399999999999</v>
      </c>
      <c r="G43" s="7">
        <v>1</v>
      </c>
      <c r="H43" s="1">
        <v>180</v>
      </c>
      <c r="I43" s="1" t="s">
        <v>80</v>
      </c>
      <c r="J43" s="1"/>
      <c r="K43" s="1">
        <v>16.5</v>
      </c>
      <c r="L43" s="1">
        <f t="shared" si="8"/>
        <v>-3.8800000000000008</v>
      </c>
      <c r="M43" s="1"/>
      <c r="N43" s="1"/>
      <c r="O43" s="1"/>
      <c r="P43" s="1">
        <f t="shared" si="9"/>
        <v>2.524</v>
      </c>
      <c r="Q43" s="5"/>
      <c r="R43" s="17"/>
      <c r="S43" s="1">
        <f t="shared" si="10"/>
        <v>64.419175911251983</v>
      </c>
      <c r="T43" s="1">
        <f t="shared" si="11"/>
        <v>64.419175911251983</v>
      </c>
      <c r="U43" s="1">
        <v>1.3311999999999999</v>
      </c>
      <c r="V43" s="1">
        <v>0</v>
      </c>
      <c r="W43" s="1">
        <v>1.2927999999999999</v>
      </c>
      <c r="X43" s="1">
        <v>17.328800000000001</v>
      </c>
      <c r="Y43" s="1">
        <v>2.5156000000000001</v>
      </c>
      <c r="Z43" s="1">
        <v>2.64</v>
      </c>
      <c r="AA43" s="1">
        <v>1.3726</v>
      </c>
      <c r="AB43" s="1">
        <v>0.75600000000000001</v>
      </c>
      <c r="AC43" s="1">
        <v>1.2356</v>
      </c>
      <c r="AD43" s="1">
        <v>4.1204000000000001</v>
      </c>
      <c r="AE43" s="13" t="s">
        <v>81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 t="s">
        <v>82</v>
      </c>
      <c r="B44" s="1" t="s">
        <v>40</v>
      </c>
      <c r="C44" s="1">
        <v>4.3460000000000001</v>
      </c>
      <c r="D44" s="1">
        <v>51.578000000000003</v>
      </c>
      <c r="E44" s="1">
        <v>9.6760000000000002</v>
      </c>
      <c r="F44" s="1">
        <v>43.125999999999998</v>
      </c>
      <c r="G44" s="7">
        <v>1</v>
      </c>
      <c r="H44" s="1">
        <v>180</v>
      </c>
      <c r="I44" s="1"/>
      <c r="J44" s="1"/>
      <c r="K44" s="1">
        <v>34.5</v>
      </c>
      <c r="L44" s="1">
        <f t="shared" si="8"/>
        <v>-24.823999999999998</v>
      </c>
      <c r="M44" s="1"/>
      <c r="N44" s="1"/>
      <c r="O44" s="1"/>
      <c r="P44" s="1">
        <f t="shared" si="9"/>
        <v>1.9352</v>
      </c>
      <c r="Q44" s="5"/>
      <c r="R44" s="17"/>
      <c r="S44" s="1">
        <f t="shared" si="10"/>
        <v>22.285035138486975</v>
      </c>
      <c r="T44" s="1">
        <f t="shared" si="11"/>
        <v>22.285035138486975</v>
      </c>
      <c r="U44" s="1">
        <v>2.67</v>
      </c>
      <c r="V44" s="1">
        <v>7.628400000000001</v>
      </c>
      <c r="W44" s="1">
        <v>3.3647999999999998</v>
      </c>
      <c r="X44" s="1">
        <v>1.3460000000000001</v>
      </c>
      <c r="Y44" s="1">
        <v>2.5680000000000001</v>
      </c>
      <c r="Z44" s="1">
        <v>5.9256000000000002</v>
      </c>
      <c r="AA44" s="1">
        <v>2.5728</v>
      </c>
      <c r="AB44" s="1">
        <v>2.0804</v>
      </c>
      <c r="AC44" s="1">
        <v>3.9416000000000002</v>
      </c>
      <c r="AD44" s="1">
        <v>3.7991999999999999</v>
      </c>
      <c r="AE44" s="1"/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9" t="s">
        <v>83</v>
      </c>
      <c r="B45" s="9" t="s">
        <v>40</v>
      </c>
      <c r="C45" s="9">
        <v>-7.62</v>
      </c>
      <c r="D45" s="9"/>
      <c r="E45" s="12">
        <v>6.0460000000000003</v>
      </c>
      <c r="F45" s="12">
        <v>-14.958</v>
      </c>
      <c r="G45" s="10">
        <v>0</v>
      </c>
      <c r="H45" s="9"/>
      <c r="I45" s="9" t="s">
        <v>84</v>
      </c>
      <c r="J45" s="9" t="s">
        <v>39</v>
      </c>
      <c r="K45" s="9">
        <v>11.6</v>
      </c>
      <c r="L45" s="9">
        <f t="shared" si="8"/>
        <v>-5.5539999999999994</v>
      </c>
      <c r="M45" s="9"/>
      <c r="N45" s="9"/>
      <c r="O45" s="9"/>
      <c r="P45" s="9">
        <f t="shared" si="9"/>
        <v>1.2092000000000001</v>
      </c>
      <c r="Q45" s="11"/>
      <c r="R45" s="18"/>
      <c r="S45" s="9">
        <f t="shared" si="10"/>
        <v>-12.370162090638438</v>
      </c>
      <c r="T45" s="9">
        <f t="shared" si="11"/>
        <v>-12.370162090638438</v>
      </c>
      <c r="U45" s="9">
        <v>0.22639999999999999</v>
      </c>
      <c r="V45" s="9">
        <v>0.27200000000000002</v>
      </c>
      <c r="W45" s="9">
        <v>0.50119999999999998</v>
      </c>
      <c r="X45" s="9">
        <v>0.52439999999999998</v>
      </c>
      <c r="Y45" s="9">
        <v>0.71760000000000002</v>
      </c>
      <c r="Z45" s="9">
        <v>0</v>
      </c>
      <c r="AA45" s="9">
        <v>0.2276</v>
      </c>
      <c r="AB45" s="9">
        <v>0</v>
      </c>
      <c r="AC45" s="9">
        <v>0</v>
      </c>
      <c r="AD45" s="9">
        <v>0.66239999999999999</v>
      </c>
      <c r="AE45" s="9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" t="s">
        <v>85</v>
      </c>
      <c r="B46" s="1" t="s">
        <v>40</v>
      </c>
      <c r="C46" s="1">
        <v>80</v>
      </c>
      <c r="D46" s="1">
        <v>70.555000000000007</v>
      </c>
      <c r="E46" s="1">
        <v>80.134</v>
      </c>
      <c r="F46" s="1">
        <v>53.991</v>
      </c>
      <c r="G46" s="7">
        <v>1</v>
      </c>
      <c r="H46" s="1">
        <v>180</v>
      </c>
      <c r="I46" s="1"/>
      <c r="J46" s="1"/>
      <c r="K46" s="1">
        <v>85.4</v>
      </c>
      <c r="L46" s="1">
        <f t="shared" si="8"/>
        <v>-5.2660000000000053</v>
      </c>
      <c r="M46" s="1"/>
      <c r="N46" s="1"/>
      <c r="O46" s="1"/>
      <c r="P46" s="1">
        <f t="shared" si="9"/>
        <v>16.026800000000001</v>
      </c>
      <c r="Q46" s="5">
        <f t="shared" ref="Q46:Q53" si="12">14*P46-O46-F46</f>
        <v>170.38420000000002</v>
      </c>
      <c r="R46" s="17">
        <v>300</v>
      </c>
      <c r="S46" s="1">
        <f t="shared" si="10"/>
        <v>14</v>
      </c>
      <c r="T46" s="1">
        <f t="shared" si="11"/>
        <v>3.368794768762323</v>
      </c>
      <c r="U46" s="1">
        <v>8.2444000000000006</v>
      </c>
      <c r="V46" s="1">
        <v>13.1412</v>
      </c>
      <c r="W46" s="1">
        <v>13.5068</v>
      </c>
      <c r="X46" s="1">
        <v>9.5599999999999987</v>
      </c>
      <c r="Y46" s="1">
        <v>6.8563999999999989</v>
      </c>
      <c r="Z46" s="1">
        <v>12.1096</v>
      </c>
      <c r="AA46" s="1">
        <v>9.7519999999999989</v>
      </c>
      <c r="AB46" s="1">
        <v>12.651199999999999</v>
      </c>
      <c r="AC46" s="1">
        <v>5.6836000000000002</v>
      </c>
      <c r="AD46" s="1">
        <v>12.961399999999999</v>
      </c>
      <c r="AE46" s="1" t="s">
        <v>86</v>
      </c>
      <c r="AF46" s="1">
        <f t="shared" ref="AF46:AF53" si="13">G46*Q46</f>
        <v>170.38420000000002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87</v>
      </c>
      <c r="B47" s="1" t="s">
        <v>40</v>
      </c>
      <c r="C47" s="1">
        <v>55.496000000000002</v>
      </c>
      <c r="D47" s="1"/>
      <c r="E47" s="1"/>
      <c r="F47" s="1">
        <v>55.496000000000002</v>
      </c>
      <c r="G47" s="7">
        <v>1</v>
      </c>
      <c r="H47" s="1">
        <v>180</v>
      </c>
      <c r="I47" s="1"/>
      <c r="J47" s="1"/>
      <c r="K47" s="1">
        <v>3.2</v>
      </c>
      <c r="L47" s="1">
        <f t="shared" si="8"/>
        <v>-3.2</v>
      </c>
      <c r="M47" s="1"/>
      <c r="N47" s="1"/>
      <c r="O47" s="1"/>
      <c r="P47" s="1">
        <f t="shared" si="9"/>
        <v>0</v>
      </c>
      <c r="Q47" s="5"/>
      <c r="R47" s="17">
        <v>100</v>
      </c>
      <c r="S47" s="1" t="e">
        <f t="shared" si="10"/>
        <v>#DIV/0!</v>
      </c>
      <c r="T47" s="1" t="e">
        <f t="shared" si="11"/>
        <v>#DIV/0!</v>
      </c>
      <c r="U47" s="1">
        <v>1.3008</v>
      </c>
      <c r="V47" s="1">
        <v>0</v>
      </c>
      <c r="W47" s="1">
        <v>1.274</v>
      </c>
      <c r="X47" s="1">
        <v>3.7267999999999999</v>
      </c>
      <c r="Y47" s="1">
        <v>3.8944000000000001</v>
      </c>
      <c r="Z47" s="1">
        <v>3.7183999999999999</v>
      </c>
      <c r="AA47" s="1">
        <v>2.5583999999999998</v>
      </c>
      <c r="AB47" s="1">
        <v>3.859599999999999</v>
      </c>
      <c r="AC47" s="1">
        <v>0.60640000000000005</v>
      </c>
      <c r="AD47" s="1">
        <v>5.1560000000000006</v>
      </c>
      <c r="AE47" s="13" t="s">
        <v>44</v>
      </c>
      <c r="AF47" s="1">
        <f t="shared" si="1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 t="s">
        <v>88</v>
      </c>
      <c r="B48" s="1" t="s">
        <v>35</v>
      </c>
      <c r="C48" s="1">
        <v>16</v>
      </c>
      <c r="D48" s="1">
        <v>356</v>
      </c>
      <c r="E48" s="1">
        <v>109</v>
      </c>
      <c r="F48" s="1">
        <v>142</v>
      </c>
      <c r="G48" s="7">
        <v>0.1</v>
      </c>
      <c r="H48" s="1">
        <v>60</v>
      </c>
      <c r="I48" s="1"/>
      <c r="J48" s="1"/>
      <c r="K48" s="1">
        <v>373</v>
      </c>
      <c r="L48" s="1">
        <f t="shared" si="8"/>
        <v>-264</v>
      </c>
      <c r="M48" s="1"/>
      <c r="N48" s="1"/>
      <c r="O48" s="1">
        <v>426</v>
      </c>
      <c r="P48" s="1">
        <f t="shared" si="9"/>
        <v>21.8</v>
      </c>
      <c r="Q48" s="5"/>
      <c r="R48" s="17"/>
      <c r="S48" s="1">
        <f t="shared" si="10"/>
        <v>26.055045871559631</v>
      </c>
      <c r="T48" s="1">
        <f t="shared" si="11"/>
        <v>26.055045871559631</v>
      </c>
      <c r="U48" s="1">
        <v>57</v>
      </c>
      <c r="V48" s="1">
        <v>62.8</v>
      </c>
      <c r="W48" s="1">
        <v>4.8</v>
      </c>
      <c r="X48" s="1">
        <v>45.8</v>
      </c>
      <c r="Y48" s="1">
        <v>54</v>
      </c>
      <c r="Z48" s="1">
        <v>18.8</v>
      </c>
      <c r="AA48" s="1">
        <v>3.8</v>
      </c>
      <c r="AB48" s="1">
        <v>41</v>
      </c>
      <c r="AC48" s="1">
        <v>51</v>
      </c>
      <c r="AD48" s="1">
        <v>54</v>
      </c>
      <c r="AE48" s="1"/>
      <c r="AF48" s="1">
        <f t="shared" si="13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89</v>
      </c>
      <c r="B49" s="1" t="s">
        <v>35</v>
      </c>
      <c r="C49" s="1">
        <v>65</v>
      </c>
      <c r="D49" s="1">
        <v>314</v>
      </c>
      <c r="E49" s="1">
        <v>123</v>
      </c>
      <c r="F49" s="1">
        <v>155</v>
      </c>
      <c r="G49" s="7">
        <v>0.1</v>
      </c>
      <c r="H49" s="1">
        <v>90</v>
      </c>
      <c r="I49" s="1"/>
      <c r="J49" s="1"/>
      <c r="K49" s="1">
        <v>199</v>
      </c>
      <c r="L49" s="1">
        <f t="shared" si="8"/>
        <v>-76</v>
      </c>
      <c r="M49" s="1"/>
      <c r="N49" s="1"/>
      <c r="O49" s="1">
        <v>264</v>
      </c>
      <c r="P49" s="1">
        <f t="shared" si="9"/>
        <v>24.6</v>
      </c>
      <c r="Q49" s="5"/>
      <c r="R49" s="17"/>
      <c r="S49" s="1">
        <f t="shared" si="10"/>
        <v>17.032520325203251</v>
      </c>
      <c r="T49" s="1">
        <f t="shared" si="11"/>
        <v>17.032520325203251</v>
      </c>
      <c r="U49" s="1">
        <v>41.8</v>
      </c>
      <c r="V49" s="1">
        <v>47</v>
      </c>
      <c r="W49" s="1">
        <v>33.4</v>
      </c>
      <c r="X49" s="1">
        <v>34</v>
      </c>
      <c r="Y49" s="1">
        <v>30</v>
      </c>
      <c r="Z49" s="1">
        <v>49.2</v>
      </c>
      <c r="AA49" s="1">
        <v>36.4</v>
      </c>
      <c r="AB49" s="1">
        <v>40.6</v>
      </c>
      <c r="AC49" s="1">
        <v>36.4</v>
      </c>
      <c r="AD49" s="1">
        <v>15.2</v>
      </c>
      <c r="AE49" s="1"/>
      <c r="AF49" s="1">
        <f t="shared" si="13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90</v>
      </c>
      <c r="B50" s="1" t="s">
        <v>35</v>
      </c>
      <c r="C50" s="1">
        <v>16</v>
      </c>
      <c r="D50" s="1">
        <v>48</v>
      </c>
      <c r="E50" s="1">
        <v>28</v>
      </c>
      <c r="F50" s="1">
        <v>11</v>
      </c>
      <c r="G50" s="7">
        <v>0.14000000000000001</v>
      </c>
      <c r="H50" s="1">
        <v>180</v>
      </c>
      <c r="I50" s="1"/>
      <c r="J50" s="1"/>
      <c r="K50" s="1">
        <v>69</v>
      </c>
      <c r="L50" s="1">
        <f t="shared" si="8"/>
        <v>-41</v>
      </c>
      <c r="M50" s="1"/>
      <c r="N50" s="1"/>
      <c r="O50" s="1">
        <v>64</v>
      </c>
      <c r="P50" s="1">
        <f t="shared" si="9"/>
        <v>5.6</v>
      </c>
      <c r="Q50" s="5">
        <v>8</v>
      </c>
      <c r="R50" s="17"/>
      <c r="S50" s="1">
        <f t="shared" si="10"/>
        <v>14.821428571428573</v>
      </c>
      <c r="T50" s="1">
        <f t="shared" si="11"/>
        <v>13.392857142857144</v>
      </c>
      <c r="U50" s="1">
        <v>8</v>
      </c>
      <c r="V50" s="1">
        <v>8.1999999999999993</v>
      </c>
      <c r="W50" s="1">
        <v>6.6</v>
      </c>
      <c r="X50" s="1">
        <v>6.2</v>
      </c>
      <c r="Y50" s="1">
        <v>3.2</v>
      </c>
      <c r="Z50" s="1">
        <v>8.4</v>
      </c>
      <c r="AA50" s="1">
        <v>8.1999999999999993</v>
      </c>
      <c r="AB50" s="1">
        <v>6.6</v>
      </c>
      <c r="AC50" s="1">
        <v>11.4</v>
      </c>
      <c r="AD50" s="1">
        <v>8.1999999999999993</v>
      </c>
      <c r="AE50" s="1"/>
      <c r="AF50" s="1">
        <f t="shared" si="13"/>
        <v>1.1200000000000001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91</v>
      </c>
      <c r="B51" s="1" t="s">
        <v>35</v>
      </c>
      <c r="C51" s="1">
        <v>54</v>
      </c>
      <c r="D51" s="1">
        <v>6</v>
      </c>
      <c r="E51" s="1">
        <v>26</v>
      </c>
      <c r="F51" s="1">
        <v>28</v>
      </c>
      <c r="G51" s="7">
        <v>0.2</v>
      </c>
      <c r="H51" s="1">
        <v>120</v>
      </c>
      <c r="I51" s="1"/>
      <c r="J51" s="1"/>
      <c r="K51" s="1">
        <v>30</v>
      </c>
      <c r="L51" s="1">
        <f t="shared" si="8"/>
        <v>-4</v>
      </c>
      <c r="M51" s="1"/>
      <c r="N51" s="1"/>
      <c r="O51" s="1"/>
      <c r="P51" s="1">
        <f t="shared" si="9"/>
        <v>5.2</v>
      </c>
      <c r="Q51" s="5">
        <f t="shared" si="12"/>
        <v>44.8</v>
      </c>
      <c r="R51" s="17"/>
      <c r="S51" s="1">
        <f t="shared" si="10"/>
        <v>13.999999999999998</v>
      </c>
      <c r="T51" s="1">
        <f t="shared" si="11"/>
        <v>5.3846153846153841</v>
      </c>
      <c r="U51" s="1">
        <v>2.6</v>
      </c>
      <c r="V51" s="1">
        <v>1</v>
      </c>
      <c r="W51" s="1">
        <v>8.1999999999999993</v>
      </c>
      <c r="X51" s="1">
        <v>3.6</v>
      </c>
      <c r="Y51" s="1">
        <v>4</v>
      </c>
      <c r="Z51" s="1">
        <v>1.6</v>
      </c>
      <c r="AA51" s="1">
        <v>3.4</v>
      </c>
      <c r="AB51" s="1">
        <v>4.8</v>
      </c>
      <c r="AC51" s="1">
        <v>3.8</v>
      </c>
      <c r="AD51" s="1">
        <v>5.2</v>
      </c>
      <c r="AE51" s="1"/>
      <c r="AF51" s="1">
        <f t="shared" si="13"/>
        <v>8.9599999999999991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92</v>
      </c>
      <c r="B52" s="1" t="s">
        <v>40</v>
      </c>
      <c r="C52" s="1">
        <v>110.39700000000001</v>
      </c>
      <c r="D52" s="1"/>
      <c r="E52" s="1">
        <v>51.918999999999997</v>
      </c>
      <c r="F52" s="1">
        <v>55.18</v>
      </c>
      <c r="G52" s="7">
        <v>1</v>
      </c>
      <c r="H52" s="1">
        <v>120</v>
      </c>
      <c r="I52" s="1" t="s">
        <v>80</v>
      </c>
      <c r="J52" s="1"/>
      <c r="K52" s="1">
        <v>60</v>
      </c>
      <c r="L52" s="1">
        <f t="shared" si="8"/>
        <v>-8.0810000000000031</v>
      </c>
      <c r="M52" s="1"/>
      <c r="N52" s="1"/>
      <c r="O52" s="1"/>
      <c r="P52" s="1">
        <f t="shared" si="9"/>
        <v>10.383799999999999</v>
      </c>
      <c r="Q52" s="5">
        <v>25</v>
      </c>
      <c r="R52" s="17">
        <v>200</v>
      </c>
      <c r="S52" s="1">
        <f t="shared" si="10"/>
        <v>7.7216433290317621</v>
      </c>
      <c r="T52" s="1">
        <f t="shared" si="11"/>
        <v>5.3140468807180419</v>
      </c>
      <c r="U52" s="1">
        <v>0</v>
      </c>
      <c r="V52" s="1">
        <v>0</v>
      </c>
      <c r="W52" s="1">
        <v>0.83499999999999996</v>
      </c>
      <c r="X52" s="1">
        <v>0</v>
      </c>
      <c r="Y52" s="1">
        <v>15.537599999999999</v>
      </c>
      <c r="Z52" s="1">
        <v>0.63040000000000007</v>
      </c>
      <c r="AA52" s="1">
        <v>0</v>
      </c>
      <c r="AB52" s="1">
        <v>0</v>
      </c>
      <c r="AC52" s="1">
        <v>64.421999999999997</v>
      </c>
      <c r="AD52" s="1">
        <v>0.6492</v>
      </c>
      <c r="AE52" s="16" t="s">
        <v>100</v>
      </c>
      <c r="AF52" s="1">
        <f t="shared" si="13"/>
        <v>25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 t="s">
        <v>93</v>
      </c>
      <c r="B53" s="1" t="s">
        <v>35</v>
      </c>
      <c r="C53" s="1">
        <v>70</v>
      </c>
      <c r="D53" s="1"/>
      <c r="E53" s="12">
        <f>24+E54</f>
        <v>28</v>
      </c>
      <c r="F53" s="12">
        <f>45+F54</f>
        <v>26</v>
      </c>
      <c r="G53" s="7">
        <v>0.2</v>
      </c>
      <c r="H53" s="1">
        <v>120</v>
      </c>
      <c r="I53" s="1"/>
      <c r="J53" s="1"/>
      <c r="K53" s="1">
        <v>21</v>
      </c>
      <c r="L53" s="1">
        <f t="shared" si="8"/>
        <v>7</v>
      </c>
      <c r="M53" s="1"/>
      <c r="N53" s="1"/>
      <c r="O53" s="1"/>
      <c r="P53" s="1">
        <f t="shared" si="9"/>
        <v>5.6</v>
      </c>
      <c r="Q53" s="5">
        <f t="shared" si="12"/>
        <v>52.399999999999991</v>
      </c>
      <c r="R53" s="17"/>
      <c r="S53" s="1">
        <f t="shared" si="10"/>
        <v>14</v>
      </c>
      <c r="T53" s="1">
        <f t="shared" si="11"/>
        <v>4.6428571428571432</v>
      </c>
      <c r="U53" s="1">
        <v>1.8</v>
      </c>
      <c r="V53" s="1">
        <v>3.4</v>
      </c>
      <c r="W53" s="1">
        <v>8.6</v>
      </c>
      <c r="X53" s="1">
        <v>3.6</v>
      </c>
      <c r="Y53" s="1">
        <v>3.2</v>
      </c>
      <c r="Z53" s="1">
        <v>5.4</v>
      </c>
      <c r="AA53" s="1">
        <v>3.2</v>
      </c>
      <c r="AB53" s="1">
        <v>3.6</v>
      </c>
      <c r="AC53" s="1">
        <v>5.4</v>
      </c>
      <c r="AD53" s="1">
        <v>4</v>
      </c>
      <c r="AE53" s="1"/>
      <c r="AF53" s="1">
        <f t="shared" si="13"/>
        <v>10.479999999999999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9" t="s">
        <v>94</v>
      </c>
      <c r="B54" s="9" t="s">
        <v>35</v>
      </c>
      <c r="C54" s="9">
        <v>-15</v>
      </c>
      <c r="D54" s="9"/>
      <c r="E54" s="12">
        <v>4</v>
      </c>
      <c r="F54" s="12">
        <v>-19</v>
      </c>
      <c r="G54" s="10">
        <v>0</v>
      </c>
      <c r="H54" s="9"/>
      <c r="I54" s="9" t="s">
        <v>84</v>
      </c>
      <c r="J54" s="9" t="s">
        <v>93</v>
      </c>
      <c r="K54" s="9">
        <v>4</v>
      </c>
      <c r="L54" s="9">
        <f t="shared" si="8"/>
        <v>0</v>
      </c>
      <c r="M54" s="9"/>
      <c r="N54" s="9"/>
      <c r="O54" s="9"/>
      <c r="P54" s="9">
        <f t="shared" si="9"/>
        <v>0.8</v>
      </c>
      <c r="Q54" s="11"/>
      <c r="R54" s="18"/>
      <c r="S54" s="9">
        <f t="shared" si="10"/>
        <v>-23.75</v>
      </c>
      <c r="T54" s="9">
        <f t="shared" si="11"/>
        <v>-23.75</v>
      </c>
      <c r="U54" s="9">
        <v>0</v>
      </c>
      <c r="V54" s="9">
        <v>0.2</v>
      </c>
      <c r="W54" s="9">
        <v>2.8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9" t="s">
        <v>95</v>
      </c>
      <c r="B55" s="9" t="s">
        <v>40</v>
      </c>
      <c r="C55" s="9"/>
      <c r="D55" s="9"/>
      <c r="E55" s="12">
        <v>3.6240000000000001</v>
      </c>
      <c r="F55" s="12">
        <v>-3.6240000000000001</v>
      </c>
      <c r="G55" s="10">
        <v>0</v>
      </c>
      <c r="H55" s="9"/>
      <c r="I55" s="9" t="s">
        <v>84</v>
      </c>
      <c r="J55" s="9" t="s">
        <v>96</v>
      </c>
      <c r="K55" s="9">
        <v>3.2</v>
      </c>
      <c r="L55" s="9">
        <f t="shared" si="8"/>
        <v>0.42399999999999993</v>
      </c>
      <c r="M55" s="9"/>
      <c r="N55" s="9"/>
      <c r="O55" s="9"/>
      <c r="P55" s="9">
        <f t="shared" si="9"/>
        <v>0.7248</v>
      </c>
      <c r="Q55" s="11"/>
      <c r="R55" s="18"/>
      <c r="S55" s="9">
        <f t="shared" si="10"/>
        <v>-5</v>
      </c>
      <c r="T55" s="9">
        <f t="shared" si="11"/>
        <v>-5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/>
      <c r="AF55" s="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 t="s">
        <v>96</v>
      </c>
      <c r="B56" s="1" t="s">
        <v>40</v>
      </c>
      <c r="C56" s="1">
        <v>8.6859999999999999</v>
      </c>
      <c r="D56" s="1"/>
      <c r="E56" s="12">
        <f>3.468+E55</f>
        <v>7.0920000000000005</v>
      </c>
      <c r="F56" s="12">
        <f>1.594+F55</f>
        <v>-2.0300000000000002</v>
      </c>
      <c r="G56" s="7">
        <v>1</v>
      </c>
      <c r="H56" s="1">
        <v>120</v>
      </c>
      <c r="I56" s="1"/>
      <c r="J56" s="1"/>
      <c r="K56" s="1">
        <v>36.5</v>
      </c>
      <c r="L56" s="1">
        <f t="shared" si="8"/>
        <v>-29.408000000000001</v>
      </c>
      <c r="M56" s="1"/>
      <c r="N56" s="1"/>
      <c r="O56" s="1">
        <v>135</v>
      </c>
      <c r="P56" s="1">
        <f t="shared" si="9"/>
        <v>1.4184000000000001</v>
      </c>
      <c r="Q56" s="5"/>
      <c r="R56" s="17">
        <v>200</v>
      </c>
      <c r="S56" s="1">
        <f t="shared" si="10"/>
        <v>93.746474901297233</v>
      </c>
      <c r="T56" s="1">
        <f t="shared" si="11"/>
        <v>93.746474901297233</v>
      </c>
      <c r="U56" s="1">
        <v>15.4236</v>
      </c>
      <c r="V56" s="1">
        <v>5.4283999999999999</v>
      </c>
      <c r="W56" s="1">
        <v>6.0831999999999997</v>
      </c>
      <c r="X56" s="1">
        <v>9.0995999999999988</v>
      </c>
      <c r="Y56" s="1">
        <v>9.1796000000000006</v>
      </c>
      <c r="Z56" s="1">
        <v>5.6015999999999986</v>
      </c>
      <c r="AA56" s="1">
        <v>13.2828</v>
      </c>
      <c r="AB56" s="1">
        <v>11.156000000000001</v>
      </c>
      <c r="AC56" s="1">
        <v>3.5844</v>
      </c>
      <c r="AD56" s="1">
        <v>10.135199999999999</v>
      </c>
      <c r="AE56" s="1"/>
      <c r="AF56" s="1">
        <f>G56*Q56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2026-09-16T15:45:32Z</dcterms:created>
  <dcterms:modified xsi:type="dcterms:W3CDTF">2026-09-16T17:53:58Z</dcterms:modified>
</cp:coreProperties>
</file>