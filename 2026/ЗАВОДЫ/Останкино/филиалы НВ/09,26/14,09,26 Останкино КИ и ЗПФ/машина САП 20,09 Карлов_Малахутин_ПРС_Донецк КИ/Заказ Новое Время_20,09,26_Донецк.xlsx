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L9" sqref="L9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K3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46285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142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215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>
        <v>15</v>
      </c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>
        <v>46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382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500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>
        <v>116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127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523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>
        <v>171</v>
      </c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302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/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/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/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/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>
        <v>17</v>
      </c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132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/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166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150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>
        <v>16</v>
      </c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>
        <v>77</v>
      </c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>
        <v>58</v>
      </c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/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329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>
        <v>29</v>
      </c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>
        <v>70</v>
      </c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750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717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>
        <v>120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161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>
        <v>29</v>
      </c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/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>
        <v>103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>
        <v>12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/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>
        <v>95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>
        <v>5</v>
      </c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>
        <v>165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>
        <v>121</v>
      </c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118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/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420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169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>
        <v>113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>
        <v>104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144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850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/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174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726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>
        <v>30</v>
      </c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КРАКОВСКАЯ ГОСТ п/к н/о мгс 0.3кг</t>
        </is>
      </c>
      <c r="C96" s="50" t="inlineStr">
        <is>
          <t>ШТ</t>
        </is>
      </c>
      <c r="D96" s="51" t="n">
        <v>1001307587710</v>
      </c>
      <c r="E96" s="24" t="n">
        <v>40</v>
      </c>
      <c r="F96" s="23" t="n">
        <v>0.3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ВОСКРЕСЕНСКАЯ ВЯЛЕНАЯ в/к в/у срез 1/260</t>
        </is>
      </c>
      <c r="C97" s="50" t="inlineStr">
        <is>
          <t>ШТ</t>
        </is>
      </c>
      <c r="D97" s="51" t="n">
        <v>1001307077513</v>
      </c>
      <c r="E97" s="24" t="n">
        <v>17</v>
      </c>
      <c r="F97" s="23" t="n">
        <v>0.26</v>
      </c>
      <c r="G97" s="23">
        <f>E97*F97</f>
        <v/>
      </c>
      <c r="H97" s="14" t="n"/>
      <c r="I97" s="14" t="n"/>
      <c r="J97" s="49" t="n"/>
    </row>
    <row r="98" ht="16.5" customHeight="1" s="104">
      <c r="A98" s="109">
        <f>RIGHT(D98,4)</f>
        <v/>
      </c>
      <c r="B98" s="53" t="inlineStr">
        <is>
          <t>ЧЕСНОЧНАЯ ПМ п/к в/у 0.35кг 8шт_50с</t>
        </is>
      </c>
      <c r="C98" s="50" t="inlineStr">
        <is>
          <t>ШТ</t>
        </is>
      </c>
      <c r="D98" s="51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БОЯРСКАЯ ПМ п/к в/у 0.28кг_СНГ</t>
        </is>
      </c>
      <c r="C99" s="50" t="inlineStr">
        <is>
          <t>ШТ</t>
        </is>
      </c>
      <c r="D99" s="51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ОХОТНИЧИЙ ПМ в/к в/у 0.28кг_СНГ</t>
        </is>
      </c>
      <c r="C100" s="50" t="inlineStr">
        <is>
          <t>ШТ</t>
        </is>
      </c>
      <c r="D100" s="51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04">
      <c r="A101" s="109">
        <f>RIGHT(D101,4)</f>
        <v/>
      </c>
      <c r="B101" s="53" t="inlineStr">
        <is>
          <t>СЕРВЕЛАТ ШВЕЙЦАРСК.в/к с/н в/у 1/100_Л11</t>
        </is>
      </c>
      <c r="C101" s="50" t="inlineStr">
        <is>
          <t>ШТ</t>
        </is>
      </c>
      <c r="D101" s="51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</row>
    <row r="102" ht="16.5" customHeight="1" s="104" thickBot="1">
      <c r="A102" s="109">
        <f>RIGHT(D102,4)</f>
        <v/>
      </c>
      <c r="B102" s="53" t="inlineStr">
        <is>
          <t>СЕРВЕЛАТ БАВАРСКИЙ в/к с/н в/у 1/100_Л11</t>
        </is>
      </c>
      <c r="C102" s="50" t="inlineStr">
        <is>
          <t>ШТ</t>
        </is>
      </c>
      <c r="D102" s="51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</row>
    <row r="103" ht="16.5" customHeight="1" s="10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04" thickTop="1">
      <c r="A104" s="109">
        <f>RIGHT(D104,4)</f>
        <v/>
      </c>
      <c r="B104" s="53" t="inlineStr">
        <is>
          <t>АРОМАТНАЯ с/к в/у 1/250 8шт.</t>
        </is>
      </c>
      <c r="C104" s="50" t="inlineStr">
        <is>
          <t>ШТ</t>
        </is>
      </c>
      <c r="D104" s="51" t="n">
        <v>1001061973986</v>
      </c>
      <c r="E104" s="24" t="n">
        <v>89</v>
      </c>
      <c r="F104" s="111" t="n">
        <v>0.25</v>
      </c>
      <c r="G104" s="23">
        <f>E104*F104</f>
        <v/>
      </c>
      <c r="H104" s="114" t="n">
        <v>2</v>
      </c>
      <c r="I104" s="115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ОХОТНИЧЬЯ Папа может с/к в/у 1/220 8шт.</t>
        </is>
      </c>
      <c r="C105" s="50" t="inlineStr">
        <is>
          <t>ШТ</t>
        </is>
      </c>
      <c r="D105" s="51" t="n">
        <v>1001060755931</v>
      </c>
      <c r="E105" s="24" t="n">
        <v>225</v>
      </c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ПОСОЛЬСКАЯ Папа может с/к в/у</t>
        </is>
      </c>
      <c r="C106" s="50" t="inlineStr">
        <is>
          <t>КГ</t>
        </is>
      </c>
      <c r="D106" s="51" t="n">
        <v>1001063145708</v>
      </c>
      <c r="E106" s="24" t="n">
        <v>30</v>
      </c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</t>
        </is>
      </c>
      <c r="C107" s="50" t="inlineStr">
        <is>
          <t>КГ</t>
        </is>
      </c>
      <c r="D107" s="51" t="n">
        <v>1001060763287</v>
      </c>
      <c r="E107" s="24" t="n">
        <v>4</v>
      </c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САЛЯМИ ИТАЛЬЯНСКАЯ с/к в/у 1/250*8_120с</t>
        </is>
      </c>
      <c r="C108" s="50" t="inlineStr">
        <is>
          <t>ШТ</t>
        </is>
      </c>
      <c r="D108" s="51" t="n">
        <v>1001060764993</v>
      </c>
      <c r="E108" s="24" t="n">
        <v>8</v>
      </c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 1/250 8шт.</t>
        </is>
      </c>
      <c r="C109" s="50" t="inlineStr">
        <is>
          <t>ШТ</t>
        </is>
      </c>
      <c r="D109" s="51" t="n">
        <v>1001062505483</v>
      </c>
      <c r="E109" s="24" t="n">
        <v>89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ЭКСТРА Папа может с/к в/у_Л</t>
        </is>
      </c>
      <c r="C110" s="50" t="inlineStr">
        <is>
          <t>КГ</t>
        </is>
      </c>
      <c r="D110" s="51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ПРАЗДНИЧНАЯ с/к в/с дек.спец.мгс</t>
        </is>
      </c>
      <c r="C111" s="50" t="inlineStr">
        <is>
          <t>КГ</t>
        </is>
      </c>
      <c r="D111" s="51" t="n">
        <v>1001060720614</v>
      </c>
      <c r="E111" s="24" t="n"/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БУРГУНДИЯ Папа может с/к в/у 1/250 8шт.</t>
        </is>
      </c>
      <c r="C112" s="50" t="inlineStr">
        <is>
          <t>ШТ</t>
        </is>
      </c>
      <c r="D112" s="51" t="n">
        <v>1001063656967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САЛЯМИ Папа может с/к в/у 1/250 8шт.</t>
        </is>
      </c>
      <c r="C113" s="50" t="inlineStr">
        <is>
          <t>ШТ</t>
        </is>
      </c>
      <c r="D113" s="51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БРАУНШВЕЙГСКАЯ ГОСТ с/к в/у 1/220 8шт.</t>
        </is>
      </c>
      <c r="C114" s="50" t="inlineStr">
        <is>
          <t>ШТ</t>
        </is>
      </c>
      <c r="D114" s="51" t="n">
        <v>1001060717143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САЛЬЧИЧОН Останкино с/к в/у 1/220 8шт.</t>
        </is>
      </c>
      <c r="C115" s="50" t="inlineStr">
        <is>
          <t>ШТ</t>
        </is>
      </c>
      <c r="D115" s="51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САЛЯМИ ФИНСКАЯ Папа может с/к в/у 1/150</t>
        </is>
      </c>
      <c r="C116" s="50" t="inlineStr">
        <is>
          <t>ШТ</t>
        </is>
      </c>
      <c r="D116" s="51" t="n">
        <v>1001063097456</v>
      </c>
      <c r="E116" s="24" t="n"/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ЧОРИЗО Останкино с/к в/у 1/220 8шт.</t>
        </is>
      </c>
      <c r="C117" s="50" t="inlineStr">
        <is>
          <t>ШТ</t>
        </is>
      </c>
      <c r="D117" s="51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САН-РЕМО Останкино с/в в/у 1/220 8шт.</t>
        </is>
      </c>
      <c r="C118" s="50" t="inlineStr">
        <is>
          <t>ШТ</t>
        </is>
      </c>
      <c r="D118" s="51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ПРЕСИЖН с/к дек.спец. мгс 0.54кг</t>
        </is>
      </c>
      <c r="C119" s="50" t="inlineStr">
        <is>
          <t>ШТ</t>
        </is>
      </c>
      <c r="D119" s="51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1/270</t>
        </is>
      </c>
      <c r="C120" s="50" t="inlineStr">
        <is>
          <t>ШТ</t>
        </is>
      </c>
      <c r="D120" s="51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ПРАЗДНИЧНАЯ с/к в/с дек.спец. мгс 0.54кг</t>
        </is>
      </c>
      <c r="C121" s="50" t="inlineStr">
        <is>
          <t>ШТ</t>
        </is>
      </c>
      <c r="D121" s="51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АССОРТИ СЫРОКОПЧЕНЫХ КОЛБАС Коровино в/у</t>
        </is>
      </c>
      <c r="C122" s="50" t="inlineStr">
        <is>
          <t>КГ</t>
        </is>
      </c>
      <c r="D122" s="51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НАБОР ДЛЯ ПИЦЦЫ Папа Может с/к в/у</t>
        </is>
      </c>
      <c r="C123" s="50" t="inlineStr">
        <is>
          <t>КГ</t>
        </is>
      </c>
      <c r="D123" s="51" t="n">
        <v>1001060677299</v>
      </c>
      <c r="E123" s="24" t="n">
        <v>191</v>
      </c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04">
      <c r="A124" s="109">
        <f>RIGHT(D124,4)</f>
        <v/>
      </c>
      <c r="B124" s="53" t="inlineStr">
        <is>
          <t>БАРСЕЛОНА ПМ с/к в/у 1/150</t>
        </is>
      </c>
      <c r="C124" s="50" t="inlineStr">
        <is>
          <t>ШТ</t>
        </is>
      </c>
      <c r="D124" s="51" t="n">
        <v>1001067017386</v>
      </c>
      <c r="E124" s="24" t="n"/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04">
      <c r="A125" s="109">
        <f>RIGHT(D125,4)</f>
        <v/>
      </c>
      <c r="B125" s="53" t="inlineStr">
        <is>
          <t>АРОМАТНАЯ с/к с/н в/у 1/100 10шт_Л10 (7613)</t>
        </is>
      </c>
      <c r="C125" s="50" t="inlineStr">
        <is>
          <t>ШТ</t>
        </is>
      </c>
      <c r="D125" s="51" t="n">
        <v>1001061977613</v>
      </c>
      <c r="E125" s="24" t="n"/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04">
      <c r="A126" s="109">
        <f>RIGHT(D126,4)</f>
        <v/>
      </c>
      <c r="B126" s="53" t="inlineStr">
        <is>
          <t>САЛЯМИ МЕЛКОЗЕРНЕНАЯ с/к в/у 1/120 8шт.</t>
        </is>
      </c>
      <c r="C126" s="50" t="inlineStr">
        <is>
          <t>ШТ</t>
        </is>
      </c>
      <c r="D126" s="51" t="n">
        <v>1001203117382</v>
      </c>
      <c r="E126" s="24" t="n">
        <v>163</v>
      </c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ЭКСТРА Папа может с/к с/н в/у 1/100_Л10</t>
        </is>
      </c>
      <c r="C127" s="50" t="inlineStr">
        <is>
          <t>ШТ</t>
        </is>
      </c>
      <c r="D127" s="51" t="n">
        <v>1001062507616</v>
      </c>
      <c r="E127" s="24" t="n">
        <v>178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04">
      <c r="A128" s="109">
        <f>RIGHT(D128,4)</f>
        <v/>
      </c>
      <c r="B128" s="53" t="inlineStr">
        <is>
          <t>НЕАПОЛИТАНСКИЙ ДУЭТ с/к с/н мгс 1/90</t>
        </is>
      </c>
      <c r="C128" s="50" t="inlineStr">
        <is>
          <t>ШТ</t>
        </is>
      </c>
      <c r="D128" s="51" t="n">
        <v>1001205376221</v>
      </c>
      <c r="E128" s="24" t="n">
        <v>334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ИТАЛЬЯНСКОЕ АССОРТИ с/в с/н мгс 1/90</t>
        </is>
      </c>
      <c r="C129" s="50" t="inlineStr">
        <is>
          <t>ШТ</t>
        </is>
      </c>
      <c r="D129" s="51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5" customHeight="1" s="104">
      <c r="A130" s="109">
        <f>RIGHT(D130,4)</f>
        <v/>
      </c>
      <c r="B130" s="53" t="inlineStr">
        <is>
          <t>САЛЯМИ ИТАЛЬЯНСКАЯ с/к в/у 1/150_60с</t>
        </is>
      </c>
      <c r="C130" s="50" t="inlineStr">
        <is>
          <t>ШТ</t>
        </is>
      </c>
      <c r="D130" s="51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5" customHeight="1" s="104" thickBot="1">
      <c r="A131" s="109">
        <f>RIGHT(D131,4)</f>
        <v/>
      </c>
      <c r="B131" s="53" t="inlineStr">
        <is>
          <t>БРАУНШВЕЙГСКАЯ с/к с/н мгс 1/100_Л10</t>
        </is>
      </c>
      <c r="C131" s="50" t="inlineStr">
        <is>
          <t>ШТ</t>
        </is>
      </c>
      <c r="D131" s="51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</row>
    <row r="132" ht="16.5" customHeight="1" s="10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</row>
    <row r="133" ht="16.5" customHeight="1" s="104" thickTop="1">
      <c r="A133" s="109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16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</row>
    <row r="134" ht="16.5" customHeight="1" s="104">
      <c r="A134" s="109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51" t="n">
        <v>1001092436495</v>
      </c>
      <c r="E134" s="24" t="n">
        <v>117</v>
      </c>
      <c r="F134" s="111" t="n">
        <v>0.3</v>
      </c>
      <c r="G134" s="23">
        <f>E134*F134</f>
        <v/>
      </c>
      <c r="H134" s="29" t="n">
        <v>1.8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ВЕТЧ.МРАМОРНАЯ в/у_45с</t>
        </is>
      </c>
      <c r="C135" s="50" t="inlineStr">
        <is>
          <t>КГ</t>
        </is>
      </c>
      <c r="D135" s="51" t="n">
        <v>1001092436470</v>
      </c>
      <c r="E135" s="24" t="n"/>
      <c r="F135" s="111" t="n">
        <v>1.2</v>
      </c>
      <c r="G135" s="23">
        <f>E135</f>
        <v/>
      </c>
      <c r="H135" s="29" t="n">
        <v>4.8</v>
      </c>
      <c r="I135" s="29" t="n">
        <v>45</v>
      </c>
      <c r="J135" s="29" t="n"/>
    </row>
    <row r="136">
      <c r="A136" s="109">
        <f>RIGHT(D136,4)</f>
        <v/>
      </c>
      <c r="B136" s="117" t="inlineStr">
        <is>
          <t>ВЕТЧ.МЯСНАЯ Папа может п/о</t>
        </is>
      </c>
      <c r="C136" s="50" t="inlineStr">
        <is>
          <t>КГ</t>
        </is>
      </c>
      <c r="D136" s="51" t="n">
        <v>1001092485452</v>
      </c>
      <c r="E136" s="24" t="n">
        <v>160</v>
      </c>
      <c r="F136" s="111" t="n">
        <v>1.35</v>
      </c>
      <c r="G136" s="23">
        <f>E136</f>
        <v/>
      </c>
      <c r="H136" s="29" t="n">
        <v>4.05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ВЕТЧ.МЯСНАЯ Папа может п/о 0.4кг 8шт.</t>
        </is>
      </c>
      <c r="C137" s="50" t="inlineStr">
        <is>
          <t>ШТ</t>
        </is>
      </c>
      <c r="D137" s="51" t="n">
        <v>1001094053215</v>
      </c>
      <c r="E137" s="24" t="n">
        <v>203</v>
      </c>
      <c r="F137" s="111" t="n">
        <v>0.4</v>
      </c>
      <c r="G137" s="23">
        <f>E137*F137</f>
        <v/>
      </c>
      <c r="H137" s="29" t="n">
        <v>3.2</v>
      </c>
      <c r="I137" s="29" t="n">
        <v>60</v>
      </c>
      <c r="J137" s="29" t="n"/>
    </row>
    <row r="138">
      <c r="A138" s="109">
        <f>RIGHT(D138,4)</f>
        <v/>
      </c>
      <c r="B138" s="117" t="inlineStr">
        <is>
          <t>ВЕТЧ.НЕЖНАЯ Коровино п/о_Маяк</t>
        </is>
      </c>
      <c r="C138" s="50" t="inlineStr">
        <is>
          <t>КГ</t>
        </is>
      </c>
      <c r="D138" s="51" t="n">
        <v>1001095716866</v>
      </c>
      <c r="E138" s="24" t="n">
        <v>49</v>
      </c>
      <c r="F138" s="111" t="n">
        <v>1.5</v>
      </c>
      <c r="G138" s="23">
        <f>E138</f>
        <v/>
      </c>
      <c r="H138" s="29" t="n">
        <v>6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Папа может п/о 400*6</t>
        </is>
      </c>
      <c r="C139" s="50" t="inlineStr">
        <is>
          <t>ШТ</t>
        </is>
      </c>
      <c r="D139" s="110" t="n">
        <v>1001093345495</v>
      </c>
      <c r="E139" s="24" t="n">
        <v>500</v>
      </c>
      <c r="F139" s="111" t="n">
        <v>0.4</v>
      </c>
      <c r="G139" s="23">
        <f>E139*F139</f>
        <v/>
      </c>
      <c r="H139" s="29" t="n">
        <v>2.4</v>
      </c>
      <c r="I139" s="29" t="n">
        <v>60</v>
      </c>
      <c r="J139" s="29" t="n"/>
    </row>
    <row r="140">
      <c r="A140" s="109">
        <f>RIGHT(D140,4)</f>
        <v/>
      </c>
      <c r="B140" s="53" t="inlineStr">
        <is>
          <t>ВЕТЧ.С ИНДЕЙКОЙ ПМ в/у срез 0.3кг 6шт.</t>
        </is>
      </c>
      <c r="C140" s="50" t="inlineStr">
        <is>
          <t>ШТ</t>
        </is>
      </c>
      <c r="D140" s="110" t="n">
        <v>1001095027377</v>
      </c>
      <c r="E140" s="24" t="n"/>
      <c r="F140" s="111" t="n">
        <v>0.3</v>
      </c>
      <c r="G140" s="23">
        <f>E140*F140</f>
        <v/>
      </c>
      <c r="H140" s="29" t="n">
        <v>1.8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ВЕТЧ.РУБЛЕНАЯ ПМ в/у срез 0.3кг 6шт.</t>
        </is>
      </c>
      <c r="C141" s="50" t="inlineStr">
        <is>
          <t>ШТ</t>
        </is>
      </c>
      <c r="D141" s="110" t="n">
        <v>1001093316411</v>
      </c>
      <c r="E141" s="24" t="n"/>
      <c r="F141" s="111" t="n">
        <v>0.3</v>
      </c>
      <c r="G141" s="23">
        <f>E141*F141</f>
        <v/>
      </c>
      <c r="H141" s="29" t="n"/>
      <c r="I141" s="29" t="n"/>
      <c r="J141" s="29" t="n"/>
    </row>
    <row r="142">
      <c r="A142" s="109">
        <f>RIGHT(D142,4)</f>
        <v/>
      </c>
      <c r="B142" s="53" t="inlineStr">
        <is>
          <t xml:space="preserve">ВЕТЧ.КЛАССИЧЕСКАЯ в/у 0.6кг 8шт. </t>
        </is>
      </c>
      <c r="C142" s="50" t="inlineStr">
        <is>
          <t>ШТ</t>
        </is>
      </c>
      <c r="D142" s="110" t="n">
        <v>1001095226925</v>
      </c>
      <c r="E142" s="24" t="n"/>
      <c r="F142" s="111" t="n">
        <v>0.6</v>
      </c>
      <c r="G142" s="23">
        <f>E142*F142</f>
        <v/>
      </c>
      <c r="H142" s="29" t="n">
        <v>4.8</v>
      </c>
      <c r="I142" s="29" t="n">
        <v>45</v>
      </c>
      <c r="J142" s="29" t="n"/>
    </row>
    <row r="143">
      <c r="A143" s="109">
        <f>RIGHT(D143,4)</f>
        <v/>
      </c>
      <c r="B143" s="53" t="inlineStr">
        <is>
          <t>ВЕТЧ.ФИРМЕННАЯ С ИНДЕЙКОЙ п/о</t>
        </is>
      </c>
      <c r="C143" s="50" t="inlineStr">
        <is>
          <t>КГ</t>
        </is>
      </c>
      <c r="D143" s="110" t="n">
        <v>1001094966025</v>
      </c>
      <c r="E143" s="24" t="n"/>
      <c r="F143" s="111" t="n">
        <v>3</v>
      </c>
      <c r="G143" s="23">
        <f>E143</f>
        <v/>
      </c>
      <c r="H143" s="29" t="n">
        <v>6</v>
      </c>
      <c r="I143" s="29" t="n">
        <v>60</v>
      </c>
      <c r="J143" s="29" t="n"/>
    </row>
    <row r="144">
      <c r="A144" s="109">
        <f>RIGHT(D144,4)</f>
        <v/>
      </c>
      <c r="B144" s="53" t="inlineStr">
        <is>
          <t>КАРБОНAД ДОМАШНИЙ ПМ к/в кр/к в/у</t>
        </is>
      </c>
      <c r="C144" s="50" t="inlineStr">
        <is>
          <t>КГ</t>
        </is>
      </c>
      <c r="D144" s="110" t="n">
        <v>1001085476929</v>
      </c>
      <c r="E144" s="24" t="n"/>
      <c r="F144" s="111" t="n"/>
      <c r="G144" s="23">
        <f>E144</f>
        <v/>
      </c>
      <c r="H144" s="29" t="n"/>
      <c r="I144" s="29" t="n"/>
      <c r="J144" s="29" t="n"/>
    </row>
    <row r="145">
      <c r="A145" s="109">
        <f>RIGHT(D145,4)</f>
        <v/>
      </c>
      <c r="B145" s="53" t="inlineStr">
        <is>
          <t>РИЕТ МЯСНОЙ С ГРИБАМИ ПМ п/о 1/150</t>
        </is>
      </c>
      <c r="C145" s="50" t="inlineStr">
        <is>
          <t>ШТ</t>
        </is>
      </c>
      <c r="D145" s="110" t="n">
        <v>1001107397485</v>
      </c>
      <c r="E145" s="24" t="n">
        <v>107</v>
      </c>
      <c r="F145" s="111" t="n">
        <v>0.15</v>
      </c>
      <c r="G145" s="23">
        <f>F145*E145</f>
        <v/>
      </c>
      <c r="H145" s="29" t="n"/>
      <c r="I145" s="29" t="n"/>
      <c r="J145" s="105" t="inlineStr">
        <is>
          <t>Новинка</t>
        </is>
      </c>
    </row>
    <row r="146">
      <c r="A146" s="109">
        <f>RIGHT(D146,4)</f>
        <v/>
      </c>
      <c r="B146" s="53" t="inlineStr">
        <is>
          <t>ХОЧУ ВЕТЧ. ИЗ СВИН.ОТРУБА с/н мгс 1/100</t>
        </is>
      </c>
      <c r="C146" s="50" t="inlineStr">
        <is>
          <t>ШТ</t>
        </is>
      </c>
      <c r="D146" s="110" t="n">
        <v>1001097747647</v>
      </c>
      <c r="E146" s="24" t="n"/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5.75" customHeight="1" s="104" thickBot="1">
      <c r="A147" s="109">
        <f>RIGHT(D147,4)</f>
        <v/>
      </c>
      <c r="B147" s="53" t="inlineStr">
        <is>
          <t>ХОЧУ ВЕТЧ. МРАМОР. ПМ с/н мгс 1/100_Л11</t>
        </is>
      </c>
      <c r="C147" s="50" t="inlineStr">
        <is>
          <t>ШТ</t>
        </is>
      </c>
      <c r="D147" s="110" t="n">
        <v>1001097767651</v>
      </c>
      <c r="E147" s="24" t="n"/>
      <c r="F147" s="111" t="n">
        <v>0.1</v>
      </c>
      <c r="G147" s="23">
        <f>E147*F147</f>
        <v/>
      </c>
      <c r="H147" s="29" t="n">
        <v>1</v>
      </c>
      <c r="I147" s="29" t="n">
        <v>30</v>
      </c>
      <c r="J147" s="105" t="inlineStr">
        <is>
          <t>Новинка</t>
        </is>
      </c>
    </row>
    <row r="148" ht="16.5" customHeight="1" s="10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5.75" customHeight="1" s="104" thickTop="1">
      <c r="A149" s="109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51" t="n">
        <v>1001084217090</v>
      </c>
      <c r="E149" s="24" t="n">
        <v>130</v>
      </c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51" t="n">
        <v>1001085637187</v>
      </c>
      <c r="E150" s="24" t="n"/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>
      <c r="A151" s="109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51" t="n">
        <v>1001084856008</v>
      </c>
      <c r="E151" s="24" t="n">
        <v>30</v>
      </c>
      <c r="F151" s="23" t="n">
        <v>0.3</v>
      </c>
      <c r="G151" s="23">
        <f>E151</f>
        <v/>
      </c>
      <c r="H151" s="14" t="n">
        <v>1.8</v>
      </c>
      <c r="I151" s="14" t="n">
        <v>40</v>
      </c>
      <c r="J151" s="105" t="inlineStr">
        <is>
          <t>Новинка</t>
        </is>
      </c>
    </row>
    <row r="152">
      <c r="A152" s="109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51" t="n">
        <v>1001081596620</v>
      </c>
      <c r="E152" s="24" t="n">
        <v>43</v>
      </c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>
      <c r="A153" s="109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51" t="n">
        <v>1001223297103</v>
      </c>
      <c r="E153" s="24" t="n">
        <v>144</v>
      </c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51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>
      <c r="A155" s="109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51" t="n">
        <v>1001225416228</v>
      </c>
      <c r="E155" s="24" t="n">
        <v>50</v>
      </c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51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51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>
      <c r="A158" s="109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51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09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51" t="n">
        <v>1001220286279</v>
      </c>
      <c r="E159" s="24" t="n">
        <v>25</v>
      </c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09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51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>
      <c r="A161" s="109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51" t="n">
        <v>1001122287344</v>
      </c>
      <c r="E161" s="24" t="n">
        <v>40</v>
      </c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04" thickBot="1">
      <c r="A162" s="109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51" t="n">
        <v>1001123677345</v>
      </c>
      <c r="E162" s="24" t="n">
        <v>40</v>
      </c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0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04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2026-09-16T12:27:19Z</dcterms:modified>
  <cp:lastModifiedBy>Uaer4</cp:lastModifiedBy>
  <cp:lastPrinted>2015-01-13T07:32:10Z</cp:lastPrinted>
</cp:coreProperties>
</file>