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6,09 ПРС ЛП\"/>
    </mc:Choice>
  </mc:AlternateContent>
  <xr:revisionPtr revIDLastSave="0" documentId="13_ncr:1_{C060E19E-A144-47F5-A834-A7000887D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<sst xmlns="http://schemas.openxmlformats.org/spreadsheetml/2006/main" count="677" uniqueCount="221">
  <si>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</si>
  <si>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</si>
  <si>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</si>
  <si>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</si>
  <si>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</si>
  <si>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</si>
  <si>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</si>
  <si>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</si>
  <si>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</si>
  <si>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</si>
  <si>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</si>
  <si>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</si>
  <si>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</si>
  <si>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</si>
  <si>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</si>
  <si>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</si>
  <si>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</si>
  <si>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</si>
  <si>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</si>
  <si>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</si>
  <si>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</si>
  <si>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</si>
  <si>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</si>
  <si>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</si>
  <si>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</si>
  <si>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</si>
  <si>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</si>
  <si>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</si>
  <si>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</si>
  <si>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</si>
  <si>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</si>
  <si>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</si>
  <si>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</si>
  <si>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</si>
  <si>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</si>
  <si>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</si>
  <si>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</si>
  <si>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</si>
  <si>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</si>
  <si>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</si>
  <si>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</si>
  <si>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</si>
  <si>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</si>
  <si>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</si>
  <si>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</si>
  <si>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</si>
  <si>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</si>
  <si>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</si>
  <si>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</si>
  <si>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</si>
  <si>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</si>
  <si>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</si>
  <si>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</si>
  <si>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</si>
  <si>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</si>
  <si>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</si>
  <si>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</si>
  <si>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</si>
  <si>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</si>
  <si>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</si>
  <si>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</si>
  <si>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</si>
  <si>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</si>
  <si>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</si>
  <si>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</si>
  <si>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</si>
  <si>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</si>
  <si>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</si>
  <si>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</si>
  <si>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</si>
  <si>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</si>
  <si>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</si>
  <si>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</si>
  <si>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</si>
  <si>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</si>
  <si>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</si>
  <si>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</si>
  <si>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</si>
  <si>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</si>
  <si>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</si>
  <si>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</si>
  <si>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</si>
  <si>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</si>
  <si>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</si>
  <si>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</si>
  <si>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</si>
  <si>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</si>
  <si>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</si>
  <si>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</si>
  <si>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</si>
  <si>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</si>
  <si>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</si>
  <si>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</si>
  <si>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</si>
  <si>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</si>
  <si>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</si>
  <si>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</si>
  <si>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</si>
  <si>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</si>
  <si>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</si>
  <si>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</si>
  <si>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</si>
  <si>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</si>
  <si>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</si>
  <si>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</si>
  <si>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</si>
  <si>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</si>
  <si>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</si>
  <si>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</si>
  <si>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</si>
  <si>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</si>
  <si>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</si>
  <si>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</si>
  <si>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</si>
  <si>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</si>
  <si>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</si>
  <si>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</si>
  <si>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</si>
  <si>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</si>
  <si>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</si>
  <si>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</si>
  <si>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</si>
  <si>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</si>
  <si>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</si>
  <si>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</si>
  <si>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</si>
  <si>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</si>
  <si>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</si>
  <si>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</si>
  <si>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</si>
  <si>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</si>
  <si>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</si>
  <si>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</si>
  <si>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</si>
  <si>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</si>
  <si>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</si>
  <si>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</si>
  <si>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</si>
  <si>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</si>
  <si>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</si>
  <si>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</si>
  <si>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</si>
  <si>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</si>
  <si>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</si>
  <si>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</si>
  <si>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</si>
  <si>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</si>
  <si>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</si>
  <si>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</si>
  <si>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</si>
  <si>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</si>
  <si>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</si>
  <si>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</si>
  <si>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</si>
  <si>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</si>
  <si>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</si>
  <si>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</si>
  <si>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</si>
  <si>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</si>
  <si>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</si>
  <si>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</si>
  <si>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</si>
  <si>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</si>
  <si>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</si>
  <si>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</si>
  <si>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</si>
  <si>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</si>
  <si>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</si>
  <si>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</si>
  <si>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</si>
  <si>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</si>
  <si>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</si>
  <si>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</si>
  <si>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</si>
  <si>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</si>
  <si>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</si>
  <si>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</si>
  <si>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</si>
  <si>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</si>
  <si>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</si>
  <si>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</si>
  <si>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</si>
  <si>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</si>
  <si>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</si>
  <si>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</si>
  <si>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</si>
  <si>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</si>
  <si>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</si>
  <si>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</si>
  <si>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</si>
  <si>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</si>
  <si>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</si>
  <si>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</si>
  <si>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</si>
  <si>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</si>
  <si>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</si>
  <si>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</si>
  <si>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</si>
  <si>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</si>
  <si>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</si>
  <si>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</si>
  <si>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</si>
  <si>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</si>
  <si>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</si>
  <si>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</si>
  <si>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</si>
  <si>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</si>
  <si>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</si>
  <si>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</si>
  <si>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</si>
  <si>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</si>
  <si>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</si>
  <si>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</si>
  <si>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</si>
  <si>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</si>
  <si>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</si>
  <si>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</si>
  <si>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</si>
  <si>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</si>
  <si>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</si>
  <si>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 xml:space="preserve">г. Донецк ул. Чаадаева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</si>
</sst>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63" activePane="bottomLeft" state="frozen"/>
      <selection pane="bottomLeft" activeCell="L178" sqref="L17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4" t="s">
        <v>219</v>
      </c>
      <c r="F1" s="155"/>
      <c r="G1" s="155"/>
      <c r="H1" s="155"/>
      <c r="I1" s="155"/>
      <c r="J1" s="156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46285</v>
      </c>
      <c r="E3" s="7" t="s">
        <v>2</v>
      </c>
      <c r="F3" s="55">
        <f>D3+3</f>
        <v>46288</v>
      </c>
      <c r="G3" s="157" t="s">
        <v>220</v>
      </c>
      <c r="H3" s="155"/>
      <c r="I3" s="155"/>
      <c r="J3" s="156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300</v>
      </c>
      <c r="F23" s="23">
        <v>0.4</v>
      </c>
      <c r="G23" s="23">
        <f t="shared" si="2"/>
        <v>120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24"/>
      <c r="F27" s="151">
        <v>0.5</v>
      </c>
      <c r="G27" s="151">
        <f t="shared" si="4"/>
        <v>0</v>
      </c>
      <c r="H27" s="152">
        <v>4</v>
      </c>
      <c r="I27" s="152">
        <v>60</v>
      </c>
      <c r="J27" s="152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24"/>
      <c r="F28" s="151">
        <v>0.5</v>
      </c>
      <c r="G28" s="151">
        <f t="shared" si="4"/>
        <v>0</v>
      </c>
      <c r="H28" s="152">
        <v>4</v>
      </c>
      <c r="I28" s="152">
        <v>60</v>
      </c>
      <c r="J28" s="152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150</v>
      </c>
      <c r="F29" s="23">
        <v>0.4</v>
      </c>
      <c r="G29" s="23">
        <f t="shared" si="4"/>
        <v>60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300</v>
      </c>
      <c r="F30" s="23">
        <v>0.4</v>
      </c>
      <c r="G30" s="23">
        <f t="shared" si="4"/>
        <v>120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240</v>
      </c>
      <c r="F33" s="60">
        <v>0.3</v>
      </c>
      <c r="G33" s="23">
        <f t="shared" si="4"/>
        <v>72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60</v>
      </c>
      <c r="F48" s="60">
        <v>0.41</v>
      </c>
      <c r="G48" s="23">
        <f t="shared" si="6"/>
        <v>24.599999999999998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150</v>
      </c>
      <c r="F49" s="60">
        <v>0.36</v>
      </c>
      <c r="G49" s="23">
        <f t="shared" si="6"/>
        <v>54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120</v>
      </c>
      <c r="F52" s="60">
        <v>0.4</v>
      </c>
      <c r="G52" s="23">
        <f t="shared" si="6"/>
        <v>48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3">
        <v>1001025767284</v>
      </c>
      <c r="E54" s="24"/>
      <c r="F54" s="151">
        <v>0.33</v>
      </c>
      <c r="G54" s="151">
        <f t="shared" si="6"/>
        <v>0</v>
      </c>
      <c r="H54" s="152">
        <v>1.98</v>
      </c>
      <c r="I54" s="152">
        <v>30</v>
      </c>
      <c r="J54" s="152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120</v>
      </c>
      <c r="F55" s="60">
        <v>0.33</v>
      </c>
      <c r="G55" s="23">
        <f>E55*F55</f>
        <v>39.6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3">
        <v>1001026947371</v>
      </c>
      <c r="E57" s="24"/>
      <c r="F57" s="151">
        <v>0.3</v>
      </c>
      <c r="G57" s="151">
        <f t="shared" si="6"/>
        <v>0</v>
      </c>
      <c r="H57" s="152">
        <v>2.4</v>
      </c>
      <c r="I57" s="152">
        <v>45</v>
      </c>
      <c r="J57" s="152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290</v>
      </c>
      <c r="F58" s="60">
        <v>0.4</v>
      </c>
      <c r="G58" s="23">
        <f t="shared" si="6"/>
        <v>116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420</v>
      </c>
      <c r="F61" s="23">
        <v>0.41</v>
      </c>
      <c r="G61" s="23">
        <f t="shared" si="6"/>
        <v>172.2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295</v>
      </c>
      <c r="F63" s="23">
        <v>0.4</v>
      </c>
      <c r="G63" s="23">
        <f t="shared" si="6"/>
        <v>118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180</v>
      </c>
      <c r="F68" s="23">
        <v>0.3</v>
      </c>
      <c r="G68" s="23">
        <f t="shared" si="6"/>
        <v>54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180</v>
      </c>
      <c r="F69" s="23">
        <v>0.3</v>
      </c>
      <c r="G69" s="23">
        <f t="shared" si="6"/>
        <v>54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3">
        <v>1001027067385</v>
      </c>
      <c r="E71" s="24"/>
      <c r="F71" s="151">
        <v>0.33</v>
      </c>
      <c r="G71" s="151">
        <f t="shared" si="6"/>
        <v>0</v>
      </c>
      <c r="H71" s="152">
        <v>2.64</v>
      </c>
      <c r="I71" s="152">
        <v>45</v>
      </c>
      <c r="J71" s="152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3">
        <v>1001027247460</v>
      </c>
      <c r="E72" s="24"/>
      <c r="F72" s="151">
        <v>0.33</v>
      </c>
      <c r="G72" s="151">
        <f t="shared" si="6"/>
        <v>0</v>
      </c>
      <c r="H72" s="152">
        <v>2.64</v>
      </c>
      <c r="I72" s="152">
        <v>45</v>
      </c>
      <c r="J72" s="152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24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24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120</v>
      </c>
      <c r="F94" s="23">
        <v>0.35</v>
      </c>
      <c r="G94" s="23">
        <f t="shared" si="11"/>
        <v>42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180</v>
      </c>
      <c r="F95" s="23">
        <v>0.35</v>
      </c>
      <c r="G95" s="23">
        <f t="shared" si="11"/>
        <v>62.999999999999993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180</v>
      </c>
      <c r="F97" s="23">
        <v>0.28000000000000003</v>
      </c>
      <c r="G97" s="23">
        <f t="shared" si="11"/>
        <v>50.400000000000006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190</v>
      </c>
      <c r="F98" s="23">
        <v>0.35</v>
      </c>
      <c r="G98" s="23">
        <f t="shared" si="11"/>
        <v>66.5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300</v>
      </c>
      <c r="F100" s="23">
        <v>0.35</v>
      </c>
      <c r="G100" s="23">
        <f t="shared" si="11"/>
        <v>105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24"/>
      <c r="F102" s="151">
        <v>0.28000000000000003</v>
      </c>
      <c r="G102" s="151">
        <f t="shared" si="11"/>
        <v>0</v>
      </c>
      <c r="H102" s="152">
        <v>2.2400000000000002</v>
      </c>
      <c r="I102" s="152">
        <v>45</v>
      </c>
      <c r="J102" s="152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180</v>
      </c>
      <c r="F103" s="23">
        <v>0.28000000000000003</v>
      </c>
      <c r="G103" s="23">
        <f t="shared" si="11"/>
        <v>50.400000000000006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24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90</v>
      </c>
      <c r="F119" s="23">
        <v>0.25</v>
      </c>
      <c r="G119" s="23">
        <f t="shared" si="13"/>
        <v>22.5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120</v>
      </c>
      <c r="F122" s="23">
        <v>0.25</v>
      </c>
      <c r="G122" s="23">
        <f t="shared" si="13"/>
        <v>30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90</v>
      </c>
      <c r="F123" s="23">
        <v>0.25</v>
      </c>
      <c r="G123" s="23">
        <f t="shared" si="13"/>
        <v>22.5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180</v>
      </c>
      <c r="F125" s="23">
        <v>0.25</v>
      </c>
      <c r="G125" s="23">
        <f t="shared" si="13"/>
        <v>45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420</v>
      </c>
      <c r="F126" s="23">
        <v>0.22</v>
      </c>
      <c r="G126" s="23">
        <f t="shared" si="13"/>
        <v>92.4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240</v>
      </c>
      <c r="F130" s="23">
        <v>0.15</v>
      </c>
      <c r="G130" s="23">
        <f t="shared" si="15"/>
        <v>36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400</v>
      </c>
      <c r="F131" s="23">
        <v>0.12</v>
      </c>
      <c r="G131" s="23">
        <f t="shared" si="15"/>
        <v>48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260</v>
      </c>
      <c r="F133" s="23">
        <v>0.1</v>
      </c>
      <c r="G133" s="23">
        <f t="shared" si="15"/>
        <v>26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120</v>
      </c>
      <c r="F134" s="23">
        <v>0.09</v>
      </c>
      <c r="G134" s="23">
        <f t="shared" si="15"/>
        <v>10.799999999999999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220</v>
      </c>
      <c r="F135" s="23">
        <v>0.09</v>
      </c>
      <c r="G135" s="23">
        <f t="shared" si="15"/>
        <v>19.8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24"/>
      <c r="F136" s="151">
        <v>0.1</v>
      </c>
      <c r="G136" s="151">
        <f t="shared" si="15"/>
        <v>0</v>
      </c>
      <c r="H136" s="152">
        <v>1</v>
      </c>
      <c r="I136" s="152">
        <v>60</v>
      </c>
      <c r="J136" s="152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24"/>
      <c r="F137" s="151">
        <v>7.0000000000000007E-2</v>
      </c>
      <c r="G137" s="151">
        <f t="shared" si="15"/>
        <v>0</v>
      </c>
      <c r="H137" s="152">
        <v>0.98</v>
      </c>
      <c r="I137" s="152">
        <v>60</v>
      </c>
      <c r="J137" s="152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24"/>
      <c r="F138" s="151">
        <v>0.1</v>
      </c>
      <c r="G138" s="151">
        <f t="shared" si="15"/>
        <v>0</v>
      </c>
      <c r="H138" s="152">
        <v>1</v>
      </c>
      <c r="I138" s="152">
        <v>60</v>
      </c>
      <c r="J138" s="152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24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120</v>
      </c>
      <c r="F147" s="60">
        <v>0.4</v>
      </c>
      <c r="G147" s="23">
        <f t="shared" ref="G147:G150" si="17">E147*F147</f>
        <v>48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240</v>
      </c>
      <c r="F148" s="60">
        <v>0.4</v>
      </c>
      <c r="G148" s="23">
        <f t="shared" si="17"/>
        <v>96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120</v>
      </c>
      <c r="F151" s="60">
        <v>0.1</v>
      </c>
      <c r="G151" s="23">
        <f>E151*F151</f>
        <v>12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>
        <v>120</v>
      </c>
      <c r="F152" s="60">
        <v>0.1</v>
      </c>
      <c r="G152" s="23">
        <f>E152*F152</f>
        <v>12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24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24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180</v>
      </c>
      <c r="F159" s="23">
        <v>0.3</v>
      </c>
      <c r="G159" s="23">
        <f t="shared" si="18"/>
        <v>54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175</v>
      </c>
      <c r="F160" s="23">
        <v>0.18</v>
      </c>
      <c r="G160" s="23">
        <f t="shared" si="18"/>
        <v>31.5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120</v>
      </c>
      <c r="F163" s="23">
        <v>0.1</v>
      </c>
      <c r="G163" s="23">
        <f t="shared" si="18"/>
        <v>12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120</v>
      </c>
      <c r="F164" s="23">
        <v>0.09</v>
      </c>
      <c r="G164" s="23">
        <f t="shared" si="18"/>
        <v>10.799999999999999</v>
      </c>
      <c r="H164" s="14">
        <v>0.72</v>
      </c>
      <c r="I164" s="14">
        <v>60</v>
      </c>
      <c r="J164" s="29"/>
      <c r="L164" s="122"/>
    </row>
    <row r="165" spans="1:12" ht="16.5" customHeight="1" thickBo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120</v>
      </c>
      <c r="F165" s="23">
        <v>0.15</v>
      </c>
      <c r="G165" s="23">
        <f t="shared" si="18"/>
        <v>18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7710</v>
      </c>
      <c r="F168" s="17"/>
      <c r="G168" s="17">
        <f>SUM(G11:G167)</f>
        <v>2122.0000000000005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2026-09-16T11:24:36Z</dcterms:modified>
</cp:coreProperties>
</file>