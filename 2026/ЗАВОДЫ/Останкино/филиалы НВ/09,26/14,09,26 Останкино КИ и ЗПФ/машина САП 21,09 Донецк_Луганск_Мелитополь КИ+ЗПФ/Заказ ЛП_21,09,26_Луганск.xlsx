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Бланк!$AC$3:$AC$595</definedName>
    <definedName name="номин.вес_нетто__кг">Бланк!$W$3:$W$595</definedName>
    <definedName name="_xlnm._FilterDatabase" localSheetId="0" hidden="1">'Бланк'!$A$9:$J$160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3"/>
  <sheetViews>
    <sheetView tabSelected="1" zoomScale="85" zoomScaleNormal="85" workbookViewId="0">
      <pane ySplit="9" topLeftCell="A160" activePane="bottomLeft" state="frozen"/>
      <selection pane="bottomLeft" activeCell="D4" sqref="D4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4" min="12" max="12"/>
    <col width="8.85546875" customWidth="1" style="124" min="13" max="14"/>
    <col width="8.85546875" customWidth="1" style="124" min="15" max="67"/>
  </cols>
  <sheetData>
    <row r="1" ht="27" customHeight="1" s="124" thickBot="1" thickTop="1">
      <c r="C1" s="1" t="inlineStr">
        <is>
          <t xml:space="preserve">Грузополучатель: </t>
        </is>
      </c>
      <c r="D1" s="127" t="n">
        <v>130438644</v>
      </c>
      <c r="E1" s="138" t="inlineStr">
        <is>
          <t xml:space="preserve">ЛП Луганск </t>
        </is>
      </c>
      <c r="F1" s="139" t="n"/>
      <c r="G1" s="139" t="n"/>
      <c r="H1" s="139" t="n"/>
      <c r="I1" s="139" t="n"/>
      <c r="J1" s="140" t="n"/>
      <c r="K1" t="n">
        <v>130438384</v>
      </c>
      <c r="L1" t="inlineStr">
        <is>
          <t xml:space="preserve">ЛП Донецк (ПРС) - 130438384 </t>
        </is>
      </c>
    </row>
    <row r="2" ht="16.5" customHeight="1" s="124" thickBot="1" thickTop="1">
      <c r="K2" t="n">
        <v>130438644</v>
      </c>
      <c r="L2" t="inlineStr">
        <is>
          <t>ЛП Луганск - 130438644</t>
        </is>
      </c>
    </row>
    <row r="3" ht="19.5" customHeight="1" s="124" thickBot="1" thickTop="1">
      <c r="B3" s="32" t="n"/>
      <c r="C3" s="7" t="inlineStr">
        <is>
          <t xml:space="preserve">Дата отгрузки с ОМПК: </t>
        </is>
      </c>
      <c r="D3" s="142" t="n">
        <v>46286</v>
      </c>
      <c r="E3" s="7" t="inlineStr">
        <is>
          <t xml:space="preserve">Доставка: </t>
        </is>
      </c>
      <c r="F3" s="142">
        <f>D3+3</f>
        <v/>
      </c>
      <c r="G3" s="142" t="inlineStr">
        <is>
          <t>Луганск</t>
        </is>
      </c>
      <c r="H3" s="139" t="n"/>
      <c r="I3" s="139" t="n"/>
      <c r="J3" s="140" t="n"/>
      <c r="K3" t="n">
        <v>130439106</v>
      </c>
      <c r="L3" t="inlineStr">
        <is>
          <t>ЛП Донецк (ОПТЫ (МАЛАХУТИН)) - 130439106</t>
        </is>
      </c>
    </row>
    <row r="4" ht="15.75" customHeight="1" s="124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2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2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37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>
        <v>300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37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>
        <v>180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37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37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24">
      <c r="A15" s="137">
        <f>RIGHT(D15,4)</f>
        <v/>
      </c>
      <c r="B15" s="60" t="inlineStr">
        <is>
          <t>ДОМАШНИЙ РЕЦЕПТ Коровино вар п/о</t>
        </is>
      </c>
      <c r="C15" s="50" t="inlineStr">
        <is>
          <t>КГ</t>
        </is>
      </c>
      <c r="D15" s="63" t="n">
        <v>1001015646861</v>
      </c>
      <c r="E15" s="24" t="n">
        <v>32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24">
      <c r="A16" s="137">
        <f>RIGHT(D16,4)</f>
        <v/>
      </c>
      <c r="B16" s="60" t="inlineStr">
        <is>
          <t>ДОМАШНИЙ РЕЦЕПТ СО ШПИК.Коровино вар п/о</t>
        </is>
      </c>
      <c r="C16" s="50" t="inlineStr">
        <is>
          <t>КГ</t>
        </is>
      </c>
      <c r="D16" s="63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24">
      <c r="A17" s="137">
        <f>RIGHT(D17,4)</f>
        <v/>
      </c>
      <c r="B17" s="60" t="inlineStr">
        <is>
          <t>МОЛОЧНАЯ Папа может вар п/о</t>
        </is>
      </c>
      <c r="C17" s="50" t="inlineStr">
        <is>
          <t>КГ</t>
        </is>
      </c>
      <c r="D17" s="63" t="n">
        <v>1001012456498</v>
      </c>
      <c r="E17" s="24" t="n">
        <v>250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24">
      <c r="A18" s="137">
        <f>RIGHT(D18,4)</f>
        <v/>
      </c>
      <c r="B18" s="60" t="inlineStr">
        <is>
          <t>МЯСНАЯ Папа может вар п/о</t>
        </is>
      </c>
      <c r="C18" s="50" t="inlineStr">
        <is>
          <t>КГ</t>
        </is>
      </c>
      <c r="D18" s="63" t="n">
        <v>1001012484063</v>
      </c>
      <c r="E18" s="24" t="n">
        <v>1023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24">
      <c r="A19" s="137">
        <f>RIGHT(D19,4)</f>
        <v/>
      </c>
      <c r="B19" s="60" t="inlineStr">
        <is>
          <t>МЯСНАЯ Папа может вар п/о 0.4кг 8шт.</t>
        </is>
      </c>
      <c r="C19" s="50" t="inlineStr">
        <is>
          <t>ШТ</t>
        </is>
      </c>
      <c r="D19" s="63" t="n">
        <v>1001012486333</v>
      </c>
      <c r="E19" s="24" t="n">
        <v>900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24">
      <c r="A20" s="137">
        <f>RIGHT(D20,4)</f>
        <v/>
      </c>
      <c r="B20" s="60" t="inlineStr">
        <is>
          <t>МЯСНАЯ СО ШПИКОМ Папа может вар п/о</t>
        </is>
      </c>
      <c r="C20" s="50" t="inlineStr">
        <is>
          <t>КГ</t>
        </is>
      </c>
      <c r="D20" s="63" t="n">
        <v>1001012634574</v>
      </c>
      <c r="E20" s="24" t="n">
        <v>450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24">
      <c r="A21" s="137">
        <f>RIGHT(D21,4)</f>
        <v/>
      </c>
      <c r="B21" s="60" t="inlineStr">
        <is>
          <t>МЯСНАЯ СО ШПИКОМ ПМ вар п/о 0.4кг 8шт.</t>
        </is>
      </c>
      <c r="C21" s="50" t="inlineStr">
        <is>
          <t>ШТ</t>
        </is>
      </c>
      <c r="D21" s="63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24">
      <c r="A22" s="137">
        <f>RIGHT(D22,4)</f>
        <v/>
      </c>
      <c r="B22" s="60" t="inlineStr">
        <is>
          <t>ФИЛЕЙНАЯ Папа может вар п/о</t>
        </is>
      </c>
      <c r="C22" s="50" t="inlineStr">
        <is>
          <t>КГ</t>
        </is>
      </c>
      <c r="D22" s="63" t="n">
        <v>1001012564813</v>
      </c>
      <c r="E22" s="24" t="n">
        <v>600</v>
      </c>
      <c r="F22" s="128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24">
      <c r="A23" s="137">
        <f>RIGHT(D23,4)</f>
        <v/>
      </c>
      <c r="B23" s="60" t="inlineStr">
        <is>
          <t>ФИЛЕЙНАЯ Папа может вар п/о 0.4кг</t>
        </is>
      </c>
      <c r="C23" s="50" t="inlineStr">
        <is>
          <t>ШТ</t>
        </is>
      </c>
      <c r="D23" s="63" t="n">
        <v>1001012566392</v>
      </c>
      <c r="E23" s="24" t="n">
        <v>800</v>
      </c>
      <c r="F23" s="128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24">
      <c r="A24" s="137">
        <f>RIGHT(D24,4)</f>
        <v/>
      </c>
      <c r="B24" s="60" t="inlineStr">
        <is>
          <t>ЭКСТРА Папа может вар п/о</t>
        </is>
      </c>
      <c r="C24" s="50" t="inlineStr">
        <is>
          <t>КГ</t>
        </is>
      </c>
      <c r="D24" s="63" t="n">
        <v>1001012505851</v>
      </c>
      <c r="E24" s="24" t="n">
        <v>650</v>
      </c>
      <c r="F24" s="128" t="n">
        <v>1.35</v>
      </c>
      <c r="G24" s="23">
        <f>E24</f>
        <v/>
      </c>
      <c r="H24" s="29" t="n">
        <v>4.05</v>
      </c>
      <c r="I24" s="29" t="n">
        <v>60</v>
      </c>
      <c r="J24" s="29" t="n"/>
      <c r="K24" s="27" t="n"/>
    </row>
    <row r="25" ht="16.5" customHeight="1" s="124">
      <c r="A25" s="137">
        <f>RIGHT(D25,4)</f>
        <v/>
      </c>
      <c r="B25" s="60" t="inlineStr">
        <is>
          <t>ЭКСТРА Папа может вар п/о 0.4кг 8шт_195к</t>
        </is>
      </c>
      <c r="C25" s="50" t="inlineStr">
        <is>
          <t>ШТ</t>
        </is>
      </c>
      <c r="D25" s="63" t="n">
        <v>1001012507632</v>
      </c>
      <c r="E25" s="24" t="n">
        <v>220</v>
      </c>
      <c r="F25" s="128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24">
      <c r="A26" s="137">
        <f>RIGHT(D26,4)</f>
        <v/>
      </c>
      <c r="B26" s="60" t="inlineStr">
        <is>
          <t>ДОКТОРСКАЯ ГОСТ Папа может вар п/о</t>
        </is>
      </c>
      <c r="C26" s="50" t="inlineStr">
        <is>
          <t>КГ</t>
        </is>
      </c>
      <c r="D26" s="63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24">
      <c r="A27" s="137">
        <f>RIGHT(D27,4)</f>
        <v/>
      </c>
      <c r="B27" s="60" t="inlineStr">
        <is>
          <t>ДОКТОРСКАЯ ПРЕМИУМ вар п/о 0.4кг 8шт.</t>
        </is>
      </c>
      <c r="C27" s="50" t="inlineStr">
        <is>
          <t>ШТ</t>
        </is>
      </c>
      <c r="D27" s="63" t="n">
        <v>1001010106325</v>
      </c>
      <c r="E27" s="24" t="n">
        <v>600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24">
      <c r="A28" s="137">
        <f>RIGHT(D28,4)</f>
        <v/>
      </c>
      <c r="B28" s="60" t="inlineStr">
        <is>
          <t>ДОКТОРСКАЯ ПРЕМИУМ п/о(п)</t>
        </is>
      </c>
      <c r="C28" s="50" t="inlineStr">
        <is>
          <t>КГ</t>
        </is>
      </c>
      <c r="D28" s="63" t="n">
        <v>1001010108014</v>
      </c>
      <c r="E28" s="24" t="n">
        <v>50</v>
      </c>
      <c r="F28" s="128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24">
      <c r="A29" s="137">
        <f>RIGHT(D29,4)</f>
        <v/>
      </c>
      <c r="B29" s="60" t="inlineStr">
        <is>
          <t>ЛЮБИТЕЛЬСКАЯ ОСТАНКИНСКАЯ вар ц/о в/у</t>
        </is>
      </c>
      <c r="C29" s="50" t="inlineStr">
        <is>
          <t>КГ</t>
        </is>
      </c>
      <c r="D29" s="63" t="n">
        <v>1001017557514</v>
      </c>
      <c r="E29" s="24" t="n"/>
      <c r="F29" s="128" t="n"/>
      <c r="G29" s="23">
        <f>E29</f>
        <v/>
      </c>
      <c r="H29" s="29" t="n"/>
      <c r="I29" s="29" t="n"/>
      <c r="J29" s="29" t="n"/>
      <c r="K29" s="27" t="n"/>
    </row>
    <row r="30" ht="16.5" customHeight="1" s="124">
      <c r="A30" s="137">
        <f>RIGHT(D30,4)</f>
        <v/>
      </c>
      <c r="B30" s="60" t="inlineStr">
        <is>
          <t>ТЕЛЯЧЬЯ ГОСТ Останкино вар н/о в/у</t>
        </is>
      </c>
      <c r="C30" s="50" t="inlineStr">
        <is>
          <t>КГ</t>
        </is>
      </c>
      <c r="D30" s="63" t="n">
        <v>1001017567518</v>
      </c>
      <c r="E30" s="24" t="n"/>
      <c r="F30" s="128" t="n"/>
      <c r="G30" s="23">
        <f>E30</f>
        <v/>
      </c>
      <c r="H30" s="29" t="n"/>
      <c r="I30" s="29" t="n"/>
      <c r="J30" s="29" t="n"/>
      <c r="K30" s="27" t="n"/>
    </row>
    <row r="31" ht="16.5" customHeight="1" s="124">
      <c r="A31" s="137">
        <f>RIGHT(D31,4)</f>
        <v/>
      </c>
      <c r="B31" s="60" t="inlineStr">
        <is>
          <t>СЕЙЧАС СЕЗОН ПМ вар п/о 0.4кг</t>
        </is>
      </c>
      <c r="C31" s="50" t="inlineStr">
        <is>
          <t>ШТ</t>
        </is>
      </c>
      <c r="D31" s="63" t="n">
        <v>1001016747343</v>
      </c>
      <c r="E31" s="24" t="n"/>
      <c r="F31" s="128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24">
      <c r="A32" s="137">
        <f>RIGHT(D32,4)</f>
        <v/>
      </c>
      <c r="B32" s="60" t="inlineStr">
        <is>
          <t>С ИНДЕЙКОЙ Папа может вар п/о 0.4кг 8шт.</t>
        </is>
      </c>
      <c r="C32" s="50" t="inlineStr">
        <is>
          <t>ШТ</t>
        </is>
      </c>
      <c r="D32" s="63" t="n">
        <v>1001015026797</v>
      </c>
      <c r="E32" s="24" t="n">
        <v>50</v>
      </c>
      <c r="F32" s="128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24" thickBot="1">
      <c r="A33" s="137">
        <f>RIGHT(D33,4)</f>
        <v/>
      </c>
      <c r="B33" s="60" t="inlineStr">
        <is>
          <t>КЛАССИЧЕСКАЯ ПМ вар п/о 0.3кг 8шт_209к</t>
        </is>
      </c>
      <c r="C33" s="50" t="inlineStr">
        <is>
          <t>ШТ</t>
        </is>
      </c>
      <c r="D33" s="63" t="n">
        <v>1001013957231</v>
      </c>
      <c r="E33" s="24" t="n">
        <v>230</v>
      </c>
      <c r="F33" s="128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2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24" thickTop="1">
      <c r="A35" s="137">
        <f>RIGHT(D35,4)</f>
        <v/>
      </c>
      <c r="B35" s="60" t="inlineStr">
        <is>
          <t>БАВАРСКИЕ ПМ сос ц/о мгс 0.35кг 8шт.</t>
        </is>
      </c>
      <c r="C35" s="50" t="inlineStr">
        <is>
          <t>ШТ</t>
        </is>
      </c>
      <c r="D35" s="63" t="n">
        <v>1001021966602</v>
      </c>
      <c r="E35" s="24" t="n">
        <v>700</v>
      </c>
      <c r="F35" s="128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24">
      <c r="A36" s="137">
        <f>RIGHT(D36,4)</f>
        <v/>
      </c>
      <c r="B36" s="60" t="inlineStr">
        <is>
          <t>ДЛЯ ДЕТЕЙ Папа может сос п/о мгс 0.264кг</t>
        </is>
      </c>
      <c r="C36" s="50" t="inlineStr">
        <is>
          <t>ШТ</t>
        </is>
      </c>
      <c r="D36" s="63" t="n">
        <v>1001025767601</v>
      </c>
      <c r="E36" s="24" t="n"/>
      <c r="F36" s="128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24">
      <c r="A37" s="137">
        <f>RIGHT(D37,4)</f>
        <v/>
      </c>
      <c r="B37" s="60" t="inlineStr">
        <is>
          <t>ДЛЯ ДЕТЕЙ Папа может сос п/о мгс 0.33кг</t>
        </is>
      </c>
      <c r="C37" s="50" t="inlineStr">
        <is>
          <t>ШТ</t>
        </is>
      </c>
      <c r="D37" s="63" t="n">
        <v>1001025767461</v>
      </c>
      <c r="E37" s="24" t="n">
        <v>80</v>
      </c>
      <c r="F37" s="128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24">
      <c r="A38" s="137">
        <f>RIGHT(D38,4)</f>
        <v/>
      </c>
      <c r="B38" s="60" t="inlineStr">
        <is>
          <t>С ИНДЕЙКОЙ ПМ сос ц/о в/у 1/270 8шт.</t>
        </is>
      </c>
      <c r="C38" s="50" t="inlineStr">
        <is>
          <t>ШТ</t>
        </is>
      </c>
      <c r="D38" s="63" t="n">
        <v>1001025027040</v>
      </c>
      <c r="E38" s="24" t="n">
        <v>92</v>
      </c>
      <c r="F38" s="128" t="n">
        <v>0.27</v>
      </c>
      <c r="G38" s="23">
        <f>E38*F38</f>
        <v/>
      </c>
      <c r="H38" s="29" t="n"/>
      <c r="I38" s="29" t="n"/>
      <c r="J38" s="125" t="inlineStr">
        <is>
          <t>Новинка</t>
        </is>
      </c>
      <c r="K38" s="27" t="n"/>
    </row>
    <row r="39" ht="16.5" customHeight="1" s="124">
      <c r="A39" s="137">
        <f>RIGHT(D39,4)</f>
        <v/>
      </c>
      <c r="B39" s="60" t="inlineStr">
        <is>
          <t>МОЛОЧНЫЕ ГОСТ сос ц/о мгс 0.4кг 7шт.</t>
        </is>
      </c>
      <c r="C39" s="50" t="inlineStr">
        <is>
          <t>ШТ</t>
        </is>
      </c>
      <c r="D39" s="63" t="n">
        <v>1001020836759</v>
      </c>
      <c r="E39" s="24" t="n"/>
      <c r="F39" s="128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24">
      <c r="A40" s="137">
        <f>RIGHT(D40,4)</f>
        <v/>
      </c>
      <c r="B40" s="60" t="inlineStr">
        <is>
          <t>МОЛОЧНЫЕ ГОСТ сос ц/о мгс 1*4</t>
        </is>
      </c>
      <c r="C40" s="50" t="inlineStr">
        <is>
          <t>КГ</t>
        </is>
      </c>
      <c r="D40" s="63" t="n">
        <v>1001020836761</v>
      </c>
      <c r="E40" s="24" t="n"/>
      <c r="F40" s="128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24">
      <c r="A41" s="137">
        <f>RIGHT(D41,4)</f>
        <v/>
      </c>
      <c r="B41" s="60" t="inlineStr">
        <is>
          <t>МОЛОЧНЫЕ КЛАССИЧЕСКИЕ сос п/о мгс 2*4_С</t>
        </is>
      </c>
      <c r="C41" s="50" t="inlineStr">
        <is>
          <t>КГ</t>
        </is>
      </c>
      <c r="D41" s="63" t="n">
        <v>1001024976829</v>
      </c>
      <c r="E41" s="24" t="n">
        <v>400</v>
      </c>
      <c r="F41" s="128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24">
      <c r="A42" s="137">
        <f>RIGHT(D42,4)</f>
        <v/>
      </c>
      <c r="B42" s="60" t="inlineStr">
        <is>
          <t>МОЛОЧНЫЕ КЛАССИЧЕСКИЕ сос п/о в/у 0.3кг</t>
        </is>
      </c>
      <c r="C42" s="50" t="inlineStr">
        <is>
          <t>ШТ</t>
        </is>
      </c>
      <c r="D42" s="63" t="n">
        <v>1001024976616</v>
      </c>
      <c r="E42" s="24" t="n">
        <v>650</v>
      </c>
      <c r="F42" s="128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24">
      <c r="A43" s="137">
        <f>RIGHT(D43,4)</f>
        <v/>
      </c>
      <c r="B43" s="60" t="inlineStr">
        <is>
          <t>МОЛОЧ.ПРЕМИУМ ПМ сос п/о мгс 1.5*4_О_50с</t>
        </is>
      </c>
      <c r="C43" s="50" t="inlineStr">
        <is>
          <t>КГ</t>
        </is>
      </c>
      <c r="D43" s="63" t="n">
        <v>1001022657075</v>
      </c>
      <c r="E43" s="24" t="n">
        <v>230</v>
      </c>
      <c r="F43" s="128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24">
      <c r="A44" s="137">
        <f>RIGHT(D44,4)</f>
        <v/>
      </c>
      <c r="B44" s="60" t="inlineStr">
        <is>
          <t>МОЛОЧ.ПРЕМИУМ ПМ сос п/о мгс 0.6кг_50с</t>
        </is>
      </c>
      <c r="C44" s="50" t="inlineStr">
        <is>
          <t>ШТ</t>
        </is>
      </c>
      <c r="D44" s="63" t="n">
        <v>1001022657074</v>
      </c>
      <c r="E44" s="24" t="n"/>
      <c r="F44" s="128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24">
      <c r="A45" s="137">
        <f>RIGHT(D45,4)</f>
        <v/>
      </c>
      <c r="B45" s="60" t="inlineStr">
        <is>
          <t>МОЛОЧ.ПРЕМИУМ ПМ сос п/о в/у 1/350_50с</t>
        </is>
      </c>
      <c r="C45" s="50" t="inlineStr">
        <is>
          <t>ШТ</t>
        </is>
      </c>
      <c r="D45" s="63" t="n">
        <v>1001022657073</v>
      </c>
      <c r="E45" s="24" t="n"/>
      <c r="F45" s="128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24">
      <c r="A46" s="137">
        <f>RIGHT(D46,4)</f>
        <v/>
      </c>
      <c r="B46" s="60" t="inlineStr">
        <is>
          <t>МОЛОЧНЫЕ ПМ сос п/о мгс 0.41кг 10шт.</t>
        </is>
      </c>
      <c r="C46" s="50" t="inlineStr">
        <is>
          <t>ШТ</t>
        </is>
      </c>
      <c r="D46" s="63" t="n">
        <v>1001020836724</v>
      </c>
      <c r="E46" s="24" t="n">
        <v>340</v>
      </c>
      <c r="F46" s="128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24">
      <c r="A47" s="137">
        <f>RIGHT(D47,4)</f>
        <v/>
      </c>
      <c r="B47" s="60" t="inlineStr">
        <is>
          <t>МЯСНЫЕ Папа может сос п/о в/у 0.4кг_45с</t>
        </is>
      </c>
      <c r="C47" s="50" t="inlineStr">
        <is>
          <t>ШТ</t>
        </is>
      </c>
      <c r="D47" s="63" t="n">
        <v>1001022725819</v>
      </c>
      <c r="E47" s="24" t="n">
        <v>90</v>
      </c>
      <c r="F47" s="128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24">
      <c r="A48" s="137">
        <f>RIGHT(D48,4)</f>
        <v/>
      </c>
      <c r="B48" s="60" t="inlineStr">
        <is>
          <t>МЯСНЫЕ Папа может сос п/о мгс 1.5*3</t>
        </is>
      </c>
      <c r="C48" s="50" t="inlineStr">
        <is>
          <t>КГ</t>
        </is>
      </c>
      <c r="D48" s="63" t="n">
        <v>1001022726303</v>
      </c>
      <c r="E48" s="24" t="n">
        <v>347</v>
      </c>
      <c r="F48" s="128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24">
      <c r="A49" s="137">
        <f>RIGHT(D49,4)</f>
        <v/>
      </c>
      <c r="B49" s="60" t="inlineStr">
        <is>
          <t>МЯСНЫЕ С ГОВЯД.ПМ сос п/о мгс 0.4кг 6шт.</t>
        </is>
      </c>
      <c r="C49" s="50" t="inlineStr">
        <is>
          <t>ШТ</t>
        </is>
      </c>
      <c r="D49" s="63" t="n">
        <v>1001025507255</v>
      </c>
      <c r="E49" s="24" t="n">
        <v>400</v>
      </c>
      <c r="F49" s="128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24">
      <c r="A50" s="137">
        <f>RIGHT(D50,4)</f>
        <v/>
      </c>
      <c r="B50" s="60" t="inlineStr">
        <is>
          <t>МЯСНЫЕ С ГОВЯДИНОЙ ПМ сос п/о мгс 1.5*4</t>
        </is>
      </c>
      <c r="C50" s="50" t="inlineStr">
        <is>
          <t>КГ</t>
        </is>
      </c>
      <c r="D50" s="63" t="n">
        <v>1001025507271</v>
      </c>
      <c r="E50" s="24" t="n"/>
      <c r="F50" s="128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24">
      <c r="A51" s="137">
        <f>RIGHT(D51,4)</f>
        <v/>
      </c>
      <c r="B51" s="60" t="inlineStr">
        <is>
          <t>РУБЛЕНЫЕ сос ц/о мгс 0.36кг 6шт.</t>
        </is>
      </c>
      <c r="C51" s="50" t="inlineStr">
        <is>
          <t>ШТ</t>
        </is>
      </c>
      <c r="D51" s="63" t="n">
        <v>1001023696765</v>
      </c>
      <c r="E51" s="24" t="n">
        <v>12</v>
      </c>
      <c r="F51" s="128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24">
      <c r="A52" s="137">
        <f>RIGHT(D52,4)</f>
        <v/>
      </c>
      <c r="B52" s="60" t="inlineStr">
        <is>
          <t>РУБЛЕНЫЕ сос ц/о мгс 1*4</t>
        </is>
      </c>
      <c r="C52" s="50" t="inlineStr">
        <is>
          <t>КГ</t>
        </is>
      </c>
      <c r="D52" s="63" t="n">
        <v>1001023696767</v>
      </c>
      <c r="E52" s="24" t="n"/>
      <c r="F52" s="128" t="n">
        <v>1.04</v>
      </c>
      <c r="G52" s="23">
        <f>E52</f>
        <v/>
      </c>
      <c r="H52" s="29" t="n">
        <v>4.16</v>
      </c>
      <c r="I52" s="29" t="n">
        <v>45</v>
      </c>
      <c r="J52" s="29" t="n"/>
      <c r="K52" s="27" t="n"/>
    </row>
    <row r="53" ht="16.5" customHeight="1" s="124">
      <c r="A53" s="137">
        <f>RIGHT(D53,4)</f>
        <v/>
      </c>
      <c r="B53" s="60" t="inlineStr">
        <is>
          <t>С СЫРОМ Папа может сос ц/о мгс 0.4кг 6шт</t>
        </is>
      </c>
      <c r="C53" s="50" t="inlineStr">
        <is>
          <t>ШТ</t>
        </is>
      </c>
      <c r="D53" s="63" t="n">
        <v>1001025176475</v>
      </c>
      <c r="E53" s="24" t="n"/>
      <c r="F53" s="128" t="n">
        <v>0.4</v>
      </c>
      <c r="G53" s="23">
        <f>E53*F53</f>
        <v/>
      </c>
      <c r="H53" s="29" t="n">
        <v>2.4</v>
      </c>
      <c r="I53" s="29" t="n">
        <v>45</v>
      </c>
      <c r="J53" s="29" t="n"/>
      <c r="K53" s="27" t="n"/>
    </row>
    <row r="54" ht="16.5" customHeight="1" s="124">
      <c r="A54" s="137">
        <f>RIGHT(D54,4)</f>
        <v/>
      </c>
      <c r="B54" s="60" t="inlineStr">
        <is>
          <t>СЛИВОЧНЫЕ ПМ сос п/о мгс 1.5*4_А_50с</t>
        </is>
      </c>
      <c r="C54" s="50" t="inlineStr">
        <is>
          <t>КГ</t>
        </is>
      </c>
      <c r="D54" s="63" t="n">
        <v>1001022467083</v>
      </c>
      <c r="E54" s="24" t="n"/>
      <c r="F54" s="128" t="n">
        <v>1.5</v>
      </c>
      <c r="G54" s="23">
        <f>E54</f>
        <v/>
      </c>
      <c r="H54" s="29" t="n">
        <v>6</v>
      </c>
      <c r="I54" s="29" t="n">
        <v>50</v>
      </c>
      <c r="J54" s="29" t="n"/>
      <c r="K54" s="27" t="n"/>
    </row>
    <row r="55" ht="16.5" customHeight="1" s="124">
      <c r="A55" s="137">
        <f>RIGHT(D55,4)</f>
        <v/>
      </c>
      <c r="B55" s="60" t="inlineStr">
        <is>
          <t>СЛИВОЧНЫЕ ПМ сос п/о мгс 0.41кг 10шт_50с</t>
        </is>
      </c>
      <c r="C55" s="50" t="inlineStr">
        <is>
          <t>ШТ</t>
        </is>
      </c>
      <c r="D55" s="63" t="n">
        <v>1001022467080</v>
      </c>
      <c r="E55" s="24" t="n">
        <v>900</v>
      </c>
      <c r="F55" s="128" t="n">
        <v>0.41</v>
      </c>
      <c r="G55" s="23">
        <f>E55*F55</f>
        <v/>
      </c>
      <c r="H55" s="29" t="n">
        <v>4.1</v>
      </c>
      <c r="I55" s="29" t="n">
        <v>50</v>
      </c>
      <c r="J55" s="29" t="n"/>
      <c r="K55" s="27" t="n"/>
    </row>
    <row r="56" ht="16.5" customHeight="1" s="124">
      <c r="A56" s="137">
        <f>RIGHT(D56,4)</f>
        <v/>
      </c>
      <c r="B56" s="60" t="inlineStr">
        <is>
          <t>СЛИВОЧНЫЕ ПМ сос п/о мгс 0.3кг 7шт.</t>
        </is>
      </c>
      <c r="C56" s="50" t="inlineStr">
        <is>
          <t>ШТ</t>
        </is>
      </c>
      <c r="D56" s="63" t="n">
        <v>1001022467276</v>
      </c>
      <c r="E56" s="24" t="n"/>
      <c r="F56" s="128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24">
      <c r="A57" s="137">
        <f>RIGHT(D57,4)</f>
        <v/>
      </c>
      <c r="B57" s="60" t="inlineStr">
        <is>
          <t>СЛИВОЧНЫЕ сос ц/о мгс 0.41кг 8шт.</t>
        </is>
      </c>
      <c r="C57" s="50" t="inlineStr">
        <is>
          <t>ШТ</t>
        </is>
      </c>
      <c r="D57" s="63" t="n">
        <v>1001020846762</v>
      </c>
      <c r="E57" s="24" t="n"/>
      <c r="F57" s="128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24">
      <c r="A58" s="137">
        <f>RIGHT(D58,4)</f>
        <v/>
      </c>
      <c r="B58" s="60" t="inlineStr">
        <is>
          <t>СЛИВОЧНЫЕ сос ц/о мгс 1*4</t>
        </is>
      </c>
      <c r="C58" s="50" t="inlineStr">
        <is>
          <t>КГ</t>
        </is>
      </c>
      <c r="D58" s="63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24">
      <c r="A59" s="137">
        <f>RIGHT(D59,4)</f>
        <v/>
      </c>
      <c r="B59" s="60" t="inlineStr">
        <is>
          <t>СОЧНЫЕ ПМ сос п/о мгс 0.41кг 10шт_50с</t>
        </is>
      </c>
      <c r="C59" s="50" t="inlineStr">
        <is>
          <t>ШТ</t>
        </is>
      </c>
      <c r="D59" s="63" t="n">
        <v>1001022377066</v>
      </c>
      <c r="E59" s="24" t="n">
        <v>850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24">
      <c r="A60" s="137">
        <f>RIGHT(D60,4)</f>
        <v/>
      </c>
      <c r="B60" s="60" t="inlineStr">
        <is>
          <t>СОЧНЫЕ ПМ сос п/о мгс 1.5*4_А_50с</t>
        </is>
      </c>
      <c r="C60" s="50" t="inlineStr">
        <is>
          <t>КГ</t>
        </is>
      </c>
      <c r="D60" s="63" t="n">
        <v>1001022377070</v>
      </c>
      <c r="E60" s="24" t="n">
        <v>979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24">
      <c r="A61" s="137">
        <f>RIGHT(D61,4)</f>
        <v/>
      </c>
      <c r="B61" s="60" t="inlineStr">
        <is>
          <t>СОЧНЫЙ ГРИЛЬ ПМ сос п/о мгс 0.41кг 8шт.</t>
        </is>
      </c>
      <c r="C61" s="50" t="inlineStr">
        <is>
          <t>ШТ</t>
        </is>
      </c>
      <c r="D61" s="63" t="n">
        <v>1001022246713</v>
      </c>
      <c r="E61" s="24" t="n">
        <v>383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24">
      <c r="A62" s="137">
        <f>RIGHT(D62,4)</f>
        <v/>
      </c>
      <c r="B62" s="60" t="inlineStr">
        <is>
          <t>СОЧНЫЙ ГРИЛЬ ПМ сос п/о мгс 1.5*4_Маяк</t>
        </is>
      </c>
      <c r="C62" s="50" t="inlineStr">
        <is>
          <t>КГ</t>
        </is>
      </c>
      <c r="D62" s="63" t="n">
        <v>1001022246661</v>
      </c>
      <c r="E62" s="24" t="n">
        <v>650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24">
      <c r="A63" s="137">
        <f>RIGHT(D63,4)</f>
        <v/>
      </c>
      <c r="B63" s="60" t="inlineStr">
        <is>
          <t>ФИЛЕЙНЫЕ Папа может сос ц/о мгс 1.5*2</t>
        </is>
      </c>
      <c r="C63" s="50" t="inlineStr">
        <is>
          <t>КГ</t>
        </is>
      </c>
      <c r="D63" s="63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24">
      <c r="A64" s="137">
        <f>RIGHT(D64,4)</f>
        <v/>
      </c>
      <c r="B64" s="60" t="inlineStr">
        <is>
          <t>ФИЛЕЙНЫЕ Папа Может сос ц/о мгс 0.4кг</t>
        </is>
      </c>
      <c r="C64" s="50" t="inlineStr">
        <is>
          <t>ШТ</t>
        </is>
      </c>
      <c r="D64" s="63" t="n">
        <v>1001022556837</v>
      </c>
      <c r="E64" s="24" t="n">
        <v>70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24" thickBot="1">
      <c r="A65" s="137">
        <f>RIGHT(D65,4)</f>
        <v/>
      </c>
      <c r="B65" s="60" t="inlineStr">
        <is>
          <t>ХОТ-ДОГ Папа может сос б/о в/у 1/320 8шт</t>
        </is>
      </c>
      <c r="C65" s="50" t="inlineStr">
        <is>
          <t>ШТ</t>
        </is>
      </c>
      <c r="D65" s="63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2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24" thickTop="1">
      <c r="A67" s="137">
        <f>RIGHT(D67,4)</f>
        <v/>
      </c>
      <c r="B67" s="129" t="inlineStr">
        <is>
          <t>МЯСНЫЕ Папа может сар б/о мгс 1*3_О_45с</t>
        </is>
      </c>
      <c r="C67" s="130" t="inlineStr">
        <is>
          <t>КГ</t>
        </is>
      </c>
      <c r="D67" s="63" t="n">
        <v>1001032736550</v>
      </c>
      <c r="E67" s="24" t="n">
        <v>200</v>
      </c>
      <c r="F67" s="128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24">
      <c r="A68" s="137">
        <f>RIGHT(D68,4)</f>
        <v/>
      </c>
      <c r="B68" s="129" t="inlineStr">
        <is>
          <t>С ГОВЯДИНОЙ ОРИГИН. сар б/о мгс 1*3_45с</t>
        </is>
      </c>
      <c r="C68" s="50" t="inlineStr">
        <is>
          <t>КГ</t>
        </is>
      </c>
      <c r="D68" s="63" t="n">
        <v>1001033856608</v>
      </c>
      <c r="E68" s="24" t="n">
        <v>250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4">
      <c r="A69" s="137">
        <f>RIGHT(D69,4)</f>
        <v/>
      </c>
      <c r="B69" s="129" t="inlineStr">
        <is>
          <t>КЛАССИЧЕСКИЕ Папа может сар б/о мгс 1*3</t>
        </is>
      </c>
      <c r="C69" s="50" t="inlineStr">
        <is>
          <t>КГ</t>
        </is>
      </c>
      <c r="D69" s="63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24">
      <c r="A70" s="137">
        <f>RIGHT(D70,4)</f>
        <v/>
      </c>
      <c r="B70" s="129" t="inlineStr">
        <is>
          <t>ШПИКАЧКИ СОЧНЫЕ ПМ сар б/о мгс 1*3_45с</t>
        </is>
      </c>
      <c r="C70" s="50" t="inlineStr">
        <is>
          <t>КГ</t>
        </is>
      </c>
      <c r="D70" s="63" t="n">
        <v>1001031076527</v>
      </c>
      <c r="E70" s="24" t="n">
        <v>40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24">
      <c r="A71" s="137">
        <f>RIGHT(D71,4)</f>
        <v/>
      </c>
      <c r="B71" s="129" t="inlineStr">
        <is>
          <t>С ГОВЯДИНОЙ ПМ сар б/о мгс 0.4кг_45с</t>
        </is>
      </c>
      <c r="C71" s="50" t="inlineStr">
        <is>
          <t>ШТ</t>
        </is>
      </c>
      <c r="D71" s="63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24" thickBot="1">
      <c r="A72" s="137">
        <f>RIGHT(D72,4)</f>
        <v/>
      </c>
      <c r="B72" s="129" t="inlineStr">
        <is>
          <t>ШПИКАЧКИ СОЧНЫЕ С БЕК. п/о мгс 0.3кг_60с</t>
        </is>
      </c>
      <c r="C72" s="50" t="inlineStr">
        <is>
          <t>ШТ</t>
        </is>
      </c>
      <c r="D72" s="63" t="n">
        <v>1001035277059</v>
      </c>
      <c r="E72" s="24" t="n">
        <v>450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2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24" thickTop="1">
      <c r="A74" s="137">
        <f>RIGHT(D74,4)</f>
        <v/>
      </c>
      <c r="B74" s="60" t="inlineStr">
        <is>
          <t>БАЛЫКОВАЯ Останкино в/к в/у</t>
        </is>
      </c>
      <c r="C74" s="50" t="inlineStr">
        <is>
          <t>КГ</t>
        </is>
      </c>
      <c r="D74" s="63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24">
      <c r="A75" s="137">
        <f>RIGHT(D75,4)</f>
        <v/>
      </c>
      <c r="B75" s="60" t="inlineStr">
        <is>
          <t>БАЛЫКОВАЯ Останкино в/к в/у 0.33кг 8шт.</t>
        </is>
      </c>
      <c r="C75" s="50" t="inlineStr">
        <is>
          <t>ШТ</t>
        </is>
      </c>
      <c r="D75" s="63" t="n">
        <v>1001303637603</v>
      </c>
      <c r="E75" s="24" t="n"/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24">
      <c r="A76" s="137">
        <f>RIGHT(D76,4)</f>
        <v/>
      </c>
      <c r="B76" s="60" t="inlineStr">
        <is>
          <t>БАЛЫКОВАЯ Коровино п/к в/у 0.84кг_50с</t>
        </is>
      </c>
      <c r="C76" s="50" t="inlineStr">
        <is>
          <t>ШТ</t>
        </is>
      </c>
      <c r="D76" s="63" t="n">
        <v>1001303637149</v>
      </c>
      <c r="E76" s="24" t="n">
        <v>70</v>
      </c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24">
      <c r="A77" s="137">
        <f>RIGHT(D77,4)</f>
        <v/>
      </c>
      <c r="B77" s="60" t="inlineStr">
        <is>
          <t>БАЛЫКОВАЯ ПМ п/к в/у 0.31кг 8шт_209к</t>
        </is>
      </c>
      <c r="C77" s="50" t="inlineStr">
        <is>
          <t>ШТ</t>
        </is>
      </c>
      <c r="D77" s="63" t="n">
        <v>1001303637233</v>
      </c>
      <c r="E77" s="24" t="n"/>
      <c r="F77" s="128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24">
      <c r="A78" s="137">
        <f>RIGHT(D78,4)</f>
        <v/>
      </c>
      <c r="B78" s="60" t="inlineStr">
        <is>
          <t>БОЯNСКАЯ ПМ п/к в/у 0.28кг 8шт_209к</t>
        </is>
      </c>
      <c r="C78" s="50" t="inlineStr">
        <is>
          <t>ШТ</t>
        </is>
      </c>
      <c r="D78" s="63" t="n">
        <v>1001302277232</v>
      </c>
      <c r="E78" s="24" t="n">
        <v>250</v>
      </c>
      <c r="F78" s="128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24">
      <c r="A79" s="137">
        <f>RIGHT(D79,4)</f>
        <v/>
      </c>
      <c r="B79" s="60" t="inlineStr">
        <is>
          <t>САЛЯМИ Папа может п/к в/у 0.28кг_209к</t>
        </is>
      </c>
      <c r="C79" s="50" t="inlineStr">
        <is>
          <t>ШТ</t>
        </is>
      </c>
      <c r="D79" s="63" t="n">
        <v>1001303107241</v>
      </c>
      <c r="E79" s="24" t="n">
        <v>1060</v>
      </c>
      <c r="F79" s="128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6.5" customHeight="1" s="124">
      <c r="A80" s="137">
        <f>RIGHT(D80,4)</f>
        <v/>
      </c>
      <c r="B80" s="60" t="inlineStr">
        <is>
          <t>СЕРВЕЛАТ ЕВРОПЕЙСКИЙ в/к в/у 0.84кг</t>
        </is>
      </c>
      <c r="C80" s="50" t="inlineStr">
        <is>
          <t>КГ</t>
        </is>
      </c>
      <c r="D80" s="63" t="n">
        <v>1001300367133</v>
      </c>
      <c r="E80" s="24" t="n"/>
      <c r="F80" s="128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6.5" customHeight="1" s="124">
      <c r="A81" s="137">
        <f>RIGHT(D81,4)</f>
        <v/>
      </c>
      <c r="B81" s="60" t="inlineStr">
        <is>
          <t>СЕРВЕЛАТ КРЕМЛЕВСКИЙ в/к в/у 0.84кг</t>
        </is>
      </c>
      <c r="C81" s="50" t="inlineStr">
        <is>
          <t>КГ</t>
        </is>
      </c>
      <c r="D81" s="63" t="n">
        <v>1001300456946</v>
      </c>
      <c r="E81" s="24" t="n"/>
      <c r="F81" s="128" t="n"/>
      <c r="G81" s="23">
        <f>E81</f>
        <v/>
      </c>
      <c r="H81" s="29" t="n"/>
      <c r="I81" s="29" t="n"/>
      <c r="J81" s="29" t="n"/>
    </row>
    <row r="82" ht="16.5" customHeight="1" s="124">
      <c r="A82" s="137">
        <f>RIGHT(D82,4)</f>
        <v/>
      </c>
      <c r="B82" s="60" t="inlineStr">
        <is>
          <t>СЕРВЕЛАТ ЕВРОПЕЙСКИЙ в/к в/у 0.33кг 8шт.</t>
        </is>
      </c>
      <c r="C82" s="50" t="inlineStr">
        <is>
          <t>ШТ</t>
        </is>
      </c>
      <c r="D82" s="63" t="n">
        <v>1001300366807</v>
      </c>
      <c r="E82" s="24" t="n">
        <v>80</v>
      </c>
      <c r="F82" s="128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6.5" customHeight="1" s="124">
      <c r="A83" s="137">
        <f>RIGHT(D83,4)</f>
        <v/>
      </c>
      <c r="B83" s="60" t="inlineStr">
        <is>
          <t>СЕРВЕЛАТ ЗЕРНИСТЫЙ ПМ в/к в/у 0.35кг_50с</t>
        </is>
      </c>
      <c r="C83" s="50" t="inlineStr">
        <is>
          <t>ШТ</t>
        </is>
      </c>
      <c r="D83" s="63" t="n">
        <v>1001300387154</v>
      </c>
      <c r="E83" s="24" t="n">
        <v>1000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6.5" customHeight="1" s="124">
      <c r="A84" s="137">
        <f>RIGHT(D84,4)</f>
        <v/>
      </c>
      <c r="B84" s="60" t="inlineStr">
        <is>
          <t>СЕРВЕЛАТ ЗЕРНИСТЫЙ ПМ в/к в/у_50с</t>
        </is>
      </c>
      <c r="C84" s="50" t="inlineStr">
        <is>
          <t>КГ</t>
        </is>
      </c>
      <c r="D84" s="63" t="n">
        <v>1001300387157</v>
      </c>
      <c r="E84" s="24" t="n">
        <v>450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6.5" customHeight="1" s="124">
      <c r="A85" s="137">
        <f>RIGHT(D85,4)</f>
        <v/>
      </c>
      <c r="B85" s="60" t="inlineStr">
        <is>
          <t>КРАКОВСКАЯ ГОСТ Останкино п/к н/о мгс</t>
        </is>
      </c>
      <c r="C85" s="50" t="inlineStr">
        <is>
          <t>КГ</t>
        </is>
      </c>
      <c r="D85" s="63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6.5" customHeight="1" s="124">
      <c r="A86" s="137">
        <f>RIGHT(D86,4)</f>
        <v/>
      </c>
      <c r="B86" s="60" t="inlineStr">
        <is>
          <t>СЕРВЕЛАТ КАРЕЛЬСКИЙ в/к в/у 0.28кг_209к</t>
        </is>
      </c>
      <c r="C86" s="50" t="inlineStr">
        <is>
          <t>ШТ</t>
        </is>
      </c>
      <c r="D86" s="63" t="n">
        <v>1001304507236</v>
      </c>
      <c r="E86" s="24" t="n">
        <v>40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6.5" customHeight="1" s="124">
      <c r="A87" s="137">
        <f>RIGHT(D87,4)</f>
        <v/>
      </c>
      <c r="B87" s="60" t="inlineStr">
        <is>
          <t>СЫРРРВЕЛАТ Папа может в/к в/у 0.28кг 8шт</t>
        </is>
      </c>
      <c r="C87" s="50" t="inlineStr">
        <is>
          <t>ШТ</t>
        </is>
      </c>
      <c r="D87" s="63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25" t="inlineStr">
        <is>
          <t>Новинка</t>
        </is>
      </c>
    </row>
    <row r="88" ht="15.75" customHeight="1" s="124">
      <c r="A88" s="137">
        <f>RIGHT(D88,4)</f>
        <v/>
      </c>
      <c r="B88" s="131" t="inlineStr">
        <is>
          <t>СЕРВЕЛАТ КРЕМЛЕВСКИЙ в/к в/у 0.33кг 8шт.</t>
        </is>
      </c>
      <c r="C88" s="50" t="inlineStr">
        <is>
          <t>ШТ</t>
        </is>
      </c>
      <c r="D88" s="63" t="n">
        <v>1001300456787</v>
      </c>
      <c r="E88" s="24" t="n">
        <v>106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24">
      <c r="A89" s="137">
        <f>RIGHT(D89,4)</f>
        <v/>
      </c>
      <c r="B89" s="131" t="inlineStr">
        <is>
          <t>СЕРВЕЛАТ ОХОТНИЧИЙ ПМ в/к в/у_50с</t>
        </is>
      </c>
      <c r="C89" s="50" t="inlineStr">
        <is>
          <t>КГ</t>
        </is>
      </c>
      <c r="D89" s="63" t="n">
        <v>1001303987166</v>
      </c>
      <c r="E89" s="24" t="n">
        <v>500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5.75" customHeight="1" s="124">
      <c r="A90" s="137">
        <f>RIGHT(D90,4)</f>
        <v/>
      </c>
      <c r="B90" s="60" t="inlineStr">
        <is>
          <t>СЕРВЕЛАТ ОХОТНИЧИЙ ПМ в/к в/у 0.35кг_50с</t>
        </is>
      </c>
      <c r="C90" s="50" t="inlineStr">
        <is>
          <t>ШТ</t>
        </is>
      </c>
      <c r="D90" s="63" t="n">
        <v>1001303987169</v>
      </c>
      <c r="E90" s="24" t="n">
        <v>100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</row>
    <row r="91" ht="15.75" customHeight="1" s="124">
      <c r="A91" s="137">
        <f>RIGHT(D91,4)</f>
        <v/>
      </c>
      <c r="B91" s="60" t="inlineStr">
        <is>
          <t>СЕРВЕЛАТ КОПЧ.НА БУКЕ в/к в/у 0.35кг_50с</t>
        </is>
      </c>
      <c r="C91" s="50" t="inlineStr">
        <is>
          <t>ШТ</t>
        </is>
      </c>
      <c r="D91" s="63" t="n">
        <v>1001304237156</v>
      </c>
      <c r="E91" s="24" t="n">
        <v>350</v>
      </c>
      <c r="F91" s="23" t="n">
        <v>0.35</v>
      </c>
      <c r="G91" s="23">
        <f>E91*F91</f>
        <v/>
      </c>
      <c r="H91" s="14" t="n"/>
      <c r="I91" s="14" t="n"/>
      <c r="J91" s="49" t="n"/>
    </row>
    <row r="92" ht="15.75" customHeight="1" s="124">
      <c r="A92" s="137">
        <f>RIGHT(D92,4)</f>
        <v/>
      </c>
      <c r="B92" s="60" t="inlineStr">
        <is>
          <t>СЕРВЕЛАТ ФИНСКИЙ в/к в/у_45с</t>
        </is>
      </c>
      <c r="C92" s="50" t="inlineStr">
        <is>
          <t>КГ</t>
        </is>
      </c>
      <c r="D92" s="63" t="n">
        <v>1001051875544</v>
      </c>
      <c r="E92" s="24" t="n">
        <v>750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5.75" customHeight="1" s="124">
      <c r="A93" s="137">
        <f>RIGHT(D93,4)</f>
        <v/>
      </c>
      <c r="B93" s="60" t="inlineStr">
        <is>
          <t>СЕРВЕЛАТ ФИНСКИЙ ПМ в/к в/у 0.35кг 8шт.</t>
        </is>
      </c>
      <c r="C93" s="50" t="inlineStr">
        <is>
          <t>ШТ</t>
        </is>
      </c>
      <c r="D93" s="63" t="n">
        <v>1001301876697</v>
      </c>
      <c r="E93" s="24" t="n">
        <v>200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5.75" customHeight="1" s="124">
      <c r="A94" s="137">
        <f>RIGHT(D94,4)</f>
        <v/>
      </c>
      <c r="B94" s="60" t="inlineStr">
        <is>
          <t>СЕРВЕЛАТ ОРЕХОВЫЙ в/к в/у 0.31кг_209к</t>
        </is>
      </c>
      <c r="C94" s="50" t="inlineStr">
        <is>
          <t>ШТ</t>
        </is>
      </c>
      <c r="D94" s="63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5.75" customHeight="1" s="124">
      <c r="A95" s="137">
        <f>RIGHT(D95,4)</f>
        <v/>
      </c>
      <c r="B95" s="60" t="inlineStr">
        <is>
          <t>НОВОМОСКОВСКАЯ в/к в/у срез 0.31кг</t>
        </is>
      </c>
      <c r="C95" s="50" t="inlineStr">
        <is>
          <t>ШТ</t>
        </is>
      </c>
      <c r="D95" s="63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5.75" customHeight="1" s="124">
      <c r="A96" s="137">
        <f>RIGHT(D96,4)</f>
        <v/>
      </c>
      <c r="B96" s="60" t="inlineStr">
        <is>
          <t>КРАКОВСКАЯ ГОСТ п/к н/о мгс 0.3кг</t>
        </is>
      </c>
      <c r="C96" s="50" t="inlineStr">
        <is>
          <t>ШТ</t>
        </is>
      </c>
      <c r="D96" s="63" t="n">
        <v>1001307587710</v>
      </c>
      <c r="E96" s="24" t="n"/>
      <c r="F96" s="23" t="n">
        <v>0.3</v>
      </c>
      <c r="G96" s="23">
        <f>E96*F96</f>
        <v/>
      </c>
      <c r="H96" s="14" t="n"/>
      <c r="I96" s="14" t="n"/>
      <c r="J96" s="49" t="n"/>
    </row>
    <row r="97" ht="15.75" customHeight="1" s="124">
      <c r="A97" s="137">
        <f>RIGHT(D97,4)</f>
        <v/>
      </c>
      <c r="B97" s="60" t="inlineStr">
        <is>
          <t>ВОСКРЕСЕНСКАЯ ВЯЛЕНАЯ в/к в/у срез 1/260</t>
        </is>
      </c>
      <c r="C97" s="50" t="inlineStr">
        <is>
          <t>ШТ</t>
        </is>
      </c>
      <c r="D97" s="63" t="n">
        <v>1001307077513</v>
      </c>
      <c r="E97" s="24" t="n"/>
      <c r="F97" s="23" t="n">
        <v>0.26</v>
      </c>
      <c r="G97" s="23">
        <f>E97*F97</f>
        <v/>
      </c>
      <c r="H97" s="14" t="n"/>
      <c r="I97" s="14" t="n"/>
      <c r="J97" s="49" t="n"/>
    </row>
    <row r="98" ht="15.75" customHeight="1" s="124">
      <c r="A98" s="137">
        <f>RIGHT(D98,4)</f>
        <v/>
      </c>
      <c r="B98" s="60" t="inlineStr">
        <is>
          <t>ЧЕСНОЧНАЯ ПМ п/к в/у 0.35кг 8шт_50с</t>
        </is>
      </c>
      <c r="C98" s="50" t="inlineStr">
        <is>
          <t>ШТ</t>
        </is>
      </c>
      <c r="D98" s="63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5.75" customHeight="1" s="124">
      <c r="A99" s="137">
        <f>RIGHT(D99,4)</f>
        <v/>
      </c>
      <c r="B99" s="60" t="inlineStr">
        <is>
          <t>БОЯРСКАЯ ПМ п/к в/у 0.28кг_СНГ</t>
        </is>
      </c>
      <c r="C99" s="50" t="inlineStr">
        <is>
          <t>ШТ</t>
        </is>
      </c>
      <c r="D99" s="63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5.75" customHeight="1" s="124">
      <c r="A100" s="137">
        <f>RIGHT(D100,4)</f>
        <v/>
      </c>
      <c r="B100" s="60" t="inlineStr">
        <is>
          <t>СЕРВЕЛАТ ОХОТНИЧИЙ ПМ в/к в/у 0.28кг_СНГ</t>
        </is>
      </c>
      <c r="C100" s="50" t="inlineStr">
        <is>
          <t>ШТ</t>
        </is>
      </c>
      <c r="D100" s="63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24">
      <c r="A101" s="137">
        <f>RIGHT(D101,4)</f>
        <v/>
      </c>
      <c r="B101" s="60" t="inlineStr">
        <is>
          <t>СЕРВЕЛАТ ШВЕЙЦАРСК.в/к с/н в/у 1/100_Л11</t>
        </is>
      </c>
      <c r="C101" s="50" t="inlineStr">
        <is>
          <t>ШТ</t>
        </is>
      </c>
      <c r="D101" s="63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  <c r="K101" s="27" t="n"/>
    </row>
    <row r="102" ht="16.5" customHeight="1" s="124" thickBot="1">
      <c r="A102" s="137">
        <f>RIGHT(D102,4)</f>
        <v/>
      </c>
      <c r="B102" s="60" t="inlineStr">
        <is>
          <t>СЕРВЕЛАТ БАВАРСКИЙ в/к с/н в/у 1/100_Л11</t>
        </is>
      </c>
      <c r="C102" s="50" t="inlineStr">
        <is>
          <t>ШТ</t>
        </is>
      </c>
      <c r="D102" s="63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  <c r="K102" s="27" t="n"/>
    </row>
    <row r="103" ht="16.5" customHeight="1" s="12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24" thickTop="1">
      <c r="A104" s="137">
        <f>RIGHT(D104,4)</f>
        <v/>
      </c>
      <c r="B104" s="60" t="inlineStr">
        <is>
          <t>АРОМАТНАЯ с/к в/у 1/250 8шт.</t>
        </is>
      </c>
      <c r="C104" s="50" t="inlineStr">
        <is>
          <t>ШТ</t>
        </is>
      </c>
      <c r="D104" s="63" t="n">
        <v>1001061973986</v>
      </c>
      <c r="E104" s="24" t="n">
        <v>150</v>
      </c>
      <c r="F104" s="128" t="n">
        <v>0.25</v>
      </c>
      <c r="G104" s="23">
        <f>E104*F104</f>
        <v/>
      </c>
      <c r="H104" s="132" t="n">
        <v>2</v>
      </c>
      <c r="I104" s="133" t="n">
        <v>120</v>
      </c>
      <c r="J104" s="29" t="n"/>
    </row>
    <row r="105" ht="16.5" customHeight="1" s="124">
      <c r="A105" s="137">
        <f>RIGHT(D105,4)</f>
        <v/>
      </c>
      <c r="B105" s="60" t="inlineStr">
        <is>
          <t>ОХОТНИЧЬЯ Папа может с/к в/у 1/220 8шт.</t>
        </is>
      </c>
      <c r="C105" s="50" t="inlineStr">
        <is>
          <t>ШТ</t>
        </is>
      </c>
      <c r="D105" s="63" t="n">
        <v>1001060755931</v>
      </c>
      <c r="E105" s="24" t="n">
        <v>700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24">
      <c r="A106" s="137">
        <f>RIGHT(D106,4)</f>
        <v/>
      </c>
      <c r="B106" s="60" t="inlineStr">
        <is>
          <t>ПОСОЛЬСКАЯ Папа может с/к в/у</t>
        </is>
      </c>
      <c r="C106" s="50" t="inlineStr">
        <is>
          <t>КГ</t>
        </is>
      </c>
      <c r="D106" s="63" t="n">
        <v>1001063145708</v>
      </c>
      <c r="E106" s="24" t="n">
        <v>40</v>
      </c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24">
      <c r="A107" s="137">
        <f>RIGHT(D107,4)</f>
        <v/>
      </c>
      <c r="B107" s="60" t="inlineStr">
        <is>
          <t>САЛЯМИ ИТАЛЬЯНСКАЯ с/к в/у</t>
        </is>
      </c>
      <c r="C107" s="50" t="inlineStr">
        <is>
          <t>КГ</t>
        </is>
      </c>
      <c r="D107" s="63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24">
      <c r="A108" s="137">
        <f>RIGHT(D108,4)</f>
        <v/>
      </c>
      <c r="B108" s="60" t="inlineStr">
        <is>
          <t>САЛЯМИ ИТАЛЬЯНСКАЯ с/к в/у 1/250*8_120с</t>
        </is>
      </c>
      <c r="C108" s="50" t="inlineStr">
        <is>
          <t>ШТ</t>
        </is>
      </c>
      <c r="D108" s="63" t="n">
        <v>1001060764993</v>
      </c>
      <c r="E108" s="24" t="n">
        <v>200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5" customHeight="1" s="124">
      <c r="A109" s="137">
        <f>RIGHT(D109,4)</f>
        <v/>
      </c>
      <c r="B109" s="60" t="inlineStr">
        <is>
          <t>ЭКСТРА Папа может с/к в/у 1/250 8шт.</t>
        </is>
      </c>
      <c r="C109" s="50" t="inlineStr">
        <is>
          <t>ШТ</t>
        </is>
      </c>
      <c r="D109" s="63" t="n">
        <v>1001062505483</v>
      </c>
      <c r="E109" s="24" t="n">
        <v>650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5" customHeight="1" s="124">
      <c r="A110" s="137">
        <f>RIGHT(D110,4)</f>
        <v/>
      </c>
      <c r="B110" s="60" t="inlineStr">
        <is>
          <t>ЭКСТРА Папа может с/к в/у_Л</t>
        </is>
      </c>
      <c r="C110" s="50" t="inlineStr">
        <is>
          <t>КГ</t>
        </is>
      </c>
      <c r="D110" s="63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</row>
    <row r="111" ht="16.5" customHeight="1" s="124">
      <c r="A111" s="137">
        <f>RIGHT(D111,4)</f>
        <v/>
      </c>
      <c r="B111" s="60" t="inlineStr">
        <is>
          <t>ПРАЗДНИЧНАЯ с/к в/с дек.спец.мгс</t>
        </is>
      </c>
      <c r="C111" s="50" t="inlineStr">
        <is>
          <t>КГ</t>
        </is>
      </c>
      <c r="D111" s="63" t="n">
        <v>1001060720614</v>
      </c>
      <c r="E111" s="24" t="n">
        <v>50</v>
      </c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</row>
    <row r="112" ht="16.5" customHeight="1" s="124">
      <c r="A112" s="137">
        <f>RIGHT(D112,4)</f>
        <v/>
      </c>
      <c r="B112" s="60" t="inlineStr">
        <is>
          <t>БУРГУНДИЯ Папа может с/к в/у 1/250 8шт.</t>
        </is>
      </c>
      <c r="C112" s="50" t="inlineStr">
        <is>
          <t>ШТ</t>
        </is>
      </c>
      <c r="D112" s="63" t="n">
        <v>1001063656967</v>
      </c>
      <c r="E112" s="24" t="n">
        <v>21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 s="124">
      <c r="A113" s="137">
        <f>RIGHT(D113,4)</f>
        <v/>
      </c>
      <c r="B113" s="60" t="inlineStr">
        <is>
          <t>САЛЯМИ Папа может с/к в/у 1/250 8шт.</t>
        </is>
      </c>
      <c r="C113" s="50" t="inlineStr">
        <is>
          <t>ШТ</t>
        </is>
      </c>
      <c r="D113" s="63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 s="124">
      <c r="A114" s="137">
        <f>RIGHT(D114,4)</f>
        <v/>
      </c>
      <c r="B114" s="60" t="inlineStr">
        <is>
          <t>БРАУНШВЕЙГСКАЯ ГОСТ с/к в/у 1/220 8шт.</t>
        </is>
      </c>
      <c r="C114" s="50" t="inlineStr">
        <is>
          <t>ШТ</t>
        </is>
      </c>
      <c r="D114" s="63" t="n">
        <v>1001060717143</v>
      </c>
      <c r="E114" s="24" t="n">
        <v>11</v>
      </c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</row>
    <row r="115" ht="16.5" customHeight="1" s="124">
      <c r="A115" s="137">
        <f>RIGHT(D115,4)</f>
        <v/>
      </c>
      <c r="B115" s="60" t="inlineStr">
        <is>
          <t>САЛЬЧИЧОН Останкино с/к в/у 1/220 8шт.</t>
        </is>
      </c>
      <c r="C115" s="50" t="inlineStr">
        <is>
          <t>ШТ</t>
        </is>
      </c>
      <c r="D115" s="63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</row>
    <row r="116" ht="16.5" customHeight="1" s="124">
      <c r="A116" s="137">
        <f>RIGHT(D116,4)</f>
        <v/>
      </c>
      <c r="B116" s="60" t="inlineStr">
        <is>
          <t>САЛЯМИ ФИНСКАЯ Папа может с/к в/у 1/150</t>
        </is>
      </c>
      <c r="C116" s="50" t="inlineStr">
        <is>
          <t>ШТ</t>
        </is>
      </c>
      <c r="D116" s="63" t="n">
        <v>1001063097456</v>
      </c>
      <c r="E116" s="24" t="n">
        <v>100</v>
      </c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</row>
    <row r="117" ht="16.5" customHeight="1" s="124">
      <c r="A117" s="137">
        <f>RIGHT(D117,4)</f>
        <v/>
      </c>
      <c r="B117" s="60" t="inlineStr">
        <is>
          <t>ЧОРИЗО Останкино с/к в/у 1/220 8шт.</t>
        </is>
      </c>
      <c r="C117" s="50" t="inlineStr">
        <is>
          <t>ШТ</t>
        </is>
      </c>
      <c r="D117" s="63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24">
      <c r="A118" s="137">
        <f>RIGHT(D118,4)</f>
        <v/>
      </c>
      <c r="B118" s="60" t="inlineStr">
        <is>
          <t>САН-РЕМО Останкино с/в в/у 1/220 8шт.</t>
        </is>
      </c>
      <c r="C118" s="50" t="inlineStr">
        <is>
          <t>ШТ</t>
        </is>
      </c>
      <c r="D118" s="63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</row>
    <row r="119" ht="16.5" customHeight="1" s="124">
      <c r="A119" s="137">
        <f>RIGHT(D119,4)</f>
        <v/>
      </c>
      <c r="B119" s="60" t="inlineStr">
        <is>
          <t>ПРЕСИЖН с/к дек.спец. мгс 0.54кг</t>
        </is>
      </c>
      <c r="C119" s="50" t="inlineStr">
        <is>
          <t>ШТ</t>
        </is>
      </c>
      <c r="D119" s="63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</row>
    <row r="120" ht="16.5" customHeight="1" s="124">
      <c r="A120" s="137">
        <f>RIGHT(D120,4)</f>
        <v/>
      </c>
      <c r="B120" s="60" t="inlineStr">
        <is>
          <t>ПРАЗДНИЧНАЯ с/к в/с дек.спец. мгс 1/270</t>
        </is>
      </c>
      <c r="C120" s="50" t="inlineStr">
        <is>
          <t>ШТ</t>
        </is>
      </c>
      <c r="D120" s="63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</row>
    <row r="121" ht="16.5" customHeight="1" s="124">
      <c r="A121" s="137">
        <f>RIGHT(D121,4)</f>
        <v/>
      </c>
      <c r="B121" s="60" t="inlineStr">
        <is>
          <t>ПРАЗДНИЧНАЯ с/к в/с дек.спец. мгс 0.54кг</t>
        </is>
      </c>
      <c r="C121" s="50" t="inlineStr">
        <is>
          <t>ШТ</t>
        </is>
      </c>
      <c r="D121" s="63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</row>
    <row r="122" ht="16.5" customHeight="1" s="124">
      <c r="A122" s="137">
        <f>RIGHT(D122,4)</f>
        <v/>
      </c>
      <c r="B122" s="60" t="inlineStr">
        <is>
          <t>АССОРТИ СЫРОКОПЧЕНЫХ КОЛБАС Коровино в/у</t>
        </is>
      </c>
      <c r="C122" s="50" t="inlineStr">
        <is>
          <t>КГ</t>
        </is>
      </c>
      <c r="D122" s="63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</row>
    <row r="123" ht="16.5" customHeight="1" s="124">
      <c r="A123" s="137">
        <f>RIGHT(D123,4)</f>
        <v/>
      </c>
      <c r="B123" s="60" t="inlineStr">
        <is>
          <t>НАБОР ДЛЯ ПИЦЦЫ Папа Может с/к в/у</t>
        </is>
      </c>
      <c r="C123" s="50" t="inlineStr">
        <is>
          <t>КГ</t>
        </is>
      </c>
      <c r="D123" s="63" t="n">
        <v>1001060677299</v>
      </c>
      <c r="E123" s="24" t="n">
        <v>1000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24">
      <c r="A124" s="137">
        <f>RIGHT(D124,4)</f>
        <v/>
      </c>
      <c r="B124" s="60" t="inlineStr">
        <is>
          <t>БАРСЕЛОНА ПМ с/к в/у 1/150</t>
        </is>
      </c>
      <c r="C124" s="50" t="inlineStr">
        <is>
          <t>ШТ</t>
        </is>
      </c>
      <c r="D124" s="63" t="n">
        <v>1001067017386</v>
      </c>
      <c r="E124" s="24" t="n">
        <v>150</v>
      </c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24">
      <c r="A125" s="137">
        <f>RIGHT(D125,4)</f>
        <v/>
      </c>
      <c r="B125" s="60" t="inlineStr">
        <is>
          <t>АРОМАТНАЯ с/к с/н в/у 1/100 10шт_Л10 (7613)</t>
        </is>
      </c>
      <c r="C125" s="50" t="inlineStr">
        <is>
          <t>ШТ</t>
        </is>
      </c>
      <c r="D125" s="63" t="n">
        <v>1001061977613</v>
      </c>
      <c r="E125" s="24" t="n">
        <v>800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24">
      <c r="A126" s="137">
        <f>RIGHT(D126,4)</f>
        <v/>
      </c>
      <c r="B126" s="60" t="inlineStr">
        <is>
          <t>САЛЯМИ МЕЛКОЗЕРНЕНАЯ с/к в/у 1/120 8шт.</t>
        </is>
      </c>
      <c r="C126" s="50" t="inlineStr">
        <is>
          <t>ШТ</t>
        </is>
      </c>
      <c r="D126" s="63" t="n">
        <v>1001203117382</v>
      </c>
      <c r="E126" s="24" t="n">
        <v>170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24">
      <c r="A127" s="137">
        <f>RIGHT(D127,4)</f>
        <v/>
      </c>
      <c r="B127" s="60" t="inlineStr">
        <is>
          <t>ЭКСТРА Папа может с/к с/н в/у 1/100_Л10</t>
        </is>
      </c>
      <c r="C127" s="50" t="inlineStr">
        <is>
          <t>ШТ</t>
        </is>
      </c>
      <c r="D127" s="63" t="n">
        <v>1001062507616</v>
      </c>
      <c r="E127" s="24" t="n">
        <v>450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24">
      <c r="A128" s="137">
        <f>RIGHT(D128,4)</f>
        <v/>
      </c>
      <c r="B128" s="60" t="inlineStr">
        <is>
          <t>НЕАПОЛИТАНСКИЙ ДУЭТ с/к с/н мгс 1/90</t>
        </is>
      </c>
      <c r="C128" s="50" t="inlineStr">
        <is>
          <t>ШТ</t>
        </is>
      </c>
      <c r="D128" s="63" t="n">
        <v>1001205376221</v>
      </c>
      <c r="E128" s="24" t="n">
        <v>600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24">
      <c r="A129" s="137">
        <f>RIGHT(D129,4)</f>
        <v/>
      </c>
      <c r="B129" s="60" t="inlineStr">
        <is>
          <t>ИТАЛЬЯНСКОЕ АССОРТИ с/в с/н мгс 1/90</t>
        </is>
      </c>
      <c r="C129" s="50" t="inlineStr">
        <is>
          <t>ШТ</t>
        </is>
      </c>
      <c r="D129" s="63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15" customHeight="1" s="124">
      <c r="A130" s="137">
        <f>RIGHT(D130,4)</f>
        <v/>
      </c>
      <c r="B130" s="60" t="inlineStr">
        <is>
          <t>САЛЯМИ ИТАЛЬЯНСКАЯ с/к в/у 1/150_60с</t>
        </is>
      </c>
      <c r="C130" s="50" t="inlineStr">
        <is>
          <t>ШТ</t>
        </is>
      </c>
      <c r="D130" s="63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15" customHeight="1" s="124" thickBot="1">
      <c r="A131" s="137">
        <f>RIGHT(D131,4)</f>
        <v/>
      </c>
      <c r="B131" s="60" t="inlineStr">
        <is>
          <t>БРАУНШВЕЙГСКАЯ с/к с/н мгс 1/100_Л10</t>
        </is>
      </c>
      <c r="C131" s="50" t="inlineStr">
        <is>
          <t>ШТ</t>
        </is>
      </c>
      <c r="D131" s="63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  <c r="K131" s="27" t="n"/>
    </row>
    <row r="132" ht="16.15" customHeight="1" s="12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  <c r="K132" s="27" t="n"/>
    </row>
    <row r="133" ht="16.15" customHeight="1" s="124" thickTop="1">
      <c r="A133" s="137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34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  <c r="K133" s="27" t="n"/>
    </row>
    <row r="134" ht="16.15" customHeight="1" s="124">
      <c r="A134" s="137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63" t="n">
        <v>1001092436495</v>
      </c>
      <c r="E134" s="24" t="n">
        <v>250</v>
      </c>
      <c r="F134" s="128" t="n">
        <v>0.3</v>
      </c>
      <c r="G134" s="23">
        <f>E134*F134</f>
        <v/>
      </c>
      <c r="H134" s="29" t="n">
        <v>1.8</v>
      </c>
      <c r="I134" s="29" t="n">
        <v>45</v>
      </c>
      <c r="J134" s="29" t="n"/>
      <c r="K134" s="27" t="n"/>
    </row>
    <row r="135" ht="16.15" customHeight="1" s="124">
      <c r="A135" s="137">
        <f>RIGHT(D135,4)</f>
        <v/>
      </c>
      <c r="B135" s="135" t="inlineStr">
        <is>
          <t>ВЕТЧ.МРАМОРНАЯ в/у_45с</t>
        </is>
      </c>
      <c r="C135" s="50" t="inlineStr">
        <is>
          <t>КГ</t>
        </is>
      </c>
      <c r="D135" s="63" t="n">
        <v>1001092436470</v>
      </c>
      <c r="E135" s="24" t="n"/>
      <c r="F135" s="128" t="n">
        <v>1.2</v>
      </c>
      <c r="G135" s="23">
        <f>E135</f>
        <v/>
      </c>
      <c r="H135" s="29" t="n">
        <v>4.8</v>
      </c>
      <c r="I135" s="29" t="n">
        <v>45</v>
      </c>
      <c r="J135" s="29" t="n"/>
      <c r="K135" s="27" t="n"/>
    </row>
    <row r="136" ht="16.5" customHeight="1" s="124">
      <c r="A136" s="137">
        <f>RIGHT(D136,4)</f>
        <v/>
      </c>
      <c r="B136" s="135" t="inlineStr">
        <is>
          <t>ВЕТЧ.МЯСНАЯ Папа может п/о</t>
        </is>
      </c>
      <c r="C136" s="50" t="inlineStr">
        <is>
          <t>КГ</t>
        </is>
      </c>
      <c r="D136" s="63" t="n">
        <v>1001092485452</v>
      </c>
      <c r="E136" s="24" t="n">
        <v>100</v>
      </c>
      <c r="F136" s="128" t="n">
        <v>1.35</v>
      </c>
      <c r="G136" s="23">
        <f>E136</f>
        <v/>
      </c>
      <c r="H136" s="29" t="n">
        <v>4.05</v>
      </c>
      <c r="I136" s="29" t="n">
        <v>60</v>
      </c>
      <c r="J136" s="29" t="n"/>
      <c r="K136" s="27" t="n"/>
    </row>
    <row r="137" ht="16.5" customHeight="1" s="124">
      <c r="A137" s="137">
        <f>RIGHT(D137,4)</f>
        <v/>
      </c>
      <c r="B137" s="135" t="inlineStr">
        <is>
          <t>ВЕТЧ.МЯСНАЯ Папа может п/о 0.4кг 8шт.</t>
        </is>
      </c>
      <c r="C137" s="50" t="inlineStr">
        <is>
          <t>ШТ</t>
        </is>
      </c>
      <c r="D137" s="63" t="n">
        <v>1001094053215</v>
      </c>
      <c r="E137" s="24" t="n">
        <v>235</v>
      </c>
      <c r="F137" s="128" t="n">
        <v>0.4</v>
      </c>
      <c r="G137" s="23">
        <f>E137*F137</f>
        <v/>
      </c>
      <c r="H137" s="29" t="n">
        <v>3.2</v>
      </c>
      <c r="I137" s="29" t="n">
        <v>60</v>
      </c>
      <c r="J137" s="29" t="n"/>
      <c r="K137" s="27" t="n"/>
    </row>
    <row r="138" ht="16.5" customHeight="1" s="124">
      <c r="A138" s="137">
        <f>RIGHT(D138,4)</f>
        <v/>
      </c>
      <c r="B138" s="135" t="inlineStr">
        <is>
          <t>ВЕТЧ.НЕЖНАЯ Коровино п/о_Маяк</t>
        </is>
      </c>
      <c r="C138" s="50" t="inlineStr">
        <is>
          <t>КГ</t>
        </is>
      </c>
      <c r="D138" s="63" t="n">
        <v>1001095716866</v>
      </c>
      <c r="E138" s="24" t="n">
        <v>33</v>
      </c>
      <c r="F138" s="128" t="n">
        <v>1.5</v>
      </c>
      <c r="G138" s="23">
        <f>E138</f>
        <v/>
      </c>
      <c r="H138" s="29" t="n">
        <v>6</v>
      </c>
      <c r="I138" s="29" t="n">
        <v>60</v>
      </c>
      <c r="J138" s="29" t="n"/>
      <c r="K138" s="27" t="n"/>
    </row>
    <row r="139" ht="16.5" customHeight="1" s="124">
      <c r="A139" s="137">
        <f>RIGHT(D139,4)</f>
        <v/>
      </c>
      <c r="B139" s="60" t="inlineStr">
        <is>
          <t>ВЕТЧ.С ИНДЕЙКОЙ Папа может п/о 400*6</t>
        </is>
      </c>
      <c r="C139" s="50" t="inlineStr">
        <is>
          <t>ШТ</t>
        </is>
      </c>
      <c r="D139" s="136" t="n">
        <v>1001093345495</v>
      </c>
      <c r="E139" s="24" t="n">
        <v>163</v>
      </c>
      <c r="F139" s="128" t="n">
        <v>0.4</v>
      </c>
      <c r="G139" s="23">
        <f>E139*F139</f>
        <v/>
      </c>
      <c r="H139" s="29" t="n">
        <v>2.4</v>
      </c>
      <c r="I139" s="29" t="n">
        <v>60</v>
      </c>
      <c r="J139" s="29" t="n"/>
      <c r="K139" s="27" t="n"/>
    </row>
    <row r="140" ht="16.5" customHeight="1" s="124">
      <c r="A140" s="137">
        <f>RIGHT(D140,4)</f>
        <v/>
      </c>
      <c r="B140" s="60" t="inlineStr">
        <is>
          <t>ВЕТЧ.С ИНДЕЙКОЙ ПМ в/у срез 0.3кг 6шт.</t>
        </is>
      </c>
      <c r="C140" s="50" t="inlineStr">
        <is>
          <t>ШТ</t>
        </is>
      </c>
      <c r="D140" s="136" t="n">
        <v>1001095027377</v>
      </c>
      <c r="E140" s="24" t="n"/>
      <c r="F140" s="128" t="n">
        <v>0.3</v>
      </c>
      <c r="G140" s="23">
        <f>E140*F140</f>
        <v/>
      </c>
      <c r="H140" s="29" t="n">
        <v>1.8</v>
      </c>
      <c r="I140" s="29" t="n">
        <v>45</v>
      </c>
      <c r="J140" s="29" t="n"/>
      <c r="K140" s="27" t="n"/>
    </row>
    <row r="141" ht="15.75" customHeight="1" s="124">
      <c r="A141" s="137">
        <f>RIGHT(D141,4)</f>
        <v/>
      </c>
      <c r="B141" s="60" t="inlineStr">
        <is>
          <t>ВЕТЧ.РУБЛЕНАЯ ПМ в/у срез 0.3кг 6шт.</t>
        </is>
      </c>
      <c r="C141" s="50" t="inlineStr">
        <is>
          <t>ШТ</t>
        </is>
      </c>
      <c r="D141" s="136" t="n">
        <v>1001093316411</v>
      </c>
      <c r="E141" s="24" t="n"/>
      <c r="F141" s="128" t="n">
        <v>0.3</v>
      </c>
      <c r="G141" s="23">
        <f>E141*F141</f>
        <v/>
      </c>
      <c r="H141" s="29" t="n"/>
      <c r="I141" s="29" t="n"/>
      <c r="J141" s="29" t="n"/>
      <c r="K141" s="27" t="n"/>
    </row>
    <row r="142" ht="15.75" customHeight="1" s="124">
      <c r="A142" s="137">
        <f>RIGHT(D142,4)</f>
        <v/>
      </c>
      <c r="B142" s="60" t="inlineStr">
        <is>
          <t xml:space="preserve">ВЕТЧ.КЛАССИЧЕСКАЯ в/у 0.6кг 8шт. </t>
        </is>
      </c>
      <c r="C142" s="50" t="inlineStr">
        <is>
          <t>ШТ</t>
        </is>
      </c>
      <c r="D142" s="136" t="n">
        <v>1001095226925</v>
      </c>
      <c r="E142" s="24" t="n"/>
      <c r="F142" s="128" t="n">
        <v>0.6</v>
      </c>
      <c r="G142" s="23">
        <f>E142*F142</f>
        <v/>
      </c>
      <c r="H142" s="29" t="n">
        <v>4.8</v>
      </c>
      <c r="I142" s="29" t="n">
        <v>45</v>
      </c>
      <c r="J142" s="29" t="n"/>
      <c r="K142" s="27" t="n"/>
    </row>
    <row r="143" ht="15.75" customHeight="1" s="124">
      <c r="A143" s="137">
        <f>RIGHT(D143,4)</f>
        <v/>
      </c>
      <c r="B143" s="60" t="inlineStr">
        <is>
          <t>ВЕТЧ.ФИРМЕННАЯ С ИНДЕЙКОЙ п/о</t>
        </is>
      </c>
      <c r="C143" s="50" t="inlineStr">
        <is>
          <t>КГ</t>
        </is>
      </c>
      <c r="D143" s="136" t="n">
        <v>1001094966025</v>
      </c>
      <c r="E143" s="24" t="n"/>
      <c r="F143" s="128" t="n">
        <v>3</v>
      </c>
      <c r="G143" s="23">
        <f>E143</f>
        <v/>
      </c>
      <c r="H143" s="29" t="n">
        <v>6</v>
      </c>
      <c r="I143" s="29" t="n">
        <v>60</v>
      </c>
      <c r="J143" s="29" t="n"/>
      <c r="K143" s="27" t="n"/>
    </row>
    <row r="144" ht="16.5" customHeight="1" s="124">
      <c r="A144" s="137">
        <f>RIGHT(D144,4)</f>
        <v/>
      </c>
      <c r="B144" s="60" t="inlineStr">
        <is>
          <t>КАРБОНAД ДОМАШНИЙ ПМ к/в кр/к в/у</t>
        </is>
      </c>
      <c r="C144" s="50" t="inlineStr">
        <is>
          <t>КГ</t>
        </is>
      </c>
      <c r="D144" s="136" t="n">
        <v>1001085476929</v>
      </c>
      <c r="E144" s="24" t="n">
        <v>30</v>
      </c>
      <c r="F144" s="128" t="n"/>
      <c r="G144" s="23">
        <f>E144</f>
        <v/>
      </c>
      <c r="H144" s="29" t="n"/>
      <c r="I144" s="29" t="n"/>
      <c r="J144" s="29" t="n"/>
    </row>
    <row r="145" ht="16.5" customHeight="1" s="124">
      <c r="A145" s="137">
        <f>RIGHT(D145,4)</f>
        <v/>
      </c>
      <c r="B145" s="60" t="inlineStr">
        <is>
          <t>РИЕТ МЯСНОЙ С ГРИБАМИ ПМ п/о 1/150</t>
        </is>
      </c>
      <c r="C145" s="50" t="inlineStr">
        <is>
          <t>ШТ</t>
        </is>
      </c>
      <c r="D145" s="136" t="n">
        <v>1001107397485</v>
      </c>
      <c r="E145" s="24" t="n">
        <v>460</v>
      </c>
      <c r="F145" s="128" t="n">
        <v>0.15</v>
      </c>
      <c r="G145" s="23">
        <f>F145*E145</f>
        <v/>
      </c>
      <c r="H145" s="29" t="n"/>
      <c r="I145" s="29" t="n"/>
      <c r="J145" s="125" t="inlineStr">
        <is>
          <t>Новинка</t>
        </is>
      </c>
    </row>
    <row r="146" ht="16.5" customHeight="1" s="124">
      <c r="A146" s="137">
        <f>RIGHT(D146,4)</f>
        <v/>
      </c>
      <c r="B146" s="60" t="inlineStr">
        <is>
          <t>ХОЧУ ВЕТЧ. ИЗ СВИН.ОТРУБА с/н мгс 1/100</t>
        </is>
      </c>
      <c r="C146" s="50" t="inlineStr">
        <is>
          <t>ШТ</t>
        </is>
      </c>
      <c r="D146" s="136" t="n">
        <v>1001097747647</v>
      </c>
      <c r="E146" s="24" t="n">
        <v>13</v>
      </c>
      <c r="F146" s="128" t="n">
        <v>0.1</v>
      </c>
      <c r="G146" s="23">
        <f>E146*F146</f>
        <v/>
      </c>
      <c r="H146" s="29" t="n">
        <v>1</v>
      </c>
      <c r="I146" s="29" t="n">
        <v>30</v>
      </c>
      <c r="J146" s="125" t="inlineStr">
        <is>
          <t>Новинка</t>
        </is>
      </c>
    </row>
    <row r="147" ht="16.5" customHeight="1" s="124" thickBot="1">
      <c r="A147" s="137">
        <f>RIGHT(D147,4)</f>
        <v/>
      </c>
      <c r="B147" s="60" t="inlineStr">
        <is>
          <t>ХОЧУ ВЕТЧ. МРАМОР. ПМ с/н мгс 1/100_Л11</t>
        </is>
      </c>
      <c r="C147" s="50" t="inlineStr">
        <is>
          <t>ШТ</t>
        </is>
      </c>
      <c r="D147" s="136" t="n">
        <v>1001097767651</v>
      </c>
      <c r="E147" s="24" t="n">
        <v>7</v>
      </c>
      <c r="F147" s="128" t="n">
        <v>0.1</v>
      </c>
      <c r="G147" s="23">
        <f>E147*F147</f>
        <v/>
      </c>
      <c r="H147" s="29" t="n">
        <v>1</v>
      </c>
      <c r="I147" s="29" t="n">
        <v>30</v>
      </c>
      <c r="J147" s="125" t="inlineStr">
        <is>
          <t>Новинка</t>
        </is>
      </c>
    </row>
    <row r="148" ht="16.5" customHeight="1" s="12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6.5" customHeight="1" s="124" thickTop="1">
      <c r="A149" s="137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63" t="n">
        <v>1001084217090</v>
      </c>
      <c r="E149" s="24" t="n">
        <v>116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 ht="16.5" customHeight="1" s="124">
      <c r="A150" s="137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63" t="n">
        <v>1001085637187</v>
      </c>
      <c r="E150" s="24" t="n">
        <v>15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 ht="16.5" customHeight="1" s="124">
      <c r="A151" s="137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63" t="n">
        <v>1001084856008</v>
      </c>
      <c r="E151" s="24" t="n">
        <v>80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25" t="inlineStr">
        <is>
          <t>Новинка</t>
        </is>
      </c>
    </row>
    <row r="152" ht="16.5" customHeight="1" s="124">
      <c r="A152" s="137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63" t="n">
        <v>1001081596620</v>
      </c>
      <c r="E152" s="24" t="n">
        <v>280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 ht="16.5" customHeight="1" s="124">
      <c r="A153" s="137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63" t="n">
        <v>1001223297103</v>
      </c>
      <c r="E153" s="24" t="n">
        <v>700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 s="124">
      <c r="A154" s="137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63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 ht="16.5" customHeight="1" s="124">
      <c r="A155" s="137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63" t="n">
        <v>1001225416228</v>
      </c>
      <c r="E155" s="24" t="n">
        <v>500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 ht="16.5" customHeight="1" s="124">
      <c r="A156" s="137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63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 ht="16.5" customHeight="1" s="124">
      <c r="A157" s="137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63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 ht="15.75" customHeight="1" s="124">
      <c r="A158" s="137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63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37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63" t="n">
        <v>1001220286279</v>
      </c>
      <c r="E159" s="24" t="n">
        <v>400</v>
      </c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37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63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 ht="15.75" customHeight="1" s="124">
      <c r="A161" s="137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63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24" thickBot="1">
      <c r="A162" s="137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63" t="n">
        <v>1001123677345</v>
      </c>
      <c r="E162" s="24" t="n">
        <v>60</v>
      </c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2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24" thickTop="1">
      <c r="B164" s="37" t="n"/>
      <c r="C164" s="55" t="n"/>
      <c r="D164" s="56" t="n"/>
      <c r="F164" s="58" t="n"/>
      <c r="G164" s="58" t="n"/>
      <c r="H164" s="64" t="n"/>
      <c r="I164" s="64" t="n"/>
      <c r="J164" s="21" t="n"/>
    </row>
    <row r="165">
      <c r="B165" s="37" t="n"/>
      <c r="C165" s="55" t="n"/>
      <c r="D165" s="56" t="n"/>
      <c r="F165" s="58" t="n"/>
      <c r="G165" s="58" t="n"/>
      <c r="H165" s="64" t="n"/>
      <c r="I165" s="64" t="n"/>
      <c r="J165" s="21" t="n"/>
    </row>
    <row r="166">
      <c r="B166" s="37" t="n"/>
      <c r="C166" s="55" t="n"/>
      <c r="D166" s="56" t="n"/>
      <c r="E166" s="57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E167" s="57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60" t="n"/>
      <c r="E168" s="61" t="n"/>
      <c r="F168" s="60" t="n"/>
      <c r="G168" s="62" t="n"/>
      <c r="H168" s="63" t="n"/>
      <c r="I168" s="64" t="n"/>
      <c r="J168" s="21" t="n"/>
    </row>
    <row r="169">
      <c r="B169" s="37" t="n"/>
      <c r="C169" s="55" t="n"/>
      <c r="D169" s="56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56" t="n"/>
      <c r="F171" s="58" t="n"/>
      <c r="G171" s="58" t="n"/>
      <c r="H171" s="64" t="n"/>
      <c r="I171" s="64" t="n"/>
      <c r="J171" s="21" t="n"/>
    </row>
    <row r="172">
      <c r="B172" s="37" t="n"/>
      <c r="C172" s="55" t="n"/>
      <c r="D172" s="56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56" t="n"/>
      <c r="F173" s="58" t="n"/>
      <c r="G173" s="58" t="n"/>
      <c r="H173" s="64" t="n"/>
      <c r="I173" s="64" t="n"/>
      <c r="J173" s="21" t="n"/>
    </row>
    <row r="174">
      <c r="B174" s="37" t="n"/>
      <c r="C174" s="55" t="n"/>
      <c r="D174" s="56" t="n"/>
      <c r="F174" s="58" t="n"/>
      <c r="G174" s="58" t="n"/>
      <c r="H174" s="64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  <row r="1674">
      <c r="B1674" s="37" t="n"/>
      <c r="C1674" s="55" t="n"/>
      <c r="D1674" s="56" t="n"/>
      <c r="F1674" s="58" t="n"/>
      <c r="G1674" s="58" t="n"/>
      <c r="H1674" s="64" t="n"/>
      <c r="I1674" s="64" t="n"/>
      <c r="J1674" s="21" t="n"/>
    </row>
    <row r="1675">
      <c r="B1675" s="37" t="n"/>
      <c r="C1675" s="55" t="n"/>
      <c r="D1675" s="56" t="n"/>
      <c r="F1675" s="58" t="n"/>
      <c r="G1675" s="58" t="n"/>
      <c r="H1675" s="64" t="n"/>
      <c r="I1675" s="64" t="n"/>
      <c r="J1675" s="21" t="n"/>
    </row>
    <row r="1676">
      <c r="B1676" s="37" t="n"/>
      <c r="C1676" s="55" t="n"/>
      <c r="D1676" s="56" t="n"/>
      <c r="F1676" s="58" t="n"/>
      <c r="G1676" s="58" t="n"/>
      <c r="H1676" s="64" t="n"/>
      <c r="I1676" s="64" t="n"/>
      <c r="J1676" s="21" t="n"/>
    </row>
    <row r="1677">
      <c r="B1677" s="37" t="n"/>
      <c r="C1677" s="55" t="n"/>
      <c r="D1677" s="56" t="n"/>
      <c r="F1677" s="58" t="n"/>
      <c r="G1677" s="58" t="n"/>
      <c r="H1677" s="64" t="n"/>
      <c r="I1677" s="64" t="n"/>
      <c r="J1677" s="21" t="n"/>
    </row>
    <row r="1678">
      <c r="B1678" s="37" t="n"/>
      <c r="C1678" s="55" t="n"/>
      <c r="D1678" s="56" t="n"/>
      <c r="F1678" s="58" t="n"/>
      <c r="G1678" s="58" t="n"/>
      <c r="H1678" s="64" t="n"/>
      <c r="I1678" s="64" t="n"/>
      <c r="J1678" s="21" t="n"/>
    </row>
    <row r="1679">
      <c r="B1679" s="37" t="n"/>
      <c r="C1679" s="55" t="n"/>
      <c r="D1679" s="56" t="n"/>
      <c r="F1679" s="58" t="n"/>
      <c r="G1679" s="58" t="n"/>
      <c r="H1679" s="64" t="n"/>
      <c r="I1679" s="64" t="n"/>
      <c r="J1679" s="21" t="n"/>
    </row>
    <row r="1680">
      <c r="B1680" s="37" t="n"/>
      <c r="C1680" s="55" t="n"/>
      <c r="D1680" s="56" t="n"/>
      <c r="F1680" s="58" t="n"/>
      <c r="G1680" s="58" t="n"/>
      <c r="H1680" s="64" t="n"/>
      <c r="I1680" s="64" t="n"/>
      <c r="J1680" s="21" t="n"/>
    </row>
    <row r="1681">
      <c r="B1681" s="37" t="n"/>
      <c r="C1681" s="55" t="n"/>
      <c r="D1681" s="56" t="n"/>
      <c r="F1681" s="58" t="n"/>
      <c r="G1681" s="58" t="n"/>
      <c r="H1681" s="64" t="n"/>
      <c r="I1681" s="64" t="n"/>
      <c r="J1681" s="21" t="n"/>
    </row>
    <row r="1682">
      <c r="B1682" s="37" t="n"/>
      <c r="C1682" s="55" t="n"/>
      <c r="D1682" s="56" t="n"/>
      <c r="F1682" s="58" t="n"/>
      <c r="G1682" s="58" t="n"/>
      <c r="H1682" s="64" t="n"/>
      <c r="I1682" s="64" t="n"/>
      <c r="J1682" s="21" t="n"/>
    </row>
    <row r="1683">
      <c r="B1683" s="37" t="n"/>
      <c r="C1683" s="55" t="n"/>
      <c r="D1683" s="56" t="n"/>
      <c r="F1683" s="58" t="n"/>
      <c r="G1683" s="58" t="n"/>
      <c r="H1683" s="64" t="n"/>
      <c r="I1683" s="64" t="n"/>
      <c r="J1683" s="21" t="n"/>
    </row>
  </sheetData>
  <autoFilter ref="A9:J160"/>
  <mergeCells count="2">
    <mergeCell ref="E1:J1"/>
    <mergeCell ref="G3:J3"/>
  </mergeCells>
  <conditionalFormatting sqref="D168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4" min="3" max="3"/>
    <col width="68.42578125" bestFit="1" customWidth="1" style="124" min="4" max="4"/>
    <col width="43.5703125" bestFit="1" customWidth="1" style="124" min="5" max="5"/>
  </cols>
  <sheetData>
    <row r="2" ht="21" customHeight="1" s="124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9" t="inlineStr">
        <is>
          <t>КГ</t>
        </is>
      </c>
      <c r="G2" s="77" t="n">
        <v>1</v>
      </c>
    </row>
    <row r="3" ht="21" customHeight="1" s="124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24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9" t="inlineStr">
        <is>
          <t>КГ</t>
        </is>
      </c>
      <c r="G4" s="77" t="n">
        <v>1</v>
      </c>
    </row>
    <row r="5" ht="21" customHeight="1" s="124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9" t="inlineStr">
        <is>
          <t>КГ</t>
        </is>
      </c>
      <c r="G5" s="77" t="n">
        <v>1</v>
      </c>
    </row>
    <row r="6" ht="21" customHeight="1" s="124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9" t="inlineStr">
        <is>
          <t>КГ</t>
        </is>
      </c>
      <c r="G6" s="77" t="n">
        <v>1</v>
      </c>
    </row>
    <row r="7" ht="21" customHeight="1" s="124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9" t="inlineStr">
        <is>
          <t>КГ</t>
        </is>
      </c>
      <c r="G7" s="77" t="n">
        <v>1</v>
      </c>
    </row>
    <row r="8" ht="21" customHeight="1" s="124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9" t="inlineStr">
        <is>
          <t>КГ</t>
        </is>
      </c>
      <c r="G8" s="77" t="n">
        <v>1</v>
      </c>
    </row>
    <row r="9" ht="21" customHeight="1" s="124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9" t="inlineStr">
        <is>
          <t>КГ</t>
        </is>
      </c>
      <c r="G9" s="77" t="n">
        <v>1</v>
      </c>
    </row>
    <row r="10" ht="21" customHeight="1" s="124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9" t="inlineStr">
        <is>
          <t>КГ</t>
        </is>
      </c>
      <c r="G10" s="77" t="n">
        <v>1</v>
      </c>
    </row>
    <row r="11" ht="21" customHeight="1" s="124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9" t="inlineStr">
        <is>
          <t>КГ</t>
        </is>
      </c>
      <c r="G11" s="77" t="n">
        <v>1</v>
      </c>
    </row>
    <row r="12" ht="21" customHeight="1" s="124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24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24">
      <c r="B14" s="79" t="n">
        <v>6325</v>
      </c>
      <c r="C14" s="104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24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24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24">
      <c r="B17" s="79" t="n">
        <v>6353</v>
      </c>
      <c r="C17" s="104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24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9" t="inlineStr">
        <is>
          <t>ШТ</t>
        </is>
      </c>
      <c r="G18" s="77" t="n">
        <v>0.4</v>
      </c>
    </row>
    <row r="19" ht="21" customHeight="1" s="124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9" t="inlineStr">
        <is>
          <t>ШТ</t>
        </is>
      </c>
      <c r="G19" s="77" t="n">
        <v>0.5</v>
      </c>
    </row>
    <row r="20" ht="21" customHeight="1" s="124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9" t="inlineStr">
        <is>
          <t>ШТ</t>
        </is>
      </c>
      <c r="G20" s="77" t="n">
        <v>0.5</v>
      </c>
    </row>
    <row r="21" ht="21" customHeight="1" s="124">
      <c r="B21" s="79" t="n">
        <v>6333</v>
      </c>
      <c r="C21" s="104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24">
      <c r="B22" s="79" t="n">
        <v>6392</v>
      </c>
      <c r="C22" s="104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24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9" t="inlineStr">
        <is>
          <t>ШТ</t>
        </is>
      </c>
      <c r="G23" s="77" t="n">
        <v>0.4</v>
      </c>
    </row>
    <row r="24" ht="21" customHeight="1" s="124">
      <c r="B24" s="79" t="n">
        <v>6797</v>
      </c>
      <c r="C24" s="75" t="n">
        <v>1001015026797</v>
      </c>
      <c r="D24" s="105" t="inlineStr">
        <is>
          <t>С ИНДЕЙКОЙ Папа может вар п/о 0.4кг 8шт.</t>
        </is>
      </c>
      <c r="E24" s="105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24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9" t="inlineStr">
        <is>
          <t>ШТ</t>
        </is>
      </c>
      <c r="G25" s="77" t="n">
        <v>0.3</v>
      </c>
    </row>
    <row r="26" ht="23.25" customHeight="1" s="124">
      <c r="B26" s="83" t="n"/>
      <c r="C26" s="106" t="n"/>
      <c r="D26" s="107" t="inlineStr">
        <is>
          <t>Ветчины</t>
        </is>
      </c>
      <c r="E26" s="108" t="n"/>
      <c r="F26" s="109" t="n"/>
      <c r="G26" s="110" t="n"/>
    </row>
    <row r="27" ht="21" customHeight="1" s="124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9" t="inlineStr">
        <is>
          <t>КГ</t>
        </is>
      </c>
      <c r="G27" s="77" t="n">
        <v>1</v>
      </c>
    </row>
    <row r="28" ht="21" customHeight="1" s="124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9" t="inlineStr">
        <is>
          <t>ШТ</t>
        </is>
      </c>
      <c r="G28" s="77" t="n">
        <v>0.3</v>
      </c>
    </row>
    <row r="29" ht="21" customHeight="1" s="124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9" t="inlineStr">
        <is>
          <t>КГ</t>
        </is>
      </c>
      <c r="G29" s="77" t="n">
        <v>1</v>
      </c>
    </row>
    <row r="30" ht="21" customHeight="1" s="124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9" t="inlineStr">
        <is>
          <t>КГ</t>
        </is>
      </c>
      <c r="G30" s="77" t="n">
        <v>1</v>
      </c>
    </row>
    <row r="31" ht="21" customHeight="1" s="124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9" t="inlineStr">
        <is>
          <t>КГ</t>
        </is>
      </c>
      <c r="G31" s="77" t="n">
        <v>1</v>
      </c>
    </row>
    <row r="32" ht="21" customHeight="1" s="124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9" t="inlineStr">
        <is>
          <t>КГ</t>
        </is>
      </c>
      <c r="G32" s="77" t="n">
        <v>1</v>
      </c>
    </row>
    <row r="33" ht="21" customHeight="1" s="124">
      <c r="B33" s="79" t="n">
        <v>3215</v>
      </c>
      <c r="C33" s="104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24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9" t="inlineStr">
        <is>
          <t>ШТ</t>
        </is>
      </c>
      <c r="G34" s="77" t="n">
        <v>0.4</v>
      </c>
    </row>
    <row r="35" ht="21" customHeight="1" s="124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11" t="n"/>
      <c r="F35" s="119" t="inlineStr">
        <is>
          <t>ШТ</t>
        </is>
      </c>
      <c r="G35" s="77" t="n">
        <v>0.3</v>
      </c>
    </row>
    <row r="36" ht="21" customHeight="1" s="124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24">
      <c r="B37" s="112" t="n"/>
      <c r="C37" s="113" t="n"/>
      <c r="D37" s="114" t="inlineStr">
        <is>
          <t>Копчености в/к</t>
        </is>
      </c>
      <c r="E37" s="115" t="n"/>
      <c r="F37" s="116" t="n"/>
      <c r="G37" s="117" t="n"/>
    </row>
    <row r="38" ht="21" customHeight="1" s="124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9" t="inlineStr">
        <is>
          <t>КГ</t>
        </is>
      </c>
      <c r="G38" s="77" t="n">
        <v>1</v>
      </c>
    </row>
    <row r="39" ht="21" customHeight="1" s="124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9" t="inlineStr">
        <is>
          <t>ШТ</t>
        </is>
      </c>
      <c r="G39" s="77" t="n">
        <v>0.3</v>
      </c>
    </row>
    <row r="40" ht="21" customHeight="1" s="124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9" t="inlineStr">
        <is>
          <t>ШТ</t>
        </is>
      </c>
      <c r="G40" s="77" t="n">
        <v>0.3</v>
      </c>
    </row>
    <row r="41" ht="23.25" customHeight="1" s="124">
      <c r="B41" s="83" t="n"/>
      <c r="C41" s="106" t="n"/>
      <c r="D41" s="107" t="inlineStr">
        <is>
          <t>Нарезка копченостей</t>
        </is>
      </c>
      <c r="E41" s="108" t="n"/>
      <c r="F41" s="109" t="n"/>
      <c r="G41" s="110" t="n"/>
    </row>
    <row r="42" ht="23.25" customHeight="1" s="124">
      <c r="B42" s="79" t="n">
        <v>7103</v>
      </c>
      <c r="C42" s="104" t="n">
        <v>1001223297103</v>
      </c>
      <c r="D42" s="69" t="inlineStr">
        <is>
          <t>БЕКОН Останкино с/к с/н в/у 1/180 10шт.</t>
        </is>
      </c>
      <c r="E42" s="118" t="n"/>
      <c r="F42" s="79" t="inlineStr">
        <is>
          <t>ШТ</t>
        </is>
      </c>
      <c r="G42" s="77" t="n">
        <v>0.18</v>
      </c>
    </row>
    <row r="43" ht="21" customHeight="1" s="124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9" t="inlineStr">
        <is>
          <t>ШТ</t>
        </is>
      </c>
      <c r="G43" s="77" t="n">
        <v>0.15</v>
      </c>
    </row>
    <row r="44" ht="21" customHeight="1" s="124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24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9" t="inlineStr">
        <is>
          <t>ШТ</t>
        </is>
      </c>
      <c r="G45" s="77" t="n">
        <v>0.1</v>
      </c>
    </row>
    <row r="46" ht="21" customHeight="1" s="124">
      <c r="B46" s="79" t="n">
        <v>6754</v>
      </c>
      <c r="C46" s="104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24">
      <c r="B47" s="79" t="n">
        <v>6208</v>
      </c>
      <c r="C47" s="104" t="n">
        <v>1001220226208</v>
      </c>
      <c r="D47" s="69" t="inlineStr">
        <is>
          <t>ДЫМОВИЦА ИЗ ЛОПАТКИ ПМ к/в с/н в/у 1/150</t>
        </is>
      </c>
      <c r="E47" s="118" t="n"/>
      <c r="F47" s="79" t="inlineStr">
        <is>
          <t>ШТ</t>
        </is>
      </c>
      <c r="G47" s="77" t="n">
        <v>0.15</v>
      </c>
    </row>
    <row r="48" ht="23.25" customHeight="1" s="124">
      <c r="B48" s="79" t="n">
        <v>6228</v>
      </c>
      <c r="C48" s="104" t="n">
        <v>1001225416228</v>
      </c>
      <c r="D48" s="69" t="inlineStr">
        <is>
          <t>МЯСНОЕ АССОРТИ к/з с/н мгс 1/90 10шт.</t>
        </is>
      </c>
      <c r="E48" s="118" t="n"/>
      <c r="F48" s="79" t="inlineStr">
        <is>
          <t>ШТ</t>
        </is>
      </c>
      <c r="G48" s="77" t="n">
        <v>0.09</v>
      </c>
    </row>
    <row r="49" ht="21" customHeight="1" s="124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11" t="n"/>
      <c r="F49" s="79" t="inlineStr">
        <is>
          <t>ШТ</t>
        </is>
      </c>
      <c r="G49" s="80" t="n">
        <v>0.1</v>
      </c>
    </row>
    <row r="50" ht="23.25" customHeight="1" s="124">
      <c r="B50" s="83" t="n"/>
      <c r="C50" s="106" t="n"/>
      <c r="D50" s="107" t="inlineStr">
        <is>
          <t>Копченые колбасы</t>
        </is>
      </c>
      <c r="E50" s="108" t="n"/>
      <c r="F50" s="109" t="n"/>
      <c r="G50" s="110" t="n"/>
    </row>
    <row r="51" ht="21" customHeight="1" s="124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24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9" t="inlineStr">
        <is>
          <t>КГ</t>
        </is>
      </c>
      <c r="G52" s="77" t="n">
        <v>1</v>
      </c>
    </row>
    <row r="53" ht="21" customHeight="1" s="124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9" t="inlineStr">
        <is>
          <t>КГ</t>
        </is>
      </c>
      <c r="G53" s="77" t="n">
        <v>1</v>
      </c>
    </row>
    <row r="54" ht="21" customHeight="1" s="124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9" t="inlineStr">
        <is>
          <t>КГ</t>
        </is>
      </c>
      <c r="G54" s="77" t="n">
        <v>1</v>
      </c>
    </row>
    <row r="55" ht="21" customHeight="1" s="124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9" t="inlineStr">
        <is>
          <t>КГ</t>
        </is>
      </c>
      <c r="G55" s="77" t="n">
        <v>1</v>
      </c>
    </row>
    <row r="56" ht="21" customHeight="1" s="124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9" t="inlineStr">
        <is>
          <t>ШТ</t>
        </is>
      </c>
      <c r="G56" s="77" t="n">
        <v>0.84</v>
      </c>
    </row>
    <row r="57" ht="21" customHeight="1" s="124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9" t="inlineStr">
        <is>
          <t>КГ</t>
        </is>
      </c>
      <c r="G57" s="77" t="n">
        <v>1</v>
      </c>
    </row>
    <row r="58" ht="21" customHeight="1" s="124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9" t="inlineStr">
        <is>
          <t>КГ</t>
        </is>
      </c>
      <c r="G58" s="77" t="n">
        <v>1</v>
      </c>
    </row>
    <row r="59" ht="21" customHeight="1" s="124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24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9" t="inlineStr">
        <is>
          <t>ШТ</t>
        </is>
      </c>
      <c r="G60" s="77" t="n">
        <v>0.33</v>
      </c>
    </row>
    <row r="61" ht="21" customHeight="1" s="124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9" t="inlineStr">
        <is>
          <t>ШТ</t>
        </is>
      </c>
      <c r="G61" s="77" t="n">
        <v>0.33</v>
      </c>
    </row>
    <row r="62" ht="21" customHeight="1" s="124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9" t="inlineStr">
        <is>
          <t>ШТ</t>
        </is>
      </c>
      <c r="G62" s="77" t="n">
        <v>0.35</v>
      </c>
    </row>
    <row r="63" ht="21" customHeight="1" s="124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9" t="inlineStr">
        <is>
          <t>ШТ</t>
        </is>
      </c>
      <c r="G63" s="77" t="n">
        <v>0.35</v>
      </c>
    </row>
    <row r="64" ht="21" customHeight="1" s="124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9" t="inlineStr">
        <is>
          <t>ШТ</t>
        </is>
      </c>
      <c r="G64" s="77" t="n">
        <v>0.31</v>
      </c>
    </row>
    <row r="65" ht="21" customHeight="1" s="124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9" t="inlineStr">
        <is>
          <t>ШТ</t>
        </is>
      </c>
      <c r="G65" s="77" t="n">
        <v>0.28</v>
      </c>
    </row>
    <row r="66" ht="21" customHeight="1" s="124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9" t="inlineStr">
        <is>
          <t>ШТ</t>
        </is>
      </c>
      <c r="G66" s="77" t="n">
        <v>0.35</v>
      </c>
    </row>
    <row r="67" ht="21" customHeight="1" s="124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9" t="inlineStr">
        <is>
          <t>ШТ</t>
        </is>
      </c>
      <c r="G67" s="77" t="n">
        <v>0.28</v>
      </c>
    </row>
    <row r="68" ht="21" customHeight="1" s="124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9" t="inlineStr">
        <is>
          <t>ШТ</t>
        </is>
      </c>
      <c r="G68" s="77" t="n">
        <v>0.35</v>
      </c>
    </row>
    <row r="69" ht="21" customHeight="1" s="124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9" t="inlineStr">
        <is>
          <t>ШТ</t>
        </is>
      </c>
      <c r="G69" s="77" t="n">
        <v>0.31</v>
      </c>
    </row>
    <row r="70" ht="21" customHeight="1" s="124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9" t="inlineStr">
        <is>
          <t>ШТ</t>
        </is>
      </c>
      <c r="G70" s="77" t="n">
        <v>0.28</v>
      </c>
    </row>
    <row r="71" ht="21" customHeight="1" s="124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9" t="inlineStr">
        <is>
          <t>ШТ</t>
        </is>
      </c>
      <c r="G71" s="77" t="n">
        <v>0.28</v>
      </c>
    </row>
    <row r="72" ht="21" customHeight="1" s="124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9" t="inlineStr">
        <is>
          <t>ШТ</t>
        </is>
      </c>
      <c r="G72" s="77" t="n">
        <v>0.28</v>
      </c>
    </row>
    <row r="73" ht="21" customHeight="1" s="124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9" t="inlineStr">
        <is>
          <t>ШТ</t>
        </is>
      </c>
      <c r="G73" s="77" t="n">
        <v>0.28</v>
      </c>
    </row>
    <row r="74" ht="23.25" customHeight="1" s="124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24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24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24">
      <c r="B77" s="83" t="n"/>
      <c r="C77" s="106" t="n"/>
      <c r="D77" s="107" t="inlineStr">
        <is>
          <t>Нарезка с/к колбас</t>
        </is>
      </c>
      <c r="E77" s="108" t="n"/>
      <c r="F77" s="109" t="n"/>
      <c r="G77" s="110" t="n"/>
    </row>
    <row r="78" ht="21" customHeight="1" s="124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24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9" t="inlineStr">
        <is>
          <t>ШТ</t>
        </is>
      </c>
      <c r="G79" s="77" t="n">
        <v>0.12</v>
      </c>
    </row>
    <row r="80" ht="21" customHeight="1" s="124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9" t="inlineStr">
        <is>
          <t>ШТ</t>
        </is>
      </c>
      <c r="G80" s="77" t="n">
        <v>0.1</v>
      </c>
    </row>
    <row r="81" ht="21" customHeight="1" s="124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9" t="inlineStr">
        <is>
          <t>ШТ</t>
        </is>
      </c>
      <c r="G81" s="77" t="n">
        <v>0.1</v>
      </c>
    </row>
    <row r="82" ht="21" customHeight="1" s="124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9" t="inlineStr">
        <is>
          <t>ШТ</t>
        </is>
      </c>
      <c r="G82" s="77" t="n">
        <v>0.09</v>
      </c>
    </row>
    <row r="83" ht="21" customHeight="1" s="124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9" t="inlineStr">
        <is>
          <t>ШТ</t>
        </is>
      </c>
      <c r="G83" s="77" t="n">
        <v>0.09</v>
      </c>
    </row>
    <row r="84" ht="21" customHeight="1" s="124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24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9" t="inlineStr">
        <is>
          <t>ШТ</t>
        </is>
      </c>
      <c r="G85" s="77" t="n">
        <v>0.07000000000000001</v>
      </c>
    </row>
    <row r="86" ht="21" customHeight="1" s="124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24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11" t="n"/>
      <c r="F87" s="79" t="inlineStr">
        <is>
          <t>ШТ</t>
        </is>
      </c>
      <c r="G87" s="80" t="n">
        <v>0.1</v>
      </c>
    </row>
    <row r="88" ht="21" customHeight="1" s="124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11" t="n"/>
      <c r="F88" s="79" t="inlineStr">
        <is>
          <t>КГ</t>
        </is>
      </c>
      <c r="G88" s="80" t="n">
        <v>1</v>
      </c>
    </row>
    <row r="89" ht="23.25" customHeight="1" s="124">
      <c r="B89" s="83" t="n"/>
      <c r="C89" s="106" t="n"/>
      <c r="D89" s="107" t="inlineStr">
        <is>
          <t>Сырокопченые колбасы</t>
        </is>
      </c>
      <c r="E89" s="108" t="n"/>
      <c r="F89" s="109" t="n"/>
      <c r="G89" s="110" t="n"/>
    </row>
    <row r="90" ht="21" customHeight="1" s="124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24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24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9" t="inlineStr">
        <is>
          <t>КГ</t>
        </is>
      </c>
      <c r="G92" s="77" t="n">
        <v>1</v>
      </c>
    </row>
    <row r="93" ht="21" customHeight="1" s="124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9" t="inlineStr">
        <is>
          <t>КГ</t>
        </is>
      </c>
      <c r="G93" s="77" t="n">
        <v>1</v>
      </c>
    </row>
    <row r="94" ht="21" customHeight="1" s="124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24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24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24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24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24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24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9" t="inlineStr">
        <is>
          <t>ШТ</t>
        </is>
      </c>
      <c r="G100" s="77" t="n">
        <v>0.25</v>
      </c>
    </row>
    <row r="101" ht="21" customHeight="1" s="124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24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24">
      <c r="B103" s="119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9" t="inlineStr">
        <is>
          <t>ШТ</t>
        </is>
      </c>
      <c r="G103" s="77" t="n">
        <v>0.25</v>
      </c>
    </row>
    <row r="104" ht="21" customHeight="1" s="124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24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24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24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24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24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24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24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24">
      <c r="B112" s="112" t="n"/>
      <c r="C112" s="113" t="n"/>
      <c r="D112" s="114" t="inlineStr">
        <is>
          <t xml:space="preserve">Сардельки </t>
        </is>
      </c>
      <c r="E112" s="115" t="n"/>
      <c r="F112" s="116" t="n"/>
      <c r="G112" s="117" t="n"/>
    </row>
    <row r="113" ht="21" customHeight="1" s="124">
      <c r="B113" s="119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9" t="inlineStr">
        <is>
          <t>КГ</t>
        </is>
      </c>
      <c r="G113" s="77" t="n">
        <v>1</v>
      </c>
    </row>
    <row r="114" ht="21" customHeight="1" s="124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9" t="inlineStr">
        <is>
          <t>КГ</t>
        </is>
      </c>
      <c r="G114" s="77" t="n">
        <v>1</v>
      </c>
    </row>
    <row r="115" ht="21" customHeight="1" s="124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9" t="inlineStr">
        <is>
          <t>КГ</t>
        </is>
      </c>
      <c r="G115" s="77" t="n">
        <v>1</v>
      </c>
    </row>
    <row r="116" ht="21" customHeight="1" s="124">
      <c r="B116" s="119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9" t="inlineStr">
        <is>
          <t>КГ</t>
        </is>
      </c>
      <c r="G116" s="77" t="n">
        <v>1</v>
      </c>
    </row>
    <row r="117" ht="21" customHeight="1" s="124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9" t="inlineStr">
        <is>
          <t>КГ</t>
        </is>
      </c>
      <c r="G117" s="77" t="n">
        <v>1</v>
      </c>
    </row>
    <row r="118" ht="21" customHeight="1" s="124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24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24">
      <c r="B120" s="83" t="n"/>
      <c r="C120" s="106" t="n"/>
      <c r="D120" s="107" t="inlineStr">
        <is>
          <t xml:space="preserve">Сосиски  </t>
        </is>
      </c>
      <c r="E120" s="108" t="n"/>
      <c r="F120" s="109" t="n"/>
      <c r="G120" s="110" t="n"/>
    </row>
    <row r="121" ht="21" customHeight="1" s="124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9" t="inlineStr">
        <is>
          <t>КГ</t>
        </is>
      </c>
      <c r="G121" s="77" t="n">
        <v>1</v>
      </c>
    </row>
    <row r="122" ht="21" customHeight="1" s="124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24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24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9" t="inlineStr">
        <is>
          <t>КГ</t>
        </is>
      </c>
      <c r="G124" s="77" t="n">
        <v>1</v>
      </c>
    </row>
    <row r="125" ht="21" customHeight="1" s="124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24">
      <c r="B126" s="119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24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9" t="inlineStr">
        <is>
          <t>КГ</t>
        </is>
      </c>
      <c r="G127" s="77" t="n">
        <v>1</v>
      </c>
    </row>
    <row r="128" ht="21" customHeight="1" s="124">
      <c r="B128" s="119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9" t="inlineStr">
        <is>
          <t>КГ</t>
        </is>
      </c>
      <c r="G128" s="77" t="n">
        <v>1</v>
      </c>
    </row>
    <row r="129" ht="21" customHeight="1" s="124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9" t="inlineStr">
        <is>
          <t>КГ</t>
        </is>
      </c>
      <c r="G129" s="77" t="n">
        <v>1</v>
      </c>
    </row>
    <row r="130" ht="21" customHeight="1" s="124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24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9" t="inlineStr">
        <is>
          <t>КГ</t>
        </is>
      </c>
      <c r="G131" s="77" t="n">
        <v>1</v>
      </c>
    </row>
    <row r="132" ht="21" customHeight="1" s="124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9" t="inlineStr">
        <is>
          <t>КГ</t>
        </is>
      </c>
      <c r="G132" s="77" t="n">
        <v>1</v>
      </c>
    </row>
    <row r="133" ht="21" customHeight="1" s="124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24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24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9" t="inlineStr">
        <is>
          <t>ШТ</t>
        </is>
      </c>
      <c r="G135" s="77" t="n">
        <v>0.36</v>
      </c>
    </row>
    <row r="136" ht="21" customHeight="1" s="124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24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9" t="inlineStr">
        <is>
          <t>ШТ</t>
        </is>
      </c>
      <c r="G137" s="77" t="n">
        <v>0.3</v>
      </c>
    </row>
    <row r="138" ht="21" customHeight="1" s="124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9" t="inlineStr">
        <is>
          <t>ШТ</t>
        </is>
      </c>
      <c r="G138" s="77" t="n">
        <v>0.4</v>
      </c>
    </row>
    <row r="139" ht="21" customHeight="1" s="124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9" t="inlineStr">
        <is>
          <t>ШТ</t>
        </is>
      </c>
      <c r="G139" s="77" t="n">
        <v>0.4</v>
      </c>
    </row>
    <row r="140" ht="21" customHeight="1" s="124">
      <c r="B140" s="123" t="n">
        <v>7284</v>
      </c>
      <c r="C140" s="92" t="n">
        <v>1001025767284</v>
      </c>
      <c r="D140" s="111" t="inlineStr">
        <is>
          <t>ДЛЯ ДЕТЕЙ сос п/о мгс 0.33кг 8шт.</t>
        </is>
      </c>
      <c r="E140" s="111" t="n"/>
      <c r="F140" s="121" t="inlineStr">
        <is>
          <t>ШТ</t>
        </is>
      </c>
      <c r="G140" s="122" t="n">
        <v>0.33</v>
      </c>
    </row>
    <row r="141" ht="21" customHeight="1" s="124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24">
      <c r="B142" s="123" t="n">
        <v>7461</v>
      </c>
      <c r="C142" s="94" t="n">
        <v>1001025767461</v>
      </c>
      <c r="D142" s="111" t="inlineStr">
        <is>
          <t>ДЛЯ ДЕТЕЙ Папа может сос п/о мгс 0.33кг</t>
        </is>
      </c>
      <c r="E142" s="90" t="n"/>
      <c r="F142" s="123" t="inlineStr">
        <is>
          <t>ШТ</t>
        </is>
      </c>
      <c r="G142" s="96" t="n">
        <v>0.33</v>
      </c>
    </row>
    <row r="143" ht="21" customHeight="1" s="124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24">
      <c r="B144" s="123" t="n">
        <v>6837</v>
      </c>
      <c r="C144" s="94" t="n">
        <v>1001022556837</v>
      </c>
      <c r="D144" s="111" t="inlineStr">
        <is>
          <t>ФИЛЕЙНЫЕ Папа Может сос ц/о мгс 0.4кг</t>
        </is>
      </c>
      <c r="E144" s="111" t="n"/>
      <c r="F144" s="121" t="inlineStr">
        <is>
          <t>ШТ</t>
        </is>
      </c>
      <c r="G144" s="122" t="n">
        <v>0.4</v>
      </c>
    </row>
    <row r="145" ht="21" customHeight="1" s="124">
      <c r="B145" s="123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3" t="inlineStr">
        <is>
          <t>ШТ</t>
        </is>
      </c>
      <c r="G145" s="96" t="n">
        <v>0.41</v>
      </c>
    </row>
    <row r="146" ht="21" customHeight="1" s="124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24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24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9" t="inlineStr">
        <is>
          <t>ШТ</t>
        </is>
      </c>
      <c r="G148" s="77" t="n">
        <v>0.41</v>
      </c>
    </row>
    <row r="149" ht="21" customHeight="1" s="124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24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24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24">
      <c r="B152" s="123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3" t="inlineStr">
        <is>
          <t>ШТ</t>
        </is>
      </c>
      <c r="G152" s="96" t="n">
        <v>0.3</v>
      </c>
    </row>
    <row r="153" ht="21" customHeight="1" s="124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24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24">
      <c r="B155" s="12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24">
      <c r="B156" s="12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2026-09-16T12:36:07Z</dcterms:modified>
  <cp:lastModifiedBy>Uaer4</cp:lastModifiedBy>
  <cp:lastPrinted>2015-01-13T07:32:10Z</cp:lastPrinted>
</cp:coreProperties>
</file>