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64ED5A9-3A66-4664-8D03-D22E40701C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1" l="1"/>
  <c r="R11" i="1"/>
  <c r="R7" i="1"/>
  <c r="S7" i="1"/>
  <c r="R8" i="1"/>
  <c r="S8" i="1"/>
  <c r="R9" i="1"/>
  <c r="S9" i="1"/>
  <c r="R10" i="1"/>
  <c r="S10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E16" i="1"/>
  <c r="L16" i="1"/>
  <c r="L5" i="1" s="1"/>
  <c r="L15" i="1"/>
  <c r="AE14" i="1"/>
  <c r="L14" i="1"/>
  <c r="AE13" i="1"/>
  <c r="L13" i="1"/>
  <c r="AE12" i="1"/>
  <c r="L12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E11" i="1" l="1"/>
  <c r="AE5" i="1" s="1"/>
</calcChain>
</file>

<file path=xl/sharedStrings.xml><?xml version="1.0" encoding="utf-8"?>
<sst xmlns="http://schemas.openxmlformats.org/spreadsheetml/2006/main" count="82" uniqueCount="51">
  <si>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</si>
  <si>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</si>
  <si>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</si>
  <si>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</si>
  <si>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</si>
  <si>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</si>
  <si>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</si>
  <si>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</si>
  <si>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</si>
  <si>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</si>
  <si>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</si>
  <si>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</si>
  <si>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</si>
  <si>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</si>
  <si>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</si>
  <si>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</si>
  <si>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</si>
  <si>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</si>
  <si>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</si>
  <si>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</si>
  <si>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</si>
  <si>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</si>
  <si>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07,09,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</si>
  <si>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</si>
  <si>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</si>
  <si>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</si>
  <si>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</si>
  <si>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</si>
  <si>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</si>
  <si>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</si>
  <si>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</si>
  <si>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</si>
  <si>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</si>
  <si>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</si>
  <si>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</si>
  <si>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</si>
  <si>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</si>
  <si>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</si>
  <si>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</si>
  <si>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</si>
  <si>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</si>
  <si>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</si>
  <si>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</si>
  <si>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</si>
  <si>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</si>
  <si>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</si>
  <si>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нет потребности / 84шт в уценку (27,08,26) / 83шт в уценку (06,08,26)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</si>
  <si>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</si>
  <si>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46шт в уценку (06,08,26)</t>
    </r>
  </si>
  <si>
    <t>заказ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</si>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</sst>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0.285156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50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327.02800000000002</v>
      </c>
      <c r="F5" s="4">
        <f>SUM(F6:F500)</f>
        <v>768.86599999999999</v>
      </c>
      <c r="G5" s="7"/>
      <c r="H5" s="1"/>
      <c r="I5" s="1"/>
      <c r="J5" s="1"/>
      <c r="K5" s="4">
        <f t="shared" ref="K5:Q5" si="0">SUM(K6:K500)</f>
        <v>465</v>
      </c>
      <c r="L5" s="4">
        <f t="shared" si="0"/>
        <v>-137.97199999999998</v>
      </c>
      <c r="M5" s="4">
        <f t="shared" si="0"/>
        <v>0</v>
      </c>
      <c r="N5" s="4">
        <f t="shared" si="0"/>
        <v>0</v>
      </c>
      <c r="O5" s="4">
        <f t="shared" si="0"/>
        <v>290</v>
      </c>
      <c r="P5" s="4">
        <f t="shared" si="0"/>
        <v>65.405599999999993</v>
      </c>
      <c r="Q5" s="4">
        <f t="shared" si="0"/>
        <v>310</v>
      </c>
      <c r="R5" s="1"/>
      <c r="S5" s="1"/>
      <c r="T5" s="4">
        <f t="shared" ref="T5:AC5" si="1">SUM(T6:T500)</f>
        <v>55.437199999999997</v>
      </c>
      <c r="U5" s="4">
        <f t="shared" si="1"/>
        <v>53.413999999999987</v>
      </c>
      <c r="V5" s="4">
        <f t="shared" si="1"/>
        <v>78.434399999999997</v>
      </c>
      <c r="W5" s="4">
        <f t="shared" si="1"/>
        <v>44.2</v>
      </c>
      <c r="X5" s="4">
        <f t="shared" si="1"/>
        <v>82.250399999999985</v>
      </c>
      <c r="Y5" s="4">
        <f t="shared" si="1"/>
        <v>62.94319999999999</v>
      </c>
      <c r="Z5" s="4">
        <f t="shared" si="1"/>
        <v>63.713200000000001</v>
      </c>
      <c r="AA5" s="4">
        <f t="shared" si="1"/>
        <v>88.232799999999997</v>
      </c>
      <c r="AB5" s="4">
        <f t="shared" si="1"/>
        <v>69.177999999999997</v>
      </c>
      <c r="AC5" s="4">
        <f t="shared" si="1"/>
        <v>81.424800000000005</v>
      </c>
      <c r="AD5" s="1"/>
      <c r="AE5" s="4">
        <f>SUM(AE6:AE500)</f>
        <v>100.5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60</v>
      </c>
      <c r="D6" s="1">
        <v>2</v>
      </c>
      <c r="E6" s="1">
        <v>10</v>
      </c>
      <c r="F6" s="1">
        <v>50</v>
      </c>
      <c r="G6" s="7">
        <v>0.42</v>
      </c>
      <c r="H6" s="1">
        <v>120</v>
      </c>
      <c r="I6" s="1" t="s">
        <v>34</v>
      </c>
      <c r="J6" s="1"/>
      <c r="K6" s="1">
        <v>12</v>
      </c>
      <c r="L6" s="1">
        <f t="shared" ref="L6:L16" si="2">E6-K6</f>
        <v>-2</v>
      </c>
      <c r="M6" s="1"/>
      <c r="N6" s="1"/>
      <c r="O6" s="1"/>
      <c r="P6" s="1">
        <f>E6/5</f>
        <v>2</v>
      </c>
      <c r="Q6" s="5"/>
      <c r="R6" s="1">
        <f>(F6+O6+Q6)/P6</f>
        <v>25</v>
      </c>
      <c r="S6" s="1">
        <f>(F6+O6)/P6</f>
        <v>25</v>
      </c>
      <c r="T6" s="1">
        <v>0</v>
      </c>
      <c r="U6" s="1">
        <v>0.2</v>
      </c>
      <c r="V6" s="1">
        <v>0.4</v>
      </c>
      <c r="W6" s="1">
        <v>2.2000000000000002</v>
      </c>
      <c r="X6" s="1">
        <v>3.6</v>
      </c>
      <c r="Y6" s="1">
        <v>0</v>
      </c>
      <c r="Z6" s="1">
        <v>0.6</v>
      </c>
      <c r="AA6" s="1">
        <v>-0.2</v>
      </c>
      <c r="AB6" s="1">
        <v>1</v>
      </c>
      <c r="AC6" s="1">
        <v>1</v>
      </c>
      <c r="AD6" s="9" t="s">
        <v>48</v>
      </c>
      <c r="AE6" s="1">
        <f t="shared" ref="AE6:AE14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-5.1999999999999998E-2</v>
      </c>
      <c r="D7" s="1">
        <v>18.309999999999999</v>
      </c>
      <c r="E7" s="1"/>
      <c r="F7" s="1">
        <v>18.257999999999999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>
        <v>10</v>
      </c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1.8371999999999999</v>
      </c>
      <c r="U7" s="1">
        <v>1.8140000000000001</v>
      </c>
      <c r="V7" s="1">
        <v>0.91639999999999999</v>
      </c>
      <c r="W7" s="1">
        <v>0</v>
      </c>
      <c r="X7" s="1">
        <v>1.8348</v>
      </c>
      <c r="Y7" s="1">
        <v>1.8384</v>
      </c>
      <c r="Z7" s="1">
        <v>0.91320000000000001</v>
      </c>
      <c r="AA7" s="1">
        <v>1.8176000000000001</v>
      </c>
      <c r="AB7" s="1">
        <v>4.5468000000000002</v>
      </c>
      <c r="AC7" s="1">
        <v>0.91639999999999999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109.636</v>
      </c>
      <c r="D8" s="1"/>
      <c r="E8" s="1">
        <v>9.0280000000000005</v>
      </c>
      <c r="F8" s="1">
        <v>100.608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2.8000000000000469E-2</v>
      </c>
      <c r="M8" s="1"/>
      <c r="N8" s="1"/>
      <c r="O8" s="1"/>
      <c r="P8" s="1">
        <f t="shared" si="4"/>
        <v>1.8056000000000001</v>
      </c>
      <c r="Q8" s="5"/>
      <c r="R8" s="1">
        <f t="shared" si="5"/>
        <v>55.719982277359328</v>
      </c>
      <c r="S8" s="1">
        <f t="shared" si="6"/>
        <v>55.719982277359328</v>
      </c>
      <c r="T8" s="1">
        <v>0</v>
      </c>
      <c r="U8" s="1">
        <v>0</v>
      </c>
      <c r="V8" s="1">
        <v>0.91799999999999993</v>
      </c>
      <c r="W8" s="1">
        <v>0</v>
      </c>
      <c r="X8" s="1">
        <v>1.8156000000000001</v>
      </c>
      <c r="Y8" s="1">
        <v>0.90480000000000005</v>
      </c>
      <c r="Z8" s="1">
        <v>0</v>
      </c>
      <c r="AA8" s="1">
        <v>1.8151999999999999</v>
      </c>
      <c r="AB8" s="1">
        <v>1.8311999999999999</v>
      </c>
      <c r="AC8" s="1">
        <v>0.90839999999999999</v>
      </c>
      <c r="AD8" s="10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33</v>
      </c>
      <c r="C9" s="1">
        <v>130</v>
      </c>
      <c r="D9" s="1">
        <v>4</v>
      </c>
      <c r="E9" s="1">
        <v>11</v>
      </c>
      <c r="F9" s="1">
        <v>117</v>
      </c>
      <c r="G9" s="7">
        <v>0.42</v>
      </c>
      <c r="H9" s="1">
        <v>120</v>
      </c>
      <c r="I9" s="1" t="s">
        <v>34</v>
      </c>
      <c r="J9" s="1"/>
      <c r="K9" s="1">
        <v>15</v>
      </c>
      <c r="L9" s="1">
        <f t="shared" si="2"/>
        <v>-4</v>
      </c>
      <c r="M9" s="1"/>
      <c r="N9" s="1"/>
      <c r="O9" s="1"/>
      <c r="P9" s="1">
        <f t="shared" si="4"/>
        <v>2.2000000000000002</v>
      </c>
      <c r="Q9" s="5"/>
      <c r="R9" s="1">
        <f t="shared" si="5"/>
        <v>53.18181818181818</v>
      </c>
      <c r="S9" s="1">
        <f t="shared" si="6"/>
        <v>53.18181818181818</v>
      </c>
      <c r="T9" s="1">
        <v>0</v>
      </c>
      <c r="U9" s="1">
        <v>1.8</v>
      </c>
      <c r="V9" s="1">
        <v>3.4</v>
      </c>
      <c r="W9" s="1">
        <v>1.4</v>
      </c>
      <c r="X9" s="1">
        <v>2.4</v>
      </c>
      <c r="Y9" s="1">
        <v>0.4</v>
      </c>
      <c r="Z9" s="1">
        <v>1.8</v>
      </c>
      <c r="AA9" s="1">
        <v>1.4</v>
      </c>
      <c r="AB9" s="1">
        <v>4.5999999999999996</v>
      </c>
      <c r="AC9" s="1">
        <v>2.4</v>
      </c>
      <c r="AD9" s="10" t="s">
        <v>38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13</v>
      </c>
      <c r="D10" s="1"/>
      <c r="E10" s="1">
        <v>7</v>
      </c>
      <c r="F10" s="1">
        <v>6</v>
      </c>
      <c r="G10" s="7">
        <v>0.3</v>
      </c>
      <c r="H10" s="1">
        <v>120</v>
      </c>
      <c r="I10" s="1" t="s">
        <v>34</v>
      </c>
      <c r="J10" s="1"/>
      <c r="K10" s="1">
        <v>91</v>
      </c>
      <c r="L10" s="1">
        <f t="shared" si="2"/>
        <v>-84</v>
      </c>
      <c r="M10" s="1"/>
      <c r="N10" s="1"/>
      <c r="O10" s="1">
        <v>110</v>
      </c>
      <c r="P10" s="1">
        <f t="shared" si="4"/>
        <v>1.4</v>
      </c>
      <c r="Q10" s="5"/>
      <c r="R10" s="1">
        <f t="shared" si="5"/>
        <v>82.857142857142861</v>
      </c>
      <c r="S10" s="1">
        <f t="shared" si="6"/>
        <v>82.857142857142861</v>
      </c>
      <c r="T10" s="1">
        <v>10.4</v>
      </c>
      <c r="U10" s="1">
        <v>0.2</v>
      </c>
      <c r="V10" s="1">
        <v>7</v>
      </c>
      <c r="W10" s="1">
        <v>7.8</v>
      </c>
      <c r="X10" s="1">
        <v>7</v>
      </c>
      <c r="Y10" s="1">
        <v>9.1999999999999993</v>
      </c>
      <c r="Z10" s="1">
        <v>6.2</v>
      </c>
      <c r="AA10" s="1">
        <v>9.6</v>
      </c>
      <c r="AB10" s="1">
        <v>9.6</v>
      </c>
      <c r="AC10" s="1">
        <v>10.199999999999999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33</v>
      </c>
      <c r="C11" s="1">
        <v>114</v>
      </c>
      <c r="D11" s="1">
        <v>14</v>
      </c>
      <c r="E11" s="1">
        <v>79</v>
      </c>
      <c r="F11" s="1">
        <v>33</v>
      </c>
      <c r="G11" s="7">
        <v>0.3</v>
      </c>
      <c r="H11" s="1">
        <v>120</v>
      </c>
      <c r="I11" s="1" t="s">
        <v>34</v>
      </c>
      <c r="J11" s="1"/>
      <c r="K11" s="1">
        <v>93</v>
      </c>
      <c r="L11" s="1">
        <f t="shared" si="2"/>
        <v>-14</v>
      </c>
      <c r="M11" s="1"/>
      <c r="N11" s="1"/>
      <c r="O11" s="1">
        <v>170</v>
      </c>
      <c r="P11" s="1">
        <f t="shared" si="4"/>
        <v>15.8</v>
      </c>
      <c r="Q11" s="5">
        <v>40</v>
      </c>
      <c r="R11" s="1">
        <f t="shared" si="5"/>
        <v>15.379746835443036</v>
      </c>
      <c r="S11" s="1">
        <f t="shared" si="6"/>
        <v>12.848101265822784</v>
      </c>
      <c r="T11" s="1">
        <v>18.8</v>
      </c>
      <c r="U11" s="1">
        <v>14.2</v>
      </c>
      <c r="V11" s="1">
        <v>17.8</v>
      </c>
      <c r="W11" s="1">
        <v>5.4</v>
      </c>
      <c r="X11" s="1">
        <v>22.8</v>
      </c>
      <c r="Y11" s="1">
        <v>9</v>
      </c>
      <c r="Z11" s="1">
        <v>10</v>
      </c>
      <c r="AA11" s="1">
        <v>20.2</v>
      </c>
      <c r="AB11" s="1">
        <v>14.2</v>
      </c>
      <c r="AC11" s="1">
        <v>22.6</v>
      </c>
      <c r="AD11" s="1"/>
      <c r="AE11" s="1">
        <f t="shared" si="3"/>
        <v>12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33</v>
      </c>
      <c r="C12" s="1">
        <v>55</v>
      </c>
      <c r="D12" s="1">
        <v>60</v>
      </c>
      <c r="E12" s="1">
        <v>45</v>
      </c>
      <c r="F12" s="1">
        <v>56</v>
      </c>
      <c r="G12" s="7">
        <v>0.35</v>
      </c>
      <c r="H12" s="1">
        <v>120</v>
      </c>
      <c r="I12" s="1" t="s">
        <v>34</v>
      </c>
      <c r="J12" s="1"/>
      <c r="K12" s="1">
        <v>57</v>
      </c>
      <c r="L12" s="1">
        <f t="shared" si="2"/>
        <v>-12</v>
      </c>
      <c r="M12" s="1"/>
      <c r="N12" s="1"/>
      <c r="O12" s="1"/>
      <c r="P12" s="1">
        <f t="shared" si="4"/>
        <v>9</v>
      </c>
      <c r="Q12" s="5">
        <v>80</v>
      </c>
      <c r="R12" s="1">
        <f t="shared" si="5"/>
        <v>15.111111111111111</v>
      </c>
      <c r="S12" s="1">
        <f t="shared" si="6"/>
        <v>6.2222222222222223</v>
      </c>
      <c r="T12" s="1">
        <v>7</v>
      </c>
      <c r="U12" s="1">
        <v>9.4</v>
      </c>
      <c r="V12" s="1">
        <v>10.199999999999999</v>
      </c>
      <c r="W12" s="1">
        <v>7.2</v>
      </c>
      <c r="X12" s="1">
        <v>12.4</v>
      </c>
      <c r="Y12" s="1">
        <v>8</v>
      </c>
      <c r="Z12" s="1">
        <v>9.4</v>
      </c>
      <c r="AA12" s="1">
        <v>13.4</v>
      </c>
      <c r="AB12" s="1">
        <v>16.399999999999999</v>
      </c>
      <c r="AC12" s="1">
        <v>12</v>
      </c>
      <c r="AD12" s="1"/>
      <c r="AE12" s="1">
        <f t="shared" si="3"/>
        <v>28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33</v>
      </c>
      <c r="C13" s="1">
        <v>159</v>
      </c>
      <c r="D13" s="1">
        <v>4</v>
      </c>
      <c r="E13" s="1">
        <v>70</v>
      </c>
      <c r="F13" s="1">
        <v>89</v>
      </c>
      <c r="G13" s="7">
        <v>0.3</v>
      </c>
      <c r="H13" s="1">
        <v>120</v>
      </c>
      <c r="I13" s="1" t="s">
        <v>34</v>
      </c>
      <c r="J13" s="1"/>
      <c r="K13" s="1">
        <v>75</v>
      </c>
      <c r="L13" s="1">
        <f t="shared" si="2"/>
        <v>-5</v>
      </c>
      <c r="M13" s="1"/>
      <c r="N13" s="1"/>
      <c r="O13" s="1"/>
      <c r="P13" s="1">
        <f t="shared" si="4"/>
        <v>14</v>
      </c>
      <c r="Q13" s="5">
        <v>120</v>
      </c>
      <c r="R13" s="1">
        <f t="shared" si="5"/>
        <v>14.928571428571429</v>
      </c>
      <c r="S13" s="1">
        <f t="shared" si="6"/>
        <v>6.3571428571428568</v>
      </c>
      <c r="T13" s="1">
        <v>4.5999999999999996</v>
      </c>
      <c r="U13" s="1">
        <v>9.1999999999999993</v>
      </c>
      <c r="V13" s="1">
        <v>15.2</v>
      </c>
      <c r="W13" s="1">
        <v>7.6</v>
      </c>
      <c r="X13" s="1">
        <v>11.2</v>
      </c>
      <c r="Y13" s="1">
        <v>13</v>
      </c>
      <c r="Z13" s="1">
        <v>7.4</v>
      </c>
      <c r="AA13" s="1">
        <v>13.8</v>
      </c>
      <c r="AB13" s="1">
        <v>8.1999999999999993</v>
      </c>
      <c r="AC13" s="1">
        <v>13.2</v>
      </c>
      <c r="AD13" s="1"/>
      <c r="AE13" s="1">
        <f t="shared" si="3"/>
        <v>36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33</v>
      </c>
      <c r="C14" s="1">
        <v>88</v>
      </c>
      <c r="D14" s="1">
        <v>75</v>
      </c>
      <c r="E14" s="1">
        <v>54</v>
      </c>
      <c r="F14" s="1">
        <v>97</v>
      </c>
      <c r="G14" s="7">
        <v>0.35</v>
      </c>
      <c r="H14" s="1">
        <v>120</v>
      </c>
      <c r="I14" s="1" t="s">
        <v>34</v>
      </c>
      <c r="J14" s="1"/>
      <c r="K14" s="1">
        <v>66</v>
      </c>
      <c r="L14" s="1">
        <f t="shared" si="2"/>
        <v>-12</v>
      </c>
      <c r="M14" s="1"/>
      <c r="N14" s="1"/>
      <c r="O14" s="1"/>
      <c r="P14" s="1">
        <f t="shared" si="4"/>
        <v>10.8</v>
      </c>
      <c r="Q14" s="5">
        <v>70</v>
      </c>
      <c r="R14" s="1">
        <f t="shared" si="5"/>
        <v>15.462962962962962</v>
      </c>
      <c r="S14" s="1">
        <f t="shared" si="6"/>
        <v>8.981481481481481</v>
      </c>
      <c r="T14" s="1">
        <v>5.8</v>
      </c>
      <c r="U14" s="1">
        <v>11.8</v>
      </c>
      <c r="V14" s="1">
        <v>11.6</v>
      </c>
      <c r="W14" s="1">
        <v>10.8</v>
      </c>
      <c r="X14" s="1">
        <v>11.6</v>
      </c>
      <c r="Y14" s="1">
        <v>11.8</v>
      </c>
      <c r="Z14" s="1">
        <v>12</v>
      </c>
      <c r="AA14" s="1">
        <v>14.2</v>
      </c>
      <c r="AB14" s="1">
        <v>0.2</v>
      </c>
      <c r="AC14" s="1">
        <v>10.4</v>
      </c>
      <c r="AD14" s="1"/>
      <c r="AE14" s="1">
        <f t="shared" si="3"/>
        <v>24.5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1" t="s">
        <v>45</v>
      </c>
      <c r="B15" s="11" t="s">
        <v>33</v>
      </c>
      <c r="C15" s="11"/>
      <c r="D15" s="11"/>
      <c r="E15" s="11">
        <v>14</v>
      </c>
      <c r="F15" s="11">
        <v>-16</v>
      </c>
      <c r="G15" s="12">
        <v>0</v>
      </c>
      <c r="H15" s="11">
        <v>120</v>
      </c>
      <c r="I15" s="11" t="s">
        <v>34</v>
      </c>
      <c r="J15" s="11"/>
      <c r="K15" s="11">
        <v>15</v>
      </c>
      <c r="L15" s="11">
        <f t="shared" si="2"/>
        <v>-1</v>
      </c>
      <c r="M15" s="11"/>
      <c r="N15" s="11"/>
      <c r="O15" s="11"/>
      <c r="P15" s="11">
        <f t="shared" si="4"/>
        <v>2.8</v>
      </c>
      <c r="Q15" s="13"/>
      <c r="R15" s="11">
        <f t="shared" si="5"/>
        <v>-5.7142857142857144</v>
      </c>
      <c r="S15" s="11">
        <f t="shared" si="6"/>
        <v>-5.7142857142857144</v>
      </c>
      <c r="T15" s="11">
        <v>0</v>
      </c>
      <c r="U15" s="11">
        <v>0.4</v>
      </c>
      <c r="V15" s="11">
        <v>4.8</v>
      </c>
      <c r="W15" s="11">
        <v>0</v>
      </c>
      <c r="X15" s="11">
        <v>0</v>
      </c>
      <c r="Y15" s="11">
        <v>0.4</v>
      </c>
      <c r="Z15" s="11">
        <v>3.6</v>
      </c>
      <c r="AA15" s="11">
        <v>2.6</v>
      </c>
      <c r="AB15" s="11">
        <v>1.6</v>
      </c>
      <c r="AC15" s="11">
        <v>1.6</v>
      </c>
      <c r="AD15" s="11" t="s">
        <v>46</v>
      </c>
      <c r="AE15" s="1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33</v>
      </c>
      <c r="C16" s="1">
        <v>249</v>
      </c>
      <c r="D16" s="1">
        <v>2</v>
      </c>
      <c r="E16" s="1">
        <v>28</v>
      </c>
      <c r="F16" s="1">
        <v>218</v>
      </c>
      <c r="G16" s="7">
        <v>0.7</v>
      </c>
      <c r="H16" s="1">
        <v>180</v>
      </c>
      <c r="I16" s="1" t="s">
        <v>34</v>
      </c>
      <c r="J16" s="1"/>
      <c r="K16" s="1">
        <v>32</v>
      </c>
      <c r="L16" s="1">
        <f t="shared" si="2"/>
        <v>-4</v>
      </c>
      <c r="M16" s="1"/>
      <c r="N16" s="1"/>
      <c r="O16" s="1"/>
      <c r="P16" s="1">
        <f t="shared" si="4"/>
        <v>5.6</v>
      </c>
      <c r="Q16" s="5"/>
      <c r="R16" s="1">
        <f t="shared" si="5"/>
        <v>38.928571428571431</v>
      </c>
      <c r="S16" s="1">
        <f t="shared" si="6"/>
        <v>38.928571428571431</v>
      </c>
      <c r="T16" s="1">
        <v>7</v>
      </c>
      <c r="U16" s="1">
        <v>4.4000000000000004</v>
      </c>
      <c r="V16" s="1">
        <v>6.2</v>
      </c>
      <c r="W16" s="1">
        <v>1.8</v>
      </c>
      <c r="X16" s="1">
        <v>7.6</v>
      </c>
      <c r="Y16" s="1">
        <v>8.4</v>
      </c>
      <c r="Z16" s="1">
        <v>11.8</v>
      </c>
      <c r="AA16" s="1">
        <v>9.6</v>
      </c>
      <c r="AB16" s="1">
        <v>7</v>
      </c>
      <c r="AC16" s="1">
        <v>6.2</v>
      </c>
      <c r="AD16" s="10" t="s">
        <v>38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2026-09-07T13:25:10Z</dcterms:created>
  <dcterms:modified xsi:type="dcterms:W3CDTF">2026-09-09T11:43:35Z</dcterms:modified>
</cp:coreProperties>
</file>