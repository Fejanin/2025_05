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085435-E337-46E7-B447-D037C59F64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Sheet!$A$3:$AF$119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P119" i="1"/>
  <c r="T119" i="1" s="1"/>
  <c r="L119" i="1"/>
  <c r="P118" i="1"/>
  <c r="T118" i="1" s="1"/>
  <c r="L118" i="1"/>
  <c r="P117" i="1"/>
  <c r="T117" i="1" s="1"/>
  <c r="L117" i="1"/>
  <c r="P116" i="1"/>
  <c r="L116" i="1"/>
  <c r="P115" i="1"/>
  <c r="L115" i="1"/>
  <c r="P114" i="1"/>
  <c r="L114" i="1"/>
  <c r="P113" i="1"/>
  <c r="T113" i="1" s="1"/>
  <c r="L113" i="1"/>
  <c r="P112" i="1"/>
  <c r="L112" i="1"/>
  <c r="P111" i="1"/>
  <c r="T111" i="1" s="1"/>
  <c r="L111" i="1"/>
  <c r="P110" i="1"/>
  <c r="L110" i="1"/>
  <c r="P109" i="1"/>
  <c r="L109" i="1"/>
  <c r="P108" i="1"/>
  <c r="Q108" i="1" s="1"/>
  <c r="L108" i="1"/>
  <c r="P107" i="1"/>
  <c r="L107" i="1"/>
  <c r="P106" i="1"/>
  <c r="Q106" i="1" s="1"/>
  <c r="L106" i="1"/>
  <c r="P105" i="1"/>
  <c r="Q105" i="1" s="1"/>
  <c r="L105" i="1"/>
  <c r="P104" i="1"/>
  <c r="L104" i="1"/>
  <c r="P103" i="1"/>
  <c r="L103" i="1"/>
  <c r="P102" i="1"/>
  <c r="L102" i="1"/>
  <c r="P101" i="1"/>
  <c r="L101" i="1"/>
  <c r="P100" i="1"/>
  <c r="S100" i="1" s="1"/>
  <c r="L100" i="1"/>
  <c r="P99" i="1"/>
  <c r="L99" i="1"/>
  <c r="P98" i="1"/>
  <c r="L98" i="1"/>
  <c r="P97" i="1"/>
  <c r="L97" i="1"/>
  <c r="P96" i="1"/>
  <c r="L96" i="1"/>
  <c r="P95" i="1"/>
  <c r="L95" i="1"/>
  <c r="P94" i="1"/>
  <c r="L94" i="1"/>
  <c r="P93" i="1"/>
  <c r="L93" i="1"/>
  <c r="P92" i="1"/>
  <c r="L92" i="1"/>
  <c r="P91" i="1"/>
  <c r="T91" i="1" s="1"/>
  <c r="L91" i="1"/>
  <c r="P90" i="1"/>
  <c r="T90" i="1" s="1"/>
  <c r="L90" i="1"/>
  <c r="P89" i="1"/>
  <c r="T89" i="1" s="1"/>
  <c r="L89" i="1"/>
  <c r="P88" i="1"/>
  <c r="L88" i="1"/>
  <c r="P87" i="1"/>
  <c r="T87" i="1" s="1"/>
  <c r="L87" i="1"/>
  <c r="P86" i="1"/>
  <c r="T86" i="1" s="1"/>
  <c r="L86" i="1"/>
  <c r="P85" i="1"/>
  <c r="T85" i="1" s="1"/>
  <c r="L85" i="1"/>
  <c r="P84" i="1"/>
  <c r="L84" i="1"/>
  <c r="P83" i="1"/>
  <c r="T83" i="1" s="1"/>
  <c r="L83" i="1"/>
  <c r="P82" i="1"/>
  <c r="Q82" i="1" s="1"/>
  <c r="L82" i="1"/>
  <c r="P81" i="1"/>
  <c r="T81" i="1" s="1"/>
  <c r="L81" i="1"/>
  <c r="P80" i="1"/>
  <c r="L80" i="1"/>
  <c r="P79" i="1"/>
  <c r="T79" i="1" s="1"/>
  <c r="L79" i="1"/>
  <c r="P78" i="1"/>
  <c r="Q78" i="1" s="1"/>
  <c r="L78" i="1"/>
  <c r="P77" i="1"/>
  <c r="L77" i="1"/>
  <c r="P76" i="1"/>
  <c r="S76" i="1" s="1"/>
  <c r="L76" i="1"/>
  <c r="P75" i="1"/>
  <c r="L75" i="1"/>
  <c r="P74" i="1"/>
  <c r="L74" i="1"/>
  <c r="P73" i="1"/>
  <c r="L73" i="1"/>
  <c r="P72" i="1"/>
  <c r="L72" i="1"/>
  <c r="P71" i="1"/>
  <c r="S71" i="1" s="1"/>
  <c r="L71" i="1"/>
  <c r="P70" i="1"/>
  <c r="L70" i="1"/>
  <c r="P69" i="1"/>
  <c r="Q69" i="1" s="1"/>
  <c r="L69" i="1"/>
  <c r="P68" i="1"/>
  <c r="L68" i="1"/>
  <c r="P67" i="1"/>
  <c r="L67" i="1"/>
  <c r="P66" i="1"/>
  <c r="L66" i="1"/>
  <c r="P65" i="1"/>
  <c r="L65" i="1"/>
  <c r="P64" i="1"/>
  <c r="L64" i="1"/>
  <c r="F64" i="1"/>
  <c r="T64" i="1" s="1"/>
  <c r="P63" i="1"/>
  <c r="L63" i="1"/>
  <c r="P62" i="1"/>
  <c r="L62" i="1"/>
  <c r="P61" i="1"/>
  <c r="L61" i="1"/>
  <c r="P60" i="1"/>
  <c r="L60" i="1"/>
  <c r="P59" i="1"/>
  <c r="L59" i="1"/>
  <c r="P58" i="1"/>
  <c r="Q58" i="1" s="1"/>
  <c r="L58" i="1"/>
  <c r="P57" i="1"/>
  <c r="S57" i="1" s="1"/>
  <c r="L57" i="1"/>
  <c r="P56" i="1"/>
  <c r="Q56" i="1" s="1"/>
  <c r="L56" i="1"/>
  <c r="P55" i="1"/>
  <c r="L55" i="1"/>
  <c r="P54" i="1"/>
  <c r="S54" i="1" s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T44" i="1" s="1"/>
  <c r="L44" i="1"/>
  <c r="P43" i="1"/>
  <c r="L43" i="1"/>
  <c r="P42" i="1"/>
  <c r="Q42" i="1" s="1"/>
  <c r="L42" i="1"/>
  <c r="P41" i="1"/>
  <c r="L41" i="1"/>
  <c r="P40" i="1"/>
  <c r="L40" i="1"/>
  <c r="P39" i="1"/>
  <c r="L39" i="1"/>
  <c r="P38" i="1"/>
  <c r="Q38" i="1" s="1"/>
  <c r="L38" i="1"/>
  <c r="P37" i="1"/>
  <c r="L37" i="1"/>
  <c r="P36" i="1"/>
  <c r="T36" i="1" s="1"/>
  <c r="L36" i="1"/>
  <c r="P35" i="1"/>
  <c r="T35" i="1" s="1"/>
  <c r="L35" i="1"/>
  <c r="P34" i="1"/>
  <c r="S34" i="1" s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S25" i="1" s="1"/>
  <c r="L25" i="1"/>
  <c r="P24" i="1"/>
  <c r="L24" i="1"/>
  <c r="P23" i="1"/>
  <c r="L23" i="1"/>
  <c r="P22" i="1"/>
  <c r="L22" i="1"/>
  <c r="P21" i="1"/>
  <c r="L21" i="1"/>
  <c r="P20" i="1"/>
  <c r="Q20" i="1" s="1"/>
  <c r="L20" i="1"/>
  <c r="P19" i="1"/>
  <c r="T19" i="1" s="1"/>
  <c r="L19" i="1"/>
  <c r="P18" i="1"/>
  <c r="Q18" i="1" s="1"/>
  <c r="L18" i="1"/>
  <c r="P17" i="1"/>
  <c r="Q17" i="1" s="1"/>
  <c r="L17" i="1"/>
  <c r="P16" i="1"/>
  <c r="L16" i="1"/>
  <c r="P15" i="1"/>
  <c r="L15" i="1"/>
  <c r="P14" i="1"/>
  <c r="L14" i="1"/>
  <c r="P13" i="1"/>
  <c r="Q13" i="1" s="1"/>
  <c r="L13" i="1"/>
  <c r="P12" i="1"/>
  <c r="Q12" i="1" s="1"/>
  <c r="L12" i="1"/>
  <c r="P11" i="1"/>
  <c r="Q11" i="1" s="1"/>
  <c r="L11" i="1"/>
  <c r="P10" i="1"/>
  <c r="L10" i="1"/>
  <c r="P9" i="1"/>
  <c r="L9" i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E5" i="1"/>
  <c r="T77" i="1" l="1"/>
  <c r="Q77" i="1"/>
  <c r="AF77" i="1" s="1"/>
  <c r="T115" i="1"/>
  <c r="Q115" i="1"/>
  <c r="AF115" i="1" s="1"/>
  <c r="T55" i="1"/>
  <c r="Q55" i="1"/>
  <c r="L5" i="1"/>
  <c r="P5" i="1"/>
  <c r="S86" i="1"/>
  <c r="F5" i="1"/>
  <c r="T57" i="1"/>
  <c r="S90" i="1"/>
  <c r="S118" i="1"/>
  <c r="T7" i="1"/>
  <c r="T9" i="1"/>
  <c r="Q9" i="1"/>
  <c r="AF12" i="1"/>
  <c r="T20" i="1"/>
  <c r="AF23" i="1"/>
  <c r="T27" i="1"/>
  <c r="Q27" i="1"/>
  <c r="AF27" i="1" s="1"/>
  <c r="Q30" i="1"/>
  <c r="AF30" i="1" s="1"/>
  <c r="T37" i="1"/>
  <c r="S37" i="1"/>
  <c r="Q41" i="1"/>
  <c r="AF41" i="1" s="1"/>
  <c r="T49" i="1"/>
  <c r="Q52" i="1"/>
  <c r="AF52" i="1" s="1"/>
  <c r="AF58" i="1"/>
  <c r="T61" i="1"/>
  <c r="Q61" i="1"/>
  <c r="AF61" i="1" s="1"/>
  <c r="Q65" i="1"/>
  <c r="AF65" i="1" s="1"/>
  <c r="AF69" i="1"/>
  <c r="AF74" i="1"/>
  <c r="T92" i="1"/>
  <c r="S92" i="1"/>
  <c r="T99" i="1"/>
  <c r="T102" i="1"/>
  <c r="T104" i="1"/>
  <c r="T106" i="1"/>
  <c r="T108" i="1"/>
  <c r="T110" i="1"/>
  <c r="S110" i="1"/>
  <c r="T11" i="1"/>
  <c r="Q14" i="1"/>
  <c r="AF14" i="1" s="1"/>
  <c r="T17" i="1"/>
  <c r="AF17" i="1"/>
  <c r="AF21" i="1"/>
  <c r="T29" i="1"/>
  <c r="AF32" i="1"/>
  <c r="Q39" i="1"/>
  <c r="AF39" i="1" s="1"/>
  <c r="Q43" i="1"/>
  <c r="AF43" i="1" s="1"/>
  <c r="T47" i="1"/>
  <c r="Q47" i="1"/>
  <c r="AF47" i="1" s="1"/>
  <c r="Q50" i="1"/>
  <c r="AF50" i="1" s="1"/>
  <c r="T63" i="1"/>
  <c r="AF67" i="1"/>
  <c r="AF72" i="1"/>
  <c r="T88" i="1"/>
  <c r="S88" i="1"/>
  <c r="AF94" i="1"/>
  <c r="T97" i="1"/>
  <c r="AF97" i="1"/>
  <c r="AF101" i="1"/>
  <c r="T101" i="1"/>
  <c r="S103" i="1"/>
  <c r="AF103" i="1"/>
  <c r="T103" i="1"/>
  <c r="AF105" i="1"/>
  <c r="T105" i="1"/>
  <c r="S107" i="1"/>
  <c r="AF107" i="1"/>
  <c r="T107" i="1"/>
  <c r="AF109" i="1"/>
  <c r="T109" i="1"/>
  <c r="Q8" i="1"/>
  <c r="AF8" i="1" s="1"/>
  <c r="Q10" i="1"/>
  <c r="AF10" i="1" s="1"/>
  <c r="T13" i="1"/>
  <c r="AF13" i="1"/>
  <c r="T15" i="1"/>
  <c r="Q16" i="1"/>
  <c r="AF16" i="1" s="1"/>
  <c r="AF18" i="1"/>
  <c r="T22" i="1"/>
  <c r="Q22" i="1"/>
  <c r="AF22" i="1" s="1"/>
  <c r="T24" i="1"/>
  <c r="Q26" i="1"/>
  <c r="AF26" i="1" s="1"/>
  <c r="Q28" i="1"/>
  <c r="AF28" i="1" s="1"/>
  <c r="T31" i="1"/>
  <c r="Q31" i="1"/>
  <c r="AF31" i="1" s="1"/>
  <c r="T33" i="1"/>
  <c r="AF33" i="1"/>
  <c r="T38" i="1"/>
  <c r="AF38" i="1"/>
  <c r="T40" i="1"/>
  <c r="Q40" i="1"/>
  <c r="AF40" i="1" s="1"/>
  <c r="T42" i="1"/>
  <c r="AF42" i="1"/>
  <c r="T45" i="1"/>
  <c r="Q45" i="1"/>
  <c r="Q46" i="1"/>
  <c r="AF46" i="1" s="1"/>
  <c r="S48" i="1"/>
  <c r="AF48" i="1"/>
  <c r="T51" i="1"/>
  <c r="Q51" i="1"/>
  <c r="AF51" i="1" s="1"/>
  <c r="T53" i="1"/>
  <c r="Q53" i="1"/>
  <c r="AF55" i="1"/>
  <c r="T56" i="1"/>
  <c r="T59" i="1"/>
  <c r="S60" i="1"/>
  <c r="AF60" i="1"/>
  <c r="Q62" i="1"/>
  <c r="AF62" i="1" s="1"/>
  <c r="AF64" i="1"/>
  <c r="T66" i="1"/>
  <c r="AF66" i="1"/>
  <c r="T68" i="1"/>
  <c r="AF68" i="1"/>
  <c r="T70" i="1"/>
  <c r="Q70" i="1"/>
  <c r="AF70" i="1" s="1"/>
  <c r="T73" i="1"/>
  <c r="AF73" i="1"/>
  <c r="T75" i="1"/>
  <c r="Q75" i="1"/>
  <c r="T78" i="1"/>
  <c r="Q79" i="1"/>
  <c r="AF79" i="1" s="1"/>
  <c r="T80" i="1"/>
  <c r="Q80" i="1"/>
  <c r="Q81" i="1"/>
  <c r="AF81" i="1" s="1"/>
  <c r="T82" i="1"/>
  <c r="Q83" i="1"/>
  <c r="AF83" i="1" s="1"/>
  <c r="T84" i="1"/>
  <c r="Q85" i="1"/>
  <c r="AF85" i="1" s="1"/>
  <c r="T93" i="1"/>
  <c r="AF93" i="1"/>
  <c r="T95" i="1"/>
  <c r="AF96" i="1"/>
  <c r="AF98" i="1"/>
  <c r="T112" i="1"/>
  <c r="Q112" i="1"/>
  <c r="AF113" i="1"/>
  <c r="T114" i="1"/>
  <c r="Q114" i="1"/>
  <c r="T116" i="1"/>
  <c r="AF117" i="1"/>
  <c r="T18" i="1"/>
  <c r="S19" i="1"/>
  <c r="T32" i="1"/>
  <c r="S33" i="1"/>
  <c r="S36" i="1"/>
  <c r="T39" i="1"/>
  <c r="T41" i="1"/>
  <c r="T43" i="1"/>
  <c r="S44" i="1"/>
  <c r="T65" i="1"/>
  <c r="T67" i="1"/>
  <c r="T69" i="1"/>
  <c r="T71" i="1"/>
  <c r="S87" i="1"/>
  <c r="S89" i="1"/>
  <c r="S91" i="1"/>
  <c r="S97" i="1"/>
  <c r="S111" i="1"/>
  <c r="S119" i="1"/>
  <c r="T6" i="1"/>
  <c r="T8" i="1"/>
  <c r="T10" i="1"/>
  <c r="T12" i="1"/>
  <c r="T16" i="1"/>
  <c r="T23" i="1"/>
  <c r="T26" i="1"/>
  <c r="T14" i="1"/>
  <c r="T21" i="1"/>
  <c r="T25" i="1"/>
  <c r="T28" i="1"/>
  <c r="T30" i="1"/>
  <c r="T34" i="1"/>
  <c r="S35" i="1"/>
  <c r="T46" i="1"/>
  <c r="T48" i="1"/>
  <c r="T50" i="1"/>
  <c r="T52" i="1"/>
  <c r="T54" i="1"/>
  <c r="T58" i="1"/>
  <c r="T60" i="1"/>
  <c r="T62" i="1"/>
  <c r="T72" i="1"/>
  <c r="T74" i="1"/>
  <c r="T76" i="1"/>
  <c r="T94" i="1"/>
  <c r="T96" i="1"/>
  <c r="T98" i="1"/>
  <c r="T100" i="1"/>
  <c r="AF9" i="1" l="1"/>
  <c r="S9" i="1"/>
  <c r="S27" i="1"/>
  <c r="S47" i="1"/>
  <c r="S17" i="1"/>
  <c r="S61" i="1"/>
  <c r="S51" i="1"/>
  <c r="S42" i="1"/>
  <c r="S40" i="1"/>
  <c r="S38" i="1"/>
  <c r="S31" i="1"/>
  <c r="S55" i="1"/>
  <c r="S46" i="1"/>
  <c r="S28" i="1"/>
  <c r="S26" i="1"/>
  <c r="S22" i="1"/>
  <c r="S13" i="1"/>
  <c r="S62" i="1"/>
  <c r="S18" i="1"/>
  <c r="S16" i="1"/>
  <c r="S10" i="1"/>
  <c r="S8" i="1"/>
  <c r="AF116" i="1"/>
  <c r="S116" i="1"/>
  <c r="AF114" i="1"/>
  <c r="S114" i="1"/>
  <c r="AF112" i="1"/>
  <c r="S112" i="1"/>
  <c r="AF95" i="1"/>
  <c r="S95" i="1"/>
  <c r="AF84" i="1"/>
  <c r="S84" i="1"/>
  <c r="AF82" i="1"/>
  <c r="S82" i="1"/>
  <c r="AF80" i="1"/>
  <c r="S80" i="1"/>
  <c r="AF78" i="1"/>
  <c r="S78" i="1"/>
  <c r="AF75" i="1"/>
  <c r="S75" i="1"/>
  <c r="S63" i="1"/>
  <c r="AF63" i="1"/>
  <c r="S29" i="1"/>
  <c r="AF29" i="1"/>
  <c r="S11" i="1"/>
  <c r="AF11" i="1"/>
  <c r="Q5" i="1"/>
  <c r="AF6" i="1"/>
  <c r="S108" i="1"/>
  <c r="AF108" i="1"/>
  <c r="S106" i="1"/>
  <c r="AF106" i="1"/>
  <c r="S104" i="1"/>
  <c r="AF104" i="1"/>
  <c r="S102" i="1"/>
  <c r="AF102" i="1"/>
  <c r="S99" i="1"/>
  <c r="AF99" i="1"/>
  <c r="S49" i="1"/>
  <c r="AF49" i="1"/>
  <c r="S20" i="1"/>
  <c r="AF20" i="1"/>
  <c r="AF7" i="1"/>
  <c r="S7" i="1"/>
  <c r="S93" i="1"/>
  <c r="S73" i="1"/>
  <c r="S70" i="1"/>
  <c r="S68" i="1"/>
  <c r="S66" i="1"/>
  <c r="S64" i="1"/>
  <c r="S117" i="1"/>
  <c r="S115" i="1"/>
  <c r="S113" i="1"/>
  <c r="S98" i="1"/>
  <c r="S96" i="1"/>
  <c r="S85" i="1"/>
  <c r="S83" i="1"/>
  <c r="S81" i="1"/>
  <c r="S79" i="1"/>
  <c r="S77" i="1"/>
  <c r="AF59" i="1"/>
  <c r="S59" i="1"/>
  <c r="AF56" i="1"/>
  <c r="S56" i="1"/>
  <c r="AF53" i="1"/>
  <c r="S53" i="1"/>
  <c r="AF45" i="1"/>
  <c r="S45" i="1"/>
  <c r="AF24" i="1"/>
  <c r="S24" i="1"/>
  <c r="AF15" i="1"/>
  <c r="S15" i="1"/>
  <c r="S109" i="1"/>
  <c r="S105" i="1"/>
  <c r="S101" i="1"/>
  <c r="S94" i="1"/>
  <c r="S72" i="1"/>
  <c r="S67" i="1"/>
  <c r="S50" i="1"/>
  <c r="S43" i="1"/>
  <c r="S39" i="1"/>
  <c r="S32" i="1"/>
  <c r="S21" i="1"/>
  <c r="S14" i="1"/>
  <c r="S6" i="1"/>
  <c r="S74" i="1"/>
  <c r="S69" i="1"/>
  <c r="S65" i="1"/>
  <c r="S58" i="1"/>
  <c r="S52" i="1"/>
  <c r="S41" i="1"/>
  <c r="S30" i="1"/>
  <c r="S23" i="1"/>
  <c r="S12" i="1"/>
  <c r="AF5" i="1" l="1"/>
</calcChain>
</file>

<file path=xl/sharedStrings.xml><?xml version="1.0" encoding="utf-8"?>
<sst xmlns="http://schemas.openxmlformats.org/spreadsheetml/2006/main" count="441" uniqueCount="175">
  <si>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</si>
  <si>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</si>
  <si>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</si>
  <si>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</si>
  <si>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</si>
  <si>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</si>
  <si>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</si>
  <si>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</si>
  <si>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</si>
  <si>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</si>
  <si>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</si>
  <si>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</si>
  <si>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</si>
  <si>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</si>
  <si>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</si>
  <si>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</si>
  <si>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</si>
  <si>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</si>
  <si>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</si>
  <si>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</si>
  <si>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</si>
  <si>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</si>
  <si>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15,09,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</si>
  <si>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</si>
  <si>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</si>
  <si>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</si>
  <si>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</si>
  <si>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</si>
  <si>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</si>
  <si>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</si>
  <si>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</si>
  <si>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</si>
  <si>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</si>
  <si>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</si>
  <si>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</si>
  <si>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</si>
  <si>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</si>
  <si>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</si>
  <si>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</si>
  <si>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</si>
  <si>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</si>
  <si>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</si>
  <si>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</si>
  <si>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нужно увеличить продажи / 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</si>
  <si>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</si>
  <si>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</si>
  <si>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</si>
  <si>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</si>
  <si>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</si>
  <si>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плюсом 5 дней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</si>
  <si>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</si>
  <si>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</si>
  <si>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</si>
  <si>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</si>
  <si>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</si>
  <si>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</si>
  <si>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</si>
  <si>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</si>
  <si>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</si>
  <si>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</si>
  <si>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</si>
  <si>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</si>
  <si>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</si>
  <si>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</si>
  <si>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</si>
  <si>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</si>
  <si>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</si>
  <si>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</si>
  <si>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</si>
  <si>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</si>
  <si>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</si>
  <si>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</si>
  <si>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</si>
  <si>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</si>
  <si>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</si>
  <si>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</si>
  <si>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</si>
  <si>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</si>
  <si>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</si>
  <si>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</si>
  <si>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</si>
  <si>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</si>
  <si>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</si>
  <si>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</si>
  <si>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</si>
  <si>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</si>
  <si>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</si>
  <si>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</si>
  <si>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</si>
  <si>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</si>
  <si>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</si>
  <si>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</si>
  <si>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</si>
  <si>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</si>
  <si>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</si>
  <si>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</si>
  <si>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</si>
  <si>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</si>
  <si>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</si>
  <si>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</si>
  <si>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</si>
  <si>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</si>
  <si>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</si>
  <si>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</si>
  <si>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</si>
  <si>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</si>
  <si>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</si>
  <si>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</si>
  <si>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</si>
  <si>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</si>
  <si>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</si>
  <si>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</si>
  <si>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</si>
  <si>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</si>
  <si>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</si>
  <si>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</si>
  <si>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</si>
  <si>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</si>
  <si>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</si>
  <si>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</si>
  <si>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</si>
  <si>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</si>
  <si>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</si>
  <si>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</si>
  <si>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</si>
  <si>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</si>
  <si>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</si>
  <si>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</si>
  <si>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</si>
  <si>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</si>
  <si>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</si>
  <si>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</si>
  <si>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</si>
  <si>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</si>
  <si>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</si>
  <si>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</si>
  <si>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нет потребности / 47кг в уценку (06,08,26)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</si>
  <si>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</si>
  <si>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</si>
  <si>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</si>
  <si>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</si>
  <si>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</si>
  <si>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</si>
  <si>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</si>
  <si>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</si>
  <si>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</si>
  <si>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</si>
  <si>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</si>
  <si>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</si>
  <si>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с 02,09,26 заказываем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</si>
  <si>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</si>
  <si>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</si>
  <si>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</si>
  <si>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</si>
  <si>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</si>
  <si>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</si>
  <si>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</si>
  <si>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</si>
  <si>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</si>
  <si>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</si>
  <si>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</si>
  <si>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</si>
  <si>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</si>
  <si>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</si>
  <si>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</si>
  <si>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</si>
  <si>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</si>
  <si>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</si>
  <si>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7710 КРАКОВСКАЯ ГОСТ п/к н/о мгс 0.3кг  ОСТАНКИНО</t>
  </si>
  <si>
    <t>8014 ДОКТОРСКАЯ ПРЕМИУМ вар п/о(п)</t>
  </si>
  <si>
    <t>БОНУС_6087 СОЧНЫЕ ПМ сос п/о мгс 0,41кг 10шт.  ОСТАНКИНО</t>
  </si>
  <si>
    <t>бонус</t>
  </si>
  <si>
    <t>28 кг списано (12,09,26 инвенторизация)</t>
  </si>
  <si>
    <t>нужно увеличить продажи / 149шт списание сроки (15,07,26)</t>
  </si>
  <si>
    <t>50шт списано (12,09,26 инвенторизация)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</si>
</sst>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4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4"/>
  <sheetViews>
    <sheetView tabSelected="1" zoomScale="81" zoomScaleNormal="81" workbookViewId="0">
      <pane xSplit="2" ySplit="5" topLeftCell="C99" activePane="bottomRight" state="frozen"/>
      <selection pane="topRight"/>
      <selection pane="bottomLeft"/>
      <selection pane="bottomRight" activeCell="R117" sqref="R117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53125" customWidth="1"/>
    <col min="15" max="17" width="7" customWidth="1"/>
    <col min="18" max="18" width="7" style="20" customWidth="1"/>
    <col min="19" max="20" width="5" customWidth="1"/>
    <col min="21" max="30" width="6" customWidth="1"/>
    <col min="31" max="31" width="47.26953125" customWidth="1"/>
    <col min="32" max="32" width="7" customWidth="1"/>
    <col min="33" max="49" width="3" customWidth="1"/>
  </cols>
  <sheetData>
    <row r="1" spans="1:49" x14ac:dyDescent="0.3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3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/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3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/>
      <c r="R4" s="8"/>
      <c r="S4" s="8"/>
      <c r="T4" s="8"/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  <c r="AD4" s="8" t="s">
        <v>33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35">
      <c r="A5" s="8"/>
      <c r="B5" s="8"/>
      <c r="C5" s="8"/>
      <c r="D5" s="8"/>
      <c r="E5" s="3">
        <f>SUM(E6:E484)</f>
        <v>8621.0020000000004</v>
      </c>
      <c r="F5" s="3">
        <f>SUM(F6:F484)</f>
        <v>16223.832999999999</v>
      </c>
      <c r="G5" s="6"/>
      <c r="H5" s="8"/>
      <c r="I5" s="8"/>
      <c r="J5" s="8"/>
      <c r="K5" s="3">
        <f t="shared" ref="K5:R5" si="0">SUM(K6:K484)</f>
        <v>9448.3480000000018</v>
      </c>
      <c r="L5" s="3">
        <f t="shared" si="0"/>
        <v>-827.34599999999989</v>
      </c>
      <c r="M5" s="3">
        <f t="shared" si="0"/>
        <v>0</v>
      </c>
      <c r="N5" s="3">
        <f t="shared" si="0"/>
        <v>0</v>
      </c>
      <c r="O5" s="3">
        <f t="shared" si="0"/>
        <v>3247</v>
      </c>
      <c r="P5" s="3">
        <f t="shared" si="0"/>
        <v>1724.2003999999997</v>
      </c>
      <c r="Q5" s="3">
        <f t="shared" si="0"/>
        <v>8081.9571999999998</v>
      </c>
      <c r="R5" s="3">
        <f t="shared" si="0"/>
        <v>10560</v>
      </c>
      <c r="S5" s="8"/>
      <c r="T5" s="8"/>
      <c r="U5" s="3">
        <f t="shared" ref="U5:AD5" si="1">SUM(U6:U484)</f>
        <v>1312.2459999999999</v>
      </c>
      <c r="V5" s="3">
        <f t="shared" si="1"/>
        <v>1819.3172</v>
      </c>
      <c r="W5" s="3">
        <f t="shared" si="1"/>
        <v>1889.3557999999998</v>
      </c>
      <c r="X5" s="3">
        <f t="shared" si="1"/>
        <v>1792.7641999999994</v>
      </c>
      <c r="Y5" s="3">
        <f t="shared" si="1"/>
        <v>1697.0760000000005</v>
      </c>
      <c r="Z5" s="3">
        <f t="shared" si="1"/>
        <v>1483.3921999999995</v>
      </c>
      <c r="AA5" s="3">
        <f t="shared" si="1"/>
        <v>1884.1149999999998</v>
      </c>
      <c r="AB5" s="3">
        <f t="shared" si="1"/>
        <v>2354.1259999999997</v>
      </c>
      <c r="AC5" s="3">
        <f t="shared" si="1"/>
        <v>1684.9151999999999</v>
      </c>
      <c r="AD5" s="3">
        <f t="shared" si="1"/>
        <v>1967.172</v>
      </c>
      <c r="AE5" s="8"/>
      <c r="AF5" s="3">
        <f>SUM(AF6:AF484)</f>
        <v>5085.1052000000009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35">
      <c r="A6" s="8" t="s">
        <v>34</v>
      </c>
      <c r="B6" s="8" t="s">
        <v>35</v>
      </c>
      <c r="C6" s="8"/>
      <c r="D6" s="8">
        <v>107.157</v>
      </c>
      <c r="E6" s="8">
        <v>8.657</v>
      </c>
      <c r="F6" s="8">
        <v>98.5</v>
      </c>
      <c r="G6" s="6">
        <v>1</v>
      </c>
      <c r="H6" s="8">
        <v>120</v>
      </c>
      <c r="I6" s="8" t="s">
        <v>36</v>
      </c>
      <c r="J6" s="8"/>
      <c r="K6" s="8">
        <v>8</v>
      </c>
      <c r="L6" s="8">
        <f t="shared" ref="L6:L37" si="2">E6-K6</f>
        <v>0.65700000000000003</v>
      </c>
      <c r="M6" s="8"/>
      <c r="N6" s="8"/>
      <c r="O6" s="8">
        <v>0</v>
      </c>
      <c r="P6" s="8">
        <f t="shared" ref="P6:P37" si="3">E6/5</f>
        <v>1.7314000000000001</v>
      </c>
      <c r="Q6" s="4"/>
      <c r="R6" s="18"/>
      <c r="S6" s="8">
        <f t="shared" ref="S6:S37" si="4">(F6+O6+Q6)/P6</f>
        <v>56.890377729005429</v>
      </c>
      <c r="T6" s="8">
        <f t="shared" ref="T6:T37" si="5">(F6+O6)/P6</f>
        <v>56.890377729005429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 t="s">
        <v>37</v>
      </c>
      <c r="AF6" s="8">
        <f t="shared" ref="AF6:AF18" si="6">G6*Q6</f>
        <v>0</v>
      </c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35">
      <c r="A7" s="8" t="s">
        <v>38</v>
      </c>
      <c r="B7" s="8" t="s">
        <v>39</v>
      </c>
      <c r="C7" s="8">
        <v>346</v>
      </c>
      <c r="D7" s="8">
        <v>261</v>
      </c>
      <c r="E7" s="8">
        <v>81</v>
      </c>
      <c r="F7" s="8">
        <v>321</v>
      </c>
      <c r="G7" s="6">
        <v>0.4</v>
      </c>
      <c r="H7" s="8">
        <v>60</v>
      </c>
      <c r="I7" s="8" t="s">
        <v>36</v>
      </c>
      <c r="J7" s="8"/>
      <c r="K7" s="8">
        <v>87</v>
      </c>
      <c r="L7" s="8">
        <f t="shared" si="2"/>
        <v>-6</v>
      </c>
      <c r="M7" s="8"/>
      <c r="N7" s="8"/>
      <c r="O7" s="8">
        <v>0</v>
      </c>
      <c r="P7" s="8">
        <f t="shared" si="3"/>
        <v>16.2</v>
      </c>
      <c r="Q7" s="4"/>
      <c r="R7" s="18"/>
      <c r="S7" s="8">
        <f t="shared" si="4"/>
        <v>19.814814814814817</v>
      </c>
      <c r="T7" s="8">
        <f t="shared" si="5"/>
        <v>19.814814814814817</v>
      </c>
      <c r="U7" s="8">
        <v>12.6</v>
      </c>
      <c r="V7" s="8">
        <v>30.8</v>
      </c>
      <c r="W7" s="8">
        <v>37.799999999999997</v>
      </c>
      <c r="X7" s="8">
        <v>34.6</v>
      </c>
      <c r="Y7" s="8">
        <v>30.2</v>
      </c>
      <c r="Z7" s="8">
        <v>40</v>
      </c>
      <c r="AA7" s="8">
        <v>39.200000000000003</v>
      </c>
      <c r="AB7" s="8">
        <v>41.6</v>
      </c>
      <c r="AC7" s="8">
        <v>37.200000000000003</v>
      </c>
      <c r="AD7" s="8">
        <v>43.2</v>
      </c>
      <c r="AE7" s="15" t="s">
        <v>40</v>
      </c>
      <c r="AF7" s="8">
        <f t="shared" si="6"/>
        <v>0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35">
      <c r="A8" s="8" t="s">
        <v>41</v>
      </c>
      <c r="B8" s="8" t="s">
        <v>35</v>
      </c>
      <c r="C8" s="8">
        <v>69.275000000000006</v>
      </c>
      <c r="D8" s="8">
        <v>11.901</v>
      </c>
      <c r="E8" s="8">
        <v>23.219000000000001</v>
      </c>
      <c r="F8" s="8">
        <v>40.996000000000002</v>
      </c>
      <c r="G8" s="6">
        <v>1</v>
      </c>
      <c r="H8" s="8">
        <v>120</v>
      </c>
      <c r="I8" s="8" t="s">
        <v>36</v>
      </c>
      <c r="J8" s="8"/>
      <c r="K8" s="8">
        <v>24.3</v>
      </c>
      <c r="L8" s="8">
        <f t="shared" si="2"/>
        <v>-1.0809999999999995</v>
      </c>
      <c r="M8" s="8"/>
      <c r="N8" s="8"/>
      <c r="O8" s="8">
        <v>0</v>
      </c>
      <c r="P8" s="8">
        <f t="shared" si="3"/>
        <v>4.6438000000000006</v>
      </c>
      <c r="Q8" s="4">
        <f t="shared" ref="Q8:Q16" si="7">15*P8-O8-F8</f>
        <v>28.661000000000008</v>
      </c>
      <c r="R8" s="18"/>
      <c r="S8" s="8">
        <f t="shared" si="4"/>
        <v>15</v>
      </c>
      <c r="T8" s="8">
        <f t="shared" si="5"/>
        <v>8.8281149058960331</v>
      </c>
      <c r="U8" s="8">
        <v>3.282</v>
      </c>
      <c r="V8" s="8">
        <v>2.5084</v>
      </c>
      <c r="W8" s="8">
        <v>-8.0800000000000011E-2</v>
      </c>
      <c r="X8" s="8">
        <v>3.3780000000000001</v>
      </c>
      <c r="Y8" s="8">
        <v>6.4805999999999999</v>
      </c>
      <c r="Z8" s="8">
        <v>3.3934000000000002</v>
      </c>
      <c r="AA8" s="8">
        <v>7.0721999999999996</v>
      </c>
      <c r="AB8" s="8">
        <v>8.3510000000000009</v>
      </c>
      <c r="AC8" s="8">
        <v>6.8492000000000006</v>
      </c>
      <c r="AD8" s="8">
        <v>5.0434000000000001</v>
      </c>
      <c r="AE8" s="16" t="s">
        <v>49</v>
      </c>
      <c r="AF8" s="8">
        <f t="shared" si="6"/>
        <v>28.661000000000008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35">
      <c r="A9" s="8" t="s">
        <v>42</v>
      </c>
      <c r="B9" s="8" t="s">
        <v>39</v>
      </c>
      <c r="C9" s="8">
        <v>223</v>
      </c>
      <c r="D9" s="8">
        <v>382</v>
      </c>
      <c r="E9" s="8">
        <v>195</v>
      </c>
      <c r="F9" s="8">
        <v>319</v>
      </c>
      <c r="G9" s="6">
        <v>0.25</v>
      </c>
      <c r="H9" s="8">
        <v>120</v>
      </c>
      <c r="I9" s="8" t="s">
        <v>36</v>
      </c>
      <c r="J9" s="8"/>
      <c r="K9" s="8">
        <v>192</v>
      </c>
      <c r="L9" s="8">
        <f t="shared" si="2"/>
        <v>3</v>
      </c>
      <c r="M9" s="8"/>
      <c r="N9" s="8"/>
      <c r="O9" s="8">
        <v>0</v>
      </c>
      <c r="P9" s="8">
        <f t="shared" si="3"/>
        <v>39</v>
      </c>
      <c r="Q9" s="4">
        <f t="shared" si="7"/>
        <v>266</v>
      </c>
      <c r="R9" s="18">
        <v>450</v>
      </c>
      <c r="S9" s="8">
        <f t="shared" si="4"/>
        <v>15</v>
      </c>
      <c r="T9" s="8">
        <f t="shared" si="5"/>
        <v>8.1794871794871788</v>
      </c>
      <c r="U9" s="8">
        <v>20.6</v>
      </c>
      <c r="V9" s="8">
        <v>36.4</v>
      </c>
      <c r="W9" s="8">
        <v>24.2</v>
      </c>
      <c r="X9" s="8">
        <v>40.4</v>
      </c>
      <c r="Y9" s="8">
        <v>18.8</v>
      </c>
      <c r="Z9" s="8">
        <v>43.2</v>
      </c>
      <c r="AA9" s="8">
        <v>31.8</v>
      </c>
      <c r="AB9" s="8">
        <v>22.4</v>
      </c>
      <c r="AC9" s="8">
        <v>27.8</v>
      </c>
      <c r="AD9" s="8">
        <v>29.4</v>
      </c>
      <c r="AE9" s="16" t="s">
        <v>49</v>
      </c>
      <c r="AF9" s="8">
        <f t="shared" si="6"/>
        <v>66.5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35">
      <c r="A10" s="8" t="s">
        <v>44</v>
      </c>
      <c r="B10" s="8" t="s">
        <v>35</v>
      </c>
      <c r="C10" s="8">
        <v>245.12100000000001</v>
      </c>
      <c r="D10" s="8">
        <v>197.023</v>
      </c>
      <c r="E10" s="8">
        <v>136.29900000000001</v>
      </c>
      <c r="F10" s="8">
        <v>118.6</v>
      </c>
      <c r="G10" s="6">
        <v>1</v>
      </c>
      <c r="H10" s="8">
        <v>60</v>
      </c>
      <c r="I10" s="8" t="s">
        <v>36</v>
      </c>
      <c r="J10" s="8"/>
      <c r="K10" s="8">
        <v>126.7</v>
      </c>
      <c r="L10" s="8">
        <f t="shared" si="2"/>
        <v>9.5990000000000038</v>
      </c>
      <c r="M10" s="8"/>
      <c r="N10" s="8"/>
      <c r="O10" s="8">
        <v>172</v>
      </c>
      <c r="P10" s="8">
        <f t="shared" si="3"/>
        <v>27.259800000000002</v>
      </c>
      <c r="Q10" s="4">
        <f t="shared" si="7"/>
        <v>118.29700000000005</v>
      </c>
      <c r="R10" s="18">
        <v>200</v>
      </c>
      <c r="S10" s="8">
        <f t="shared" si="4"/>
        <v>15</v>
      </c>
      <c r="T10" s="8">
        <f t="shared" si="5"/>
        <v>10.660386356466299</v>
      </c>
      <c r="U10" s="8">
        <v>30.9984</v>
      </c>
      <c r="V10" s="8">
        <v>27.427199999999999</v>
      </c>
      <c r="W10" s="8">
        <v>35.8078</v>
      </c>
      <c r="X10" s="8">
        <v>30.3264</v>
      </c>
      <c r="Y10" s="8">
        <v>38.653199999999998</v>
      </c>
      <c r="Z10" s="8">
        <v>8.8330000000000002</v>
      </c>
      <c r="AA10" s="8">
        <v>40.827800000000003</v>
      </c>
      <c r="AB10" s="8">
        <v>35.464199999999998</v>
      </c>
      <c r="AC10" s="8">
        <v>22.991599999999998</v>
      </c>
      <c r="AD10" s="8">
        <v>35.211200000000012</v>
      </c>
      <c r="AE10" s="8"/>
      <c r="AF10" s="8">
        <f t="shared" si="6"/>
        <v>118.29700000000005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35">
      <c r="A11" s="8" t="s">
        <v>45</v>
      </c>
      <c r="B11" s="8" t="s">
        <v>35</v>
      </c>
      <c r="C11" s="8">
        <v>68.438000000000002</v>
      </c>
      <c r="D11" s="8">
        <v>20.420000000000002</v>
      </c>
      <c r="E11" s="8">
        <v>27.756</v>
      </c>
      <c r="F11" s="8">
        <v>27</v>
      </c>
      <c r="G11" s="6">
        <v>1</v>
      </c>
      <c r="H11" s="8">
        <v>120</v>
      </c>
      <c r="I11" s="8" t="s">
        <v>36</v>
      </c>
      <c r="J11" s="8"/>
      <c r="K11" s="8">
        <v>26.5</v>
      </c>
      <c r="L11" s="8">
        <f t="shared" si="2"/>
        <v>1.2560000000000002</v>
      </c>
      <c r="M11" s="8"/>
      <c r="N11" s="8"/>
      <c r="O11" s="8">
        <v>0</v>
      </c>
      <c r="P11" s="8">
        <f t="shared" si="3"/>
        <v>5.5511999999999997</v>
      </c>
      <c r="Q11" s="4">
        <f>13*P11-O11-F11</f>
        <v>45.165599999999998</v>
      </c>
      <c r="R11" s="18"/>
      <c r="S11" s="8">
        <f t="shared" si="4"/>
        <v>13</v>
      </c>
      <c r="T11" s="8">
        <f t="shared" si="5"/>
        <v>4.8638132295719849</v>
      </c>
      <c r="U11" s="8">
        <v>2.9247999999999998</v>
      </c>
      <c r="V11" s="8">
        <v>5.3875999999999999</v>
      </c>
      <c r="W11" s="8">
        <v>1.9965999999999999</v>
      </c>
      <c r="X11" s="8">
        <v>4.4798</v>
      </c>
      <c r="Y11" s="8">
        <v>7.0724</v>
      </c>
      <c r="Z11" s="8">
        <v>2.194</v>
      </c>
      <c r="AA11" s="8">
        <v>5.806</v>
      </c>
      <c r="AB11" s="8">
        <v>5.4875999999999996</v>
      </c>
      <c r="AC11" s="8">
        <v>0.2</v>
      </c>
      <c r="AD11" s="8">
        <v>0.1976</v>
      </c>
      <c r="AE11" s="16" t="s">
        <v>49</v>
      </c>
      <c r="AF11" s="8">
        <f t="shared" si="6"/>
        <v>45.165599999999998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35">
      <c r="A12" s="8" t="s">
        <v>46</v>
      </c>
      <c r="B12" s="8" t="s">
        <v>35</v>
      </c>
      <c r="C12" s="8">
        <v>41.591999999999999</v>
      </c>
      <c r="D12" s="8">
        <v>36.155999999999999</v>
      </c>
      <c r="E12" s="8">
        <v>38.869999999999997</v>
      </c>
      <c r="F12" s="8"/>
      <c r="G12" s="6">
        <v>1</v>
      </c>
      <c r="H12" s="8">
        <v>60</v>
      </c>
      <c r="I12" s="8" t="s">
        <v>36</v>
      </c>
      <c r="J12" s="8"/>
      <c r="K12" s="8">
        <v>37.6</v>
      </c>
      <c r="L12" s="8">
        <f t="shared" si="2"/>
        <v>1.269999999999996</v>
      </c>
      <c r="M12" s="8"/>
      <c r="N12" s="8"/>
      <c r="O12" s="8">
        <v>0</v>
      </c>
      <c r="P12" s="8">
        <f t="shared" si="3"/>
        <v>7.7739999999999991</v>
      </c>
      <c r="Q12" s="4">
        <f>8*P12-O12-F12</f>
        <v>62.191999999999993</v>
      </c>
      <c r="R12" s="18">
        <v>100</v>
      </c>
      <c r="S12" s="8">
        <f t="shared" si="4"/>
        <v>8</v>
      </c>
      <c r="T12" s="8">
        <f t="shared" si="5"/>
        <v>0</v>
      </c>
      <c r="U12" s="8">
        <v>1.6046</v>
      </c>
      <c r="V12" s="8">
        <v>2.4474</v>
      </c>
      <c r="W12" s="8">
        <v>6.1752000000000002</v>
      </c>
      <c r="X12" s="8">
        <v>2.6863999999999999</v>
      </c>
      <c r="Y12" s="8">
        <v>1.903</v>
      </c>
      <c r="Z12" s="8">
        <v>3.5127999999999999</v>
      </c>
      <c r="AA12" s="8">
        <v>7.3248000000000006</v>
      </c>
      <c r="AB12" s="8">
        <v>6.0904000000000007</v>
      </c>
      <c r="AC12" s="8">
        <v>2.7360000000000002</v>
      </c>
      <c r="AD12" s="8">
        <v>6.2005999999999997</v>
      </c>
      <c r="AE12" s="8"/>
      <c r="AF12" s="8">
        <f t="shared" si="6"/>
        <v>62.191999999999993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35">
      <c r="A13" s="8" t="s">
        <v>47</v>
      </c>
      <c r="B13" s="8" t="s">
        <v>35</v>
      </c>
      <c r="C13" s="8">
        <v>137.93100000000001</v>
      </c>
      <c r="D13" s="8">
        <v>244.745</v>
      </c>
      <c r="E13" s="8">
        <v>139.30600000000001</v>
      </c>
      <c r="F13" s="8"/>
      <c r="G13" s="6">
        <v>1</v>
      </c>
      <c r="H13" s="8">
        <v>60</v>
      </c>
      <c r="I13" s="8" t="s">
        <v>36</v>
      </c>
      <c r="J13" s="8"/>
      <c r="K13" s="8">
        <v>128.1</v>
      </c>
      <c r="L13" s="8">
        <f t="shared" si="2"/>
        <v>11.206000000000017</v>
      </c>
      <c r="M13" s="8"/>
      <c r="N13" s="8"/>
      <c r="O13" s="8">
        <v>181</v>
      </c>
      <c r="P13" s="8">
        <f t="shared" si="3"/>
        <v>27.861200000000004</v>
      </c>
      <c r="Q13" s="4">
        <f>14*P13-O13-F13</f>
        <v>209.05680000000007</v>
      </c>
      <c r="R13" s="18">
        <v>300</v>
      </c>
      <c r="S13" s="8">
        <f t="shared" si="4"/>
        <v>14</v>
      </c>
      <c r="T13" s="8">
        <f t="shared" si="5"/>
        <v>6.496489742006804</v>
      </c>
      <c r="U13" s="8">
        <v>22.679600000000001</v>
      </c>
      <c r="V13" s="8">
        <v>15.065799999999999</v>
      </c>
      <c r="W13" s="8">
        <v>13.480600000000001</v>
      </c>
      <c r="X13" s="8">
        <v>26.917200000000001</v>
      </c>
      <c r="Y13" s="8">
        <v>10.520799999999999</v>
      </c>
      <c r="Z13" s="8">
        <v>33.927799999999998</v>
      </c>
      <c r="AA13" s="8">
        <v>22.140599999999999</v>
      </c>
      <c r="AB13" s="8">
        <v>5.3874000000000004</v>
      </c>
      <c r="AC13" s="8">
        <v>32.887999999999998</v>
      </c>
      <c r="AD13" s="8">
        <v>23.7438</v>
      </c>
      <c r="AE13" s="8"/>
      <c r="AF13" s="8">
        <f t="shared" si="6"/>
        <v>209.05680000000007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35">
      <c r="A14" s="8" t="s">
        <v>48</v>
      </c>
      <c r="B14" s="8" t="s">
        <v>39</v>
      </c>
      <c r="C14" s="8">
        <v>86</v>
      </c>
      <c r="D14" s="8">
        <v>496</v>
      </c>
      <c r="E14" s="8">
        <v>162</v>
      </c>
      <c r="F14" s="8">
        <v>324</v>
      </c>
      <c r="G14" s="6">
        <v>0.25</v>
      </c>
      <c r="H14" s="8">
        <v>120</v>
      </c>
      <c r="I14" s="8" t="s">
        <v>36</v>
      </c>
      <c r="J14" s="8"/>
      <c r="K14" s="8">
        <v>189</v>
      </c>
      <c r="L14" s="8">
        <f t="shared" si="2"/>
        <v>-27</v>
      </c>
      <c r="M14" s="8"/>
      <c r="N14" s="8"/>
      <c r="O14" s="8">
        <v>0</v>
      </c>
      <c r="P14" s="8">
        <f t="shared" si="3"/>
        <v>32.4</v>
      </c>
      <c r="Q14" s="4">
        <f t="shared" si="7"/>
        <v>162</v>
      </c>
      <c r="R14" s="18">
        <v>250</v>
      </c>
      <c r="S14" s="8">
        <f t="shared" si="4"/>
        <v>15</v>
      </c>
      <c r="T14" s="8">
        <f t="shared" si="5"/>
        <v>10</v>
      </c>
      <c r="U14" s="8">
        <v>27.2</v>
      </c>
      <c r="V14" s="8">
        <v>30.6</v>
      </c>
      <c r="W14" s="8">
        <v>24</v>
      </c>
      <c r="X14" s="8">
        <v>25.8</v>
      </c>
      <c r="Y14" s="8">
        <v>30.4</v>
      </c>
      <c r="Z14" s="8">
        <v>5.2</v>
      </c>
      <c r="AA14" s="8">
        <v>36.200000000000003</v>
      </c>
      <c r="AB14" s="8">
        <v>45.2</v>
      </c>
      <c r="AC14" s="8">
        <v>21.4</v>
      </c>
      <c r="AD14" s="8">
        <v>18.2</v>
      </c>
      <c r="AE14" s="8" t="s">
        <v>49</v>
      </c>
      <c r="AF14" s="8">
        <f t="shared" si="6"/>
        <v>40.5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35">
      <c r="A15" s="8" t="s">
        <v>50</v>
      </c>
      <c r="B15" s="8" t="s">
        <v>35</v>
      </c>
      <c r="C15" s="8">
        <v>63.506999999999998</v>
      </c>
      <c r="D15" s="8">
        <v>42.3</v>
      </c>
      <c r="E15" s="8">
        <v>17.622</v>
      </c>
      <c r="F15" s="8">
        <v>48</v>
      </c>
      <c r="G15" s="6">
        <v>1</v>
      </c>
      <c r="H15" s="8">
        <v>60</v>
      </c>
      <c r="I15" s="8" t="s">
        <v>36</v>
      </c>
      <c r="J15" s="8"/>
      <c r="K15" s="8">
        <v>17.600000000000001</v>
      </c>
      <c r="L15" s="8">
        <f t="shared" si="2"/>
        <v>2.1999999999998465E-2</v>
      </c>
      <c r="M15" s="8"/>
      <c r="N15" s="8"/>
      <c r="O15" s="8">
        <v>0</v>
      </c>
      <c r="P15" s="8">
        <f t="shared" si="3"/>
        <v>3.5244</v>
      </c>
      <c r="Q15" s="4"/>
      <c r="R15" s="18">
        <v>70</v>
      </c>
      <c r="S15" s="8">
        <f t="shared" si="4"/>
        <v>13.619339462036091</v>
      </c>
      <c r="T15" s="8">
        <f t="shared" si="5"/>
        <v>13.619339462036091</v>
      </c>
      <c r="U15" s="8">
        <v>2.3262</v>
      </c>
      <c r="V15" s="8">
        <v>1.0682</v>
      </c>
      <c r="W15" s="8">
        <v>0</v>
      </c>
      <c r="X15" s="8">
        <v>11.981199999999999</v>
      </c>
      <c r="Y15" s="8">
        <v>2.4653999999999998</v>
      </c>
      <c r="Z15" s="8">
        <v>2.6850000000000001</v>
      </c>
      <c r="AA15" s="8">
        <v>5.6701999999999986</v>
      </c>
      <c r="AB15" s="8">
        <v>4.8360000000000003</v>
      </c>
      <c r="AC15" s="8">
        <v>4.3343999999999996</v>
      </c>
      <c r="AD15" s="8">
        <v>3.8136000000000001</v>
      </c>
      <c r="AE15" s="8"/>
      <c r="AF15" s="8">
        <f t="shared" si="6"/>
        <v>0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35">
      <c r="A16" s="8" t="s">
        <v>51</v>
      </c>
      <c r="B16" s="8" t="s">
        <v>39</v>
      </c>
      <c r="C16" s="8">
        <v>335</v>
      </c>
      <c r="D16" s="8">
        <v>559</v>
      </c>
      <c r="E16" s="8">
        <v>196</v>
      </c>
      <c r="F16" s="8">
        <v>514</v>
      </c>
      <c r="G16" s="6">
        <v>0.25</v>
      </c>
      <c r="H16" s="8">
        <v>120</v>
      </c>
      <c r="I16" s="8" t="s">
        <v>36</v>
      </c>
      <c r="J16" s="8"/>
      <c r="K16" s="8">
        <v>208</v>
      </c>
      <c r="L16" s="8">
        <f t="shared" si="2"/>
        <v>-12</v>
      </c>
      <c r="M16" s="8"/>
      <c r="N16" s="8"/>
      <c r="O16" s="8">
        <v>0</v>
      </c>
      <c r="P16" s="8">
        <f t="shared" si="3"/>
        <v>39.200000000000003</v>
      </c>
      <c r="Q16" s="4">
        <f t="shared" si="7"/>
        <v>74</v>
      </c>
      <c r="R16" s="18">
        <v>150</v>
      </c>
      <c r="S16" s="8">
        <f t="shared" si="4"/>
        <v>14.999999999999998</v>
      </c>
      <c r="T16" s="8">
        <f t="shared" si="5"/>
        <v>13.112244897959183</v>
      </c>
      <c r="U16" s="8">
        <v>20.399999999999999</v>
      </c>
      <c r="V16" s="8">
        <v>43.2</v>
      </c>
      <c r="W16" s="8">
        <v>42.6</v>
      </c>
      <c r="X16" s="8">
        <v>22.2</v>
      </c>
      <c r="Y16" s="8">
        <v>41.2</v>
      </c>
      <c r="Z16" s="8">
        <v>42</v>
      </c>
      <c r="AA16" s="8">
        <v>44.6</v>
      </c>
      <c r="AB16" s="8">
        <v>53.2</v>
      </c>
      <c r="AC16" s="8">
        <v>36</v>
      </c>
      <c r="AD16" s="8">
        <v>37</v>
      </c>
      <c r="AE16" s="16" t="s">
        <v>49</v>
      </c>
      <c r="AF16" s="8">
        <f t="shared" si="6"/>
        <v>18.5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35">
      <c r="A17" s="8" t="s">
        <v>52</v>
      </c>
      <c r="B17" s="8" t="s">
        <v>39</v>
      </c>
      <c r="C17" s="8">
        <v>144</v>
      </c>
      <c r="D17" s="8">
        <v>84</v>
      </c>
      <c r="E17" s="8">
        <v>100</v>
      </c>
      <c r="F17" s="8">
        <v>42</v>
      </c>
      <c r="G17" s="6">
        <v>0.4</v>
      </c>
      <c r="H17" s="8">
        <v>60</v>
      </c>
      <c r="I17" s="8" t="s">
        <v>36</v>
      </c>
      <c r="J17" s="8"/>
      <c r="K17" s="8">
        <v>93</v>
      </c>
      <c r="L17" s="8">
        <f t="shared" si="2"/>
        <v>7</v>
      </c>
      <c r="M17" s="8"/>
      <c r="N17" s="8"/>
      <c r="O17" s="8">
        <v>21</v>
      </c>
      <c r="P17" s="8">
        <f t="shared" si="3"/>
        <v>20</v>
      </c>
      <c r="Q17" s="4">
        <f>11*P17-O17-F17</f>
        <v>157</v>
      </c>
      <c r="R17" s="18"/>
      <c r="S17" s="8">
        <f t="shared" si="4"/>
        <v>11</v>
      </c>
      <c r="T17" s="8">
        <f t="shared" si="5"/>
        <v>3.15</v>
      </c>
      <c r="U17" s="8">
        <v>11.8</v>
      </c>
      <c r="V17" s="8">
        <v>3.6</v>
      </c>
      <c r="W17" s="8">
        <v>13</v>
      </c>
      <c r="X17" s="8">
        <v>30</v>
      </c>
      <c r="Y17" s="8">
        <v>13</v>
      </c>
      <c r="Z17" s="8">
        <v>17.600000000000001</v>
      </c>
      <c r="AA17" s="8">
        <v>17.600000000000001</v>
      </c>
      <c r="AB17" s="8">
        <v>26.6</v>
      </c>
      <c r="AC17" s="8">
        <v>10.8</v>
      </c>
      <c r="AD17" s="8">
        <v>15.4</v>
      </c>
      <c r="AE17" s="8"/>
      <c r="AF17" s="8">
        <f t="shared" si="6"/>
        <v>62.800000000000004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35">
      <c r="A18" s="8" t="s">
        <v>53</v>
      </c>
      <c r="B18" s="8" t="s">
        <v>35</v>
      </c>
      <c r="C18" s="8">
        <v>175.399</v>
      </c>
      <c r="D18" s="8">
        <v>324.274</v>
      </c>
      <c r="E18" s="8">
        <v>265.61200000000002</v>
      </c>
      <c r="F18" s="8">
        <v>41.3</v>
      </c>
      <c r="G18" s="6">
        <v>1</v>
      </c>
      <c r="H18" s="8">
        <v>45</v>
      </c>
      <c r="I18" s="8" t="s">
        <v>36</v>
      </c>
      <c r="J18" s="8"/>
      <c r="K18" s="8">
        <v>250.07</v>
      </c>
      <c r="L18" s="8">
        <f t="shared" si="2"/>
        <v>15.54200000000003</v>
      </c>
      <c r="M18" s="8"/>
      <c r="N18" s="8"/>
      <c r="O18" s="8">
        <v>164</v>
      </c>
      <c r="P18" s="8">
        <f t="shared" si="3"/>
        <v>53.122400000000006</v>
      </c>
      <c r="Q18" s="4">
        <f>12*P18-O18-F18</f>
        <v>432.16880000000009</v>
      </c>
      <c r="R18" s="18">
        <v>550</v>
      </c>
      <c r="S18" s="8">
        <f t="shared" si="4"/>
        <v>12</v>
      </c>
      <c r="T18" s="8">
        <f t="shared" si="5"/>
        <v>3.8646597292291007</v>
      </c>
      <c r="U18" s="8">
        <v>32.210799999999999</v>
      </c>
      <c r="V18" s="8">
        <v>29.918600000000001</v>
      </c>
      <c r="W18" s="8">
        <v>32.3752</v>
      </c>
      <c r="X18" s="8">
        <v>30.775400000000001</v>
      </c>
      <c r="Y18" s="8">
        <v>35.424999999999997</v>
      </c>
      <c r="Z18" s="8">
        <v>34.663200000000003</v>
      </c>
      <c r="AA18" s="8">
        <v>30.606400000000001</v>
      </c>
      <c r="AB18" s="8">
        <v>45.867800000000003</v>
      </c>
      <c r="AC18" s="8">
        <v>34.546199999999999</v>
      </c>
      <c r="AD18" s="8">
        <v>30.534400000000002</v>
      </c>
      <c r="AE18" s="8"/>
      <c r="AF18" s="8">
        <f t="shared" si="6"/>
        <v>432.16880000000009</v>
      </c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35">
      <c r="A19" s="10" t="s">
        <v>54</v>
      </c>
      <c r="B19" s="10" t="s">
        <v>39</v>
      </c>
      <c r="C19" s="10">
        <v>-1</v>
      </c>
      <c r="D19" s="10">
        <v>5</v>
      </c>
      <c r="E19" s="10"/>
      <c r="F19" s="10"/>
      <c r="G19" s="11">
        <v>0</v>
      </c>
      <c r="H19" s="10">
        <v>60</v>
      </c>
      <c r="I19" s="10" t="s">
        <v>55</v>
      </c>
      <c r="J19" s="10"/>
      <c r="K19" s="10"/>
      <c r="L19" s="10">
        <f t="shared" si="2"/>
        <v>0</v>
      </c>
      <c r="M19" s="10"/>
      <c r="N19" s="10"/>
      <c r="O19" s="10">
        <v>0</v>
      </c>
      <c r="P19" s="10">
        <f t="shared" si="3"/>
        <v>0</v>
      </c>
      <c r="Q19" s="12"/>
      <c r="R19" s="19"/>
      <c r="S19" s="10" t="e">
        <f t="shared" si="4"/>
        <v>#DIV/0!</v>
      </c>
      <c r="T19" s="10" t="e">
        <f t="shared" si="5"/>
        <v>#DIV/0!</v>
      </c>
      <c r="U19" s="10">
        <v>0</v>
      </c>
      <c r="V19" s="10">
        <v>0</v>
      </c>
      <c r="W19" s="10">
        <v>0</v>
      </c>
      <c r="X19" s="10">
        <v>1.6</v>
      </c>
      <c r="Y19" s="10">
        <v>0.4</v>
      </c>
      <c r="Z19" s="10">
        <v>3</v>
      </c>
      <c r="AA19" s="10">
        <v>0.4</v>
      </c>
      <c r="AB19" s="10">
        <v>2.4</v>
      </c>
      <c r="AC19" s="10">
        <v>3.2</v>
      </c>
      <c r="AD19" s="10">
        <v>2.4</v>
      </c>
      <c r="AE19" s="10"/>
      <c r="AF19" s="10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35">
      <c r="A20" s="8" t="s">
        <v>56</v>
      </c>
      <c r="B20" s="8" t="s">
        <v>35</v>
      </c>
      <c r="C20" s="8">
        <v>67.221000000000004</v>
      </c>
      <c r="D20" s="8">
        <v>29.571000000000002</v>
      </c>
      <c r="E20" s="8">
        <v>31.141999999999999</v>
      </c>
      <c r="F20" s="8">
        <v>32.5</v>
      </c>
      <c r="G20" s="6">
        <v>1</v>
      </c>
      <c r="H20" s="8">
        <v>120</v>
      </c>
      <c r="I20" s="8" t="s">
        <v>36</v>
      </c>
      <c r="J20" s="8"/>
      <c r="K20" s="8">
        <v>33.799999999999997</v>
      </c>
      <c r="L20" s="8">
        <f t="shared" si="2"/>
        <v>-2.6579999999999977</v>
      </c>
      <c r="M20" s="8"/>
      <c r="N20" s="8"/>
      <c r="O20" s="8">
        <v>0</v>
      </c>
      <c r="P20" s="8">
        <f t="shared" si="3"/>
        <v>6.2283999999999997</v>
      </c>
      <c r="Q20" s="4">
        <f>13*P20-O20-F20</f>
        <v>48.469200000000001</v>
      </c>
      <c r="R20" s="18"/>
      <c r="S20" s="8">
        <f t="shared" si="4"/>
        <v>13</v>
      </c>
      <c r="T20" s="8">
        <f t="shared" si="5"/>
        <v>5.2180335238584554</v>
      </c>
      <c r="U20" s="8">
        <v>2.9159999999999999</v>
      </c>
      <c r="V20" s="8">
        <v>4.5262000000000002</v>
      </c>
      <c r="W20" s="8">
        <v>3.2416</v>
      </c>
      <c r="X20" s="8">
        <v>2.4184000000000001</v>
      </c>
      <c r="Y20" s="8">
        <v>6.6599999999999993</v>
      </c>
      <c r="Z20" s="8">
        <v>4.0536000000000003</v>
      </c>
      <c r="AA20" s="8">
        <v>5.4851999999999999</v>
      </c>
      <c r="AB20" s="8">
        <v>5.8171999999999997</v>
      </c>
      <c r="AC20" s="8">
        <v>6.9495999999999993</v>
      </c>
      <c r="AD20" s="8">
        <v>2.3774000000000002</v>
      </c>
      <c r="AE20" s="16" t="s">
        <v>49</v>
      </c>
      <c r="AF20" s="8">
        <f>G20*Q20</f>
        <v>48.469200000000001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35">
      <c r="A21" s="8" t="s">
        <v>57</v>
      </c>
      <c r="B21" s="8" t="s">
        <v>39</v>
      </c>
      <c r="C21" s="8">
        <v>286</v>
      </c>
      <c r="D21" s="8">
        <v>545</v>
      </c>
      <c r="E21" s="8">
        <v>97</v>
      </c>
      <c r="F21" s="8">
        <v>468</v>
      </c>
      <c r="G21" s="6">
        <v>0.4</v>
      </c>
      <c r="H21" s="8">
        <v>45</v>
      </c>
      <c r="I21" s="8" t="s">
        <v>36</v>
      </c>
      <c r="J21" s="8"/>
      <c r="K21" s="8">
        <v>101.5</v>
      </c>
      <c r="L21" s="8">
        <f t="shared" si="2"/>
        <v>-4.5</v>
      </c>
      <c r="M21" s="8"/>
      <c r="N21" s="8"/>
      <c r="O21" s="8">
        <v>0</v>
      </c>
      <c r="P21" s="8">
        <f t="shared" si="3"/>
        <v>19.399999999999999</v>
      </c>
      <c r="Q21" s="4"/>
      <c r="R21" s="18"/>
      <c r="S21" s="8">
        <f t="shared" si="4"/>
        <v>24.123711340206189</v>
      </c>
      <c r="T21" s="8">
        <f t="shared" si="5"/>
        <v>24.123711340206189</v>
      </c>
      <c r="U21" s="8">
        <v>9.1999999999999993</v>
      </c>
      <c r="V21" s="8">
        <v>35.799999999999997</v>
      </c>
      <c r="W21" s="8">
        <v>43.4</v>
      </c>
      <c r="X21" s="8">
        <v>27</v>
      </c>
      <c r="Y21" s="8">
        <v>25</v>
      </c>
      <c r="Z21" s="8">
        <v>18.2</v>
      </c>
      <c r="AA21" s="8">
        <v>23.2</v>
      </c>
      <c r="AB21" s="8">
        <v>42</v>
      </c>
      <c r="AC21" s="8">
        <v>31.8</v>
      </c>
      <c r="AD21" s="8">
        <v>31.4</v>
      </c>
      <c r="AE21" s="15" t="s">
        <v>40</v>
      </c>
      <c r="AF21" s="8">
        <f>G21*Q21</f>
        <v>0</v>
      </c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35">
      <c r="A22" s="8" t="s">
        <v>58</v>
      </c>
      <c r="B22" s="8" t="s">
        <v>35</v>
      </c>
      <c r="C22" s="8">
        <v>134.291</v>
      </c>
      <c r="D22" s="8">
        <v>120.86799999999999</v>
      </c>
      <c r="E22" s="8">
        <v>78.031999999999996</v>
      </c>
      <c r="F22" s="8">
        <v>53.95</v>
      </c>
      <c r="G22" s="6">
        <v>1</v>
      </c>
      <c r="H22" s="8">
        <v>60</v>
      </c>
      <c r="I22" s="8" t="s">
        <v>36</v>
      </c>
      <c r="J22" s="8"/>
      <c r="K22" s="8">
        <v>72.599999999999994</v>
      </c>
      <c r="L22" s="8">
        <f t="shared" si="2"/>
        <v>5.4320000000000022</v>
      </c>
      <c r="M22" s="8"/>
      <c r="N22" s="8"/>
      <c r="O22" s="8">
        <v>86</v>
      </c>
      <c r="P22" s="8">
        <f t="shared" si="3"/>
        <v>15.606399999999999</v>
      </c>
      <c r="Q22" s="4">
        <f t="shared" ref="Q22" si="8">15*P22-O22-F22</f>
        <v>94.145999999999972</v>
      </c>
      <c r="R22" s="18"/>
      <c r="S22" s="8">
        <f t="shared" si="4"/>
        <v>14.999999999999998</v>
      </c>
      <c r="T22" s="8">
        <f t="shared" si="5"/>
        <v>8.9674748820996513</v>
      </c>
      <c r="U22" s="8">
        <v>15.7248</v>
      </c>
      <c r="V22" s="8">
        <v>6.8559999999999999</v>
      </c>
      <c r="W22" s="8">
        <v>10.878</v>
      </c>
      <c r="X22" s="8">
        <v>10.856</v>
      </c>
      <c r="Y22" s="8">
        <v>24.0562</v>
      </c>
      <c r="Z22" s="8">
        <v>8.1525999999999996</v>
      </c>
      <c r="AA22" s="8">
        <v>17.556799999999999</v>
      </c>
      <c r="AB22" s="8">
        <v>21.112400000000001</v>
      </c>
      <c r="AC22" s="8">
        <v>24.304200000000002</v>
      </c>
      <c r="AD22" s="8">
        <v>17.704999999999998</v>
      </c>
      <c r="AE22" s="8"/>
      <c r="AF22" s="8">
        <f>G22*Q22</f>
        <v>94.145999999999972</v>
      </c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35">
      <c r="A23" s="8" t="s">
        <v>59</v>
      </c>
      <c r="B23" s="8" t="s">
        <v>39</v>
      </c>
      <c r="C23" s="8">
        <v>299</v>
      </c>
      <c r="D23" s="8">
        <v>610</v>
      </c>
      <c r="E23" s="8">
        <v>164</v>
      </c>
      <c r="F23" s="8">
        <v>534</v>
      </c>
      <c r="G23" s="6">
        <v>0.22</v>
      </c>
      <c r="H23" s="8">
        <v>120</v>
      </c>
      <c r="I23" s="8" t="s">
        <v>36</v>
      </c>
      <c r="J23" s="8"/>
      <c r="K23" s="8">
        <v>175</v>
      </c>
      <c r="L23" s="8">
        <f t="shared" si="2"/>
        <v>-11</v>
      </c>
      <c r="M23" s="8"/>
      <c r="N23" s="8"/>
      <c r="O23" s="8">
        <v>0</v>
      </c>
      <c r="P23" s="8">
        <f t="shared" si="3"/>
        <v>32.799999999999997</v>
      </c>
      <c r="Q23" s="4"/>
      <c r="R23" s="18">
        <v>150</v>
      </c>
      <c r="S23" s="8">
        <f t="shared" si="4"/>
        <v>16.280487804878049</v>
      </c>
      <c r="T23" s="8">
        <f t="shared" si="5"/>
        <v>16.280487804878049</v>
      </c>
      <c r="U23" s="8">
        <v>30.6</v>
      </c>
      <c r="V23" s="8">
        <v>49</v>
      </c>
      <c r="W23" s="8">
        <v>45.4</v>
      </c>
      <c r="X23" s="8">
        <v>26.4</v>
      </c>
      <c r="Y23" s="8">
        <v>43</v>
      </c>
      <c r="Z23" s="8">
        <v>50.8</v>
      </c>
      <c r="AA23" s="8">
        <v>39.6</v>
      </c>
      <c r="AB23" s="8">
        <v>53.4</v>
      </c>
      <c r="AC23" s="8">
        <v>36.200000000000003</v>
      </c>
      <c r="AD23" s="8">
        <v>39.200000000000003</v>
      </c>
      <c r="AE23" s="17" t="s">
        <v>43</v>
      </c>
      <c r="AF23" s="8">
        <f>G23*Q23</f>
        <v>0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35">
      <c r="A24" s="8" t="s">
        <v>60</v>
      </c>
      <c r="B24" s="8" t="s">
        <v>35</v>
      </c>
      <c r="C24" s="8">
        <v>28.312000000000001</v>
      </c>
      <c r="D24" s="8">
        <v>4.8479999999999999</v>
      </c>
      <c r="E24" s="8">
        <v>-2.2360000000000002</v>
      </c>
      <c r="F24" s="8"/>
      <c r="G24" s="6">
        <v>1</v>
      </c>
      <c r="H24" s="8">
        <v>40</v>
      </c>
      <c r="I24" s="8" t="s">
        <v>36</v>
      </c>
      <c r="J24" s="8"/>
      <c r="K24" s="8">
        <v>8.3000000000000007</v>
      </c>
      <c r="L24" s="8">
        <f t="shared" si="2"/>
        <v>-10.536000000000001</v>
      </c>
      <c r="M24" s="8"/>
      <c r="N24" s="8"/>
      <c r="O24" s="8">
        <v>0</v>
      </c>
      <c r="P24" s="8">
        <f t="shared" si="3"/>
        <v>-0.44720000000000004</v>
      </c>
      <c r="Q24" s="4">
        <v>8</v>
      </c>
      <c r="R24" s="18"/>
      <c r="S24" s="8">
        <f t="shared" si="4"/>
        <v>-17.889087656529515</v>
      </c>
      <c r="T24" s="8">
        <f t="shared" si="5"/>
        <v>0</v>
      </c>
      <c r="U24" s="8">
        <v>1.1148</v>
      </c>
      <c r="V24" s="8">
        <v>0.33439999999999998</v>
      </c>
      <c r="W24" s="8">
        <v>2.4996</v>
      </c>
      <c r="X24" s="8">
        <v>2.4508000000000001</v>
      </c>
      <c r="Y24" s="8">
        <v>1.9847999999999999</v>
      </c>
      <c r="Z24" s="8">
        <v>4.2624000000000004</v>
      </c>
      <c r="AA24" s="8">
        <v>2.1756000000000002</v>
      </c>
      <c r="AB24" s="8">
        <v>4.0891999999999999</v>
      </c>
      <c r="AC24" s="8">
        <v>7.2516000000000007</v>
      </c>
      <c r="AD24" s="8">
        <v>2.1152000000000002</v>
      </c>
      <c r="AE24" s="16" t="s">
        <v>172</v>
      </c>
      <c r="AF24" s="8">
        <f>G24*Q24</f>
        <v>8</v>
      </c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35">
      <c r="A25" s="10" t="s">
        <v>61</v>
      </c>
      <c r="B25" s="10" t="s">
        <v>39</v>
      </c>
      <c r="C25" s="10">
        <v>2</v>
      </c>
      <c r="D25" s="10">
        <v>2</v>
      </c>
      <c r="E25" s="10"/>
      <c r="F25" s="10"/>
      <c r="G25" s="11">
        <v>0</v>
      </c>
      <c r="H25" s="10">
        <v>45</v>
      </c>
      <c r="I25" s="10" t="s">
        <v>55</v>
      </c>
      <c r="J25" s="10"/>
      <c r="K25" s="10">
        <v>21</v>
      </c>
      <c r="L25" s="10">
        <f t="shared" si="2"/>
        <v>-21</v>
      </c>
      <c r="M25" s="10"/>
      <c r="N25" s="10"/>
      <c r="O25" s="10">
        <v>0</v>
      </c>
      <c r="P25" s="10">
        <f t="shared" si="3"/>
        <v>0</v>
      </c>
      <c r="Q25" s="12"/>
      <c r="R25" s="19"/>
      <c r="S25" s="10" t="e">
        <f t="shared" si="4"/>
        <v>#DIV/0!</v>
      </c>
      <c r="T25" s="10" t="e">
        <f t="shared" si="5"/>
        <v>#DIV/0!</v>
      </c>
      <c r="U25" s="10">
        <v>0</v>
      </c>
      <c r="V25" s="10">
        <v>0</v>
      </c>
      <c r="W25" s="10">
        <v>0</v>
      </c>
      <c r="X25" s="10">
        <v>-0.4</v>
      </c>
      <c r="Y25" s="10">
        <v>0.2</v>
      </c>
      <c r="Z25" s="10">
        <v>1.2</v>
      </c>
      <c r="AA25" s="10">
        <v>-1</v>
      </c>
      <c r="AB25" s="10">
        <v>0.8</v>
      </c>
      <c r="AC25" s="10">
        <v>3.4</v>
      </c>
      <c r="AD25" s="10">
        <v>0.6</v>
      </c>
      <c r="AE25" s="10"/>
      <c r="AF25" s="10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35">
      <c r="A26" s="8" t="s">
        <v>62</v>
      </c>
      <c r="B26" s="8" t="s">
        <v>35</v>
      </c>
      <c r="C26" s="8">
        <v>81.341999999999999</v>
      </c>
      <c r="D26" s="8">
        <v>16.826000000000001</v>
      </c>
      <c r="E26" s="8">
        <v>61.113999999999997</v>
      </c>
      <c r="F26" s="8">
        <v>27.1</v>
      </c>
      <c r="G26" s="6">
        <v>1</v>
      </c>
      <c r="H26" s="8">
        <v>60</v>
      </c>
      <c r="I26" s="8" t="s">
        <v>36</v>
      </c>
      <c r="J26" s="8"/>
      <c r="K26" s="8">
        <v>54.1</v>
      </c>
      <c r="L26" s="8">
        <f t="shared" si="2"/>
        <v>7.0139999999999958</v>
      </c>
      <c r="M26" s="8"/>
      <c r="N26" s="8"/>
      <c r="O26" s="8">
        <v>65</v>
      </c>
      <c r="P26" s="8">
        <f t="shared" si="3"/>
        <v>12.222799999999999</v>
      </c>
      <c r="Q26" s="4">
        <f t="shared" ref="Q26:Q31" si="9">15*P26-O26-F26</f>
        <v>91.24199999999999</v>
      </c>
      <c r="R26" s="18"/>
      <c r="S26" s="8">
        <f t="shared" si="4"/>
        <v>15</v>
      </c>
      <c r="T26" s="8">
        <f t="shared" si="5"/>
        <v>7.5350983408057068</v>
      </c>
      <c r="U26" s="8">
        <v>10.427</v>
      </c>
      <c r="V26" s="8">
        <v>5.2994000000000003</v>
      </c>
      <c r="W26" s="8">
        <v>9.1290000000000013</v>
      </c>
      <c r="X26" s="8">
        <v>6.2380000000000004</v>
      </c>
      <c r="Y26" s="8">
        <v>2.7120000000000002</v>
      </c>
      <c r="Z26" s="8">
        <v>16.8964</v>
      </c>
      <c r="AA26" s="8">
        <v>19.1616</v>
      </c>
      <c r="AB26" s="8">
        <v>12.140599999999999</v>
      </c>
      <c r="AC26" s="8">
        <v>8.6478000000000002</v>
      </c>
      <c r="AD26" s="8">
        <v>19.2288</v>
      </c>
      <c r="AE26" s="8"/>
      <c r="AF26" s="8">
        <f t="shared" ref="AF26:AF33" si="10">G26*Q26</f>
        <v>91.24199999999999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35">
      <c r="A27" s="8" t="s">
        <v>63</v>
      </c>
      <c r="B27" s="8" t="s">
        <v>39</v>
      </c>
      <c r="C27" s="8">
        <v>43</v>
      </c>
      <c r="D27" s="8">
        <v>104</v>
      </c>
      <c r="E27" s="8">
        <v>61</v>
      </c>
      <c r="F27" s="8">
        <v>20</v>
      </c>
      <c r="G27" s="6">
        <v>0.09</v>
      </c>
      <c r="H27" s="8">
        <v>60</v>
      </c>
      <c r="I27" s="8" t="s">
        <v>36</v>
      </c>
      <c r="J27" s="8"/>
      <c r="K27" s="8">
        <v>64</v>
      </c>
      <c r="L27" s="8">
        <f t="shared" si="2"/>
        <v>-3</v>
      </c>
      <c r="M27" s="8"/>
      <c r="N27" s="8"/>
      <c r="O27" s="8">
        <v>60</v>
      </c>
      <c r="P27" s="8">
        <f t="shared" si="3"/>
        <v>12.2</v>
      </c>
      <c r="Q27" s="4">
        <f t="shared" si="9"/>
        <v>103</v>
      </c>
      <c r="R27" s="18"/>
      <c r="S27" s="8">
        <f t="shared" si="4"/>
        <v>15</v>
      </c>
      <c r="T27" s="8">
        <f t="shared" si="5"/>
        <v>6.557377049180328</v>
      </c>
      <c r="U27" s="8">
        <v>10.199999999999999</v>
      </c>
      <c r="V27" s="8">
        <v>9</v>
      </c>
      <c r="W27" s="8">
        <v>10</v>
      </c>
      <c r="X27" s="8">
        <v>11.4</v>
      </c>
      <c r="Y27" s="8">
        <v>9.1999999999999993</v>
      </c>
      <c r="Z27" s="8">
        <v>6.2</v>
      </c>
      <c r="AA27" s="8">
        <v>9.8000000000000007</v>
      </c>
      <c r="AB27" s="8">
        <v>9.8000000000000007</v>
      </c>
      <c r="AC27" s="8">
        <v>4</v>
      </c>
      <c r="AD27" s="8">
        <v>14.4</v>
      </c>
      <c r="AE27" s="8"/>
      <c r="AF27" s="8">
        <f t="shared" si="10"/>
        <v>9.27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35">
      <c r="A28" s="8" t="s">
        <v>64</v>
      </c>
      <c r="B28" s="8" t="s">
        <v>39</v>
      </c>
      <c r="C28" s="8">
        <v>45</v>
      </c>
      <c r="D28" s="8">
        <v>180</v>
      </c>
      <c r="E28" s="8">
        <v>51</v>
      </c>
      <c r="F28" s="8">
        <v>129</v>
      </c>
      <c r="G28" s="6">
        <v>0.09</v>
      </c>
      <c r="H28" s="8">
        <v>45</v>
      </c>
      <c r="I28" s="8" t="s">
        <v>36</v>
      </c>
      <c r="J28" s="8"/>
      <c r="K28" s="8">
        <v>53</v>
      </c>
      <c r="L28" s="8">
        <f t="shared" si="2"/>
        <v>-2</v>
      </c>
      <c r="M28" s="8"/>
      <c r="N28" s="8"/>
      <c r="O28" s="8">
        <v>0</v>
      </c>
      <c r="P28" s="8">
        <f t="shared" si="3"/>
        <v>10.199999999999999</v>
      </c>
      <c r="Q28" s="4">
        <f t="shared" si="9"/>
        <v>24</v>
      </c>
      <c r="R28" s="18"/>
      <c r="S28" s="8">
        <f t="shared" si="4"/>
        <v>15.000000000000002</v>
      </c>
      <c r="T28" s="8">
        <f t="shared" si="5"/>
        <v>12.647058823529413</v>
      </c>
      <c r="U28" s="8">
        <v>8.6</v>
      </c>
      <c r="V28" s="8">
        <v>13</v>
      </c>
      <c r="W28" s="8">
        <v>11</v>
      </c>
      <c r="X28" s="8">
        <v>11.8</v>
      </c>
      <c r="Y28" s="8">
        <v>14.2</v>
      </c>
      <c r="Z28" s="8">
        <v>9.1999999999999993</v>
      </c>
      <c r="AA28" s="8">
        <v>15</v>
      </c>
      <c r="AB28" s="8">
        <v>14.6</v>
      </c>
      <c r="AC28" s="8">
        <v>5.6</v>
      </c>
      <c r="AD28" s="8">
        <v>14</v>
      </c>
      <c r="AE28" s="8" t="s">
        <v>65</v>
      </c>
      <c r="AF28" s="8">
        <f t="shared" si="10"/>
        <v>2.16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35">
      <c r="A29" s="8" t="s">
        <v>66</v>
      </c>
      <c r="B29" s="8" t="s">
        <v>39</v>
      </c>
      <c r="C29" s="8">
        <v>223</v>
      </c>
      <c r="D29" s="8">
        <v>11</v>
      </c>
      <c r="E29" s="8">
        <v>-1</v>
      </c>
      <c r="F29" s="8">
        <v>197</v>
      </c>
      <c r="G29" s="6">
        <v>0.15</v>
      </c>
      <c r="H29" s="8">
        <v>45</v>
      </c>
      <c r="I29" s="8" t="s">
        <v>36</v>
      </c>
      <c r="J29" s="8"/>
      <c r="K29" s="8">
        <v>13</v>
      </c>
      <c r="L29" s="8">
        <f t="shared" si="2"/>
        <v>-14</v>
      </c>
      <c r="M29" s="8"/>
      <c r="N29" s="8"/>
      <c r="O29" s="8">
        <v>0</v>
      </c>
      <c r="P29" s="8">
        <f t="shared" si="3"/>
        <v>-0.2</v>
      </c>
      <c r="Q29" s="4"/>
      <c r="R29" s="18"/>
      <c r="S29" s="8">
        <f t="shared" si="4"/>
        <v>-985</v>
      </c>
      <c r="T29" s="8">
        <f t="shared" si="5"/>
        <v>-985</v>
      </c>
      <c r="U29" s="8">
        <v>2.6</v>
      </c>
      <c r="V29" s="8">
        <v>4.4000000000000004</v>
      </c>
      <c r="W29" s="8">
        <v>28.8</v>
      </c>
      <c r="X29" s="8">
        <v>9.8000000000000007</v>
      </c>
      <c r="Y29" s="8">
        <v>5.6</v>
      </c>
      <c r="Z29" s="8">
        <v>5.4</v>
      </c>
      <c r="AA29" s="8">
        <v>35.799999999999997</v>
      </c>
      <c r="AB29" s="8">
        <v>13.2</v>
      </c>
      <c r="AC29" s="8">
        <v>6.2</v>
      </c>
      <c r="AD29" s="8">
        <v>13.2</v>
      </c>
      <c r="AE29" s="15" t="s">
        <v>40</v>
      </c>
      <c r="AF29" s="8">
        <f t="shared" si="10"/>
        <v>0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35">
      <c r="A30" s="8" t="s">
        <v>67</v>
      </c>
      <c r="B30" s="8" t="s">
        <v>35</v>
      </c>
      <c r="C30" s="8">
        <v>329.14</v>
      </c>
      <c r="D30" s="8">
        <v>632.40200000000004</v>
      </c>
      <c r="E30" s="8">
        <v>266.17500000000001</v>
      </c>
      <c r="F30" s="8">
        <v>350.33699999999999</v>
      </c>
      <c r="G30" s="6">
        <v>1</v>
      </c>
      <c r="H30" s="8">
        <v>45</v>
      </c>
      <c r="I30" s="8" t="s">
        <v>36</v>
      </c>
      <c r="J30" s="8"/>
      <c r="K30" s="8">
        <v>254</v>
      </c>
      <c r="L30" s="8">
        <f t="shared" si="2"/>
        <v>12.175000000000011</v>
      </c>
      <c r="M30" s="8"/>
      <c r="N30" s="8"/>
      <c r="O30" s="8">
        <v>434</v>
      </c>
      <c r="P30" s="8">
        <f t="shared" si="3"/>
        <v>53.234999999999999</v>
      </c>
      <c r="Q30" s="4">
        <f t="shared" si="9"/>
        <v>14.187999999999988</v>
      </c>
      <c r="R30" s="18">
        <v>100</v>
      </c>
      <c r="S30" s="8">
        <f t="shared" si="4"/>
        <v>15</v>
      </c>
      <c r="T30" s="8">
        <f t="shared" si="5"/>
        <v>14.733483610406687</v>
      </c>
      <c r="U30" s="8">
        <v>72.137799999999999</v>
      </c>
      <c r="V30" s="8">
        <v>52.360799999999998</v>
      </c>
      <c r="W30" s="8">
        <v>59.6554</v>
      </c>
      <c r="X30" s="8">
        <v>54.178400000000003</v>
      </c>
      <c r="Y30" s="8">
        <v>42.113</v>
      </c>
      <c r="Z30" s="8">
        <v>29.1554</v>
      </c>
      <c r="AA30" s="8">
        <v>66.340599999999995</v>
      </c>
      <c r="AB30" s="8">
        <v>67.525599999999997</v>
      </c>
      <c r="AC30" s="8">
        <v>39.037400000000012</v>
      </c>
      <c r="AD30" s="8">
        <v>59.512199999999993</v>
      </c>
      <c r="AE30" s="8"/>
      <c r="AF30" s="8">
        <f t="shared" si="10"/>
        <v>14.187999999999988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35">
      <c r="A31" s="8" t="s">
        <v>68</v>
      </c>
      <c r="B31" s="8" t="s">
        <v>39</v>
      </c>
      <c r="C31" s="8">
        <v>96</v>
      </c>
      <c r="D31" s="8">
        <v>64</v>
      </c>
      <c r="E31" s="8">
        <v>65</v>
      </c>
      <c r="F31" s="8">
        <v>30</v>
      </c>
      <c r="G31" s="6">
        <v>0.4</v>
      </c>
      <c r="H31" s="8">
        <v>60</v>
      </c>
      <c r="I31" s="8" t="s">
        <v>36</v>
      </c>
      <c r="J31" s="8"/>
      <c r="K31" s="8">
        <v>67</v>
      </c>
      <c r="L31" s="8">
        <f t="shared" si="2"/>
        <v>-2</v>
      </c>
      <c r="M31" s="8"/>
      <c r="N31" s="8"/>
      <c r="O31" s="8">
        <v>66</v>
      </c>
      <c r="P31" s="8">
        <f t="shared" si="3"/>
        <v>13</v>
      </c>
      <c r="Q31" s="4">
        <f t="shared" si="9"/>
        <v>99</v>
      </c>
      <c r="R31" s="18"/>
      <c r="S31" s="8">
        <f t="shared" si="4"/>
        <v>15</v>
      </c>
      <c r="T31" s="8">
        <f t="shared" si="5"/>
        <v>7.384615384615385</v>
      </c>
      <c r="U31" s="8">
        <v>11.6</v>
      </c>
      <c r="V31" s="8">
        <v>6.4</v>
      </c>
      <c r="W31" s="8">
        <v>2.4</v>
      </c>
      <c r="X31" s="8">
        <v>28.2</v>
      </c>
      <c r="Y31" s="8">
        <v>8.1999999999999993</v>
      </c>
      <c r="Z31" s="8">
        <v>7.6</v>
      </c>
      <c r="AA31" s="8">
        <v>15.8</v>
      </c>
      <c r="AB31" s="8">
        <v>14.2</v>
      </c>
      <c r="AC31" s="8">
        <v>11.4</v>
      </c>
      <c r="AD31" s="8">
        <v>4.4000000000000004</v>
      </c>
      <c r="AE31" s="8"/>
      <c r="AF31" s="8">
        <f t="shared" si="10"/>
        <v>39.6</v>
      </c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35">
      <c r="A32" s="8" t="s">
        <v>69</v>
      </c>
      <c r="B32" s="8" t="s">
        <v>39</v>
      </c>
      <c r="C32" s="8">
        <v>396</v>
      </c>
      <c r="D32" s="8">
        <v>780</v>
      </c>
      <c r="E32" s="8">
        <v>131</v>
      </c>
      <c r="F32" s="8">
        <v>752</v>
      </c>
      <c r="G32" s="6">
        <v>0.4</v>
      </c>
      <c r="H32" s="8">
        <v>60</v>
      </c>
      <c r="I32" s="8" t="s">
        <v>36</v>
      </c>
      <c r="J32" s="8"/>
      <c r="K32" s="8">
        <v>147</v>
      </c>
      <c r="L32" s="8">
        <f t="shared" si="2"/>
        <v>-16</v>
      </c>
      <c r="M32" s="8"/>
      <c r="N32" s="8"/>
      <c r="O32" s="8">
        <v>0</v>
      </c>
      <c r="P32" s="8">
        <f t="shared" si="3"/>
        <v>26.2</v>
      </c>
      <c r="Q32" s="4"/>
      <c r="R32" s="18">
        <v>150</v>
      </c>
      <c r="S32" s="8">
        <f t="shared" si="4"/>
        <v>28.702290076335878</v>
      </c>
      <c r="T32" s="8">
        <f t="shared" si="5"/>
        <v>28.702290076335878</v>
      </c>
      <c r="U32" s="8">
        <v>17.2</v>
      </c>
      <c r="V32" s="8">
        <v>57.2</v>
      </c>
      <c r="W32" s="8">
        <v>55</v>
      </c>
      <c r="X32" s="8">
        <v>39.6</v>
      </c>
      <c r="Y32" s="8">
        <v>37.799999999999997</v>
      </c>
      <c r="Z32" s="8">
        <v>52.8</v>
      </c>
      <c r="AA32" s="8">
        <v>48.4</v>
      </c>
      <c r="AB32" s="8">
        <v>51.2</v>
      </c>
      <c r="AC32" s="8">
        <v>46.2</v>
      </c>
      <c r="AD32" s="8">
        <v>56.2</v>
      </c>
      <c r="AE32" s="15" t="s">
        <v>40</v>
      </c>
      <c r="AF32" s="8">
        <f t="shared" si="10"/>
        <v>0</v>
      </c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35">
      <c r="A33" s="8" t="s">
        <v>70</v>
      </c>
      <c r="B33" s="8" t="s">
        <v>39</v>
      </c>
      <c r="C33" s="8">
        <v>252</v>
      </c>
      <c r="D33" s="8">
        <v>665</v>
      </c>
      <c r="E33" s="8">
        <v>129</v>
      </c>
      <c r="F33" s="8">
        <v>530</v>
      </c>
      <c r="G33" s="6">
        <v>0.4</v>
      </c>
      <c r="H33" s="8">
        <v>60</v>
      </c>
      <c r="I33" s="8" t="s">
        <v>36</v>
      </c>
      <c r="J33" s="8"/>
      <c r="K33" s="8">
        <v>131</v>
      </c>
      <c r="L33" s="8">
        <f t="shared" si="2"/>
        <v>-2</v>
      </c>
      <c r="M33" s="8"/>
      <c r="N33" s="8"/>
      <c r="O33" s="8">
        <v>0</v>
      </c>
      <c r="P33" s="8">
        <f t="shared" si="3"/>
        <v>25.8</v>
      </c>
      <c r="Q33" s="4"/>
      <c r="R33" s="18"/>
      <c r="S33" s="8">
        <f t="shared" si="4"/>
        <v>20.54263565891473</v>
      </c>
      <c r="T33" s="8">
        <f t="shared" si="5"/>
        <v>20.54263565891473</v>
      </c>
      <c r="U33" s="8">
        <v>24.4</v>
      </c>
      <c r="V33" s="8">
        <v>45.8</v>
      </c>
      <c r="W33" s="8">
        <v>40</v>
      </c>
      <c r="X33" s="8">
        <v>42.4</v>
      </c>
      <c r="Y33" s="8">
        <v>33.4</v>
      </c>
      <c r="Z33" s="8">
        <v>17.8</v>
      </c>
      <c r="AA33" s="8">
        <v>33.799999999999997</v>
      </c>
      <c r="AB33" s="8">
        <v>46</v>
      </c>
      <c r="AC33" s="8">
        <v>34.4</v>
      </c>
      <c r="AD33" s="8">
        <v>57</v>
      </c>
      <c r="AE33" s="15" t="s">
        <v>40</v>
      </c>
      <c r="AF33" s="8">
        <f t="shared" si="10"/>
        <v>0</v>
      </c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35">
      <c r="A34" s="10" t="s">
        <v>71</v>
      </c>
      <c r="B34" s="10" t="s">
        <v>39</v>
      </c>
      <c r="C34" s="10">
        <v>31</v>
      </c>
      <c r="D34" s="10">
        <v>5</v>
      </c>
      <c r="E34" s="10">
        <v>14</v>
      </c>
      <c r="F34" s="10">
        <v>17</v>
      </c>
      <c r="G34" s="11">
        <v>0</v>
      </c>
      <c r="H34" s="10">
        <v>45</v>
      </c>
      <c r="I34" s="10" t="s">
        <v>72</v>
      </c>
      <c r="J34" s="10"/>
      <c r="K34" s="10">
        <v>15</v>
      </c>
      <c r="L34" s="10">
        <f t="shared" si="2"/>
        <v>-1</v>
      </c>
      <c r="M34" s="10"/>
      <c r="N34" s="10"/>
      <c r="O34" s="10">
        <v>0</v>
      </c>
      <c r="P34" s="10">
        <f t="shared" si="3"/>
        <v>2.8</v>
      </c>
      <c r="Q34" s="12"/>
      <c r="R34" s="19"/>
      <c r="S34" s="10">
        <f t="shared" si="4"/>
        <v>6.0714285714285721</v>
      </c>
      <c r="T34" s="10">
        <f t="shared" si="5"/>
        <v>6.0714285714285721</v>
      </c>
      <c r="U34" s="10">
        <v>2.4</v>
      </c>
      <c r="V34" s="10">
        <v>2</v>
      </c>
      <c r="W34" s="10">
        <v>4.4000000000000004</v>
      </c>
      <c r="X34" s="10">
        <v>1.8</v>
      </c>
      <c r="Y34" s="10">
        <v>3.4</v>
      </c>
      <c r="Z34" s="10">
        <v>0.2</v>
      </c>
      <c r="AA34" s="10">
        <v>0</v>
      </c>
      <c r="AB34" s="10">
        <v>0</v>
      </c>
      <c r="AC34" s="10">
        <v>0</v>
      </c>
      <c r="AD34" s="10">
        <v>0</v>
      </c>
      <c r="AE34" s="9" t="s">
        <v>73</v>
      </c>
      <c r="AF34" s="10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35">
      <c r="A35" s="10" t="s">
        <v>74</v>
      </c>
      <c r="B35" s="10" t="s">
        <v>39</v>
      </c>
      <c r="C35" s="10">
        <v>-2</v>
      </c>
      <c r="D35" s="10">
        <v>2</v>
      </c>
      <c r="E35" s="10"/>
      <c r="F35" s="10"/>
      <c r="G35" s="11">
        <v>0</v>
      </c>
      <c r="H35" s="10">
        <v>45</v>
      </c>
      <c r="I35" s="10" t="s">
        <v>55</v>
      </c>
      <c r="J35" s="10" t="s">
        <v>75</v>
      </c>
      <c r="K35" s="10"/>
      <c r="L35" s="10">
        <f t="shared" si="2"/>
        <v>0</v>
      </c>
      <c r="M35" s="10"/>
      <c r="N35" s="10"/>
      <c r="O35" s="10">
        <v>0</v>
      </c>
      <c r="P35" s="10">
        <f t="shared" si="3"/>
        <v>0</v>
      </c>
      <c r="Q35" s="12"/>
      <c r="R35" s="19"/>
      <c r="S35" s="10" t="e">
        <f t="shared" si="4"/>
        <v>#DIV/0!</v>
      </c>
      <c r="T35" s="10" t="e">
        <f t="shared" si="5"/>
        <v>#DIV/0!</v>
      </c>
      <c r="U35" s="10">
        <v>0</v>
      </c>
      <c r="V35" s="10">
        <v>0</v>
      </c>
      <c r="W35" s="10">
        <v>-0.2</v>
      </c>
      <c r="X35" s="10">
        <v>-0.2</v>
      </c>
      <c r="Y35" s="10">
        <v>-0.2</v>
      </c>
      <c r="Z35" s="10">
        <v>0</v>
      </c>
      <c r="AA35" s="10">
        <v>2</v>
      </c>
      <c r="AB35" s="10">
        <v>2.8</v>
      </c>
      <c r="AC35" s="10">
        <v>3.8</v>
      </c>
      <c r="AD35" s="10">
        <v>10.6</v>
      </c>
      <c r="AE35" s="10" t="s">
        <v>76</v>
      </c>
      <c r="AF35" s="10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35">
      <c r="A36" s="10" t="s">
        <v>77</v>
      </c>
      <c r="B36" s="10" t="s">
        <v>35</v>
      </c>
      <c r="C36" s="10">
        <v>45.584000000000003</v>
      </c>
      <c r="D36" s="10"/>
      <c r="E36" s="10"/>
      <c r="F36" s="10"/>
      <c r="G36" s="11">
        <v>0</v>
      </c>
      <c r="H36" s="10">
        <v>45</v>
      </c>
      <c r="I36" s="10" t="s">
        <v>55</v>
      </c>
      <c r="J36" s="10"/>
      <c r="K36" s="10">
        <v>0.8</v>
      </c>
      <c r="L36" s="10">
        <f t="shared" si="2"/>
        <v>-0.8</v>
      </c>
      <c r="M36" s="10"/>
      <c r="N36" s="10"/>
      <c r="O36" s="10">
        <v>0</v>
      </c>
      <c r="P36" s="10">
        <f t="shared" si="3"/>
        <v>0</v>
      </c>
      <c r="Q36" s="12"/>
      <c r="R36" s="19"/>
      <c r="S36" s="10" t="e">
        <f t="shared" si="4"/>
        <v>#DIV/0!</v>
      </c>
      <c r="T36" s="10" t="e">
        <f t="shared" si="5"/>
        <v>#DIV/0!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0.23780000000000001</v>
      </c>
      <c r="AC36" s="10">
        <v>1.9172</v>
      </c>
      <c r="AD36" s="10">
        <v>0</v>
      </c>
      <c r="AE36" s="10"/>
      <c r="AF36" s="10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35">
      <c r="A37" s="10" t="s">
        <v>78</v>
      </c>
      <c r="B37" s="10" t="s">
        <v>39</v>
      </c>
      <c r="C37" s="10">
        <v>30</v>
      </c>
      <c r="D37" s="10">
        <v>5</v>
      </c>
      <c r="E37" s="10">
        <v>-20</v>
      </c>
      <c r="F37" s="10"/>
      <c r="G37" s="11">
        <v>0</v>
      </c>
      <c r="H37" s="10">
        <v>45</v>
      </c>
      <c r="I37" s="10" t="s">
        <v>55</v>
      </c>
      <c r="J37" s="10"/>
      <c r="K37" s="10">
        <v>102</v>
      </c>
      <c r="L37" s="10">
        <f t="shared" si="2"/>
        <v>-122</v>
      </c>
      <c r="M37" s="10"/>
      <c r="N37" s="10"/>
      <c r="O37" s="10">
        <v>0</v>
      </c>
      <c r="P37" s="10">
        <f t="shared" si="3"/>
        <v>-4</v>
      </c>
      <c r="Q37" s="12"/>
      <c r="R37" s="19"/>
      <c r="S37" s="10">
        <f t="shared" si="4"/>
        <v>0</v>
      </c>
      <c r="T37" s="10">
        <f t="shared" si="5"/>
        <v>0</v>
      </c>
      <c r="U37" s="10">
        <v>-0.4</v>
      </c>
      <c r="V37" s="10">
        <v>0</v>
      </c>
      <c r="W37" s="10">
        <v>-1</v>
      </c>
      <c r="X37" s="10">
        <v>-1</v>
      </c>
      <c r="Y37" s="10">
        <v>21.8</v>
      </c>
      <c r="Z37" s="10">
        <v>14.4</v>
      </c>
      <c r="AA37" s="10">
        <v>20.6</v>
      </c>
      <c r="AB37" s="10">
        <v>49.171999999999997</v>
      </c>
      <c r="AC37" s="10">
        <v>3.2</v>
      </c>
      <c r="AD37" s="10">
        <v>36.4</v>
      </c>
      <c r="AE37" s="10"/>
      <c r="AF37" s="10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35">
      <c r="A38" s="8" t="s">
        <v>79</v>
      </c>
      <c r="B38" s="8" t="s">
        <v>39</v>
      </c>
      <c r="C38" s="8">
        <v>42</v>
      </c>
      <c r="D38" s="8">
        <v>15</v>
      </c>
      <c r="E38" s="8">
        <v>34</v>
      </c>
      <c r="F38" s="8"/>
      <c r="G38" s="6">
        <v>0.3</v>
      </c>
      <c r="H38" s="8">
        <v>45</v>
      </c>
      <c r="I38" s="8" t="s">
        <v>36</v>
      </c>
      <c r="J38" s="8"/>
      <c r="K38" s="8">
        <v>35</v>
      </c>
      <c r="L38" s="8">
        <f t="shared" ref="L38:L69" si="11">E38-K38</f>
        <v>-1</v>
      </c>
      <c r="M38" s="8"/>
      <c r="N38" s="8"/>
      <c r="O38" s="8">
        <v>0</v>
      </c>
      <c r="P38" s="8">
        <f t="shared" ref="P38:P69" si="12">E38/5</f>
        <v>6.8</v>
      </c>
      <c r="Q38" s="4">
        <f>8*P38-O38-F38</f>
        <v>54.4</v>
      </c>
      <c r="R38" s="18">
        <v>100</v>
      </c>
      <c r="S38" s="8">
        <f t="shared" ref="S38:S69" si="13">(F38+O38+Q38)/P38</f>
        <v>8</v>
      </c>
      <c r="T38" s="8">
        <f t="shared" ref="T38:T69" si="14">(F38+O38)/P38</f>
        <v>0</v>
      </c>
      <c r="U38" s="8">
        <v>1</v>
      </c>
      <c r="V38" s="8">
        <v>2.4</v>
      </c>
      <c r="W38" s="8">
        <v>5.8</v>
      </c>
      <c r="X38" s="8">
        <v>2.4</v>
      </c>
      <c r="Y38" s="8">
        <v>4.5999999999999996</v>
      </c>
      <c r="Z38" s="8">
        <v>4.8</v>
      </c>
      <c r="AA38" s="8">
        <v>1.2</v>
      </c>
      <c r="AB38" s="8">
        <v>-0.6</v>
      </c>
      <c r="AC38" s="8">
        <v>12.8</v>
      </c>
      <c r="AD38" s="8">
        <v>3.4</v>
      </c>
      <c r="AE38" s="8"/>
      <c r="AF38" s="8">
        <f t="shared" ref="AF38:AF43" si="15">G38*Q38</f>
        <v>16.32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35">
      <c r="A39" s="8" t="s">
        <v>80</v>
      </c>
      <c r="B39" s="8" t="s">
        <v>35</v>
      </c>
      <c r="C39" s="8">
        <v>98.989000000000004</v>
      </c>
      <c r="D39" s="8">
        <v>87.256</v>
      </c>
      <c r="E39" s="8">
        <v>77.304000000000002</v>
      </c>
      <c r="F39" s="8">
        <v>23</v>
      </c>
      <c r="G39" s="6">
        <v>1</v>
      </c>
      <c r="H39" s="8">
        <v>60</v>
      </c>
      <c r="I39" s="8" t="s">
        <v>36</v>
      </c>
      <c r="J39" s="8"/>
      <c r="K39" s="8">
        <v>73.3</v>
      </c>
      <c r="L39" s="8">
        <f t="shared" si="11"/>
        <v>4.0040000000000049</v>
      </c>
      <c r="M39" s="8"/>
      <c r="N39" s="8"/>
      <c r="O39" s="8">
        <v>104</v>
      </c>
      <c r="P39" s="8">
        <f t="shared" si="12"/>
        <v>15.460800000000001</v>
      </c>
      <c r="Q39" s="4">
        <f t="shared" ref="Q39:Q43" si="16">15*P39-O39-F39</f>
        <v>104.91200000000001</v>
      </c>
      <c r="R39" s="18"/>
      <c r="S39" s="8">
        <f t="shared" si="13"/>
        <v>15</v>
      </c>
      <c r="T39" s="8">
        <f t="shared" si="14"/>
        <v>8.2143226741177688</v>
      </c>
      <c r="U39" s="8">
        <v>14.4658</v>
      </c>
      <c r="V39" s="8">
        <v>10.421200000000001</v>
      </c>
      <c r="W39" s="8">
        <v>14.5908</v>
      </c>
      <c r="X39" s="8">
        <v>8.9888000000000012</v>
      </c>
      <c r="Y39" s="8">
        <v>19.823399999999999</v>
      </c>
      <c r="Z39" s="8">
        <v>2.6063999999999998</v>
      </c>
      <c r="AA39" s="8">
        <v>4.4555999999999996</v>
      </c>
      <c r="AB39" s="8">
        <v>21.930199999999999</v>
      </c>
      <c r="AC39" s="8">
        <v>12.358000000000001</v>
      </c>
      <c r="AD39" s="8">
        <v>16.8752</v>
      </c>
      <c r="AE39" s="8"/>
      <c r="AF39" s="8">
        <f t="shared" si="15"/>
        <v>104.91200000000001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35">
      <c r="A40" s="8" t="s">
        <v>81</v>
      </c>
      <c r="B40" s="8" t="s">
        <v>35</v>
      </c>
      <c r="C40" s="8">
        <v>49.476999999999997</v>
      </c>
      <c r="D40" s="8">
        <v>118.11199999999999</v>
      </c>
      <c r="E40" s="8">
        <v>59.756999999999998</v>
      </c>
      <c r="F40" s="8">
        <v>42.2</v>
      </c>
      <c r="G40" s="6">
        <v>1</v>
      </c>
      <c r="H40" s="8">
        <v>45</v>
      </c>
      <c r="I40" s="8" t="s">
        <v>36</v>
      </c>
      <c r="J40" s="8"/>
      <c r="K40" s="8">
        <v>56.3</v>
      </c>
      <c r="L40" s="8">
        <f t="shared" si="11"/>
        <v>3.4570000000000007</v>
      </c>
      <c r="M40" s="8"/>
      <c r="N40" s="8"/>
      <c r="O40" s="8">
        <v>111</v>
      </c>
      <c r="P40" s="8">
        <f t="shared" si="12"/>
        <v>11.9514</v>
      </c>
      <c r="Q40" s="4">
        <f t="shared" si="16"/>
        <v>26.070999999999984</v>
      </c>
      <c r="R40" s="18">
        <v>100</v>
      </c>
      <c r="S40" s="8">
        <f t="shared" si="13"/>
        <v>14.999999999999996</v>
      </c>
      <c r="T40" s="8">
        <f t="shared" si="14"/>
        <v>12.818581923456666</v>
      </c>
      <c r="U40" s="8">
        <v>14.689</v>
      </c>
      <c r="V40" s="8">
        <v>11.033799999999999</v>
      </c>
      <c r="W40" s="8">
        <v>10.8538</v>
      </c>
      <c r="X40" s="8">
        <v>15.388199999999999</v>
      </c>
      <c r="Y40" s="8">
        <v>13.2052</v>
      </c>
      <c r="Z40" s="8">
        <v>12.7866</v>
      </c>
      <c r="AA40" s="8">
        <v>16.497199999999999</v>
      </c>
      <c r="AB40" s="8">
        <v>19.2118</v>
      </c>
      <c r="AC40" s="8">
        <v>11.6172</v>
      </c>
      <c r="AD40" s="8">
        <v>8.0947999999999993</v>
      </c>
      <c r="AE40" s="8"/>
      <c r="AF40" s="8">
        <f t="shared" si="15"/>
        <v>26.070999999999984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35">
      <c r="A41" s="8" t="s">
        <v>82</v>
      </c>
      <c r="B41" s="8" t="s">
        <v>35</v>
      </c>
      <c r="C41" s="8">
        <v>45.142000000000003</v>
      </c>
      <c r="D41" s="8">
        <v>141.61199999999999</v>
      </c>
      <c r="E41" s="8">
        <v>80.311999999999998</v>
      </c>
      <c r="F41" s="8">
        <v>63.542999999999999</v>
      </c>
      <c r="G41" s="6">
        <v>1</v>
      </c>
      <c r="H41" s="8">
        <v>45</v>
      </c>
      <c r="I41" s="8" t="s">
        <v>36</v>
      </c>
      <c r="J41" s="8"/>
      <c r="K41" s="8">
        <v>84.6</v>
      </c>
      <c r="L41" s="8">
        <f t="shared" si="11"/>
        <v>-4.2879999999999967</v>
      </c>
      <c r="M41" s="8"/>
      <c r="N41" s="8"/>
      <c r="O41" s="8">
        <v>102</v>
      </c>
      <c r="P41" s="8">
        <f t="shared" si="12"/>
        <v>16.0624</v>
      </c>
      <c r="Q41" s="4">
        <f t="shared" si="16"/>
        <v>75.393000000000001</v>
      </c>
      <c r="R41" s="18"/>
      <c r="S41" s="8">
        <f t="shared" si="13"/>
        <v>15</v>
      </c>
      <c r="T41" s="8">
        <f t="shared" si="14"/>
        <v>10.306243151708339</v>
      </c>
      <c r="U41" s="8">
        <v>17.261800000000001</v>
      </c>
      <c r="V41" s="8">
        <v>14.968400000000001</v>
      </c>
      <c r="W41" s="8">
        <v>10.5388</v>
      </c>
      <c r="X41" s="8">
        <v>17.366399999999999</v>
      </c>
      <c r="Y41" s="8">
        <v>17.871400000000001</v>
      </c>
      <c r="Z41" s="8">
        <v>12.350199999999999</v>
      </c>
      <c r="AA41" s="8">
        <v>21.627400000000002</v>
      </c>
      <c r="AB41" s="8">
        <v>28.242000000000001</v>
      </c>
      <c r="AC41" s="8">
        <v>19.793800000000001</v>
      </c>
      <c r="AD41" s="8">
        <v>15.770799999999999</v>
      </c>
      <c r="AE41" s="8"/>
      <c r="AF41" s="8">
        <f t="shared" si="15"/>
        <v>75.393000000000001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35">
      <c r="A42" s="8" t="s">
        <v>83</v>
      </c>
      <c r="B42" s="8" t="s">
        <v>35</v>
      </c>
      <c r="C42" s="8">
        <v>32.033000000000001</v>
      </c>
      <c r="D42" s="8">
        <v>175.215</v>
      </c>
      <c r="E42" s="8">
        <v>81.986000000000004</v>
      </c>
      <c r="F42" s="8">
        <v>83.945999999999998</v>
      </c>
      <c r="G42" s="6">
        <v>1</v>
      </c>
      <c r="H42" s="8">
        <v>45</v>
      </c>
      <c r="I42" s="8" t="s">
        <v>36</v>
      </c>
      <c r="J42" s="8"/>
      <c r="K42" s="8">
        <v>80.864000000000004</v>
      </c>
      <c r="L42" s="8">
        <f t="shared" si="11"/>
        <v>1.1219999999999999</v>
      </c>
      <c r="M42" s="8"/>
      <c r="N42" s="8"/>
      <c r="O42" s="8">
        <v>0</v>
      </c>
      <c r="P42" s="8">
        <f t="shared" si="12"/>
        <v>16.397200000000002</v>
      </c>
      <c r="Q42" s="4">
        <f>13*P42-O42-F42</f>
        <v>129.21760000000003</v>
      </c>
      <c r="R42" s="18"/>
      <c r="S42" s="8">
        <f t="shared" si="13"/>
        <v>13</v>
      </c>
      <c r="T42" s="8">
        <f t="shared" si="14"/>
        <v>5.1195326031273627</v>
      </c>
      <c r="U42" s="8">
        <v>10.417999999999999</v>
      </c>
      <c r="V42" s="8">
        <v>14.715</v>
      </c>
      <c r="W42" s="8">
        <v>9.2121999999999993</v>
      </c>
      <c r="X42" s="8">
        <v>11.264200000000001</v>
      </c>
      <c r="Y42" s="8">
        <v>17.134599999999999</v>
      </c>
      <c r="Z42" s="8">
        <v>17.3874</v>
      </c>
      <c r="AA42" s="8">
        <v>15.2568</v>
      </c>
      <c r="AB42" s="8">
        <v>19.543800000000001</v>
      </c>
      <c r="AC42" s="8">
        <v>16.501799999999999</v>
      </c>
      <c r="AD42" s="8">
        <v>15.445600000000001</v>
      </c>
      <c r="AE42" s="8"/>
      <c r="AF42" s="8">
        <f t="shared" si="15"/>
        <v>129.21760000000003</v>
      </c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35">
      <c r="A43" s="8" t="s">
        <v>84</v>
      </c>
      <c r="B43" s="8" t="s">
        <v>39</v>
      </c>
      <c r="C43" s="8">
        <v>464</v>
      </c>
      <c r="D43" s="8">
        <v>350</v>
      </c>
      <c r="E43" s="8">
        <v>181</v>
      </c>
      <c r="F43" s="8">
        <v>448</v>
      </c>
      <c r="G43" s="6">
        <v>0.3</v>
      </c>
      <c r="H43" s="8">
        <v>45</v>
      </c>
      <c r="I43" s="8" t="s">
        <v>36</v>
      </c>
      <c r="J43" s="8"/>
      <c r="K43" s="8">
        <v>203</v>
      </c>
      <c r="L43" s="8">
        <f t="shared" si="11"/>
        <v>-22</v>
      </c>
      <c r="M43" s="8"/>
      <c r="N43" s="8"/>
      <c r="O43" s="8">
        <v>0</v>
      </c>
      <c r="P43" s="8">
        <f t="shared" si="12"/>
        <v>36.200000000000003</v>
      </c>
      <c r="Q43" s="4">
        <f t="shared" si="16"/>
        <v>95</v>
      </c>
      <c r="R43" s="18"/>
      <c r="S43" s="8">
        <f t="shared" si="13"/>
        <v>14.999999999999998</v>
      </c>
      <c r="T43" s="8">
        <f t="shared" si="14"/>
        <v>12.375690607734805</v>
      </c>
      <c r="U43" s="8">
        <v>14.8</v>
      </c>
      <c r="V43" s="8">
        <v>48.8</v>
      </c>
      <c r="W43" s="8">
        <v>64.2</v>
      </c>
      <c r="X43" s="8">
        <v>38.200000000000003</v>
      </c>
      <c r="Y43" s="8">
        <v>31.4</v>
      </c>
      <c r="Z43" s="8">
        <v>46.2</v>
      </c>
      <c r="AA43" s="8">
        <v>36</v>
      </c>
      <c r="AB43" s="8">
        <v>53.6</v>
      </c>
      <c r="AC43" s="8">
        <v>41.2</v>
      </c>
      <c r="AD43" s="8">
        <v>35.799999999999997</v>
      </c>
      <c r="AE43" s="8"/>
      <c r="AF43" s="8">
        <f t="shared" si="15"/>
        <v>28.5</v>
      </c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35">
      <c r="A44" s="10" t="s">
        <v>85</v>
      </c>
      <c r="B44" s="10" t="s">
        <v>35</v>
      </c>
      <c r="C44" s="10"/>
      <c r="D44" s="10"/>
      <c r="E44" s="10"/>
      <c r="F44" s="10"/>
      <c r="G44" s="11">
        <v>0</v>
      </c>
      <c r="H44" s="10"/>
      <c r="I44" s="10" t="s">
        <v>36</v>
      </c>
      <c r="J44" s="10"/>
      <c r="K44" s="10"/>
      <c r="L44" s="10">
        <f t="shared" si="11"/>
        <v>0</v>
      </c>
      <c r="M44" s="10"/>
      <c r="N44" s="10"/>
      <c r="O44" s="10">
        <v>0</v>
      </c>
      <c r="P44" s="10">
        <f t="shared" si="12"/>
        <v>0</v>
      </c>
      <c r="Q44" s="12"/>
      <c r="R44" s="19">
        <v>100</v>
      </c>
      <c r="S44" s="10" t="e">
        <f t="shared" si="13"/>
        <v>#DIV/0!</v>
      </c>
      <c r="T44" s="10" t="e">
        <f t="shared" si="14"/>
        <v>#DIV/0!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 t="s">
        <v>86</v>
      </c>
      <c r="AF44" s="10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35">
      <c r="A45" s="8" t="s">
        <v>87</v>
      </c>
      <c r="B45" s="8" t="s">
        <v>35</v>
      </c>
      <c r="C45" s="8">
        <v>67.197999999999993</v>
      </c>
      <c r="D45" s="8">
        <v>136.44399999999999</v>
      </c>
      <c r="E45" s="8">
        <v>82.602000000000004</v>
      </c>
      <c r="F45" s="8">
        <v>84.9</v>
      </c>
      <c r="G45" s="6">
        <v>1</v>
      </c>
      <c r="H45" s="8">
        <v>45</v>
      </c>
      <c r="I45" s="8" t="s">
        <v>36</v>
      </c>
      <c r="J45" s="8"/>
      <c r="K45" s="8">
        <v>77</v>
      </c>
      <c r="L45" s="8">
        <f t="shared" si="11"/>
        <v>5.6020000000000039</v>
      </c>
      <c r="M45" s="8"/>
      <c r="N45" s="8"/>
      <c r="O45" s="8">
        <v>34</v>
      </c>
      <c r="P45" s="8">
        <f t="shared" si="12"/>
        <v>16.520400000000002</v>
      </c>
      <c r="Q45" s="4">
        <f t="shared" ref="Q45:Q53" si="17">15*P45-O45-F45</f>
        <v>128.90600000000003</v>
      </c>
      <c r="R45" s="18"/>
      <c r="S45" s="8">
        <f t="shared" si="13"/>
        <v>15</v>
      </c>
      <c r="T45" s="8">
        <f t="shared" si="14"/>
        <v>7.1971622963124373</v>
      </c>
      <c r="U45" s="8">
        <v>13.3996</v>
      </c>
      <c r="V45" s="8">
        <v>14.1158</v>
      </c>
      <c r="W45" s="8">
        <v>13.4018</v>
      </c>
      <c r="X45" s="8">
        <v>10.1708</v>
      </c>
      <c r="Y45" s="8">
        <v>15.2464</v>
      </c>
      <c r="Z45" s="8">
        <v>17.114599999999999</v>
      </c>
      <c r="AA45" s="8">
        <v>18.900200000000002</v>
      </c>
      <c r="AB45" s="8">
        <v>19.008400000000002</v>
      </c>
      <c r="AC45" s="8">
        <v>13.199</v>
      </c>
      <c r="AD45" s="8">
        <v>7.4875999999999996</v>
      </c>
      <c r="AE45" s="8"/>
      <c r="AF45" s="8">
        <f t="shared" ref="AF45:AF53" si="18">G45*Q45</f>
        <v>128.90600000000003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35">
      <c r="A46" s="8" t="s">
        <v>88</v>
      </c>
      <c r="B46" s="8" t="s">
        <v>39</v>
      </c>
      <c r="C46" s="8">
        <v>402.2</v>
      </c>
      <c r="D46" s="8">
        <v>858.8</v>
      </c>
      <c r="E46" s="8">
        <v>401</v>
      </c>
      <c r="F46" s="8">
        <v>522</v>
      </c>
      <c r="G46" s="6">
        <v>0.35</v>
      </c>
      <c r="H46" s="8">
        <v>45</v>
      </c>
      <c r="I46" s="8" t="s">
        <v>36</v>
      </c>
      <c r="J46" s="8"/>
      <c r="K46" s="8">
        <v>411.8</v>
      </c>
      <c r="L46" s="8">
        <f t="shared" si="11"/>
        <v>-10.800000000000011</v>
      </c>
      <c r="M46" s="8"/>
      <c r="N46" s="8"/>
      <c r="O46" s="8">
        <v>0</v>
      </c>
      <c r="P46" s="8">
        <f t="shared" si="12"/>
        <v>80.2</v>
      </c>
      <c r="Q46" s="4">
        <f t="shared" si="17"/>
        <v>681</v>
      </c>
      <c r="R46" s="18">
        <v>800</v>
      </c>
      <c r="S46" s="8">
        <f t="shared" si="13"/>
        <v>15</v>
      </c>
      <c r="T46" s="8">
        <f t="shared" si="14"/>
        <v>6.508728179551122</v>
      </c>
      <c r="U46" s="8">
        <v>57.8</v>
      </c>
      <c r="V46" s="8">
        <v>71</v>
      </c>
      <c r="W46" s="8">
        <v>68.400000000000006</v>
      </c>
      <c r="X46" s="8">
        <v>74.2</v>
      </c>
      <c r="Y46" s="8">
        <v>67.2</v>
      </c>
      <c r="Z46" s="8">
        <v>40</v>
      </c>
      <c r="AA46" s="8">
        <v>84.631</v>
      </c>
      <c r="AB46" s="8">
        <v>84.2</v>
      </c>
      <c r="AC46" s="8">
        <v>64</v>
      </c>
      <c r="AD46" s="8">
        <v>66.400000000000006</v>
      </c>
      <c r="AE46" s="8"/>
      <c r="AF46" s="8">
        <f t="shared" si="18"/>
        <v>238.35</v>
      </c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35">
      <c r="A47" s="8" t="s">
        <v>89</v>
      </c>
      <c r="B47" s="8" t="s">
        <v>39</v>
      </c>
      <c r="C47" s="8">
        <v>308</v>
      </c>
      <c r="D47" s="8">
        <v>627</v>
      </c>
      <c r="E47" s="8">
        <v>113</v>
      </c>
      <c r="F47" s="8">
        <v>315</v>
      </c>
      <c r="G47" s="6">
        <v>0.41</v>
      </c>
      <c r="H47" s="8">
        <v>45</v>
      </c>
      <c r="I47" s="8" t="s">
        <v>36</v>
      </c>
      <c r="J47" s="8"/>
      <c r="K47" s="8">
        <v>137</v>
      </c>
      <c r="L47" s="8">
        <f t="shared" si="11"/>
        <v>-24</v>
      </c>
      <c r="M47" s="8"/>
      <c r="N47" s="8"/>
      <c r="O47" s="8">
        <v>0</v>
      </c>
      <c r="P47" s="8">
        <f t="shared" si="12"/>
        <v>22.6</v>
      </c>
      <c r="Q47" s="4">
        <f t="shared" si="17"/>
        <v>24</v>
      </c>
      <c r="R47" s="18"/>
      <c r="S47" s="8">
        <f t="shared" si="13"/>
        <v>14.999999999999998</v>
      </c>
      <c r="T47" s="8">
        <f t="shared" si="14"/>
        <v>13.938053097345131</v>
      </c>
      <c r="U47" s="8">
        <v>14.2</v>
      </c>
      <c r="V47" s="8">
        <v>37.4</v>
      </c>
      <c r="W47" s="8">
        <v>42</v>
      </c>
      <c r="X47" s="8">
        <v>33.4</v>
      </c>
      <c r="Y47" s="8">
        <v>28.6</v>
      </c>
      <c r="Z47" s="8">
        <v>14.4</v>
      </c>
      <c r="AA47" s="8">
        <v>10.199999999999999</v>
      </c>
      <c r="AB47" s="8">
        <v>44.4</v>
      </c>
      <c r="AC47" s="8">
        <v>27.8</v>
      </c>
      <c r="AD47" s="8">
        <v>50.4</v>
      </c>
      <c r="AE47" s="8"/>
      <c r="AF47" s="8">
        <f t="shared" si="18"/>
        <v>9.84</v>
      </c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35">
      <c r="A48" s="8" t="s">
        <v>90</v>
      </c>
      <c r="B48" s="8" t="s">
        <v>39</v>
      </c>
      <c r="C48" s="8">
        <v>36</v>
      </c>
      <c r="D48" s="8">
        <v>351</v>
      </c>
      <c r="E48" s="8">
        <v>89</v>
      </c>
      <c r="F48" s="8">
        <v>238</v>
      </c>
      <c r="G48" s="6">
        <v>0.41</v>
      </c>
      <c r="H48" s="8">
        <v>45</v>
      </c>
      <c r="I48" s="8" t="s">
        <v>36</v>
      </c>
      <c r="J48" s="8"/>
      <c r="K48" s="8">
        <v>123</v>
      </c>
      <c r="L48" s="8">
        <f t="shared" si="11"/>
        <v>-34</v>
      </c>
      <c r="M48" s="8"/>
      <c r="N48" s="8"/>
      <c r="O48" s="8">
        <v>218</v>
      </c>
      <c r="P48" s="8">
        <f t="shared" si="12"/>
        <v>17.8</v>
      </c>
      <c r="Q48" s="4"/>
      <c r="R48" s="18">
        <v>150</v>
      </c>
      <c r="S48" s="8">
        <f t="shared" si="13"/>
        <v>25.617977528089888</v>
      </c>
      <c r="T48" s="8">
        <f t="shared" si="14"/>
        <v>25.617977528089888</v>
      </c>
      <c r="U48" s="8">
        <v>39.6</v>
      </c>
      <c r="V48" s="8">
        <v>32.799999999999997</v>
      </c>
      <c r="W48" s="8">
        <v>26</v>
      </c>
      <c r="X48" s="8">
        <v>37.4</v>
      </c>
      <c r="Y48" s="8">
        <v>19</v>
      </c>
      <c r="Z48" s="8">
        <v>34.4</v>
      </c>
      <c r="AA48" s="8">
        <v>16.600000000000001</v>
      </c>
      <c r="AB48" s="8">
        <v>43.8</v>
      </c>
      <c r="AC48" s="8">
        <v>18</v>
      </c>
      <c r="AD48" s="8">
        <v>38.799999999999997</v>
      </c>
      <c r="AE48" s="8"/>
      <c r="AF48" s="8">
        <f t="shared" si="18"/>
        <v>0</v>
      </c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35">
      <c r="A49" s="8" t="s">
        <v>91</v>
      </c>
      <c r="B49" s="8" t="s">
        <v>39</v>
      </c>
      <c r="C49" s="8">
        <v>243</v>
      </c>
      <c r="D49" s="8">
        <v>159</v>
      </c>
      <c r="E49" s="8">
        <v>55</v>
      </c>
      <c r="F49" s="8">
        <v>240</v>
      </c>
      <c r="G49" s="6">
        <v>0.36</v>
      </c>
      <c r="H49" s="8">
        <v>45</v>
      </c>
      <c r="I49" s="8" t="s">
        <v>36</v>
      </c>
      <c r="J49" s="8"/>
      <c r="K49" s="8">
        <v>59</v>
      </c>
      <c r="L49" s="8">
        <f t="shared" si="11"/>
        <v>-4</v>
      </c>
      <c r="M49" s="8"/>
      <c r="N49" s="8"/>
      <c r="O49" s="8">
        <v>0</v>
      </c>
      <c r="P49" s="8">
        <f t="shared" si="12"/>
        <v>11</v>
      </c>
      <c r="Q49" s="4"/>
      <c r="R49" s="18"/>
      <c r="S49" s="8">
        <f t="shared" si="13"/>
        <v>21.818181818181817</v>
      </c>
      <c r="T49" s="8">
        <f t="shared" si="14"/>
        <v>21.818181818181817</v>
      </c>
      <c r="U49" s="8">
        <v>12</v>
      </c>
      <c r="V49" s="8">
        <v>24.8</v>
      </c>
      <c r="W49" s="8">
        <v>33.799999999999997</v>
      </c>
      <c r="X49" s="8">
        <v>23.8</v>
      </c>
      <c r="Y49" s="8">
        <v>12.6</v>
      </c>
      <c r="Z49" s="8">
        <v>19.399999999999999</v>
      </c>
      <c r="AA49" s="8">
        <v>22</v>
      </c>
      <c r="AB49" s="8">
        <v>44.4</v>
      </c>
      <c r="AC49" s="8">
        <v>4</v>
      </c>
      <c r="AD49" s="8">
        <v>26.6</v>
      </c>
      <c r="AE49" s="15" t="s">
        <v>40</v>
      </c>
      <c r="AF49" s="8">
        <f t="shared" si="18"/>
        <v>0</v>
      </c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35">
      <c r="A50" s="8" t="s">
        <v>92</v>
      </c>
      <c r="B50" s="8" t="s">
        <v>39</v>
      </c>
      <c r="C50" s="8">
        <v>42</v>
      </c>
      <c r="D50" s="8">
        <v>113</v>
      </c>
      <c r="E50" s="8">
        <v>38</v>
      </c>
      <c r="F50" s="8"/>
      <c r="G50" s="6">
        <v>0.33</v>
      </c>
      <c r="H50" s="8">
        <v>45</v>
      </c>
      <c r="I50" s="8" t="s">
        <v>36</v>
      </c>
      <c r="J50" s="8"/>
      <c r="K50" s="8">
        <v>57</v>
      </c>
      <c r="L50" s="8">
        <f t="shared" si="11"/>
        <v>-19</v>
      </c>
      <c r="M50" s="8"/>
      <c r="N50" s="8"/>
      <c r="O50" s="8">
        <v>97</v>
      </c>
      <c r="P50" s="8">
        <f t="shared" si="12"/>
        <v>7.6</v>
      </c>
      <c r="Q50" s="4">
        <f t="shared" si="17"/>
        <v>17</v>
      </c>
      <c r="R50" s="18">
        <v>80</v>
      </c>
      <c r="S50" s="8">
        <f t="shared" si="13"/>
        <v>15</v>
      </c>
      <c r="T50" s="8">
        <f t="shared" si="14"/>
        <v>12.763157894736842</v>
      </c>
      <c r="U50" s="8">
        <v>11.6</v>
      </c>
      <c r="V50" s="8">
        <v>0.4</v>
      </c>
      <c r="W50" s="8">
        <v>1.2</v>
      </c>
      <c r="X50" s="8">
        <v>20.8</v>
      </c>
      <c r="Y50" s="8">
        <v>0</v>
      </c>
      <c r="Z50" s="8">
        <v>11.4</v>
      </c>
      <c r="AA50" s="8">
        <v>4.8</v>
      </c>
      <c r="AB50" s="8">
        <v>3.8</v>
      </c>
      <c r="AC50" s="8">
        <v>3.2</v>
      </c>
      <c r="AD50" s="8">
        <v>5.8</v>
      </c>
      <c r="AE50" s="8" t="s">
        <v>93</v>
      </c>
      <c r="AF50" s="8">
        <f t="shared" si="18"/>
        <v>5.61</v>
      </c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35">
      <c r="A51" s="8" t="s">
        <v>94</v>
      </c>
      <c r="B51" s="8" t="s">
        <v>39</v>
      </c>
      <c r="C51" s="8">
        <v>93</v>
      </c>
      <c r="D51" s="8">
        <v>128</v>
      </c>
      <c r="E51" s="8">
        <v>69</v>
      </c>
      <c r="F51" s="8">
        <v>25</v>
      </c>
      <c r="G51" s="6">
        <v>0.4</v>
      </c>
      <c r="H51" s="8">
        <v>60</v>
      </c>
      <c r="I51" s="8" t="s">
        <v>36</v>
      </c>
      <c r="J51" s="8"/>
      <c r="K51" s="8">
        <v>68</v>
      </c>
      <c r="L51" s="8">
        <f t="shared" si="11"/>
        <v>1</v>
      </c>
      <c r="M51" s="8"/>
      <c r="N51" s="8"/>
      <c r="O51" s="8">
        <v>157</v>
      </c>
      <c r="P51" s="8">
        <f t="shared" si="12"/>
        <v>13.8</v>
      </c>
      <c r="Q51" s="4">
        <f t="shared" si="17"/>
        <v>25</v>
      </c>
      <c r="R51" s="18">
        <v>100</v>
      </c>
      <c r="S51" s="8">
        <f t="shared" si="13"/>
        <v>15</v>
      </c>
      <c r="T51" s="8">
        <f t="shared" si="14"/>
        <v>13.188405797101449</v>
      </c>
      <c r="U51" s="8">
        <v>19.2</v>
      </c>
      <c r="V51" s="8">
        <v>9.8000000000000007</v>
      </c>
      <c r="W51" s="8">
        <v>8</v>
      </c>
      <c r="X51" s="8">
        <v>28.2</v>
      </c>
      <c r="Y51" s="8">
        <v>12.8</v>
      </c>
      <c r="Z51" s="8">
        <v>12.8</v>
      </c>
      <c r="AA51" s="8">
        <v>8.1999999999999993</v>
      </c>
      <c r="AB51" s="8">
        <v>14</v>
      </c>
      <c r="AC51" s="8">
        <v>13</v>
      </c>
      <c r="AD51" s="8">
        <v>8.4</v>
      </c>
      <c r="AE51" s="8"/>
      <c r="AF51" s="8">
        <f t="shared" si="18"/>
        <v>10</v>
      </c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35">
      <c r="A52" s="8" t="s">
        <v>95</v>
      </c>
      <c r="B52" s="8" t="s">
        <v>39</v>
      </c>
      <c r="C52" s="8">
        <v>47</v>
      </c>
      <c r="D52" s="8">
        <v>57</v>
      </c>
      <c r="E52" s="8">
        <v>42</v>
      </c>
      <c r="F52" s="8">
        <v>33</v>
      </c>
      <c r="G52" s="6">
        <v>0.33</v>
      </c>
      <c r="H52" s="8">
        <v>45</v>
      </c>
      <c r="I52" s="8" t="s">
        <v>36</v>
      </c>
      <c r="J52" s="8"/>
      <c r="K52" s="8">
        <v>58</v>
      </c>
      <c r="L52" s="8">
        <f t="shared" si="11"/>
        <v>-16</v>
      </c>
      <c r="M52" s="8"/>
      <c r="N52" s="8"/>
      <c r="O52" s="8">
        <v>47</v>
      </c>
      <c r="P52" s="8">
        <f t="shared" si="12"/>
        <v>8.4</v>
      </c>
      <c r="Q52" s="4">
        <f t="shared" si="17"/>
        <v>46</v>
      </c>
      <c r="R52" s="18">
        <v>90</v>
      </c>
      <c r="S52" s="8">
        <f t="shared" si="13"/>
        <v>15</v>
      </c>
      <c r="T52" s="8">
        <f t="shared" si="14"/>
        <v>9.5238095238095237</v>
      </c>
      <c r="U52" s="8">
        <v>10</v>
      </c>
      <c r="V52" s="8">
        <v>9.4</v>
      </c>
      <c r="W52" s="8">
        <v>9.6</v>
      </c>
      <c r="X52" s="8">
        <v>3</v>
      </c>
      <c r="Y52" s="8">
        <v>10</v>
      </c>
      <c r="Z52" s="8">
        <v>15.4</v>
      </c>
      <c r="AA52" s="8">
        <v>6.2</v>
      </c>
      <c r="AB52" s="8">
        <v>5.4</v>
      </c>
      <c r="AC52" s="8">
        <v>5.4</v>
      </c>
      <c r="AD52" s="8">
        <v>10.6</v>
      </c>
      <c r="AE52" s="8"/>
      <c r="AF52" s="8">
        <f t="shared" si="18"/>
        <v>15.180000000000001</v>
      </c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35">
      <c r="A53" s="8" t="s">
        <v>96</v>
      </c>
      <c r="B53" s="8" t="s">
        <v>35</v>
      </c>
      <c r="C53" s="8">
        <v>663.65700000000004</v>
      </c>
      <c r="D53" s="8">
        <v>679.70299999999997</v>
      </c>
      <c r="E53" s="8">
        <v>371.20499999999998</v>
      </c>
      <c r="F53" s="8">
        <v>526.95399999999995</v>
      </c>
      <c r="G53" s="6">
        <v>1</v>
      </c>
      <c r="H53" s="8">
        <v>45</v>
      </c>
      <c r="I53" s="8" t="s">
        <v>36</v>
      </c>
      <c r="J53" s="8"/>
      <c r="K53" s="8">
        <v>342</v>
      </c>
      <c r="L53" s="8">
        <f t="shared" si="11"/>
        <v>29.204999999999984</v>
      </c>
      <c r="M53" s="8"/>
      <c r="N53" s="8"/>
      <c r="O53" s="8">
        <v>0</v>
      </c>
      <c r="P53" s="8">
        <f t="shared" si="12"/>
        <v>74.241</v>
      </c>
      <c r="Q53" s="4">
        <f t="shared" si="17"/>
        <v>586.66100000000006</v>
      </c>
      <c r="R53" s="18">
        <v>700</v>
      </c>
      <c r="S53" s="8">
        <f t="shared" si="13"/>
        <v>15</v>
      </c>
      <c r="T53" s="8">
        <f t="shared" si="14"/>
        <v>7.0978839185894582</v>
      </c>
      <c r="U53" s="8">
        <v>53.120399999999997</v>
      </c>
      <c r="V53" s="8">
        <v>71.044799999999995</v>
      </c>
      <c r="W53" s="8">
        <v>90.560400000000001</v>
      </c>
      <c r="X53" s="8">
        <v>56.676199999999987</v>
      </c>
      <c r="Y53" s="8">
        <v>86.05</v>
      </c>
      <c r="Z53" s="8">
        <v>47.893799999999999</v>
      </c>
      <c r="AA53" s="8">
        <v>111.7034</v>
      </c>
      <c r="AB53" s="8">
        <v>91.224000000000004</v>
      </c>
      <c r="AC53" s="8">
        <v>74.652200000000008</v>
      </c>
      <c r="AD53" s="8">
        <v>81.558999999999997</v>
      </c>
      <c r="AE53" s="8"/>
      <c r="AF53" s="8">
        <f t="shared" si="18"/>
        <v>586.66100000000006</v>
      </c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35">
      <c r="A54" s="10" t="s">
        <v>97</v>
      </c>
      <c r="B54" s="10" t="s">
        <v>39</v>
      </c>
      <c r="C54" s="10">
        <v>-1</v>
      </c>
      <c r="D54" s="10">
        <v>1</v>
      </c>
      <c r="E54" s="10">
        <v>-2</v>
      </c>
      <c r="F54" s="10"/>
      <c r="G54" s="11">
        <v>0</v>
      </c>
      <c r="H54" s="10">
        <v>60</v>
      </c>
      <c r="I54" s="10" t="s">
        <v>55</v>
      </c>
      <c r="J54" s="10"/>
      <c r="K54" s="10"/>
      <c r="L54" s="10">
        <f t="shared" si="11"/>
        <v>-2</v>
      </c>
      <c r="M54" s="10"/>
      <c r="N54" s="10"/>
      <c r="O54" s="10">
        <v>0</v>
      </c>
      <c r="P54" s="10">
        <f t="shared" si="12"/>
        <v>-0.4</v>
      </c>
      <c r="Q54" s="12"/>
      <c r="R54" s="19"/>
      <c r="S54" s="10">
        <f t="shared" si="13"/>
        <v>0</v>
      </c>
      <c r="T54" s="10">
        <f t="shared" si="14"/>
        <v>0</v>
      </c>
      <c r="U54" s="10">
        <v>-0.2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-0.2</v>
      </c>
      <c r="AC54" s="10">
        <v>0</v>
      </c>
      <c r="AD54" s="10">
        <v>0</v>
      </c>
      <c r="AE54" s="10" t="s">
        <v>98</v>
      </c>
      <c r="AF54" s="10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35">
      <c r="A55" s="8" t="s">
        <v>99</v>
      </c>
      <c r="B55" s="8" t="s">
        <v>39</v>
      </c>
      <c r="C55" s="8">
        <v>41</v>
      </c>
      <c r="D55" s="8">
        <v>97</v>
      </c>
      <c r="E55" s="8">
        <v>20</v>
      </c>
      <c r="F55" s="8"/>
      <c r="G55" s="6">
        <v>0.4</v>
      </c>
      <c r="H55" s="8">
        <v>45</v>
      </c>
      <c r="I55" s="8" t="s">
        <v>36</v>
      </c>
      <c r="J55" s="8"/>
      <c r="K55" s="8">
        <v>54</v>
      </c>
      <c r="L55" s="8">
        <f t="shared" si="11"/>
        <v>-34</v>
      </c>
      <c r="M55" s="8"/>
      <c r="N55" s="8"/>
      <c r="O55" s="8">
        <v>0</v>
      </c>
      <c r="P55" s="8">
        <f t="shared" si="12"/>
        <v>4</v>
      </c>
      <c r="Q55" s="4">
        <f t="shared" ref="Q55:Q56" si="19">8*P55-O55-F55</f>
        <v>32</v>
      </c>
      <c r="R55" s="18"/>
      <c r="S55" s="8">
        <f t="shared" si="13"/>
        <v>8</v>
      </c>
      <c r="T55" s="8">
        <f t="shared" si="14"/>
        <v>0</v>
      </c>
      <c r="U55" s="8">
        <v>0</v>
      </c>
      <c r="V55" s="8">
        <v>1.6</v>
      </c>
      <c r="W55" s="8">
        <v>4.4000000000000004</v>
      </c>
      <c r="X55" s="8">
        <v>6.4</v>
      </c>
      <c r="Y55" s="8">
        <v>12.2</v>
      </c>
      <c r="Z55" s="8">
        <v>0.6</v>
      </c>
      <c r="AA55" s="8">
        <v>7.4</v>
      </c>
      <c r="AB55" s="8">
        <v>20.6</v>
      </c>
      <c r="AC55" s="8">
        <v>10.6</v>
      </c>
      <c r="AD55" s="8">
        <v>35.4</v>
      </c>
      <c r="AE55" s="8"/>
      <c r="AF55" s="8">
        <f>G55*Q55</f>
        <v>12.8</v>
      </c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35">
      <c r="A56" s="8" t="s">
        <v>100</v>
      </c>
      <c r="B56" s="8" t="s">
        <v>35</v>
      </c>
      <c r="C56" s="8">
        <v>-9.4E-2</v>
      </c>
      <c r="D56" s="8">
        <v>23.236999999999998</v>
      </c>
      <c r="E56" s="8">
        <v>7.7690000000000001</v>
      </c>
      <c r="F56" s="8"/>
      <c r="G56" s="6">
        <v>1</v>
      </c>
      <c r="H56" s="8">
        <v>60</v>
      </c>
      <c r="I56" s="8" t="s">
        <v>36</v>
      </c>
      <c r="J56" s="8"/>
      <c r="K56" s="8">
        <v>6</v>
      </c>
      <c r="L56" s="8">
        <f t="shared" si="11"/>
        <v>1.7690000000000001</v>
      </c>
      <c r="M56" s="8"/>
      <c r="N56" s="8"/>
      <c r="O56" s="8">
        <v>0</v>
      </c>
      <c r="P56" s="8">
        <f t="shared" si="12"/>
        <v>1.5538000000000001</v>
      </c>
      <c r="Q56" s="4">
        <f t="shared" si="19"/>
        <v>12.430400000000001</v>
      </c>
      <c r="R56" s="18"/>
      <c r="S56" s="8">
        <f t="shared" si="13"/>
        <v>8</v>
      </c>
      <c r="T56" s="8">
        <f t="shared" si="14"/>
        <v>0</v>
      </c>
      <c r="U56" s="8">
        <v>0</v>
      </c>
      <c r="V56" s="8">
        <v>1.5568</v>
      </c>
      <c r="W56" s="8">
        <v>0</v>
      </c>
      <c r="X56" s="8">
        <v>0.78959999999999997</v>
      </c>
      <c r="Y56" s="8">
        <v>-0.19</v>
      </c>
      <c r="Z56" s="8">
        <v>0.39079999999999998</v>
      </c>
      <c r="AA56" s="8">
        <v>0.77759999999999996</v>
      </c>
      <c r="AB56" s="8">
        <v>0.7752</v>
      </c>
      <c r="AC56" s="8">
        <v>0.39200000000000002</v>
      </c>
      <c r="AD56" s="8">
        <v>0.39140000000000003</v>
      </c>
      <c r="AE56" s="8"/>
      <c r="AF56" s="8">
        <f>G56*Q56</f>
        <v>12.430400000000001</v>
      </c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35">
      <c r="A57" s="10" t="s">
        <v>101</v>
      </c>
      <c r="B57" s="10" t="s">
        <v>35</v>
      </c>
      <c r="C57" s="10">
        <v>3.8809999999999998</v>
      </c>
      <c r="D57" s="10"/>
      <c r="E57" s="10"/>
      <c r="F57" s="10"/>
      <c r="G57" s="11">
        <v>0</v>
      </c>
      <c r="H57" s="10">
        <v>60</v>
      </c>
      <c r="I57" s="10" t="s">
        <v>55</v>
      </c>
      <c r="J57" s="10"/>
      <c r="K57" s="10">
        <v>6</v>
      </c>
      <c r="L57" s="10">
        <f t="shared" si="11"/>
        <v>-6</v>
      </c>
      <c r="M57" s="10"/>
      <c r="N57" s="10"/>
      <c r="O57" s="10">
        <v>0</v>
      </c>
      <c r="P57" s="10">
        <f t="shared" si="12"/>
        <v>0</v>
      </c>
      <c r="Q57" s="12"/>
      <c r="R57" s="19"/>
      <c r="S57" s="10" t="e">
        <f t="shared" si="13"/>
        <v>#DIV/0!</v>
      </c>
      <c r="T57" s="10" t="e">
        <f t="shared" si="14"/>
        <v>#DIV/0!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/>
      <c r="AF57" s="10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35">
      <c r="A58" s="8" t="s">
        <v>102</v>
      </c>
      <c r="B58" s="8" t="s">
        <v>35</v>
      </c>
      <c r="C58" s="8">
        <v>65.004999999999995</v>
      </c>
      <c r="D58" s="8">
        <v>13.605</v>
      </c>
      <c r="E58" s="8">
        <v>64.974999999999994</v>
      </c>
      <c r="F58" s="8"/>
      <c r="G58" s="6">
        <v>1</v>
      </c>
      <c r="H58" s="8">
        <v>60</v>
      </c>
      <c r="I58" s="8" t="s">
        <v>36</v>
      </c>
      <c r="J58" s="8"/>
      <c r="K58" s="8">
        <v>66</v>
      </c>
      <c r="L58" s="8">
        <f t="shared" si="11"/>
        <v>-1.0250000000000057</v>
      </c>
      <c r="M58" s="8"/>
      <c r="N58" s="8"/>
      <c r="O58" s="8">
        <v>0</v>
      </c>
      <c r="P58" s="8">
        <f t="shared" si="12"/>
        <v>12.994999999999999</v>
      </c>
      <c r="Q58" s="4">
        <f>8*P58-O58-F58</f>
        <v>103.96</v>
      </c>
      <c r="R58" s="18"/>
      <c r="S58" s="8">
        <f t="shared" si="13"/>
        <v>8</v>
      </c>
      <c r="T58" s="8">
        <f t="shared" si="14"/>
        <v>0</v>
      </c>
      <c r="U58" s="8">
        <v>3.0339999999999998</v>
      </c>
      <c r="V58" s="8">
        <v>0.90700000000000003</v>
      </c>
      <c r="W58" s="8">
        <v>4.8015999999999996</v>
      </c>
      <c r="X58" s="8">
        <v>12.5998</v>
      </c>
      <c r="Y58" s="8">
        <v>3.0156000000000001</v>
      </c>
      <c r="Z58" s="8">
        <v>6.6430000000000007</v>
      </c>
      <c r="AA58" s="8">
        <v>10.220000000000001</v>
      </c>
      <c r="AB58" s="8">
        <v>2.403</v>
      </c>
      <c r="AC58" s="8">
        <v>4.1829999999999998</v>
      </c>
      <c r="AD58" s="8">
        <v>7.7939999999999996</v>
      </c>
      <c r="AE58" s="8"/>
      <c r="AF58" s="8">
        <f t="shared" ref="AF58:AF70" si="20">G58*Q58</f>
        <v>103.96</v>
      </c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35">
      <c r="A59" s="8" t="s">
        <v>103</v>
      </c>
      <c r="B59" s="8" t="s">
        <v>35</v>
      </c>
      <c r="C59" s="8"/>
      <c r="D59" s="8">
        <v>97.438000000000002</v>
      </c>
      <c r="E59" s="8">
        <v>3.1379999999999999</v>
      </c>
      <c r="F59" s="8">
        <v>94.3</v>
      </c>
      <c r="G59" s="6">
        <v>1</v>
      </c>
      <c r="H59" s="8">
        <v>45</v>
      </c>
      <c r="I59" s="8" t="s">
        <v>36</v>
      </c>
      <c r="J59" s="8"/>
      <c r="K59" s="8">
        <v>3.004</v>
      </c>
      <c r="L59" s="8">
        <f t="shared" si="11"/>
        <v>0.1339999999999999</v>
      </c>
      <c r="M59" s="8"/>
      <c r="N59" s="8"/>
      <c r="O59" s="8">
        <v>0</v>
      </c>
      <c r="P59" s="8">
        <f t="shared" si="12"/>
        <v>0.62759999999999994</v>
      </c>
      <c r="Q59" s="4"/>
      <c r="R59" s="18"/>
      <c r="S59" s="8">
        <f t="shared" si="13"/>
        <v>150.25493945188018</v>
      </c>
      <c r="T59" s="8">
        <f t="shared" si="14"/>
        <v>150.25493945188018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 t="s">
        <v>37</v>
      </c>
      <c r="AF59" s="8">
        <f t="shared" si="20"/>
        <v>0</v>
      </c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35">
      <c r="A60" s="8" t="s">
        <v>104</v>
      </c>
      <c r="B60" s="8" t="s">
        <v>39</v>
      </c>
      <c r="C60" s="8">
        <v>10</v>
      </c>
      <c r="D60" s="8">
        <v>82</v>
      </c>
      <c r="E60" s="8">
        <v>20</v>
      </c>
      <c r="F60" s="8">
        <v>11</v>
      </c>
      <c r="G60" s="6">
        <v>0.25</v>
      </c>
      <c r="H60" s="8">
        <v>120</v>
      </c>
      <c r="I60" s="8" t="s">
        <v>36</v>
      </c>
      <c r="J60" s="8"/>
      <c r="K60" s="8">
        <v>29</v>
      </c>
      <c r="L60" s="8">
        <f t="shared" si="11"/>
        <v>-9</v>
      </c>
      <c r="M60" s="8"/>
      <c r="N60" s="8"/>
      <c r="O60" s="8">
        <v>55</v>
      </c>
      <c r="P60" s="8">
        <f t="shared" si="12"/>
        <v>4</v>
      </c>
      <c r="Q60" s="4"/>
      <c r="R60" s="18"/>
      <c r="S60" s="8">
        <f t="shared" si="13"/>
        <v>16.5</v>
      </c>
      <c r="T60" s="8">
        <f t="shared" si="14"/>
        <v>16.5</v>
      </c>
      <c r="U60" s="8">
        <v>7</v>
      </c>
      <c r="V60" s="8">
        <v>4.2</v>
      </c>
      <c r="W60" s="8">
        <v>3.4</v>
      </c>
      <c r="X60" s="8">
        <v>8.1999999999999993</v>
      </c>
      <c r="Y60" s="8">
        <v>3</v>
      </c>
      <c r="Z60" s="8">
        <v>1</v>
      </c>
      <c r="AA60" s="8">
        <v>5</v>
      </c>
      <c r="AB60" s="8">
        <v>0.6</v>
      </c>
      <c r="AC60" s="8">
        <v>6.4</v>
      </c>
      <c r="AD60" s="8">
        <v>13.2</v>
      </c>
      <c r="AE60" s="8" t="s">
        <v>49</v>
      </c>
      <c r="AF60" s="8">
        <f t="shared" si="20"/>
        <v>0</v>
      </c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35">
      <c r="A61" s="8" t="s">
        <v>105</v>
      </c>
      <c r="B61" s="8" t="s">
        <v>35</v>
      </c>
      <c r="C61" s="8">
        <v>62.143999999999998</v>
      </c>
      <c r="D61" s="8">
        <v>66.879000000000005</v>
      </c>
      <c r="E61" s="8">
        <v>65.703000000000003</v>
      </c>
      <c r="F61" s="8">
        <v>50.902000000000001</v>
      </c>
      <c r="G61" s="6">
        <v>1</v>
      </c>
      <c r="H61" s="8">
        <v>45</v>
      </c>
      <c r="I61" s="8" t="s">
        <v>36</v>
      </c>
      <c r="J61" s="8"/>
      <c r="K61" s="8">
        <v>61.3</v>
      </c>
      <c r="L61" s="8">
        <f t="shared" si="11"/>
        <v>4.4030000000000058</v>
      </c>
      <c r="M61" s="8"/>
      <c r="N61" s="8"/>
      <c r="O61" s="8">
        <v>47</v>
      </c>
      <c r="P61" s="8">
        <f t="shared" si="12"/>
        <v>13.140600000000001</v>
      </c>
      <c r="Q61" s="4">
        <f t="shared" ref="Q61:Q70" si="21">15*P61-O61-F61</f>
        <v>99.207000000000008</v>
      </c>
      <c r="R61" s="18">
        <v>180</v>
      </c>
      <c r="S61" s="8">
        <f t="shared" si="13"/>
        <v>15</v>
      </c>
      <c r="T61" s="8">
        <f t="shared" si="14"/>
        <v>7.450344733117209</v>
      </c>
      <c r="U61" s="8">
        <v>10.497400000000001</v>
      </c>
      <c r="V61" s="8">
        <v>10.072800000000001</v>
      </c>
      <c r="W61" s="8">
        <v>11.0572</v>
      </c>
      <c r="X61" s="8">
        <v>8.5096000000000007</v>
      </c>
      <c r="Y61" s="8">
        <v>13.817600000000001</v>
      </c>
      <c r="Z61" s="8">
        <v>18.384</v>
      </c>
      <c r="AA61" s="8">
        <v>10.727600000000001</v>
      </c>
      <c r="AB61" s="8">
        <v>17.526399999999999</v>
      </c>
      <c r="AC61" s="8">
        <v>15.994</v>
      </c>
      <c r="AD61" s="8">
        <v>13.3072</v>
      </c>
      <c r="AE61" s="8"/>
      <c r="AF61" s="8">
        <f t="shared" si="20"/>
        <v>99.207000000000008</v>
      </c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35">
      <c r="A62" s="8" t="s">
        <v>106</v>
      </c>
      <c r="B62" s="8" t="s">
        <v>39</v>
      </c>
      <c r="C62" s="8">
        <v>40</v>
      </c>
      <c r="D62" s="8">
        <v>170</v>
      </c>
      <c r="E62" s="8">
        <v>58</v>
      </c>
      <c r="F62" s="8">
        <v>112</v>
      </c>
      <c r="G62" s="6">
        <v>0.27</v>
      </c>
      <c r="H62" s="8"/>
      <c r="I62" s="8" t="s">
        <v>36</v>
      </c>
      <c r="J62" s="8"/>
      <c r="K62" s="8">
        <v>116</v>
      </c>
      <c r="L62" s="8">
        <f t="shared" si="11"/>
        <v>-58</v>
      </c>
      <c r="M62" s="8"/>
      <c r="N62" s="8"/>
      <c r="O62" s="8">
        <v>19</v>
      </c>
      <c r="P62" s="8">
        <f t="shared" si="12"/>
        <v>11.6</v>
      </c>
      <c r="Q62" s="4">
        <f t="shared" si="21"/>
        <v>43</v>
      </c>
      <c r="R62" s="18">
        <v>150</v>
      </c>
      <c r="S62" s="8">
        <f t="shared" si="13"/>
        <v>15</v>
      </c>
      <c r="T62" s="8">
        <f t="shared" si="14"/>
        <v>11.293103448275863</v>
      </c>
      <c r="U62" s="8">
        <v>14.8</v>
      </c>
      <c r="V62" s="8">
        <v>17.8</v>
      </c>
      <c r="W62" s="8">
        <v>13.6</v>
      </c>
      <c r="X62" s="8">
        <v>1</v>
      </c>
      <c r="Y62" s="8">
        <v>17.399999999999999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 t="s">
        <v>37</v>
      </c>
      <c r="AF62" s="8">
        <f t="shared" si="20"/>
        <v>11.610000000000001</v>
      </c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35">
      <c r="A63" s="8" t="s">
        <v>107</v>
      </c>
      <c r="B63" s="8" t="s">
        <v>39</v>
      </c>
      <c r="C63" s="8">
        <v>12</v>
      </c>
      <c r="D63" s="8">
        <v>138</v>
      </c>
      <c r="E63" s="8">
        <v>10</v>
      </c>
      <c r="F63" s="8">
        <v>64</v>
      </c>
      <c r="G63" s="6">
        <v>0.3</v>
      </c>
      <c r="H63" s="8">
        <v>60</v>
      </c>
      <c r="I63" s="8" t="s">
        <v>36</v>
      </c>
      <c r="J63" s="8"/>
      <c r="K63" s="8">
        <v>55</v>
      </c>
      <c r="L63" s="8">
        <f t="shared" si="11"/>
        <v>-45</v>
      </c>
      <c r="M63" s="8"/>
      <c r="N63" s="8"/>
      <c r="O63" s="8">
        <v>60</v>
      </c>
      <c r="P63" s="8">
        <f t="shared" si="12"/>
        <v>2</v>
      </c>
      <c r="Q63" s="4"/>
      <c r="R63" s="18"/>
      <c r="S63" s="8">
        <f t="shared" si="13"/>
        <v>62</v>
      </c>
      <c r="T63" s="8">
        <f t="shared" si="14"/>
        <v>62</v>
      </c>
      <c r="U63" s="8">
        <v>9.6</v>
      </c>
      <c r="V63" s="8">
        <v>8.8000000000000007</v>
      </c>
      <c r="W63" s="8">
        <v>3.6</v>
      </c>
      <c r="X63" s="8">
        <v>23</v>
      </c>
      <c r="Y63" s="8">
        <v>6.2</v>
      </c>
      <c r="Z63" s="8">
        <v>0.2</v>
      </c>
      <c r="AA63" s="8">
        <v>0.8</v>
      </c>
      <c r="AB63" s="8">
        <v>30.4</v>
      </c>
      <c r="AC63" s="8">
        <v>6.2</v>
      </c>
      <c r="AD63" s="8">
        <v>4.2</v>
      </c>
      <c r="AE63" s="17" t="s">
        <v>173</v>
      </c>
      <c r="AF63" s="8">
        <f t="shared" si="20"/>
        <v>0</v>
      </c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35">
      <c r="A64" s="8" t="s">
        <v>108</v>
      </c>
      <c r="B64" s="8" t="s">
        <v>39</v>
      </c>
      <c r="C64" s="8">
        <v>516</v>
      </c>
      <c r="D64" s="8">
        <v>1087</v>
      </c>
      <c r="E64" s="8">
        <v>259</v>
      </c>
      <c r="F64" s="14">
        <f>904+F119</f>
        <v>933</v>
      </c>
      <c r="G64" s="6">
        <v>0.41</v>
      </c>
      <c r="H64" s="8">
        <v>50</v>
      </c>
      <c r="I64" s="8" t="s">
        <v>36</v>
      </c>
      <c r="J64" s="8"/>
      <c r="K64" s="8">
        <v>252</v>
      </c>
      <c r="L64" s="8">
        <f t="shared" si="11"/>
        <v>7</v>
      </c>
      <c r="M64" s="8"/>
      <c r="N64" s="8"/>
      <c r="O64" s="8">
        <v>0</v>
      </c>
      <c r="P64" s="8">
        <f t="shared" si="12"/>
        <v>51.8</v>
      </c>
      <c r="Q64" s="4"/>
      <c r="R64" s="18"/>
      <c r="S64" s="8">
        <f t="shared" si="13"/>
        <v>18.011583011583014</v>
      </c>
      <c r="T64" s="8">
        <f t="shared" si="14"/>
        <v>18.011583011583014</v>
      </c>
      <c r="U64" s="8">
        <v>25.6</v>
      </c>
      <c r="V64" s="8">
        <v>81.599999999999994</v>
      </c>
      <c r="W64" s="8">
        <v>82.6</v>
      </c>
      <c r="X64" s="8">
        <v>56.6</v>
      </c>
      <c r="Y64" s="8">
        <v>56</v>
      </c>
      <c r="Z64" s="8">
        <v>30.8</v>
      </c>
      <c r="AA64" s="8">
        <v>75.8</v>
      </c>
      <c r="AB64" s="8">
        <v>88</v>
      </c>
      <c r="AC64" s="8">
        <v>61</v>
      </c>
      <c r="AD64" s="8">
        <v>77.2</v>
      </c>
      <c r="AE64" s="9" t="s">
        <v>73</v>
      </c>
      <c r="AF64" s="8">
        <f t="shared" si="20"/>
        <v>0</v>
      </c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35">
      <c r="A65" s="8" t="s">
        <v>109</v>
      </c>
      <c r="B65" s="8" t="s">
        <v>35</v>
      </c>
      <c r="C65" s="8">
        <v>165.048</v>
      </c>
      <c r="D65" s="8">
        <v>294.17500000000001</v>
      </c>
      <c r="E65" s="8">
        <v>166.03800000000001</v>
      </c>
      <c r="F65" s="8">
        <v>116.008</v>
      </c>
      <c r="G65" s="6">
        <v>1</v>
      </c>
      <c r="H65" s="8">
        <v>50</v>
      </c>
      <c r="I65" s="8" t="s">
        <v>36</v>
      </c>
      <c r="J65" s="8"/>
      <c r="K65" s="8">
        <v>156.30000000000001</v>
      </c>
      <c r="L65" s="8">
        <f t="shared" si="11"/>
        <v>9.7379999999999995</v>
      </c>
      <c r="M65" s="8"/>
      <c r="N65" s="8"/>
      <c r="O65" s="8">
        <v>120</v>
      </c>
      <c r="P65" s="8">
        <f t="shared" si="12"/>
        <v>33.207599999999999</v>
      </c>
      <c r="Q65" s="4">
        <f t="shared" si="21"/>
        <v>262.10599999999999</v>
      </c>
      <c r="R65" s="18">
        <v>400</v>
      </c>
      <c r="S65" s="8">
        <f t="shared" si="13"/>
        <v>15</v>
      </c>
      <c r="T65" s="8">
        <f t="shared" si="14"/>
        <v>7.1070477842421607</v>
      </c>
      <c r="U65" s="8">
        <v>27.384</v>
      </c>
      <c r="V65" s="8">
        <v>26.263999999999999</v>
      </c>
      <c r="W65" s="8">
        <v>28.4208</v>
      </c>
      <c r="X65" s="8">
        <v>22.750399999999999</v>
      </c>
      <c r="Y65" s="8">
        <v>28.758199999999999</v>
      </c>
      <c r="Z65" s="8">
        <v>53.999600000000001</v>
      </c>
      <c r="AA65" s="8">
        <v>43.759799999999998</v>
      </c>
      <c r="AB65" s="8">
        <v>41.929600000000001</v>
      </c>
      <c r="AC65" s="8">
        <v>42.965600000000002</v>
      </c>
      <c r="AD65" s="8">
        <v>32.3782</v>
      </c>
      <c r="AE65" s="8"/>
      <c r="AF65" s="8">
        <f t="shared" si="20"/>
        <v>262.10599999999999</v>
      </c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35">
      <c r="A66" s="8" t="s">
        <v>110</v>
      </c>
      <c r="B66" s="8" t="s">
        <v>39</v>
      </c>
      <c r="C66" s="8">
        <v>61</v>
      </c>
      <c r="D66" s="8">
        <v>90</v>
      </c>
      <c r="E66" s="8">
        <v>66</v>
      </c>
      <c r="F66" s="8">
        <v>2</v>
      </c>
      <c r="G66" s="6">
        <v>0.35</v>
      </c>
      <c r="H66" s="8">
        <v>50</v>
      </c>
      <c r="I66" s="8" t="s">
        <v>36</v>
      </c>
      <c r="J66" s="8"/>
      <c r="K66" s="8">
        <v>71</v>
      </c>
      <c r="L66" s="8">
        <f t="shared" si="11"/>
        <v>-5</v>
      </c>
      <c r="M66" s="8"/>
      <c r="N66" s="8"/>
      <c r="O66" s="8">
        <v>196</v>
      </c>
      <c r="P66" s="8">
        <f t="shared" si="12"/>
        <v>13.2</v>
      </c>
      <c r="Q66" s="4"/>
      <c r="R66" s="18"/>
      <c r="S66" s="8">
        <f t="shared" si="13"/>
        <v>15</v>
      </c>
      <c r="T66" s="8">
        <f t="shared" si="14"/>
        <v>15</v>
      </c>
      <c r="U66" s="8">
        <v>23.4</v>
      </c>
      <c r="V66" s="8">
        <v>7.2</v>
      </c>
      <c r="W66" s="8">
        <v>8.4</v>
      </c>
      <c r="X66" s="8">
        <v>27.2</v>
      </c>
      <c r="Y66" s="8">
        <v>4</v>
      </c>
      <c r="Z66" s="8">
        <v>9.4</v>
      </c>
      <c r="AA66" s="8">
        <v>5.4</v>
      </c>
      <c r="AB66" s="8">
        <v>26.8</v>
      </c>
      <c r="AC66" s="8">
        <v>3.4</v>
      </c>
      <c r="AD66" s="8">
        <v>23.2</v>
      </c>
      <c r="AE66" s="8"/>
      <c r="AF66" s="8">
        <f t="shared" si="20"/>
        <v>0</v>
      </c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35">
      <c r="A67" s="8" t="s">
        <v>111</v>
      </c>
      <c r="B67" s="8" t="s">
        <v>35</v>
      </c>
      <c r="C67" s="8">
        <v>32.92</v>
      </c>
      <c r="D67" s="8">
        <v>35.258000000000003</v>
      </c>
      <c r="E67" s="8">
        <v>27.861999999999998</v>
      </c>
      <c r="F67" s="8">
        <v>31</v>
      </c>
      <c r="G67" s="6">
        <v>1</v>
      </c>
      <c r="H67" s="8">
        <v>50</v>
      </c>
      <c r="I67" s="8" t="s">
        <v>36</v>
      </c>
      <c r="J67" s="8"/>
      <c r="K67" s="8">
        <v>26.5</v>
      </c>
      <c r="L67" s="8">
        <f t="shared" si="11"/>
        <v>1.3619999999999983</v>
      </c>
      <c r="M67" s="8"/>
      <c r="N67" s="8"/>
      <c r="O67" s="8">
        <v>64</v>
      </c>
      <c r="P67" s="8">
        <f t="shared" si="12"/>
        <v>5.5724</v>
      </c>
      <c r="Q67" s="4"/>
      <c r="R67" s="18"/>
      <c r="S67" s="8">
        <f t="shared" si="13"/>
        <v>17.048309525518629</v>
      </c>
      <c r="T67" s="8">
        <f t="shared" si="14"/>
        <v>17.048309525518629</v>
      </c>
      <c r="U67" s="8">
        <v>8.071200000000001</v>
      </c>
      <c r="V67" s="8">
        <v>3.1101999999999999</v>
      </c>
      <c r="W67" s="8">
        <v>5.2973999999999997</v>
      </c>
      <c r="X67" s="8">
        <v>9.0104000000000006</v>
      </c>
      <c r="Y67" s="8">
        <v>4.9272</v>
      </c>
      <c r="Z67" s="8">
        <v>7.7224000000000004</v>
      </c>
      <c r="AA67" s="8">
        <v>12.615399999999999</v>
      </c>
      <c r="AB67" s="8">
        <v>10.090999999999999</v>
      </c>
      <c r="AC67" s="8">
        <v>7.3322000000000003</v>
      </c>
      <c r="AD67" s="8">
        <v>1.9112</v>
      </c>
      <c r="AE67" s="8"/>
      <c r="AF67" s="8">
        <f t="shared" si="20"/>
        <v>0</v>
      </c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35">
      <c r="A68" s="8" t="s">
        <v>112</v>
      </c>
      <c r="B68" s="8" t="s">
        <v>39</v>
      </c>
      <c r="C68" s="8">
        <v>1</v>
      </c>
      <c r="D68" s="8">
        <v>807</v>
      </c>
      <c r="E68" s="8">
        <v>50</v>
      </c>
      <c r="F68" s="8">
        <v>550</v>
      </c>
      <c r="G68" s="6">
        <v>0.41</v>
      </c>
      <c r="H68" s="8">
        <v>50</v>
      </c>
      <c r="I68" s="8" t="s">
        <v>36</v>
      </c>
      <c r="J68" s="8"/>
      <c r="K68" s="8">
        <v>86</v>
      </c>
      <c r="L68" s="8">
        <f t="shared" si="11"/>
        <v>-36</v>
      </c>
      <c r="M68" s="8"/>
      <c r="N68" s="8"/>
      <c r="O68" s="8">
        <v>0</v>
      </c>
      <c r="P68" s="8">
        <f t="shared" si="12"/>
        <v>10</v>
      </c>
      <c r="Q68" s="4"/>
      <c r="R68" s="18"/>
      <c r="S68" s="8">
        <f t="shared" si="13"/>
        <v>55</v>
      </c>
      <c r="T68" s="8">
        <f t="shared" si="14"/>
        <v>55</v>
      </c>
      <c r="U68" s="8">
        <v>0</v>
      </c>
      <c r="V68" s="8">
        <v>60</v>
      </c>
      <c r="W68" s="8">
        <v>7.2</v>
      </c>
      <c r="X68" s="8">
        <v>35.200000000000003</v>
      </c>
      <c r="Y68" s="8">
        <v>7.4</v>
      </c>
      <c r="Z68" s="8">
        <v>0</v>
      </c>
      <c r="AA68" s="8">
        <v>4.2</v>
      </c>
      <c r="AB68" s="8">
        <v>53.4</v>
      </c>
      <c r="AC68" s="8">
        <v>61.4</v>
      </c>
      <c r="AD68" s="8">
        <v>75.400000000000006</v>
      </c>
      <c r="AE68" s="8"/>
      <c r="AF68" s="8">
        <f t="shared" si="20"/>
        <v>0</v>
      </c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35">
      <c r="A69" s="8" t="s">
        <v>113</v>
      </c>
      <c r="B69" s="8" t="s">
        <v>35</v>
      </c>
      <c r="C69" s="8">
        <v>286.51900000000001</v>
      </c>
      <c r="D69" s="8">
        <v>277.52800000000002</v>
      </c>
      <c r="E69" s="8">
        <v>141.10499999999999</v>
      </c>
      <c r="F69" s="8">
        <v>164.14099999999999</v>
      </c>
      <c r="G69" s="6">
        <v>1</v>
      </c>
      <c r="H69" s="8">
        <v>50</v>
      </c>
      <c r="I69" s="8" t="s">
        <v>36</v>
      </c>
      <c r="J69" s="8"/>
      <c r="K69" s="8">
        <v>134</v>
      </c>
      <c r="L69" s="8">
        <f t="shared" si="11"/>
        <v>7.1049999999999898</v>
      </c>
      <c r="M69" s="8"/>
      <c r="N69" s="8"/>
      <c r="O69" s="8">
        <v>0</v>
      </c>
      <c r="P69" s="8">
        <f t="shared" si="12"/>
        <v>28.220999999999997</v>
      </c>
      <c r="Q69" s="4">
        <f>14*P69-O69-F69</f>
        <v>230.95299999999995</v>
      </c>
      <c r="R69" s="18">
        <v>350</v>
      </c>
      <c r="S69" s="8">
        <f t="shared" si="13"/>
        <v>14</v>
      </c>
      <c r="T69" s="8">
        <f t="shared" si="14"/>
        <v>5.8162715708160597</v>
      </c>
      <c r="U69" s="8">
        <v>15.754200000000001</v>
      </c>
      <c r="V69" s="8">
        <v>24.260200000000001</v>
      </c>
      <c r="W69" s="8">
        <v>36.361800000000002</v>
      </c>
      <c r="X69" s="8">
        <v>19.7622</v>
      </c>
      <c r="Y69" s="8">
        <v>32.344000000000001</v>
      </c>
      <c r="Z69" s="8">
        <v>35.5486</v>
      </c>
      <c r="AA69" s="8">
        <v>41.344999999999999</v>
      </c>
      <c r="AB69" s="8">
        <v>30.451000000000001</v>
      </c>
      <c r="AC69" s="8">
        <v>29.3094</v>
      </c>
      <c r="AD69" s="8">
        <v>35.366799999999998</v>
      </c>
      <c r="AE69" s="8"/>
      <c r="AF69" s="8">
        <f t="shared" si="20"/>
        <v>230.95299999999995</v>
      </c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35">
      <c r="A70" s="8" t="s">
        <v>114</v>
      </c>
      <c r="B70" s="8" t="s">
        <v>39</v>
      </c>
      <c r="C70" s="8">
        <v>92</v>
      </c>
      <c r="D70" s="8">
        <v>143</v>
      </c>
      <c r="E70" s="8">
        <v>65</v>
      </c>
      <c r="F70" s="8">
        <v>126</v>
      </c>
      <c r="G70" s="6">
        <v>0.3</v>
      </c>
      <c r="H70" s="8">
        <v>50</v>
      </c>
      <c r="I70" s="8" t="s">
        <v>36</v>
      </c>
      <c r="J70" s="8"/>
      <c r="K70" s="8">
        <v>70</v>
      </c>
      <c r="L70" s="8">
        <f t="shared" ref="L70:L101" si="22">E70-K70</f>
        <v>-5</v>
      </c>
      <c r="M70" s="8"/>
      <c r="N70" s="8"/>
      <c r="O70" s="8">
        <v>0</v>
      </c>
      <c r="P70" s="8">
        <f t="shared" ref="P70:P101" si="23">E70/5</f>
        <v>13</v>
      </c>
      <c r="Q70" s="4">
        <f t="shared" si="21"/>
        <v>69</v>
      </c>
      <c r="R70" s="18">
        <v>150</v>
      </c>
      <c r="S70" s="8">
        <f t="shared" ref="S70:S101" si="24">(F70+O70+Q70)/P70</f>
        <v>15</v>
      </c>
      <c r="T70" s="8">
        <f t="shared" ref="T70:T101" si="25">(F70+O70)/P70</f>
        <v>9.6923076923076916</v>
      </c>
      <c r="U70" s="8">
        <v>13</v>
      </c>
      <c r="V70" s="8">
        <v>17.2</v>
      </c>
      <c r="W70" s="8">
        <v>16.2</v>
      </c>
      <c r="X70" s="8">
        <v>19</v>
      </c>
      <c r="Y70" s="8">
        <v>15.2</v>
      </c>
      <c r="Z70" s="8">
        <v>13.8</v>
      </c>
      <c r="AA70" s="8">
        <v>25.4</v>
      </c>
      <c r="AB70" s="8">
        <v>15.8</v>
      </c>
      <c r="AC70" s="8">
        <v>18</v>
      </c>
      <c r="AD70" s="8">
        <v>10.199999999999999</v>
      </c>
      <c r="AE70" s="8"/>
      <c r="AF70" s="8">
        <f t="shared" si="20"/>
        <v>20.7</v>
      </c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35">
      <c r="A71" s="10" t="s">
        <v>115</v>
      </c>
      <c r="B71" s="10" t="s">
        <v>39</v>
      </c>
      <c r="C71" s="10">
        <v>2</v>
      </c>
      <c r="D71" s="10">
        <v>8</v>
      </c>
      <c r="E71" s="10">
        <v>-4</v>
      </c>
      <c r="F71" s="10"/>
      <c r="G71" s="11">
        <v>0</v>
      </c>
      <c r="H71" s="10">
        <v>50</v>
      </c>
      <c r="I71" s="10" t="s">
        <v>55</v>
      </c>
      <c r="J71" s="10"/>
      <c r="K71" s="10">
        <v>11</v>
      </c>
      <c r="L71" s="10">
        <f t="shared" si="22"/>
        <v>-15</v>
      </c>
      <c r="M71" s="10"/>
      <c r="N71" s="10"/>
      <c r="O71" s="10">
        <v>0</v>
      </c>
      <c r="P71" s="10">
        <f t="shared" si="23"/>
        <v>-0.8</v>
      </c>
      <c r="Q71" s="12"/>
      <c r="R71" s="19"/>
      <c r="S71" s="10">
        <f t="shared" si="24"/>
        <v>0</v>
      </c>
      <c r="T71" s="10">
        <f t="shared" si="25"/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0.6</v>
      </c>
      <c r="AA71" s="10">
        <v>0.4</v>
      </c>
      <c r="AB71" s="10">
        <v>8.6</v>
      </c>
      <c r="AC71" s="10">
        <v>0</v>
      </c>
      <c r="AD71" s="10">
        <v>1.8</v>
      </c>
      <c r="AE71" s="10"/>
      <c r="AF71" s="10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35">
      <c r="A72" s="8" t="s">
        <v>116</v>
      </c>
      <c r="B72" s="8" t="s">
        <v>39</v>
      </c>
      <c r="C72" s="8">
        <v>231</v>
      </c>
      <c r="D72" s="8">
        <v>576</v>
      </c>
      <c r="E72" s="8">
        <v>115</v>
      </c>
      <c r="F72" s="8">
        <v>564</v>
      </c>
      <c r="G72" s="6">
        <v>0.18</v>
      </c>
      <c r="H72" s="8">
        <v>50</v>
      </c>
      <c r="I72" s="8" t="s">
        <v>36</v>
      </c>
      <c r="J72" s="8"/>
      <c r="K72" s="8">
        <v>137</v>
      </c>
      <c r="L72" s="8">
        <f t="shared" si="22"/>
        <v>-22</v>
      </c>
      <c r="M72" s="8"/>
      <c r="N72" s="8"/>
      <c r="O72" s="8">
        <v>0</v>
      </c>
      <c r="P72" s="8">
        <f t="shared" si="23"/>
        <v>23</v>
      </c>
      <c r="Q72" s="4"/>
      <c r="R72" s="18"/>
      <c r="S72" s="8">
        <f t="shared" si="24"/>
        <v>24.521739130434781</v>
      </c>
      <c r="T72" s="8">
        <f t="shared" si="25"/>
        <v>24.521739130434781</v>
      </c>
      <c r="U72" s="8">
        <v>8.1999999999999993</v>
      </c>
      <c r="V72" s="8">
        <v>42.8</v>
      </c>
      <c r="W72" s="8">
        <v>36.799999999999997</v>
      </c>
      <c r="X72" s="8">
        <v>16.600000000000001</v>
      </c>
      <c r="Y72" s="8">
        <v>32.4</v>
      </c>
      <c r="Z72" s="8">
        <v>38</v>
      </c>
      <c r="AA72" s="8">
        <v>32.6</v>
      </c>
      <c r="AB72" s="8">
        <v>33</v>
      </c>
      <c r="AC72" s="8">
        <v>6.4</v>
      </c>
      <c r="AD72" s="8">
        <v>36.6</v>
      </c>
      <c r="AE72" s="9" t="s">
        <v>73</v>
      </c>
      <c r="AF72" s="8">
        <f>G72*Q72</f>
        <v>0</v>
      </c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35">
      <c r="A73" s="8" t="s">
        <v>117</v>
      </c>
      <c r="B73" s="8" t="s">
        <v>39</v>
      </c>
      <c r="C73" s="8"/>
      <c r="D73" s="8">
        <v>96</v>
      </c>
      <c r="E73" s="8">
        <v>10</v>
      </c>
      <c r="F73" s="8">
        <v>78</v>
      </c>
      <c r="G73" s="6">
        <v>0.22</v>
      </c>
      <c r="H73" s="8">
        <v>120</v>
      </c>
      <c r="I73" s="8" t="s">
        <v>36</v>
      </c>
      <c r="J73" s="8"/>
      <c r="K73" s="8">
        <v>10</v>
      </c>
      <c r="L73" s="8">
        <f t="shared" si="22"/>
        <v>0</v>
      </c>
      <c r="M73" s="8"/>
      <c r="N73" s="8"/>
      <c r="O73" s="8">
        <v>0</v>
      </c>
      <c r="P73" s="8">
        <f t="shared" si="23"/>
        <v>2</v>
      </c>
      <c r="Q73" s="4"/>
      <c r="R73" s="18"/>
      <c r="S73" s="8">
        <f t="shared" si="24"/>
        <v>39</v>
      </c>
      <c r="T73" s="8">
        <f t="shared" si="25"/>
        <v>39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 t="s">
        <v>37</v>
      </c>
      <c r="AF73" s="8">
        <f>G73*Q73</f>
        <v>0</v>
      </c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35">
      <c r="A74" s="8" t="s">
        <v>118</v>
      </c>
      <c r="B74" s="8" t="s">
        <v>39</v>
      </c>
      <c r="C74" s="8">
        <v>11</v>
      </c>
      <c r="D74" s="8">
        <v>29</v>
      </c>
      <c r="E74" s="8">
        <v>25</v>
      </c>
      <c r="F74" s="8">
        <v>10</v>
      </c>
      <c r="G74" s="6">
        <v>0.84</v>
      </c>
      <c r="H74" s="8">
        <v>50</v>
      </c>
      <c r="I74" s="8" t="s">
        <v>36</v>
      </c>
      <c r="J74" s="8"/>
      <c r="K74" s="8">
        <v>23.5</v>
      </c>
      <c r="L74" s="8">
        <f t="shared" si="22"/>
        <v>1.5</v>
      </c>
      <c r="M74" s="8"/>
      <c r="N74" s="8"/>
      <c r="O74" s="8">
        <v>61</v>
      </c>
      <c r="P74" s="8">
        <f t="shared" si="23"/>
        <v>5</v>
      </c>
      <c r="Q74" s="4">
        <v>6</v>
      </c>
      <c r="R74" s="18"/>
      <c r="S74" s="8">
        <f t="shared" si="24"/>
        <v>15.4</v>
      </c>
      <c r="T74" s="8">
        <f t="shared" si="25"/>
        <v>14.2</v>
      </c>
      <c r="U74" s="8">
        <v>7.4</v>
      </c>
      <c r="V74" s="8">
        <v>4.5999999999999996</v>
      </c>
      <c r="W74" s="8">
        <v>4</v>
      </c>
      <c r="X74" s="8">
        <v>1.8</v>
      </c>
      <c r="Y74" s="8">
        <v>7</v>
      </c>
      <c r="Z74" s="8">
        <v>1.4</v>
      </c>
      <c r="AA74" s="8">
        <v>6.4</v>
      </c>
      <c r="AB74" s="8">
        <v>4.5999999999999996</v>
      </c>
      <c r="AC74" s="8">
        <v>2.8</v>
      </c>
      <c r="AD74" s="8">
        <v>1</v>
      </c>
      <c r="AE74" s="8"/>
      <c r="AF74" s="8">
        <f>G74*Q74</f>
        <v>5.04</v>
      </c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35">
      <c r="A75" s="8" t="s">
        <v>119</v>
      </c>
      <c r="B75" s="8" t="s">
        <v>39</v>
      </c>
      <c r="C75" s="8">
        <v>448</v>
      </c>
      <c r="D75" s="8">
        <v>831</v>
      </c>
      <c r="E75" s="8">
        <v>316</v>
      </c>
      <c r="F75" s="8">
        <v>659</v>
      </c>
      <c r="G75" s="6">
        <v>0.35</v>
      </c>
      <c r="H75" s="8">
        <v>50</v>
      </c>
      <c r="I75" s="8" t="s">
        <v>36</v>
      </c>
      <c r="J75" s="8"/>
      <c r="K75" s="8">
        <v>334</v>
      </c>
      <c r="L75" s="8">
        <f t="shared" si="22"/>
        <v>-18</v>
      </c>
      <c r="M75" s="8"/>
      <c r="N75" s="8"/>
      <c r="O75" s="8">
        <v>0</v>
      </c>
      <c r="P75" s="8">
        <f t="shared" si="23"/>
        <v>63.2</v>
      </c>
      <c r="Q75" s="4">
        <f t="shared" ref="Q75" si="26">15*P75-O75-F75</f>
        <v>289</v>
      </c>
      <c r="R75" s="18">
        <v>400</v>
      </c>
      <c r="S75" s="8">
        <f t="shared" si="24"/>
        <v>15</v>
      </c>
      <c r="T75" s="8">
        <f t="shared" si="25"/>
        <v>10.427215189873417</v>
      </c>
      <c r="U75" s="8">
        <v>57.2</v>
      </c>
      <c r="V75" s="8">
        <v>76.400000000000006</v>
      </c>
      <c r="W75" s="8">
        <v>74</v>
      </c>
      <c r="X75" s="8">
        <v>70</v>
      </c>
      <c r="Y75" s="8">
        <v>69.2</v>
      </c>
      <c r="Z75" s="8">
        <v>22.4</v>
      </c>
      <c r="AA75" s="8">
        <v>60</v>
      </c>
      <c r="AB75" s="8">
        <v>91.6</v>
      </c>
      <c r="AC75" s="8">
        <v>61.8</v>
      </c>
      <c r="AD75" s="8">
        <v>80.8</v>
      </c>
      <c r="AE75" s="8"/>
      <c r="AF75" s="8">
        <f>G75*Q75</f>
        <v>101.14999999999999</v>
      </c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35">
      <c r="A76" s="10" t="s">
        <v>120</v>
      </c>
      <c r="B76" s="10" t="s">
        <v>39</v>
      </c>
      <c r="C76" s="10"/>
      <c r="D76" s="10"/>
      <c r="E76" s="10"/>
      <c r="F76" s="10"/>
      <c r="G76" s="11">
        <v>0</v>
      </c>
      <c r="H76" s="10"/>
      <c r="I76" s="10" t="s">
        <v>36</v>
      </c>
      <c r="J76" s="10"/>
      <c r="K76" s="10"/>
      <c r="L76" s="10">
        <f t="shared" si="22"/>
        <v>0</v>
      </c>
      <c r="M76" s="10"/>
      <c r="N76" s="10"/>
      <c r="O76" s="10">
        <v>0</v>
      </c>
      <c r="P76" s="10">
        <f t="shared" si="23"/>
        <v>0</v>
      </c>
      <c r="Q76" s="12"/>
      <c r="R76" s="19"/>
      <c r="S76" s="10" t="e">
        <f t="shared" si="24"/>
        <v>#DIV/0!</v>
      </c>
      <c r="T76" s="10" t="e">
        <f t="shared" si="25"/>
        <v>#DIV/0!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 t="s">
        <v>86</v>
      </c>
      <c r="AF76" s="10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35">
      <c r="A77" s="8" t="s">
        <v>121</v>
      </c>
      <c r="B77" s="8" t="s">
        <v>35</v>
      </c>
      <c r="C77" s="8">
        <v>122.28400000000001</v>
      </c>
      <c r="D77" s="8">
        <v>379.11599999999999</v>
      </c>
      <c r="E77" s="8">
        <v>224.428</v>
      </c>
      <c r="F77" s="8">
        <v>70.2</v>
      </c>
      <c r="G77" s="6">
        <v>1</v>
      </c>
      <c r="H77" s="8">
        <v>50</v>
      </c>
      <c r="I77" s="8" t="s">
        <v>36</v>
      </c>
      <c r="J77" s="8"/>
      <c r="K77" s="8">
        <v>225.41</v>
      </c>
      <c r="L77" s="8">
        <f t="shared" si="22"/>
        <v>-0.98199999999999932</v>
      </c>
      <c r="M77" s="8"/>
      <c r="N77" s="8"/>
      <c r="O77" s="8">
        <v>73</v>
      </c>
      <c r="P77" s="8">
        <f t="shared" si="23"/>
        <v>44.885599999999997</v>
      </c>
      <c r="Q77" s="4">
        <f t="shared" ref="Q77:Q78" si="27">11*P77-O77-F77</f>
        <v>350.54159999999996</v>
      </c>
      <c r="R77" s="18">
        <v>450</v>
      </c>
      <c r="S77" s="8">
        <f t="shared" si="24"/>
        <v>11</v>
      </c>
      <c r="T77" s="8">
        <f t="shared" si="25"/>
        <v>3.1903327570534872</v>
      </c>
      <c r="U77" s="8">
        <v>24.233000000000001</v>
      </c>
      <c r="V77" s="8">
        <v>25.468399999999999</v>
      </c>
      <c r="W77" s="8">
        <v>23.971800000000002</v>
      </c>
      <c r="X77" s="8">
        <v>23.8764</v>
      </c>
      <c r="Y77" s="8">
        <v>32.122</v>
      </c>
      <c r="Z77" s="8">
        <v>30.824999999999999</v>
      </c>
      <c r="AA77" s="8">
        <v>34.910400000000003</v>
      </c>
      <c r="AB77" s="8">
        <v>37.654800000000002</v>
      </c>
      <c r="AC77" s="8">
        <v>30.102599999999999</v>
      </c>
      <c r="AD77" s="8">
        <v>26.282599999999999</v>
      </c>
      <c r="AE77" s="8"/>
      <c r="AF77" s="8">
        <f t="shared" ref="AF77:AF85" si="28">G77*Q77</f>
        <v>350.54159999999996</v>
      </c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35">
      <c r="A78" s="8" t="s">
        <v>122</v>
      </c>
      <c r="B78" s="8" t="s">
        <v>35</v>
      </c>
      <c r="C78" s="8">
        <v>272.32100000000003</v>
      </c>
      <c r="D78" s="8">
        <v>342.39299999999997</v>
      </c>
      <c r="E78" s="8">
        <v>279.58100000000002</v>
      </c>
      <c r="F78" s="8">
        <v>124.205</v>
      </c>
      <c r="G78" s="6">
        <v>1</v>
      </c>
      <c r="H78" s="8">
        <v>50</v>
      </c>
      <c r="I78" s="8" t="s">
        <v>36</v>
      </c>
      <c r="J78" s="8"/>
      <c r="K78" s="8">
        <v>263.8</v>
      </c>
      <c r="L78" s="8">
        <f t="shared" si="22"/>
        <v>15.781000000000006</v>
      </c>
      <c r="M78" s="8"/>
      <c r="N78" s="8"/>
      <c r="O78" s="8">
        <v>22</v>
      </c>
      <c r="P78" s="8">
        <f t="shared" si="23"/>
        <v>55.916200000000003</v>
      </c>
      <c r="Q78" s="4">
        <f t="shared" si="27"/>
        <v>468.87320000000005</v>
      </c>
      <c r="R78" s="18">
        <v>600</v>
      </c>
      <c r="S78" s="8">
        <f t="shared" si="24"/>
        <v>11</v>
      </c>
      <c r="T78" s="8">
        <f t="shared" si="25"/>
        <v>2.6147163076174702</v>
      </c>
      <c r="U78" s="8">
        <v>28.759799999999998</v>
      </c>
      <c r="V78" s="8">
        <v>35.226199999999999</v>
      </c>
      <c r="W78" s="8">
        <v>39.374400000000001</v>
      </c>
      <c r="X78" s="8">
        <v>28.3248</v>
      </c>
      <c r="Y78" s="8">
        <v>43.241999999999997</v>
      </c>
      <c r="Z78" s="8">
        <v>50.213000000000001</v>
      </c>
      <c r="AA78" s="8">
        <v>27.881599999999999</v>
      </c>
      <c r="AB78" s="8">
        <v>50.210999999999999</v>
      </c>
      <c r="AC78" s="8">
        <v>40.056600000000003</v>
      </c>
      <c r="AD78" s="8">
        <v>33.135599999999997</v>
      </c>
      <c r="AE78" s="8"/>
      <c r="AF78" s="8">
        <f t="shared" si="28"/>
        <v>468.87320000000005</v>
      </c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35">
      <c r="A79" s="8" t="s">
        <v>123</v>
      </c>
      <c r="B79" s="8" t="s">
        <v>39</v>
      </c>
      <c r="C79" s="8">
        <v>475</v>
      </c>
      <c r="D79" s="8">
        <v>1166</v>
      </c>
      <c r="E79" s="8">
        <v>391</v>
      </c>
      <c r="F79" s="8">
        <v>739</v>
      </c>
      <c r="G79" s="6">
        <v>0.35</v>
      </c>
      <c r="H79" s="8">
        <v>50</v>
      </c>
      <c r="I79" s="8" t="s">
        <v>36</v>
      </c>
      <c r="J79" s="8"/>
      <c r="K79" s="8">
        <v>404</v>
      </c>
      <c r="L79" s="8">
        <f t="shared" si="22"/>
        <v>-13</v>
      </c>
      <c r="M79" s="8"/>
      <c r="N79" s="8"/>
      <c r="O79" s="8">
        <v>0</v>
      </c>
      <c r="P79" s="8">
        <f t="shared" si="23"/>
        <v>78.2</v>
      </c>
      <c r="Q79" s="4">
        <f t="shared" ref="Q79:Q85" si="29">15*P79-O79-F79</f>
        <v>434</v>
      </c>
      <c r="R79" s="18">
        <v>600</v>
      </c>
      <c r="S79" s="8">
        <f t="shared" si="24"/>
        <v>15</v>
      </c>
      <c r="T79" s="8">
        <f t="shared" si="25"/>
        <v>9.4501278772378505</v>
      </c>
      <c r="U79" s="8">
        <v>37</v>
      </c>
      <c r="V79" s="8">
        <v>73.400000000000006</v>
      </c>
      <c r="W79" s="8">
        <v>78.400000000000006</v>
      </c>
      <c r="X79" s="8">
        <v>53</v>
      </c>
      <c r="Y79" s="8">
        <v>70</v>
      </c>
      <c r="Z79" s="8">
        <v>53.6</v>
      </c>
      <c r="AA79" s="8">
        <v>28.4</v>
      </c>
      <c r="AB79" s="8">
        <v>53.8</v>
      </c>
      <c r="AC79" s="8">
        <v>74</v>
      </c>
      <c r="AD79" s="8">
        <v>80.599999999999994</v>
      </c>
      <c r="AE79" s="8"/>
      <c r="AF79" s="8">
        <f t="shared" si="28"/>
        <v>151.89999999999998</v>
      </c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35">
      <c r="A80" s="8" t="s">
        <v>124</v>
      </c>
      <c r="B80" s="8" t="s">
        <v>39</v>
      </c>
      <c r="C80" s="8">
        <v>88</v>
      </c>
      <c r="D80" s="8">
        <v>137</v>
      </c>
      <c r="E80" s="8">
        <v>89</v>
      </c>
      <c r="F80" s="8">
        <v>82</v>
      </c>
      <c r="G80" s="6">
        <v>0.3</v>
      </c>
      <c r="H80" s="8">
        <v>50</v>
      </c>
      <c r="I80" s="8" t="s">
        <v>36</v>
      </c>
      <c r="J80" s="8"/>
      <c r="K80" s="8">
        <v>94</v>
      </c>
      <c r="L80" s="8">
        <f t="shared" si="22"/>
        <v>-5</v>
      </c>
      <c r="M80" s="8"/>
      <c r="N80" s="8"/>
      <c r="O80" s="8">
        <v>86</v>
      </c>
      <c r="P80" s="8">
        <f t="shared" si="23"/>
        <v>17.8</v>
      </c>
      <c r="Q80" s="4">
        <f t="shared" si="29"/>
        <v>99</v>
      </c>
      <c r="R80" s="18"/>
      <c r="S80" s="8">
        <f t="shared" si="24"/>
        <v>15</v>
      </c>
      <c r="T80" s="8">
        <f t="shared" si="25"/>
        <v>9.4382022471910112</v>
      </c>
      <c r="U80" s="8">
        <v>18.399999999999999</v>
      </c>
      <c r="V80" s="8">
        <v>17.600000000000001</v>
      </c>
      <c r="W80" s="8">
        <v>18.2</v>
      </c>
      <c r="X80" s="8">
        <v>15.8</v>
      </c>
      <c r="Y80" s="8">
        <v>14</v>
      </c>
      <c r="Z80" s="8">
        <v>3</v>
      </c>
      <c r="AA80" s="8">
        <v>19.399999999999999</v>
      </c>
      <c r="AB80" s="8">
        <v>18</v>
      </c>
      <c r="AC80" s="8">
        <v>11.2</v>
      </c>
      <c r="AD80" s="8">
        <v>15.8</v>
      </c>
      <c r="AE80" s="8"/>
      <c r="AF80" s="8">
        <f t="shared" si="28"/>
        <v>29.7</v>
      </c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35">
      <c r="A81" s="8" t="s">
        <v>125</v>
      </c>
      <c r="B81" s="8" t="s">
        <v>39</v>
      </c>
      <c r="C81" s="8">
        <v>78</v>
      </c>
      <c r="D81" s="8">
        <v>74</v>
      </c>
      <c r="E81" s="8">
        <v>70</v>
      </c>
      <c r="F81" s="8">
        <v>8</v>
      </c>
      <c r="G81" s="6">
        <v>0.3</v>
      </c>
      <c r="H81" s="8">
        <v>60</v>
      </c>
      <c r="I81" s="8" t="s">
        <v>36</v>
      </c>
      <c r="J81" s="8"/>
      <c r="K81" s="8">
        <v>70</v>
      </c>
      <c r="L81" s="8">
        <f t="shared" si="22"/>
        <v>0</v>
      </c>
      <c r="M81" s="8"/>
      <c r="N81" s="8"/>
      <c r="O81" s="8">
        <v>112</v>
      </c>
      <c r="P81" s="8">
        <f t="shared" si="23"/>
        <v>14</v>
      </c>
      <c r="Q81" s="4">
        <f t="shared" si="29"/>
        <v>90</v>
      </c>
      <c r="R81" s="18"/>
      <c r="S81" s="8">
        <f t="shared" si="24"/>
        <v>15</v>
      </c>
      <c r="T81" s="8">
        <f t="shared" si="25"/>
        <v>8.5714285714285712</v>
      </c>
      <c r="U81" s="8">
        <v>13.6</v>
      </c>
      <c r="V81" s="8">
        <v>7.6</v>
      </c>
      <c r="W81" s="8">
        <v>0.2</v>
      </c>
      <c r="X81" s="8">
        <v>26.8</v>
      </c>
      <c r="Y81" s="8">
        <v>6.6</v>
      </c>
      <c r="Z81" s="8">
        <v>9.6</v>
      </c>
      <c r="AA81" s="8">
        <v>8.6</v>
      </c>
      <c r="AB81" s="8">
        <v>17.2</v>
      </c>
      <c r="AC81" s="8">
        <v>2.2000000000000002</v>
      </c>
      <c r="AD81" s="8">
        <v>6</v>
      </c>
      <c r="AE81" s="8"/>
      <c r="AF81" s="8">
        <f t="shared" si="28"/>
        <v>27</v>
      </c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35">
      <c r="A82" s="8" t="s">
        <v>126</v>
      </c>
      <c r="B82" s="8" t="s">
        <v>39</v>
      </c>
      <c r="C82" s="8">
        <v>466</v>
      </c>
      <c r="D82" s="8">
        <v>601</v>
      </c>
      <c r="E82" s="8">
        <v>287</v>
      </c>
      <c r="F82" s="8">
        <v>361</v>
      </c>
      <c r="G82" s="6">
        <v>0.28000000000000003</v>
      </c>
      <c r="H82" s="8">
        <v>50</v>
      </c>
      <c r="I82" s="8" t="s">
        <v>36</v>
      </c>
      <c r="J82" s="8"/>
      <c r="K82" s="8">
        <v>298</v>
      </c>
      <c r="L82" s="8">
        <f t="shared" si="22"/>
        <v>-11</v>
      </c>
      <c r="M82" s="8"/>
      <c r="N82" s="8"/>
      <c r="O82" s="8">
        <v>0</v>
      </c>
      <c r="P82" s="8">
        <f t="shared" si="23"/>
        <v>57.4</v>
      </c>
      <c r="Q82" s="4">
        <f>14*P82-O82-F82</f>
        <v>442.6</v>
      </c>
      <c r="R82" s="18">
        <v>600</v>
      </c>
      <c r="S82" s="8">
        <f t="shared" si="24"/>
        <v>14</v>
      </c>
      <c r="T82" s="8">
        <f t="shared" si="25"/>
        <v>6.2891986062717775</v>
      </c>
      <c r="U82" s="8">
        <v>44</v>
      </c>
      <c r="V82" s="8">
        <v>58.6</v>
      </c>
      <c r="W82" s="8">
        <v>66</v>
      </c>
      <c r="X82" s="8">
        <v>61.8</v>
      </c>
      <c r="Y82" s="8">
        <v>52.8</v>
      </c>
      <c r="Z82" s="8">
        <v>42.8</v>
      </c>
      <c r="AA82" s="8">
        <v>69.599999999999994</v>
      </c>
      <c r="AB82" s="8">
        <v>65</v>
      </c>
      <c r="AC82" s="8">
        <v>63.2</v>
      </c>
      <c r="AD82" s="8">
        <v>67.2</v>
      </c>
      <c r="AE82" s="8"/>
      <c r="AF82" s="8">
        <f t="shared" si="28"/>
        <v>123.92800000000001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35">
      <c r="A83" s="8" t="s">
        <v>127</v>
      </c>
      <c r="B83" s="8" t="s">
        <v>39</v>
      </c>
      <c r="C83" s="8">
        <v>223</v>
      </c>
      <c r="D83" s="8">
        <v>871</v>
      </c>
      <c r="E83" s="8">
        <v>251</v>
      </c>
      <c r="F83" s="8">
        <v>569</v>
      </c>
      <c r="G83" s="6">
        <v>0.28000000000000003</v>
      </c>
      <c r="H83" s="8">
        <v>45</v>
      </c>
      <c r="I83" s="8" t="s">
        <v>36</v>
      </c>
      <c r="J83" s="8"/>
      <c r="K83" s="8">
        <v>258</v>
      </c>
      <c r="L83" s="8">
        <f t="shared" si="22"/>
        <v>-7</v>
      </c>
      <c r="M83" s="8"/>
      <c r="N83" s="8"/>
      <c r="O83" s="8">
        <v>0</v>
      </c>
      <c r="P83" s="8">
        <f t="shared" si="23"/>
        <v>50.2</v>
      </c>
      <c r="Q83" s="4">
        <f t="shared" si="29"/>
        <v>184</v>
      </c>
      <c r="R83" s="18">
        <v>250</v>
      </c>
      <c r="S83" s="8">
        <f t="shared" si="24"/>
        <v>15</v>
      </c>
      <c r="T83" s="8">
        <f t="shared" si="25"/>
        <v>11.334661354581673</v>
      </c>
      <c r="U83" s="8">
        <v>44.8</v>
      </c>
      <c r="V83" s="8">
        <v>65.2</v>
      </c>
      <c r="W83" s="8">
        <v>51.4</v>
      </c>
      <c r="X83" s="8">
        <v>54.4</v>
      </c>
      <c r="Y83" s="8">
        <v>51.4</v>
      </c>
      <c r="Z83" s="8">
        <v>34.799999999999997</v>
      </c>
      <c r="AA83" s="8">
        <v>51</v>
      </c>
      <c r="AB83" s="8">
        <v>70.400000000000006</v>
      </c>
      <c r="AC83" s="8">
        <v>52.2</v>
      </c>
      <c r="AD83" s="8">
        <v>56.6</v>
      </c>
      <c r="AE83" s="8"/>
      <c r="AF83" s="8">
        <f t="shared" si="28"/>
        <v>51.52</v>
      </c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35">
      <c r="A84" s="8" t="s">
        <v>128</v>
      </c>
      <c r="B84" s="8" t="s">
        <v>39</v>
      </c>
      <c r="C84" s="8">
        <v>324</v>
      </c>
      <c r="D84" s="8">
        <v>606</v>
      </c>
      <c r="E84" s="8">
        <v>161</v>
      </c>
      <c r="F84" s="8">
        <v>528</v>
      </c>
      <c r="G84" s="6">
        <v>0.28000000000000003</v>
      </c>
      <c r="H84" s="8">
        <v>45</v>
      </c>
      <c r="I84" s="8" t="s">
        <v>36</v>
      </c>
      <c r="J84" s="8"/>
      <c r="K84" s="8">
        <v>176</v>
      </c>
      <c r="L84" s="8">
        <f t="shared" si="22"/>
        <v>-15</v>
      </c>
      <c r="M84" s="8"/>
      <c r="N84" s="8"/>
      <c r="O84" s="8">
        <v>0</v>
      </c>
      <c r="P84" s="8">
        <f t="shared" si="23"/>
        <v>32.200000000000003</v>
      </c>
      <c r="Q84" s="4"/>
      <c r="R84" s="18">
        <v>150</v>
      </c>
      <c r="S84" s="8">
        <f t="shared" si="24"/>
        <v>16.397515527950308</v>
      </c>
      <c r="T84" s="8">
        <f t="shared" si="25"/>
        <v>16.397515527950308</v>
      </c>
      <c r="U84" s="8">
        <v>30.8</v>
      </c>
      <c r="V84" s="8">
        <v>55.8</v>
      </c>
      <c r="W84" s="8">
        <v>50</v>
      </c>
      <c r="X84" s="8">
        <v>43.8</v>
      </c>
      <c r="Y84" s="8">
        <v>40.4</v>
      </c>
      <c r="Z84" s="8">
        <v>14</v>
      </c>
      <c r="AA84" s="8">
        <v>32</v>
      </c>
      <c r="AB84" s="8">
        <v>48</v>
      </c>
      <c r="AC84" s="8">
        <v>34</v>
      </c>
      <c r="AD84" s="8">
        <v>38.6</v>
      </c>
      <c r="AE84" s="8"/>
      <c r="AF84" s="8">
        <f t="shared" si="28"/>
        <v>0</v>
      </c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35">
      <c r="A85" s="8" t="s">
        <v>129</v>
      </c>
      <c r="B85" s="8" t="s">
        <v>39</v>
      </c>
      <c r="C85" s="8">
        <v>547</v>
      </c>
      <c r="D85" s="8">
        <v>334</v>
      </c>
      <c r="E85" s="8">
        <v>205</v>
      </c>
      <c r="F85" s="8">
        <v>306</v>
      </c>
      <c r="G85" s="6">
        <v>0.4</v>
      </c>
      <c r="H85" s="8">
        <v>50</v>
      </c>
      <c r="I85" s="8" t="s">
        <v>36</v>
      </c>
      <c r="J85" s="8"/>
      <c r="K85" s="8">
        <v>209</v>
      </c>
      <c r="L85" s="8">
        <f t="shared" si="22"/>
        <v>-4</v>
      </c>
      <c r="M85" s="8"/>
      <c r="N85" s="8"/>
      <c r="O85" s="8">
        <v>0</v>
      </c>
      <c r="P85" s="8">
        <f t="shared" si="23"/>
        <v>41</v>
      </c>
      <c r="Q85" s="4">
        <f t="shared" si="29"/>
        <v>309</v>
      </c>
      <c r="R85" s="18"/>
      <c r="S85" s="8">
        <f t="shared" si="24"/>
        <v>15</v>
      </c>
      <c r="T85" s="8">
        <f t="shared" si="25"/>
        <v>7.4634146341463419</v>
      </c>
      <c r="U85" s="8">
        <v>13.6</v>
      </c>
      <c r="V85" s="8">
        <v>40.200000000000003</v>
      </c>
      <c r="W85" s="8">
        <v>73.8</v>
      </c>
      <c r="X85" s="8">
        <v>37.799999999999997</v>
      </c>
      <c r="Y85" s="8">
        <v>43.4</v>
      </c>
      <c r="Z85" s="8">
        <v>18.8</v>
      </c>
      <c r="AA85" s="8">
        <v>59.4</v>
      </c>
      <c r="AB85" s="8">
        <v>55.6</v>
      </c>
      <c r="AC85" s="8">
        <v>34.6</v>
      </c>
      <c r="AD85" s="8">
        <v>26.4</v>
      </c>
      <c r="AE85" s="8"/>
      <c r="AF85" s="8">
        <f t="shared" si="28"/>
        <v>123.60000000000001</v>
      </c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35">
      <c r="A86" s="10" t="s">
        <v>130</v>
      </c>
      <c r="B86" s="10" t="s">
        <v>35</v>
      </c>
      <c r="C86" s="10">
        <v>-6.327</v>
      </c>
      <c r="D86" s="10">
        <v>23.606000000000002</v>
      </c>
      <c r="E86" s="10"/>
      <c r="F86" s="10"/>
      <c r="G86" s="11">
        <v>0</v>
      </c>
      <c r="H86" s="10">
        <v>50</v>
      </c>
      <c r="I86" s="10" t="s">
        <v>55</v>
      </c>
      <c r="J86" s="10"/>
      <c r="K86" s="10"/>
      <c r="L86" s="10">
        <f t="shared" si="22"/>
        <v>0</v>
      </c>
      <c r="M86" s="10"/>
      <c r="N86" s="10"/>
      <c r="O86" s="10">
        <v>0</v>
      </c>
      <c r="P86" s="10">
        <f t="shared" si="23"/>
        <v>0</v>
      </c>
      <c r="Q86" s="12"/>
      <c r="R86" s="19"/>
      <c r="S86" s="10" t="e">
        <f t="shared" si="24"/>
        <v>#DIV/0!</v>
      </c>
      <c r="T86" s="10" t="e">
        <f t="shared" si="25"/>
        <v>#DIV/0!</v>
      </c>
      <c r="U86" s="10">
        <v>0</v>
      </c>
      <c r="V86" s="10">
        <v>0</v>
      </c>
      <c r="W86" s="10">
        <v>0</v>
      </c>
      <c r="X86" s="10">
        <v>0</v>
      </c>
      <c r="Y86" s="10">
        <v>-0.13800000000000001</v>
      </c>
      <c r="Z86" s="10">
        <v>11.125999999999999</v>
      </c>
      <c r="AA86" s="10">
        <v>8.2726000000000006</v>
      </c>
      <c r="AB86" s="10">
        <v>12.144600000000001</v>
      </c>
      <c r="AC86" s="10">
        <v>10.204599999999999</v>
      </c>
      <c r="AD86" s="10">
        <v>5.8887999999999998</v>
      </c>
      <c r="AE86" s="10"/>
      <c r="AF86" s="10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35">
      <c r="A87" s="10" t="s">
        <v>131</v>
      </c>
      <c r="B87" s="10" t="s">
        <v>39</v>
      </c>
      <c r="C87" s="10">
        <v>-2</v>
      </c>
      <c r="D87" s="10">
        <v>2</v>
      </c>
      <c r="E87" s="10"/>
      <c r="F87" s="10"/>
      <c r="G87" s="11">
        <v>0</v>
      </c>
      <c r="H87" s="10">
        <v>50</v>
      </c>
      <c r="I87" s="10" t="s">
        <v>55</v>
      </c>
      <c r="J87" s="10"/>
      <c r="K87" s="10"/>
      <c r="L87" s="10">
        <f t="shared" si="22"/>
        <v>0</v>
      </c>
      <c r="M87" s="10"/>
      <c r="N87" s="10"/>
      <c r="O87" s="10">
        <v>0</v>
      </c>
      <c r="P87" s="10">
        <f t="shared" si="23"/>
        <v>0</v>
      </c>
      <c r="Q87" s="12"/>
      <c r="R87" s="19"/>
      <c r="S87" s="10" t="e">
        <f t="shared" si="24"/>
        <v>#DIV/0!</v>
      </c>
      <c r="T87" s="10" t="e">
        <f t="shared" si="25"/>
        <v>#DIV/0!</v>
      </c>
      <c r="U87" s="10">
        <v>0</v>
      </c>
      <c r="V87" s="10">
        <v>0</v>
      </c>
      <c r="W87" s="10">
        <v>-0.4</v>
      </c>
      <c r="X87" s="10">
        <v>0</v>
      </c>
      <c r="Y87" s="10">
        <v>0</v>
      </c>
      <c r="Z87" s="10">
        <v>0</v>
      </c>
      <c r="AA87" s="10">
        <v>5</v>
      </c>
      <c r="AB87" s="10">
        <v>8.6</v>
      </c>
      <c r="AC87" s="10">
        <v>3.2</v>
      </c>
      <c r="AD87" s="10">
        <v>5.4</v>
      </c>
      <c r="AE87" s="10"/>
      <c r="AF87" s="10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35">
      <c r="A88" s="10" t="s">
        <v>132</v>
      </c>
      <c r="B88" s="10" t="s">
        <v>39</v>
      </c>
      <c r="C88" s="10">
        <v>-5</v>
      </c>
      <c r="D88" s="10">
        <v>14</v>
      </c>
      <c r="E88" s="10"/>
      <c r="F88" s="10"/>
      <c r="G88" s="11">
        <v>0</v>
      </c>
      <c r="H88" s="10">
        <v>60</v>
      </c>
      <c r="I88" s="10" t="s">
        <v>55</v>
      </c>
      <c r="J88" s="10" t="s">
        <v>133</v>
      </c>
      <c r="K88" s="10"/>
      <c r="L88" s="10">
        <f t="shared" si="22"/>
        <v>0</v>
      </c>
      <c r="M88" s="10"/>
      <c r="N88" s="10"/>
      <c r="O88" s="10">
        <v>0</v>
      </c>
      <c r="P88" s="10">
        <f t="shared" si="23"/>
        <v>0</v>
      </c>
      <c r="Q88" s="12"/>
      <c r="R88" s="19"/>
      <c r="S88" s="10" t="e">
        <f t="shared" si="24"/>
        <v>#DIV/0!</v>
      </c>
      <c r="T88" s="10" t="e">
        <f t="shared" si="25"/>
        <v>#DIV/0!</v>
      </c>
      <c r="U88" s="10">
        <v>-0.2</v>
      </c>
      <c r="V88" s="10">
        <v>0</v>
      </c>
      <c r="W88" s="10">
        <v>0</v>
      </c>
      <c r="X88" s="10">
        <v>0.6</v>
      </c>
      <c r="Y88" s="10">
        <v>2.2000000000000002</v>
      </c>
      <c r="Z88" s="10">
        <v>5</v>
      </c>
      <c r="AA88" s="10">
        <v>5.6</v>
      </c>
      <c r="AB88" s="10">
        <v>7.2</v>
      </c>
      <c r="AC88" s="10">
        <v>6.4</v>
      </c>
      <c r="AD88" s="10">
        <v>9.1999999999999993</v>
      </c>
      <c r="AE88" s="10" t="s">
        <v>134</v>
      </c>
      <c r="AF88" s="10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35">
      <c r="A89" s="10" t="s">
        <v>135</v>
      </c>
      <c r="B89" s="10" t="s">
        <v>35</v>
      </c>
      <c r="C89" s="10">
        <v>0.30099999999999999</v>
      </c>
      <c r="D89" s="10"/>
      <c r="E89" s="10">
        <v>-0.30599999999999999</v>
      </c>
      <c r="F89" s="10"/>
      <c r="G89" s="11">
        <v>0</v>
      </c>
      <c r="H89" s="10"/>
      <c r="I89" s="10" t="s">
        <v>36</v>
      </c>
      <c r="J89" s="10"/>
      <c r="K89" s="10"/>
      <c r="L89" s="10">
        <f t="shared" si="22"/>
        <v>-0.30599999999999999</v>
      </c>
      <c r="M89" s="10"/>
      <c r="N89" s="10"/>
      <c r="O89" s="10">
        <v>0</v>
      </c>
      <c r="P89" s="10">
        <f t="shared" si="23"/>
        <v>-6.1199999999999997E-2</v>
      </c>
      <c r="Q89" s="12"/>
      <c r="R89" s="19">
        <v>300</v>
      </c>
      <c r="S89" s="10">
        <f t="shared" si="24"/>
        <v>0</v>
      </c>
      <c r="T89" s="10">
        <f t="shared" si="25"/>
        <v>0</v>
      </c>
      <c r="U89" s="10">
        <v>0</v>
      </c>
      <c r="V89" s="10">
        <v>0</v>
      </c>
      <c r="W89" s="10">
        <v>-0.16059999999999999</v>
      </c>
      <c r="X89" s="10">
        <v>0</v>
      </c>
      <c r="Y89" s="10">
        <v>0</v>
      </c>
      <c r="Z89" s="10">
        <v>7.1199999999999999E-2</v>
      </c>
      <c r="AA89" s="10">
        <v>0.36159999999999998</v>
      </c>
      <c r="AB89" s="10">
        <v>0</v>
      </c>
      <c r="AC89" s="10">
        <v>0</v>
      </c>
      <c r="AD89" s="10">
        <v>0</v>
      </c>
      <c r="AE89" s="13" t="s">
        <v>136</v>
      </c>
      <c r="AF89" s="10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35">
      <c r="A90" s="10" t="s">
        <v>137</v>
      </c>
      <c r="B90" s="10" t="s">
        <v>39</v>
      </c>
      <c r="C90" s="10">
        <v>146</v>
      </c>
      <c r="D90" s="10">
        <v>90</v>
      </c>
      <c r="E90" s="10">
        <v>139</v>
      </c>
      <c r="F90" s="10"/>
      <c r="G90" s="11">
        <v>0</v>
      </c>
      <c r="H90" s="10">
        <v>50</v>
      </c>
      <c r="I90" s="10" t="s">
        <v>72</v>
      </c>
      <c r="J90" s="10"/>
      <c r="K90" s="10">
        <v>141</v>
      </c>
      <c r="L90" s="10">
        <f t="shared" si="22"/>
        <v>-2</v>
      </c>
      <c r="M90" s="10"/>
      <c r="N90" s="10"/>
      <c r="O90" s="10">
        <v>0</v>
      </c>
      <c r="P90" s="10">
        <f t="shared" si="23"/>
        <v>27.8</v>
      </c>
      <c r="Q90" s="12"/>
      <c r="R90" s="19"/>
      <c r="S90" s="10">
        <f t="shared" si="24"/>
        <v>0</v>
      </c>
      <c r="T90" s="10">
        <f t="shared" si="25"/>
        <v>0</v>
      </c>
      <c r="U90" s="10">
        <v>27.4</v>
      </c>
      <c r="V90" s="10">
        <v>19.2</v>
      </c>
      <c r="W90" s="10">
        <v>10</v>
      </c>
      <c r="X90" s="10">
        <v>35.6</v>
      </c>
      <c r="Y90" s="10">
        <v>21.6</v>
      </c>
      <c r="Z90" s="10">
        <v>6.6</v>
      </c>
      <c r="AA90" s="10">
        <v>19</v>
      </c>
      <c r="AB90" s="10">
        <v>32.4</v>
      </c>
      <c r="AC90" s="10">
        <v>15.4</v>
      </c>
      <c r="AD90" s="10">
        <v>20.6</v>
      </c>
      <c r="AE90" s="10"/>
      <c r="AF90" s="10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35">
      <c r="A91" s="10" t="s">
        <v>138</v>
      </c>
      <c r="B91" s="10" t="s">
        <v>39</v>
      </c>
      <c r="C91" s="10">
        <v>12</v>
      </c>
      <c r="D91" s="10">
        <v>28</v>
      </c>
      <c r="E91" s="10"/>
      <c r="F91" s="10"/>
      <c r="G91" s="11">
        <v>0</v>
      </c>
      <c r="H91" s="10">
        <v>50</v>
      </c>
      <c r="I91" s="10" t="s">
        <v>55</v>
      </c>
      <c r="J91" s="10"/>
      <c r="K91" s="10">
        <v>31</v>
      </c>
      <c r="L91" s="10">
        <f t="shared" si="22"/>
        <v>-31</v>
      </c>
      <c r="M91" s="10"/>
      <c r="N91" s="10"/>
      <c r="O91" s="10">
        <v>0</v>
      </c>
      <c r="P91" s="10">
        <f t="shared" si="23"/>
        <v>0</v>
      </c>
      <c r="Q91" s="12"/>
      <c r="R91" s="19"/>
      <c r="S91" s="10" t="e">
        <f t="shared" si="24"/>
        <v>#DIV/0!</v>
      </c>
      <c r="T91" s="10" t="e">
        <f t="shared" si="25"/>
        <v>#DIV/0!</v>
      </c>
      <c r="U91" s="10">
        <v>0</v>
      </c>
      <c r="V91" s="10">
        <v>0</v>
      </c>
      <c r="W91" s="10">
        <v>0</v>
      </c>
      <c r="X91" s="10">
        <v>0.4</v>
      </c>
      <c r="Y91" s="10">
        <v>0</v>
      </c>
      <c r="Z91" s="10">
        <v>0</v>
      </c>
      <c r="AA91" s="10">
        <v>12.6</v>
      </c>
      <c r="AB91" s="10">
        <v>8.8000000000000007</v>
      </c>
      <c r="AC91" s="10">
        <v>8</v>
      </c>
      <c r="AD91" s="10">
        <v>11</v>
      </c>
      <c r="AE91" s="10"/>
      <c r="AF91" s="10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35">
      <c r="A92" s="10" t="s">
        <v>139</v>
      </c>
      <c r="B92" s="10" t="s">
        <v>39</v>
      </c>
      <c r="C92" s="10">
        <v>1</v>
      </c>
      <c r="D92" s="10">
        <v>5</v>
      </c>
      <c r="E92" s="10">
        <v>-1</v>
      </c>
      <c r="F92" s="10"/>
      <c r="G92" s="11">
        <v>0</v>
      </c>
      <c r="H92" s="10">
        <v>60</v>
      </c>
      <c r="I92" s="10" t="s">
        <v>55</v>
      </c>
      <c r="J92" s="10"/>
      <c r="K92" s="10">
        <v>38</v>
      </c>
      <c r="L92" s="10">
        <f t="shared" si="22"/>
        <v>-39</v>
      </c>
      <c r="M92" s="10"/>
      <c r="N92" s="10"/>
      <c r="O92" s="10">
        <v>0</v>
      </c>
      <c r="P92" s="10">
        <f t="shared" si="23"/>
        <v>-0.2</v>
      </c>
      <c r="Q92" s="12"/>
      <c r="R92" s="19"/>
      <c r="S92" s="10">
        <f t="shared" si="24"/>
        <v>0</v>
      </c>
      <c r="T92" s="10">
        <f t="shared" si="25"/>
        <v>0</v>
      </c>
      <c r="U92" s="10">
        <v>0</v>
      </c>
      <c r="V92" s="10">
        <v>1.4</v>
      </c>
      <c r="W92" s="10">
        <v>1.8</v>
      </c>
      <c r="X92" s="10">
        <v>0.4</v>
      </c>
      <c r="Y92" s="10">
        <v>3.8</v>
      </c>
      <c r="Z92" s="10">
        <v>6.6</v>
      </c>
      <c r="AA92" s="10">
        <v>2.2000000000000002</v>
      </c>
      <c r="AB92" s="10">
        <v>2.8</v>
      </c>
      <c r="AC92" s="10">
        <v>3.6</v>
      </c>
      <c r="AD92" s="10">
        <v>8</v>
      </c>
      <c r="AE92" s="10"/>
      <c r="AF92" s="10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35">
      <c r="A93" s="8" t="s">
        <v>140</v>
      </c>
      <c r="B93" s="8" t="s">
        <v>39</v>
      </c>
      <c r="C93" s="8"/>
      <c r="D93" s="8">
        <v>144</v>
      </c>
      <c r="E93" s="8">
        <v>26</v>
      </c>
      <c r="F93" s="8">
        <v>118</v>
      </c>
      <c r="G93" s="6">
        <v>0.33800000000000002</v>
      </c>
      <c r="H93" s="8" t="s">
        <v>141</v>
      </c>
      <c r="I93" s="8" t="s">
        <v>36</v>
      </c>
      <c r="J93" s="8"/>
      <c r="K93" s="8">
        <v>24</v>
      </c>
      <c r="L93" s="8">
        <f t="shared" si="22"/>
        <v>2</v>
      </c>
      <c r="M93" s="8"/>
      <c r="N93" s="8"/>
      <c r="O93" s="8">
        <v>0</v>
      </c>
      <c r="P93" s="8">
        <f t="shared" si="23"/>
        <v>5.2</v>
      </c>
      <c r="Q93" s="4"/>
      <c r="R93" s="18">
        <v>150</v>
      </c>
      <c r="S93" s="8">
        <f t="shared" si="24"/>
        <v>22.69230769230769</v>
      </c>
      <c r="T93" s="8">
        <f t="shared" si="25"/>
        <v>22.69230769230769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 t="s">
        <v>37</v>
      </c>
      <c r="AF93" s="8">
        <f t="shared" ref="AF93:AF99" si="30">G93*Q93</f>
        <v>0</v>
      </c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35">
      <c r="A94" s="8" t="s">
        <v>142</v>
      </c>
      <c r="B94" s="8" t="s">
        <v>39</v>
      </c>
      <c r="C94" s="8"/>
      <c r="D94" s="8">
        <v>144</v>
      </c>
      <c r="E94" s="8">
        <v>24</v>
      </c>
      <c r="F94" s="8">
        <v>120</v>
      </c>
      <c r="G94" s="6">
        <v>0.32500000000000001</v>
      </c>
      <c r="H94" s="8" t="s">
        <v>141</v>
      </c>
      <c r="I94" s="8" t="s">
        <v>36</v>
      </c>
      <c r="J94" s="8"/>
      <c r="K94" s="8">
        <v>24</v>
      </c>
      <c r="L94" s="8">
        <f t="shared" si="22"/>
        <v>0</v>
      </c>
      <c r="M94" s="8"/>
      <c r="N94" s="8"/>
      <c r="O94" s="8">
        <v>0</v>
      </c>
      <c r="P94" s="8">
        <f t="shared" si="23"/>
        <v>4.8</v>
      </c>
      <c r="Q94" s="4"/>
      <c r="R94" s="18">
        <v>150</v>
      </c>
      <c r="S94" s="8">
        <f t="shared" si="24"/>
        <v>25</v>
      </c>
      <c r="T94" s="8">
        <f t="shared" si="25"/>
        <v>25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 t="s">
        <v>37</v>
      </c>
      <c r="AF94" s="8">
        <f t="shared" si="30"/>
        <v>0</v>
      </c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35">
      <c r="A95" s="8" t="s">
        <v>143</v>
      </c>
      <c r="B95" s="8" t="s">
        <v>39</v>
      </c>
      <c r="C95" s="8">
        <v>389</v>
      </c>
      <c r="D95" s="8">
        <v>414</v>
      </c>
      <c r="E95" s="8">
        <v>137</v>
      </c>
      <c r="F95" s="8">
        <v>426</v>
      </c>
      <c r="G95" s="6">
        <v>0.12</v>
      </c>
      <c r="H95" s="8">
        <v>60</v>
      </c>
      <c r="I95" s="8" t="s">
        <v>36</v>
      </c>
      <c r="J95" s="8"/>
      <c r="K95" s="8">
        <v>150</v>
      </c>
      <c r="L95" s="8">
        <f t="shared" si="22"/>
        <v>-13</v>
      </c>
      <c r="M95" s="8"/>
      <c r="N95" s="8"/>
      <c r="O95" s="8">
        <v>0</v>
      </c>
      <c r="P95" s="8">
        <f t="shared" si="23"/>
        <v>27.4</v>
      </c>
      <c r="Q95" s="4"/>
      <c r="R95" s="18"/>
      <c r="S95" s="8">
        <f t="shared" si="24"/>
        <v>15.547445255474454</v>
      </c>
      <c r="T95" s="8">
        <f t="shared" si="25"/>
        <v>15.547445255474454</v>
      </c>
      <c r="U95" s="8">
        <v>18.600000000000001</v>
      </c>
      <c r="V95" s="8">
        <v>45.4</v>
      </c>
      <c r="W95" s="8">
        <v>50.6</v>
      </c>
      <c r="X95" s="8">
        <v>16.8</v>
      </c>
      <c r="Y95" s="8">
        <v>19</v>
      </c>
      <c r="Z95" s="8">
        <v>57.6</v>
      </c>
      <c r="AA95" s="8">
        <v>42.4</v>
      </c>
      <c r="AB95" s="8">
        <v>38.200000000000003</v>
      </c>
      <c r="AC95" s="8">
        <v>45.6</v>
      </c>
      <c r="AD95" s="8">
        <v>49.6</v>
      </c>
      <c r="AE95" s="15" t="s">
        <v>40</v>
      </c>
      <c r="AF95" s="8">
        <f t="shared" si="30"/>
        <v>0</v>
      </c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35">
      <c r="A96" s="8" t="s">
        <v>144</v>
      </c>
      <c r="B96" s="8" t="s">
        <v>39</v>
      </c>
      <c r="C96" s="8"/>
      <c r="D96" s="8">
        <v>99</v>
      </c>
      <c r="E96" s="8">
        <v>14</v>
      </c>
      <c r="F96" s="8">
        <v>82</v>
      </c>
      <c r="G96" s="6">
        <v>0.15</v>
      </c>
      <c r="H96" s="8">
        <v>90</v>
      </c>
      <c r="I96" s="8" t="s">
        <v>36</v>
      </c>
      <c r="J96" s="8"/>
      <c r="K96" s="8">
        <v>14</v>
      </c>
      <c r="L96" s="8">
        <f t="shared" si="22"/>
        <v>0</v>
      </c>
      <c r="M96" s="8"/>
      <c r="N96" s="8"/>
      <c r="O96" s="8">
        <v>0</v>
      </c>
      <c r="P96" s="8">
        <f t="shared" si="23"/>
        <v>2.8</v>
      </c>
      <c r="Q96" s="4"/>
      <c r="R96" s="18">
        <v>250</v>
      </c>
      <c r="S96" s="8">
        <f t="shared" si="24"/>
        <v>29.285714285714288</v>
      </c>
      <c r="T96" s="8">
        <f t="shared" si="25"/>
        <v>29.285714285714288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 t="s">
        <v>37</v>
      </c>
      <c r="AF96" s="8">
        <f t="shared" si="30"/>
        <v>0</v>
      </c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35">
      <c r="A97" s="8" t="s">
        <v>145</v>
      </c>
      <c r="B97" s="8" t="s">
        <v>39</v>
      </c>
      <c r="C97" s="8"/>
      <c r="D97" s="8">
        <v>96</v>
      </c>
      <c r="E97" s="8">
        <v>13</v>
      </c>
      <c r="F97" s="8">
        <v>69</v>
      </c>
      <c r="G97" s="6">
        <v>0.15</v>
      </c>
      <c r="H97" s="8">
        <v>90</v>
      </c>
      <c r="I97" s="8" t="s">
        <v>36</v>
      </c>
      <c r="J97" s="8"/>
      <c r="K97" s="8">
        <v>13</v>
      </c>
      <c r="L97" s="8">
        <f t="shared" si="22"/>
        <v>0</v>
      </c>
      <c r="M97" s="8"/>
      <c r="N97" s="8"/>
      <c r="O97" s="8">
        <v>0</v>
      </c>
      <c r="P97" s="8">
        <f t="shared" si="23"/>
        <v>2.6</v>
      </c>
      <c r="Q97" s="4"/>
      <c r="R97" s="18">
        <v>250</v>
      </c>
      <c r="S97" s="8">
        <f t="shared" si="24"/>
        <v>26.538461538461537</v>
      </c>
      <c r="T97" s="8">
        <f t="shared" si="25"/>
        <v>26.538461538461537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 t="s">
        <v>37</v>
      </c>
      <c r="AF97" s="8">
        <f t="shared" si="30"/>
        <v>0</v>
      </c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35">
      <c r="A98" s="8" t="s">
        <v>146</v>
      </c>
      <c r="B98" s="8" t="s">
        <v>39</v>
      </c>
      <c r="C98" s="8">
        <v>-25</v>
      </c>
      <c r="D98" s="8">
        <v>96</v>
      </c>
      <c r="E98" s="8">
        <v>23</v>
      </c>
      <c r="F98" s="8">
        <v>44</v>
      </c>
      <c r="G98" s="6">
        <v>0.33</v>
      </c>
      <c r="H98" s="8">
        <v>30</v>
      </c>
      <c r="I98" s="8" t="s">
        <v>36</v>
      </c>
      <c r="J98" s="8"/>
      <c r="K98" s="8">
        <v>36</v>
      </c>
      <c r="L98" s="8">
        <f t="shared" si="22"/>
        <v>-13</v>
      </c>
      <c r="M98" s="8"/>
      <c r="N98" s="8"/>
      <c r="O98" s="8">
        <v>74</v>
      </c>
      <c r="P98" s="8">
        <f t="shared" si="23"/>
        <v>4.5999999999999996</v>
      </c>
      <c r="Q98" s="4"/>
      <c r="R98" s="18"/>
      <c r="S98" s="8">
        <f t="shared" si="24"/>
        <v>25.65217391304348</v>
      </c>
      <c r="T98" s="8">
        <f t="shared" si="25"/>
        <v>25.65217391304348</v>
      </c>
      <c r="U98" s="8">
        <v>9.6</v>
      </c>
      <c r="V98" s="8">
        <v>7</v>
      </c>
      <c r="W98" s="8">
        <v>10.8</v>
      </c>
      <c r="X98" s="8">
        <v>7</v>
      </c>
      <c r="Y98" s="8">
        <v>8.8000000000000007</v>
      </c>
      <c r="Z98" s="8">
        <v>2.6</v>
      </c>
      <c r="AA98" s="8">
        <v>4.4000000000000004</v>
      </c>
      <c r="AB98" s="8">
        <v>17.399999999999999</v>
      </c>
      <c r="AC98" s="8">
        <v>13.8</v>
      </c>
      <c r="AD98" s="8">
        <v>12.2</v>
      </c>
      <c r="AE98" s="8" t="s">
        <v>147</v>
      </c>
      <c r="AF98" s="8">
        <f t="shared" si="30"/>
        <v>0</v>
      </c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35">
      <c r="A99" s="8" t="s">
        <v>148</v>
      </c>
      <c r="B99" s="8" t="s">
        <v>39</v>
      </c>
      <c r="C99" s="8"/>
      <c r="D99" s="8">
        <v>90</v>
      </c>
      <c r="E99" s="8">
        <v>7</v>
      </c>
      <c r="F99" s="8">
        <v>83</v>
      </c>
      <c r="G99" s="6">
        <v>0.15</v>
      </c>
      <c r="H99" s="8">
        <v>60</v>
      </c>
      <c r="I99" s="8" t="s">
        <v>36</v>
      </c>
      <c r="J99" s="8"/>
      <c r="K99" s="8">
        <v>7</v>
      </c>
      <c r="L99" s="8">
        <f t="shared" si="22"/>
        <v>0</v>
      </c>
      <c r="M99" s="8"/>
      <c r="N99" s="8"/>
      <c r="O99" s="8">
        <v>0</v>
      </c>
      <c r="P99" s="8">
        <f t="shared" si="23"/>
        <v>1.4</v>
      </c>
      <c r="Q99" s="4"/>
      <c r="R99" s="18">
        <v>250</v>
      </c>
      <c r="S99" s="8">
        <f t="shared" si="24"/>
        <v>59.285714285714292</v>
      </c>
      <c r="T99" s="8">
        <f t="shared" si="25"/>
        <v>59.285714285714292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 t="s">
        <v>149</v>
      </c>
      <c r="AF99" s="8">
        <f t="shared" si="30"/>
        <v>0</v>
      </c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35">
      <c r="A100" s="10" t="s">
        <v>150</v>
      </c>
      <c r="B100" s="10" t="s">
        <v>39</v>
      </c>
      <c r="C100" s="10">
        <v>-7</v>
      </c>
      <c r="D100" s="10">
        <v>7</v>
      </c>
      <c r="E100" s="10">
        <v>-1</v>
      </c>
      <c r="F100" s="10"/>
      <c r="G100" s="11">
        <v>0</v>
      </c>
      <c r="H100" s="10">
        <v>45</v>
      </c>
      <c r="I100" s="10" t="s">
        <v>72</v>
      </c>
      <c r="J100" s="10"/>
      <c r="K100" s="10"/>
      <c r="L100" s="10">
        <f t="shared" si="22"/>
        <v>-1</v>
      </c>
      <c r="M100" s="10"/>
      <c r="N100" s="10"/>
      <c r="O100" s="10">
        <v>0</v>
      </c>
      <c r="P100" s="10">
        <f t="shared" si="23"/>
        <v>-0.2</v>
      </c>
      <c r="Q100" s="12"/>
      <c r="R100" s="19"/>
      <c r="S100" s="10">
        <f t="shared" si="24"/>
        <v>0</v>
      </c>
      <c r="T100" s="10">
        <f t="shared" si="25"/>
        <v>0</v>
      </c>
      <c r="U100" s="10">
        <v>0</v>
      </c>
      <c r="V100" s="10">
        <v>0</v>
      </c>
      <c r="W100" s="10">
        <v>-0.6</v>
      </c>
      <c r="X100" s="10">
        <v>-1</v>
      </c>
      <c r="Y100" s="10">
        <v>2.4</v>
      </c>
      <c r="Z100" s="10">
        <v>8.4</v>
      </c>
      <c r="AA100" s="10">
        <v>8.1999999999999993</v>
      </c>
      <c r="AB100" s="10">
        <v>3.2</v>
      </c>
      <c r="AC100" s="10">
        <v>1.8</v>
      </c>
      <c r="AD100" s="10">
        <v>4</v>
      </c>
      <c r="AE100" s="10" t="s">
        <v>72</v>
      </c>
      <c r="AF100" s="10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35">
      <c r="A101" s="8" t="s">
        <v>151</v>
      </c>
      <c r="B101" s="8" t="s">
        <v>39</v>
      </c>
      <c r="C101" s="8"/>
      <c r="D101" s="8">
        <v>96</v>
      </c>
      <c r="E101" s="8">
        <v>10</v>
      </c>
      <c r="F101" s="8">
        <v>78</v>
      </c>
      <c r="G101" s="6">
        <v>0.26</v>
      </c>
      <c r="H101" s="8">
        <v>45</v>
      </c>
      <c r="I101" s="8" t="s">
        <v>36</v>
      </c>
      <c r="J101" s="8"/>
      <c r="K101" s="8">
        <v>10</v>
      </c>
      <c r="L101" s="8">
        <f t="shared" si="22"/>
        <v>0</v>
      </c>
      <c r="M101" s="8"/>
      <c r="N101" s="8"/>
      <c r="O101" s="8">
        <v>0</v>
      </c>
      <c r="P101" s="8">
        <f t="shared" si="23"/>
        <v>2</v>
      </c>
      <c r="Q101" s="4"/>
      <c r="R101" s="18">
        <v>70</v>
      </c>
      <c r="S101" s="8">
        <f t="shared" si="24"/>
        <v>39</v>
      </c>
      <c r="T101" s="8">
        <f t="shared" si="25"/>
        <v>39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 t="s">
        <v>149</v>
      </c>
      <c r="AF101" s="8">
        <f t="shared" ref="AF101:AF109" si="31">G101*Q101</f>
        <v>0</v>
      </c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35">
      <c r="A102" s="8" t="s">
        <v>152</v>
      </c>
      <c r="B102" s="8" t="s">
        <v>35</v>
      </c>
      <c r="C102" s="8"/>
      <c r="D102" s="8">
        <v>99.688000000000002</v>
      </c>
      <c r="E102" s="8">
        <v>8.2409999999999997</v>
      </c>
      <c r="F102" s="8">
        <v>89.95</v>
      </c>
      <c r="G102" s="6">
        <v>1</v>
      </c>
      <c r="H102" s="8">
        <v>30</v>
      </c>
      <c r="I102" s="8" t="s">
        <v>36</v>
      </c>
      <c r="J102" s="8"/>
      <c r="K102" s="8">
        <v>7</v>
      </c>
      <c r="L102" s="8">
        <f t="shared" ref="L102:L119" si="32">E102-K102</f>
        <v>1.2409999999999997</v>
      </c>
      <c r="M102" s="8"/>
      <c r="N102" s="8"/>
      <c r="O102" s="8">
        <v>0</v>
      </c>
      <c r="P102" s="8">
        <f t="shared" ref="P102:P119" si="33">E102/5</f>
        <v>1.6481999999999999</v>
      </c>
      <c r="Q102" s="4"/>
      <c r="R102" s="18">
        <v>50</v>
      </c>
      <c r="S102" s="8">
        <f t="shared" ref="S102:S119" si="34">(F102+O102+Q102)/P102</f>
        <v>54.574687537920163</v>
      </c>
      <c r="T102" s="8">
        <f t="shared" ref="T102:T119" si="35">(F102+O102)/P102</f>
        <v>54.574687537920163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 t="s">
        <v>37</v>
      </c>
      <c r="AF102" s="8">
        <f t="shared" si="31"/>
        <v>0</v>
      </c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35">
      <c r="A103" s="8" t="s">
        <v>153</v>
      </c>
      <c r="B103" s="8" t="s">
        <v>39</v>
      </c>
      <c r="C103" s="8"/>
      <c r="D103" s="8">
        <v>96</v>
      </c>
      <c r="E103" s="8">
        <v>6</v>
      </c>
      <c r="F103" s="8">
        <v>90</v>
      </c>
      <c r="G103" s="6">
        <v>0.31</v>
      </c>
      <c r="H103" s="8">
        <v>45</v>
      </c>
      <c r="I103" s="8" t="s">
        <v>36</v>
      </c>
      <c r="J103" s="8"/>
      <c r="K103" s="8">
        <v>6</v>
      </c>
      <c r="L103" s="8">
        <f t="shared" si="32"/>
        <v>0</v>
      </c>
      <c r="M103" s="8"/>
      <c r="N103" s="8"/>
      <c r="O103" s="8">
        <v>0</v>
      </c>
      <c r="P103" s="8">
        <f t="shared" si="33"/>
        <v>1.2</v>
      </c>
      <c r="Q103" s="4"/>
      <c r="R103" s="18">
        <v>70</v>
      </c>
      <c r="S103" s="8">
        <f t="shared" si="34"/>
        <v>75</v>
      </c>
      <c r="T103" s="8">
        <f t="shared" si="35"/>
        <v>75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 t="s">
        <v>149</v>
      </c>
      <c r="AF103" s="8">
        <f t="shared" si="31"/>
        <v>0</v>
      </c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35">
      <c r="A104" s="8" t="s">
        <v>154</v>
      </c>
      <c r="B104" s="8" t="s">
        <v>35</v>
      </c>
      <c r="C104" s="8"/>
      <c r="D104" s="8">
        <v>104.78400000000001</v>
      </c>
      <c r="E104" s="8">
        <v>4.7050000000000001</v>
      </c>
      <c r="F104" s="8">
        <v>97.5</v>
      </c>
      <c r="G104" s="6">
        <v>1</v>
      </c>
      <c r="H104" s="8">
        <v>30</v>
      </c>
      <c r="I104" s="8" t="s">
        <v>36</v>
      </c>
      <c r="J104" s="8"/>
      <c r="K104" s="8">
        <v>7.6</v>
      </c>
      <c r="L104" s="8">
        <f t="shared" si="32"/>
        <v>-2.8949999999999996</v>
      </c>
      <c r="M104" s="8"/>
      <c r="N104" s="8"/>
      <c r="O104" s="8">
        <v>0</v>
      </c>
      <c r="P104" s="8">
        <f t="shared" si="33"/>
        <v>0.94100000000000006</v>
      </c>
      <c r="Q104" s="4"/>
      <c r="R104" s="18">
        <v>50</v>
      </c>
      <c r="S104" s="8">
        <f t="shared" si="34"/>
        <v>103.61317747077577</v>
      </c>
      <c r="T104" s="8">
        <f t="shared" si="35"/>
        <v>103.61317747077577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 t="s">
        <v>37</v>
      </c>
      <c r="AF104" s="8">
        <f t="shared" si="31"/>
        <v>0</v>
      </c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35">
      <c r="A105" s="8" t="s">
        <v>155</v>
      </c>
      <c r="B105" s="8" t="s">
        <v>39</v>
      </c>
      <c r="C105" s="8">
        <v>55</v>
      </c>
      <c r="D105" s="8">
        <v>24</v>
      </c>
      <c r="E105" s="8">
        <v>57</v>
      </c>
      <c r="F105" s="8"/>
      <c r="G105" s="6">
        <v>0.4</v>
      </c>
      <c r="H105" s="8">
        <v>60</v>
      </c>
      <c r="I105" s="8" t="s">
        <v>36</v>
      </c>
      <c r="J105" s="8"/>
      <c r="K105" s="8">
        <v>64</v>
      </c>
      <c r="L105" s="8">
        <f t="shared" si="32"/>
        <v>-7</v>
      </c>
      <c r="M105" s="8"/>
      <c r="N105" s="8"/>
      <c r="O105" s="8">
        <v>9</v>
      </c>
      <c r="P105" s="8">
        <f t="shared" si="33"/>
        <v>11.4</v>
      </c>
      <c r="Q105" s="4">
        <f>9*P105-O105-F105</f>
        <v>93.600000000000009</v>
      </c>
      <c r="R105" s="18"/>
      <c r="S105" s="8">
        <f t="shared" si="34"/>
        <v>9</v>
      </c>
      <c r="T105" s="8">
        <f t="shared" si="35"/>
        <v>0.78947368421052633</v>
      </c>
      <c r="U105" s="8">
        <v>4.5999999999999996</v>
      </c>
      <c r="V105" s="8">
        <v>2.4</v>
      </c>
      <c r="W105" s="8">
        <v>10</v>
      </c>
      <c r="X105" s="8">
        <v>2.6</v>
      </c>
      <c r="Y105" s="8">
        <v>5.2</v>
      </c>
      <c r="Z105" s="8">
        <v>0</v>
      </c>
      <c r="AA105" s="8">
        <v>4.4000000000000004</v>
      </c>
      <c r="AB105" s="8">
        <v>4</v>
      </c>
      <c r="AC105" s="8">
        <v>0</v>
      </c>
      <c r="AD105" s="8">
        <v>0</v>
      </c>
      <c r="AE105" s="8"/>
      <c r="AF105" s="8">
        <f t="shared" si="31"/>
        <v>37.440000000000005</v>
      </c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35">
      <c r="A106" s="8" t="s">
        <v>156</v>
      </c>
      <c r="B106" s="8" t="s">
        <v>39</v>
      </c>
      <c r="C106" s="8">
        <v>120</v>
      </c>
      <c r="D106" s="8">
        <v>17</v>
      </c>
      <c r="E106" s="8">
        <v>69</v>
      </c>
      <c r="F106" s="8">
        <v>51</v>
      </c>
      <c r="G106" s="6">
        <v>0.35</v>
      </c>
      <c r="H106" s="8">
        <v>60</v>
      </c>
      <c r="I106" s="8" t="s">
        <v>36</v>
      </c>
      <c r="J106" s="8"/>
      <c r="K106" s="8">
        <v>69</v>
      </c>
      <c r="L106" s="8">
        <f t="shared" si="32"/>
        <v>0</v>
      </c>
      <c r="M106" s="8"/>
      <c r="N106" s="8"/>
      <c r="O106" s="8">
        <v>0</v>
      </c>
      <c r="P106" s="8">
        <f t="shared" si="33"/>
        <v>13.8</v>
      </c>
      <c r="Q106" s="4">
        <f>12*P106-O106-F106</f>
        <v>114.60000000000002</v>
      </c>
      <c r="R106" s="18"/>
      <c r="S106" s="8">
        <f t="shared" si="34"/>
        <v>12.000000000000002</v>
      </c>
      <c r="T106" s="8">
        <f t="shared" si="35"/>
        <v>3.6956521739130435</v>
      </c>
      <c r="U106" s="8">
        <v>7</v>
      </c>
      <c r="V106" s="8">
        <v>3.8</v>
      </c>
      <c r="W106" s="8">
        <v>4</v>
      </c>
      <c r="X106" s="8">
        <v>26.8</v>
      </c>
      <c r="Y106" s="8">
        <v>5.2</v>
      </c>
      <c r="Z106" s="8">
        <v>10.8</v>
      </c>
      <c r="AA106" s="8">
        <v>5.6</v>
      </c>
      <c r="AB106" s="8">
        <v>18.600000000000001</v>
      </c>
      <c r="AC106" s="8">
        <v>11.8</v>
      </c>
      <c r="AD106" s="8">
        <v>9.4</v>
      </c>
      <c r="AE106" s="8"/>
      <c r="AF106" s="8">
        <f t="shared" si="31"/>
        <v>40.110000000000007</v>
      </c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35">
      <c r="A107" s="8" t="s">
        <v>157</v>
      </c>
      <c r="B107" s="8" t="s">
        <v>35</v>
      </c>
      <c r="C107" s="8"/>
      <c r="D107" s="8">
        <v>85.266000000000005</v>
      </c>
      <c r="E107" s="8">
        <v>2.4289999999999998</v>
      </c>
      <c r="F107" s="8">
        <v>79.900000000000006</v>
      </c>
      <c r="G107" s="6">
        <v>1</v>
      </c>
      <c r="H107" s="8">
        <v>45</v>
      </c>
      <c r="I107" s="8" t="s">
        <v>36</v>
      </c>
      <c r="J107" s="8"/>
      <c r="K107" s="8">
        <v>2</v>
      </c>
      <c r="L107" s="8">
        <f t="shared" si="32"/>
        <v>0.42899999999999983</v>
      </c>
      <c r="M107" s="8"/>
      <c r="N107" s="8"/>
      <c r="O107" s="8">
        <v>0</v>
      </c>
      <c r="P107" s="8">
        <f t="shared" si="33"/>
        <v>0.48579999999999995</v>
      </c>
      <c r="Q107" s="4"/>
      <c r="R107" s="18"/>
      <c r="S107" s="8">
        <f t="shared" si="34"/>
        <v>164.47097571016883</v>
      </c>
      <c r="T107" s="8">
        <f t="shared" si="35"/>
        <v>164.47097571016883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 t="s">
        <v>149</v>
      </c>
      <c r="AF107" s="8">
        <f t="shared" si="31"/>
        <v>0</v>
      </c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35">
      <c r="A108" s="8" t="s">
        <v>158</v>
      </c>
      <c r="B108" s="8" t="s">
        <v>35</v>
      </c>
      <c r="C108" s="8">
        <v>20.283999999999999</v>
      </c>
      <c r="D108" s="8">
        <v>10.334</v>
      </c>
      <c r="E108" s="8">
        <v>13.6</v>
      </c>
      <c r="F108" s="8">
        <v>11.901</v>
      </c>
      <c r="G108" s="6">
        <v>1</v>
      </c>
      <c r="H108" s="8"/>
      <c r="I108" s="8" t="s">
        <v>36</v>
      </c>
      <c r="J108" s="8"/>
      <c r="K108" s="8">
        <v>17.100000000000001</v>
      </c>
      <c r="L108" s="8">
        <f t="shared" si="32"/>
        <v>-3.5000000000000018</v>
      </c>
      <c r="M108" s="8"/>
      <c r="N108" s="8"/>
      <c r="O108" s="8">
        <v>0</v>
      </c>
      <c r="P108" s="8">
        <f t="shared" si="33"/>
        <v>2.7199999999999998</v>
      </c>
      <c r="Q108" s="4">
        <f>12*P108-O108-F108</f>
        <v>20.739000000000001</v>
      </c>
      <c r="R108" s="18"/>
      <c r="S108" s="8">
        <f t="shared" si="34"/>
        <v>12.000000000000002</v>
      </c>
      <c r="T108" s="8">
        <f t="shared" si="35"/>
        <v>4.3753676470588241</v>
      </c>
      <c r="U108" s="8">
        <v>1.0109999999999999</v>
      </c>
      <c r="V108" s="8">
        <v>2.1526000000000001</v>
      </c>
      <c r="W108" s="8">
        <v>3.515400000000001</v>
      </c>
      <c r="X108" s="8">
        <v>2.0004</v>
      </c>
      <c r="Y108" s="8">
        <v>0</v>
      </c>
      <c r="Z108" s="8">
        <v>0</v>
      </c>
      <c r="AA108" s="8">
        <v>4.0039999999999996</v>
      </c>
      <c r="AB108" s="8">
        <v>0</v>
      </c>
      <c r="AC108" s="8">
        <v>0</v>
      </c>
      <c r="AD108" s="8">
        <v>0</v>
      </c>
      <c r="AE108" s="8"/>
      <c r="AF108" s="8">
        <f t="shared" si="31"/>
        <v>20.739000000000001</v>
      </c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35">
      <c r="A109" s="8" t="s">
        <v>159</v>
      </c>
      <c r="B109" s="8" t="s">
        <v>39</v>
      </c>
      <c r="C109" s="8">
        <v>159</v>
      </c>
      <c r="D109" s="8">
        <v>462</v>
      </c>
      <c r="E109" s="8">
        <v>68</v>
      </c>
      <c r="F109" s="8">
        <v>275</v>
      </c>
      <c r="G109" s="6">
        <v>0.33</v>
      </c>
      <c r="H109" s="8">
        <v>45</v>
      </c>
      <c r="I109" s="8" t="s">
        <v>36</v>
      </c>
      <c r="J109" s="8"/>
      <c r="K109" s="8">
        <v>70</v>
      </c>
      <c r="L109" s="8">
        <f t="shared" si="32"/>
        <v>-2</v>
      </c>
      <c r="M109" s="8"/>
      <c r="N109" s="8"/>
      <c r="O109" s="8">
        <v>0</v>
      </c>
      <c r="P109" s="8">
        <f t="shared" si="33"/>
        <v>13.6</v>
      </c>
      <c r="Q109" s="4"/>
      <c r="R109" s="18"/>
      <c r="S109" s="8">
        <f t="shared" si="34"/>
        <v>20.22058823529412</v>
      </c>
      <c r="T109" s="8">
        <f t="shared" si="35"/>
        <v>20.22058823529412</v>
      </c>
      <c r="U109" s="8">
        <v>6.8</v>
      </c>
      <c r="V109" s="8">
        <v>25.6</v>
      </c>
      <c r="W109" s="8">
        <v>21.6</v>
      </c>
      <c r="X109" s="8">
        <v>4</v>
      </c>
      <c r="Y109" s="8">
        <v>18.600000000000001</v>
      </c>
      <c r="Z109" s="8">
        <v>16</v>
      </c>
      <c r="AA109" s="8">
        <v>0.6</v>
      </c>
      <c r="AB109" s="8">
        <v>19.2</v>
      </c>
      <c r="AC109" s="8">
        <v>23.8</v>
      </c>
      <c r="AD109" s="8">
        <v>11</v>
      </c>
      <c r="AE109" s="9" t="s">
        <v>73</v>
      </c>
      <c r="AF109" s="8">
        <f t="shared" si="31"/>
        <v>0</v>
      </c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35">
      <c r="A110" s="10" t="s">
        <v>75</v>
      </c>
      <c r="B110" s="10" t="s">
        <v>39</v>
      </c>
      <c r="C110" s="10">
        <v>16</v>
      </c>
      <c r="D110" s="10">
        <v>35</v>
      </c>
      <c r="E110" s="10">
        <v>15</v>
      </c>
      <c r="F110" s="10"/>
      <c r="G110" s="11">
        <v>0</v>
      </c>
      <c r="H110" s="10">
        <v>45</v>
      </c>
      <c r="I110" s="10" t="s">
        <v>72</v>
      </c>
      <c r="J110" s="10"/>
      <c r="K110" s="10">
        <v>28</v>
      </c>
      <c r="L110" s="10">
        <f t="shared" si="32"/>
        <v>-13</v>
      </c>
      <c r="M110" s="10"/>
      <c r="N110" s="10"/>
      <c r="O110" s="10">
        <v>0</v>
      </c>
      <c r="P110" s="10">
        <f t="shared" si="33"/>
        <v>3</v>
      </c>
      <c r="Q110" s="12"/>
      <c r="R110" s="19"/>
      <c r="S110" s="10">
        <f t="shared" si="34"/>
        <v>0</v>
      </c>
      <c r="T110" s="10">
        <f t="shared" si="35"/>
        <v>0</v>
      </c>
      <c r="U110" s="10">
        <v>6.4</v>
      </c>
      <c r="V110" s="10">
        <v>0.4</v>
      </c>
      <c r="W110" s="10">
        <v>1.8</v>
      </c>
      <c r="X110" s="10">
        <v>6.6</v>
      </c>
      <c r="Y110" s="10">
        <v>3.4</v>
      </c>
      <c r="Z110" s="10">
        <v>3.4</v>
      </c>
      <c r="AA110" s="10">
        <v>4</v>
      </c>
      <c r="AB110" s="10">
        <v>2.8</v>
      </c>
      <c r="AC110" s="10">
        <v>0</v>
      </c>
      <c r="AD110" s="10">
        <v>0</v>
      </c>
      <c r="AE110" s="10"/>
      <c r="AF110" s="10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35">
      <c r="A111" s="10" t="s">
        <v>133</v>
      </c>
      <c r="B111" s="10" t="s">
        <v>39</v>
      </c>
      <c r="C111" s="10">
        <v>18</v>
      </c>
      <c r="D111" s="10">
        <v>15</v>
      </c>
      <c r="E111" s="10">
        <v>3</v>
      </c>
      <c r="F111" s="10"/>
      <c r="G111" s="11">
        <v>0</v>
      </c>
      <c r="H111" s="10">
        <v>60</v>
      </c>
      <c r="I111" s="10" t="s">
        <v>72</v>
      </c>
      <c r="J111" s="10"/>
      <c r="K111" s="10">
        <v>41</v>
      </c>
      <c r="L111" s="10">
        <f t="shared" si="32"/>
        <v>-38</v>
      </c>
      <c r="M111" s="10"/>
      <c r="N111" s="10"/>
      <c r="O111" s="10">
        <v>0</v>
      </c>
      <c r="P111" s="10">
        <f t="shared" si="33"/>
        <v>0.6</v>
      </c>
      <c r="Q111" s="12"/>
      <c r="R111" s="19"/>
      <c r="S111" s="10">
        <f t="shared" si="34"/>
        <v>0</v>
      </c>
      <c r="T111" s="10">
        <f t="shared" si="35"/>
        <v>0</v>
      </c>
      <c r="U111" s="10">
        <v>5.4</v>
      </c>
      <c r="V111" s="10">
        <v>5.2</v>
      </c>
      <c r="W111" s="10">
        <v>0.6</v>
      </c>
      <c r="X111" s="10">
        <v>7.4</v>
      </c>
      <c r="Y111" s="10">
        <v>4.4000000000000004</v>
      </c>
      <c r="Z111" s="10">
        <v>5</v>
      </c>
      <c r="AA111" s="10">
        <v>5.6</v>
      </c>
      <c r="AB111" s="10">
        <v>7.2</v>
      </c>
      <c r="AC111" s="10">
        <v>0</v>
      </c>
      <c r="AD111" s="10">
        <v>0</v>
      </c>
      <c r="AE111" s="10"/>
      <c r="AF111" s="10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35">
      <c r="A112" s="8" t="s">
        <v>160</v>
      </c>
      <c r="B112" s="8" t="s">
        <v>39</v>
      </c>
      <c r="C112" s="8">
        <v>403</v>
      </c>
      <c r="D112" s="8">
        <v>12</v>
      </c>
      <c r="E112" s="8">
        <v>139</v>
      </c>
      <c r="F112" s="8">
        <v>249</v>
      </c>
      <c r="G112" s="6">
        <v>0.1</v>
      </c>
      <c r="H112" s="8">
        <v>60</v>
      </c>
      <c r="I112" s="8" t="s">
        <v>36</v>
      </c>
      <c r="J112" s="8"/>
      <c r="K112" s="8">
        <v>141</v>
      </c>
      <c r="L112" s="8">
        <f t="shared" si="32"/>
        <v>-2</v>
      </c>
      <c r="M112" s="8"/>
      <c r="N112" s="8"/>
      <c r="O112" s="8">
        <v>0</v>
      </c>
      <c r="P112" s="8">
        <f t="shared" si="33"/>
        <v>27.8</v>
      </c>
      <c r="Q112" s="4">
        <f t="shared" ref="Q112:Q114" si="36">15*P112-O112-F112</f>
        <v>168</v>
      </c>
      <c r="R112" s="18"/>
      <c r="S112" s="8">
        <f t="shared" si="34"/>
        <v>15</v>
      </c>
      <c r="T112" s="8">
        <f t="shared" si="35"/>
        <v>8.956834532374101</v>
      </c>
      <c r="U112" s="8">
        <v>5</v>
      </c>
      <c r="V112" s="8">
        <v>27.4</v>
      </c>
      <c r="W112" s="8">
        <v>52.2</v>
      </c>
      <c r="X112" s="8">
        <v>26.4</v>
      </c>
      <c r="Y112" s="8">
        <v>28</v>
      </c>
      <c r="Z112" s="8">
        <v>23.8</v>
      </c>
      <c r="AA112" s="8">
        <v>39</v>
      </c>
      <c r="AB112" s="8">
        <v>39.799999999999997</v>
      </c>
      <c r="AC112" s="8">
        <v>0</v>
      </c>
      <c r="AD112" s="8">
        <v>0</v>
      </c>
      <c r="AE112" s="8"/>
      <c r="AF112" s="8">
        <f t="shared" ref="AF112:AF117" si="37">G112*Q112</f>
        <v>16.8</v>
      </c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35">
      <c r="A113" s="8" t="s">
        <v>161</v>
      </c>
      <c r="B113" s="8" t="s">
        <v>39</v>
      </c>
      <c r="C113" s="8">
        <v>75</v>
      </c>
      <c r="D113" s="8">
        <v>21</v>
      </c>
      <c r="E113" s="8">
        <v>24</v>
      </c>
      <c r="F113" s="8"/>
      <c r="G113" s="6">
        <v>0.1</v>
      </c>
      <c r="H113" s="8">
        <v>60</v>
      </c>
      <c r="I113" s="8" t="s">
        <v>36</v>
      </c>
      <c r="J113" s="8"/>
      <c r="K113" s="8">
        <v>146</v>
      </c>
      <c r="L113" s="8">
        <f t="shared" si="32"/>
        <v>-122</v>
      </c>
      <c r="M113" s="8"/>
      <c r="N113" s="8"/>
      <c r="O113" s="8">
        <v>88</v>
      </c>
      <c r="P113" s="8">
        <f t="shared" si="33"/>
        <v>4.8</v>
      </c>
      <c r="Q113" s="4">
        <v>100</v>
      </c>
      <c r="R113" s="18"/>
      <c r="S113" s="8">
        <f t="shared" si="34"/>
        <v>39.166666666666671</v>
      </c>
      <c r="T113" s="8">
        <f t="shared" si="35"/>
        <v>18.333333333333336</v>
      </c>
      <c r="U113" s="8">
        <v>11.4</v>
      </c>
      <c r="V113" s="8">
        <v>7.2</v>
      </c>
      <c r="W113" s="8">
        <v>7.2</v>
      </c>
      <c r="X113" s="8">
        <v>16</v>
      </c>
      <c r="Y113" s="8">
        <v>9.8000000000000007</v>
      </c>
      <c r="Z113" s="8">
        <v>9</v>
      </c>
      <c r="AA113" s="8">
        <v>0.8</v>
      </c>
      <c r="AB113" s="8">
        <v>9</v>
      </c>
      <c r="AC113" s="8">
        <v>0</v>
      </c>
      <c r="AD113" s="8">
        <v>0</v>
      </c>
      <c r="AE113" s="16" t="s">
        <v>174</v>
      </c>
      <c r="AF113" s="8">
        <f t="shared" si="37"/>
        <v>10</v>
      </c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35">
      <c r="A114" s="8" t="s">
        <v>162</v>
      </c>
      <c r="B114" s="8" t="s">
        <v>39</v>
      </c>
      <c r="C114" s="8">
        <v>58</v>
      </c>
      <c r="D114" s="8">
        <v>120</v>
      </c>
      <c r="E114" s="8">
        <v>56</v>
      </c>
      <c r="F114" s="8">
        <v>120</v>
      </c>
      <c r="G114" s="6">
        <v>0.4</v>
      </c>
      <c r="H114" s="8">
        <v>60</v>
      </c>
      <c r="I114" s="8" t="s">
        <v>36</v>
      </c>
      <c r="J114" s="8"/>
      <c r="K114" s="8">
        <v>58</v>
      </c>
      <c r="L114" s="8">
        <f t="shared" si="32"/>
        <v>-2</v>
      </c>
      <c r="M114" s="8"/>
      <c r="N114" s="8"/>
      <c r="O114" s="8">
        <v>34</v>
      </c>
      <c r="P114" s="8">
        <f t="shared" si="33"/>
        <v>11.2</v>
      </c>
      <c r="Q114" s="4">
        <f t="shared" si="36"/>
        <v>14</v>
      </c>
      <c r="R114" s="18"/>
      <c r="S114" s="8">
        <f t="shared" si="34"/>
        <v>15.000000000000002</v>
      </c>
      <c r="T114" s="8">
        <f t="shared" si="35"/>
        <v>13.75</v>
      </c>
      <c r="U114" s="8">
        <v>11</v>
      </c>
      <c r="V114" s="8">
        <v>11.8</v>
      </c>
      <c r="W114" s="8">
        <v>7.6</v>
      </c>
      <c r="X114" s="8">
        <v>30.8</v>
      </c>
      <c r="Y114" s="8">
        <v>17.399999999999999</v>
      </c>
      <c r="Z114" s="8">
        <v>22.8</v>
      </c>
      <c r="AA114" s="8">
        <v>16.8</v>
      </c>
      <c r="AB114" s="8">
        <v>27.4</v>
      </c>
      <c r="AC114" s="8">
        <v>8.8000000000000007</v>
      </c>
      <c r="AD114" s="8">
        <v>0</v>
      </c>
      <c r="AE114" s="8" t="s">
        <v>163</v>
      </c>
      <c r="AF114" s="8">
        <f t="shared" si="37"/>
        <v>5.6000000000000005</v>
      </c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35">
      <c r="A115" s="8" t="s">
        <v>164</v>
      </c>
      <c r="B115" s="8" t="s">
        <v>39</v>
      </c>
      <c r="C115" s="8">
        <v>11</v>
      </c>
      <c r="D115" s="8"/>
      <c r="E115" s="8">
        <v>9</v>
      </c>
      <c r="F115" s="8">
        <v>1</v>
      </c>
      <c r="G115" s="6">
        <v>0.1</v>
      </c>
      <c r="H115" s="8"/>
      <c r="I115" s="8" t="s">
        <v>36</v>
      </c>
      <c r="J115" s="8"/>
      <c r="K115" s="8">
        <v>10</v>
      </c>
      <c r="L115" s="8">
        <f t="shared" si="32"/>
        <v>-1</v>
      </c>
      <c r="M115" s="8"/>
      <c r="N115" s="8"/>
      <c r="O115" s="8">
        <v>0</v>
      </c>
      <c r="P115" s="8">
        <f t="shared" si="33"/>
        <v>1.8</v>
      </c>
      <c r="Q115" s="4">
        <f>9*P115-O115-F115</f>
        <v>15.2</v>
      </c>
      <c r="R115" s="18"/>
      <c r="S115" s="8">
        <f t="shared" si="34"/>
        <v>9</v>
      </c>
      <c r="T115" s="8">
        <f t="shared" si="35"/>
        <v>0.55555555555555558</v>
      </c>
      <c r="U115" s="8">
        <v>0.6</v>
      </c>
      <c r="V115" s="8">
        <v>-0.6</v>
      </c>
      <c r="W115" s="8">
        <v>2.4</v>
      </c>
      <c r="X115" s="8">
        <v>3.2</v>
      </c>
      <c r="Y115" s="8">
        <v>5</v>
      </c>
      <c r="Z115" s="8">
        <v>0.2</v>
      </c>
      <c r="AA115" s="8">
        <v>0</v>
      </c>
      <c r="AB115" s="8">
        <v>0</v>
      </c>
      <c r="AC115" s="8">
        <v>0</v>
      </c>
      <c r="AD115" s="8">
        <v>0</v>
      </c>
      <c r="AE115" s="8" t="s">
        <v>165</v>
      </c>
      <c r="AF115" s="8">
        <f t="shared" si="37"/>
        <v>1.52</v>
      </c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35">
      <c r="A116" s="8" t="s">
        <v>166</v>
      </c>
      <c r="B116" s="8" t="s">
        <v>39</v>
      </c>
      <c r="C116" s="8">
        <v>3</v>
      </c>
      <c r="D116" s="8">
        <v>1</v>
      </c>
      <c r="E116" s="8">
        <v>3</v>
      </c>
      <c r="F116" s="8"/>
      <c r="G116" s="6">
        <v>0.1</v>
      </c>
      <c r="H116" s="8"/>
      <c r="I116" s="8" t="s">
        <v>36</v>
      </c>
      <c r="J116" s="8"/>
      <c r="K116" s="8">
        <v>3</v>
      </c>
      <c r="L116" s="8">
        <f t="shared" si="32"/>
        <v>0</v>
      </c>
      <c r="M116" s="8"/>
      <c r="N116" s="8"/>
      <c r="O116" s="8">
        <v>8</v>
      </c>
      <c r="P116" s="8">
        <f t="shared" si="33"/>
        <v>0.6</v>
      </c>
      <c r="Q116" s="4"/>
      <c r="R116" s="18"/>
      <c r="S116" s="8">
        <f t="shared" si="34"/>
        <v>13.333333333333334</v>
      </c>
      <c r="T116" s="8">
        <f t="shared" si="35"/>
        <v>13.333333333333334</v>
      </c>
      <c r="U116" s="8">
        <v>0.8</v>
      </c>
      <c r="V116" s="8">
        <v>0</v>
      </c>
      <c r="W116" s="8">
        <v>0.8</v>
      </c>
      <c r="X116" s="8">
        <v>2.4</v>
      </c>
      <c r="Y116" s="8">
        <v>4.5999999999999996</v>
      </c>
      <c r="Z116" s="8">
        <v>0.4</v>
      </c>
      <c r="AA116" s="8">
        <v>0</v>
      </c>
      <c r="AB116" s="8">
        <v>0</v>
      </c>
      <c r="AC116" s="8">
        <v>0</v>
      </c>
      <c r="AD116" s="8">
        <v>0</v>
      </c>
      <c r="AE116" s="8" t="s">
        <v>167</v>
      </c>
      <c r="AF116" s="8">
        <f t="shared" si="37"/>
        <v>0</v>
      </c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35">
      <c r="A117" s="8" t="s">
        <v>168</v>
      </c>
      <c r="B117" s="8" t="s">
        <v>39</v>
      </c>
      <c r="C117" s="8"/>
      <c r="D117" s="8">
        <v>96</v>
      </c>
      <c r="E117" s="8">
        <v>18</v>
      </c>
      <c r="F117" s="8">
        <v>76</v>
      </c>
      <c r="G117" s="6">
        <v>0.3</v>
      </c>
      <c r="H117" s="8">
        <v>45</v>
      </c>
      <c r="I117" s="8" t="s">
        <v>36</v>
      </c>
      <c r="J117" s="8"/>
      <c r="K117" s="8">
        <v>18</v>
      </c>
      <c r="L117" s="8">
        <f t="shared" si="32"/>
        <v>0</v>
      </c>
      <c r="M117" s="8"/>
      <c r="N117" s="8"/>
      <c r="O117" s="8">
        <v>0</v>
      </c>
      <c r="P117" s="8">
        <f t="shared" si="33"/>
        <v>3.6</v>
      </c>
      <c r="Q117" s="4"/>
      <c r="R117" s="18"/>
      <c r="S117" s="8">
        <f t="shared" si="34"/>
        <v>21.111111111111111</v>
      </c>
      <c r="T117" s="8">
        <f t="shared" si="35"/>
        <v>21.111111111111111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 t="s">
        <v>37</v>
      </c>
      <c r="AF117" s="8">
        <f t="shared" si="37"/>
        <v>0</v>
      </c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35">
      <c r="A118" s="10" t="s">
        <v>169</v>
      </c>
      <c r="B118" s="10" t="s">
        <v>35</v>
      </c>
      <c r="C118" s="10"/>
      <c r="D118" s="10"/>
      <c r="E118" s="10"/>
      <c r="F118" s="10"/>
      <c r="G118" s="11">
        <v>0</v>
      </c>
      <c r="H118" s="10"/>
      <c r="I118" s="10" t="s">
        <v>36</v>
      </c>
      <c r="J118" s="10"/>
      <c r="K118" s="10"/>
      <c r="L118" s="10">
        <f t="shared" si="32"/>
        <v>0</v>
      </c>
      <c r="M118" s="10"/>
      <c r="N118" s="10"/>
      <c r="O118" s="10">
        <v>0</v>
      </c>
      <c r="P118" s="10">
        <f t="shared" si="33"/>
        <v>0</v>
      </c>
      <c r="Q118" s="12"/>
      <c r="R118" s="19"/>
      <c r="S118" s="10" t="e">
        <f t="shared" si="34"/>
        <v>#DIV/0!</v>
      </c>
      <c r="T118" s="10" t="e">
        <f t="shared" si="35"/>
        <v>#DIV/0!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 t="s">
        <v>86</v>
      </c>
      <c r="AF118" s="10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35">
      <c r="A119" s="10" t="s">
        <v>170</v>
      </c>
      <c r="B119" s="10" t="s">
        <v>39</v>
      </c>
      <c r="C119" s="10">
        <v>22</v>
      </c>
      <c r="D119" s="10">
        <v>7</v>
      </c>
      <c r="E119" s="10"/>
      <c r="F119" s="14">
        <v>29</v>
      </c>
      <c r="G119" s="11">
        <v>0</v>
      </c>
      <c r="H119" s="10"/>
      <c r="I119" s="10" t="s">
        <v>171</v>
      </c>
      <c r="J119" s="10" t="s">
        <v>108</v>
      </c>
      <c r="K119" s="10"/>
      <c r="L119" s="10">
        <f t="shared" si="32"/>
        <v>0</v>
      </c>
      <c r="M119" s="10"/>
      <c r="N119" s="10"/>
      <c r="O119" s="10">
        <v>0</v>
      </c>
      <c r="P119" s="10">
        <f t="shared" si="33"/>
        <v>0</v>
      </c>
      <c r="Q119" s="12"/>
      <c r="R119" s="19"/>
      <c r="S119" s="10" t="e">
        <f t="shared" si="34"/>
        <v>#DIV/0!</v>
      </c>
      <c r="T119" s="10" t="e">
        <f t="shared" si="35"/>
        <v>#DIV/0!</v>
      </c>
      <c r="U119" s="10">
        <v>0</v>
      </c>
      <c r="V119" s="10">
        <v>0</v>
      </c>
      <c r="W119" s="10">
        <v>0</v>
      </c>
      <c r="X119" s="10">
        <v>1.4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/>
      <c r="AF119" s="10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3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3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3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3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3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3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3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3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3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3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3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3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3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3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3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3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3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3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3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3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3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3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3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3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3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3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3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3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3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3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3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3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3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3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3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3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3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3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3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3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3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3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3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3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3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3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3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3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3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3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3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3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3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3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3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3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3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3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3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3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3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3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3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3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3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3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3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3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3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3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3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3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3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3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3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3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3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3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3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3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3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3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3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3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3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3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3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3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3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3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3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3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3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3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3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3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3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3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3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3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3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3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3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3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3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3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3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3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3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3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3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3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3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3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3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3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3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3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3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3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3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3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3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3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3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3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3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3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3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3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3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3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3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3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3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3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3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3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3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3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3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3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3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3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3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3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3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3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3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3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3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3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3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3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3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3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3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3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3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3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3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3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3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3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3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3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3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3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3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3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3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3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3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3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3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3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3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3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3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3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3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3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3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3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3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3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3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3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3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3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3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3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3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3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3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3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3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3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3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3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3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3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3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3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3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3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3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3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3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3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3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3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3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3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3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3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3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3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3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3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3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3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3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3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3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3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3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3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3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3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3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3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3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3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3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3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3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3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3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3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3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3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3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3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3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3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3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3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3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3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3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3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3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3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3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3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3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3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3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3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3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3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3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3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3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3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3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3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3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3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3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3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3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3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3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3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3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3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3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3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3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3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3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3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3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3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3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3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3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3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3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3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3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3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3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3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3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3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3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3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3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3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3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3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3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3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3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3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3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3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3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3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3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3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3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3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3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3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3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3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3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3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3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3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3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3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3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3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3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3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3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3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3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3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3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3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3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3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3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3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3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3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3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3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3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3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3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3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3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3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3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3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3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3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3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3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3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3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3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3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3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3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3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3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3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</sheetData>
  <autoFilter ref="A3:AF11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2026-09-14T12:41:07Z</dcterms:created>
  <dcterms:modified xsi:type="dcterms:W3CDTF">2026-09-15T07:02:38Z</dcterms:modified>
</cp:coreProperties>
</file>