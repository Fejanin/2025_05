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9,26\21,09,26 Останкино КИ и ЗПФ\"/>
    </mc:Choice>
  </mc:AlternateContent>
  <xr:revisionPtr revIDLastSave="0" documentId="13_ncr:1_{A92BD0B5-8CEB-49D3-BDAD-9699BE51E1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1" l="1"/>
  <c r="F7" i="1"/>
  <c r="F5" i="1" l="1"/>
  <c r="F8" i="1"/>
  <c r="F9" i="1"/>
  <c r="F10" i="1"/>
  <c r="F11" i="1"/>
  <c r="F12" i="1"/>
  <c r="F13" i="1"/>
  <c r="F3" i="1" l="1"/>
  <c r="F2" i="1"/>
  <c r="C16" i="1" l="1"/>
  <c r="C19" i="1" s="1"/>
  <c r="D16" i="1"/>
  <c r="D19" i="1" s="1"/>
  <c r="E16" i="1"/>
  <c r="E19" i="1" s="1"/>
  <c r="B16" i="1"/>
  <c r="F4" i="1"/>
  <c r="F14" i="1"/>
  <c r="F15" i="1"/>
  <c r="F16" i="1" l="1"/>
</calcChain>
</file>

<file path=xl/sharedStrings.xml><?xml version="1.0" encoding="utf-8"?>
<sst xmlns="http://schemas.openxmlformats.org/spreadsheetml/2006/main" count="32" uniqueCount="28">
  <si>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</si>
  <si>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</si>
  <si>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</si>
  <si>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</si>
  <si>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</si>
  <si>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</si>
  <si>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</si>
  <si>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</si>
  <si>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</si>
  <si>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</si>
  <si>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</si>
  <si>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</si>
  <si>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</si>
  <si>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</si>
  <si>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</si>
  <si>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</si>
  <si>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</si>
  <si>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</si>
  <si>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во вторую машину Крыма</t>
  </si>
  <si>
    <t>в первую машину Крыма</t>
  </si>
  <si>
    <t>вс</t>
  </si>
  <si>
    <t>пн</t>
  </si>
  <si>
    <t>вт</t>
  </si>
  <si>
    <t>Мариуполь</t>
  </si>
  <si>
    <t>Мароиуполь ЗПФ</t>
  </si>
  <si>
    <t>САП 27,09</t>
  </si>
  <si>
    <t>САП 28,09</t>
  </si>
  <si>
    <t>САП 29,09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</si>
</sst>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25" sqref="G25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  <col min="7" max="7" width="26.85546875" customWidth="1"/>
  </cols>
  <sheetData>
    <row r="1" spans="1:7" x14ac:dyDescent="0.25">
      <c r="A1" s="5" t="s">
        <v>8</v>
      </c>
      <c r="B1" s="5" t="s">
        <v>9</v>
      </c>
      <c r="C1" s="5" t="s">
        <v>25</v>
      </c>
      <c r="D1" s="5" t="s">
        <v>26</v>
      </c>
      <c r="E1" s="5" t="s">
        <v>27</v>
      </c>
      <c r="F1" s="5" t="s">
        <v>10</v>
      </c>
    </row>
    <row r="2" spans="1:7" x14ac:dyDescent="0.25">
      <c r="A2" s="2" t="s">
        <v>5</v>
      </c>
      <c r="B2" s="2"/>
      <c r="C2" s="2"/>
      <c r="D2" s="2"/>
      <c r="E2" s="2"/>
      <c r="F2" s="2">
        <f t="shared" ref="F2:F3" si="0">B2-C2-D2-E2</f>
        <v>0</v>
      </c>
    </row>
    <row r="3" spans="1:7" x14ac:dyDescent="0.25">
      <c r="A3" s="2" t="s">
        <v>4</v>
      </c>
      <c r="B3" s="2">
        <v>2286</v>
      </c>
      <c r="C3" s="2">
        <v>2286</v>
      </c>
      <c r="D3" s="2"/>
      <c r="E3" s="2"/>
      <c r="F3" s="2">
        <f t="shared" si="0"/>
        <v>0</v>
      </c>
    </row>
    <row r="4" spans="1:7" x14ac:dyDescent="0.25">
      <c r="A4" s="6" t="s">
        <v>0</v>
      </c>
      <c r="B4" s="6">
        <v>1939</v>
      </c>
      <c r="C4" s="6"/>
      <c r="D4" s="6"/>
      <c r="E4" s="6">
        <v>1939</v>
      </c>
      <c r="F4" s="6">
        <f t="shared" ref="F4:F15" si="1">B4-C4-D4-E4</f>
        <v>0</v>
      </c>
      <c r="G4" s="7" t="s">
        <v>18</v>
      </c>
    </row>
    <row r="5" spans="1:7" x14ac:dyDescent="0.25">
      <c r="A5" s="6" t="s">
        <v>13</v>
      </c>
      <c r="B5" s="6"/>
      <c r="C5" s="6"/>
      <c r="D5" s="6"/>
      <c r="E5" s="6"/>
      <c r="F5" s="6">
        <f t="shared" si="1"/>
        <v>0</v>
      </c>
      <c r="G5" s="7" t="s">
        <v>18</v>
      </c>
    </row>
    <row r="6" spans="1:7" x14ac:dyDescent="0.25">
      <c r="A6" s="6" t="s">
        <v>23</v>
      </c>
      <c r="B6" s="6">
        <v>3789</v>
      </c>
      <c r="C6" s="6"/>
      <c r="D6" s="6"/>
      <c r="E6" s="6">
        <v>3789</v>
      </c>
      <c r="F6" s="6">
        <f t="shared" si="1"/>
        <v>0</v>
      </c>
      <c r="G6" s="7" t="s">
        <v>18</v>
      </c>
    </row>
    <row r="7" spans="1:7" x14ac:dyDescent="0.25">
      <c r="A7" s="6" t="s">
        <v>24</v>
      </c>
      <c r="B7" s="6"/>
      <c r="C7" s="6"/>
      <c r="D7" s="6"/>
      <c r="E7" s="6"/>
      <c r="F7" s="6">
        <f t="shared" si="1"/>
        <v>0</v>
      </c>
      <c r="G7" s="7" t="s">
        <v>18</v>
      </c>
    </row>
    <row r="8" spans="1:7" x14ac:dyDescent="0.25">
      <c r="A8" s="2" t="s">
        <v>1</v>
      </c>
      <c r="B8" s="2">
        <v>7586</v>
      </c>
      <c r="C8" s="2">
        <v>4272</v>
      </c>
      <c r="D8" s="2">
        <v>3314</v>
      </c>
      <c r="E8" s="2"/>
      <c r="F8" s="2">
        <f t="shared" si="1"/>
        <v>0</v>
      </c>
    </row>
    <row r="9" spans="1:7" x14ac:dyDescent="0.25">
      <c r="A9" s="2" t="s">
        <v>14</v>
      </c>
      <c r="B9" s="2">
        <v>154</v>
      </c>
      <c r="C9" s="2"/>
      <c r="D9" s="2">
        <v>154</v>
      </c>
      <c r="E9" s="2"/>
      <c r="F9" s="2">
        <f t="shared" si="1"/>
        <v>0</v>
      </c>
    </row>
    <row r="10" spans="1:7" x14ac:dyDescent="0.25">
      <c r="A10" s="2" t="s">
        <v>2</v>
      </c>
      <c r="B10" s="2">
        <v>10372</v>
      </c>
      <c r="C10" s="2"/>
      <c r="D10" s="2">
        <v>10372</v>
      </c>
      <c r="E10" s="2"/>
      <c r="F10" s="2">
        <f t="shared" si="1"/>
        <v>0</v>
      </c>
      <c r="G10" t="s">
        <v>17</v>
      </c>
    </row>
    <row r="11" spans="1:7" x14ac:dyDescent="0.25">
      <c r="A11" s="2" t="s">
        <v>15</v>
      </c>
      <c r="B11" s="2">
        <v>673</v>
      </c>
      <c r="C11" s="2"/>
      <c r="D11" s="2">
        <v>673</v>
      </c>
      <c r="E11" s="2"/>
      <c r="F11" s="2">
        <f t="shared" si="1"/>
        <v>0</v>
      </c>
    </row>
    <row r="12" spans="1:7" x14ac:dyDescent="0.25">
      <c r="A12" s="8" t="s">
        <v>3</v>
      </c>
      <c r="B12" s="8">
        <v>3159</v>
      </c>
      <c r="C12" s="8"/>
      <c r="D12" s="8">
        <v>3159</v>
      </c>
      <c r="E12" s="8"/>
      <c r="F12" s="8">
        <f t="shared" si="1"/>
        <v>0</v>
      </c>
      <c r="G12" s="9" t="s">
        <v>19</v>
      </c>
    </row>
    <row r="13" spans="1:7" x14ac:dyDescent="0.25">
      <c r="A13" s="8" t="s">
        <v>16</v>
      </c>
      <c r="B13" s="8">
        <v>62</v>
      </c>
      <c r="C13" s="8"/>
      <c r="D13" s="8">
        <v>62</v>
      </c>
      <c r="E13" s="8"/>
      <c r="F13" s="8">
        <f t="shared" si="1"/>
        <v>0</v>
      </c>
      <c r="G13" s="9" t="s">
        <v>19</v>
      </c>
    </row>
    <row r="14" spans="1:7" x14ac:dyDescent="0.25">
      <c r="A14" s="2" t="s">
        <v>7</v>
      </c>
      <c r="B14" s="2"/>
      <c r="C14" s="2"/>
      <c r="D14" s="2"/>
      <c r="E14" s="2"/>
      <c r="F14" s="2">
        <f t="shared" si="1"/>
        <v>0</v>
      </c>
    </row>
    <row r="15" spans="1:7" x14ac:dyDescent="0.25">
      <c r="A15" s="2" t="s">
        <v>6</v>
      </c>
      <c r="B15" s="2"/>
      <c r="C15" s="2"/>
      <c r="D15" s="2"/>
      <c r="E15" s="2"/>
      <c r="F15" s="2">
        <f t="shared" si="1"/>
        <v>0</v>
      </c>
    </row>
    <row r="16" spans="1:7" s="1" customFormat="1" x14ac:dyDescent="0.25">
      <c r="A16" s="4" t="s">
        <v>12</v>
      </c>
      <c r="B16" s="4">
        <f>SUM(B2:B15)</f>
        <v>30020</v>
      </c>
      <c r="C16" s="4">
        <f>SUM(C2:C15)</f>
        <v>6558</v>
      </c>
      <c r="D16" s="4">
        <f>SUM(D2:D15)</f>
        <v>17734</v>
      </c>
      <c r="E16" s="4">
        <f>SUM(E2:E15)</f>
        <v>5728</v>
      </c>
      <c r="F16" s="4">
        <f>SUM(F2:F15)</f>
        <v>0</v>
      </c>
    </row>
    <row r="17" spans="3:5" ht="15.75" thickBot="1" x14ac:dyDescent="0.3">
      <c r="C17" t="s">
        <v>20</v>
      </c>
      <c r="D17" t="s">
        <v>21</v>
      </c>
      <c r="E17" t="s">
        <v>22</v>
      </c>
    </row>
    <row r="18" spans="3:5" ht="15.75" thickBot="1" x14ac:dyDescent="0.3">
      <c r="C18" s="10" t="s">
        <v>11</v>
      </c>
      <c r="D18" s="11"/>
      <c r="E18" s="12"/>
    </row>
    <row r="19" spans="3:5" x14ac:dyDescent="0.25">
      <c r="C19" s="3">
        <f>IF(ROUNDUP(C16/500,0)&gt;32,32,ROUNDUP(C16/500,0))</f>
        <v>14</v>
      </c>
      <c r="D19" s="3">
        <f t="shared" ref="D19:E19" si="2">IF(ROUNDUP(D16/500,0)&gt;32,32,ROUNDUP(D16/500,0))</f>
        <v>32</v>
      </c>
      <c r="E19" s="3">
        <f t="shared" si="2"/>
        <v>12</v>
      </c>
    </row>
  </sheetData>
  <mergeCells count="1">
    <mergeCell ref="C18:E18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2026-09-24T09:48:32Z</dcterms:modified>
</cp:coreProperties>
</file>