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ED0AA98D-7216-484E-B347-469BAE4C39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G3" i="1"/>
  <c r="F3" i="1"/>
  <c r="D1" i="1"/>
</calcChain>
</file>

<file path=xl/sharedStrings.xml><?xml version="1.0" encoding="utf-8"?>
<sst xmlns="http://schemas.openxmlformats.org/spreadsheetml/2006/main" count="60" uniqueCount="45">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</sst>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left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50">
        <f>K1</f>
        <v>130133079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5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5" ht="19.5" customHeight="1" thickTop="1" thickBot="1" x14ac:dyDescent="0.3">
      <c r="B3" s="31"/>
      <c r="C3" s="7" t="s">
        <v>6</v>
      </c>
      <c r="D3" s="55">
        <v>46293</v>
      </c>
      <c r="E3" s="7" t="s">
        <v>7</v>
      </c>
      <c r="F3" s="55">
        <f>D3+3</f>
        <v>46296</v>
      </c>
      <c r="G3" s="72" t="str">
        <f>N1</f>
        <v>Мелитополь г, Северный переезд ул. стр. 3, Семёновка с</v>
      </c>
      <c r="H3" s="63"/>
      <c r="I3" s="63"/>
      <c r="J3" s="64"/>
      <c r="K3" s="26">
        <v>130133081</v>
      </c>
      <c r="L3" t="s">
        <v>2</v>
      </c>
      <c r="M3" t="s">
        <v>8</v>
      </c>
      <c r="N3" t="s">
        <v>9</v>
      </c>
    </row>
    <row r="4" spans="1:15" ht="15.75" customHeight="1" thickTop="1" x14ac:dyDescent="0.25">
      <c r="K4" s="26">
        <v>130133080</v>
      </c>
      <c r="L4" t="s">
        <v>2</v>
      </c>
      <c r="M4" t="s">
        <v>10</v>
      </c>
      <c r="N4" t="s">
        <v>11</v>
      </c>
    </row>
    <row r="5" spans="1:15" x14ac:dyDescent="0.25">
      <c r="C5" s="7" t="s">
        <v>12</v>
      </c>
      <c r="D5" s="36"/>
      <c r="E5" s="8"/>
      <c r="F5" s="8"/>
      <c r="G5" s="8"/>
      <c r="H5" s="21"/>
      <c r="I5" s="21"/>
      <c r="K5" s="26">
        <v>130439105</v>
      </c>
      <c r="L5" t="s">
        <v>13</v>
      </c>
      <c r="M5" t="s">
        <v>3</v>
      </c>
      <c r="O5" t="s">
        <v>5</v>
      </c>
    </row>
    <row r="6" spans="1:15" ht="15.75" customHeight="1" thickBot="1" x14ac:dyDescent="0.3">
      <c r="D6" s="37" t="s">
        <v>14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15</v>
      </c>
      <c r="D7" s="36" t="s">
        <v>16</v>
      </c>
      <c r="E7" s="11" t="s">
        <v>17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4" t="s">
        <v>18</v>
      </c>
      <c r="B9" s="42" t="s">
        <v>19</v>
      </c>
      <c r="C9" s="12" t="s">
        <v>20</v>
      </c>
      <c r="D9" s="33" t="s">
        <v>21</v>
      </c>
      <c r="E9" s="25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29" t="s">
        <v>27</v>
      </c>
      <c r="K9" s="27"/>
    </row>
    <row r="10" spans="1:15" ht="16.5" customHeight="1" thickTop="1" thickBot="1" x14ac:dyDescent="0.3">
      <c r="A10" s="45"/>
      <c r="B10" s="40" t="s">
        <v>28</v>
      </c>
      <c r="C10" s="40"/>
      <c r="D10" s="40"/>
      <c r="E10" s="40"/>
      <c r="F10" s="39"/>
      <c r="G10" s="40"/>
      <c r="H10" s="40"/>
      <c r="I10" s="40"/>
      <c r="J10" s="41"/>
    </row>
    <row r="11" spans="1:15" ht="16.5" customHeight="1" thickTop="1" thickBot="1" x14ac:dyDescent="0.3">
      <c r="A11" s="45"/>
      <c r="B11" s="40" t="s">
        <v>29</v>
      </c>
      <c r="C11" s="40"/>
      <c r="D11" s="40"/>
      <c r="E11" s="40"/>
      <c r="F11" s="39"/>
      <c r="G11" s="40"/>
      <c r="H11" s="40"/>
      <c r="I11" s="40"/>
      <c r="J11" s="41"/>
    </row>
    <row r="12" spans="1:15" ht="16.5" customHeight="1" thickTop="1" x14ac:dyDescent="0.25">
      <c r="A12" s="56">
        <v>5897</v>
      </c>
      <c r="B12" s="48" t="s">
        <v>30</v>
      </c>
      <c r="C12" s="46" t="s">
        <v>31</v>
      </c>
      <c r="D12" s="47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6">
        <v>6149</v>
      </c>
      <c r="B13" s="48" t="s">
        <v>32</v>
      </c>
      <c r="C13" s="46" t="s">
        <v>31</v>
      </c>
      <c r="D13" s="47">
        <v>1002131166149</v>
      </c>
      <c r="E13" s="23">
        <v>100</v>
      </c>
      <c r="F13" s="22">
        <v>0.3</v>
      </c>
      <c r="G13" s="22">
        <f t="shared" si="0"/>
        <v>30</v>
      </c>
      <c r="H13" s="14">
        <v>3.6</v>
      </c>
      <c r="I13" s="14">
        <v>120</v>
      </c>
      <c r="J13" s="28"/>
    </row>
    <row r="14" spans="1:15" ht="16.5" customHeight="1" x14ac:dyDescent="0.25">
      <c r="A14" s="56">
        <v>6819</v>
      </c>
      <c r="B14" s="48" t="s">
        <v>33</v>
      </c>
      <c r="C14" s="46" t="s">
        <v>31</v>
      </c>
      <c r="D14" s="47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6">
        <v>6202</v>
      </c>
      <c r="B15" s="48" t="s">
        <v>34</v>
      </c>
      <c r="C15" s="46" t="s">
        <v>31</v>
      </c>
      <c r="D15" s="47">
        <v>1002131186202</v>
      </c>
      <c r="E15" s="23">
        <v>40</v>
      </c>
      <c r="F15" s="22">
        <v>0.3</v>
      </c>
      <c r="G15" s="22">
        <f t="shared" si="0"/>
        <v>12</v>
      </c>
      <c r="H15" s="14">
        <v>3.6</v>
      </c>
      <c r="I15" s="14">
        <v>120</v>
      </c>
      <c r="J15" s="28"/>
    </row>
    <row r="16" spans="1:15" ht="16.5" customHeight="1" x14ac:dyDescent="0.25">
      <c r="A16" s="56">
        <v>6148</v>
      </c>
      <c r="B16" s="48" t="s">
        <v>35</v>
      </c>
      <c r="C16" s="46" t="s">
        <v>31</v>
      </c>
      <c r="D16" s="47">
        <v>1002133376148</v>
      </c>
      <c r="E16" s="23"/>
      <c r="F16" s="22">
        <v>0.3</v>
      </c>
      <c r="G16" s="22">
        <f t="shared" si="0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36</v>
      </c>
      <c r="C17" s="46" t="s">
        <v>31</v>
      </c>
      <c r="D17" s="47">
        <v>1002131146209</v>
      </c>
      <c r="E17" s="23">
        <v>45</v>
      </c>
      <c r="F17" s="22">
        <v>0.35</v>
      </c>
      <c r="G17" s="22">
        <f t="shared" si="0"/>
        <v>15.749999999999998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37</v>
      </c>
      <c r="C18" s="46" t="s">
        <v>31</v>
      </c>
      <c r="D18" s="47">
        <v>1002131156168</v>
      </c>
      <c r="E18" s="23"/>
      <c r="F18" s="22">
        <v>0.35</v>
      </c>
      <c r="G18" s="22">
        <f t="shared" si="0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38</v>
      </c>
      <c r="C19" s="46" t="s">
        <v>31</v>
      </c>
      <c r="D19" s="47">
        <v>1002134275579</v>
      </c>
      <c r="E19" s="23">
        <v>10</v>
      </c>
      <c r="F19" s="22">
        <v>0.42</v>
      </c>
      <c r="G19" s="22">
        <f t="shared" si="0"/>
        <v>4.2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39</v>
      </c>
      <c r="C20" s="46" t="s">
        <v>40</v>
      </c>
      <c r="D20" s="47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41</v>
      </c>
      <c r="C21" s="46" t="s">
        <v>40</v>
      </c>
      <c r="D21" s="47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5" t="s">
        <v>42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60">
        <v>7216</v>
      </c>
      <c r="B23" s="52" t="s">
        <v>43</v>
      </c>
      <c r="C23" s="46" t="s">
        <v>31</v>
      </c>
      <c r="D23" s="61">
        <v>1002116437216</v>
      </c>
      <c r="E23" s="53"/>
      <c r="F23" s="22">
        <v>0.7</v>
      </c>
      <c r="G23" s="59">
        <f>E23*F23</f>
        <v>0</v>
      </c>
      <c r="H23" s="14"/>
      <c r="I23" s="54"/>
      <c r="J23" s="54"/>
    </row>
    <row r="24" spans="1:10" ht="16.5" customHeight="1" thickTop="1" thickBot="1" x14ac:dyDescent="0.3">
      <c r="A24" s="49"/>
      <c r="B24" s="43" t="s">
        <v>44</v>
      </c>
      <c r="C24" s="15"/>
      <c r="D24" s="34"/>
      <c r="E24" s="16">
        <f>SUM(E10:E23)</f>
        <v>195</v>
      </c>
      <c r="F24" s="16"/>
      <c r="G24" s="16">
        <f>SUM(G12:G23)</f>
        <v>61.95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2026-09-23T13:15:39Z</dcterms:modified>
</cp:coreProperties>
</file>