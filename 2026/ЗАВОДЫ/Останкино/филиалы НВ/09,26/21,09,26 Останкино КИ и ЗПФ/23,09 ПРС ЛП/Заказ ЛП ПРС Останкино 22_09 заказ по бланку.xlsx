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3,09 ПРС ЛП\"/>
    </mc:Choice>
  </mc:AlternateContent>
  <xr:revisionPtr revIDLastSave="0" documentId="13_ncr:1_{27EE5D8D-7B83-40E2-B442-B306974A3E7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D1" i="1"/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F3" i="1" l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<sst xmlns="http://schemas.openxmlformats.org/spreadsheetml/2006/main" count="676" uniqueCount="220">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</sst>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92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f>K1</f>
        <v>130438384</v>
      </c>
      <c r="E1" s="155" t="s">
        <v>219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46293</v>
      </c>
      <c r="E3" s="7" t="s">
        <v>2</v>
      </c>
      <c r="F3" s="55">
        <f>D3+3</f>
        <v>46296</v>
      </c>
      <c r="G3" s="158" t="str">
        <f>L1</f>
        <v xml:space="preserve">ЛП Донецк (ПРС) - 130438384 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hidden="1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thickTop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500</v>
      </c>
      <c r="F23" s="23">
        <v>0.4</v>
      </c>
      <c r="G23" s="23">
        <f t="shared" si="2"/>
        <v>200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hidden="1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4">E25*F25</f>
        <v>0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4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hidden="1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>
        <v>300</v>
      </c>
      <c r="F29" s="23">
        <v>0.4</v>
      </c>
      <c r="G29" s="23">
        <f t="shared" si="4"/>
        <v>120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600</v>
      </c>
      <c r="F30" s="23">
        <v>0.4</v>
      </c>
      <c r="G30" s="23">
        <f t="shared" si="4"/>
        <v>240</v>
      </c>
      <c r="H30" s="14">
        <v>3.2</v>
      </c>
      <c r="I30" s="14">
        <v>60</v>
      </c>
      <c r="J30" s="61"/>
      <c r="L30" s="122"/>
    </row>
    <row r="31" spans="1:67" ht="16.5" hidden="1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4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>
        <v>7231</v>
      </c>
      <c r="B33" s="56" t="s">
        <v>33</v>
      </c>
      <c r="C33" s="57" t="s">
        <v>20</v>
      </c>
      <c r="D33" s="72">
        <v>1001013957231</v>
      </c>
      <c r="E33" s="24">
        <v>300</v>
      </c>
      <c r="F33" s="60">
        <v>0.3</v>
      </c>
      <c r="G33" s="23">
        <f t="shared" si="4"/>
        <v>90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5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5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5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5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5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5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6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>
        <v>120</v>
      </c>
      <c r="F49" s="60">
        <v>0.36</v>
      </c>
      <c r="G49" s="23">
        <f t="shared" si="6"/>
        <v>43.199999999999996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>
        <v>180</v>
      </c>
      <c r="F52" s="60">
        <v>0.4</v>
      </c>
      <c r="G52" s="23">
        <f t="shared" si="6"/>
        <v>72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hidden="1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hidden="1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120</v>
      </c>
      <c r="F55" s="60">
        <v>0.33</v>
      </c>
      <c r="G55" s="23">
        <f>E55*F55</f>
        <v>39.6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hidden="1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>
        <v>240</v>
      </c>
      <c r="F58" s="60">
        <v>0.4</v>
      </c>
      <c r="G58" s="23">
        <f t="shared" si="6"/>
        <v>96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>
        <v>600</v>
      </c>
      <c r="F61" s="23">
        <v>0.41</v>
      </c>
      <c r="G61" s="23">
        <f t="shared" si="6"/>
        <v>245.99999999999997</v>
      </c>
      <c r="H61" s="14">
        <v>4.0999999999999996</v>
      </c>
      <c r="I61" s="14">
        <v>50</v>
      </c>
      <c r="J61" s="29"/>
      <c r="L61" s="122"/>
    </row>
    <row r="62" spans="1:67" ht="16.5" hidden="1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240</v>
      </c>
      <c r="F63" s="23">
        <v>0.4</v>
      </c>
      <c r="G63" s="23">
        <f t="shared" si="6"/>
        <v>96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hidden="1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hidden="1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>
        <v>120</v>
      </c>
      <c r="F68" s="23">
        <v>0.3</v>
      </c>
      <c r="G68" s="23">
        <f t="shared" si="6"/>
        <v>36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>
        <v>180</v>
      </c>
      <c r="F69" s="23">
        <v>0.3</v>
      </c>
      <c r="G69" s="23">
        <f t="shared" si="6"/>
        <v>54</v>
      </c>
      <c r="H69" s="14">
        <v>2.4</v>
      </c>
      <c r="I69" s="14">
        <v>45</v>
      </c>
      <c r="J69" s="29"/>
      <c r="L69" s="122"/>
    </row>
    <row r="70" spans="1:12" ht="16.5" hidden="1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hidden="1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hidden="1" customHeight="1" thickBot="1" x14ac:dyDescent="0.25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hidden="1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hidden="1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hidden="1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/>
      <c r="F76" s="23">
        <v>1</v>
      </c>
      <c r="G76" s="23">
        <f t="shared" si="7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hidden="1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22"/>
    </row>
    <row r="79" spans="1:12" ht="16.5" hidden="1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hidden="1" customHeight="1" thickBot="1" x14ac:dyDescent="0.25">
      <c r="A80" s="58">
        <v>6609</v>
      </c>
      <c r="B80" s="107" t="s">
        <v>153</v>
      </c>
      <c r="C80" s="51" t="s">
        <v>20</v>
      </c>
      <c r="D80" s="52">
        <v>1001033856609</v>
      </c>
      <c r="E80" s="24"/>
      <c r="F80" s="23">
        <v>0.4</v>
      </c>
      <c r="G80" s="23">
        <f t="shared" si="8"/>
        <v>0</v>
      </c>
      <c r="H80" s="14">
        <v>2.4</v>
      </c>
      <c r="I80" s="14">
        <v>45</v>
      </c>
      <c r="J80" s="29"/>
      <c r="L80" s="122"/>
    </row>
    <row r="81" spans="1:12" ht="16.5" hidden="1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hidden="1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hidden="1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hidden="1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hidden="1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hidden="1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/>
      <c r="F86" s="60">
        <v>0.81</v>
      </c>
      <c r="G86" s="23">
        <f t="shared" si="9"/>
        <v>0</v>
      </c>
      <c r="H86" s="61">
        <v>4.8600000000000003</v>
      </c>
      <c r="I86" s="61">
        <v>45</v>
      </c>
      <c r="J86" s="61"/>
      <c r="L86" s="122"/>
    </row>
    <row r="87" spans="1:12" ht="16.5" hidden="1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/>
      <c r="F87" s="60">
        <v>0.84</v>
      </c>
      <c r="G87" s="23">
        <f>E87*F87</f>
        <v>0</v>
      </c>
      <c r="H87" s="61">
        <v>5.04</v>
      </c>
      <c r="I87" s="61">
        <v>50</v>
      </c>
      <c r="J87" s="61"/>
      <c r="L87" s="122"/>
    </row>
    <row r="88" spans="1:12" ht="16.5" hidden="1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/>
      <c r="F88" s="60">
        <v>0.63</v>
      </c>
      <c r="G88" s="23">
        <f t="shared" ref="G88:G89" si="10">E88</f>
        <v>0</v>
      </c>
      <c r="H88" s="61">
        <v>5.04</v>
      </c>
      <c r="I88" s="61">
        <v>50</v>
      </c>
      <c r="J88" s="61"/>
      <c r="L88" s="122"/>
    </row>
    <row r="89" spans="1:12" ht="16.5" hidden="1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/>
      <c r="F89" s="60">
        <v>0.7</v>
      </c>
      <c r="G89" s="23">
        <f t="shared" si="10"/>
        <v>0</v>
      </c>
      <c r="H89" s="61">
        <v>5.6</v>
      </c>
      <c r="I89" s="61">
        <v>50</v>
      </c>
      <c r="J89" s="61"/>
      <c r="L89" s="122"/>
    </row>
    <row r="90" spans="1:12" ht="16.5" hidden="1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/>
      <c r="F90" s="23">
        <v>0.33</v>
      </c>
      <c r="G90" s="23">
        <f t="shared" ref="G90:G107" si="11">E90*F90</f>
        <v>0</v>
      </c>
      <c r="H90" s="14">
        <v>2.64</v>
      </c>
      <c r="I90" s="14">
        <v>45</v>
      </c>
      <c r="J90" s="53" t="s">
        <v>170</v>
      </c>
      <c r="L90" s="122"/>
    </row>
    <row r="91" spans="1:12" ht="16.5" hidden="1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hidden="1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hidden="1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90</v>
      </c>
      <c r="F94" s="23">
        <v>0.35</v>
      </c>
      <c r="G94" s="23">
        <f t="shared" si="11"/>
        <v>31.499999999999996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200</v>
      </c>
      <c r="F95" s="23">
        <v>0.35</v>
      </c>
      <c r="G95" s="23">
        <f t="shared" si="11"/>
        <v>70</v>
      </c>
      <c r="H95" s="14">
        <v>2.8</v>
      </c>
      <c r="I95" s="14">
        <v>50</v>
      </c>
      <c r="J95" s="29"/>
      <c r="L95" s="122"/>
    </row>
    <row r="96" spans="1:12" ht="15.75" hidden="1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100</v>
      </c>
      <c r="F97" s="23">
        <v>0.28000000000000003</v>
      </c>
      <c r="G97" s="23">
        <f t="shared" si="11"/>
        <v>28.000000000000004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>
        <v>180</v>
      </c>
      <c r="F98" s="23">
        <v>0.35</v>
      </c>
      <c r="G98" s="23">
        <f t="shared" si="11"/>
        <v>62.999999999999993</v>
      </c>
      <c r="H98" s="14">
        <v>2.8</v>
      </c>
      <c r="I98" s="14">
        <v>50</v>
      </c>
      <c r="J98" s="50"/>
      <c r="L98" s="122"/>
    </row>
    <row r="99" spans="1:67" ht="15.75" hidden="1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/>
      <c r="F99" s="23">
        <v>0.28000000000000003</v>
      </c>
      <c r="G99" s="23">
        <f t="shared" si="11"/>
        <v>0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180</v>
      </c>
      <c r="F100" s="23">
        <v>0.35</v>
      </c>
      <c r="G100" s="23">
        <f t="shared" si="11"/>
        <v>62.999999999999993</v>
      </c>
      <c r="H100" s="14">
        <v>2.8</v>
      </c>
      <c r="I100" s="14">
        <v>50</v>
      </c>
      <c r="J100" s="50"/>
      <c r="L100" s="122"/>
    </row>
    <row r="101" spans="1:67" ht="15.75" hidden="1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hidden="1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>
        <v>240</v>
      </c>
      <c r="F103" s="23">
        <v>0.28000000000000003</v>
      </c>
      <c r="G103" s="23">
        <f t="shared" si="11"/>
        <v>67.2</v>
      </c>
      <c r="H103" s="14">
        <v>2.2400000000000002</v>
      </c>
      <c r="I103" s="14">
        <v>45</v>
      </c>
      <c r="J103" s="50"/>
      <c r="L103" s="122"/>
    </row>
    <row r="104" spans="1:67" ht="15.75" hidden="1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hidden="1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hidden="1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hidden="1" customHeight="1" thickBot="1" x14ac:dyDescent="0.25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hidden="1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hidden="1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hidden="1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hidden="1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hidden="1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hidden="1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hidden="1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hidden="1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hidden="1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/>
      <c r="F116" s="23">
        <v>0.22</v>
      </c>
      <c r="G116" s="23">
        <f t="shared" si="13"/>
        <v>0</v>
      </c>
      <c r="H116" s="14">
        <v>1.76</v>
      </c>
      <c r="I116" s="14">
        <v>120</v>
      </c>
      <c r="J116" s="29"/>
      <c r="L116" s="122"/>
    </row>
    <row r="117" spans="1:12" ht="16.5" hidden="1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hidden="1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30</v>
      </c>
      <c r="F119" s="23">
        <v>0.25</v>
      </c>
      <c r="G119" s="23">
        <f t="shared" si="13"/>
        <v>7.5</v>
      </c>
      <c r="H119" s="14">
        <v>2</v>
      </c>
      <c r="I119" s="14">
        <v>120</v>
      </c>
      <c r="J119" s="29"/>
      <c r="L119" s="122"/>
    </row>
    <row r="120" spans="1:12" ht="16.5" hidden="1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/>
      <c r="F120" s="23">
        <v>0.22</v>
      </c>
      <c r="G120" s="23">
        <f t="shared" si="13"/>
        <v>0</v>
      </c>
      <c r="H120" s="14">
        <v>1.76</v>
      </c>
      <c r="I120" s="14">
        <v>90</v>
      </c>
      <c r="J120" s="29"/>
      <c r="L120" s="122"/>
    </row>
    <row r="121" spans="1:12" ht="16.5" hidden="1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90</v>
      </c>
      <c r="F122" s="23">
        <v>0.25</v>
      </c>
      <c r="G122" s="23">
        <f t="shared" si="13"/>
        <v>22.5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>
        <v>90</v>
      </c>
      <c r="F123" s="23">
        <v>0.25</v>
      </c>
      <c r="G123" s="23">
        <f t="shared" si="13"/>
        <v>22.5</v>
      </c>
      <c r="H123" s="14">
        <v>2</v>
      </c>
      <c r="I123" s="14">
        <v>120</v>
      </c>
      <c r="J123" s="29"/>
      <c r="L123" s="122"/>
    </row>
    <row r="124" spans="1:12" ht="16.5" hidden="1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/>
      <c r="F124" s="23">
        <v>0.25</v>
      </c>
      <c r="G124" s="23">
        <f t="shared" si="13"/>
        <v>0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240</v>
      </c>
      <c r="F125" s="23">
        <v>0.25</v>
      </c>
      <c r="G125" s="23">
        <f t="shared" si="13"/>
        <v>60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>
        <v>540</v>
      </c>
      <c r="F126" s="23">
        <v>0.22</v>
      </c>
      <c r="G126" s="23">
        <f t="shared" si="13"/>
        <v>118.8</v>
      </c>
      <c r="H126" s="14">
        <v>1.76</v>
      </c>
      <c r="I126" s="14">
        <v>120</v>
      </c>
      <c r="J126" s="29"/>
      <c r="L126" s="122"/>
    </row>
    <row r="127" spans="1:12" ht="16.5" hidden="1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hidden="1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hidden="1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>
        <v>240</v>
      </c>
      <c r="F130" s="23">
        <v>0.15</v>
      </c>
      <c r="G130" s="23">
        <f t="shared" si="15"/>
        <v>36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400</v>
      </c>
      <c r="F131" s="23">
        <v>0.12</v>
      </c>
      <c r="G131" s="23">
        <f t="shared" si="15"/>
        <v>48</v>
      </c>
      <c r="H131" s="14">
        <v>0.96</v>
      </c>
      <c r="I131" s="14">
        <v>60</v>
      </c>
      <c r="J131" s="29"/>
      <c r="L131" s="122"/>
    </row>
    <row r="132" spans="1:67" ht="16.5" hidden="1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/>
      <c r="F132" s="23">
        <v>0.1</v>
      </c>
      <c r="G132" s="23">
        <f t="shared" si="15"/>
        <v>0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180</v>
      </c>
      <c r="F133" s="23">
        <v>0.1</v>
      </c>
      <c r="G133" s="23">
        <f t="shared" si="15"/>
        <v>18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150</v>
      </c>
      <c r="F134" s="23">
        <v>0.09</v>
      </c>
      <c r="G134" s="23">
        <f t="shared" si="15"/>
        <v>13.5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>
        <v>180</v>
      </c>
      <c r="F135" s="23">
        <v>0.09</v>
      </c>
      <c r="G135" s="23">
        <f t="shared" si="15"/>
        <v>16.2</v>
      </c>
      <c r="H135" s="14">
        <v>0.9</v>
      </c>
      <c r="I135" s="14">
        <v>60</v>
      </c>
      <c r="J135" s="29"/>
      <c r="L135" s="122"/>
    </row>
    <row r="136" spans="1:67" ht="16.5" hidden="1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hidden="1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hidden="1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hidden="1" customHeight="1" thickBot="1" x14ac:dyDescent="0.25">
      <c r="A139" s="145">
        <v>7626</v>
      </c>
      <c r="B139" s="54" t="s">
        <v>201</v>
      </c>
      <c r="C139" s="51" t="s">
        <v>20</v>
      </c>
      <c r="D139" s="52">
        <v>1001066607626</v>
      </c>
      <c r="E139" s="24"/>
      <c r="F139" s="23">
        <v>0.1</v>
      </c>
      <c r="G139" s="23">
        <f t="shared" si="15"/>
        <v>0</v>
      </c>
      <c r="H139" s="14">
        <v>1</v>
      </c>
      <c r="I139" s="14">
        <v>60</v>
      </c>
      <c r="J139" s="53" t="s">
        <v>202</v>
      </c>
      <c r="L139" s="122"/>
    </row>
    <row r="140" spans="1:67" ht="16.5" hidden="1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hidden="1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hidden="1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hidden="1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hidden="1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hidden="1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100</v>
      </c>
      <c r="F147" s="60">
        <v>0.4</v>
      </c>
      <c r="G147" s="23">
        <f t="shared" ref="G147:G150" si="17">E147*F147</f>
        <v>40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240</v>
      </c>
      <c r="F148" s="60">
        <v>0.4</v>
      </c>
      <c r="G148" s="23">
        <f t="shared" si="17"/>
        <v>96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hidden="1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hidden="1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>
        <v>30</v>
      </c>
      <c r="F151" s="60">
        <v>0.1</v>
      </c>
      <c r="G151" s="23">
        <f>E151*F151</f>
        <v>3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hidden="1" customHeight="1" thickBot="1" x14ac:dyDescent="0.25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hidden="1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hidden="1" customHeight="1" thickTop="1" thickBot="1" x14ac:dyDescent="0.25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hidden="1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hidden="1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hidden="1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/>
      <c r="F157" s="23">
        <v>0.3</v>
      </c>
      <c r="G157" s="23">
        <f t="shared" ref="G157:G167" si="18">E157*F157</f>
        <v>0</v>
      </c>
      <c r="H157" s="14">
        <v>1.8</v>
      </c>
      <c r="I157" s="14">
        <v>50</v>
      </c>
      <c r="J157" s="29"/>
      <c r="L157" s="122"/>
    </row>
    <row r="158" spans="1:67" ht="16.5" hidden="1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180</v>
      </c>
      <c r="F159" s="23">
        <v>0.3</v>
      </c>
      <c r="G159" s="23">
        <f t="shared" si="18"/>
        <v>54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150</v>
      </c>
      <c r="F160" s="23">
        <v>0.18</v>
      </c>
      <c r="G160" s="23">
        <f t="shared" si="18"/>
        <v>27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300</v>
      </c>
      <c r="F161" s="23">
        <v>0.15</v>
      </c>
      <c r="G161" s="23">
        <f t="shared" si="18"/>
        <v>45</v>
      </c>
      <c r="H161" s="14">
        <v>1.2</v>
      </c>
      <c r="I161" s="14">
        <v>45</v>
      </c>
      <c r="J161" s="29"/>
      <c r="L161" s="122"/>
    </row>
    <row r="162" spans="1:12" ht="16.5" hidden="1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hidden="1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thickBot="1" x14ac:dyDescent="0.3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30</v>
      </c>
      <c r="F164" s="23">
        <v>0.09</v>
      </c>
      <c r="G164" s="23">
        <f t="shared" si="18"/>
        <v>2.6999999999999997</v>
      </c>
      <c r="H164" s="14">
        <v>0.72</v>
      </c>
      <c r="I164" s="14">
        <v>60</v>
      </c>
      <c r="J164" s="29"/>
      <c r="L164" s="122"/>
    </row>
    <row r="165" spans="1:12" ht="16.5" hidden="1" customHeight="1" x14ac:dyDescent="0.3">
      <c r="A165" s="58">
        <v>6208</v>
      </c>
      <c r="B165" s="35" t="s">
        <v>99</v>
      </c>
      <c r="C165" s="51" t="s">
        <v>20</v>
      </c>
      <c r="D165" s="52">
        <v>1001220226208</v>
      </c>
      <c r="E165" s="24">
        <v>0</v>
      </c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hidden="1" customHeight="1" x14ac:dyDescent="0.3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hidden="1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/>
      <c r="F167" s="23">
        <v>0.1</v>
      </c>
      <c r="G167" s="23">
        <f t="shared" si="18"/>
        <v>0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7660</v>
      </c>
      <c r="F168" s="17"/>
      <c r="G168" s="17">
        <f>SUM(G11:G167)</f>
        <v>2286.1999999999998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>
    <filterColumn colId="4">
      <filters>
        <filter val="100"/>
        <filter val="120"/>
        <filter val="150"/>
        <filter val="180"/>
        <filter val="200"/>
        <filter val="240"/>
        <filter val="30"/>
        <filter val="300"/>
        <filter val="400"/>
        <filter val="500"/>
        <filter val="540"/>
        <filter val="600"/>
        <filter val="7 660,00"/>
        <filter val="90"/>
      </filters>
    </filterColumn>
  </autoFilter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2026-09-23T13:23:22Z</dcterms:modified>
</cp:coreProperties>
</file>