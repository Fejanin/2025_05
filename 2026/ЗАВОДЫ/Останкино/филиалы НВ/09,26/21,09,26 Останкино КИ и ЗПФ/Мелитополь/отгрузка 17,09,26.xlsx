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811356A4-8B2B-4A5F-9B0A-2D52CDC10D9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DSheet" sheetId="1" r:id="rId1"/>
    <sheet name="Лист1" sheetId="2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" i="2"/>
</calcChain>
</file>

<file path=xl/sharedStrings.xml><?xml version="1.0" encoding="utf-8"?>
<sst xmlns="http://schemas.openxmlformats.org/spreadsheetml/2006/main" count="73" uniqueCount="42">
  <si>
    <t>Номенклатура</t>
  </si>
  <si>
    <t>Количество</t>
  </si>
  <si>
    <t>7523 ГОВЯЖЬЯ Папа Может вар п/о 0,4кг 6шт. ОСТАНКИНО</t>
  </si>
  <si>
    <t>6220 ГОВЯЖЬЯ папа может вар п/о  Останкино</t>
  </si>
  <si>
    <t>6498 МОЛОЧНАЯ Папа может вар п/о  ОСТАНКИНО</t>
  </si>
  <si>
    <t>4063 МЯСНАЯ Папа может вар п/о_Л   ОСТАНКИНО</t>
  </si>
  <si>
    <t>4813 ФИЛЕЙНАЯ Папа может вар п/о_Л   ОСТАНКИНО</t>
  </si>
  <si>
    <t>5851 ЭКСТРА Папа может вар п/о   ОСТАНКИНО</t>
  </si>
  <si>
    <t>7632 ЭКСТРА Папа может вар п/о 0.4кг 8шт_195к  ОСТАНКИНО</t>
  </si>
  <si>
    <t>6325 ДОКТОРСКАЯ ПРЕМИУМ вар п/о 0.4кг 8шт.  ОСТАНКИНО</t>
  </si>
  <si>
    <t>6797 С ИНДЕЙКОЙ Папа может вар п/о 0,4кг 8шт. ОСТАНКИНО</t>
  </si>
  <si>
    <t>7231 КЛАССИЧЕСКАЯ ПМ вар п/о 0,3кг 8 шт_209к  Останкино</t>
  </si>
  <si>
    <t>7461 ДЛЯ ДЕТЕЙ Папа Может сос п/о мгс 0,33кг ОСТАНКИНО</t>
  </si>
  <si>
    <t>7075 МОЛОЧ.ПРЕМИУМ ПМ сос п/о мгс 1,5*4_О_50с  Останкино</t>
  </si>
  <si>
    <t>7073 МОЛОЧ.ПРЕМИУМ ПМ сос п/о в/у 1/350_50с  Останкино</t>
  </si>
  <si>
    <t>6661 СОЧНЫЙ ГРИЛЬ ПМ сос п/о мгс 1,5*4_Маяк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</si>
  <si>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</si>
  <si>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</si>
  <si>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</si>
  <si>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7149 БАЛЫКОВАЯ Коровино п/к в/у 0,84кг_50с  Останкино</t>
  </si>
  <si>
    <t>6807 СЕРВЕЛАТ ЕВРОПЕЙСКИЙ в/к в/у 0,33кг 8шт  Останкино</t>
  </si>
  <si>
    <t>6787 СЕРВЕЛАТ КРЕМЛЕВСКИЙ в/к в/у 0,33кг 8шт  Останкино</t>
  </si>
  <si>
    <t>7166 СЕРВЕЛАТ ОХОТНИЧИЙ ПМ в/к в/у_50с  Останкино</t>
  </si>
  <si>
    <t>6967 БУРГУНДИЯ Папа может с/к в/у 1/250 8шт  Останкино</t>
  </si>
  <si>
    <t>7616 ЭКСТРА Папа может с/к с/н в/у 1/100_  ОСТАНКИНО</t>
  </si>
  <si>
    <t>6221 НЕОПОЛИТАНСКИЙ ДУЭТ с/к с/н мгс 1/90  Останкино</t>
  </si>
  <si>
    <t>5495 ВЕТЧ.С ИНДЕЙКОЙ Папа может п/о 400*6  Останкино</t>
  </si>
  <si>
    <t>7651 ХОЧУ ВЕТЧ.МРАМОР. ПМ с/н мгс 1/100_Л11  ОСТАНКИНО</t>
  </si>
  <si>
    <t>7187 ГРУДИНКА ПРЕМИУМ к/в мл/к в/у 0,3кг_50с  Останкино</t>
  </si>
  <si>
    <t>Поддон деревянный ЕВРО</t>
  </si>
  <si>
    <t>17,09,26</t>
  </si>
  <si>
    <t>19,09,26</t>
  </si>
  <si>
    <t>ЗАКАЗ</t>
  </si>
  <si>
    <t>5544 Сервелат Финский в/к в/у_45с НОВАЯ ОСТАНКИНО</t>
  </si>
  <si>
    <t>6303 Мясные Папа может сос п/о мгс 1,5*3  Останкино</t>
  </si>
  <si>
    <t>6724 МОЛОЧНЫЕ ПМ сос п/о мгс 0,41кг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</si>
  <si>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</si>
  <si>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</si>
  <si>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7070 СОЧНЫЕ ПМ сос п/о 1,5*4_А_50с  Останкино</t>
  </si>
  <si>
    <t>7157 СЕРВЕЛАТ ЗЕРНИСТЫЙ ПМ в/к в/у_50с  Останкино</t>
  </si>
  <si>
    <t>ЗАДВОЕНЫ</t>
  </si>
  <si>
    <t>НЕ ОТГРУЖЕНЫ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</si>
</sst>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0" fillId="0" borderId="0" xfId="0" applyNumberFormat="1"/>
    <xf numFmtId="0" fontId="1" fillId="2" borderId="2" xfId="0" applyFont="1" applyFill="1" applyBorder="1" applyAlignment="1">
      <alignment horizontal="left" vertical="top"/>
    </xf>
    <xf numFmtId="1" fontId="1" fillId="2" borderId="2" xfId="0" applyNumberFormat="1" applyFont="1" applyFill="1" applyBorder="1" applyAlignment="1">
      <alignment horizontal="left" vertical="top"/>
    </xf>
    <xf numFmtId="0" fontId="0" fillId="0" borderId="2" xfId="0" applyBorder="1"/>
    <xf numFmtId="1" fontId="0" fillId="0" borderId="2" xfId="0" applyNumberFormat="1" applyBorder="1"/>
    <xf numFmtId="1" fontId="0" fillId="4" borderId="2" xfId="0" applyNumberFormat="1" applyFill="1" applyBorder="1"/>
    <xf numFmtId="1" fontId="0" fillId="5" borderId="2" xfId="0" applyNumberFormat="1" applyFill="1" applyBorder="1"/>
    <xf numFmtId="0" fontId="3" fillId="4" borderId="0" xfId="0" applyFont="1" applyFill="1"/>
    <xf numFmtId="0" fontId="3" fillId="5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0;&#1048;\new_&#1076;&#1074;%2021,09,26%20&#1084;&#1083;&#1088;&#1089;&#1095;%20&#1086;&#1089;&#1090;%20&#1082;&#1080;.xlsx" TargetMode="External"/><Relationship Id="rId1" Type="http://schemas.openxmlformats.org/officeDocument/2006/relationships/externalLinkPath" Target="/Father/Work/2025_05/&#1056;&#1040;&#1041;&#1054;&#1063;&#1048;&#1049;%20&#1057;&#1058;&#1054;&#1051;/&#1088;&#1072;&#1089;&#1095;&#1077;&#1090;&#1099;%20&#1054;&#1089;&#1090;&#1072;&#1085;&#1082;&#1080;&#1085;&#1086;%20&#1050;&#1048;/new_&#1076;&#1074;%2021,09,26%20&#1084;&#1083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0;&#1048;\&#1052;&#1077;&#1083;&#1080;&#1090;&#1086;&#1087;&#1086;&#1083;&#1100;\&#1086;&#1090;&#1075;&#1088;&#1091;&#1079;&#1082;&#1072;%2019,09,26.xlsx" TargetMode="External"/><Relationship Id="rId1" Type="http://schemas.openxmlformats.org/officeDocument/2006/relationships/externalLinkPath" Target="&#1086;&#1090;&#1075;&#1088;&#1091;&#1079;&#1082;&#1072;%2019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</row>
        <row r="4">
          <cell r="O4" t="str">
            <v>15,09,</v>
          </cell>
        </row>
        <row r="5">
          <cell r="E5">
            <v>7833.6109999999981</v>
          </cell>
          <cell r="F5">
            <v>10945.514000000001</v>
          </cell>
          <cell r="K5">
            <v>8236</v>
          </cell>
          <cell r="L5">
            <v>-402.38900000000001</v>
          </cell>
          <cell r="M5">
            <v>0</v>
          </cell>
          <cell r="N5">
            <v>0</v>
          </cell>
          <cell r="O5">
            <v>3247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98.5</v>
          </cell>
          <cell r="E6">
            <v>8.8390000000000004</v>
          </cell>
          <cell r="F6">
            <v>88.564999999999998</v>
          </cell>
          <cell r="G6">
            <v>1</v>
          </cell>
          <cell r="H6">
            <v>120</v>
          </cell>
          <cell r="I6" t="str">
            <v>матрица</v>
          </cell>
          <cell r="K6">
            <v>8.1</v>
          </cell>
          <cell r="L6">
            <v>0.73900000000000077</v>
          </cell>
          <cell r="O6">
            <v>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321</v>
          </cell>
          <cell r="D7">
            <v>5</v>
          </cell>
          <cell r="E7">
            <v>96</v>
          </cell>
          <cell r="F7">
            <v>205</v>
          </cell>
          <cell r="G7">
            <v>0.4</v>
          </cell>
          <cell r="H7">
            <v>60</v>
          </cell>
          <cell r="I7" t="str">
            <v>матрица</v>
          </cell>
          <cell r="K7">
            <v>102</v>
          </cell>
          <cell r="L7">
            <v>-6</v>
          </cell>
          <cell r="O7">
            <v>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40.996000000000002</v>
          </cell>
          <cell r="E8">
            <v>30.012</v>
          </cell>
          <cell r="F8">
            <v>9.9760000000000009</v>
          </cell>
          <cell r="G8">
            <v>1</v>
          </cell>
          <cell r="H8">
            <v>120</v>
          </cell>
          <cell r="I8" t="str">
            <v>матрица</v>
          </cell>
          <cell r="K8">
            <v>29.2</v>
          </cell>
          <cell r="L8">
            <v>0.81200000000000117</v>
          </cell>
          <cell r="O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321</v>
          </cell>
          <cell r="E9">
            <v>122</v>
          </cell>
          <cell r="F9">
            <v>178</v>
          </cell>
          <cell r="G9">
            <v>0.25</v>
          </cell>
          <cell r="H9">
            <v>120</v>
          </cell>
          <cell r="I9" t="str">
            <v>матрица</v>
          </cell>
          <cell r="K9">
            <v>125</v>
          </cell>
          <cell r="L9">
            <v>-3</v>
          </cell>
          <cell r="O9">
            <v>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118.6</v>
          </cell>
          <cell r="D10">
            <v>338.63099999999997</v>
          </cell>
          <cell r="E10">
            <v>117.44</v>
          </cell>
          <cell r="F10">
            <v>328.89699999999999</v>
          </cell>
          <cell r="G10">
            <v>1</v>
          </cell>
          <cell r="H10">
            <v>60</v>
          </cell>
          <cell r="I10" t="str">
            <v>матрица</v>
          </cell>
          <cell r="K10">
            <v>120.1</v>
          </cell>
          <cell r="L10">
            <v>-2.6599999999999966</v>
          </cell>
          <cell r="O10">
            <v>172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27</v>
          </cell>
          <cell r="E11">
            <v>22.202999999999999</v>
          </cell>
          <cell r="F11">
            <v>4.7969999999999997</v>
          </cell>
          <cell r="G11">
            <v>1</v>
          </cell>
          <cell r="H11">
            <v>120</v>
          </cell>
          <cell r="I11" t="str">
            <v>матрица</v>
          </cell>
          <cell r="K11">
            <v>21.1</v>
          </cell>
          <cell r="L11">
            <v>1.102999999999998</v>
          </cell>
          <cell r="O11">
            <v>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G12">
            <v>1</v>
          </cell>
          <cell r="H12">
            <v>60</v>
          </cell>
          <cell r="I12" t="str">
            <v>матрица</v>
          </cell>
          <cell r="K12">
            <v>7.8</v>
          </cell>
          <cell r="L12">
            <v>-7.8</v>
          </cell>
          <cell r="O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D13">
            <v>355.44200000000001</v>
          </cell>
          <cell r="F13">
            <v>345.93700000000001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16.899999999999999</v>
          </cell>
          <cell r="L13">
            <v>-16.899999999999999</v>
          </cell>
          <cell r="O13">
            <v>181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324</v>
          </cell>
          <cell r="E14">
            <v>118</v>
          </cell>
          <cell r="F14">
            <v>181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126</v>
          </cell>
          <cell r="L14">
            <v>-8</v>
          </cell>
          <cell r="O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48</v>
          </cell>
          <cell r="E15">
            <v>24.41</v>
          </cell>
          <cell r="F15">
            <v>18.151</v>
          </cell>
          <cell r="G15">
            <v>1</v>
          </cell>
          <cell r="H15">
            <v>60</v>
          </cell>
          <cell r="I15" t="str">
            <v>матрица</v>
          </cell>
          <cell r="K15">
            <v>22.2</v>
          </cell>
          <cell r="L15">
            <v>2.2100000000000009</v>
          </cell>
          <cell r="O15">
            <v>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513</v>
          </cell>
          <cell r="D16">
            <v>7</v>
          </cell>
          <cell r="E16">
            <v>125</v>
          </cell>
          <cell r="F16">
            <v>382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130</v>
          </cell>
          <cell r="L16">
            <v>-5</v>
          </cell>
          <cell r="O16">
            <v>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42</v>
          </cell>
          <cell r="D17">
            <v>18</v>
          </cell>
          <cell r="E17">
            <v>41</v>
          </cell>
          <cell r="F17">
            <v>16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48</v>
          </cell>
          <cell r="L17">
            <v>-7</v>
          </cell>
          <cell r="O17">
            <v>21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41.3</v>
          </cell>
          <cell r="D18">
            <v>173.81100000000001</v>
          </cell>
          <cell r="E18">
            <v>41.215000000000003</v>
          </cell>
          <cell r="F18">
            <v>168.791</v>
          </cell>
          <cell r="G18">
            <v>1</v>
          </cell>
          <cell r="H18">
            <v>45</v>
          </cell>
          <cell r="I18" t="str">
            <v>матрица</v>
          </cell>
          <cell r="K18">
            <v>49.8</v>
          </cell>
          <cell r="L18">
            <v>-8.5849999999999937</v>
          </cell>
          <cell r="O18">
            <v>164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32.5</v>
          </cell>
          <cell r="E19">
            <v>25.454000000000001</v>
          </cell>
          <cell r="F19">
            <v>6.03</v>
          </cell>
          <cell r="G19">
            <v>1</v>
          </cell>
          <cell r="H19">
            <v>120</v>
          </cell>
          <cell r="I19" t="str">
            <v>матрица</v>
          </cell>
          <cell r="K19">
            <v>25.1</v>
          </cell>
          <cell r="L19">
            <v>0.3539999999999992</v>
          </cell>
          <cell r="O19">
            <v>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468</v>
          </cell>
          <cell r="E20">
            <v>69</v>
          </cell>
          <cell r="F20">
            <v>391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63</v>
          </cell>
          <cell r="L20">
            <v>6</v>
          </cell>
          <cell r="O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53.95</v>
          </cell>
          <cell r="D21">
            <v>85.542000000000002</v>
          </cell>
          <cell r="E21">
            <v>52.46</v>
          </cell>
          <cell r="F21">
            <v>81.936000000000007</v>
          </cell>
          <cell r="G21">
            <v>1</v>
          </cell>
          <cell r="H21">
            <v>60</v>
          </cell>
          <cell r="I21" t="str">
            <v>матрица</v>
          </cell>
          <cell r="K21">
            <v>58.1</v>
          </cell>
          <cell r="L21">
            <v>-5.6400000000000006</v>
          </cell>
          <cell r="O21">
            <v>86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536</v>
          </cell>
          <cell r="E22">
            <v>164</v>
          </cell>
          <cell r="F22">
            <v>343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168</v>
          </cell>
          <cell r="L22">
            <v>-4</v>
          </cell>
          <cell r="O22">
            <v>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G23">
            <v>1</v>
          </cell>
          <cell r="H23">
            <v>40</v>
          </cell>
          <cell r="I23" t="str">
            <v>матрица</v>
          </cell>
          <cell r="K23">
            <v>1.5</v>
          </cell>
          <cell r="L23">
            <v>-1.5</v>
          </cell>
          <cell r="O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27.1</v>
          </cell>
          <cell r="D24">
            <v>8.0969999999999995</v>
          </cell>
          <cell r="E24">
            <v>26.48</v>
          </cell>
          <cell r="F24">
            <v>3.9860000000000002</v>
          </cell>
          <cell r="G24">
            <v>1</v>
          </cell>
          <cell r="H24">
            <v>60</v>
          </cell>
          <cell r="I24" t="str">
            <v>матрица</v>
          </cell>
          <cell r="K24">
            <v>33.6</v>
          </cell>
          <cell r="L24">
            <v>-7.120000000000001</v>
          </cell>
          <cell r="O24">
            <v>65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20</v>
          </cell>
          <cell r="D25">
            <v>50</v>
          </cell>
          <cell r="E25">
            <v>20</v>
          </cell>
          <cell r="F25">
            <v>45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39</v>
          </cell>
          <cell r="L25">
            <v>-19</v>
          </cell>
          <cell r="O25">
            <v>60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129</v>
          </cell>
          <cell r="E26">
            <v>48</v>
          </cell>
          <cell r="F26">
            <v>76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48</v>
          </cell>
          <cell r="L26">
            <v>0</v>
          </cell>
          <cell r="O26">
            <v>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197</v>
          </cell>
          <cell r="E27">
            <v>110</v>
          </cell>
          <cell r="F27">
            <v>87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104</v>
          </cell>
          <cell r="L27">
            <v>6</v>
          </cell>
          <cell r="O27">
            <v>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351.90300000000002</v>
          </cell>
          <cell r="D28">
            <v>448.31299999999999</v>
          </cell>
          <cell r="E28">
            <v>350.35500000000002</v>
          </cell>
          <cell r="F28">
            <v>449.79500000000002</v>
          </cell>
          <cell r="G28">
            <v>1</v>
          </cell>
          <cell r="H28">
            <v>45</v>
          </cell>
          <cell r="I28" t="str">
            <v>матрица</v>
          </cell>
          <cell r="K28">
            <v>316.3</v>
          </cell>
          <cell r="L28">
            <v>34.055000000000007</v>
          </cell>
          <cell r="O28">
            <v>434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30</v>
          </cell>
          <cell r="D29">
            <v>64</v>
          </cell>
          <cell r="E29">
            <v>30</v>
          </cell>
          <cell r="F29">
            <v>62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39</v>
          </cell>
          <cell r="L29">
            <v>-9</v>
          </cell>
          <cell r="O29">
            <v>66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752</v>
          </cell>
          <cell r="E30">
            <v>162</v>
          </cell>
          <cell r="F30">
            <v>583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171</v>
          </cell>
          <cell r="L30">
            <v>-9</v>
          </cell>
          <cell r="O30">
            <v>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530</v>
          </cell>
          <cell r="E31">
            <v>161</v>
          </cell>
          <cell r="F31">
            <v>360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161.30000000000001</v>
          </cell>
          <cell r="L31">
            <v>-0.30000000000001137</v>
          </cell>
          <cell r="O31">
            <v>0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17</v>
          </cell>
          <cell r="E32">
            <v>7</v>
          </cell>
          <cell r="F32">
            <v>10</v>
          </cell>
          <cell r="G32">
            <v>0</v>
          </cell>
          <cell r="H32">
            <v>45</v>
          </cell>
          <cell r="I32" t="str">
            <v>вывод</v>
          </cell>
          <cell r="K32">
            <v>7</v>
          </cell>
          <cell r="L32">
            <v>0</v>
          </cell>
          <cell r="O32">
            <v>0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E33">
            <v>-1</v>
          </cell>
          <cell r="G33">
            <v>0.3</v>
          </cell>
          <cell r="H33">
            <v>45</v>
          </cell>
          <cell r="I33" t="str">
            <v>матрица</v>
          </cell>
          <cell r="K33">
            <v>12</v>
          </cell>
          <cell r="L33">
            <v>-13</v>
          </cell>
          <cell r="O33">
            <v>0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23</v>
          </cell>
          <cell r="D34">
            <v>104.81</v>
          </cell>
          <cell r="E34">
            <v>23.222999999999999</v>
          </cell>
          <cell r="F34">
            <v>88.46</v>
          </cell>
          <cell r="G34">
            <v>1</v>
          </cell>
          <cell r="H34">
            <v>60</v>
          </cell>
          <cell r="I34" t="str">
            <v>матрица</v>
          </cell>
          <cell r="K34">
            <v>37</v>
          </cell>
          <cell r="L34">
            <v>-13.777000000000001</v>
          </cell>
          <cell r="O34">
            <v>104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42.2</v>
          </cell>
          <cell r="D35">
            <v>84.757000000000005</v>
          </cell>
          <cell r="E35">
            <v>18.058</v>
          </cell>
          <cell r="F35">
            <v>95.042000000000002</v>
          </cell>
          <cell r="G35">
            <v>1</v>
          </cell>
          <cell r="H35">
            <v>45</v>
          </cell>
          <cell r="I35" t="str">
            <v>матрица</v>
          </cell>
          <cell r="K35">
            <v>15</v>
          </cell>
          <cell r="L35">
            <v>3.0579999999999998</v>
          </cell>
          <cell r="O35">
            <v>111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62.5</v>
          </cell>
          <cell r="D36">
            <v>57.219000000000001</v>
          </cell>
          <cell r="E36">
            <v>52.499000000000002</v>
          </cell>
          <cell r="F36">
            <v>52.814999999999998</v>
          </cell>
          <cell r="G36">
            <v>1</v>
          </cell>
          <cell r="H36">
            <v>45</v>
          </cell>
          <cell r="I36" t="str">
            <v>матрица</v>
          </cell>
          <cell r="K36">
            <v>46.3</v>
          </cell>
          <cell r="L36">
            <v>6.1990000000000052</v>
          </cell>
          <cell r="O36">
            <v>102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87.1</v>
          </cell>
          <cell r="D37">
            <v>0.154</v>
          </cell>
          <cell r="E37">
            <v>78.822999999999993</v>
          </cell>
          <cell r="F37">
            <v>-0.105</v>
          </cell>
          <cell r="G37">
            <v>1</v>
          </cell>
          <cell r="H37">
            <v>45</v>
          </cell>
          <cell r="I37" t="str">
            <v>матрица</v>
          </cell>
          <cell r="K37">
            <v>71.099999999999994</v>
          </cell>
          <cell r="L37">
            <v>7.722999999999999</v>
          </cell>
          <cell r="O37">
            <v>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448</v>
          </cell>
          <cell r="E38">
            <v>218</v>
          </cell>
          <cell r="F38">
            <v>214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237</v>
          </cell>
          <cell r="L38">
            <v>-19</v>
          </cell>
          <cell r="O38">
            <v>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G39">
            <v>1</v>
          </cell>
          <cell r="I39" t="str">
            <v>матрица</v>
          </cell>
          <cell r="L39">
            <v>0</v>
          </cell>
          <cell r="O39">
            <v>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84.9</v>
          </cell>
          <cell r="D40">
            <v>30.853000000000002</v>
          </cell>
          <cell r="E40">
            <v>64.936999999999998</v>
          </cell>
          <cell r="F40">
            <v>32.201000000000001</v>
          </cell>
          <cell r="G40">
            <v>1</v>
          </cell>
          <cell r="H40">
            <v>45</v>
          </cell>
          <cell r="I40" t="str">
            <v>матрица</v>
          </cell>
          <cell r="K40">
            <v>60</v>
          </cell>
          <cell r="L40">
            <v>4.9369999999999976</v>
          </cell>
          <cell r="O40">
            <v>34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530</v>
          </cell>
          <cell r="E41">
            <v>356</v>
          </cell>
          <cell r="F41">
            <v>126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363</v>
          </cell>
          <cell r="L41">
            <v>-7</v>
          </cell>
          <cell r="O41">
            <v>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315</v>
          </cell>
          <cell r="D42">
            <v>1</v>
          </cell>
          <cell r="E42">
            <v>123</v>
          </cell>
          <cell r="F42">
            <v>177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131</v>
          </cell>
          <cell r="L42">
            <v>-8</v>
          </cell>
          <cell r="O42">
            <v>0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238</v>
          </cell>
          <cell r="D43">
            <v>220</v>
          </cell>
          <cell r="E43">
            <v>92</v>
          </cell>
          <cell r="F43">
            <v>355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98</v>
          </cell>
          <cell r="L43">
            <v>-6</v>
          </cell>
          <cell r="O43">
            <v>218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240</v>
          </cell>
          <cell r="E44">
            <v>127</v>
          </cell>
          <cell r="F44">
            <v>109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122</v>
          </cell>
          <cell r="L44">
            <v>5</v>
          </cell>
          <cell r="O44">
            <v>0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D45">
            <v>96</v>
          </cell>
          <cell r="E45">
            <v>2</v>
          </cell>
          <cell r="F45">
            <v>94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8</v>
          </cell>
          <cell r="L45">
            <v>-6</v>
          </cell>
          <cell r="O45">
            <v>97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25</v>
          </cell>
          <cell r="D46">
            <v>152</v>
          </cell>
          <cell r="E46">
            <v>24</v>
          </cell>
          <cell r="F46">
            <v>150</v>
          </cell>
          <cell r="G46">
            <v>0.4</v>
          </cell>
          <cell r="H46">
            <v>60</v>
          </cell>
          <cell r="I46" t="str">
            <v>матрица</v>
          </cell>
          <cell r="K46">
            <v>46</v>
          </cell>
          <cell r="L46">
            <v>-22</v>
          </cell>
          <cell r="O46">
            <v>157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33</v>
          </cell>
          <cell r="D47">
            <v>16</v>
          </cell>
          <cell r="E47">
            <v>32</v>
          </cell>
          <cell r="F47">
            <v>17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34</v>
          </cell>
          <cell r="L47">
            <v>-2</v>
          </cell>
          <cell r="O47">
            <v>47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529.00400000000002</v>
          </cell>
          <cell r="D48">
            <v>0.05</v>
          </cell>
          <cell r="E48">
            <v>309.08100000000002</v>
          </cell>
          <cell r="F48">
            <v>193.43299999999999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292</v>
          </cell>
          <cell r="L48">
            <v>17.081000000000017</v>
          </cell>
          <cell r="O48">
            <v>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E49">
            <v>-5</v>
          </cell>
          <cell r="G49">
            <v>0.4</v>
          </cell>
          <cell r="H49">
            <v>45</v>
          </cell>
          <cell r="I49" t="str">
            <v>матрица</v>
          </cell>
          <cell r="K49">
            <v>26</v>
          </cell>
          <cell r="L49">
            <v>-31</v>
          </cell>
          <cell r="O49">
            <v>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G50">
            <v>1</v>
          </cell>
          <cell r="H50">
            <v>60</v>
          </cell>
          <cell r="I50" t="str">
            <v>матрица</v>
          </cell>
          <cell r="L50">
            <v>0</v>
          </cell>
          <cell r="O50">
            <v>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G51">
            <v>1</v>
          </cell>
          <cell r="H51">
            <v>60</v>
          </cell>
          <cell r="I51" t="str">
            <v>матрица</v>
          </cell>
          <cell r="K51">
            <v>3</v>
          </cell>
          <cell r="L51">
            <v>-3</v>
          </cell>
          <cell r="O51">
            <v>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94.3</v>
          </cell>
          <cell r="E52">
            <v>2.83</v>
          </cell>
          <cell r="F52">
            <v>91.47</v>
          </cell>
          <cell r="G52">
            <v>1</v>
          </cell>
          <cell r="H52">
            <v>45</v>
          </cell>
          <cell r="I52" t="str">
            <v>матрица</v>
          </cell>
          <cell r="K52">
            <v>2.5</v>
          </cell>
          <cell r="L52">
            <v>0.33000000000000007</v>
          </cell>
          <cell r="O52">
            <v>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11</v>
          </cell>
          <cell r="D53">
            <v>48</v>
          </cell>
          <cell r="E53">
            <v>11</v>
          </cell>
          <cell r="F53">
            <v>48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12</v>
          </cell>
          <cell r="L53">
            <v>-1</v>
          </cell>
          <cell r="O53">
            <v>55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50.902000000000001</v>
          </cell>
          <cell r="D54">
            <v>47.031999999999996</v>
          </cell>
          <cell r="E54">
            <v>37.104999999999997</v>
          </cell>
          <cell r="F54">
            <v>49.93</v>
          </cell>
          <cell r="G54">
            <v>1</v>
          </cell>
          <cell r="H54">
            <v>45</v>
          </cell>
          <cell r="I54" t="str">
            <v>матрица</v>
          </cell>
          <cell r="K54">
            <v>31.3</v>
          </cell>
          <cell r="L54">
            <v>5.8049999999999962</v>
          </cell>
          <cell r="O54">
            <v>47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112</v>
          </cell>
          <cell r="D55">
            <v>16</v>
          </cell>
          <cell r="E55">
            <v>106</v>
          </cell>
          <cell r="F55">
            <v>16</v>
          </cell>
          <cell r="G55">
            <v>0.27</v>
          </cell>
          <cell r="I55" t="str">
            <v>матрица</v>
          </cell>
          <cell r="K55">
            <v>108</v>
          </cell>
          <cell r="L55">
            <v>-2</v>
          </cell>
          <cell r="O55">
            <v>19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64</v>
          </cell>
          <cell r="D56">
            <v>56</v>
          </cell>
          <cell r="E56">
            <v>64</v>
          </cell>
          <cell r="F56">
            <v>56</v>
          </cell>
          <cell r="G56">
            <v>0.3</v>
          </cell>
          <cell r="H56">
            <v>60</v>
          </cell>
          <cell r="I56" t="str">
            <v>матрица</v>
          </cell>
          <cell r="K56">
            <v>58</v>
          </cell>
          <cell r="L56">
            <v>6</v>
          </cell>
          <cell r="O56">
            <v>60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904</v>
          </cell>
          <cell r="E57">
            <v>276</v>
          </cell>
          <cell r="F57">
            <v>618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282</v>
          </cell>
          <cell r="L57">
            <v>-6</v>
          </cell>
          <cell r="O57">
            <v>0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116.008</v>
          </cell>
          <cell r="D58">
            <v>124.997</v>
          </cell>
          <cell r="E58">
            <v>114.614</v>
          </cell>
          <cell r="F58">
            <v>123.255</v>
          </cell>
          <cell r="G58">
            <v>1</v>
          </cell>
          <cell r="H58">
            <v>50</v>
          </cell>
          <cell r="I58" t="str">
            <v>матрица</v>
          </cell>
          <cell r="K58">
            <v>109.5</v>
          </cell>
          <cell r="L58">
            <v>5.1140000000000043</v>
          </cell>
          <cell r="O58">
            <v>120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2</v>
          </cell>
          <cell r="D59">
            <v>192</v>
          </cell>
          <cell r="E59">
            <v>2</v>
          </cell>
          <cell r="F59">
            <v>192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32</v>
          </cell>
          <cell r="L59">
            <v>-30</v>
          </cell>
          <cell r="O59">
            <v>196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31</v>
          </cell>
          <cell r="D60">
            <v>62.006</v>
          </cell>
          <cell r="E60">
            <v>24.789000000000001</v>
          </cell>
          <cell r="F60">
            <v>55.841999999999999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23</v>
          </cell>
          <cell r="L60">
            <v>1.7890000000000015</v>
          </cell>
          <cell r="O60">
            <v>64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550</v>
          </cell>
          <cell r="E61">
            <v>254</v>
          </cell>
          <cell r="F61">
            <v>273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250</v>
          </cell>
          <cell r="L61">
            <v>4</v>
          </cell>
          <cell r="O61">
            <v>0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165.703</v>
          </cell>
          <cell r="D62">
            <v>6.2E-2</v>
          </cell>
          <cell r="E62">
            <v>158.124</v>
          </cell>
          <cell r="F62">
            <v>6.0279999999999996</v>
          </cell>
          <cell r="G62">
            <v>1</v>
          </cell>
          <cell r="H62">
            <v>50</v>
          </cell>
          <cell r="I62" t="str">
            <v>матрица</v>
          </cell>
          <cell r="K62">
            <v>148.80000000000001</v>
          </cell>
          <cell r="L62">
            <v>9.3239999999999839</v>
          </cell>
          <cell r="O62">
            <v>0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126</v>
          </cell>
          <cell r="E63">
            <v>67</v>
          </cell>
          <cell r="F63">
            <v>51</v>
          </cell>
          <cell r="G63">
            <v>0.3</v>
          </cell>
          <cell r="H63">
            <v>50</v>
          </cell>
          <cell r="I63" t="str">
            <v>матрица</v>
          </cell>
          <cell r="K63">
            <v>64</v>
          </cell>
          <cell r="L63">
            <v>3</v>
          </cell>
          <cell r="O63">
            <v>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564</v>
          </cell>
          <cell r="E64">
            <v>138</v>
          </cell>
          <cell r="F64">
            <v>406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148</v>
          </cell>
          <cell r="L64">
            <v>-10</v>
          </cell>
          <cell r="O64">
            <v>0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78</v>
          </cell>
          <cell r="E65">
            <v>39</v>
          </cell>
          <cell r="F65">
            <v>37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39</v>
          </cell>
          <cell r="L65">
            <v>0</v>
          </cell>
          <cell r="O65">
            <v>0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10</v>
          </cell>
          <cell r="D66">
            <v>60</v>
          </cell>
          <cell r="E66">
            <v>10</v>
          </cell>
          <cell r="F66">
            <v>60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12.5</v>
          </cell>
          <cell r="L66">
            <v>-2.5</v>
          </cell>
          <cell r="O66">
            <v>61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667</v>
          </cell>
          <cell r="E67">
            <v>329</v>
          </cell>
          <cell r="F67">
            <v>277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327</v>
          </cell>
          <cell r="L67">
            <v>2</v>
          </cell>
          <cell r="O67">
            <v>0</v>
          </cell>
        </row>
        <row r="68">
          <cell r="A68" t="str">
            <v>7156 СЕРВЕЛАТ КОПЧ.НА БУКЕ в/к в/у 0.35кг_50с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70.2</v>
          </cell>
          <cell r="E69">
            <v>68.69</v>
          </cell>
          <cell r="F69">
            <v>0.13200000000000001</v>
          </cell>
          <cell r="G69">
            <v>1</v>
          </cell>
          <cell r="H69">
            <v>50</v>
          </cell>
          <cell r="I69" t="str">
            <v>матрица</v>
          </cell>
          <cell r="K69">
            <v>151.1</v>
          </cell>
          <cell r="L69">
            <v>-82.41</v>
          </cell>
          <cell r="O69">
            <v>73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124.205</v>
          </cell>
          <cell r="D70">
            <v>5.5519999999999996</v>
          </cell>
          <cell r="E70">
            <v>122.34699999999999</v>
          </cell>
          <cell r="F70">
            <v>1.159</v>
          </cell>
          <cell r="G70">
            <v>1</v>
          </cell>
          <cell r="H70">
            <v>50</v>
          </cell>
          <cell r="I70" t="str">
            <v>матрица</v>
          </cell>
          <cell r="K70">
            <v>178.5</v>
          </cell>
          <cell r="L70">
            <v>-56.153000000000006</v>
          </cell>
          <cell r="O70">
            <v>22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747</v>
          </cell>
          <cell r="D71">
            <v>1</v>
          </cell>
          <cell r="E71">
            <v>334</v>
          </cell>
          <cell r="F71">
            <v>371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337</v>
          </cell>
          <cell r="L71">
            <v>-3</v>
          </cell>
          <cell r="O71">
            <v>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82</v>
          </cell>
          <cell r="D72">
            <v>84</v>
          </cell>
          <cell r="E72">
            <v>76</v>
          </cell>
          <cell r="F72">
            <v>87</v>
          </cell>
          <cell r="G72">
            <v>0.3</v>
          </cell>
          <cell r="H72">
            <v>50</v>
          </cell>
          <cell r="I72" t="str">
            <v>матрица</v>
          </cell>
          <cell r="K72">
            <v>78</v>
          </cell>
          <cell r="L72">
            <v>-2</v>
          </cell>
          <cell r="O72">
            <v>86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8</v>
          </cell>
          <cell r="D73">
            <v>112</v>
          </cell>
          <cell r="E73">
            <v>8</v>
          </cell>
          <cell r="F73">
            <v>109</v>
          </cell>
          <cell r="G73">
            <v>0.3</v>
          </cell>
          <cell r="H73">
            <v>60</v>
          </cell>
          <cell r="I73" t="str">
            <v>матрица</v>
          </cell>
          <cell r="K73">
            <v>36</v>
          </cell>
          <cell r="L73">
            <v>-28</v>
          </cell>
          <cell r="O73">
            <v>112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369</v>
          </cell>
          <cell r="E74">
            <v>263</v>
          </cell>
          <cell r="F74">
            <v>82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264</v>
          </cell>
          <cell r="L74">
            <v>-1</v>
          </cell>
          <cell r="O74">
            <v>0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577</v>
          </cell>
          <cell r="D75">
            <v>1</v>
          </cell>
          <cell r="E75">
            <v>264</v>
          </cell>
          <cell r="F75">
            <v>278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264.7</v>
          </cell>
          <cell r="L75">
            <v>-0.69999999999998863</v>
          </cell>
          <cell r="O75">
            <v>0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536</v>
          </cell>
          <cell r="E76">
            <v>186</v>
          </cell>
          <cell r="F76">
            <v>314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173</v>
          </cell>
          <cell r="L76">
            <v>13</v>
          </cell>
          <cell r="O76">
            <v>0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306</v>
          </cell>
          <cell r="E77">
            <v>202</v>
          </cell>
          <cell r="F77">
            <v>84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197</v>
          </cell>
          <cell r="L77">
            <v>5</v>
          </cell>
          <cell r="O77">
            <v>0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G78">
            <v>1</v>
          </cell>
          <cell r="H78">
            <v>30</v>
          </cell>
          <cell r="I78" t="str">
            <v>матрица</v>
          </cell>
          <cell r="L78">
            <v>0</v>
          </cell>
          <cell r="O78">
            <v>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118</v>
          </cell>
          <cell r="E79">
            <v>43</v>
          </cell>
          <cell r="F79">
            <v>75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39</v>
          </cell>
          <cell r="L79">
            <v>4</v>
          </cell>
          <cell r="O79">
            <v>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120</v>
          </cell>
          <cell r="E80">
            <v>58</v>
          </cell>
          <cell r="F80">
            <v>62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42</v>
          </cell>
          <cell r="L80">
            <v>16</v>
          </cell>
          <cell r="O80">
            <v>0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426</v>
          </cell>
          <cell r="E81">
            <v>205</v>
          </cell>
          <cell r="F81">
            <v>178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208</v>
          </cell>
          <cell r="L81">
            <v>-3</v>
          </cell>
          <cell r="O81">
            <v>0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84</v>
          </cell>
          <cell r="E82">
            <v>84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91</v>
          </cell>
          <cell r="L82">
            <v>-7</v>
          </cell>
          <cell r="O82">
            <v>0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71</v>
          </cell>
          <cell r="E83">
            <v>71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80</v>
          </cell>
          <cell r="L83">
            <v>-9</v>
          </cell>
          <cell r="O83">
            <v>0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44</v>
          </cell>
          <cell r="D84">
            <v>72</v>
          </cell>
          <cell r="E84">
            <v>43</v>
          </cell>
          <cell r="F84">
            <v>72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92</v>
          </cell>
          <cell r="L84">
            <v>-49</v>
          </cell>
          <cell r="O84">
            <v>74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83</v>
          </cell>
          <cell r="E85">
            <v>53</v>
          </cell>
          <cell r="F85">
            <v>27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48</v>
          </cell>
          <cell r="L85">
            <v>5</v>
          </cell>
          <cell r="O85">
            <v>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86</v>
          </cell>
          <cell r="E86">
            <v>81</v>
          </cell>
          <cell r="F86">
            <v>1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76</v>
          </cell>
          <cell r="L86">
            <v>5</v>
          </cell>
          <cell r="O86">
            <v>0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89.95</v>
          </cell>
          <cell r="E87">
            <v>54.771000000000001</v>
          </cell>
          <cell r="F87">
            <v>28.542000000000002</v>
          </cell>
          <cell r="G87">
            <v>1</v>
          </cell>
          <cell r="H87">
            <v>30</v>
          </cell>
          <cell r="I87" t="str">
            <v>матрица</v>
          </cell>
          <cell r="K87">
            <v>43.9</v>
          </cell>
          <cell r="L87">
            <v>10.871000000000002</v>
          </cell>
          <cell r="O87">
            <v>0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90</v>
          </cell>
          <cell r="E88">
            <v>37</v>
          </cell>
          <cell r="F88">
            <v>52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40</v>
          </cell>
          <cell r="L88">
            <v>-3</v>
          </cell>
          <cell r="O88">
            <v>0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97.5</v>
          </cell>
          <cell r="E89">
            <v>1.39</v>
          </cell>
          <cell r="F89">
            <v>96.11</v>
          </cell>
          <cell r="G89">
            <v>1</v>
          </cell>
          <cell r="H89">
            <v>30</v>
          </cell>
          <cell r="I89" t="str">
            <v>матрица</v>
          </cell>
          <cell r="K89">
            <v>2.2999999999999998</v>
          </cell>
          <cell r="L89">
            <v>-0.90999999999999992</v>
          </cell>
          <cell r="O89">
            <v>0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D90">
            <v>6</v>
          </cell>
          <cell r="F90">
            <v>6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12</v>
          </cell>
          <cell r="L90">
            <v>-12</v>
          </cell>
          <cell r="O90">
            <v>9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51</v>
          </cell>
          <cell r="E91">
            <v>38</v>
          </cell>
          <cell r="F91">
            <v>9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41</v>
          </cell>
          <cell r="L91">
            <v>-3</v>
          </cell>
          <cell r="O91">
            <v>0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79.900000000000006</v>
          </cell>
          <cell r="E92">
            <v>3.6070000000000002</v>
          </cell>
          <cell r="F92">
            <v>76.293000000000006</v>
          </cell>
          <cell r="G92">
            <v>1</v>
          </cell>
          <cell r="H92">
            <v>45</v>
          </cell>
          <cell r="I92" t="str">
            <v>матрица</v>
          </cell>
          <cell r="K92">
            <v>5</v>
          </cell>
          <cell r="L92">
            <v>-1.3929999999999998</v>
          </cell>
          <cell r="O92">
            <v>0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11.901</v>
          </cell>
          <cell r="E93">
            <v>11.855</v>
          </cell>
          <cell r="F93">
            <v>4.5999999999999999E-2</v>
          </cell>
          <cell r="G93">
            <v>1</v>
          </cell>
          <cell r="I93" t="str">
            <v>матрица</v>
          </cell>
          <cell r="K93">
            <v>11.4</v>
          </cell>
          <cell r="L93">
            <v>0.45500000000000007</v>
          </cell>
          <cell r="O93">
            <v>0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275</v>
          </cell>
          <cell r="E94">
            <v>66</v>
          </cell>
          <cell r="F94">
            <v>209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69</v>
          </cell>
          <cell r="L94">
            <v>-3</v>
          </cell>
          <cell r="O94">
            <v>0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249</v>
          </cell>
          <cell r="E95">
            <v>183</v>
          </cell>
          <cell r="F95">
            <v>56</v>
          </cell>
          <cell r="G95">
            <v>0.1</v>
          </cell>
          <cell r="H95">
            <v>60</v>
          </cell>
          <cell r="I95" t="str">
            <v>матрица</v>
          </cell>
          <cell r="K95">
            <v>180</v>
          </cell>
          <cell r="L95">
            <v>3</v>
          </cell>
          <cell r="O95">
            <v>0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D96">
            <v>80</v>
          </cell>
          <cell r="F96">
            <v>80</v>
          </cell>
          <cell r="G96">
            <v>0.1</v>
          </cell>
          <cell r="H96">
            <v>60</v>
          </cell>
          <cell r="I96" t="str">
            <v>матрица</v>
          </cell>
          <cell r="K96">
            <v>28</v>
          </cell>
          <cell r="L96">
            <v>-28</v>
          </cell>
          <cell r="O96">
            <v>88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120</v>
          </cell>
          <cell r="D97">
            <v>32</v>
          </cell>
          <cell r="E97">
            <v>95</v>
          </cell>
          <cell r="F97">
            <v>52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101</v>
          </cell>
          <cell r="L97">
            <v>-6</v>
          </cell>
          <cell r="O97">
            <v>34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1</v>
          </cell>
          <cell r="E98">
            <v>1</v>
          </cell>
          <cell r="G98">
            <v>0.1</v>
          </cell>
          <cell r="I98" t="str">
            <v>матрица</v>
          </cell>
          <cell r="K98">
            <v>1</v>
          </cell>
          <cell r="L98">
            <v>0</v>
          </cell>
          <cell r="O98">
            <v>0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D99">
            <v>8</v>
          </cell>
          <cell r="E99">
            <v>-1</v>
          </cell>
          <cell r="F99">
            <v>8</v>
          </cell>
          <cell r="G99">
            <v>0.1</v>
          </cell>
          <cell r="I99" t="str">
            <v>матрица</v>
          </cell>
          <cell r="L99">
            <v>-1</v>
          </cell>
          <cell r="O99">
            <v>8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76</v>
          </cell>
          <cell r="E100">
            <v>61</v>
          </cell>
          <cell r="F100">
            <v>12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56</v>
          </cell>
          <cell r="L100">
            <v>5</v>
          </cell>
          <cell r="O100">
            <v>0</v>
          </cell>
        </row>
        <row r="101">
          <cell r="A101" t="str">
            <v>8014 ДОКТОРСКАЯ ПРЕМИУМ вар п/о(п)</v>
          </cell>
          <cell r="B101" t="str">
            <v>кг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</row>
        <row r="102">
          <cell r="A102" t="str">
            <v>БОНУС_6087 СОЧНЫЕ ПМ сос п/о мгс 0,41кг 10шт.  ОСТАНКИНО</v>
          </cell>
          <cell r="B102" t="str">
            <v>шт</v>
          </cell>
          <cell r="C102">
            <v>29</v>
          </cell>
          <cell r="F102">
            <v>29</v>
          </cell>
          <cell r="G102">
            <v>0</v>
          </cell>
          <cell r="I102" t="str">
            <v>бонус</v>
          </cell>
          <cell r="J102" t="str">
            <v>7066 СОЧНЫЕ ПМ сос п/о мгс 0,41кг 10шт 50с  Останкино</v>
          </cell>
          <cell r="L102">
            <v>0</v>
          </cell>
          <cell r="O10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4063 МЯСНАЯ Папа может вар п/о_Л   ОСТАНКИНО</v>
          </cell>
          <cell r="B2">
            <v>169.553</v>
          </cell>
        </row>
        <row r="3">
          <cell r="A3" t="str">
            <v>4813 ФИЛЕЙНАЯ Папа может вар п/о_Л   ОСТАНКИНО</v>
          </cell>
          <cell r="B3">
            <v>178.35300000000001</v>
          </cell>
        </row>
        <row r="4">
          <cell r="A4" t="str">
            <v>7040 С ИНДЕЙКОЙ ПМ сос ц/о в/у 1/270 8шт.  ОСТАНКИНО</v>
          </cell>
          <cell r="B4">
            <v>16</v>
          </cell>
        </row>
        <row r="5">
          <cell r="A5" t="str">
            <v>6724 МОЛОЧНЫЕ ПМ сос п/о мгс 0,41кг 10шт  Останкино</v>
          </cell>
          <cell r="B5">
            <v>220</v>
          </cell>
        </row>
        <row r="6">
          <cell r="A6" t="str">
            <v>6303 Мясные Папа может сос п/о мгс 1,5*3  Останкино</v>
          </cell>
          <cell r="B6">
            <v>448.24700000000001</v>
          </cell>
        </row>
        <row r="7">
          <cell r="A7" t="str">
            <v>7070 СОЧНЫЕ ПМ сос п/о 1,5*4_А_50с  Останкино</v>
          </cell>
          <cell r="B7">
            <v>124.997</v>
          </cell>
        </row>
        <row r="8">
          <cell r="A8" t="str">
            <v>7059 ШПИКАЧКИ СОЧНЫЕ С БЕК. п/о мгс 0,3кг 60с ОСТАНКИНО</v>
          </cell>
          <cell r="B8">
            <v>56</v>
          </cell>
        </row>
        <row r="9">
          <cell r="A9" t="str">
            <v>5544 Сервелат Финский в/к в/у_45с НОВАЯ ОСТАНКИНО</v>
          </cell>
          <cell r="B9">
            <v>173.81100000000001</v>
          </cell>
        </row>
        <row r="10">
          <cell r="A10" t="str">
            <v>Поддон деревянный ЕВРО</v>
          </cell>
          <cell r="B10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9"/>
  <sheetViews>
    <sheetView workbookViewId="0">
      <selection activeCell="H15" sqref="H15"/>
    </sheetView>
  </sheetViews>
  <sheetFormatPr defaultColWidth="10.5" defaultRowHeight="11.45" customHeight="1" x14ac:dyDescent="0.2"/>
  <cols>
    <col min="1" max="1" width="57.6640625" style="1" bestFit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</v>
      </c>
    </row>
    <row r="3" spans="1:2" ht="11.1" customHeight="1" x14ac:dyDescent="0.2">
      <c r="A3" s="3" t="s">
        <v>3</v>
      </c>
      <c r="B3" s="4">
        <v>8.0969999999999995</v>
      </c>
    </row>
    <row r="4" spans="1:2" ht="11.1" customHeight="1" x14ac:dyDescent="0.2">
      <c r="A4" s="3" t="s">
        <v>4</v>
      </c>
      <c r="B4" s="4">
        <v>104.81</v>
      </c>
    </row>
    <row r="5" spans="1:2" ht="11.1" customHeight="1" x14ac:dyDescent="0.2">
      <c r="A5" s="3" t="s">
        <v>5</v>
      </c>
      <c r="B5" s="4">
        <v>169.078</v>
      </c>
    </row>
    <row r="6" spans="1:2" ht="11.1" customHeight="1" x14ac:dyDescent="0.2">
      <c r="A6" s="3" t="s">
        <v>6</v>
      </c>
      <c r="B6" s="4">
        <v>177.089</v>
      </c>
    </row>
    <row r="7" spans="1:2" ht="11.1" customHeight="1" x14ac:dyDescent="0.2">
      <c r="A7" s="3" t="s">
        <v>7</v>
      </c>
      <c r="B7" s="4">
        <v>85.542000000000002</v>
      </c>
    </row>
    <row r="8" spans="1:2" ht="11.1" customHeight="1" x14ac:dyDescent="0.2">
      <c r="A8" s="3" t="s">
        <v>8</v>
      </c>
      <c r="B8" s="4">
        <v>32</v>
      </c>
    </row>
    <row r="9" spans="1:2" ht="11.1" customHeight="1" x14ac:dyDescent="0.2">
      <c r="A9" s="3" t="s">
        <v>9</v>
      </c>
      <c r="B9" s="4">
        <v>64</v>
      </c>
    </row>
    <row r="10" spans="1:2" ht="11.1" customHeight="1" x14ac:dyDescent="0.2">
      <c r="A10" s="3" t="s">
        <v>10</v>
      </c>
      <c r="B10" s="4">
        <v>152</v>
      </c>
    </row>
    <row r="11" spans="1:2" ht="11.1" customHeight="1" x14ac:dyDescent="0.2">
      <c r="A11" s="3" t="s">
        <v>11</v>
      </c>
      <c r="B11" s="4">
        <v>112</v>
      </c>
    </row>
    <row r="12" spans="1:2" ht="11.1" customHeight="1" x14ac:dyDescent="0.2">
      <c r="A12" s="3" t="s">
        <v>12</v>
      </c>
      <c r="B12" s="4">
        <v>72</v>
      </c>
    </row>
    <row r="13" spans="1:2" ht="11.1" customHeight="1" x14ac:dyDescent="0.2">
      <c r="A13" s="3" t="s">
        <v>13</v>
      </c>
      <c r="B13" s="4">
        <v>62.006</v>
      </c>
    </row>
    <row r="14" spans="1:2" ht="11.1" customHeight="1" x14ac:dyDescent="0.2">
      <c r="A14" s="3" t="s">
        <v>14</v>
      </c>
      <c r="B14" s="4">
        <v>192</v>
      </c>
    </row>
    <row r="15" spans="1:2" ht="11.1" customHeight="1" x14ac:dyDescent="0.2">
      <c r="A15" s="3" t="s">
        <v>15</v>
      </c>
      <c r="B15" s="4">
        <v>30.853000000000002</v>
      </c>
    </row>
    <row r="16" spans="1:2" ht="11.1" customHeight="1" x14ac:dyDescent="0.2">
      <c r="A16" s="3" t="s">
        <v>16</v>
      </c>
      <c r="B16" s="4">
        <v>56.176000000000002</v>
      </c>
    </row>
    <row r="17" spans="1:2" ht="11.1" customHeight="1" x14ac:dyDescent="0.2">
      <c r="A17" s="3" t="s">
        <v>17</v>
      </c>
      <c r="B17" s="4">
        <v>47.031999999999996</v>
      </c>
    </row>
    <row r="18" spans="1:2" ht="11.1" customHeight="1" x14ac:dyDescent="0.2">
      <c r="A18" s="3" t="s">
        <v>18</v>
      </c>
      <c r="B18" s="4">
        <v>84.757000000000005</v>
      </c>
    </row>
    <row r="19" spans="1:2" ht="11.1" customHeight="1" x14ac:dyDescent="0.2">
      <c r="A19" s="3" t="s">
        <v>19</v>
      </c>
      <c r="B19" s="4">
        <v>60</v>
      </c>
    </row>
    <row r="20" spans="1:2" ht="11.1" customHeight="1" x14ac:dyDescent="0.2">
      <c r="A20" s="3" t="s">
        <v>20</v>
      </c>
      <c r="B20" s="4">
        <v>16</v>
      </c>
    </row>
    <row r="21" spans="1:2" ht="11.1" customHeight="1" x14ac:dyDescent="0.2">
      <c r="A21" s="3" t="s">
        <v>21</v>
      </c>
      <c r="B21" s="4">
        <v>96</v>
      </c>
    </row>
    <row r="22" spans="1:2" ht="11.1" customHeight="1" x14ac:dyDescent="0.2">
      <c r="A22" s="3" t="s">
        <v>22</v>
      </c>
      <c r="B22" s="4">
        <v>5.5519999999999996</v>
      </c>
    </row>
    <row r="23" spans="1:2" ht="11.1" customHeight="1" x14ac:dyDescent="0.2">
      <c r="A23" s="3" t="s">
        <v>23</v>
      </c>
      <c r="B23" s="4">
        <v>48</v>
      </c>
    </row>
    <row r="24" spans="1:2" ht="11.1" customHeight="1" x14ac:dyDescent="0.2">
      <c r="A24" s="3" t="s">
        <v>24</v>
      </c>
      <c r="B24" s="4">
        <v>80</v>
      </c>
    </row>
    <row r="25" spans="1:2" ht="11.1" customHeight="1" x14ac:dyDescent="0.2">
      <c r="A25" s="3" t="s">
        <v>25</v>
      </c>
      <c r="B25" s="4">
        <v>50</v>
      </c>
    </row>
    <row r="26" spans="1:2" ht="11.1" customHeight="1" x14ac:dyDescent="0.2">
      <c r="A26" s="3" t="s">
        <v>26</v>
      </c>
      <c r="B26" s="4">
        <v>18</v>
      </c>
    </row>
    <row r="27" spans="1:2" ht="11.1" customHeight="1" x14ac:dyDescent="0.2">
      <c r="A27" s="3" t="s">
        <v>27</v>
      </c>
      <c r="B27" s="4">
        <v>8</v>
      </c>
    </row>
    <row r="28" spans="1:2" ht="11.1" customHeight="1" x14ac:dyDescent="0.2">
      <c r="A28" s="3" t="s">
        <v>28</v>
      </c>
      <c r="B28" s="4">
        <v>84</v>
      </c>
    </row>
    <row r="29" spans="1:2" ht="11.1" customHeight="1" x14ac:dyDescent="0.2">
      <c r="A29" s="3" t="s">
        <v>29</v>
      </c>
      <c r="B29" s="4">
        <v>9</v>
      </c>
    </row>
  </sheetData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1C4B-E098-4B18-9054-803E940D1071}">
  <dimension ref="A1:D39"/>
  <sheetViews>
    <sheetView tabSelected="1" workbookViewId="0">
      <selection activeCell="K23" sqref="K23"/>
    </sheetView>
  </sheetViews>
  <sheetFormatPr defaultRowHeight="11.25" x14ac:dyDescent="0.2"/>
  <cols>
    <col min="1" max="1" width="57.83203125" bestFit="1" customWidth="1"/>
    <col min="2" max="2" width="12.6640625" bestFit="1" customWidth="1"/>
    <col min="3" max="4" width="12.6640625" style="7" bestFit="1" customWidth="1"/>
  </cols>
  <sheetData>
    <row r="1" spans="1:4" x14ac:dyDescent="0.2">
      <c r="A1" s="1"/>
      <c r="B1" s="5" t="s">
        <v>32</v>
      </c>
      <c r="C1" s="6" t="s">
        <v>30</v>
      </c>
      <c r="D1" s="6" t="s">
        <v>31</v>
      </c>
    </row>
    <row r="2" spans="1:4" ht="12.75" x14ac:dyDescent="0.2">
      <c r="A2" s="8" t="s">
        <v>0</v>
      </c>
      <c r="B2" s="8" t="s">
        <v>1</v>
      </c>
      <c r="C2" s="9" t="s">
        <v>1</v>
      </c>
      <c r="D2" s="9" t="s">
        <v>1</v>
      </c>
    </row>
    <row r="3" spans="1:4" x14ac:dyDescent="0.2">
      <c r="A3" s="10" t="s">
        <v>5</v>
      </c>
      <c r="B3" s="10">
        <f>VLOOKUP(A3,[1]Sheet!$A:$O,15,0)</f>
        <v>172</v>
      </c>
      <c r="C3" s="11">
        <f>IFERROR(VLOOKUP(A3,TDSheet!A:B,2,0),0)</f>
        <v>169.078</v>
      </c>
      <c r="D3" s="12">
        <f>IFERROR(VLOOKUP(A3,[2]TDSheet!$A:$B,2,0),0)</f>
        <v>169.553</v>
      </c>
    </row>
    <row r="4" spans="1:4" x14ac:dyDescent="0.2">
      <c r="A4" s="10" t="s">
        <v>6</v>
      </c>
      <c r="B4" s="10">
        <f>VLOOKUP(A4,[1]Sheet!$A:$O,15,0)</f>
        <v>181</v>
      </c>
      <c r="C4" s="11">
        <f>IFERROR(VLOOKUP(A4,TDSheet!A:B,2,0),0)</f>
        <v>177.089</v>
      </c>
      <c r="D4" s="12">
        <f>IFERROR(VLOOKUP(A4,[2]TDSheet!$A:$B,2,0),0)</f>
        <v>178.35300000000001</v>
      </c>
    </row>
    <row r="5" spans="1:4" x14ac:dyDescent="0.2">
      <c r="A5" s="10" t="s">
        <v>26</v>
      </c>
      <c r="B5" s="10">
        <f>VLOOKUP(A5,[1]Sheet!$A:$O,15,0)</f>
        <v>21</v>
      </c>
      <c r="C5" s="11">
        <f>IFERROR(VLOOKUP(A5,TDSheet!A:B,2,0),0)</f>
        <v>18</v>
      </c>
      <c r="D5" s="11">
        <f>IFERROR(VLOOKUP(A5,[2]TDSheet!$A:$B,2,0),0)</f>
        <v>0</v>
      </c>
    </row>
    <row r="6" spans="1:4" x14ac:dyDescent="0.2">
      <c r="A6" s="10" t="s">
        <v>33</v>
      </c>
      <c r="B6" s="10">
        <f>VLOOKUP(A6,[1]Sheet!$A:$O,15,0)</f>
        <v>164</v>
      </c>
      <c r="C6" s="11">
        <f>IFERROR(VLOOKUP(A6,TDSheet!A:B,2,0),0)</f>
        <v>0</v>
      </c>
      <c r="D6" s="11">
        <f>IFERROR(VLOOKUP(A6,[2]TDSheet!$A:$B,2,0),0)</f>
        <v>173.81100000000001</v>
      </c>
    </row>
    <row r="7" spans="1:4" x14ac:dyDescent="0.2">
      <c r="A7" s="10" t="s">
        <v>7</v>
      </c>
      <c r="B7" s="10">
        <f>VLOOKUP(A7,[1]Sheet!$A:$O,15,0)</f>
        <v>86</v>
      </c>
      <c r="C7" s="11">
        <f>IFERROR(VLOOKUP(A7,TDSheet!A:B,2,0),0)</f>
        <v>85.542000000000002</v>
      </c>
      <c r="D7" s="11">
        <f>IFERROR(VLOOKUP(A7,[2]TDSheet!$A:$B,2,0),0)</f>
        <v>0</v>
      </c>
    </row>
    <row r="8" spans="1:4" x14ac:dyDescent="0.2">
      <c r="A8" s="10" t="s">
        <v>3</v>
      </c>
      <c r="B8" s="10">
        <f>VLOOKUP(A8,[1]Sheet!$A:$O,15,0)</f>
        <v>65</v>
      </c>
      <c r="C8" s="11">
        <f>IFERROR(VLOOKUP(A8,TDSheet!A:B,2,0),0)</f>
        <v>8.0969999999999995</v>
      </c>
      <c r="D8" s="11">
        <f>IFERROR(VLOOKUP(A8,[2]TDSheet!$A:$B,2,0),0)</f>
        <v>0</v>
      </c>
    </row>
    <row r="9" spans="1:4" x14ac:dyDescent="0.2">
      <c r="A9" s="10" t="s">
        <v>25</v>
      </c>
      <c r="B9" s="10">
        <f>VLOOKUP(A9,[1]Sheet!$A:$O,15,0)</f>
        <v>60</v>
      </c>
      <c r="C9" s="11">
        <f>IFERROR(VLOOKUP(A9,TDSheet!A:B,2,0),0)</f>
        <v>50</v>
      </c>
      <c r="D9" s="13">
        <f>IFERROR(VLOOKUP(A9,[2]TDSheet!$A:$B,2,0),0)</f>
        <v>0</v>
      </c>
    </row>
    <row r="10" spans="1:4" x14ac:dyDescent="0.2">
      <c r="A10" s="10" t="s">
        <v>34</v>
      </c>
      <c r="B10" s="10">
        <f>VLOOKUP(A10,[1]Sheet!$A:$O,15,0)</f>
        <v>434</v>
      </c>
      <c r="C10" s="11">
        <f>IFERROR(VLOOKUP(A10,TDSheet!A:B,2,0),0)</f>
        <v>0</v>
      </c>
      <c r="D10" s="11">
        <f>IFERROR(VLOOKUP(A10,[2]TDSheet!$A:$B,2,0),0)</f>
        <v>448.24700000000001</v>
      </c>
    </row>
    <row r="11" spans="1:4" x14ac:dyDescent="0.2">
      <c r="A11" s="10" t="s">
        <v>9</v>
      </c>
      <c r="B11" s="10">
        <f>VLOOKUP(A11,[1]Sheet!$A:$O,15,0)</f>
        <v>66</v>
      </c>
      <c r="C11" s="11">
        <f>IFERROR(VLOOKUP(A11,TDSheet!A:B,2,0),0)</f>
        <v>64</v>
      </c>
      <c r="D11" s="11">
        <f>IFERROR(VLOOKUP(A11,[2]TDSheet!$A:$B,2,0),0)</f>
        <v>0</v>
      </c>
    </row>
    <row r="12" spans="1:4" x14ac:dyDescent="0.2">
      <c r="A12" s="10" t="s">
        <v>4</v>
      </c>
      <c r="B12" s="10">
        <f>VLOOKUP(A12,[1]Sheet!$A:$O,15,0)</f>
        <v>104</v>
      </c>
      <c r="C12" s="11">
        <f>IFERROR(VLOOKUP(A12,TDSheet!A:B,2,0),0)</f>
        <v>104.81</v>
      </c>
      <c r="D12" s="11">
        <f>IFERROR(VLOOKUP(A12,[2]TDSheet!$A:$B,2,0),0)</f>
        <v>0</v>
      </c>
    </row>
    <row r="13" spans="1:4" x14ac:dyDescent="0.2">
      <c r="A13" s="10" t="s">
        <v>18</v>
      </c>
      <c r="B13" s="10">
        <f>VLOOKUP(A13,[1]Sheet!$A:$O,15,0)</f>
        <v>111</v>
      </c>
      <c r="C13" s="11">
        <f>IFERROR(VLOOKUP(A13,TDSheet!A:B,2,0),0)</f>
        <v>84.757000000000005</v>
      </c>
      <c r="D13" s="13">
        <f>IFERROR(VLOOKUP(A13,[2]TDSheet!$A:$B,2,0),0)</f>
        <v>0</v>
      </c>
    </row>
    <row r="14" spans="1:4" x14ac:dyDescent="0.2">
      <c r="A14" s="10" t="s">
        <v>16</v>
      </c>
      <c r="B14" s="10">
        <f>VLOOKUP(A14,[1]Sheet!$A:$O,15,0)</f>
        <v>102</v>
      </c>
      <c r="C14" s="11">
        <f>IFERROR(VLOOKUP(A14,TDSheet!A:B,2,0),0)</f>
        <v>56.176000000000002</v>
      </c>
      <c r="D14" s="13">
        <f>IFERROR(VLOOKUP(A14,[2]TDSheet!$A:$B,2,0),0)</f>
        <v>0</v>
      </c>
    </row>
    <row r="15" spans="1:4" x14ac:dyDescent="0.2">
      <c r="A15" s="10" t="s">
        <v>15</v>
      </c>
      <c r="B15" s="10">
        <f>VLOOKUP(A15,[1]Sheet!$A:$O,15,0)</f>
        <v>34</v>
      </c>
      <c r="C15" s="11">
        <f>IFERROR(VLOOKUP(A15,TDSheet!A:B,2,0),0)</f>
        <v>30.853000000000002</v>
      </c>
      <c r="D15" s="11">
        <f>IFERROR(VLOOKUP(A15,[2]TDSheet!$A:$B,2,0),0)</f>
        <v>0</v>
      </c>
    </row>
    <row r="16" spans="1:4" x14ac:dyDescent="0.2">
      <c r="A16" s="10" t="s">
        <v>35</v>
      </c>
      <c r="B16" s="10">
        <f>VLOOKUP(A16,[1]Sheet!$A:$O,15,0)</f>
        <v>218</v>
      </c>
      <c r="C16" s="11">
        <f>IFERROR(VLOOKUP(A16,TDSheet!A:B,2,0),0)</f>
        <v>0</v>
      </c>
      <c r="D16" s="11">
        <f>IFERROR(VLOOKUP(A16,[2]TDSheet!$A:$B,2,0),0)</f>
        <v>220</v>
      </c>
    </row>
    <row r="17" spans="1:4" x14ac:dyDescent="0.2">
      <c r="A17" s="10" t="s">
        <v>21</v>
      </c>
      <c r="B17" s="10">
        <f>VLOOKUP(A17,[1]Sheet!$A:$O,15,0)</f>
        <v>97</v>
      </c>
      <c r="C17" s="11">
        <f>IFERROR(VLOOKUP(A17,TDSheet!A:B,2,0),0)</f>
        <v>96</v>
      </c>
      <c r="D17" s="11">
        <f>IFERROR(VLOOKUP(A17,[2]TDSheet!$A:$B,2,0),0)</f>
        <v>0</v>
      </c>
    </row>
    <row r="18" spans="1:4" x14ac:dyDescent="0.2">
      <c r="A18" s="10" t="s">
        <v>10</v>
      </c>
      <c r="B18" s="10">
        <f>VLOOKUP(A18,[1]Sheet!$A:$O,15,0)</f>
        <v>157</v>
      </c>
      <c r="C18" s="11">
        <f>IFERROR(VLOOKUP(A18,TDSheet!A:B,2,0),0)</f>
        <v>152</v>
      </c>
      <c r="D18" s="11">
        <f>IFERROR(VLOOKUP(A18,[2]TDSheet!$A:$B,2,0),0)</f>
        <v>0</v>
      </c>
    </row>
    <row r="19" spans="1:4" x14ac:dyDescent="0.2">
      <c r="A19" s="10" t="s">
        <v>20</v>
      </c>
      <c r="B19" s="10">
        <f>VLOOKUP(A19,[1]Sheet!$A:$O,15,0)</f>
        <v>47</v>
      </c>
      <c r="C19" s="11">
        <f>IFERROR(VLOOKUP(A19,TDSheet!A:B,2,0),0)</f>
        <v>16</v>
      </c>
      <c r="D19" s="13">
        <f>IFERROR(VLOOKUP(A19,[2]TDSheet!$A:$B,2,0),0)</f>
        <v>0</v>
      </c>
    </row>
    <row r="20" spans="1:4" x14ac:dyDescent="0.2">
      <c r="A20" s="10" t="s">
        <v>23</v>
      </c>
      <c r="B20" s="10">
        <f>VLOOKUP(A20,[1]Sheet!$A:$O,15,0)</f>
        <v>55</v>
      </c>
      <c r="C20" s="11">
        <f>IFERROR(VLOOKUP(A20,TDSheet!A:B,2,0),0)</f>
        <v>48</v>
      </c>
      <c r="D20" s="11">
        <f>IFERROR(VLOOKUP(A20,[2]TDSheet!$A:$B,2,0),0)</f>
        <v>0</v>
      </c>
    </row>
    <row r="21" spans="1:4" x14ac:dyDescent="0.2">
      <c r="A21" s="10" t="s">
        <v>17</v>
      </c>
      <c r="B21" s="10">
        <f>VLOOKUP(A21,[1]Sheet!$A:$O,15,0)</f>
        <v>47</v>
      </c>
      <c r="C21" s="11">
        <f>IFERROR(VLOOKUP(A21,TDSheet!A:B,2,0),0)</f>
        <v>47.031999999999996</v>
      </c>
      <c r="D21" s="11">
        <f>IFERROR(VLOOKUP(A21,[2]TDSheet!$A:$B,2,0),0)</f>
        <v>0</v>
      </c>
    </row>
    <row r="22" spans="1:4" x14ac:dyDescent="0.2">
      <c r="A22" s="10" t="s">
        <v>36</v>
      </c>
      <c r="B22" s="10">
        <f>VLOOKUP(A22,[1]Sheet!$A:$O,15,0)</f>
        <v>19</v>
      </c>
      <c r="C22" s="11">
        <f>IFERROR(VLOOKUP(A22,TDSheet!A:B,2,0),0)</f>
        <v>0</v>
      </c>
      <c r="D22" s="11">
        <f>IFERROR(VLOOKUP(A22,[2]TDSheet!$A:$B,2,0),0)</f>
        <v>16</v>
      </c>
    </row>
    <row r="23" spans="1:4" x14ac:dyDescent="0.2">
      <c r="A23" s="10" t="s">
        <v>37</v>
      </c>
      <c r="B23" s="10">
        <f>VLOOKUP(A23,[1]Sheet!$A:$O,15,0)</f>
        <v>60</v>
      </c>
      <c r="C23" s="11">
        <f>IFERROR(VLOOKUP(A23,TDSheet!A:B,2,0),0)</f>
        <v>0</v>
      </c>
      <c r="D23" s="11">
        <f>IFERROR(VLOOKUP(A23,[2]TDSheet!$A:$B,2,0),0)</f>
        <v>56</v>
      </c>
    </row>
    <row r="24" spans="1:4" x14ac:dyDescent="0.2">
      <c r="A24" s="10" t="s">
        <v>38</v>
      </c>
      <c r="B24" s="10">
        <f>VLOOKUP(A24,[1]Sheet!$A:$O,15,0)</f>
        <v>120</v>
      </c>
      <c r="C24" s="11">
        <f>IFERROR(VLOOKUP(A24,TDSheet!A:B,2,0),0)</f>
        <v>0</v>
      </c>
      <c r="D24" s="11">
        <f>IFERROR(VLOOKUP(A24,[2]TDSheet!$A:$B,2,0),0)</f>
        <v>124.997</v>
      </c>
    </row>
    <row r="25" spans="1:4" x14ac:dyDescent="0.2">
      <c r="A25" s="10" t="s">
        <v>14</v>
      </c>
      <c r="B25" s="10">
        <f>VLOOKUP(A25,[1]Sheet!$A:$O,15,0)</f>
        <v>196</v>
      </c>
      <c r="C25" s="11">
        <f>IFERROR(VLOOKUP(A25,TDSheet!A:B,2,0),0)</f>
        <v>192</v>
      </c>
      <c r="D25" s="11">
        <f>IFERROR(VLOOKUP(A25,[2]TDSheet!$A:$B,2,0),0)</f>
        <v>0</v>
      </c>
    </row>
    <row r="26" spans="1:4" x14ac:dyDescent="0.2">
      <c r="A26" s="10" t="s">
        <v>13</v>
      </c>
      <c r="B26" s="10">
        <f>VLOOKUP(A26,[1]Sheet!$A:$O,15,0)</f>
        <v>64</v>
      </c>
      <c r="C26" s="11">
        <f>IFERROR(VLOOKUP(A26,TDSheet!A:B,2,0),0)</f>
        <v>62.006</v>
      </c>
      <c r="D26" s="11">
        <f>IFERROR(VLOOKUP(A26,[2]TDSheet!$A:$B,2,0),0)</f>
        <v>0</v>
      </c>
    </row>
    <row r="27" spans="1:4" x14ac:dyDescent="0.2">
      <c r="A27" s="10" t="s">
        <v>19</v>
      </c>
      <c r="B27" s="10">
        <f>VLOOKUP(A27,[1]Sheet!$A:$O,15,0)</f>
        <v>61</v>
      </c>
      <c r="C27" s="11">
        <f>IFERROR(VLOOKUP(A27,TDSheet!A:B,2,0),0)</f>
        <v>60</v>
      </c>
      <c r="D27" s="11">
        <f>IFERROR(VLOOKUP(A27,[2]TDSheet!$A:$B,2,0),0)</f>
        <v>0</v>
      </c>
    </row>
    <row r="28" spans="1:4" x14ac:dyDescent="0.2">
      <c r="A28" s="10" t="s">
        <v>39</v>
      </c>
      <c r="B28" s="10">
        <f>VLOOKUP(A28,[1]Sheet!$A:$O,15,0)</f>
        <v>73</v>
      </c>
      <c r="C28" s="11">
        <f>IFERROR(VLOOKUP(A28,TDSheet!A:B,2,0),0)</f>
        <v>0</v>
      </c>
      <c r="D28" s="13">
        <f>IFERROR(VLOOKUP(A28,[2]TDSheet!$A:$B,2,0),0)</f>
        <v>0</v>
      </c>
    </row>
    <row r="29" spans="1:4" x14ac:dyDescent="0.2">
      <c r="A29" s="10" t="s">
        <v>22</v>
      </c>
      <c r="B29" s="10">
        <f>VLOOKUP(A29,[1]Sheet!$A:$O,15,0)</f>
        <v>22</v>
      </c>
      <c r="C29" s="11">
        <f>IFERROR(VLOOKUP(A29,TDSheet!A:B,2,0),0)</f>
        <v>5.5519999999999996</v>
      </c>
      <c r="D29" s="13">
        <f>IFERROR(VLOOKUP(A29,[2]TDSheet!$A:$B,2,0),0)</f>
        <v>0</v>
      </c>
    </row>
    <row r="30" spans="1:4" x14ac:dyDescent="0.2">
      <c r="A30" s="10" t="s">
        <v>28</v>
      </c>
      <c r="B30" s="10">
        <f>VLOOKUP(A30,[1]Sheet!$A:$O,15,0)</f>
        <v>86</v>
      </c>
      <c r="C30" s="11">
        <f>IFERROR(VLOOKUP(A30,TDSheet!A:B,2,0),0)</f>
        <v>84</v>
      </c>
      <c r="D30" s="11">
        <f>IFERROR(VLOOKUP(A30,[2]TDSheet!$A:$B,2,0),0)</f>
        <v>0</v>
      </c>
    </row>
    <row r="31" spans="1:4" x14ac:dyDescent="0.2">
      <c r="A31" s="10" t="s">
        <v>11</v>
      </c>
      <c r="B31" s="10">
        <f>VLOOKUP(A31,[1]Sheet!$A:$O,15,0)</f>
        <v>112</v>
      </c>
      <c r="C31" s="11">
        <f>IFERROR(VLOOKUP(A31,TDSheet!A:B,2,0),0)</f>
        <v>112</v>
      </c>
      <c r="D31" s="11">
        <f>IFERROR(VLOOKUP(A31,[2]TDSheet!$A:$B,2,0),0)</f>
        <v>0</v>
      </c>
    </row>
    <row r="32" spans="1:4" x14ac:dyDescent="0.2">
      <c r="A32" s="10" t="s">
        <v>12</v>
      </c>
      <c r="B32" s="10">
        <f>VLOOKUP(A32,[1]Sheet!$A:$O,15,0)</f>
        <v>74</v>
      </c>
      <c r="C32" s="11">
        <f>IFERROR(VLOOKUP(A32,TDSheet!A:B,2,0),0)</f>
        <v>72</v>
      </c>
      <c r="D32" s="11">
        <f>IFERROR(VLOOKUP(A32,[2]TDSheet!$A:$B,2,0),0)</f>
        <v>0</v>
      </c>
    </row>
    <row r="33" spans="1:4" x14ac:dyDescent="0.2">
      <c r="A33" s="10" t="s">
        <v>2</v>
      </c>
      <c r="B33" s="10">
        <f>VLOOKUP(A33,[1]Sheet!$A:$O,15,0)</f>
        <v>9</v>
      </c>
      <c r="C33" s="11">
        <f>IFERROR(VLOOKUP(A33,TDSheet!A:B,2,0),0)</f>
        <v>6</v>
      </c>
      <c r="D33" s="11">
        <f>IFERROR(VLOOKUP(A33,[2]TDSheet!$A:$B,2,0),0)</f>
        <v>0</v>
      </c>
    </row>
    <row r="34" spans="1:4" x14ac:dyDescent="0.2">
      <c r="A34" s="10" t="s">
        <v>24</v>
      </c>
      <c r="B34" s="10">
        <f>VLOOKUP(A34,[1]Sheet!$A:$O,15,0)</f>
        <v>88</v>
      </c>
      <c r="C34" s="11">
        <f>IFERROR(VLOOKUP(A34,TDSheet!A:B,2,0),0)</f>
        <v>80</v>
      </c>
      <c r="D34" s="11">
        <f>IFERROR(VLOOKUP(A34,[2]TDSheet!$A:$B,2,0),0)</f>
        <v>0</v>
      </c>
    </row>
    <row r="35" spans="1:4" x14ac:dyDescent="0.2">
      <c r="A35" s="10" t="s">
        <v>8</v>
      </c>
      <c r="B35" s="10">
        <f>VLOOKUP(A35,[1]Sheet!$A:$O,15,0)</f>
        <v>34</v>
      </c>
      <c r="C35" s="11">
        <f>IFERROR(VLOOKUP(A35,TDSheet!A:B,2,0),0)</f>
        <v>32</v>
      </c>
      <c r="D35" s="11">
        <f>IFERROR(VLOOKUP(A35,[2]TDSheet!$A:$B,2,0),0)</f>
        <v>0</v>
      </c>
    </row>
    <row r="36" spans="1:4" x14ac:dyDescent="0.2">
      <c r="A36" s="10" t="s">
        <v>27</v>
      </c>
      <c r="B36" s="10">
        <f>VLOOKUP(A36,[1]Sheet!$A:$O,15,0)</f>
        <v>8</v>
      </c>
      <c r="C36" s="11">
        <f>IFERROR(VLOOKUP(A36,TDSheet!A:B,2,0),0)</f>
        <v>8</v>
      </c>
      <c r="D36" s="11">
        <f>IFERROR(VLOOKUP(A36,[2]TDSheet!$A:$B,2,0),0)</f>
        <v>0</v>
      </c>
    </row>
    <row r="38" spans="1:4" x14ac:dyDescent="0.2">
      <c r="A38" s="14" t="s">
        <v>40</v>
      </c>
    </row>
    <row r="39" spans="1:4" x14ac:dyDescent="0.2">
      <c r="A39" s="15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2026-09-21T15:57:00Z</dcterms:modified>
</cp:coreProperties>
</file>