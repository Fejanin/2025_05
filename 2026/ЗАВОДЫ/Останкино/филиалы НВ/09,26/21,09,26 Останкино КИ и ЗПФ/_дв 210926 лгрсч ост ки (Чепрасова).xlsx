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7C83F15-DD62-4348-B231-54E47DF609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6" i="1"/>
  <c r="AH5" i="1" s="1"/>
  <c r="P104" i="1" l="1"/>
  <c r="L104" i="1"/>
  <c r="P103" i="1"/>
  <c r="S103" i="1" s="1"/>
  <c r="L103" i="1"/>
  <c r="P102" i="1"/>
  <c r="T102" i="1" s="1"/>
  <c r="L102" i="1"/>
  <c r="P101" i="1"/>
  <c r="L101" i="1"/>
  <c r="P100" i="1"/>
  <c r="T100" i="1" s="1"/>
  <c r="L100" i="1"/>
  <c r="P99" i="1"/>
  <c r="L99" i="1"/>
  <c r="P98" i="1"/>
  <c r="T98" i="1" s="1"/>
  <c r="L98" i="1"/>
  <c r="P97" i="1"/>
  <c r="T97" i="1" s="1"/>
  <c r="L97" i="1"/>
  <c r="P96" i="1"/>
  <c r="S96" i="1" s="1"/>
  <c r="L96" i="1"/>
  <c r="P95" i="1"/>
  <c r="T95" i="1" s="1"/>
  <c r="L95" i="1"/>
  <c r="P94" i="1"/>
  <c r="T94" i="1" s="1"/>
  <c r="L94" i="1"/>
  <c r="P93" i="1"/>
  <c r="T93" i="1" s="1"/>
  <c r="L93" i="1"/>
  <c r="P92" i="1"/>
  <c r="T92" i="1" s="1"/>
  <c r="L92" i="1"/>
  <c r="P91" i="1"/>
  <c r="L91" i="1"/>
  <c r="P90" i="1"/>
  <c r="S90" i="1" s="1"/>
  <c r="L90" i="1"/>
  <c r="P89" i="1"/>
  <c r="S89" i="1" s="1"/>
  <c r="L89" i="1"/>
  <c r="P88" i="1"/>
  <c r="S88" i="1" s="1"/>
  <c r="L88" i="1"/>
  <c r="P87" i="1"/>
  <c r="S87" i="1" s="1"/>
  <c r="L87" i="1"/>
  <c r="P86" i="1"/>
  <c r="T86" i="1" s="1"/>
  <c r="L86" i="1"/>
  <c r="P85" i="1"/>
  <c r="Q85" i="1" s="1"/>
  <c r="AG85" i="1" s="1"/>
  <c r="L85" i="1"/>
  <c r="P84" i="1"/>
  <c r="T84" i="1" s="1"/>
  <c r="L84" i="1"/>
  <c r="P83" i="1"/>
  <c r="AG83" i="1" s="1"/>
  <c r="L83" i="1"/>
  <c r="P82" i="1"/>
  <c r="T82" i="1" s="1"/>
  <c r="L82" i="1"/>
  <c r="P81" i="1"/>
  <c r="L81" i="1"/>
  <c r="P80" i="1"/>
  <c r="T80" i="1" s="1"/>
  <c r="L80" i="1"/>
  <c r="P79" i="1"/>
  <c r="AG79" i="1" s="1"/>
  <c r="L79" i="1"/>
  <c r="P78" i="1"/>
  <c r="T78" i="1" s="1"/>
  <c r="L78" i="1"/>
  <c r="P77" i="1"/>
  <c r="Q77" i="1" s="1"/>
  <c r="AG77" i="1" s="1"/>
  <c r="L77" i="1"/>
  <c r="P76" i="1"/>
  <c r="T76" i="1" s="1"/>
  <c r="L76" i="1"/>
  <c r="P75" i="1"/>
  <c r="L75" i="1"/>
  <c r="P74" i="1"/>
  <c r="T74" i="1" s="1"/>
  <c r="L74" i="1"/>
  <c r="P73" i="1"/>
  <c r="L73" i="1"/>
  <c r="P72" i="1"/>
  <c r="T72" i="1" s="1"/>
  <c r="L72" i="1"/>
  <c r="P71" i="1"/>
  <c r="L71" i="1"/>
  <c r="P70" i="1"/>
  <c r="T70" i="1" s="1"/>
  <c r="L70" i="1"/>
  <c r="P69" i="1"/>
  <c r="L69" i="1"/>
  <c r="P68" i="1"/>
  <c r="T68" i="1" s="1"/>
  <c r="L68" i="1"/>
  <c r="P67" i="1"/>
  <c r="Q67" i="1" s="1"/>
  <c r="L67" i="1"/>
  <c r="P66" i="1"/>
  <c r="T66" i="1" s="1"/>
  <c r="L66" i="1"/>
  <c r="P65" i="1"/>
  <c r="AG65" i="1" s="1"/>
  <c r="L65" i="1"/>
  <c r="P64" i="1"/>
  <c r="T64" i="1" s="1"/>
  <c r="L64" i="1"/>
  <c r="P63" i="1"/>
  <c r="Q63" i="1" s="1"/>
  <c r="AG63" i="1" s="1"/>
  <c r="L63" i="1"/>
  <c r="P62" i="1"/>
  <c r="T62" i="1" s="1"/>
  <c r="L62" i="1"/>
  <c r="P61" i="1"/>
  <c r="L61" i="1"/>
  <c r="P60" i="1"/>
  <c r="T60" i="1" s="1"/>
  <c r="L60" i="1"/>
  <c r="P59" i="1"/>
  <c r="Q59" i="1" s="1"/>
  <c r="AG59" i="1" s="1"/>
  <c r="L59" i="1"/>
  <c r="P58" i="1"/>
  <c r="S58" i="1" s="1"/>
  <c r="L58" i="1"/>
  <c r="P57" i="1"/>
  <c r="L57" i="1"/>
  <c r="F57" i="1"/>
  <c r="P56" i="1"/>
  <c r="T56" i="1" s="1"/>
  <c r="L56" i="1"/>
  <c r="P55" i="1"/>
  <c r="Q55" i="1" s="1"/>
  <c r="AG55" i="1" s="1"/>
  <c r="L55" i="1"/>
  <c r="P54" i="1"/>
  <c r="T54" i="1" s="1"/>
  <c r="L54" i="1"/>
  <c r="P53" i="1"/>
  <c r="Q53" i="1" s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P43" i="1"/>
  <c r="Q43" i="1" s="1"/>
  <c r="AG43" i="1" s="1"/>
  <c r="L43" i="1"/>
  <c r="P42" i="1"/>
  <c r="T42" i="1" s="1"/>
  <c r="L42" i="1"/>
  <c r="P41" i="1"/>
  <c r="AG41" i="1" s="1"/>
  <c r="L41" i="1"/>
  <c r="P40" i="1"/>
  <c r="T40" i="1" s="1"/>
  <c r="L40" i="1"/>
  <c r="P39" i="1"/>
  <c r="L39" i="1"/>
  <c r="P38" i="1"/>
  <c r="T38" i="1" s="1"/>
  <c r="L38" i="1"/>
  <c r="P37" i="1"/>
  <c r="AG37" i="1" s="1"/>
  <c r="L37" i="1"/>
  <c r="P36" i="1"/>
  <c r="S36" i="1" s="1"/>
  <c r="L36" i="1"/>
  <c r="P35" i="1"/>
  <c r="T35" i="1" s="1"/>
  <c r="L35" i="1"/>
  <c r="P34" i="1"/>
  <c r="AG34" i="1" s="1"/>
  <c r="L34" i="1"/>
  <c r="P33" i="1"/>
  <c r="T33" i="1" s="1"/>
  <c r="L33" i="1"/>
  <c r="P32" i="1"/>
  <c r="AG32" i="1" s="1"/>
  <c r="L32" i="1"/>
  <c r="P31" i="1"/>
  <c r="T31" i="1" s="1"/>
  <c r="L31" i="1"/>
  <c r="P30" i="1"/>
  <c r="L30" i="1"/>
  <c r="P29" i="1"/>
  <c r="T29" i="1" s="1"/>
  <c r="L29" i="1"/>
  <c r="P28" i="1"/>
  <c r="L28" i="1"/>
  <c r="P27" i="1"/>
  <c r="T27" i="1" s="1"/>
  <c r="L27" i="1"/>
  <c r="P26" i="1"/>
  <c r="AG26" i="1" s="1"/>
  <c r="L26" i="1"/>
  <c r="P25" i="1"/>
  <c r="T25" i="1" s="1"/>
  <c r="L25" i="1"/>
  <c r="P24" i="1"/>
  <c r="L24" i="1"/>
  <c r="P23" i="1"/>
  <c r="T23" i="1" s="1"/>
  <c r="L23" i="1"/>
  <c r="P22" i="1"/>
  <c r="L22" i="1"/>
  <c r="P21" i="1"/>
  <c r="T21" i="1" s="1"/>
  <c r="L21" i="1"/>
  <c r="P20" i="1"/>
  <c r="L20" i="1"/>
  <c r="P19" i="1"/>
  <c r="T19" i="1" s="1"/>
  <c r="L19" i="1"/>
  <c r="P18" i="1"/>
  <c r="Q18" i="1" s="1"/>
  <c r="AG18" i="1" s="1"/>
  <c r="L18" i="1"/>
  <c r="P17" i="1"/>
  <c r="T17" i="1" s="1"/>
  <c r="L17" i="1"/>
  <c r="P16" i="1"/>
  <c r="Q16" i="1" s="1"/>
  <c r="AG16" i="1" s="1"/>
  <c r="L16" i="1"/>
  <c r="P15" i="1"/>
  <c r="T15" i="1" s="1"/>
  <c r="L15" i="1"/>
  <c r="P14" i="1"/>
  <c r="AG14" i="1" s="1"/>
  <c r="L14" i="1"/>
  <c r="P13" i="1"/>
  <c r="T13" i="1" s="1"/>
  <c r="L13" i="1"/>
  <c r="P12" i="1"/>
  <c r="L12" i="1"/>
  <c r="P11" i="1"/>
  <c r="T11" i="1" s="1"/>
  <c r="L11" i="1"/>
  <c r="P10" i="1"/>
  <c r="Q10" i="1" s="1"/>
  <c r="AG10" i="1" s="1"/>
  <c r="L10" i="1"/>
  <c r="P9" i="1"/>
  <c r="T9" i="1" s="1"/>
  <c r="L9" i="1"/>
  <c r="P8" i="1"/>
  <c r="L8" i="1"/>
  <c r="P7" i="1"/>
  <c r="T7" i="1" s="1"/>
  <c r="L7" i="1"/>
  <c r="P6" i="1"/>
  <c r="AG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Q11" i="1" l="1"/>
  <c r="Q9" i="1"/>
  <c r="AG9" i="1" s="1"/>
  <c r="Q24" i="1"/>
  <c r="AG24" i="1" s="1"/>
  <c r="Q64" i="1"/>
  <c r="AG64" i="1" s="1"/>
  <c r="T57" i="1"/>
  <c r="Q80" i="1"/>
  <c r="AG80" i="1" s="1"/>
  <c r="Q8" i="1"/>
  <c r="AG8" i="1" s="1"/>
  <c r="Q95" i="1"/>
  <c r="L5" i="1"/>
  <c r="Q57" i="1"/>
  <c r="AG57" i="1" s="1"/>
  <c r="P5" i="1"/>
  <c r="T89" i="1"/>
  <c r="T41" i="1"/>
  <c r="S93" i="1"/>
  <c r="F5" i="1"/>
  <c r="Q76" i="1"/>
  <c r="AG76" i="1" s="1"/>
  <c r="T39" i="1"/>
  <c r="T49" i="1"/>
  <c r="T101" i="1"/>
  <c r="AG78" i="1"/>
  <c r="S14" i="1"/>
  <c r="Q17" i="1"/>
  <c r="AG17" i="1" s="1"/>
  <c r="Q38" i="1"/>
  <c r="S55" i="1"/>
  <c r="S61" i="1"/>
  <c r="Q39" i="1"/>
  <c r="AG39" i="1" s="1"/>
  <c r="AG60" i="1"/>
  <c r="T45" i="1"/>
  <c r="T55" i="1"/>
  <c r="Q19" i="1"/>
  <c r="AG61" i="1"/>
  <c r="AG81" i="1"/>
  <c r="Q20" i="1"/>
  <c r="AG20" i="1" s="1"/>
  <c r="Q62" i="1"/>
  <c r="AG62" i="1" s="1"/>
  <c r="AG82" i="1"/>
  <c r="AG21" i="1"/>
  <c r="Q42" i="1"/>
  <c r="S41" i="1"/>
  <c r="T103" i="1"/>
  <c r="Q22" i="1"/>
  <c r="AG22" i="1" s="1"/>
  <c r="AG84" i="1"/>
  <c r="Q23" i="1"/>
  <c r="Q44" i="1"/>
  <c r="S63" i="1"/>
  <c r="S83" i="1"/>
  <c r="Q45" i="1"/>
  <c r="AG45" i="1" s="1"/>
  <c r="AG66" i="1"/>
  <c r="Q86" i="1"/>
  <c r="AG86" i="1" s="1"/>
  <c r="Q25" i="1"/>
  <c r="AG25" i="1" s="1"/>
  <c r="AG67" i="1"/>
  <c r="Q91" i="1"/>
  <c r="AG91" i="1" s="1"/>
  <c r="S37" i="1"/>
  <c r="S77" i="1"/>
  <c r="AG47" i="1"/>
  <c r="AG68" i="1"/>
  <c r="T37" i="1"/>
  <c r="T47" i="1"/>
  <c r="S99" i="1"/>
  <c r="Q7" i="1"/>
  <c r="Q27" i="1"/>
  <c r="Q48" i="1"/>
  <c r="Q69" i="1"/>
  <c r="AG69" i="1" s="1"/>
  <c r="AG97" i="1"/>
  <c r="T99" i="1"/>
  <c r="Q28" i="1"/>
  <c r="AG28" i="1" s="1"/>
  <c r="AG49" i="1"/>
  <c r="Q70" i="1"/>
  <c r="AG70" i="1" s="1"/>
  <c r="Q98" i="1"/>
  <c r="AG29" i="1"/>
  <c r="Q50" i="1"/>
  <c r="AG71" i="1"/>
  <c r="AG99" i="1"/>
  <c r="S65" i="1"/>
  <c r="S85" i="1"/>
  <c r="AG30" i="1"/>
  <c r="AG51" i="1"/>
  <c r="AG72" i="1"/>
  <c r="S43" i="1"/>
  <c r="Q73" i="1"/>
  <c r="AG73" i="1" s="1"/>
  <c r="AG101" i="1"/>
  <c r="T43" i="1"/>
  <c r="T53" i="1"/>
  <c r="S59" i="1"/>
  <c r="S79" i="1"/>
  <c r="AG12" i="1"/>
  <c r="AG53" i="1"/>
  <c r="AG74" i="1"/>
  <c r="S6" i="1"/>
  <c r="AG13" i="1"/>
  <c r="Q33" i="1"/>
  <c r="AG33" i="1" s="1"/>
  <c r="AG75" i="1"/>
  <c r="AG104" i="1"/>
  <c r="S8" i="1"/>
  <c r="S10" i="1"/>
  <c r="S16" i="1"/>
  <c r="S18" i="1"/>
  <c r="S24" i="1"/>
  <c r="S26" i="1"/>
  <c r="S32" i="1"/>
  <c r="S34" i="1"/>
  <c r="T59" i="1"/>
  <c r="S60" i="1"/>
  <c r="T61" i="1"/>
  <c r="T63" i="1"/>
  <c r="T65" i="1"/>
  <c r="T67" i="1"/>
  <c r="T69" i="1"/>
  <c r="T71" i="1"/>
  <c r="T73" i="1"/>
  <c r="T75" i="1"/>
  <c r="T77" i="1"/>
  <c r="T79" i="1"/>
  <c r="T81" i="1"/>
  <c r="S82" i="1"/>
  <c r="T83" i="1"/>
  <c r="T85" i="1"/>
  <c r="T87" i="1"/>
  <c r="T91" i="1"/>
  <c r="S92" i="1"/>
  <c r="S94" i="1"/>
  <c r="T6" i="1"/>
  <c r="T8" i="1"/>
  <c r="T10" i="1"/>
  <c r="T12" i="1"/>
  <c r="T14" i="1"/>
  <c r="T16" i="1"/>
  <c r="T18" i="1"/>
  <c r="T20" i="1"/>
  <c r="T22" i="1"/>
  <c r="T24" i="1"/>
  <c r="T26" i="1"/>
  <c r="T28" i="1"/>
  <c r="T30" i="1"/>
  <c r="T32" i="1"/>
  <c r="T34" i="1"/>
  <c r="T36" i="1"/>
  <c r="T58" i="1"/>
  <c r="T88" i="1"/>
  <c r="T90" i="1"/>
  <c r="T96" i="1"/>
  <c r="T104" i="1"/>
  <c r="S80" i="1" l="1"/>
  <c r="S76" i="1"/>
  <c r="S45" i="1"/>
  <c r="S57" i="1"/>
  <c r="S62" i="1"/>
  <c r="S86" i="1"/>
  <c r="S22" i="1"/>
  <c r="S29" i="1"/>
  <c r="S9" i="1"/>
  <c r="S78" i="1"/>
  <c r="S30" i="1"/>
  <c r="S71" i="1"/>
  <c r="S64" i="1"/>
  <c r="S84" i="1"/>
  <c r="S74" i="1"/>
  <c r="S66" i="1"/>
  <c r="AG42" i="1"/>
  <c r="S42" i="1"/>
  <c r="AG46" i="1"/>
  <c r="S46" i="1"/>
  <c r="AG38" i="1"/>
  <c r="S38" i="1"/>
  <c r="S91" i="1"/>
  <c r="S97" i="1"/>
  <c r="S67" i="1"/>
  <c r="AG48" i="1"/>
  <c r="S48" i="1"/>
  <c r="S75" i="1"/>
  <c r="S20" i="1"/>
  <c r="AG27" i="1"/>
  <c r="S27" i="1"/>
  <c r="S104" i="1"/>
  <c r="S28" i="1"/>
  <c r="AG56" i="1"/>
  <c r="S56" i="1"/>
  <c r="AG7" i="1"/>
  <c r="S7" i="1"/>
  <c r="AG35" i="1"/>
  <c r="S35" i="1"/>
  <c r="AG52" i="1"/>
  <c r="S52" i="1"/>
  <c r="AG15" i="1"/>
  <c r="S15" i="1"/>
  <c r="AG98" i="1"/>
  <c r="S98" i="1"/>
  <c r="AG100" i="1"/>
  <c r="S100" i="1"/>
  <c r="S33" i="1"/>
  <c r="S25" i="1"/>
  <c r="AG44" i="1"/>
  <c r="S44" i="1"/>
  <c r="AG40" i="1"/>
  <c r="S40" i="1"/>
  <c r="S21" i="1"/>
  <c r="AG102" i="1"/>
  <c r="S102" i="1"/>
  <c r="AG23" i="1"/>
  <c r="S23" i="1"/>
  <c r="S19" i="1"/>
  <c r="AG19" i="1"/>
  <c r="AG11" i="1"/>
  <c r="S11" i="1"/>
  <c r="AG54" i="1"/>
  <c r="S54" i="1"/>
  <c r="S17" i="1"/>
  <c r="S53" i="1"/>
  <c r="AG95" i="1"/>
  <c r="S95" i="1"/>
  <c r="S101" i="1"/>
  <c r="AG31" i="1"/>
  <c r="S31" i="1"/>
  <c r="S70" i="1"/>
  <c r="Q5" i="1"/>
  <c r="AG50" i="1"/>
  <c r="S50" i="1"/>
  <c r="S73" i="1"/>
  <c r="S72" i="1"/>
  <c r="S47" i="1"/>
  <c r="S69" i="1"/>
  <c r="S49" i="1"/>
  <c r="S13" i="1"/>
  <c r="S68" i="1"/>
  <c r="S12" i="1"/>
  <c r="S51" i="1"/>
  <c r="S81" i="1"/>
  <c r="S39" i="1"/>
  <c r="AG5" i="1" l="1"/>
</calcChain>
</file>

<file path=xl/sharedStrings.xml><?xml version="1.0" encoding="utf-8"?>
<sst xmlns="http://schemas.openxmlformats.org/spreadsheetml/2006/main" count="388" uniqueCount="157">
  <si>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</si>
  <si>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</si>
  <si>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</si>
  <si>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</si>
  <si>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</si>
  <si>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</si>
  <si>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</si>
  <si>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</si>
  <si>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</si>
  <si>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</si>
  <si>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</si>
  <si>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</si>
  <si>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</si>
  <si>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</si>
  <si>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</si>
  <si>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</si>
  <si>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</si>
  <si>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</si>
  <si>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</si>
  <si>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</si>
  <si>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</si>
  <si>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</si>
  <si>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</si>
  <si>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</si>
  <si>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</si>
  <si>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</si>
  <si>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</si>
  <si>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</si>
  <si>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</si>
  <si>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</si>
  <si>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</si>
  <si>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</si>
  <si>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</si>
  <si>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</si>
  <si>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</si>
  <si>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</si>
  <si>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</si>
  <si>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</si>
  <si>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</si>
  <si>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</si>
  <si>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</si>
  <si>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</si>
  <si>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</si>
  <si>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</si>
  <si>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</si>
  <si>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</si>
  <si>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</si>
  <si>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</si>
  <si>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</si>
  <si>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</si>
  <si>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</si>
  <si>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</si>
  <si>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</si>
  <si>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</si>
  <si>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</si>
  <si>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</si>
  <si>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</si>
  <si>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</si>
  <si>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</si>
  <si>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</si>
  <si>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</si>
  <si>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</si>
  <si>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</si>
  <si>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</si>
  <si>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</si>
  <si>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</si>
  <si>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</si>
  <si>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</si>
  <si>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</si>
  <si>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</si>
  <si>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</si>
  <si>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</si>
  <si>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</si>
  <si>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</si>
  <si>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</si>
  <si>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</si>
  <si>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</si>
  <si>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</si>
  <si>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</si>
  <si>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</si>
  <si>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</si>
  <si>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</si>
  <si>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</si>
  <si>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</si>
  <si>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</si>
  <si>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</si>
  <si>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</si>
  <si>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</si>
  <si>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</si>
  <si>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</si>
  <si>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</si>
  <si>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</si>
  <si>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</si>
  <si>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</si>
  <si>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</si>
  <si>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</si>
  <si>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</si>
  <si>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</si>
  <si>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</si>
  <si>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</si>
  <si>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</si>
  <si>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</si>
  <si>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</si>
  <si>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</si>
  <si>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</si>
  <si>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</si>
  <si>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</si>
  <si>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</si>
  <si>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</si>
  <si>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</si>
  <si>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</si>
  <si>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</si>
  <si>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</si>
  <si>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</si>
  <si>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</si>
  <si>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</si>
  <si>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</si>
  <si>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</si>
  <si>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</si>
  <si>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</si>
  <si>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</si>
  <si>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</si>
  <si>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</si>
  <si>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</si>
  <si>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</si>
  <si>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</si>
  <si>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</si>
  <si>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</si>
  <si>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</si>
  <si>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</si>
  <si>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</si>
  <si>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</si>
  <si>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</si>
  <si>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</si>
  <si>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</si>
  <si>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</si>
  <si>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</si>
  <si>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</si>
  <si>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</si>
  <si>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</si>
  <si>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</si>
  <si>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</si>
  <si>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</si>
  <si>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</si>
  <si>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</si>
  <si>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</si>
  <si>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</si>
  <si>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</si>
  <si>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</si>
  <si>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</si>
  <si>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</si>
  <si>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</si>
  <si>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</si>
  <si>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</si>
  <si>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нужно увеличить продажи!!!</t>
  </si>
  <si>
    <t>нужно увеличить продажи!!! / новинка</t>
  </si>
  <si>
    <t xml:space="preserve">завод дал 225 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</si>
</sst>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4" fillId="8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7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9" activePane="bottomRight" state="frozen"/>
      <selection pane="topRight"/>
      <selection pane="bottomLeft"/>
      <selection pane="bottomRight" activeCell="AE79" sqref="AE7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hidden="1" customWidth="1"/>
    <col min="17" max="17" width="7" customWidth="1"/>
    <col min="18" max="18" width="7" style="18" customWidth="1"/>
    <col min="19" max="20" width="5" customWidth="1"/>
    <col min="21" max="30" width="6" customWidth="1"/>
    <col min="31" max="31" width="20.28515625" style="18" customWidth="1"/>
    <col min="32" max="32" width="45.28515625" customWidth="1"/>
    <col min="33" max="33" width="7" customWidth="1"/>
    <col min="34" max="48" width="8" customWidth="1"/>
  </cols>
  <sheetData>
    <row r="1" spans="1:48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14784.335999999999</v>
      </c>
      <c r="F5" s="4">
        <f>SUM(F6:F500)</f>
        <v>13274.845999999996</v>
      </c>
      <c r="G5" s="6"/>
      <c r="H5" s="1"/>
      <c r="I5" s="1"/>
      <c r="J5" s="1"/>
      <c r="K5" s="4">
        <f t="shared" ref="K5:Q5" si="0">SUM(K6:K500)</f>
        <v>16978.818999999996</v>
      </c>
      <c r="L5" s="4">
        <f t="shared" si="0"/>
        <v>-2194.4830000000002</v>
      </c>
      <c r="M5" s="4">
        <f t="shared" si="0"/>
        <v>0</v>
      </c>
      <c r="N5" s="4">
        <f t="shared" si="0"/>
        <v>0</v>
      </c>
      <c r="O5" s="4">
        <f t="shared" si="0"/>
        <v>28018</v>
      </c>
      <c r="P5" s="4">
        <f t="shared" si="0"/>
        <v>2956.8672000000001</v>
      </c>
      <c r="Q5" s="4">
        <f t="shared" si="0"/>
        <v>8949.0996000000014</v>
      </c>
      <c r="R5" s="4"/>
      <c r="S5" s="1"/>
      <c r="T5" s="1"/>
      <c r="U5" s="4">
        <f t="shared" ref="U5:AD5" si="1">SUM(U6:U500)</f>
        <v>3260.9780000000005</v>
      </c>
      <c r="V5" s="4">
        <f t="shared" si="1"/>
        <v>2981.3814000000002</v>
      </c>
      <c r="W5" s="4">
        <f t="shared" si="1"/>
        <v>2662.3456000000001</v>
      </c>
      <c r="X5" s="4">
        <f t="shared" si="1"/>
        <v>2670.2276000000002</v>
      </c>
      <c r="Y5" s="4">
        <f t="shared" si="1"/>
        <v>3084.7252000000003</v>
      </c>
      <c r="Z5" s="4">
        <f t="shared" si="1"/>
        <v>2390.3494000000005</v>
      </c>
      <c r="AA5" s="4">
        <f t="shared" si="1"/>
        <v>2433.7146000000002</v>
      </c>
      <c r="AB5" s="4">
        <f t="shared" si="1"/>
        <v>2650.7073999999998</v>
      </c>
      <c r="AC5" s="4">
        <f t="shared" si="1"/>
        <v>2188.1986000000002</v>
      </c>
      <c r="AD5" s="4">
        <f t="shared" si="1"/>
        <v>2190.4328</v>
      </c>
      <c r="AE5" s="4"/>
      <c r="AF5" s="1"/>
      <c r="AG5" s="4">
        <f>SUM(AG6:AG500)</f>
        <v>5085.0448000000006</v>
      </c>
      <c r="AH5" s="1">
        <f>SUM(AH6:AH104)</f>
        <v>8867.25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1.085</v>
      </c>
      <c r="D6" s="1"/>
      <c r="E6" s="1">
        <v>1.087</v>
      </c>
      <c r="F6" s="1">
        <v>-2E-3</v>
      </c>
      <c r="G6" s="6">
        <v>1</v>
      </c>
      <c r="H6" s="1">
        <v>120</v>
      </c>
      <c r="I6" s="1" t="s">
        <v>35</v>
      </c>
      <c r="J6" s="1"/>
      <c r="K6" s="1">
        <v>8.5</v>
      </c>
      <c r="L6" s="1">
        <f t="shared" ref="L6:L37" si="2">E6-K6</f>
        <v>-7.4130000000000003</v>
      </c>
      <c r="M6" s="1"/>
      <c r="N6" s="1"/>
      <c r="O6" s="1">
        <v>50</v>
      </c>
      <c r="P6" s="1">
        <f t="shared" ref="P6:P37" si="3">E6/5</f>
        <v>0.21739999999999998</v>
      </c>
      <c r="Q6" s="19"/>
      <c r="R6" s="22">
        <v>50</v>
      </c>
      <c r="S6" s="1">
        <f t="shared" ref="S6:S37" si="4">(F6+O6+Q6)/P6</f>
        <v>229.98160073597057</v>
      </c>
      <c r="T6" s="1">
        <f t="shared" ref="T6:T37" si="5">(F6+O6)/P6</f>
        <v>229.98160073597057</v>
      </c>
      <c r="U6" s="1">
        <v>1.3042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/>
      <c r="AF6" s="1" t="s">
        <v>36</v>
      </c>
      <c r="AG6" s="1">
        <f t="shared" ref="AG6:AG35" si="6">G6*Q6</f>
        <v>0</v>
      </c>
      <c r="AH6" s="1">
        <f>G6*R6</f>
        <v>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123</v>
      </c>
      <c r="D7" s="1">
        <v>58</v>
      </c>
      <c r="E7" s="1">
        <v>113</v>
      </c>
      <c r="F7" s="1">
        <v>38</v>
      </c>
      <c r="G7" s="6">
        <v>0.4</v>
      </c>
      <c r="H7" s="1">
        <v>60</v>
      </c>
      <c r="I7" s="1" t="s">
        <v>35</v>
      </c>
      <c r="J7" s="1"/>
      <c r="K7" s="1">
        <v>117</v>
      </c>
      <c r="L7" s="1">
        <f t="shared" si="2"/>
        <v>-4</v>
      </c>
      <c r="M7" s="1"/>
      <c r="N7" s="1"/>
      <c r="O7" s="1">
        <v>235</v>
      </c>
      <c r="P7" s="1">
        <f t="shared" si="3"/>
        <v>22.6</v>
      </c>
      <c r="Q7" s="19">
        <f t="shared" ref="Q7:Q33" si="7">15*P7-O7-F7</f>
        <v>66</v>
      </c>
      <c r="R7" s="22">
        <v>100</v>
      </c>
      <c r="S7" s="1">
        <f t="shared" si="4"/>
        <v>14.999999999999998</v>
      </c>
      <c r="T7" s="1">
        <f t="shared" si="5"/>
        <v>12.079646017699114</v>
      </c>
      <c r="U7" s="1">
        <v>29.8</v>
      </c>
      <c r="V7" s="1">
        <v>23</v>
      </c>
      <c r="W7" s="1">
        <v>32.4</v>
      </c>
      <c r="X7" s="1">
        <v>20.2</v>
      </c>
      <c r="Y7" s="1">
        <v>22.6</v>
      </c>
      <c r="Z7" s="1">
        <v>23.2</v>
      </c>
      <c r="AA7" s="1">
        <v>21.8</v>
      </c>
      <c r="AB7" s="1">
        <v>34.4</v>
      </c>
      <c r="AC7" s="1">
        <v>33.4</v>
      </c>
      <c r="AD7" s="1">
        <v>17.2</v>
      </c>
      <c r="AE7" s="1"/>
      <c r="AF7" s="1"/>
      <c r="AG7" s="1">
        <f t="shared" si="6"/>
        <v>26.400000000000002</v>
      </c>
      <c r="AH7" s="1">
        <f t="shared" ref="AH7:AH70" si="8">G7*R7</f>
        <v>40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52.713999999999999</v>
      </c>
      <c r="D8" s="1">
        <v>4.0350000000000001</v>
      </c>
      <c r="E8" s="1">
        <v>40.959000000000003</v>
      </c>
      <c r="F8" s="1">
        <v>2.8660000000000001</v>
      </c>
      <c r="G8" s="6">
        <v>1</v>
      </c>
      <c r="H8" s="1">
        <v>120</v>
      </c>
      <c r="I8" s="1" t="s">
        <v>35</v>
      </c>
      <c r="J8" s="1"/>
      <c r="K8" s="1">
        <v>41</v>
      </c>
      <c r="L8" s="1">
        <f t="shared" si="2"/>
        <v>-4.0999999999996817E-2</v>
      </c>
      <c r="M8" s="1"/>
      <c r="N8" s="1"/>
      <c r="O8" s="1">
        <v>0</v>
      </c>
      <c r="P8" s="1">
        <f t="shared" si="3"/>
        <v>8.1918000000000006</v>
      </c>
      <c r="Q8" s="19">
        <f>10*P8-O8-F8</f>
        <v>79.052000000000007</v>
      </c>
      <c r="R8" s="22">
        <v>90</v>
      </c>
      <c r="S8" s="1">
        <f t="shared" si="4"/>
        <v>10</v>
      </c>
      <c r="T8" s="1">
        <f t="shared" si="5"/>
        <v>0.34986205717913033</v>
      </c>
      <c r="U8" s="1">
        <v>2.5813999999999999</v>
      </c>
      <c r="V8" s="1">
        <v>0.79560000000000008</v>
      </c>
      <c r="W8" s="1">
        <v>0.99399999999999999</v>
      </c>
      <c r="X8" s="1">
        <v>2.5045999999999999</v>
      </c>
      <c r="Y8" s="1">
        <v>4.4005999999999998</v>
      </c>
      <c r="Z8" s="1">
        <v>1.4883999999999999</v>
      </c>
      <c r="AA8" s="1">
        <v>3.4176000000000002</v>
      </c>
      <c r="AB8" s="1">
        <v>1.4923999999999999</v>
      </c>
      <c r="AC8" s="1">
        <v>1.8888</v>
      </c>
      <c r="AD8" s="1">
        <v>1.8835999999999999</v>
      </c>
      <c r="AE8" s="1"/>
      <c r="AF8" s="17" t="s">
        <v>41</v>
      </c>
      <c r="AG8" s="1">
        <f t="shared" si="6"/>
        <v>79.052000000000007</v>
      </c>
      <c r="AH8" s="1">
        <f t="shared" si="8"/>
        <v>90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38</v>
      </c>
      <c r="C9" s="1">
        <v>39</v>
      </c>
      <c r="D9" s="1">
        <v>101</v>
      </c>
      <c r="E9" s="1">
        <v>127</v>
      </c>
      <c r="F9" s="1"/>
      <c r="G9" s="6">
        <v>0.25</v>
      </c>
      <c r="H9" s="1">
        <v>120</v>
      </c>
      <c r="I9" s="1" t="s">
        <v>35</v>
      </c>
      <c r="J9" s="1"/>
      <c r="K9" s="1">
        <v>143</v>
      </c>
      <c r="L9" s="1">
        <f t="shared" si="2"/>
        <v>-16</v>
      </c>
      <c r="M9" s="1"/>
      <c r="N9" s="1"/>
      <c r="O9" s="1">
        <v>150</v>
      </c>
      <c r="P9" s="1">
        <f t="shared" si="3"/>
        <v>25.4</v>
      </c>
      <c r="Q9" s="19">
        <f>14*P9-O9-F9</f>
        <v>205.59999999999997</v>
      </c>
      <c r="R9" s="22">
        <v>350</v>
      </c>
      <c r="S9" s="1">
        <f t="shared" si="4"/>
        <v>14</v>
      </c>
      <c r="T9" s="1">
        <f t="shared" si="5"/>
        <v>5.9055118110236222</v>
      </c>
      <c r="U9" s="1">
        <v>14.6</v>
      </c>
      <c r="V9" s="1">
        <v>9.6</v>
      </c>
      <c r="W9" s="1">
        <v>7.2</v>
      </c>
      <c r="X9" s="1">
        <v>10.4</v>
      </c>
      <c r="Y9" s="1">
        <v>12.6</v>
      </c>
      <c r="Z9" s="1">
        <v>8.4</v>
      </c>
      <c r="AA9" s="1">
        <v>11.4</v>
      </c>
      <c r="AB9" s="1">
        <v>13.6</v>
      </c>
      <c r="AC9" s="1">
        <v>8.1999999999999993</v>
      </c>
      <c r="AD9" s="1">
        <v>10.199999999999999</v>
      </c>
      <c r="AE9" s="1"/>
      <c r="AF9" s="1" t="s">
        <v>41</v>
      </c>
      <c r="AG9" s="1">
        <f t="shared" si="6"/>
        <v>51.399999999999991</v>
      </c>
      <c r="AH9" s="1">
        <f t="shared" si="8"/>
        <v>87.5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1534.2049999999999</v>
      </c>
      <c r="D10" s="1"/>
      <c r="E10" s="1">
        <v>744.09299999999996</v>
      </c>
      <c r="F10" s="1">
        <v>620.505</v>
      </c>
      <c r="G10" s="6">
        <v>1</v>
      </c>
      <c r="H10" s="1">
        <v>60</v>
      </c>
      <c r="I10" s="1" t="s">
        <v>35</v>
      </c>
      <c r="J10" s="1"/>
      <c r="K10" s="1">
        <v>737.4</v>
      </c>
      <c r="L10" s="1">
        <f t="shared" si="2"/>
        <v>6.6929999999999836</v>
      </c>
      <c r="M10" s="1"/>
      <c r="N10" s="1"/>
      <c r="O10" s="1">
        <v>1023</v>
      </c>
      <c r="P10" s="1">
        <f t="shared" si="3"/>
        <v>148.8186</v>
      </c>
      <c r="Q10" s="19">
        <f t="shared" si="7"/>
        <v>588.774</v>
      </c>
      <c r="R10" s="22">
        <v>800</v>
      </c>
      <c r="S10" s="1">
        <f t="shared" si="4"/>
        <v>15</v>
      </c>
      <c r="T10" s="1">
        <f t="shared" si="5"/>
        <v>11.043680023867985</v>
      </c>
      <c r="U10" s="1">
        <v>163.08619999999999</v>
      </c>
      <c r="V10" s="1">
        <v>98.185000000000002</v>
      </c>
      <c r="W10" s="1">
        <v>188.5754</v>
      </c>
      <c r="X10" s="1">
        <v>112.44499999999999</v>
      </c>
      <c r="Y10" s="1">
        <v>197.815</v>
      </c>
      <c r="Z10" s="1">
        <v>137.0042</v>
      </c>
      <c r="AA10" s="1">
        <v>134.93719999999999</v>
      </c>
      <c r="AB10" s="1">
        <v>131.2398</v>
      </c>
      <c r="AC10" s="1">
        <v>130.73500000000001</v>
      </c>
      <c r="AD10" s="1">
        <v>106.291</v>
      </c>
      <c r="AE10" s="1"/>
      <c r="AF10" s="1"/>
      <c r="AG10" s="1">
        <f t="shared" si="6"/>
        <v>588.774</v>
      </c>
      <c r="AH10" s="1">
        <f t="shared" si="8"/>
        <v>800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94.549000000000007</v>
      </c>
      <c r="D11" s="1"/>
      <c r="E11" s="1">
        <v>35.82</v>
      </c>
      <c r="F11" s="1">
        <v>52.695</v>
      </c>
      <c r="G11" s="6">
        <v>1</v>
      </c>
      <c r="H11" s="1">
        <v>120</v>
      </c>
      <c r="I11" s="1" t="s">
        <v>35</v>
      </c>
      <c r="J11" s="1"/>
      <c r="K11" s="1">
        <v>34.9</v>
      </c>
      <c r="L11" s="1">
        <f t="shared" si="2"/>
        <v>0.92000000000000171</v>
      </c>
      <c r="M11" s="1"/>
      <c r="N11" s="1"/>
      <c r="O11" s="1">
        <v>0</v>
      </c>
      <c r="P11" s="1">
        <f t="shared" si="3"/>
        <v>7.1639999999999997</v>
      </c>
      <c r="Q11" s="19">
        <f>15*P11-O11-F11</f>
        <v>54.764999999999993</v>
      </c>
      <c r="R11" s="22">
        <v>60</v>
      </c>
      <c r="S11" s="1">
        <f t="shared" si="4"/>
        <v>15</v>
      </c>
      <c r="T11" s="1">
        <f t="shared" si="5"/>
        <v>7.3555276381909547</v>
      </c>
      <c r="U11" s="1">
        <v>3.3096000000000001</v>
      </c>
      <c r="V11" s="1">
        <v>5.1166</v>
      </c>
      <c r="W11" s="1">
        <v>4.2884000000000002</v>
      </c>
      <c r="X11" s="1">
        <v>2.2122000000000002</v>
      </c>
      <c r="Y11" s="1">
        <v>12.5686</v>
      </c>
      <c r="Z11" s="1">
        <v>1.1908000000000001</v>
      </c>
      <c r="AA11" s="1">
        <v>6.0011999999999999</v>
      </c>
      <c r="AB11" s="1">
        <v>5.9808000000000003</v>
      </c>
      <c r="AC11" s="1">
        <v>1.9032</v>
      </c>
      <c r="AD11" s="1">
        <v>4.1360000000000001</v>
      </c>
      <c r="AE11" s="1"/>
      <c r="AF11" s="17" t="s">
        <v>41</v>
      </c>
      <c r="AG11" s="1">
        <f t="shared" si="6"/>
        <v>54.764999999999993</v>
      </c>
      <c r="AH11" s="1">
        <f t="shared" si="8"/>
        <v>60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28.37</v>
      </c>
      <c r="D12" s="1">
        <v>441.86399999999998</v>
      </c>
      <c r="E12" s="1">
        <v>117.518</v>
      </c>
      <c r="F12" s="1">
        <v>304.07400000000001</v>
      </c>
      <c r="G12" s="6">
        <v>1</v>
      </c>
      <c r="H12" s="1">
        <v>60</v>
      </c>
      <c r="I12" s="9" t="s">
        <v>45</v>
      </c>
      <c r="J12" s="1"/>
      <c r="K12" s="1">
        <v>195.8</v>
      </c>
      <c r="L12" s="1">
        <f t="shared" si="2"/>
        <v>-78.282000000000011</v>
      </c>
      <c r="M12" s="1"/>
      <c r="N12" s="1"/>
      <c r="O12" s="1">
        <v>450</v>
      </c>
      <c r="P12" s="1">
        <f t="shared" si="3"/>
        <v>23.503599999999999</v>
      </c>
      <c r="Q12" s="19"/>
      <c r="R12" s="22">
        <v>150</v>
      </c>
      <c r="S12" s="1">
        <f t="shared" si="4"/>
        <v>32.083340424445623</v>
      </c>
      <c r="T12" s="1">
        <f t="shared" si="5"/>
        <v>32.083340424445623</v>
      </c>
      <c r="U12" s="1">
        <v>48.733199999999997</v>
      </c>
      <c r="V12" s="1">
        <v>58.470599999999997</v>
      </c>
      <c r="W12" s="1">
        <v>29.0534</v>
      </c>
      <c r="X12" s="1">
        <v>45.863799999999998</v>
      </c>
      <c r="Y12" s="1">
        <v>58.744199999999999</v>
      </c>
      <c r="Z12" s="1">
        <v>34.620800000000003</v>
      </c>
      <c r="AA12" s="1">
        <v>39.8292</v>
      </c>
      <c r="AB12" s="1">
        <v>35.140799999999999</v>
      </c>
      <c r="AC12" s="1">
        <v>33.511200000000002</v>
      </c>
      <c r="AD12" s="1">
        <v>35.875999999999998</v>
      </c>
      <c r="AE12" s="1"/>
      <c r="AF12" s="1" t="s">
        <v>46</v>
      </c>
      <c r="AG12" s="1">
        <f t="shared" si="6"/>
        <v>0</v>
      </c>
      <c r="AH12" s="1">
        <f t="shared" si="8"/>
        <v>150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34</v>
      </c>
      <c r="C13" s="1">
        <v>141.642</v>
      </c>
      <c r="D13" s="1">
        <v>463.28699999999998</v>
      </c>
      <c r="E13" s="1">
        <v>272.43299999999999</v>
      </c>
      <c r="F13" s="1">
        <v>246.72200000000001</v>
      </c>
      <c r="G13" s="6">
        <v>1</v>
      </c>
      <c r="H13" s="1">
        <v>60</v>
      </c>
      <c r="I13" s="1" t="s">
        <v>35</v>
      </c>
      <c r="J13" s="1"/>
      <c r="K13" s="1">
        <v>262.89999999999998</v>
      </c>
      <c r="L13" s="1">
        <f t="shared" si="2"/>
        <v>9.5330000000000155</v>
      </c>
      <c r="M13" s="1"/>
      <c r="N13" s="1"/>
      <c r="O13" s="1">
        <v>600</v>
      </c>
      <c r="P13" s="1">
        <f t="shared" si="3"/>
        <v>54.486599999999996</v>
      </c>
      <c r="Q13" s="19"/>
      <c r="R13" s="22">
        <v>300</v>
      </c>
      <c r="S13" s="1">
        <f t="shared" si="4"/>
        <v>15.540004331340183</v>
      </c>
      <c r="T13" s="1">
        <f t="shared" si="5"/>
        <v>15.540004331340183</v>
      </c>
      <c r="U13" s="1">
        <v>60.668999999999997</v>
      </c>
      <c r="V13" s="1">
        <v>62.0244</v>
      </c>
      <c r="W13" s="1">
        <v>49.931800000000003</v>
      </c>
      <c r="X13" s="1">
        <v>53.7774</v>
      </c>
      <c r="Y13" s="1">
        <v>54.776000000000003</v>
      </c>
      <c r="Z13" s="1">
        <v>52.153200000000012</v>
      </c>
      <c r="AA13" s="1">
        <v>61.439399999999999</v>
      </c>
      <c r="AB13" s="1">
        <v>52.1158</v>
      </c>
      <c r="AC13" s="1">
        <v>47.906799999999997</v>
      </c>
      <c r="AD13" s="1">
        <v>52.508600000000001</v>
      </c>
      <c r="AE13" s="1"/>
      <c r="AF13" s="1"/>
      <c r="AG13" s="1">
        <f t="shared" si="6"/>
        <v>0</v>
      </c>
      <c r="AH13" s="1">
        <f t="shared" si="8"/>
        <v>300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38</v>
      </c>
      <c r="C14" s="1">
        <v>18</v>
      </c>
      <c r="D14" s="1">
        <v>161</v>
      </c>
      <c r="E14" s="1">
        <v>67</v>
      </c>
      <c r="F14" s="1">
        <v>100</v>
      </c>
      <c r="G14" s="6">
        <v>0.25</v>
      </c>
      <c r="H14" s="1">
        <v>120</v>
      </c>
      <c r="I14" s="1" t="s">
        <v>35</v>
      </c>
      <c r="J14" s="1"/>
      <c r="K14" s="1">
        <v>89</v>
      </c>
      <c r="L14" s="1">
        <f t="shared" si="2"/>
        <v>-22</v>
      </c>
      <c r="M14" s="1"/>
      <c r="N14" s="1"/>
      <c r="O14" s="1">
        <v>200</v>
      </c>
      <c r="P14" s="1">
        <f t="shared" si="3"/>
        <v>13.4</v>
      </c>
      <c r="Q14" s="19"/>
      <c r="R14" s="22">
        <v>170</v>
      </c>
      <c r="S14" s="1">
        <f t="shared" si="4"/>
        <v>22.388059701492537</v>
      </c>
      <c r="T14" s="1">
        <f t="shared" si="5"/>
        <v>22.388059701492537</v>
      </c>
      <c r="U14" s="1">
        <v>7.4</v>
      </c>
      <c r="V14" s="1">
        <v>16.399999999999999</v>
      </c>
      <c r="W14" s="1">
        <v>9.1999999999999993</v>
      </c>
      <c r="X14" s="1">
        <v>7.2</v>
      </c>
      <c r="Y14" s="1">
        <v>11.8</v>
      </c>
      <c r="Z14" s="1">
        <v>8.6</v>
      </c>
      <c r="AA14" s="1">
        <v>10.6</v>
      </c>
      <c r="AB14" s="1">
        <v>12.4</v>
      </c>
      <c r="AC14" s="1">
        <v>14.4</v>
      </c>
      <c r="AD14" s="1">
        <v>15.4</v>
      </c>
      <c r="AE14" s="1"/>
      <c r="AF14" s="1" t="s">
        <v>41</v>
      </c>
      <c r="AG14" s="1">
        <f t="shared" si="6"/>
        <v>0</v>
      </c>
      <c r="AH14" s="1">
        <f t="shared" si="8"/>
        <v>42.5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34</v>
      </c>
      <c r="C15" s="1">
        <v>45.198999999999998</v>
      </c>
      <c r="D15" s="1">
        <v>182.70099999999999</v>
      </c>
      <c r="E15" s="1">
        <v>73.363</v>
      </c>
      <c r="F15" s="1">
        <v>144.77699999999999</v>
      </c>
      <c r="G15" s="6">
        <v>1</v>
      </c>
      <c r="H15" s="1">
        <v>60</v>
      </c>
      <c r="I15" s="1" t="s">
        <v>35</v>
      </c>
      <c r="J15" s="1"/>
      <c r="K15" s="1">
        <v>87.35</v>
      </c>
      <c r="L15" s="1">
        <f t="shared" si="2"/>
        <v>-13.986999999999995</v>
      </c>
      <c r="M15" s="1"/>
      <c r="N15" s="1"/>
      <c r="O15" s="1">
        <v>100</v>
      </c>
      <c r="P15" s="1">
        <f t="shared" si="3"/>
        <v>14.672599999999999</v>
      </c>
      <c r="Q15" s="19"/>
      <c r="R15" s="22">
        <v>100</v>
      </c>
      <c r="S15" s="1">
        <f t="shared" si="4"/>
        <v>16.682592042310155</v>
      </c>
      <c r="T15" s="1">
        <f t="shared" si="5"/>
        <v>16.682592042310155</v>
      </c>
      <c r="U15" s="1">
        <v>16.9358</v>
      </c>
      <c r="V15" s="1">
        <v>23.624600000000001</v>
      </c>
      <c r="W15" s="1">
        <v>16.122</v>
      </c>
      <c r="X15" s="1">
        <v>7.6433999999999997</v>
      </c>
      <c r="Y15" s="1">
        <v>14.446</v>
      </c>
      <c r="Z15" s="1">
        <v>12.6616</v>
      </c>
      <c r="AA15" s="1">
        <v>8.7745999999999995</v>
      </c>
      <c r="AB15" s="1">
        <v>7.3464</v>
      </c>
      <c r="AC15" s="1">
        <v>9.1446000000000005</v>
      </c>
      <c r="AD15" s="1">
        <v>6.1369999999999996</v>
      </c>
      <c r="AE15" s="1"/>
      <c r="AF15" s="1"/>
      <c r="AG15" s="1">
        <f t="shared" si="6"/>
        <v>0</v>
      </c>
      <c r="AH15" s="1">
        <f t="shared" si="8"/>
        <v>100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38</v>
      </c>
      <c r="C16" s="1">
        <v>211</v>
      </c>
      <c r="D16" s="1">
        <v>92</v>
      </c>
      <c r="E16" s="1">
        <v>288</v>
      </c>
      <c r="F16" s="1">
        <v>2</v>
      </c>
      <c r="G16" s="6">
        <v>0.25</v>
      </c>
      <c r="H16" s="1">
        <v>120</v>
      </c>
      <c r="I16" s="9" t="s">
        <v>45</v>
      </c>
      <c r="J16" s="1"/>
      <c r="K16" s="1">
        <v>300</v>
      </c>
      <c r="L16" s="1">
        <f t="shared" si="2"/>
        <v>-12</v>
      </c>
      <c r="M16" s="1"/>
      <c r="N16" s="1"/>
      <c r="O16" s="1">
        <v>650</v>
      </c>
      <c r="P16" s="1">
        <f t="shared" si="3"/>
        <v>57.6</v>
      </c>
      <c r="Q16" s="19">
        <f t="shared" si="7"/>
        <v>212</v>
      </c>
      <c r="R16" s="22">
        <v>350</v>
      </c>
      <c r="S16" s="1">
        <f t="shared" si="4"/>
        <v>15</v>
      </c>
      <c r="T16" s="1">
        <f t="shared" si="5"/>
        <v>11.319444444444445</v>
      </c>
      <c r="U16" s="1">
        <v>50.2</v>
      </c>
      <c r="V16" s="1">
        <v>39.4</v>
      </c>
      <c r="W16" s="1">
        <v>33</v>
      </c>
      <c r="X16" s="1">
        <v>38.4</v>
      </c>
      <c r="Y16" s="1">
        <v>24.2</v>
      </c>
      <c r="Z16" s="1">
        <v>15.6</v>
      </c>
      <c r="AA16" s="1">
        <v>29.6</v>
      </c>
      <c r="AB16" s="1">
        <v>22.2</v>
      </c>
      <c r="AC16" s="1">
        <v>26.8</v>
      </c>
      <c r="AD16" s="1">
        <v>19.600000000000001</v>
      </c>
      <c r="AE16" s="1"/>
      <c r="AF16" s="1" t="s">
        <v>51</v>
      </c>
      <c r="AG16" s="1">
        <f t="shared" si="6"/>
        <v>53</v>
      </c>
      <c r="AH16" s="1">
        <f t="shared" si="8"/>
        <v>87.5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52</v>
      </c>
      <c r="B17" s="1" t="s">
        <v>38</v>
      </c>
      <c r="C17" s="1">
        <v>123</v>
      </c>
      <c r="D17" s="1"/>
      <c r="E17" s="1">
        <v>105</v>
      </c>
      <c r="F17" s="1">
        <v>-2</v>
      </c>
      <c r="G17" s="6">
        <v>0.4</v>
      </c>
      <c r="H17" s="1">
        <v>60</v>
      </c>
      <c r="I17" s="1" t="s">
        <v>35</v>
      </c>
      <c r="J17" s="1"/>
      <c r="K17" s="1">
        <v>103</v>
      </c>
      <c r="L17" s="1">
        <f t="shared" si="2"/>
        <v>2</v>
      </c>
      <c r="M17" s="1"/>
      <c r="N17" s="1"/>
      <c r="O17" s="1">
        <v>163</v>
      </c>
      <c r="P17" s="1">
        <f t="shared" si="3"/>
        <v>21</v>
      </c>
      <c r="Q17" s="19">
        <f t="shared" si="7"/>
        <v>154</v>
      </c>
      <c r="R17" s="22"/>
      <c r="S17" s="1">
        <f t="shared" si="4"/>
        <v>15</v>
      </c>
      <c r="T17" s="1">
        <f t="shared" si="5"/>
        <v>7.666666666666667</v>
      </c>
      <c r="U17" s="1">
        <v>21.6</v>
      </c>
      <c r="V17" s="1">
        <v>11</v>
      </c>
      <c r="W17" s="1">
        <v>19.600000000000001</v>
      </c>
      <c r="X17" s="1">
        <v>18.600000000000001</v>
      </c>
      <c r="Y17" s="1">
        <v>22.4</v>
      </c>
      <c r="Z17" s="1">
        <v>16.399999999999999</v>
      </c>
      <c r="AA17" s="1">
        <v>31.4</v>
      </c>
      <c r="AB17" s="1">
        <v>28.8</v>
      </c>
      <c r="AC17" s="1">
        <v>21</v>
      </c>
      <c r="AD17" s="1">
        <v>22.2</v>
      </c>
      <c r="AE17" s="1"/>
      <c r="AF17" s="1"/>
      <c r="AG17" s="1">
        <f t="shared" si="6"/>
        <v>61.6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34</v>
      </c>
      <c r="C18" s="1">
        <v>146.477</v>
      </c>
      <c r="D18" s="1">
        <v>503.053</v>
      </c>
      <c r="E18" s="1">
        <v>342.03800000000001</v>
      </c>
      <c r="F18" s="1">
        <v>227.905</v>
      </c>
      <c r="G18" s="6">
        <v>1</v>
      </c>
      <c r="H18" s="1">
        <v>45</v>
      </c>
      <c r="I18" s="1" t="s">
        <v>35</v>
      </c>
      <c r="J18" s="1"/>
      <c r="K18" s="1">
        <v>357.14299999999997</v>
      </c>
      <c r="L18" s="1">
        <f t="shared" si="2"/>
        <v>-15.104999999999961</v>
      </c>
      <c r="M18" s="1"/>
      <c r="N18" s="1"/>
      <c r="O18" s="1">
        <v>750</v>
      </c>
      <c r="P18" s="1">
        <f t="shared" si="3"/>
        <v>68.407600000000002</v>
      </c>
      <c r="Q18" s="19">
        <f t="shared" si="7"/>
        <v>48.209000000000032</v>
      </c>
      <c r="R18" s="22">
        <v>300</v>
      </c>
      <c r="S18" s="1">
        <f t="shared" si="4"/>
        <v>15</v>
      </c>
      <c r="T18" s="1">
        <f t="shared" si="5"/>
        <v>14.295268361994864</v>
      </c>
      <c r="U18" s="1">
        <v>70.5762</v>
      </c>
      <c r="V18" s="1">
        <v>68.051400000000001</v>
      </c>
      <c r="W18" s="1">
        <v>40.533799999999999</v>
      </c>
      <c r="X18" s="1">
        <v>50.552799999999998</v>
      </c>
      <c r="Y18" s="1">
        <v>79.149000000000001</v>
      </c>
      <c r="Z18" s="1">
        <v>31.593</v>
      </c>
      <c r="AA18" s="1">
        <v>57.8962</v>
      </c>
      <c r="AB18" s="1">
        <v>45.760599999999997</v>
      </c>
      <c r="AC18" s="1">
        <v>39.785200000000003</v>
      </c>
      <c r="AD18" s="1">
        <v>38.865600000000001</v>
      </c>
      <c r="AE18" s="1"/>
      <c r="AF18" s="1"/>
      <c r="AG18" s="1">
        <f t="shared" si="6"/>
        <v>48.209000000000032</v>
      </c>
      <c r="AH18" s="1">
        <f t="shared" si="8"/>
        <v>300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34</v>
      </c>
      <c r="C19" s="1">
        <v>21.792999999999999</v>
      </c>
      <c r="D19" s="1">
        <v>95.64</v>
      </c>
      <c r="E19" s="1">
        <v>47.887</v>
      </c>
      <c r="F19" s="1">
        <v>64.546999999999997</v>
      </c>
      <c r="G19" s="6">
        <v>1</v>
      </c>
      <c r="H19" s="1">
        <v>120</v>
      </c>
      <c r="I19" s="1" t="s">
        <v>35</v>
      </c>
      <c r="J19" s="1"/>
      <c r="K19" s="1">
        <v>55.1</v>
      </c>
      <c r="L19" s="1">
        <f t="shared" si="2"/>
        <v>-7.213000000000001</v>
      </c>
      <c r="M19" s="1"/>
      <c r="N19" s="1"/>
      <c r="O19" s="1">
        <v>40</v>
      </c>
      <c r="P19" s="1">
        <f t="shared" si="3"/>
        <v>9.5774000000000008</v>
      </c>
      <c r="Q19" s="19">
        <f t="shared" si="7"/>
        <v>39.114000000000004</v>
      </c>
      <c r="R19" s="22">
        <v>60</v>
      </c>
      <c r="S19" s="1">
        <f t="shared" si="4"/>
        <v>14.999999999999998</v>
      </c>
      <c r="T19" s="1">
        <f t="shared" si="5"/>
        <v>10.916010608307054</v>
      </c>
      <c r="U19" s="1">
        <v>8.5001999999999995</v>
      </c>
      <c r="V19" s="1">
        <v>11.8896</v>
      </c>
      <c r="W19" s="1">
        <v>8.5475999999999992</v>
      </c>
      <c r="X19" s="1">
        <v>6.8586</v>
      </c>
      <c r="Y19" s="1">
        <v>10.388</v>
      </c>
      <c r="Z19" s="1">
        <v>6.5549999999999997</v>
      </c>
      <c r="AA19" s="1">
        <v>6.0965999999999996</v>
      </c>
      <c r="AB19" s="1">
        <v>6.2720000000000002</v>
      </c>
      <c r="AC19" s="1">
        <v>2.3835999999999999</v>
      </c>
      <c r="AD19" s="1">
        <v>3.8856000000000002</v>
      </c>
      <c r="AE19" s="1"/>
      <c r="AF19" s="1" t="s">
        <v>41</v>
      </c>
      <c r="AG19" s="1">
        <f t="shared" si="6"/>
        <v>39.114000000000004</v>
      </c>
      <c r="AH19" s="1">
        <f t="shared" si="8"/>
        <v>60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38</v>
      </c>
      <c r="C20" s="1">
        <v>73</v>
      </c>
      <c r="D20" s="1"/>
      <c r="E20" s="1">
        <v>48</v>
      </c>
      <c r="F20" s="1">
        <v>12</v>
      </c>
      <c r="G20" s="6">
        <v>0.4</v>
      </c>
      <c r="H20" s="1">
        <v>45</v>
      </c>
      <c r="I20" s="1" t="s">
        <v>35</v>
      </c>
      <c r="J20" s="1"/>
      <c r="K20" s="1">
        <v>48</v>
      </c>
      <c r="L20" s="1">
        <f t="shared" si="2"/>
        <v>0</v>
      </c>
      <c r="M20" s="1"/>
      <c r="N20" s="1"/>
      <c r="O20" s="1">
        <v>90</v>
      </c>
      <c r="P20" s="1">
        <f t="shared" si="3"/>
        <v>9.6</v>
      </c>
      <c r="Q20" s="19">
        <f t="shared" si="7"/>
        <v>42</v>
      </c>
      <c r="R20" s="22">
        <v>100</v>
      </c>
      <c r="S20" s="1">
        <f t="shared" si="4"/>
        <v>15</v>
      </c>
      <c r="T20" s="1">
        <f t="shared" si="5"/>
        <v>10.625</v>
      </c>
      <c r="U20" s="1">
        <v>8.6</v>
      </c>
      <c r="V20" s="1">
        <v>4.4000000000000004</v>
      </c>
      <c r="W20" s="1">
        <v>8.4</v>
      </c>
      <c r="X20" s="1">
        <v>10.4</v>
      </c>
      <c r="Y20" s="1">
        <v>12</v>
      </c>
      <c r="Z20" s="1">
        <v>13.4</v>
      </c>
      <c r="AA20" s="1">
        <v>8.4</v>
      </c>
      <c r="AB20" s="1">
        <v>10.8</v>
      </c>
      <c r="AC20" s="1">
        <v>9.1999999999999993</v>
      </c>
      <c r="AD20" s="1">
        <v>16.600000000000001</v>
      </c>
      <c r="AE20" s="1"/>
      <c r="AF20" s="1"/>
      <c r="AG20" s="1">
        <f t="shared" si="6"/>
        <v>16.8</v>
      </c>
      <c r="AH20" s="1">
        <f t="shared" si="8"/>
        <v>40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34</v>
      </c>
      <c r="C21" s="1">
        <v>43.875999999999998</v>
      </c>
      <c r="D21" s="1">
        <v>463.37900000000002</v>
      </c>
      <c r="E21" s="1">
        <v>205.173</v>
      </c>
      <c r="F21" s="1">
        <v>160.54900000000001</v>
      </c>
      <c r="G21" s="6">
        <v>1</v>
      </c>
      <c r="H21" s="1">
        <v>60</v>
      </c>
      <c r="I21" s="1" t="s">
        <v>35</v>
      </c>
      <c r="J21" s="1"/>
      <c r="K21" s="1">
        <v>290.3</v>
      </c>
      <c r="L21" s="1">
        <f t="shared" si="2"/>
        <v>-85.12700000000001</v>
      </c>
      <c r="M21" s="1"/>
      <c r="N21" s="1"/>
      <c r="O21" s="1">
        <v>650</v>
      </c>
      <c r="P21" s="1">
        <f t="shared" si="3"/>
        <v>41.034599999999998</v>
      </c>
      <c r="Q21" s="19"/>
      <c r="R21" s="22">
        <v>500</v>
      </c>
      <c r="S21" s="1">
        <f t="shared" si="4"/>
        <v>19.752818353292099</v>
      </c>
      <c r="T21" s="1">
        <f t="shared" si="5"/>
        <v>19.752818353292099</v>
      </c>
      <c r="U21" s="1">
        <v>58.996200000000002</v>
      </c>
      <c r="V21" s="1">
        <v>55.147399999999998</v>
      </c>
      <c r="W21" s="1">
        <v>40.955800000000004</v>
      </c>
      <c r="X21" s="1">
        <v>44.343600000000002</v>
      </c>
      <c r="Y21" s="1">
        <v>53.409799999999997</v>
      </c>
      <c r="Z21" s="1">
        <v>29.607600000000001</v>
      </c>
      <c r="AA21" s="1">
        <v>39.871600000000001</v>
      </c>
      <c r="AB21" s="1">
        <v>43.782400000000003</v>
      </c>
      <c r="AC21" s="1">
        <v>35.393999999999998</v>
      </c>
      <c r="AD21" s="1">
        <v>51.526599999999988</v>
      </c>
      <c r="AE21" s="1"/>
      <c r="AF21" s="1"/>
      <c r="AG21" s="1">
        <f t="shared" si="6"/>
        <v>0</v>
      </c>
      <c r="AH21" s="1">
        <f t="shared" si="8"/>
        <v>500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38</v>
      </c>
      <c r="C22" s="1">
        <v>589</v>
      </c>
      <c r="D22" s="1">
        <v>5</v>
      </c>
      <c r="E22" s="1">
        <v>336</v>
      </c>
      <c r="F22" s="1">
        <v>208</v>
      </c>
      <c r="G22" s="6">
        <v>0.22</v>
      </c>
      <c r="H22" s="1">
        <v>120</v>
      </c>
      <c r="I22" s="1" t="s">
        <v>35</v>
      </c>
      <c r="J22" s="1"/>
      <c r="K22" s="1">
        <v>345</v>
      </c>
      <c r="L22" s="1">
        <f t="shared" si="2"/>
        <v>-9</v>
      </c>
      <c r="M22" s="1"/>
      <c r="N22" s="1"/>
      <c r="O22" s="1">
        <v>700</v>
      </c>
      <c r="P22" s="1">
        <f t="shared" si="3"/>
        <v>67.2</v>
      </c>
      <c r="Q22" s="19">
        <f t="shared" si="7"/>
        <v>100</v>
      </c>
      <c r="R22" s="22">
        <v>300</v>
      </c>
      <c r="S22" s="1">
        <f t="shared" si="4"/>
        <v>15</v>
      </c>
      <c r="T22" s="1">
        <f t="shared" si="5"/>
        <v>13.511904761904761</v>
      </c>
      <c r="U22" s="1">
        <v>96.8</v>
      </c>
      <c r="V22" s="1">
        <v>100.6</v>
      </c>
      <c r="W22" s="1">
        <v>103.8</v>
      </c>
      <c r="X22" s="1">
        <v>95.4</v>
      </c>
      <c r="Y22" s="1">
        <v>97.4</v>
      </c>
      <c r="Z22" s="1">
        <v>81.8</v>
      </c>
      <c r="AA22" s="1">
        <v>78.400000000000006</v>
      </c>
      <c r="AB22" s="1">
        <v>92.2</v>
      </c>
      <c r="AC22" s="1">
        <v>66.2</v>
      </c>
      <c r="AD22" s="1">
        <v>109.8</v>
      </c>
      <c r="AE22" s="1"/>
      <c r="AF22" s="1" t="s">
        <v>41</v>
      </c>
      <c r="AG22" s="1">
        <f t="shared" si="6"/>
        <v>22</v>
      </c>
      <c r="AH22" s="1">
        <f t="shared" si="8"/>
        <v>66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34</v>
      </c>
      <c r="C23" s="1">
        <v>29.148</v>
      </c>
      <c r="D23" s="1">
        <v>27.332000000000001</v>
      </c>
      <c r="E23" s="1">
        <v>38.191000000000003</v>
      </c>
      <c r="F23" s="1">
        <v>8.0090000000000003</v>
      </c>
      <c r="G23" s="6">
        <v>1</v>
      </c>
      <c r="H23" s="1">
        <v>40</v>
      </c>
      <c r="I23" s="1" t="s">
        <v>35</v>
      </c>
      <c r="J23" s="1"/>
      <c r="K23" s="1">
        <v>36.1</v>
      </c>
      <c r="L23" s="1">
        <f t="shared" si="2"/>
        <v>2.0910000000000011</v>
      </c>
      <c r="M23" s="1"/>
      <c r="N23" s="1"/>
      <c r="O23" s="1">
        <v>80</v>
      </c>
      <c r="P23" s="1">
        <f t="shared" si="3"/>
        <v>7.6382000000000003</v>
      </c>
      <c r="Q23" s="19">
        <f t="shared" si="7"/>
        <v>26.564000000000007</v>
      </c>
      <c r="R23" s="22">
        <v>50</v>
      </c>
      <c r="S23" s="1">
        <f t="shared" si="4"/>
        <v>15</v>
      </c>
      <c r="T23" s="1">
        <f t="shared" si="5"/>
        <v>11.522217276321646</v>
      </c>
      <c r="U23" s="1">
        <v>8.5272000000000006</v>
      </c>
      <c r="V23" s="1">
        <v>6.7948000000000004</v>
      </c>
      <c r="W23" s="1">
        <v>6.8343999999999996</v>
      </c>
      <c r="X23" s="1">
        <v>6.0042</v>
      </c>
      <c r="Y23" s="1">
        <v>7.3087999999999997</v>
      </c>
      <c r="Z23" s="1">
        <v>5.0584000000000007</v>
      </c>
      <c r="AA23" s="1">
        <v>-0.33040000000000003</v>
      </c>
      <c r="AB23" s="1">
        <v>8.4344000000000001</v>
      </c>
      <c r="AC23" s="1">
        <v>6.0996000000000006</v>
      </c>
      <c r="AD23" s="1">
        <v>4.2107999999999999</v>
      </c>
      <c r="AE23" s="1"/>
      <c r="AF23" s="1" t="s">
        <v>59</v>
      </c>
      <c r="AG23" s="1">
        <f t="shared" si="6"/>
        <v>26.564000000000007</v>
      </c>
      <c r="AH23" s="1">
        <f t="shared" si="8"/>
        <v>50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34</v>
      </c>
      <c r="C24" s="1">
        <v>208.691</v>
      </c>
      <c r="D24" s="1"/>
      <c r="E24" s="1">
        <v>204.714</v>
      </c>
      <c r="F24" s="1">
        <v>-16.533999999999999</v>
      </c>
      <c r="G24" s="6">
        <v>1</v>
      </c>
      <c r="H24" s="1">
        <v>60</v>
      </c>
      <c r="I24" s="1" t="s">
        <v>35</v>
      </c>
      <c r="J24" s="1"/>
      <c r="K24" s="1">
        <v>200.95</v>
      </c>
      <c r="L24" s="1">
        <f t="shared" si="2"/>
        <v>3.76400000000001</v>
      </c>
      <c r="M24" s="1"/>
      <c r="N24" s="1"/>
      <c r="O24" s="1">
        <v>180</v>
      </c>
      <c r="P24" s="1">
        <f t="shared" si="3"/>
        <v>40.942799999999998</v>
      </c>
      <c r="Q24" s="19">
        <f>12*P24-O24-F24</f>
        <v>327.84759999999994</v>
      </c>
      <c r="R24" s="22"/>
      <c r="S24" s="1">
        <f t="shared" si="4"/>
        <v>12</v>
      </c>
      <c r="T24" s="1">
        <f t="shared" si="5"/>
        <v>3.9925456979004861</v>
      </c>
      <c r="U24" s="1">
        <v>20.069199999999999</v>
      </c>
      <c r="V24" s="1">
        <v>18.4602</v>
      </c>
      <c r="W24" s="1">
        <v>27.0306</v>
      </c>
      <c r="X24" s="1">
        <v>24.778199999999998</v>
      </c>
      <c r="Y24" s="1">
        <v>30.382400000000001</v>
      </c>
      <c r="Z24" s="1">
        <v>12.019399999999999</v>
      </c>
      <c r="AA24" s="1">
        <v>32.415799999999997</v>
      </c>
      <c r="AB24" s="1">
        <v>26.765599999999999</v>
      </c>
      <c r="AC24" s="1">
        <v>20.123799999999999</v>
      </c>
      <c r="AD24" s="1">
        <v>23.693999999999999</v>
      </c>
      <c r="AE24" s="1"/>
      <c r="AF24" s="1"/>
      <c r="AG24" s="1">
        <f t="shared" si="6"/>
        <v>327.84759999999994</v>
      </c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38</v>
      </c>
      <c r="C25" s="1">
        <v>127</v>
      </c>
      <c r="D25" s="1">
        <v>390</v>
      </c>
      <c r="E25" s="1">
        <v>314</v>
      </c>
      <c r="F25" s="1">
        <v>146</v>
      </c>
      <c r="G25" s="6">
        <v>0.09</v>
      </c>
      <c r="H25" s="1">
        <v>60</v>
      </c>
      <c r="I25" s="1" t="s">
        <v>35</v>
      </c>
      <c r="J25" s="1"/>
      <c r="K25" s="1">
        <v>354</v>
      </c>
      <c r="L25" s="1">
        <f t="shared" si="2"/>
        <v>-40</v>
      </c>
      <c r="M25" s="1"/>
      <c r="N25" s="1"/>
      <c r="O25" s="1">
        <v>600</v>
      </c>
      <c r="P25" s="1">
        <f t="shared" si="3"/>
        <v>62.8</v>
      </c>
      <c r="Q25" s="19">
        <f t="shared" si="7"/>
        <v>196</v>
      </c>
      <c r="R25" s="22"/>
      <c r="S25" s="1">
        <f t="shared" si="4"/>
        <v>15</v>
      </c>
      <c r="T25" s="1">
        <f t="shared" si="5"/>
        <v>11.878980891719745</v>
      </c>
      <c r="U25" s="1">
        <v>58.2</v>
      </c>
      <c r="V25" s="1">
        <v>56.6</v>
      </c>
      <c r="W25" s="1">
        <v>46.8</v>
      </c>
      <c r="X25" s="1">
        <v>44.8</v>
      </c>
      <c r="Y25" s="1">
        <v>65.599999999999994</v>
      </c>
      <c r="Z25" s="1">
        <v>69</v>
      </c>
      <c r="AA25" s="1">
        <v>42.2</v>
      </c>
      <c r="AB25" s="1">
        <v>62</v>
      </c>
      <c r="AC25" s="1">
        <v>41.8</v>
      </c>
      <c r="AD25" s="1">
        <v>53.6</v>
      </c>
      <c r="AE25" s="1"/>
      <c r="AF25" s="1"/>
      <c r="AG25" s="1">
        <f t="shared" si="6"/>
        <v>17.64</v>
      </c>
      <c r="AH25" s="1">
        <f t="shared" si="8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38</v>
      </c>
      <c r="C26" s="1">
        <v>79</v>
      </c>
      <c r="D26" s="1">
        <v>180</v>
      </c>
      <c r="E26" s="1">
        <v>172</v>
      </c>
      <c r="F26" s="1">
        <v>40</v>
      </c>
      <c r="G26" s="6">
        <v>0.09</v>
      </c>
      <c r="H26" s="1">
        <v>45</v>
      </c>
      <c r="I26" s="9" t="s">
        <v>45</v>
      </c>
      <c r="J26" s="1"/>
      <c r="K26" s="1">
        <v>217</v>
      </c>
      <c r="L26" s="1">
        <f t="shared" si="2"/>
        <v>-45</v>
      </c>
      <c r="M26" s="1"/>
      <c r="N26" s="1"/>
      <c r="O26" s="1">
        <v>500</v>
      </c>
      <c r="P26" s="1">
        <f t="shared" si="3"/>
        <v>34.4</v>
      </c>
      <c r="Q26" s="19"/>
      <c r="R26" s="22"/>
      <c r="S26" s="1">
        <f t="shared" si="4"/>
        <v>15.697674418604652</v>
      </c>
      <c r="T26" s="1">
        <f t="shared" si="5"/>
        <v>15.697674418604652</v>
      </c>
      <c r="U26" s="1">
        <v>50.2</v>
      </c>
      <c r="V26" s="1">
        <v>35.799999999999997</v>
      </c>
      <c r="W26" s="1">
        <v>34.799999999999997</v>
      </c>
      <c r="X26" s="1">
        <v>39.200000000000003</v>
      </c>
      <c r="Y26" s="1">
        <v>30.8</v>
      </c>
      <c r="Z26" s="1">
        <v>20.6</v>
      </c>
      <c r="AA26" s="1">
        <v>27.4</v>
      </c>
      <c r="AB26" s="1">
        <v>31.8</v>
      </c>
      <c r="AC26" s="1">
        <v>26.2</v>
      </c>
      <c r="AD26" s="1">
        <v>23.6</v>
      </c>
      <c r="AE26" s="1"/>
      <c r="AF26" s="1" t="s">
        <v>46</v>
      </c>
      <c r="AG26" s="1">
        <f t="shared" si="6"/>
        <v>0</v>
      </c>
      <c r="AH26" s="1">
        <f t="shared" si="8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38</v>
      </c>
      <c r="C27" s="1">
        <v>180</v>
      </c>
      <c r="D27" s="1"/>
      <c r="E27" s="1">
        <v>160</v>
      </c>
      <c r="F27" s="1">
        <v>-23</v>
      </c>
      <c r="G27" s="6">
        <v>0.15</v>
      </c>
      <c r="H27" s="1">
        <v>45</v>
      </c>
      <c r="I27" s="1" t="s">
        <v>35</v>
      </c>
      <c r="J27" s="1"/>
      <c r="K27" s="1">
        <v>160</v>
      </c>
      <c r="L27" s="1">
        <f t="shared" si="2"/>
        <v>0</v>
      </c>
      <c r="M27" s="1"/>
      <c r="N27" s="1"/>
      <c r="O27" s="1">
        <v>400</v>
      </c>
      <c r="P27" s="1">
        <f t="shared" si="3"/>
        <v>32</v>
      </c>
      <c r="Q27" s="19">
        <f t="shared" si="7"/>
        <v>103</v>
      </c>
      <c r="R27" s="22"/>
      <c r="S27" s="1">
        <f t="shared" si="4"/>
        <v>15</v>
      </c>
      <c r="T27" s="1">
        <f t="shared" si="5"/>
        <v>11.78125</v>
      </c>
      <c r="U27" s="1">
        <v>41</v>
      </c>
      <c r="V27" s="1">
        <v>26.2</v>
      </c>
      <c r="W27" s="1">
        <v>35.4</v>
      </c>
      <c r="X27" s="1">
        <v>32.200000000000003</v>
      </c>
      <c r="Y27" s="1">
        <v>24.6</v>
      </c>
      <c r="Z27" s="1">
        <v>26.2</v>
      </c>
      <c r="AA27" s="1">
        <v>19.600000000000001</v>
      </c>
      <c r="AB27" s="1">
        <v>27.4</v>
      </c>
      <c r="AC27" s="1">
        <v>33.6</v>
      </c>
      <c r="AD27" s="1">
        <v>20.399999999999999</v>
      </c>
      <c r="AE27" s="1"/>
      <c r="AF27" s="1"/>
      <c r="AG27" s="1">
        <f t="shared" si="6"/>
        <v>15.45</v>
      </c>
      <c r="AH27" s="1">
        <f t="shared" si="8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34</v>
      </c>
      <c r="C28" s="1">
        <v>565.48199999999997</v>
      </c>
      <c r="D28" s="1">
        <v>204.34100000000001</v>
      </c>
      <c r="E28" s="1">
        <v>364.27199999999999</v>
      </c>
      <c r="F28" s="1">
        <v>285.97000000000003</v>
      </c>
      <c r="G28" s="6">
        <v>1</v>
      </c>
      <c r="H28" s="1">
        <v>45</v>
      </c>
      <c r="I28" s="1" t="s">
        <v>35</v>
      </c>
      <c r="J28" s="1"/>
      <c r="K28" s="1">
        <v>373.2</v>
      </c>
      <c r="L28" s="1">
        <f t="shared" si="2"/>
        <v>-8.9279999999999973</v>
      </c>
      <c r="M28" s="1"/>
      <c r="N28" s="1"/>
      <c r="O28" s="1">
        <v>347</v>
      </c>
      <c r="P28" s="1">
        <f t="shared" si="3"/>
        <v>72.854399999999998</v>
      </c>
      <c r="Q28" s="19">
        <f t="shared" si="7"/>
        <v>459.846</v>
      </c>
      <c r="R28" s="22"/>
      <c r="S28" s="1">
        <f t="shared" si="4"/>
        <v>15</v>
      </c>
      <c r="T28" s="1">
        <f t="shared" si="5"/>
        <v>8.6881506127289505</v>
      </c>
      <c r="U28" s="1">
        <v>72.474000000000004</v>
      </c>
      <c r="V28" s="1">
        <v>75.914000000000001</v>
      </c>
      <c r="W28" s="1">
        <v>85.097200000000001</v>
      </c>
      <c r="X28" s="1">
        <v>86.089399999999998</v>
      </c>
      <c r="Y28" s="1">
        <v>101.1476</v>
      </c>
      <c r="Z28" s="1">
        <v>72.8874</v>
      </c>
      <c r="AA28" s="1">
        <v>74.640999999999991</v>
      </c>
      <c r="AB28" s="1">
        <v>69.128200000000007</v>
      </c>
      <c r="AC28" s="1">
        <v>44.8872</v>
      </c>
      <c r="AD28" s="1">
        <v>61.028599999999997</v>
      </c>
      <c r="AE28" s="1"/>
      <c r="AF28" s="1"/>
      <c r="AG28" s="1">
        <f t="shared" si="6"/>
        <v>459.846</v>
      </c>
      <c r="AH28" s="1">
        <f t="shared" si="8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38</v>
      </c>
      <c r="C29" s="1">
        <v>115</v>
      </c>
      <c r="D29" s="1">
        <v>170</v>
      </c>
      <c r="E29" s="1">
        <v>165</v>
      </c>
      <c r="F29" s="1">
        <v>94</v>
      </c>
      <c r="G29" s="6">
        <v>0.4</v>
      </c>
      <c r="H29" s="1">
        <v>60</v>
      </c>
      <c r="I29" s="1" t="s">
        <v>35</v>
      </c>
      <c r="J29" s="1"/>
      <c r="K29" s="1">
        <v>167</v>
      </c>
      <c r="L29" s="1">
        <f t="shared" si="2"/>
        <v>-2</v>
      </c>
      <c r="M29" s="1"/>
      <c r="N29" s="1"/>
      <c r="O29" s="1">
        <v>600</v>
      </c>
      <c r="P29" s="1">
        <f t="shared" si="3"/>
        <v>33</v>
      </c>
      <c r="Q29" s="19"/>
      <c r="R29" s="22">
        <v>200</v>
      </c>
      <c r="S29" s="1">
        <f t="shared" si="4"/>
        <v>21.030303030303031</v>
      </c>
      <c r="T29" s="1">
        <f t="shared" si="5"/>
        <v>21.030303030303031</v>
      </c>
      <c r="U29" s="1">
        <v>46.4</v>
      </c>
      <c r="V29" s="1">
        <v>36.6</v>
      </c>
      <c r="W29" s="1">
        <v>33.4</v>
      </c>
      <c r="X29" s="1">
        <v>46.4</v>
      </c>
      <c r="Y29" s="1">
        <v>43.2</v>
      </c>
      <c r="Z29" s="1">
        <v>44.2</v>
      </c>
      <c r="AA29" s="1">
        <v>37.4</v>
      </c>
      <c r="AB29" s="1">
        <v>47.6</v>
      </c>
      <c r="AC29" s="1">
        <v>25.8</v>
      </c>
      <c r="AD29" s="1">
        <v>56.8</v>
      </c>
      <c r="AE29" s="1"/>
      <c r="AF29" s="1" t="s">
        <v>46</v>
      </c>
      <c r="AG29" s="1">
        <f t="shared" si="6"/>
        <v>0</v>
      </c>
      <c r="AH29" s="1">
        <f t="shared" si="8"/>
        <v>80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38</v>
      </c>
      <c r="C30" s="1">
        <v>79</v>
      </c>
      <c r="D30" s="1">
        <v>418</v>
      </c>
      <c r="E30" s="1">
        <v>264</v>
      </c>
      <c r="F30" s="1">
        <v>182</v>
      </c>
      <c r="G30" s="6">
        <v>0.4</v>
      </c>
      <c r="H30" s="1">
        <v>60</v>
      </c>
      <c r="I30" s="9" t="s">
        <v>45</v>
      </c>
      <c r="J30" s="1"/>
      <c r="K30" s="1">
        <v>378</v>
      </c>
      <c r="L30" s="1">
        <f t="shared" si="2"/>
        <v>-114</v>
      </c>
      <c r="M30" s="1"/>
      <c r="N30" s="1"/>
      <c r="O30" s="1">
        <v>900</v>
      </c>
      <c r="P30" s="1">
        <f t="shared" si="3"/>
        <v>52.8</v>
      </c>
      <c r="Q30" s="19"/>
      <c r="R30" s="22">
        <v>300</v>
      </c>
      <c r="S30" s="1">
        <f t="shared" si="4"/>
        <v>20.492424242424242</v>
      </c>
      <c r="T30" s="1">
        <f t="shared" si="5"/>
        <v>20.492424242424242</v>
      </c>
      <c r="U30" s="1">
        <v>72.400000000000006</v>
      </c>
      <c r="V30" s="1">
        <v>60.4</v>
      </c>
      <c r="W30" s="1">
        <v>48.8</v>
      </c>
      <c r="X30" s="1">
        <v>45</v>
      </c>
      <c r="Y30" s="1">
        <v>32</v>
      </c>
      <c r="Z30" s="1">
        <v>37.200000000000003</v>
      </c>
      <c r="AA30" s="1">
        <v>30.4</v>
      </c>
      <c r="AB30" s="1">
        <v>43</v>
      </c>
      <c r="AC30" s="1">
        <v>48</v>
      </c>
      <c r="AD30" s="1">
        <v>44.6</v>
      </c>
      <c r="AE30" s="1"/>
      <c r="AF30" s="1" t="s">
        <v>46</v>
      </c>
      <c r="AG30" s="1">
        <f t="shared" si="6"/>
        <v>0</v>
      </c>
      <c r="AH30" s="1">
        <f t="shared" si="8"/>
        <v>120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38</v>
      </c>
      <c r="C31" s="1">
        <v>60</v>
      </c>
      <c r="D31" s="1">
        <v>194</v>
      </c>
      <c r="E31" s="1">
        <v>176</v>
      </c>
      <c r="F31" s="1">
        <v>41</v>
      </c>
      <c r="G31" s="6">
        <v>0.4</v>
      </c>
      <c r="H31" s="1">
        <v>60</v>
      </c>
      <c r="I31" s="9" t="s">
        <v>45</v>
      </c>
      <c r="J31" s="1"/>
      <c r="K31" s="1">
        <v>256</v>
      </c>
      <c r="L31" s="1">
        <f t="shared" si="2"/>
        <v>-80</v>
      </c>
      <c r="M31" s="1"/>
      <c r="N31" s="1"/>
      <c r="O31" s="1">
        <v>800</v>
      </c>
      <c r="P31" s="1">
        <f t="shared" si="3"/>
        <v>35.200000000000003</v>
      </c>
      <c r="Q31" s="19"/>
      <c r="R31" s="22">
        <v>200</v>
      </c>
      <c r="S31" s="1">
        <f t="shared" si="4"/>
        <v>23.892045454545453</v>
      </c>
      <c r="T31" s="1">
        <f t="shared" si="5"/>
        <v>23.892045454545453</v>
      </c>
      <c r="U31" s="1">
        <v>62.6</v>
      </c>
      <c r="V31" s="1">
        <v>39.200000000000003</v>
      </c>
      <c r="W31" s="1">
        <v>37.799999999999997</v>
      </c>
      <c r="X31" s="1">
        <v>42.8</v>
      </c>
      <c r="Y31" s="1">
        <v>27.4</v>
      </c>
      <c r="Z31" s="1">
        <v>24.2</v>
      </c>
      <c r="AA31" s="1">
        <v>34.799999999999997</v>
      </c>
      <c r="AB31" s="1">
        <v>44.6</v>
      </c>
      <c r="AC31" s="1">
        <v>41.4</v>
      </c>
      <c r="AD31" s="1">
        <v>37.799999999999997</v>
      </c>
      <c r="AE31" s="1"/>
      <c r="AF31" s="1" t="s">
        <v>46</v>
      </c>
      <c r="AG31" s="1">
        <f t="shared" si="6"/>
        <v>0</v>
      </c>
      <c r="AH31" s="1">
        <f t="shared" si="8"/>
        <v>80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38</v>
      </c>
      <c r="C32" s="1">
        <v>8</v>
      </c>
      <c r="D32" s="1">
        <v>390</v>
      </c>
      <c r="E32" s="1">
        <v>92</v>
      </c>
      <c r="F32" s="1">
        <v>245</v>
      </c>
      <c r="G32" s="6">
        <v>0.3</v>
      </c>
      <c r="H32" s="1">
        <v>45</v>
      </c>
      <c r="I32" s="1" t="s">
        <v>35</v>
      </c>
      <c r="J32" s="1"/>
      <c r="K32" s="1">
        <v>159</v>
      </c>
      <c r="L32" s="1">
        <f t="shared" si="2"/>
        <v>-67</v>
      </c>
      <c r="M32" s="1"/>
      <c r="N32" s="1"/>
      <c r="O32" s="1">
        <v>250</v>
      </c>
      <c r="P32" s="1">
        <f t="shared" si="3"/>
        <v>18.399999999999999</v>
      </c>
      <c r="Q32" s="19"/>
      <c r="R32" s="22"/>
      <c r="S32" s="1">
        <f t="shared" si="4"/>
        <v>26.90217391304348</v>
      </c>
      <c r="T32" s="1">
        <f t="shared" si="5"/>
        <v>26.90217391304348</v>
      </c>
      <c r="U32" s="1">
        <v>34.4</v>
      </c>
      <c r="V32" s="1">
        <v>27.2</v>
      </c>
      <c r="W32" s="1">
        <v>16.399999999999999</v>
      </c>
      <c r="X32" s="1">
        <v>22.4</v>
      </c>
      <c r="Y32" s="1">
        <v>36</v>
      </c>
      <c r="Z32" s="1">
        <v>27.2</v>
      </c>
      <c r="AA32" s="1">
        <v>20.2</v>
      </c>
      <c r="AB32" s="1">
        <v>26.8</v>
      </c>
      <c r="AC32" s="1">
        <v>20.399999999999999</v>
      </c>
      <c r="AD32" s="1">
        <v>27</v>
      </c>
      <c r="AE32" s="1"/>
      <c r="AF32" s="1"/>
      <c r="AG32" s="1">
        <f t="shared" si="6"/>
        <v>0</v>
      </c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34</v>
      </c>
      <c r="C33" s="1">
        <v>94.608000000000004</v>
      </c>
      <c r="D33" s="1">
        <v>19.818000000000001</v>
      </c>
      <c r="E33" s="1">
        <v>104.744</v>
      </c>
      <c r="F33" s="1">
        <v>-4.3310000000000004</v>
      </c>
      <c r="G33" s="6">
        <v>1</v>
      </c>
      <c r="H33" s="1">
        <v>60</v>
      </c>
      <c r="I33" s="1" t="s">
        <v>35</v>
      </c>
      <c r="J33" s="1"/>
      <c r="K33" s="1">
        <v>108.3</v>
      </c>
      <c r="L33" s="1">
        <f t="shared" si="2"/>
        <v>-3.5559999999999974</v>
      </c>
      <c r="M33" s="1"/>
      <c r="N33" s="1"/>
      <c r="O33" s="1">
        <v>250</v>
      </c>
      <c r="P33" s="1">
        <f t="shared" si="3"/>
        <v>20.948799999999999</v>
      </c>
      <c r="Q33" s="19">
        <f t="shared" si="7"/>
        <v>68.562999999999974</v>
      </c>
      <c r="R33" s="22">
        <v>150</v>
      </c>
      <c r="S33" s="1">
        <f t="shared" si="4"/>
        <v>15</v>
      </c>
      <c r="T33" s="1">
        <f t="shared" si="5"/>
        <v>11.72711563430841</v>
      </c>
      <c r="U33" s="1">
        <v>18.779599999999999</v>
      </c>
      <c r="V33" s="1">
        <v>14.0886</v>
      </c>
      <c r="W33" s="1">
        <v>16.861599999999999</v>
      </c>
      <c r="X33" s="1">
        <v>19.841200000000001</v>
      </c>
      <c r="Y33" s="1">
        <v>21.473199999999999</v>
      </c>
      <c r="Z33" s="1">
        <v>16.648800000000001</v>
      </c>
      <c r="AA33" s="1">
        <v>18.3598</v>
      </c>
      <c r="AB33" s="1">
        <v>19.619599999999998</v>
      </c>
      <c r="AC33" s="1">
        <v>17.6358</v>
      </c>
      <c r="AD33" s="1">
        <v>18.295000000000002</v>
      </c>
      <c r="AE33" s="1"/>
      <c r="AF33" s="1"/>
      <c r="AG33" s="1">
        <f t="shared" si="6"/>
        <v>68.562999999999974</v>
      </c>
      <c r="AH33" s="1">
        <f t="shared" si="8"/>
        <v>150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34</v>
      </c>
      <c r="C34" s="1">
        <v>13.545999999999999</v>
      </c>
      <c r="D34" s="1">
        <v>336.66800000000001</v>
      </c>
      <c r="E34" s="1">
        <v>38.436</v>
      </c>
      <c r="F34" s="1">
        <v>303.11</v>
      </c>
      <c r="G34" s="6">
        <v>1</v>
      </c>
      <c r="H34" s="1">
        <v>45</v>
      </c>
      <c r="I34" s="1" t="s">
        <v>35</v>
      </c>
      <c r="J34" s="1"/>
      <c r="K34" s="1">
        <v>45.3</v>
      </c>
      <c r="L34" s="1">
        <f t="shared" si="2"/>
        <v>-6.8639999999999972</v>
      </c>
      <c r="M34" s="1"/>
      <c r="N34" s="1"/>
      <c r="O34" s="1">
        <v>40</v>
      </c>
      <c r="P34" s="1">
        <f t="shared" si="3"/>
        <v>7.6871999999999998</v>
      </c>
      <c r="Q34" s="19"/>
      <c r="R34" s="22">
        <v>100</v>
      </c>
      <c r="S34" s="1">
        <f t="shared" si="4"/>
        <v>44.633936934124264</v>
      </c>
      <c r="T34" s="1">
        <f t="shared" si="5"/>
        <v>44.633936934124264</v>
      </c>
      <c r="U34" s="1">
        <v>18.589200000000002</v>
      </c>
      <c r="V34" s="1">
        <v>16.758800000000001</v>
      </c>
      <c r="W34" s="1">
        <v>9.6164000000000005</v>
      </c>
      <c r="X34" s="1">
        <v>15.4948</v>
      </c>
      <c r="Y34" s="1">
        <v>17.491800000000001</v>
      </c>
      <c r="Z34" s="1">
        <v>8.7322000000000006</v>
      </c>
      <c r="AA34" s="1">
        <v>19.025200000000002</v>
      </c>
      <c r="AB34" s="1">
        <v>11.681800000000001</v>
      </c>
      <c r="AC34" s="1">
        <v>9.6796000000000006</v>
      </c>
      <c r="AD34" s="1">
        <v>10.3604</v>
      </c>
      <c r="AE34" s="1"/>
      <c r="AF34" s="1"/>
      <c r="AG34" s="1">
        <f t="shared" si="6"/>
        <v>0</v>
      </c>
      <c r="AH34" s="1">
        <f t="shared" si="8"/>
        <v>100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34</v>
      </c>
      <c r="C35" s="1">
        <v>-4.2080000000000002</v>
      </c>
      <c r="D35" s="1">
        <v>334.36799999999999</v>
      </c>
      <c r="E35" s="1">
        <v>108.113</v>
      </c>
      <c r="F35" s="1">
        <v>198.11500000000001</v>
      </c>
      <c r="G35" s="6">
        <v>1</v>
      </c>
      <c r="H35" s="1">
        <v>45</v>
      </c>
      <c r="I35" s="1" t="s">
        <v>35</v>
      </c>
      <c r="J35" s="1"/>
      <c r="K35" s="1">
        <v>191.6</v>
      </c>
      <c r="L35" s="1">
        <f t="shared" si="2"/>
        <v>-83.486999999999995</v>
      </c>
      <c r="M35" s="1"/>
      <c r="N35" s="1"/>
      <c r="O35" s="1">
        <v>200</v>
      </c>
      <c r="P35" s="1">
        <f t="shared" si="3"/>
        <v>21.622599999999998</v>
      </c>
      <c r="Q35" s="19"/>
      <c r="R35" s="22">
        <v>100</v>
      </c>
      <c r="S35" s="1">
        <f t="shared" si="4"/>
        <v>18.411985607651257</v>
      </c>
      <c r="T35" s="1">
        <f t="shared" si="5"/>
        <v>18.411985607651257</v>
      </c>
      <c r="U35" s="1">
        <v>31.792000000000002</v>
      </c>
      <c r="V35" s="1">
        <v>20.077200000000001</v>
      </c>
      <c r="W35" s="1">
        <v>11.674799999999999</v>
      </c>
      <c r="X35" s="1">
        <v>20.364000000000001</v>
      </c>
      <c r="Y35" s="1">
        <v>26.2212</v>
      </c>
      <c r="Z35" s="1">
        <v>18.284400000000002</v>
      </c>
      <c r="AA35" s="1">
        <v>23.627800000000001</v>
      </c>
      <c r="AB35" s="1">
        <v>16.767800000000001</v>
      </c>
      <c r="AC35" s="1">
        <v>13.041600000000001</v>
      </c>
      <c r="AD35" s="1">
        <v>26.402999999999999</v>
      </c>
      <c r="AE35" s="1"/>
      <c r="AF35" s="1"/>
      <c r="AG35" s="1">
        <f t="shared" si="6"/>
        <v>0</v>
      </c>
      <c r="AH35" s="1">
        <f t="shared" si="8"/>
        <v>100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0" t="s">
        <v>72</v>
      </c>
      <c r="B36" s="10" t="s">
        <v>38</v>
      </c>
      <c r="C36" s="10">
        <v>133</v>
      </c>
      <c r="D36" s="10">
        <v>2</v>
      </c>
      <c r="E36" s="10">
        <v>122</v>
      </c>
      <c r="F36" s="10">
        <v>11</v>
      </c>
      <c r="G36" s="11">
        <v>0</v>
      </c>
      <c r="H36" s="10"/>
      <c r="I36" s="10" t="s">
        <v>73</v>
      </c>
      <c r="J36" s="10"/>
      <c r="K36" s="10">
        <v>156</v>
      </c>
      <c r="L36" s="10">
        <f t="shared" si="2"/>
        <v>-34</v>
      </c>
      <c r="M36" s="10"/>
      <c r="N36" s="10"/>
      <c r="O36" s="10">
        <v>700</v>
      </c>
      <c r="P36" s="10">
        <f t="shared" si="3"/>
        <v>24.4</v>
      </c>
      <c r="Q36" s="20"/>
      <c r="R36" s="23"/>
      <c r="S36" s="10">
        <f t="shared" si="4"/>
        <v>29.139344262295083</v>
      </c>
      <c r="T36" s="10">
        <f t="shared" si="5"/>
        <v>29.139344262295083</v>
      </c>
      <c r="U36" s="10">
        <v>21.2</v>
      </c>
      <c r="V36" s="10">
        <v>11.4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/>
      <c r="AF36" s="10" t="s">
        <v>74</v>
      </c>
      <c r="AG36" s="10"/>
      <c r="AH36" s="1">
        <f t="shared" si="8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75</v>
      </c>
      <c r="B37" s="1" t="s">
        <v>34</v>
      </c>
      <c r="C37" s="1">
        <v>15.548</v>
      </c>
      <c r="D37" s="1">
        <v>353.59399999999999</v>
      </c>
      <c r="E37" s="1">
        <v>141.863</v>
      </c>
      <c r="F37" s="1">
        <v>195.92400000000001</v>
      </c>
      <c r="G37" s="6">
        <v>1</v>
      </c>
      <c r="H37" s="1">
        <v>45</v>
      </c>
      <c r="I37" s="1" t="s">
        <v>35</v>
      </c>
      <c r="J37" s="1"/>
      <c r="K37" s="1">
        <v>222.7</v>
      </c>
      <c r="L37" s="1">
        <f t="shared" si="2"/>
        <v>-80.836999999999989</v>
      </c>
      <c r="M37" s="1"/>
      <c r="N37" s="1"/>
      <c r="O37" s="1">
        <v>250</v>
      </c>
      <c r="P37" s="1">
        <f t="shared" si="3"/>
        <v>28.372599999999998</v>
      </c>
      <c r="Q37" s="19"/>
      <c r="R37" s="22">
        <v>150</v>
      </c>
      <c r="S37" s="1">
        <f t="shared" si="4"/>
        <v>15.716712603004307</v>
      </c>
      <c r="T37" s="1">
        <f t="shared" si="5"/>
        <v>15.716712603004307</v>
      </c>
      <c r="U37" s="1">
        <v>42.488399999999999</v>
      </c>
      <c r="V37" s="1">
        <v>29.185600000000001</v>
      </c>
      <c r="W37" s="1">
        <v>25.471800000000002</v>
      </c>
      <c r="X37" s="1">
        <v>27.164400000000001</v>
      </c>
      <c r="Y37" s="1">
        <v>49.6982</v>
      </c>
      <c r="Z37" s="1">
        <v>26.753799999999998</v>
      </c>
      <c r="AA37" s="1">
        <v>42.905999999999999</v>
      </c>
      <c r="AB37" s="1">
        <v>40.457599999999999</v>
      </c>
      <c r="AC37" s="1">
        <v>38.383400000000002</v>
      </c>
      <c r="AD37" s="1">
        <v>37.244999999999997</v>
      </c>
      <c r="AE37" s="1"/>
      <c r="AF37" s="1"/>
      <c r="AG37" s="1">
        <f t="shared" ref="AG37:AG57" si="9">G37*Q37</f>
        <v>0</v>
      </c>
      <c r="AH37" s="1">
        <f t="shared" si="8"/>
        <v>150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76</v>
      </c>
      <c r="B38" s="1" t="s">
        <v>38</v>
      </c>
      <c r="C38" s="1">
        <v>370</v>
      </c>
      <c r="D38" s="1">
        <v>87</v>
      </c>
      <c r="E38" s="1">
        <v>292</v>
      </c>
      <c r="F38" s="1">
        <v>113</v>
      </c>
      <c r="G38" s="6">
        <v>0.3</v>
      </c>
      <c r="H38" s="1">
        <v>45</v>
      </c>
      <c r="I38" s="1" t="s">
        <v>35</v>
      </c>
      <c r="J38" s="1"/>
      <c r="K38" s="1">
        <v>312</v>
      </c>
      <c r="L38" s="1">
        <f t="shared" ref="L38:L69" si="10">E38-K38</f>
        <v>-20</v>
      </c>
      <c r="M38" s="1"/>
      <c r="N38" s="1"/>
      <c r="O38" s="1">
        <v>650</v>
      </c>
      <c r="P38" s="1">
        <f t="shared" ref="P38:P69" si="11">E38/5</f>
        <v>58.4</v>
      </c>
      <c r="Q38" s="19">
        <f t="shared" ref="Q38:Q57" si="12">15*P38-O38-F38</f>
        <v>113</v>
      </c>
      <c r="R38" s="22">
        <v>300</v>
      </c>
      <c r="S38" s="1">
        <f t="shared" ref="S38:S69" si="13">(F38+O38+Q38)/P38</f>
        <v>15</v>
      </c>
      <c r="T38" s="1">
        <f t="shared" ref="T38:T69" si="14">(F38+O38)/P38</f>
        <v>13.065068493150685</v>
      </c>
      <c r="U38" s="1">
        <v>62.2</v>
      </c>
      <c r="V38" s="1">
        <v>54.2</v>
      </c>
      <c r="W38" s="1">
        <v>35.6</v>
      </c>
      <c r="X38" s="1">
        <v>48.4</v>
      </c>
      <c r="Y38" s="1">
        <v>70.2</v>
      </c>
      <c r="Z38" s="1">
        <v>69.8</v>
      </c>
      <c r="AA38" s="1">
        <v>41.6</v>
      </c>
      <c r="AB38" s="1">
        <v>43.2</v>
      </c>
      <c r="AC38" s="1">
        <v>18.8</v>
      </c>
      <c r="AD38" s="1">
        <v>58</v>
      </c>
      <c r="AE38" s="1"/>
      <c r="AF38" s="1"/>
      <c r="AG38" s="1">
        <f t="shared" si="9"/>
        <v>33.9</v>
      </c>
      <c r="AH38" s="1">
        <f t="shared" si="8"/>
        <v>90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77</v>
      </c>
      <c r="B39" s="1" t="s">
        <v>34</v>
      </c>
      <c r="C39" s="1">
        <v>118.63500000000001</v>
      </c>
      <c r="D39" s="1">
        <v>79.665999999999997</v>
      </c>
      <c r="E39" s="1">
        <v>172.43799999999999</v>
      </c>
      <c r="F39" s="1">
        <v>-0.85499999999999998</v>
      </c>
      <c r="G39" s="6">
        <v>1</v>
      </c>
      <c r="H39" s="1">
        <v>30</v>
      </c>
      <c r="I39" s="1" t="s">
        <v>35</v>
      </c>
      <c r="J39" s="1"/>
      <c r="K39" s="1">
        <v>165.45599999999999</v>
      </c>
      <c r="L39" s="1">
        <f t="shared" si="10"/>
        <v>6.9819999999999993</v>
      </c>
      <c r="M39" s="1"/>
      <c r="N39" s="1"/>
      <c r="O39" s="1">
        <v>280</v>
      </c>
      <c r="P39" s="1">
        <f t="shared" si="11"/>
        <v>34.4876</v>
      </c>
      <c r="Q39" s="19">
        <f t="shared" si="12"/>
        <v>238.16899999999995</v>
      </c>
      <c r="R39" s="22">
        <v>300</v>
      </c>
      <c r="S39" s="1">
        <f t="shared" si="13"/>
        <v>14.999999999999998</v>
      </c>
      <c r="T39" s="1">
        <f t="shared" si="14"/>
        <v>8.0940685927695739</v>
      </c>
      <c r="U39" s="1">
        <v>27.011600000000001</v>
      </c>
      <c r="V39" s="1">
        <v>22.9208</v>
      </c>
      <c r="W39" s="1">
        <v>23.462</v>
      </c>
      <c r="X39" s="1">
        <v>26.2592</v>
      </c>
      <c r="Y39" s="1">
        <v>36.895600000000002</v>
      </c>
      <c r="Z39" s="1">
        <v>16.045200000000001</v>
      </c>
      <c r="AA39" s="1">
        <v>14.3528</v>
      </c>
      <c r="AB39" s="1">
        <v>22.1236</v>
      </c>
      <c r="AC39" s="1">
        <v>20.263999999999999</v>
      </c>
      <c r="AD39" s="1">
        <v>18.549600000000002</v>
      </c>
      <c r="AE39" s="1"/>
      <c r="AF39" s="1"/>
      <c r="AG39" s="1">
        <f t="shared" si="9"/>
        <v>238.16899999999995</v>
      </c>
      <c r="AH39" s="1">
        <f t="shared" si="8"/>
        <v>300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78</v>
      </c>
      <c r="B40" s="1" t="s">
        <v>34</v>
      </c>
      <c r="C40" s="1">
        <v>92.323999999999998</v>
      </c>
      <c r="D40" s="1">
        <v>614.35799999999995</v>
      </c>
      <c r="E40" s="1">
        <v>276.45299999999997</v>
      </c>
      <c r="F40" s="1">
        <v>340.91899999999998</v>
      </c>
      <c r="G40" s="6">
        <v>1</v>
      </c>
      <c r="H40" s="1">
        <v>45</v>
      </c>
      <c r="I40" s="1" t="s">
        <v>35</v>
      </c>
      <c r="J40" s="1"/>
      <c r="K40" s="1">
        <v>331</v>
      </c>
      <c r="L40" s="1">
        <f t="shared" si="10"/>
        <v>-54.547000000000025</v>
      </c>
      <c r="M40" s="1"/>
      <c r="N40" s="1"/>
      <c r="O40" s="1">
        <v>650</v>
      </c>
      <c r="P40" s="1">
        <f t="shared" si="11"/>
        <v>55.290599999999998</v>
      </c>
      <c r="Q40" s="19"/>
      <c r="R40" s="22">
        <v>300</v>
      </c>
      <c r="S40" s="1">
        <f t="shared" si="13"/>
        <v>17.922015677167547</v>
      </c>
      <c r="T40" s="1">
        <f t="shared" si="14"/>
        <v>17.922015677167547</v>
      </c>
      <c r="U40" s="1">
        <v>69.810400000000001</v>
      </c>
      <c r="V40" s="1">
        <v>76.587800000000001</v>
      </c>
      <c r="W40" s="1">
        <v>48.989199999999997</v>
      </c>
      <c r="X40" s="1">
        <v>66.378</v>
      </c>
      <c r="Y40" s="1">
        <v>55.039200000000008</v>
      </c>
      <c r="Z40" s="1">
        <v>42.236199999999997</v>
      </c>
      <c r="AA40" s="1">
        <v>44.667000000000002</v>
      </c>
      <c r="AB40" s="1">
        <v>51.484200000000001</v>
      </c>
      <c r="AC40" s="1">
        <v>34.043199999999999</v>
      </c>
      <c r="AD40" s="1">
        <v>46.182600000000001</v>
      </c>
      <c r="AE40" s="1"/>
      <c r="AF40" s="1"/>
      <c r="AG40" s="1">
        <f t="shared" si="9"/>
        <v>0</v>
      </c>
      <c r="AH40" s="1">
        <f t="shared" si="8"/>
        <v>300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79</v>
      </c>
      <c r="B41" s="1" t="s">
        <v>38</v>
      </c>
      <c r="C41" s="1">
        <v>-6</v>
      </c>
      <c r="D41" s="1">
        <v>1182</v>
      </c>
      <c r="E41" s="1">
        <v>219</v>
      </c>
      <c r="F41" s="1">
        <v>868</v>
      </c>
      <c r="G41" s="6">
        <v>0.35</v>
      </c>
      <c r="H41" s="1">
        <v>45</v>
      </c>
      <c r="I41" s="1" t="s">
        <v>35</v>
      </c>
      <c r="J41" s="1"/>
      <c r="K41" s="1">
        <v>338</v>
      </c>
      <c r="L41" s="1">
        <f t="shared" si="10"/>
        <v>-119</v>
      </c>
      <c r="M41" s="1"/>
      <c r="N41" s="1"/>
      <c r="O41" s="1">
        <v>200</v>
      </c>
      <c r="P41" s="1">
        <f t="shared" si="11"/>
        <v>43.8</v>
      </c>
      <c r="Q41" s="19"/>
      <c r="R41" s="22">
        <v>400</v>
      </c>
      <c r="S41" s="1">
        <f t="shared" si="13"/>
        <v>24.38356164383562</v>
      </c>
      <c r="T41" s="1">
        <f t="shared" si="14"/>
        <v>24.38356164383562</v>
      </c>
      <c r="U41" s="1">
        <v>54.2</v>
      </c>
      <c r="V41" s="1">
        <v>82.6</v>
      </c>
      <c r="W41" s="1">
        <v>46.2</v>
      </c>
      <c r="X41" s="1">
        <v>63</v>
      </c>
      <c r="Y41" s="1">
        <v>93.8</v>
      </c>
      <c r="Z41" s="1">
        <v>49.2</v>
      </c>
      <c r="AA41" s="1">
        <v>60.4</v>
      </c>
      <c r="AB41" s="1">
        <v>73</v>
      </c>
      <c r="AC41" s="1">
        <v>57.2</v>
      </c>
      <c r="AD41" s="1">
        <v>63.4</v>
      </c>
      <c r="AE41" s="1"/>
      <c r="AF41" s="1"/>
      <c r="AG41" s="1">
        <f t="shared" si="9"/>
        <v>0</v>
      </c>
      <c r="AH41" s="1">
        <f t="shared" si="8"/>
        <v>140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38</v>
      </c>
      <c r="C42" s="1">
        <v>354</v>
      </c>
      <c r="D42" s="1">
        <v>186</v>
      </c>
      <c r="E42" s="1">
        <v>230</v>
      </c>
      <c r="F42" s="1">
        <v>208</v>
      </c>
      <c r="G42" s="6">
        <v>0.41</v>
      </c>
      <c r="H42" s="1">
        <v>45</v>
      </c>
      <c r="I42" s="1" t="s">
        <v>35</v>
      </c>
      <c r="J42" s="1"/>
      <c r="K42" s="1">
        <v>253</v>
      </c>
      <c r="L42" s="1">
        <f t="shared" si="10"/>
        <v>-23</v>
      </c>
      <c r="M42" s="1"/>
      <c r="N42" s="1"/>
      <c r="O42" s="1">
        <v>383</v>
      </c>
      <c r="P42" s="1">
        <f t="shared" si="11"/>
        <v>46</v>
      </c>
      <c r="Q42" s="19">
        <f t="shared" si="12"/>
        <v>99</v>
      </c>
      <c r="R42" s="22"/>
      <c r="S42" s="1">
        <f t="shared" si="13"/>
        <v>15</v>
      </c>
      <c r="T42" s="1">
        <f t="shared" si="14"/>
        <v>12.847826086956522</v>
      </c>
      <c r="U42" s="1">
        <v>60.4</v>
      </c>
      <c r="V42" s="1">
        <v>59.8</v>
      </c>
      <c r="W42" s="1">
        <v>66</v>
      </c>
      <c r="X42" s="1">
        <v>59.4</v>
      </c>
      <c r="Y42" s="1">
        <v>44.8</v>
      </c>
      <c r="Z42" s="1">
        <v>56</v>
      </c>
      <c r="AA42" s="1">
        <v>48.8</v>
      </c>
      <c r="AB42" s="1">
        <v>61</v>
      </c>
      <c r="AC42" s="1">
        <v>55.8</v>
      </c>
      <c r="AD42" s="1">
        <v>52.6</v>
      </c>
      <c r="AE42" s="1"/>
      <c r="AF42" s="1"/>
      <c r="AG42" s="1">
        <f t="shared" si="9"/>
        <v>40.589999999999996</v>
      </c>
      <c r="AH42" s="1">
        <f t="shared" si="8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38</v>
      </c>
      <c r="C43" s="1">
        <v>224</v>
      </c>
      <c r="D43" s="1">
        <v>12</v>
      </c>
      <c r="E43" s="1">
        <v>168</v>
      </c>
      <c r="F43" s="1">
        <v>33</v>
      </c>
      <c r="G43" s="6">
        <v>0.41</v>
      </c>
      <c r="H43" s="1">
        <v>45</v>
      </c>
      <c r="I43" s="1" t="s">
        <v>35</v>
      </c>
      <c r="J43" s="1"/>
      <c r="K43" s="1">
        <v>172</v>
      </c>
      <c r="L43" s="1">
        <f t="shared" si="10"/>
        <v>-4</v>
      </c>
      <c r="M43" s="1"/>
      <c r="N43" s="1"/>
      <c r="O43" s="1">
        <v>340</v>
      </c>
      <c r="P43" s="1">
        <f t="shared" si="11"/>
        <v>33.6</v>
      </c>
      <c r="Q43" s="19">
        <f t="shared" si="12"/>
        <v>131</v>
      </c>
      <c r="R43" s="22">
        <v>200</v>
      </c>
      <c r="S43" s="1">
        <f t="shared" si="13"/>
        <v>15</v>
      </c>
      <c r="T43" s="1">
        <f t="shared" si="14"/>
        <v>11.101190476190476</v>
      </c>
      <c r="U43" s="1">
        <v>34.200000000000003</v>
      </c>
      <c r="V43" s="1">
        <v>28.6</v>
      </c>
      <c r="W43" s="1">
        <v>35.6</v>
      </c>
      <c r="X43" s="1">
        <v>34.200000000000003</v>
      </c>
      <c r="Y43" s="1">
        <v>40.6</v>
      </c>
      <c r="Z43" s="1">
        <v>30.6</v>
      </c>
      <c r="AA43" s="1">
        <v>36.200000000000003</v>
      </c>
      <c r="AB43" s="1">
        <v>42.6</v>
      </c>
      <c r="AC43" s="1">
        <v>41.4</v>
      </c>
      <c r="AD43" s="1">
        <v>27.4</v>
      </c>
      <c r="AE43" s="1"/>
      <c r="AF43" s="1"/>
      <c r="AG43" s="1">
        <f t="shared" si="9"/>
        <v>53.709999999999994</v>
      </c>
      <c r="AH43" s="1">
        <f t="shared" si="8"/>
        <v>82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38</v>
      </c>
      <c r="C44" s="1">
        <v>467</v>
      </c>
      <c r="D44" s="1"/>
      <c r="E44" s="1">
        <v>194</v>
      </c>
      <c r="F44" s="1">
        <v>252</v>
      </c>
      <c r="G44" s="6">
        <v>0.36</v>
      </c>
      <c r="H44" s="1">
        <v>45</v>
      </c>
      <c r="I44" s="1" t="s">
        <v>35</v>
      </c>
      <c r="J44" s="1"/>
      <c r="K44" s="1">
        <v>196</v>
      </c>
      <c r="L44" s="1">
        <f t="shared" si="10"/>
        <v>-2</v>
      </c>
      <c r="M44" s="1"/>
      <c r="N44" s="1"/>
      <c r="O44" s="1">
        <v>12</v>
      </c>
      <c r="P44" s="1">
        <f t="shared" si="11"/>
        <v>38.799999999999997</v>
      </c>
      <c r="Q44" s="19">
        <f t="shared" si="12"/>
        <v>318</v>
      </c>
      <c r="R44" s="22"/>
      <c r="S44" s="1">
        <f t="shared" si="13"/>
        <v>15.000000000000002</v>
      </c>
      <c r="T44" s="1">
        <f t="shared" si="14"/>
        <v>6.8041237113402069</v>
      </c>
      <c r="U44" s="1">
        <v>34.200000000000003</v>
      </c>
      <c r="V44" s="1">
        <v>27.4</v>
      </c>
      <c r="W44" s="1">
        <v>35</v>
      </c>
      <c r="X44" s="1">
        <v>23.2</v>
      </c>
      <c r="Y44" s="1">
        <v>54.2</v>
      </c>
      <c r="Z44" s="1">
        <v>49</v>
      </c>
      <c r="AA44" s="1">
        <v>25.4</v>
      </c>
      <c r="AB44" s="1">
        <v>43.4</v>
      </c>
      <c r="AC44" s="1">
        <v>59</v>
      </c>
      <c r="AD44" s="1">
        <v>28.8</v>
      </c>
      <c r="AE44" s="1"/>
      <c r="AF44" s="1" t="s">
        <v>46</v>
      </c>
      <c r="AG44" s="1">
        <f t="shared" si="9"/>
        <v>114.47999999999999</v>
      </c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38</v>
      </c>
      <c r="C45" s="1">
        <v>39</v>
      </c>
      <c r="D45" s="1">
        <v>8</v>
      </c>
      <c r="E45" s="1">
        <v>45</v>
      </c>
      <c r="F45" s="1">
        <v>1</v>
      </c>
      <c r="G45" s="6">
        <v>0.33</v>
      </c>
      <c r="H45" s="1">
        <v>45</v>
      </c>
      <c r="I45" s="1" t="s">
        <v>35</v>
      </c>
      <c r="J45" s="1"/>
      <c r="K45" s="1">
        <v>48</v>
      </c>
      <c r="L45" s="1">
        <f t="shared" si="10"/>
        <v>-3</v>
      </c>
      <c r="M45" s="1"/>
      <c r="N45" s="1"/>
      <c r="O45" s="1">
        <v>106</v>
      </c>
      <c r="P45" s="1">
        <f t="shared" si="11"/>
        <v>9</v>
      </c>
      <c r="Q45" s="19">
        <f t="shared" si="12"/>
        <v>28</v>
      </c>
      <c r="R45" s="22">
        <v>70</v>
      </c>
      <c r="S45" s="1">
        <f t="shared" si="13"/>
        <v>15</v>
      </c>
      <c r="T45" s="1">
        <f t="shared" si="14"/>
        <v>11.888888888888889</v>
      </c>
      <c r="U45" s="1">
        <v>12.6</v>
      </c>
      <c r="V45" s="1">
        <v>7.4</v>
      </c>
      <c r="W45" s="1">
        <v>7.2</v>
      </c>
      <c r="X45" s="1">
        <v>14.4</v>
      </c>
      <c r="Y45" s="1">
        <v>9</v>
      </c>
      <c r="Z45" s="1">
        <v>5.4</v>
      </c>
      <c r="AA45" s="1">
        <v>11.4</v>
      </c>
      <c r="AB45" s="1">
        <v>12.8</v>
      </c>
      <c r="AC45" s="1">
        <v>17.2</v>
      </c>
      <c r="AD45" s="1">
        <v>11.2</v>
      </c>
      <c r="AE45" s="1"/>
      <c r="AF45" s="1"/>
      <c r="AG45" s="1">
        <f t="shared" si="9"/>
        <v>9.24</v>
      </c>
      <c r="AH45" s="1">
        <f t="shared" si="8"/>
        <v>23.1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38</v>
      </c>
      <c r="C46" s="1">
        <v>88</v>
      </c>
      <c r="D46" s="1">
        <v>90</v>
      </c>
      <c r="E46" s="1">
        <v>35</v>
      </c>
      <c r="F46" s="1">
        <v>128</v>
      </c>
      <c r="G46" s="6">
        <v>0.4</v>
      </c>
      <c r="H46" s="1">
        <v>60</v>
      </c>
      <c r="I46" s="1" t="s">
        <v>35</v>
      </c>
      <c r="J46" s="1"/>
      <c r="K46" s="1">
        <v>42</v>
      </c>
      <c r="L46" s="1">
        <f t="shared" si="10"/>
        <v>-7</v>
      </c>
      <c r="M46" s="1"/>
      <c r="N46" s="1"/>
      <c r="O46" s="1">
        <v>50</v>
      </c>
      <c r="P46" s="1">
        <f t="shared" si="11"/>
        <v>7</v>
      </c>
      <c r="Q46" s="19"/>
      <c r="R46" s="22">
        <v>30</v>
      </c>
      <c r="S46" s="1">
        <f t="shared" si="13"/>
        <v>25.428571428571427</v>
      </c>
      <c r="T46" s="1">
        <f t="shared" si="14"/>
        <v>25.428571428571427</v>
      </c>
      <c r="U46" s="1">
        <v>13</v>
      </c>
      <c r="V46" s="1">
        <v>17.2</v>
      </c>
      <c r="W46" s="1">
        <v>13.8</v>
      </c>
      <c r="X46" s="1">
        <v>24.4</v>
      </c>
      <c r="Y46" s="1">
        <v>15.2</v>
      </c>
      <c r="Z46" s="1">
        <v>13.2</v>
      </c>
      <c r="AA46" s="1">
        <v>14.6</v>
      </c>
      <c r="AB46" s="1">
        <v>18.399999999999999</v>
      </c>
      <c r="AC46" s="1">
        <v>13.4</v>
      </c>
      <c r="AD46" s="1">
        <v>21.4</v>
      </c>
      <c r="AE46" s="1"/>
      <c r="AF46" s="1"/>
      <c r="AG46" s="1">
        <f t="shared" si="9"/>
        <v>0</v>
      </c>
      <c r="AH46" s="1">
        <f t="shared" si="8"/>
        <v>12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38</v>
      </c>
      <c r="C47" s="1">
        <v>-1</v>
      </c>
      <c r="D47" s="1">
        <v>40</v>
      </c>
      <c r="E47" s="1">
        <v>9</v>
      </c>
      <c r="F47" s="1">
        <v>21</v>
      </c>
      <c r="G47" s="6">
        <v>0.33</v>
      </c>
      <c r="H47" s="1">
        <v>45</v>
      </c>
      <c r="I47" s="1" t="s">
        <v>35</v>
      </c>
      <c r="J47" s="1"/>
      <c r="K47" s="1">
        <v>23</v>
      </c>
      <c r="L47" s="1">
        <f t="shared" si="10"/>
        <v>-14</v>
      </c>
      <c r="M47" s="1"/>
      <c r="N47" s="1"/>
      <c r="O47" s="1">
        <v>80</v>
      </c>
      <c r="P47" s="1">
        <f t="shared" si="11"/>
        <v>1.8</v>
      </c>
      <c r="Q47" s="19"/>
      <c r="R47" s="22">
        <v>40</v>
      </c>
      <c r="S47" s="1">
        <f t="shared" si="13"/>
        <v>56.111111111111107</v>
      </c>
      <c r="T47" s="1">
        <f t="shared" si="14"/>
        <v>56.111111111111107</v>
      </c>
      <c r="U47" s="1">
        <v>6.4</v>
      </c>
      <c r="V47" s="1">
        <v>5.2</v>
      </c>
      <c r="W47" s="1">
        <v>3.8</v>
      </c>
      <c r="X47" s="1">
        <v>5.6</v>
      </c>
      <c r="Y47" s="1">
        <v>7</v>
      </c>
      <c r="Z47" s="1">
        <v>4.4000000000000004</v>
      </c>
      <c r="AA47" s="1">
        <v>3.2</v>
      </c>
      <c r="AB47" s="1">
        <v>6.8</v>
      </c>
      <c r="AC47" s="1">
        <v>4.5999999999999996</v>
      </c>
      <c r="AD47" s="1">
        <v>5.4</v>
      </c>
      <c r="AE47" s="1"/>
      <c r="AF47" s="1"/>
      <c r="AG47" s="1">
        <f t="shared" si="9"/>
        <v>0</v>
      </c>
      <c r="AH47" s="1">
        <f t="shared" si="8"/>
        <v>13.200000000000001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34</v>
      </c>
      <c r="C48" s="1">
        <v>261.79500000000002</v>
      </c>
      <c r="D48" s="1">
        <v>488.149</v>
      </c>
      <c r="E48" s="1">
        <v>363.291</v>
      </c>
      <c r="F48" s="1">
        <v>264.64600000000002</v>
      </c>
      <c r="G48" s="6">
        <v>1</v>
      </c>
      <c r="H48" s="1">
        <v>45</v>
      </c>
      <c r="I48" s="1" t="s">
        <v>35</v>
      </c>
      <c r="J48" s="1"/>
      <c r="K48" s="1">
        <v>381.7</v>
      </c>
      <c r="L48" s="1">
        <f t="shared" si="10"/>
        <v>-18.408999999999992</v>
      </c>
      <c r="M48" s="1"/>
      <c r="N48" s="1"/>
      <c r="O48" s="1">
        <v>400</v>
      </c>
      <c r="P48" s="1">
        <f t="shared" si="11"/>
        <v>72.658199999999994</v>
      </c>
      <c r="Q48" s="19">
        <f t="shared" si="12"/>
        <v>425.2269999999998</v>
      </c>
      <c r="R48" s="22">
        <v>500</v>
      </c>
      <c r="S48" s="1">
        <f t="shared" si="13"/>
        <v>14.999999999999998</v>
      </c>
      <c r="T48" s="1">
        <f t="shared" si="14"/>
        <v>9.1475704049921411</v>
      </c>
      <c r="U48" s="1">
        <v>59.006399999999999</v>
      </c>
      <c r="V48" s="1">
        <v>74.868399999999994</v>
      </c>
      <c r="W48" s="1">
        <v>62.738</v>
      </c>
      <c r="X48" s="1">
        <v>79.360399999999998</v>
      </c>
      <c r="Y48" s="1">
        <v>76.403599999999997</v>
      </c>
      <c r="Z48" s="1">
        <v>34.4542</v>
      </c>
      <c r="AA48" s="1">
        <v>59.198400000000007</v>
      </c>
      <c r="AB48" s="1">
        <v>63.107399999999998</v>
      </c>
      <c r="AC48" s="1">
        <v>32.2164</v>
      </c>
      <c r="AD48" s="1">
        <v>50.428199999999997</v>
      </c>
      <c r="AE48" s="1"/>
      <c r="AF48" s="1"/>
      <c r="AG48" s="1">
        <f t="shared" si="9"/>
        <v>425.2269999999998</v>
      </c>
      <c r="AH48" s="1">
        <f t="shared" si="8"/>
        <v>500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87</v>
      </c>
      <c r="B49" s="1" t="s">
        <v>38</v>
      </c>
      <c r="C49" s="1">
        <v>131</v>
      </c>
      <c r="D49" s="1"/>
      <c r="E49" s="1">
        <v>33</v>
      </c>
      <c r="F49" s="1">
        <v>80</v>
      </c>
      <c r="G49" s="6">
        <v>0.4</v>
      </c>
      <c r="H49" s="1">
        <v>45</v>
      </c>
      <c r="I49" s="1" t="s">
        <v>35</v>
      </c>
      <c r="J49" s="1"/>
      <c r="K49" s="1">
        <v>42</v>
      </c>
      <c r="L49" s="1">
        <f t="shared" si="10"/>
        <v>-9</v>
      </c>
      <c r="M49" s="1"/>
      <c r="N49" s="1"/>
      <c r="O49" s="1">
        <v>70</v>
      </c>
      <c r="P49" s="1">
        <f t="shared" si="11"/>
        <v>6.6</v>
      </c>
      <c r="Q49" s="19"/>
      <c r="R49" s="22">
        <v>70</v>
      </c>
      <c r="S49" s="1">
        <f t="shared" si="13"/>
        <v>22.72727272727273</v>
      </c>
      <c r="T49" s="1">
        <f t="shared" si="14"/>
        <v>22.72727272727273</v>
      </c>
      <c r="U49" s="1">
        <v>11</v>
      </c>
      <c r="V49" s="1">
        <v>11.6</v>
      </c>
      <c r="W49" s="1">
        <v>6.6</v>
      </c>
      <c r="X49" s="1">
        <v>13.6</v>
      </c>
      <c r="Y49" s="1">
        <v>25.4</v>
      </c>
      <c r="Z49" s="1">
        <v>20.6</v>
      </c>
      <c r="AA49" s="1">
        <v>20.6</v>
      </c>
      <c r="AB49" s="1">
        <v>20.6</v>
      </c>
      <c r="AC49" s="1">
        <v>11</v>
      </c>
      <c r="AD49" s="1">
        <v>34.4</v>
      </c>
      <c r="AE49" s="1"/>
      <c r="AF49" s="1"/>
      <c r="AG49" s="1">
        <f t="shared" si="9"/>
        <v>0</v>
      </c>
      <c r="AH49" s="1">
        <f t="shared" si="8"/>
        <v>28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88</v>
      </c>
      <c r="B50" s="1" t="s">
        <v>34</v>
      </c>
      <c r="C50" s="1">
        <v>29.459</v>
      </c>
      <c r="D50" s="1"/>
      <c r="E50" s="1">
        <v>21.576000000000001</v>
      </c>
      <c r="F50" s="1">
        <v>3.94</v>
      </c>
      <c r="G50" s="6">
        <v>1</v>
      </c>
      <c r="H50" s="1">
        <v>60</v>
      </c>
      <c r="I50" s="1" t="s">
        <v>35</v>
      </c>
      <c r="J50" s="1"/>
      <c r="K50" s="1">
        <v>16.649999999999999</v>
      </c>
      <c r="L50" s="1">
        <f t="shared" si="10"/>
        <v>4.9260000000000019</v>
      </c>
      <c r="M50" s="1"/>
      <c r="N50" s="1"/>
      <c r="O50" s="1">
        <v>32</v>
      </c>
      <c r="P50" s="1">
        <f t="shared" si="11"/>
        <v>4.3151999999999999</v>
      </c>
      <c r="Q50" s="19">
        <f t="shared" si="12"/>
        <v>28.787999999999993</v>
      </c>
      <c r="R50" s="22">
        <v>40</v>
      </c>
      <c r="S50" s="1">
        <f t="shared" si="13"/>
        <v>14.999999999999998</v>
      </c>
      <c r="T50" s="1">
        <f t="shared" si="14"/>
        <v>8.328698553948831</v>
      </c>
      <c r="U50" s="1">
        <v>3.9378000000000002</v>
      </c>
      <c r="V50" s="1">
        <v>1.5831999999999999</v>
      </c>
      <c r="W50" s="1">
        <v>3.5358000000000001</v>
      </c>
      <c r="X50" s="1">
        <v>5.3479999999999999</v>
      </c>
      <c r="Y50" s="1">
        <v>2.3647999999999998</v>
      </c>
      <c r="Z50" s="1">
        <v>4.6563999999999997</v>
      </c>
      <c r="AA50" s="1">
        <v>0.64419999999999999</v>
      </c>
      <c r="AB50" s="1">
        <v>4.7759999999999998</v>
      </c>
      <c r="AC50" s="1">
        <v>3.1307999999999998</v>
      </c>
      <c r="AD50" s="1">
        <v>0.29899999999999999</v>
      </c>
      <c r="AE50" s="1"/>
      <c r="AF50" s="1" t="s">
        <v>89</v>
      </c>
      <c r="AG50" s="1">
        <f t="shared" si="9"/>
        <v>28.787999999999993</v>
      </c>
      <c r="AH50" s="1">
        <f t="shared" si="8"/>
        <v>40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34</v>
      </c>
      <c r="C51" s="1">
        <v>38.594999999999999</v>
      </c>
      <c r="D51" s="1"/>
      <c r="E51" s="1">
        <v>15.18</v>
      </c>
      <c r="F51" s="1">
        <v>18.875</v>
      </c>
      <c r="G51" s="6">
        <v>1</v>
      </c>
      <c r="H51" s="1">
        <v>60</v>
      </c>
      <c r="I51" s="1" t="s">
        <v>35</v>
      </c>
      <c r="J51" s="1"/>
      <c r="K51" s="1">
        <v>14.7</v>
      </c>
      <c r="L51" s="1">
        <f t="shared" si="10"/>
        <v>0.48000000000000043</v>
      </c>
      <c r="M51" s="1"/>
      <c r="N51" s="1"/>
      <c r="O51" s="1">
        <v>33</v>
      </c>
      <c r="P51" s="1">
        <f t="shared" si="11"/>
        <v>3.036</v>
      </c>
      <c r="Q51" s="19"/>
      <c r="R51" s="22">
        <v>30</v>
      </c>
      <c r="S51" s="1">
        <f t="shared" si="13"/>
        <v>17.086627140974969</v>
      </c>
      <c r="T51" s="1">
        <f t="shared" si="14"/>
        <v>17.086627140974969</v>
      </c>
      <c r="U51" s="1">
        <v>5.133</v>
      </c>
      <c r="V51" s="1">
        <v>1.51</v>
      </c>
      <c r="W51" s="1">
        <v>4.2290000000000001</v>
      </c>
      <c r="X51" s="1">
        <v>4.1909999999999998</v>
      </c>
      <c r="Y51" s="1">
        <v>3.3281999999999998</v>
      </c>
      <c r="Z51" s="1">
        <v>5.4710000000000001</v>
      </c>
      <c r="AA51" s="1">
        <v>2.6920000000000002</v>
      </c>
      <c r="AB51" s="1">
        <v>3.8879999999999999</v>
      </c>
      <c r="AC51" s="1">
        <v>3.302</v>
      </c>
      <c r="AD51" s="1">
        <v>1.486</v>
      </c>
      <c r="AE51" s="1"/>
      <c r="AF51" s="1"/>
      <c r="AG51" s="1">
        <f t="shared" si="9"/>
        <v>0</v>
      </c>
      <c r="AH51" s="1">
        <f t="shared" si="8"/>
        <v>30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91</v>
      </c>
      <c r="B52" s="1" t="s">
        <v>34</v>
      </c>
      <c r="C52" s="1">
        <v>-0.28999999999999998</v>
      </c>
      <c r="D52" s="1">
        <v>149.51400000000001</v>
      </c>
      <c r="E52" s="1">
        <v>15.364000000000001</v>
      </c>
      <c r="F52" s="1">
        <v>133.86000000000001</v>
      </c>
      <c r="G52" s="6">
        <v>1</v>
      </c>
      <c r="H52" s="1">
        <v>45</v>
      </c>
      <c r="I52" s="1" t="s">
        <v>35</v>
      </c>
      <c r="J52" s="1"/>
      <c r="K52" s="1">
        <v>20.100000000000001</v>
      </c>
      <c r="L52" s="1">
        <f t="shared" si="10"/>
        <v>-4.7360000000000007</v>
      </c>
      <c r="M52" s="1"/>
      <c r="N52" s="1"/>
      <c r="O52" s="1">
        <v>30</v>
      </c>
      <c r="P52" s="1">
        <f t="shared" si="11"/>
        <v>3.0728</v>
      </c>
      <c r="Q52" s="19"/>
      <c r="R52" s="22"/>
      <c r="S52" s="1">
        <f t="shared" si="13"/>
        <v>53.325956782087999</v>
      </c>
      <c r="T52" s="1">
        <f t="shared" si="14"/>
        <v>53.325956782087999</v>
      </c>
      <c r="U52" s="1">
        <v>1.0875999999999999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/>
      <c r="AF52" s="1" t="s">
        <v>36</v>
      </c>
      <c r="AG52" s="1">
        <f t="shared" si="9"/>
        <v>0</v>
      </c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92</v>
      </c>
      <c r="B53" s="1" t="s">
        <v>38</v>
      </c>
      <c r="C53" s="1">
        <v>69</v>
      </c>
      <c r="D53" s="1">
        <v>3</v>
      </c>
      <c r="E53" s="1">
        <v>44</v>
      </c>
      <c r="F53" s="1">
        <v>18</v>
      </c>
      <c r="G53" s="6">
        <v>0.25</v>
      </c>
      <c r="H53" s="1">
        <v>120</v>
      </c>
      <c r="I53" s="1" t="s">
        <v>35</v>
      </c>
      <c r="J53" s="1"/>
      <c r="K53" s="1">
        <v>47</v>
      </c>
      <c r="L53" s="1">
        <f t="shared" si="10"/>
        <v>-3</v>
      </c>
      <c r="M53" s="1"/>
      <c r="N53" s="1"/>
      <c r="O53" s="1">
        <v>21</v>
      </c>
      <c r="P53" s="1">
        <f t="shared" si="11"/>
        <v>8.8000000000000007</v>
      </c>
      <c r="Q53" s="19">
        <f>12*P53-O53-F53</f>
        <v>66.600000000000009</v>
      </c>
      <c r="R53" s="22"/>
      <c r="S53" s="1">
        <f t="shared" si="13"/>
        <v>12</v>
      </c>
      <c r="T53" s="1">
        <f t="shared" si="14"/>
        <v>4.4318181818181817</v>
      </c>
      <c r="U53" s="1">
        <v>6.4</v>
      </c>
      <c r="V53" s="1">
        <v>3</v>
      </c>
      <c r="W53" s="1">
        <v>8.1999999999999993</v>
      </c>
      <c r="X53" s="1">
        <v>6.8</v>
      </c>
      <c r="Y53" s="1">
        <v>7</v>
      </c>
      <c r="Z53" s="1">
        <v>5.8</v>
      </c>
      <c r="AA53" s="1">
        <v>8.1999999999999993</v>
      </c>
      <c r="AB53" s="1">
        <v>4.8</v>
      </c>
      <c r="AC53" s="1">
        <v>4.5999999999999996</v>
      </c>
      <c r="AD53" s="1">
        <v>7.8</v>
      </c>
      <c r="AE53" s="1"/>
      <c r="AF53" s="1" t="s">
        <v>41</v>
      </c>
      <c r="AG53" s="1">
        <f t="shared" si="9"/>
        <v>16.650000000000002</v>
      </c>
      <c r="AH53" s="1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34</v>
      </c>
      <c r="C54" s="1">
        <v>45.539000000000001</v>
      </c>
      <c r="D54" s="1">
        <v>206.97900000000001</v>
      </c>
      <c r="E54" s="1">
        <v>26.565000000000001</v>
      </c>
      <c r="F54" s="1">
        <v>212.953</v>
      </c>
      <c r="G54" s="6">
        <v>1</v>
      </c>
      <c r="H54" s="1">
        <v>45</v>
      </c>
      <c r="I54" s="1" t="s">
        <v>35</v>
      </c>
      <c r="J54" s="1"/>
      <c r="K54" s="1">
        <v>29.6</v>
      </c>
      <c r="L54" s="1">
        <f t="shared" si="10"/>
        <v>-3.0350000000000001</v>
      </c>
      <c r="M54" s="1"/>
      <c r="N54" s="1"/>
      <c r="O54" s="1"/>
      <c r="P54" s="1">
        <f t="shared" si="11"/>
        <v>5.3130000000000006</v>
      </c>
      <c r="Q54" s="19"/>
      <c r="R54" s="22">
        <v>200</v>
      </c>
      <c r="S54" s="1">
        <f t="shared" si="13"/>
        <v>40.081498211932988</v>
      </c>
      <c r="T54" s="1">
        <f t="shared" si="14"/>
        <v>40.081498211932988</v>
      </c>
      <c r="U54" s="1">
        <v>9.0622000000000007</v>
      </c>
      <c r="V54" s="1">
        <v>6.2986000000000004</v>
      </c>
      <c r="W54" s="1">
        <v>8.4708000000000006</v>
      </c>
      <c r="X54" s="1">
        <v>8.6494</v>
      </c>
      <c r="Y54" s="1">
        <v>8.8480000000000008</v>
      </c>
      <c r="Z54" s="1">
        <v>9.2843999999999998</v>
      </c>
      <c r="AA54" s="1">
        <v>10.0526</v>
      </c>
      <c r="AB54" s="1">
        <v>9.6641999999999992</v>
      </c>
      <c r="AC54" s="1">
        <v>9.517199999999999</v>
      </c>
      <c r="AD54" s="1">
        <v>8.8352000000000004</v>
      </c>
      <c r="AE54" s="1"/>
      <c r="AF54" s="16" t="s">
        <v>154</v>
      </c>
      <c r="AG54" s="1">
        <f t="shared" si="9"/>
        <v>0</v>
      </c>
      <c r="AH54" s="1">
        <f t="shared" si="8"/>
        <v>200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94</v>
      </c>
      <c r="B55" s="1" t="s">
        <v>38</v>
      </c>
      <c r="C55" s="1">
        <v>111</v>
      </c>
      <c r="D55" s="1">
        <v>5</v>
      </c>
      <c r="E55" s="1">
        <v>66</v>
      </c>
      <c r="F55" s="1">
        <v>34</v>
      </c>
      <c r="G55" s="6">
        <v>0.27</v>
      </c>
      <c r="H55" s="1"/>
      <c r="I55" s="1" t="s">
        <v>35</v>
      </c>
      <c r="J55" s="1"/>
      <c r="K55" s="1">
        <v>71</v>
      </c>
      <c r="L55" s="1">
        <f t="shared" si="10"/>
        <v>-5</v>
      </c>
      <c r="M55" s="1"/>
      <c r="N55" s="1"/>
      <c r="O55" s="1">
        <v>92</v>
      </c>
      <c r="P55" s="1">
        <f t="shared" si="11"/>
        <v>13.2</v>
      </c>
      <c r="Q55" s="19">
        <f t="shared" si="12"/>
        <v>72</v>
      </c>
      <c r="R55" s="22"/>
      <c r="S55" s="1">
        <f t="shared" si="13"/>
        <v>15</v>
      </c>
      <c r="T55" s="1">
        <f t="shared" si="14"/>
        <v>9.5454545454545467</v>
      </c>
      <c r="U55" s="1">
        <v>13</v>
      </c>
      <c r="V55" s="1">
        <v>12.6</v>
      </c>
      <c r="W55" s="1">
        <v>16.2</v>
      </c>
      <c r="X55" s="1">
        <v>17.399999999999999</v>
      </c>
      <c r="Y55" s="1">
        <v>20.2</v>
      </c>
      <c r="Z55" s="1">
        <v>-0.2</v>
      </c>
      <c r="AA55" s="1">
        <v>19.2</v>
      </c>
      <c r="AB55" s="1">
        <v>0</v>
      </c>
      <c r="AC55" s="1">
        <v>0</v>
      </c>
      <c r="AD55" s="1">
        <v>0</v>
      </c>
      <c r="AE55" s="1"/>
      <c r="AF55" s="1"/>
      <c r="AG55" s="1">
        <f t="shared" si="9"/>
        <v>19.440000000000001</v>
      </c>
      <c r="AH55" s="1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95</v>
      </c>
      <c r="B56" s="1" t="s">
        <v>38</v>
      </c>
      <c r="C56" s="1">
        <v>80</v>
      </c>
      <c r="D56" s="1">
        <v>5</v>
      </c>
      <c r="E56" s="1">
        <v>75</v>
      </c>
      <c r="F56" s="1"/>
      <c r="G56" s="6">
        <v>0.3</v>
      </c>
      <c r="H56" s="1">
        <v>60</v>
      </c>
      <c r="I56" s="1" t="s">
        <v>35</v>
      </c>
      <c r="J56" s="1"/>
      <c r="K56" s="1">
        <v>151</v>
      </c>
      <c r="L56" s="1">
        <f t="shared" si="10"/>
        <v>-76</v>
      </c>
      <c r="M56" s="1"/>
      <c r="N56" s="1"/>
      <c r="O56" s="1">
        <v>450</v>
      </c>
      <c r="P56" s="1">
        <f t="shared" si="11"/>
        <v>15</v>
      </c>
      <c r="Q56" s="19"/>
      <c r="R56" s="22">
        <v>200</v>
      </c>
      <c r="S56" s="1">
        <f t="shared" si="13"/>
        <v>30</v>
      </c>
      <c r="T56" s="1">
        <f t="shared" si="14"/>
        <v>30</v>
      </c>
      <c r="U56" s="1">
        <v>29.2</v>
      </c>
      <c r="V56" s="1">
        <v>13.8</v>
      </c>
      <c r="W56" s="1">
        <v>-0.2</v>
      </c>
      <c r="X56" s="1">
        <v>15.4</v>
      </c>
      <c r="Y56" s="1">
        <v>43.2</v>
      </c>
      <c r="Z56" s="1">
        <v>52.8</v>
      </c>
      <c r="AA56" s="1">
        <v>25.6</v>
      </c>
      <c r="AB56" s="1">
        <v>31</v>
      </c>
      <c r="AC56" s="1">
        <v>31.8</v>
      </c>
      <c r="AD56" s="1">
        <v>25.4</v>
      </c>
      <c r="AE56" s="1"/>
      <c r="AF56" s="1" t="s">
        <v>46</v>
      </c>
      <c r="AG56" s="1">
        <f t="shared" si="9"/>
        <v>0</v>
      </c>
      <c r="AH56" s="1">
        <f t="shared" si="8"/>
        <v>60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96</v>
      </c>
      <c r="B57" s="1" t="s">
        <v>38</v>
      </c>
      <c r="C57" s="1">
        <v>286</v>
      </c>
      <c r="D57" s="1">
        <v>898</v>
      </c>
      <c r="E57" s="1">
        <v>684</v>
      </c>
      <c r="F57" s="14">
        <f>370+F58</f>
        <v>354</v>
      </c>
      <c r="G57" s="6">
        <v>0.41</v>
      </c>
      <c r="H57" s="1">
        <v>50</v>
      </c>
      <c r="I57" s="9" t="s">
        <v>45</v>
      </c>
      <c r="J57" s="1"/>
      <c r="K57" s="1">
        <v>729</v>
      </c>
      <c r="L57" s="1">
        <f t="shared" si="10"/>
        <v>-45</v>
      </c>
      <c r="M57" s="1"/>
      <c r="N57" s="1"/>
      <c r="O57" s="1">
        <v>850</v>
      </c>
      <c r="P57" s="1">
        <f t="shared" si="11"/>
        <v>136.80000000000001</v>
      </c>
      <c r="Q57" s="19">
        <f t="shared" si="12"/>
        <v>848</v>
      </c>
      <c r="R57" s="22"/>
      <c r="S57" s="1">
        <f t="shared" si="13"/>
        <v>14.999999999999998</v>
      </c>
      <c r="T57" s="1">
        <f t="shared" si="14"/>
        <v>8.8011695906432745</v>
      </c>
      <c r="U57" s="1">
        <v>122.8</v>
      </c>
      <c r="V57" s="1">
        <v>125</v>
      </c>
      <c r="W57" s="1">
        <v>129.80000000000001</v>
      </c>
      <c r="X57" s="1">
        <v>117.6</v>
      </c>
      <c r="Y57" s="1">
        <v>103</v>
      </c>
      <c r="Z57" s="1">
        <v>73</v>
      </c>
      <c r="AA57" s="1">
        <v>87.4</v>
      </c>
      <c r="AB57" s="1">
        <v>83.2</v>
      </c>
      <c r="AC57" s="1">
        <v>100.8</v>
      </c>
      <c r="AD57" s="1">
        <v>87</v>
      </c>
      <c r="AE57" s="1"/>
      <c r="AF57" s="1" t="s">
        <v>46</v>
      </c>
      <c r="AG57" s="1">
        <f t="shared" si="9"/>
        <v>347.68</v>
      </c>
      <c r="AH57" s="1">
        <f t="shared" si="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2" t="s">
        <v>97</v>
      </c>
      <c r="B58" s="12" t="s">
        <v>38</v>
      </c>
      <c r="C58" s="12">
        <v>-16</v>
      </c>
      <c r="D58" s="12"/>
      <c r="E58" s="12"/>
      <c r="F58" s="14">
        <v>-16</v>
      </c>
      <c r="G58" s="13">
        <v>0</v>
      </c>
      <c r="H58" s="12"/>
      <c r="I58" s="12" t="s">
        <v>98</v>
      </c>
      <c r="J58" s="12" t="s">
        <v>96</v>
      </c>
      <c r="K58" s="12">
        <v>9</v>
      </c>
      <c r="L58" s="12">
        <f t="shared" si="10"/>
        <v>-9</v>
      </c>
      <c r="M58" s="12"/>
      <c r="N58" s="12"/>
      <c r="O58" s="12">
        <v>0</v>
      </c>
      <c r="P58" s="12">
        <f t="shared" si="11"/>
        <v>0</v>
      </c>
      <c r="Q58" s="21"/>
      <c r="R58" s="24"/>
      <c r="S58" s="12" t="e">
        <f t="shared" si="13"/>
        <v>#DIV/0!</v>
      </c>
      <c r="T58" s="12" t="e">
        <f t="shared" si="14"/>
        <v>#DIV/0!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/>
      <c r="AF58" s="12"/>
      <c r="AG58" s="12"/>
      <c r="AH58" s="1">
        <f t="shared" si="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99</v>
      </c>
      <c r="B59" s="1" t="s">
        <v>34</v>
      </c>
      <c r="C59" s="1">
        <v>689.61500000000001</v>
      </c>
      <c r="D59" s="1"/>
      <c r="E59" s="1">
        <v>526.92999999999995</v>
      </c>
      <c r="F59" s="1">
        <v>123.05200000000001</v>
      </c>
      <c r="G59" s="6">
        <v>1</v>
      </c>
      <c r="H59" s="1">
        <v>50</v>
      </c>
      <c r="I59" s="1" t="s">
        <v>35</v>
      </c>
      <c r="J59" s="1"/>
      <c r="K59" s="1">
        <v>543.1</v>
      </c>
      <c r="L59" s="1">
        <f t="shared" si="10"/>
        <v>-16.170000000000073</v>
      </c>
      <c r="M59" s="1"/>
      <c r="N59" s="1"/>
      <c r="O59" s="1">
        <v>979</v>
      </c>
      <c r="P59" s="1">
        <f t="shared" si="11"/>
        <v>105.386</v>
      </c>
      <c r="Q59" s="19">
        <f t="shared" ref="Q59:Q86" si="15">15*P59-O59-F59</f>
        <v>478.73799999999994</v>
      </c>
      <c r="R59" s="22">
        <v>600</v>
      </c>
      <c r="S59" s="1">
        <f t="shared" si="13"/>
        <v>15</v>
      </c>
      <c r="T59" s="1">
        <f t="shared" si="14"/>
        <v>10.457290342170687</v>
      </c>
      <c r="U59" s="1">
        <v>127.5326</v>
      </c>
      <c r="V59" s="1">
        <v>79.505200000000002</v>
      </c>
      <c r="W59" s="1">
        <v>112.825</v>
      </c>
      <c r="X59" s="1">
        <v>123.32</v>
      </c>
      <c r="Y59" s="1">
        <v>98.82820000000001</v>
      </c>
      <c r="Z59" s="1">
        <v>121.4474</v>
      </c>
      <c r="AA59" s="1">
        <v>124.7012</v>
      </c>
      <c r="AB59" s="1">
        <v>114.2328</v>
      </c>
      <c r="AC59" s="1">
        <v>69.064999999999998</v>
      </c>
      <c r="AD59" s="1">
        <v>43.75</v>
      </c>
      <c r="AE59" s="1"/>
      <c r="AF59" s="1"/>
      <c r="AG59" s="1">
        <f t="shared" ref="AG59:AG86" si="16">G59*Q59</f>
        <v>478.73799999999994</v>
      </c>
      <c r="AH59" s="1">
        <f t="shared" si="8"/>
        <v>600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100</v>
      </c>
      <c r="B60" s="1" t="s">
        <v>38</v>
      </c>
      <c r="C60" s="1">
        <v>3</v>
      </c>
      <c r="D60" s="1">
        <v>304</v>
      </c>
      <c r="E60" s="1">
        <v>21</v>
      </c>
      <c r="F60" s="1">
        <v>275</v>
      </c>
      <c r="G60" s="6">
        <v>0.35</v>
      </c>
      <c r="H60" s="1">
        <v>50</v>
      </c>
      <c r="I60" s="1" t="s">
        <v>35</v>
      </c>
      <c r="J60" s="1"/>
      <c r="K60" s="1">
        <v>56</v>
      </c>
      <c r="L60" s="1">
        <f t="shared" si="10"/>
        <v>-35</v>
      </c>
      <c r="M60" s="1"/>
      <c r="N60" s="1"/>
      <c r="O60" s="1"/>
      <c r="P60" s="1">
        <f t="shared" si="11"/>
        <v>4.2</v>
      </c>
      <c r="Q60" s="19"/>
      <c r="R60" s="22">
        <v>200</v>
      </c>
      <c r="S60" s="1">
        <f t="shared" si="13"/>
        <v>65.476190476190467</v>
      </c>
      <c r="T60" s="1">
        <f t="shared" si="14"/>
        <v>65.476190476190467</v>
      </c>
      <c r="U60" s="1">
        <v>7</v>
      </c>
      <c r="V60" s="1">
        <v>12.8</v>
      </c>
      <c r="W60" s="1">
        <v>4.5999999999999996</v>
      </c>
      <c r="X60" s="1">
        <v>9.1999999999999993</v>
      </c>
      <c r="Y60" s="1">
        <v>6</v>
      </c>
      <c r="Z60" s="1">
        <v>8.1999999999999993</v>
      </c>
      <c r="AA60" s="1">
        <v>4.2</v>
      </c>
      <c r="AB60" s="1">
        <v>7.8</v>
      </c>
      <c r="AC60" s="1">
        <v>5.6</v>
      </c>
      <c r="AD60" s="1">
        <v>10.199999999999999</v>
      </c>
      <c r="AE60" s="1"/>
      <c r="AF60" s="1"/>
      <c r="AG60" s="1">
        <f t="shared" si="16"/>
        <v>0</v>
      </c>
      <c r="AH60" s="1">
        <f t="shared" si="8"/>
        <v>70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101</v>
      </c>
      <c r="B61" s="1" t="s">
        <v>34</v>
      </c>
      <c r="C61" s="1">
        <v>72.292000000000002</v>
      </c>
      <c r="D61" s="1"/>
      <c r="E61" s="1">
        <v>56.607999999999997</v>
      </c>
      <c r="F61" s="1">
        <v>9.4550000000000001</v>
      </c>
      <c r="G61" s="6">
        <v>1</v>
      </c>
      <c r="H61" s="1">
        <v>50</v>
      </c>
      <c r="I61" s="1" t="s">
        <v>35</v>
      </c>
      <c r="J61" s="1"/>
      <c r="K61" s="1">
        <v>55.5</v>
      </c>
      <c r="L61" s="1">
        <f t="shared" si="10"/>
        <v>1.107999999999997</v>
      </c>
      <c r="M61" s="1"/>
      <c r="N61" s="1"/>
      <c r="O61" s="1">
        <v>230</v>
      </c>
      <c r="P61" s="1">
        <f t="shared" si="11"/>
        <v>11.3216</v>
      </c>
      <c r="Q61" s="19"/>
      <c r="R61" s="22">
        <v>250</v>
      </c>
      <c r="S61" s="1">
        <f t="shared" si="13"/>
        <v>21.150279112492935</v>
      </c>
      <c r="T61" s="1">
        <f t="shared" si="14"/>
        <v>21.150279112492935</v>
      </c>
      <c r="U61" s="1">
        <v>15.835800000000001</v>
      </c>
      <c r="V61" s="1">
        <v>10.3026</v>
      </c>
      <c r="W61" s="1">
        <v>13.5976</v>
      </c>
      <c r="X61" s="1">
        <v>13.354799999999999</v>
      </c>
      <c r="Y61" s="1">
        <v>11.995200000000001</v>
      </c>
      <c r="Z61" s="1">
        <v>12.410600000000001</v>
      </c>
      <c r="AA61" s="1">
        <v>8.0703999999999994</v>
      </c>
      <c r="AB61" s="1">
        <v>14.8842</v>
      </c>
      <c r="AC61" s="1">
        <v>5.8064</v>
      </c>
      <c r="AD61" s="1">
        <v>5.6052</v>
      </c>
      <c r="AE61" s="1"/>
      <c r="AF61" s="1"/>
      <c r="AG61" s="1">
        <f t="shared" si="16"/>
        <v>0</v>
      </c>
      <c r="AH61" s="1">
        <f t="shared" si="8"/>
        <v>250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102</v>
      </c>
      <c r="B62" s="1" t="s">
        <v>38</v>
      </c>
      <c r="C62" s="1">
        <v>216</v>
      </c>
      <c r="D62" s="1">
        <v>246</v>
      </c>
      <c r="E62" s="1">
        <v>444</v>
      </c>
      <c r="F62" s="1">
        <v>4</v>
      </c>
      <c r="G62" s="6">
        <v>0.41</v>
      </c>
      <c r="H62" s="1">
        <v>50</v>
      </c>
      <c r="I62" s="9" t="s">
        <v>45</v>
      </c>
      <c r="J62" s="1"/>
      <c r="K62" s="1">
        <v>480</v>
      </c>
      <c r="L62" s="1">
        <f t="shared" si="10"/>
        <v>-36</v>
      </c>
      <c r="M62" s="1"/>
      <c r="N62" s="1"/>
      <c r="O62" s="1">
        <v>900</v>
      </c>
      <c r="P62" s="1">
        <f t="shared" si="11"/>
        <v>88.8</v>
      </c>
      <c r="Q62" s="19">
        <f t="shared" si="15"/>
        <v>428</v>
      </c>
      <c r="R62" s="22">
        <v>600</v>
      </c>
      <c r="S62" s="1">
        <f t="shared" si="13"/>
        <v>15</v>
      </c>
      <c r="T62" s="1">
        <f t="shared" si="14"/>
        <v>10.18018018018018</v>
      </c>
      <c r="U62" s="1">
        <v>107.6</v>
      </c>
      <c r="V62" s="1">
        <v>69.400000000000006</v>
      </c>
      <c r="W62" s="1">
        <v>73.8</v>
      </c>
      <c r="X62" s="1">
        <v>71.400000000000006</v>
      </c>
      <c r="Y62" s="1">
        <v>52.4</v>
      </c>
      <c r="Z62" s="1">
        <v>50.2</v>
      </c>
      <c r="AA62" s="1">
        <v>55</v>
      </c>
      <c r="AB62" s="1">
        <v>45.2</v>
      </c>
      <c r="AC62" s="1">
        <v>48.8</v>
      </c>
      <c r="AD62" s="1">
        <v>35.200000000000003</v>
      </c>
      <c r="AE62" s="1"/>
      <c r="AF62" s="1" t="s">
        <v>46</v>
      </c>
      <c r="AG62" s="1">
        <f t="shared" si="16"/>
        <v>175.48</v>
      </c>
      <c r="AH62" s="1">
        <f t="shared" si="8"/>
        <v>245.99999999999997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103</v>
      </c>
      <c r="B63" s="1" t="s">
        <v>34</v>
      </c>
      <c r="C63" s="1">
        <v>155.983</v>
      </c>
      <c r="D63" s="1">
        <v>326.04300000000001</v>
      </c>
      <c r="E63" s="1">
        <v>189.345</v>
      </c>
      <c r="F63" s="1">
        <v>252.62100000000001</v>
      </c>
      <c r="G63" s="6">
        <v>1</v>
      </c>
      <c r="H63" s="1">
        <v>50</v>
      </c>
      <c r="I63" s="1" t="s">
        <v>35</v>
      </c>
      <c r="J63" s="1"/>
      <c r="K63" s="1">
        <v>197</v>
      </c>
      <c r="L63" s="1">
        <f t="shared" si="10"/>
        <v>-7.6550000000000011</v>
      </c>
      <c r="M63" s="1"/>
      <c r="N63" s="1"/>
      <c r="O63" s="1">
        <v>0</v>
      </c>
      <c r="P63" s="1">
        <f t="shared" si="11"/>
        <v>37.869</v>
      </c>
      <c r="Q63" s="19">
        <f t="shared" si="15"/>
        <v>315.41399999999999</v>
      </c>
      <c r="R63" s="22"/>
      <c r="S63" s="1">
        <f t="shared" si="13"/>
        <v>15</v>
      </c>
      <c r="T63" s="1">
        <f t="shared" si="14"/>
        <v>6.6709181652539016</v>
      </c>
      <c r="U63" s="1">
        <v>22.273399999999999</v>
      </c>
      <c r="V63" s="1">
        <v>41.055199999999999</v>
      </c>
      <c r="W63" s="1">
        <v>31.539000000000001</v>
      </c>
      <c r="X63" s="1">
        <v>37.269799999999996</v>
      </c>
      <c r="Y63" s="1">
        <v>44.215200000000003</v>
      </c>
      <c r="Z63" s="1">
        <v>23.197399999999998</v>
      </c>
      <c r="AA63" s="1">
        <v>44.723799999999997</v>
      </c>
      <c r="AB63" s="1">
        <v>29.232600000000001</v>
      </c>
      <c r="AC63" s="1">
        <v>14.500999999999999</v>
      </c>
      <c r="AD63" s="1">
        <v>26.771000000000001</v>
      </c>
      <c r="AE63" s="1"/>
      <c r="AF63" s="1"/>
      <c r="AG63" s="1">
        <f t="shared" si="16"/>
        <v>315.41399999999999</v>
      </c>
      <c r="AH63" s="1">
        <f t="shared" si="8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104</v>
      </c>
      <c r="B64" s="1" t="s">
        <v>38</v>
      </c>
      <c r="C64" s="1">
        <v>79</v>
      </c>
      <c r="D64" s="1">
        <v>74</v>
      </c>
      <c r="E64" s="1">
        <v>147</v>
      </c>
      <c r="F64" s="1"/>
      <c r="G64" s="6">
        <v>0.3</v>
      </c>
      <c r="H64" s="1">
        <v>50</v>
      </c>
      <c r="I64" s="1" t="s">
        <v>35</v>
      </c>
      <c r="J64" s="1"/>
      <c r="K64" s="1">
        <v>220</v>
      </c>
      <c r="L64" s="1">
        <f t="shared" si="10"/>
        <v>-73</v>
      </c>
      <c r="M64" s="1"/>
      <c r="N64" s="1"/>
      <c r="O64" s="1">
        <v>116</v>
      </c>
      <c r="P64" s="1">
        <f t="shared" si="11"/>
        <v>29.4</v>
      </c>
      <c r="Q64" s="19">
        <f>12*P64-O64-F64</f>
        <v>236.79999999999995</v>
      </c>
      <c r="R64" s="22"/>
      <c r="S64" s="1">
        <f t="shared" si="13"/>
        <v>11.999999999999998</v>
      </c>
      <c r="T64" s="1">
        <f t="shared" si="14"/>
        <v>3.9455782312925174</v>
      </c>
      <c r="U64" s="1">
        <v>16.8</v>
      </c>
      <c r="V64" s="1">
        <v>18</v>
      </c>
      <c r="W64" s="1">
        <v>18.8</v>
      </c>
      <c r="X64" s="1">
        <v>15.6</v>
      </c>
      <c r="Y64" s="1">
        <v>18.600000000000001</v>
      </c>
      <c r="Z64" s="1">
        <v>11.2</v>
      </c>
      <c r="AA64" s="1">
        <v>10.199999999999999</v>
      </c>
      <c r="AB64" s="1">
        <v>19.600000000000001</v>
      </c>
      <c r="AC64" s="1">
        <v>12.6</v>
      </c>
      <c r="AD64" s="1">
        <v>11.4</v>
      </c>
      <c r="AE64" s="1"/>
      <c r="AF64" s="1"/>
      <c r="AG64" s="1">
        <f t="shared" si="16"/>
        <v>71.039999999999978</v>
      </c>
      <c r="AH64" s="1">
        <f t="shared" si="8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105</v>
      </c>
      <c r="B65" s="1" t="s">
        <v>38</v>
      </c>
      <c r="C65" s="1">
        <v>37</v>
      </c>
      <c r="D65" s="1">
        <v>500</v>
      </c>
      <c r="E65" s="1">
        <v>228</v>
      </c>
      <c r="F65" s="1">
        <v>261</v>
      </c>
      <c r="G65" s="6">
        <v>0.18</v>
      </c>
      <c r="H65" s="1">
        <v>50</v>
      </c>
      <c r="I65" s="1" t="s">
        <v>35</v>
      </c>
      <c r="J65" s="1"/>
      <c r="K65" s="1">
        <v>291</v>
      </c>
      <c r="L65" s="1">
        <f t="shared" si="10"/>
        <v>-63</v>
      </c>
      <c r="M65" s="1"/>
      <c r="N65" s="1"/>
      <c r="O65" s="1">
        <v>700</v>
      </c>
      <c r="P65" s="1">
        <f t="shared" si="11"/>
        <v>45.6</v>
      </c>
      <c r="Q65" s="19"/>
      <c r="R65" s="22">
        <v>150</v>
      </c>
      <c r="S65" s="1">
        <f t="shared" si="13"/>
        <v>21.07456140350877</v>
      </c>
      <c r="T65" s="1">
        <f t="shared" si="14"/>
        <v>21.07456140350877</v>
      </c>
      <c r="U65" s="1">
        <v>63.8</v>
      </c>
      <c r="V65" s="1">
        <v>63</v>
      </c>
      <c r="W65" s="1">
        <v>46.4</v>
      </c>
      <c r="X65" s="1">
        <v>48.6</v>
      </c>
      <c r="Y65" s="1">
        <v>62</v>
      </c>
      <c r="Z65" s="1">
        <v>67.8</v>
      </c>
      <c r="AA65" s="1">
        <v>38.6</v>
      </c>
      <c r="AB65" s="1">
        <v>70</v>
      </c>
      <c r="AC65" s="1">
        <v>55.8</v>
      </c>
      <c r="AD65" s="1">
        <v>40.6</v>
      </c>
      <c r="AE65" s="1"/>
      <c r="AF65" s="1"/>
      <c r="AG65" s="1">
        <f t="shared" si="16"/>
        <v>0</v>
      </c>
      <c r="AH65" s="1">
        <f t="shared" si="8"/>
        <v>27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106</v>
      </c>
      <c r="B66" s="1" t="s">
        <v>38</v>
      </c>
      <c r="C66" s="1">
        <v>28</v>
      </c>
      <c r="D66" s="1"/>
      <c r="E66" s="1">
        <v>4</v>
      </c>
      <c r="F66" s="1">
        <v>20</v>
      </c>
      <c r="G66" s="6">
        <v>0.22</v>
      </c>
      <c r="H66" s="1">
        <v>120</v>
      </c>
      <c r="I66" s="1" t="s">
        <v>35</v>
      </c>
      <c r="J66" s="1"/>
      <c r="K66" s="1">
        <v>4</v>
      </c>
      <c r="L66" s="1">
        <f t="shared" si="10"/>
        <v>0</v>
      </c>
      <c r="M66" s="1"/>
      <c r="N66" s="1"/>
      <c r="O66" s="1">
        <v>11</v>
      </c>
      <c r="P66" s="1">
        <f t="shared" si="11"/>
        <v>0.8</v>
      </c>
      <c r="Q66" s="19"/>
      <c r="R66" s="22">
        <v>10</v>
      </c>
      <c r="S66" s="1">
        <f t="shared" si="13"/>
        <v>38.75</v>
      </c>
      <c r="T66" s="1">
        <f t="shared" si="14"/>
        <v>38.75</v>
      </c>
      <c r="U66" s="1">
        <v>2.4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/>
      <c r="AF66" s="16" t="s">
        <v>155</v>
      </c>
      <c r="AG66" s="1">
        <f t="shared" si="16"/>
        <v>0</v>
      </c>
      <c r="AH66" s="1">
        <f t="shared" si="8"/>
        <v>2.2000000000000002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107</v>
      </c>
      <c r="B67" s="1" t="s">
        <v>38</v>
      </c>
      <c r="C67" s="1">
        <v>32</v>
      </c>
      <c r="D67" s="1">
        <v>54</v>
      </c>
      <c r="E67" s="1">
        <v>84</v>
      </c>
      <c r="F67" s="1"/>
      <c r="G67" s="6">
        <v>0.84</v>
      </c>
      <c r="H67" s="1">
        <v>50</v>
      </c>
      <c r="I67" s="1" t="s">
        <v>35</v>
      </c>
      <c r="J67" s="1"/>
      <c r="K67" s="1">
        <v>148</v>
      </c>
      <c r="L67" s="1">
        <f t="shared" si="10"/>
        <v>-64</v>
      </c>
      <c r="M67" s="1"/>
      <c r="N67" s="1"/>
      <c r="O67" s="1">
        <v>70</v>
      </c>
      <c r="P67" s="1">
        <f t="shared" si="11"/>
        <v>16.8</v>
      </c>
      <c r="Q67" s="19">
        <f>12*P67-O67-F67</f>
        <v>131.60000000000002</v>
      </c>
      <c r="R67" s="22">
        <v>200</v>
      </c>
      <c r="S67" s="1">
        <f t="shared" si="13"/>
        <v>12</v>
      </c>
      <c r="T67" s="1">
        <f t="shared" si="14"/>
        <v>4.1666666666666661</v>
      </c>
      <c r="U67" s="1">
        <v>9.1999999999999993</v>
      </c>
      <c r="V67" s="1">
        <v>9.6</v>
      </c>
      <c r="W67" s="1">
        <v>10</v>
      </c>
      <c r="X67" s="1">
        <v>14.2</v>
      </c>
      <c r="Y67" s="1">
        <v>4.5999999999999996</v>
      </c>
      <c r="Z67" s="1">
        <v>1.6</v>
      </c>
      <c r="AA67" s="1">
        <v>11.4</v>
      </c>
      <c r="AB67" s="1">
        <v>7</v>
      </c>
      <c r="AC67" s="1">
        <v>7.4</v>
      </c>
      <c r="AD67" s="1">
        <v>9.6</v>
      </c>
      <c r="AE67" s="1"/>
      <c r="AF67" s="1"/>
      <c r="AG67" s="1">
        <f t="shared" si="16"/>
        <v>110.54400000000001</v>
      </c>
      <c r="AH67" s="1">
        <f t="shared" si="8"/>
        <v>168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108</v>
      </c>
      <c r="B68" s="1" t="s">
        <v>38</v>
      </c>
      <c r="C68" s="1">
        <v>58</v>
      </c>
      <c r="D68" s="1">
        <v>998</v>
      </c>
      <c r="E68" s="1">
        <v>316</v>
      </c>
      <c r="F68" s="1">
        <v>665</v>
      </c>
      <c r="G68" s="6">
        <v>0.35</v>
      </c>
      <c r="H68" s="1">
        <v>50</v>
      </c>
      <c r="I68" s="1" t="s">
        <v>35</v>
      </c>
      <c r="J68" s="1"/>
      <c r="K68" s="1">
        <v>390</v>
      </c>
      <c r="L68" s="1">
        <f t="shared" si="10"/>
        <v>-74</v>
      </c>
      <c r="M68" s="1"/>
      <c r="N68" s="1"/>
      <c r="O68" s="1">
        <v>1000</v>
      </c>
      <c r="P68" s="1">
        <f t="shared" si="11"/>
        <v>63.2</v>
      </c>
      <c r="Q68" s="19"/>
      <c r="R68" s="22"/>
      <c r="S68" s="1">
        <f t="shared" si="13"/>
        <v>26.344936708860757</v>
      </c>
      <c r="T68" s="1">
        <f t="shared" si="14"/>
        <v>26.344936708860757</v>
      </c>
      <c r="U68" s="1">
        <v>116.2</v>
      </c>
      <c r="V68" s="1">
        <v>122.4</v>
      </c>
      <c r="W68" s="1">
        <v>82.2</v>
      </c>
      <c r="X68" s="1">
        <v>90.6</v>
      </c>
      <c r="Y68" s="1">
        <v>105.6</v>
      </c>
      <c r="Z68" s="1">
        <v>81.599999999999994</v>
      </c>
      <c r="AA68" s="1">
        <v>96</v>
      </c>
      <c r="AB68" s="1">
        <v>93</v>
      </c>
      <c r="AC68" s="1">
        <v>73.400000000000006</v>
      </c>
      <c r="AD68" s="1">
        <v>90</v>
      </c>
      <c r="AE68" s="1"/>
      <c r="AF68" s="1"/>
      <c r="AG68" s="1">
        <f t="shared" si="16"/>
        <v>0</v>
      </c>
      <c r="AH68" s="1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109</v>
      </c>
      <c r="B69" s="1" t="s">
        <v>38</v>
      </c>
      <c r="C69" s="1">
        <v>82</v>
      </c>
      <c r="D69" s="1">
        <v>323</v>
      </c>
      <c r="E69" s="1">
        <v>276</v>
      </c>
      <c r="F69" s="1">
        <v>91</v>
      </c>
      <c r="G69" s="6">
        <v>0.35</v>
      </c>
      <c r="H69" s="1"/>
      <c r="I69" s="1" t="s">
        <v>35</v>
      </c>
      <c r="J69" s="1"/>
      <c r="K69" s="1">
        <v>308</v>
      </c>
      <c r="L69" s="1">
        <f t="shared" si="10"/>
        <v>-32</v>
      </c>
      <c r="M69" s="1"/>
      <c r="N69" s="1"/>
      <c r="O69" s="1">
        <v>350</v>
      </c>
      <c r="P69" s="1">
        <f t="shared" si="11"/>
        <v>55.2</v>
      </c>
      <c r="Q69" s="19">
        <f t="shared" si="15"/>
        <v>387</v>
      </c>
      <c r="R69" s="22">
        <v>500</v>
      </c>
      <c r="S69" s="1">
        <f t="shared" si="13"/>
        <v>15</v>
      </c>
      <c r="T69" s="1">
        <f t="shared" si="14"/>
        <v>7.9891304347826084</v>
      </c>
      <c r="U69" s="1">
        <v>39.200000000000003</v>
      </c>
      <c r="V69" s="1">
        <v>43.2</v>
      </c>
      <c r="W69" s="1">
        <v>35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/>
      <c r="AF69" s="1" t="s">
        <v>110</v>
      </c>
      <c r="AG69" s="1">
        <f t="shared" si="16"/>
        <v>135.44999999999999</v>
      </c>
      <c r="AH69" s="1">
        <f t="shared" si="8"/>
        <v>175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111</v>
      </c>
      <c r="B70" s="1" t="s">
        <v>34</v>
      </c>
      <c r="C70" s="1">
        <v>1.829</v>
      </c>
      <c r="D70" s="1">
        <v>733.28899999999999</v>
      </c>
      <c r="E70" s="1">
        <v>296.49400000000003</v>
      </c>
      <c r="F70" s="1">
        <v>368.45299999999997</v>
      </c>
      <c r="G70" s="6">
        <v>1</v>
      </c>
      <c r="H70" s="1">
        <v>50</v>
      </c>
      <c r="I70" s="1" t="s">
        <v>35</v>
      </c>
      <c r="J70" s="1"/>
      <c r="K70" s="1">
        <v>340.3</v>
      </c>
      <c r="L70" s="1">
        <f t="shared" ref="L70:L101" si="17">E70-K70</f>
        <v>-43.805999999999983</v>
      </c>
      <c r="M70" s="1"/>
      <c r="N70" s="1"/>
      <c r="O70" s="1">
        <v>450</v>
      </c>
      <c r="P70" s="1">
        <f t="shared" ref="P70:P104" si="18">E70/5</f>
        <v>59.298800000000007</v>
      </c>
      <c r="Q70" s="19">
        <f t="shared" si="15"/>
        <v>71.02900000000011</v>
      </c>
      <c r="R70" s="22">
        <v>200</v>
      </c>
      <c r="S70" s="1">
        <f t="shared" ref="S70:S101" si="19">(F70+O70+Q70)/P70</f>
        <v>15</v>
      </c>
      <c r="T70" s="1">
        <f t="shared" ref="T70:T104" si="20">(F70+O70)/P70</f>
        <v>13.802184867147394</v>
      </c>
      <c r="U70" s="1">
        <v>60.036800000000007</v>
      </c>
      <c r="V70" s="1">
        <v>68.844000000000008</v>
      </c>
      <c r="W70" s="1">
        <v>29.391200000000001</v>
      </c>
      <c r="X70" s="1">
        <v>35.189399999999999</v>
      </c>
      <c r="Y70" s="1">
        <v>67.367999999999995</v>
      </c>
      <c r="Z70" s="1">
        <v>35.150799999999997</v>
      </c>
      <c r="AA70" s="1">
        <v>52.886000000000003</v>
      </c>
      <c r="AB70" s="1">
        <v>31.279</v>
      </c>
      <c r="AC70" s="1">
        <v>28.452000000000002</v>
      </c>
      <c r="AD70" s="1">
        <v>33.644199999999998</v>
      </c>
      <c r="AE70" s="1"/>
      <c r="AF70" s="1"/>
      <c r="AG70" s="1">
        <f t="shared" si="16"/>
        <v>71.02900000000011</v>
      </c>
      <c r="AH70" s="1">
        <f t="shared" si="8"/>
        <v>200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112</v>
      </c>
      <c r="B71" s="1" t="s">
        <v>34</v>
      </c>
      <c r="C71" s="1">
        <v>34.914999999999999</v>
      </c>
      <c r="D71" s="1">
        <v>788.34199999999998</v>
      </c>
      <c r="E71" s="1">
        <v>301.97000000000003</v>
      </c>
      <c r="F71" s="1">
        <v>443.59699999999998</v>
      </c>
      <c r="G71" s="6">
        <v>1</v>
      </c>
      <c r="H71" s="1">
        <v>50</v>
      </c>
      <c r="I71" s="1" t="s">
        <v>35</v>
      </c>
      <c r="J71" s="1"/>
      <c r="K71" s="1">
        <v>281.89999999999998</v>
      </c>
      <c r="L71" s="1">
        <f t="shared" si="17"/>
        <v>20.07000000000005</v>
      </c>
      <c r="M71" s="1"/>
      <c r="N71" s="1"/>
      <c r="O71" s="1">
        <v>500</v>
      </c>
      <c r="P71" s="1">
        <f t="shared" si="18"/>
        <v>60.394000000000005</v>
      </c>
      <c r="Q71" s="19"/>
      <c r="R71" s="22">
        <v>100</v>
      </c>
      <c r="S71" s="1">
        <f t="shared" si="19"/>
        <v>15.624018942279033</v>
      </c>
      <c r="T71" s="1">
        <f t="shared" si="20"/>
        <v>15.624018942279033</v>
      </c>
      <c r="U71" s="1">
        <v>68.526800000000009</v>
      </c>
      <c r="V71" s="1">
        <v>70.324399999999997</v>
      </c>
      <c r="W71" s="1">
        <v>26.7746</v>
      </c>
      <c r="X71" s="1">
        <v>56.224200000000003</v>
      </c>
      <c r="Y71" s="1">
        <v>77.818399999999997</v>
      </c>
      <c r="Z71" s="1">
        <v>32.770200000000003</v>
      </c>
      <c r="AA71" s="1">
        <v>55.198</v>
      </c>
      <c r="AB71" s="1">
        <v>53.136600000000001</v>
      </c>
      <c r="AC71" s="1">
        <v>30.6296</v>
      </c>
      <c r="AD71" s="1">
        <v>26.934999999999999</v>
      </c>
      <c r="AE71" s="1"/>
      <c r="AF71" s="1"/>
      <c r="AG71" s="1">
        <f t="shared" si="16"/>
        <v>0</v>
      </c>
      <c r="AH71" s="1">
        <f t="shared" ref="AH71:AH104" si="21">G71*R71</f>
        <v>100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38</v>
      </c>
      <c r="C72" s="1">
        <v>15</v>
      </c>
      <c r="D72" s="1">
        <v>985</v>
      </c>
      <c r="E72" s="1">
        <v>117</v>
      </c>
      <c r="F72" s="1">
        <v>812</v>
      </c>
      <c r="G72" s="6">
        <v>0.35</v>
      </c>
      <c r="H72" s="1">
        <v>50</v>
      </c>
      <c r="I72" s="1" t="s">
        <v>35</v>
      </c>
      <c r="J72" s="1"/>
      <c r="K72" s="1">
        <v>233</v>
      </c>
      <c r="L72" s="1">
        <f t="shared" si="17"/>
        <v>-116</v>
      </c>
      <c r="M72" s="1"/>
      <c r="N72" s="1"/>
      <c r="O72" s="1">
        <v>100</v>
      </c>
      <c r="P72" s="1">
        <f t="shared" si="18"/>
        <v>23.4</v>
      </c>
      <c r="Q72" s="19"/>
      <c r="R72" s="22">
        <v>300</v>
      </c>
      <c r="S72" s="1">
        <f t="shared" si="19"/>
        <v>38.974358974358978</v>
      </c>
      <c r="T72" s="1">
        <f t="shared" si="20"/>
        <v>38.974358974358978</v>
      </c>
      <c r="U72" s="1">
        <v>53.4</v>
      </c>
      <c r="V72" s="1">
        <v>62</v>
      </c>
      <c r="W72" s="1">
        <v>40</v>
      </c>
      <c r="X72" s="1">
        <v>41.8</v>
      </c>
      <c r="Y72" s="1">
        <v>65.599999999999994</v>
      </c>
      <c r="Z72" s="1">
        <v>34.200000000000003</v>
      </c>
      <c r="AA72" s="1">
        <v>34.4</v>
      </c>
      <c r="AB72" s="1">
        <v>63.8</v>
      </c>
      <c r="AC72" s="1">
        <v>44.2</v>
      </c>
      <c r="AD72" s="1">
        <v>39.200000000000003</v>
      </c>
      <c r="AE72" s="1"/>
      <c r="AF72" s="1"/>
      <c r="AG72" s="1">
        <f t="shared" si="16"/>
        <v>0</v>
      </c>
      <c r="AH72" s="1">
        <f t="shared" si="21"/>
        <v>105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114</v>
      </c>
      <c r="B73" s="1" t="s">
        <v>38</v>
      </c>
      <c r="C73" s="1">
        <v>81</v>
      </c>
      <c r="D73" s="1">
        <v>72</v>
      </c>
      <c r="E73" s="1">
        <v>52</v>
      </c>
      <c r="F73" s="1">
        <v>78</v>
      </c>
      <c r="G73" s="6">
        <v>0.3</v>
      </c>
      <c r="H73" s="1">
        <v>50</v>
      </c>
      <c r="I73" s="1" t="s">
        <v>35</v>
      </c>
      <c r="J73" s="1"/>
      <c r="K73" s="1">
        <v>55</v>
      </c>
      <c r="L73" s="1">
        <f t="shared" si="17"/>
        <v>-3</v>
      </c>
      <c r="M73" s="1"/>
      <c r="N73" s="1"/>
      <c r="O73" s="1">
        <v>15</v>
      </c>
      <c r="P73" s="1">
        <f t="shared" si="18"/>
        <v>10.4</v>
      </c>
      <c r="Q73" s="19">
        <f t="shared" si="15"/>
        <v>63</v>
      </c>
      <c r="R73" s="22"/>
      <c r="S73" s="1">
        <f t="shared" si="19"/>
        <v>15</v>
      </c>
      <c r="T73" s="1">
        <f t="shared" si="20"/>
        <v>8.9423076923076916</v>
      </c>
      <c r="U73" s="1">
        <v>10.6</v>
      </c>
      <c r="V73" s="1">
        <v>14.8</v>
      </c>
      <c r="W73" s="1">
        <v>14.8</v>
      </c>
      <c r="X73" s="1">
        <v>13.2</v>
      </c>
      <c r="Y73" s="1">
        <v>13.4</v>
      </c>
      <c r="Z73" s="1">
        <v>12.4</v>
      </c>
      <c r="AA73" s="1">
        <v>9</v>
      </c>
      <c r="AB73" s="1">
        <v>14.2</v>
      </c>
      <c r="AC73" s="1">
        <v>17.600000000000001</v>
      </c>
      <c r="AD73" s="1">
        <v>9.6</v>
      </c>
      <c r="AE73" s="1"/>
      <c r="AF73" s="1"/>
      <c r="AG73" s="1">
        <f t="shared" si="16"/>
        <v>18.899999999999999</v>
      </c>
      <c r="AH73" s="1">
        <f t="shared" si="21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38</v>
      </c>
      <c r="C74" s="1">
        <v>-2</v>
      </c>
      <c r="D74" s="1">
        <v>120</v>
      </c>
      <c r="E74" s="1">
        <v>52</v>
      </c>
      <c r="F74" s="1">
        <v>41</v>
      </c>
      <c r="G74" s="6">
        <v>0.3</v>
      </c>
      <c r="H74" s="1">
        <v>60</v>
      </c>
      <c r="I74" s="1" t="s">
        <v>35</v>
      </c>
      <c r="J74" s="1"/>
      <c r="K74" s="1">
        <v>75</v>
      </c>
      <c r="L74" s="1">
        <f t="shared" si="17"/>
        <v>-23</v>
      </c>
      <c r="M74" s="1"/>
      <c r="N74" s="1"/>
      <c r="O74" s="1">
        <v>230</v>
      </c>
      <c r="P74" s="1">
        <f t="shared" si="18"/>
        <v>10.4</v>
      </c>
      <c r="Q74" s="19"/>
      <c r="R74" s="22">
        <v>200</v>
      </c>
      <c r="S74" s="1">
        <f t="shared" si="19"/>
        <v>26.057692307692307</v>
      </c>
      <c r="T74" s="1">
        <f t="shared" si="20"/>
        <v>26.057692307692307</v>
      </c>
      <c r="U74" s="1">
        <v>19</v>
      </c>
      <c r="V74" s="1">
        <v>16.2</v>
      </c>
      <c r="W74" s="1">
        <v>15.6</v>
      </c>
      <c r="X74" s="1">
        <v>16.2</v>
      </c>
      <c r="Y74" s="1">
        <v>17.2</v>
      </c>
      <c r="Z74" s="1">
        <v>16.600000000000001</v>
      </c>
      <c r="AA74" s="1">
        <v>17</v>
      </c>
      <c r="AB74" s="1">
        <v>19.600000000000001</v>
      </c>
      <c r="AC74" s="1">
        <v>15.6</v>
      </c>
      <c r="AD74" s="1">
        <v>14.8</v>
      </c>
      <c r="AE74" s="1"/>
      <c r="AF74" s="1"/>
      <c r="AG74" s="1">
        <f t="shared" si="16"/>
        <v>0</v>
      </c>
      <c r="AH74" s="1">
        <f t="shared" si="21"/>
        <v>60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38</v>
      </c>
      <c r="C75" s="1">
        <v>43</v>
      </c>
      <c r="D75" s="1">
        <v>280</v>
      </c>
      <c r="E75" s="1">
        <v>128</v>
      </c>
      <c r="F75" s="1">
        <v>154</v>
      </c>
      <c r="G75" s="6">
        <v>0.28000000000000003</v>
      </c>
      <c r="H75" s="1">
        <v>50</v>
      </c>
      <c r="I75" s="1" t="s">
        <v>35</v>
      </c>
      <c r="J75" s="1"/>
      <c r="K75" s="1">
        <v>170</v>
      </c>
      <c r="L75" s="1">
        <f t="shared" si="17"/>
        <v>-42</v>
      </c>
      <c r="M75" s="1"/>
      <c r="N75" s="1"/>
      <c r="O75" s="1">
        <v>250</v>
      </c>
      <c r="P75" s="1">
        <f t="shared" si="18"/>
        <v>25.6</v>
      </c>
      <c r="Q75" s="19"/>
      <c r="R75" s="22">
        <v>200</v>
      </c>
      <c r="S75" s="1">
        <f t="shared" si="19"/>
        <v>15.78125</v>
      </c>
      <c r="T75" s="1">
        <f t="shared" si="20"/>
        <v>15.78125</v>
      </c>
      <c r="U75" s="1">
        <v>30</v>
      </c>
      <c r="V75" s="1">
        <v>34.799999999999997</v>
      </c>
      <c r="W75" s="1">
        <v>24.2</v>
      </c>
      <c r="X75" s="1">
        <v>27.8</v>
      </c>
      <c r="Y75" s="1">
        <v>28.6</v>
      </c>
      <c r="Z75" s="1">
        <v>31</v>
      </c>
      <c r="AA75" s="1">
        <v>33.799999999999997</v>
      </c>
      <c r="AB75" s="1">
        <v>38.6</v>
      </c>
      <c r="AC75" s="1">
        <v>27.8</v>
      </c>
      <c r="AD75" s="1">
        <v>31.2</v>
      </c>
      <c r="AE75" s="1"/>
      <c r="AF75" s="1"/>
      <c r="AG75" s="1">
        <f t="shared" si="16"/>
        <v>0</v>
      </c>
      <c r="AH75" s="1">
        <f t="shared" si="21"/>
        <v>56.000000000000007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38</v>
      </c>
      <c r="C76" s="1">
        <v>214</v>
      </c>
      <c r="D76" s="1">
        <v>367</v>
      </c>
      <c r="E76" s="1">
        <v>196</v>
      </c>
      <c r="F76" s="1">
        <v>321</v>
      </c>
      <c r="G76" s="6">
        <v>0.28000000000000003</v>
      </c>
      <c r="H76" s="1">
        <v>45</v>
      </c>
      <c r="I76" s="1" t="s">
        <v>35</v>
      </c>
      <c r="J76" s="1"/>
      <c r="K76" s="1">
        <v>228</v>
      </c>
      <c r="L76" s="1">
        <f t="shared" si="17"/>
        <v>-32</v>
      </c>
      <c r="M76" s="1"/>
      <c r="N76" s="1"/>
      <c r="O76" s="1">
        <v>40</v>
      </c>
      <c r="P76" s="1">
        <f t="shared" si="18"/>
        <v>39.200000000000003</v>
      </c>
      <c r="Q76" s="19">
        <f t="shared" si="15"/>
        <v>227</v>
      </c>
      <c r="R76" s="22">
        <v>300</v>
      </c>
      <c r="S76" s="1">
        <f t="shared" si="19"/>
        <v>14.999999999999998</v>
      </c>
      <c r="T76" s="1">
        <f t="shared" si="20"/>
        <v>9.2091836734693864</v>
      </c>
      <c r="U76" s="1">
        <v>26.8</v>
      </c>
      <c r="V76" s="1">
        <v>50.2</v>
      </c>
      <c r="W76" s="1">
        <v>40.4</v>
      </c>
      <c r="X76" s="1">
        <v>33.4</v>
      </c>
      <c r="Y76" s="1">
        <v>42.8</v>
      </c>
      <c r="Z76" s="1">
        <v>31.2</v>
      </c>
      <c r="AA76" s="1">
        <v>33.6</v>
      </c>
      <c r="AB76" s="1">
        <v>43.8</v>
      </c>
      <c r="AC76" s="1">
        <v>38</v>
      </c>
      <c r="AD76" s="1">
        <v>34.4</v>
      </c>
      <c r="AE76" s="1"/>
      <c r="AF76" s="1"/>
      <c r="AG76" s="1">
        <f t="shared" si="16"/>
        <v>63.560000000000009</v>
      </c>
      <c r="AH76" s="1">
        <f t="shared" si="21"/>
        <v>84.000000000000014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38</v>
      </c>
      <c r="C77" s="1">
        <v>379</v>
      </c>
      <c r="D77" s="1">
        <v>425</v>
      </c>
      <c r="E77" s="1">
        <v>589</v>
      </c>
      <c r="F77" s="1">
        <v>107</v>
      </c>
      <c r="G77" s="6">
        <v>0.28000000000000003</v>
      </c>
      <c r="H77" s="1">
        <v>45</v>
      </c>
      <c r="I77" s="1" t="s">
        <v>35</v>
      </c>
      <c r="J77" s="1"/>
      <c r="K77" s="1">
        <v>640</v>
      </c>
      <c r="L77" s="1">
        <f t="shared" si="17"/>
        <v>-51</v>
      </c>
      <c r="M77" s="1"/>
      <c r="N77" s="1"/>
      <c r="O77" s="1">
        <v>1060</v>
      </c>
      <c r="P77" s="1">
        <f t="shared" si="18"/>
        <v>117.8</v>
      </c>
      <c r="Q77" s="19">
        <f t="shared" si="15"/>
        <v>600</v>
      </c>
      <c r="R77" s="22"/>
      <c r="S77" s="1">
        <f t="shared" si="19"/>
        <v>15</v>
      </c>
      <c r="T77" s="1">
        <f t="shared" si="20"/>
        <v>9.9066213921901536</v>
      </c>
      <c r="U77" s="1">
        <v>130.80000000000001</v>
      </c>
      <c r="V77" s="1">
        <v>98.6</v>
      </c>
      <c r="W77" s="1">
        <v>101.2</v>
      </c>
      <c r="X77" s="1">
        <v>97.2</v>
      </c>
      <c r="Y77" s="1">
        <v>82.4</v>
      </c>
      <c r="Z77" s="1">
        <v>91.8</v>
      </c>
      <c r="AA77" s="1">
        <v>89.8</v>
      </c>
      <c r="AB77" s="1">
        <v>101</v>
      </c>
      <c r="AC77" s="1">
        <v>72.400000000000006</v>
      </c>
      <c r="AD77" s="1">
        <v>66.8</v>
      </c>
      <c r="AE77" s="1"/>
      <c r="AF77" s="1"/>
      <c r="AG77" s="1">
        <f t="shared" si="16"/>
        <v>168.00000000000003</v>
      </c>
      <c r="AH77" s="1">
        <f t="shared" si="21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38</v>
      </c>
      <c r="C78" s="1">
        <v>100</v>
      </c>
      <c r="D78" s="1">
        <v>272</v>
      </c>
      <c r="E78" s="1">
        <v>154</v>
      </c>
      <c r="F78" s="1">
        <v>192</v>
      </c>
      <c r="G78" s="6">
        <v>0.4</v>
      </c>
      <c r="H78" s="1">
        <v>50</v>
      </c>
      <c r="I78" s="1" t="s">
        <v>35</v>
      </c>
      <c r="J78" s="1"/>
      <c r="K78" s="1">
        <v>157</v>
      </c>
      <c r="L78" s="1">
        <f t="shared" si="17"/>
        <v>-3</v>
      </c>
      <c r="M78" s="1"/>
      <c r="N78" s="1"/>
      <c r="O78" s="1">
        <v>400</v>
      </c>
      <c r="P78" s="1">
        <f t="shared" si="18"/>
        <v>30.8</v>
      </c>
      <c r="Q78" s="19"/>
      <c r="R78" s="22">
        <v>300</v>
      </c>
      <c r="S78" s="1">
        <f t="shared" si="19"/>
        <v>19.220779220779221</v>
      </c>
      <c r="T78" s="1">
        <f t="shared" si="20"/>
        <v>19.220779220779221</v>
      </c>
      <c r="U78" s="1">
        <v>42.2</v>
      </c>
      <c r="V78" s="1">
        <v>40.200000000000003</v>
      </c>
      <c r="W78" s="1">
        <v>32.4</v>
      </c>
      <c r="X78" s="1">
        <v>40.200000000000003</v>
      </c>
      <c r="Y78" s="1">
        <v>36.200000000000003</v>
      </c>
      <c r="Z78" s="1">
        <v>36.799999999999997</v>
      </c>
      <c r="AA78" s="1">
        <v>26.6</v>
      </c>
      <c r="AB78" s="1">
        <v>27.8</v>
      </c>
      <c r="AC78" s="1">
        <v>37.4</v>
      </c>
      <c r="AD78" s="1">
        <v>28.2</v>
      </c>
      <c r="AE78" s="1"/>
      <c r="AF78" s="1"/>
      <c r="AG78" s="1">
        <f t="shared" si="16"/>
        <v>0</v>
      </c>
      <c r="AH78" s="1">
        <f t="shared" si="21"/>
        <v>120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120</v>
      </c>
      <c r="B79" s="1" t="s">
        <v>34</v>
      </c>
      <c r="C79" s="1">
        <v>-1.6619999999999999</v>
      </c>
      <c r="D79" s="1">
        <v>55.378</v>
      </c>
      <c r="E79" s="1">
        <v>53.95</v>
      </c>
      <c r="F79" s="1">
        <v>-1.6619999999999999</v>
      </c>
      <c r="G79" s="6">
        <v>1</v>
      </c>
      <c r="H79" s="1">
        <v>30</v>
      </c>
      <c r="I79" s="1" t="s">
        <v>35</v>
      </c>
      <c r="J79" s="1"/>
      <c r="K79" s="1">
        <v>112.72</v>
      </c>
      <c r="L79" s="1">
        <f t="shared" si="17"/>
        <v>-58.769999999999996</v>
      </c>
      <c r="M79" s="1"/>
      <c r="N79" s="1"/>
      <c r="O79" s="1">
        <v>1000</v>
      </c>
      <c r="P79" s="1">
        <f t="shared" si="18"/>
        <v>10.790000000000001</v>
      </c>
      <c r="Q79" s="19"/>
      <c r="R79" s="22">
        <v>700</v>
      </c>
      <c r="S79" s="1">
        <f t="shared" si="19"/>
        <v>92.524374420759955</v>
      </c>
      <c r="T79" s="1">
        <f t="shared" si="20"/>
        <v>92.524374420759955</v>
      </c>
      <c r="U79" s="1">
        <v>6.1048</v>
      </c>
      <c r="V79" s="1">
        <v>25.026399999999999</v>
      </c>
      <c r="W79" s="1">
        <v>19.0764</v>
      </c>
      <c r="X79" s="1">
        <v>11.9458</v>
      </c>
      <c r="Y79" s="1">
        <v>14.8004</v>
      </c>
      <c r="Z79" s="1">
        <v>8.9665999999999997</v>
      </c>
      <c r="AA79" s="1">
        <v>8.8193999999999999</v>
      </c>
      <c r="AB79" s="1">
        <v>10.5128</v>
      </c>
      <c r="AC79" s="1">
        <v>9.5676000000000005</v>
      </c>
      <c r="AD79" s="1">
        <v>0</v>
      </c>
      <c r="AE79" s="1" t="s">
        <v>156</v>
      </c>
      <c r="AF79" s="1" t="s">
        <v>36</v>
      </c>
      <c r="AG79" s="1">
        <f t="shared" si="16"/>
        <v>0</v>
      </c>
      <c r="AH79" s="1">
        <f t="shared" si="21"/>
        <v>700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121</v>
      </c>
      <c r="B80" s="1" t="s">
        <v>38</v>
      </c>
      <c r="C80" s="1">
        <v>46</v>
      </c>
      <c r="D80" s="1"/>
      <c r="E80" s="1">
        <v>27</v>
      </c>
      <c r="F80" s="1">
        <v>17</v>
      </c>
      <c r="G80" s="6">
        <v>0.33800000000000002</v>
      </c>
      <c r="H80" s="1" t="s">
        <v>122</v>
      </c>
      <c r="I80" s="1" t="s">
        <v>35</v>
      </c>
      <c r="J80" s="1"/>
      <c r="K80" s="1">
        <v>27</v>
      </c>
      <c r="L80" s="1">
        <f t="shared" si="17"/>
        <v>0</v>
      </c>
      <c r="M80" s="1"/>
      <c r="N80" s="1"/>
      <c r="O80" s="1">
        <v>0</v>
      </c>
      <c r="P80" s="1">
        <f t="shared" si="18"/>
        <v>5.4</v>
      </c>
      <c r="Q80" s="19">
        <f>11*P80-O80-F80</f>
        <v>42.400000000000006</v>
      </c>
      <c r="R80" s="22"/>
      <c r="S80" s="1">
        <f t="shared" si="19"/>
        <v>11</v>
      </c>
      <c r="T80" s="1">
        <f t="shared" si="20"/>
        <v>3.1481481481481479</v>
      </c>
      <c r="U80" s="1">
        <v>0.4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/>
      <c r="AF80" s="1" t="s">
        <v>36</v>
      </c>
      <c r="AG80" s="1">
        <f t="shared" si="16"/>
        <v>14.331200000000003</v>
      </c>
      <c r="AH80" s="1">
        <f t="shared" si="21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5" t="s">
        <v>123</v>
      </c>
      <c r="B81" s="1" t="s">
        <v>38</v>
      </c>
      <c r="C81" s="1"/>
      <c r="D81" s="1"/>
      <c r="E81" s="1"/>
      <c r="F81" s="1"/>
      <c r="G81" s="6">
        <v>0.32500000000000001</v>
      </c>
      <c r="H81" s="1" t="s">
        <v>122</v>
      </c>
      <c r="I81" s="1" t="s">
        <v>35</v>
      </c>
      <c r="J81" s="1"/>
      <c r="K81" s="1"/>
      <c r="L81" s="1">
        <f t="shared" si="17"/>
        <v>0</v>
      </c>
      <c r="M81" s="1"/>
      <c r="N81" s="1"/>
      <c r="O81" s="1">
        <v>60</v>
      </c>
      <c r="P81" s="1">
        <f t="shared" si="18"/>
        <v>0</v>
      </c>
      <c r="Q81" s="19"/>
      <c r="R81" s="22">
        <v>50</v>
      </c>
      <c r="S81" s="1" t="e">
        <f t="shared" si="19"/>
        <v>#DIV/0!</v>
      </c>
      <c r="T81" s="1" t="e">
        <f t="shared" si="20"/>
        <v>#DIV/0!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/>
      <c r="AF81" s="1" t="s">
        <v>124</v>
      </c>
      <c r="AG81" s="1">
        <f t="shared" si="16"/>
        <v>0</v>
      </c>
      <c r="AH81" s="1">
        <f t="shared" si="21"/>
        <v>16.25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125</v>
      </c>
      <c r="B82" s="1" t="s">
        <v>38</v>
      </c>
      <c r="C82" s="1">
        <v>3</v>
      </c>
      <c r="D82" s="1">
        <v>648</v>
      </c>
      <c r="E82" s="1">
        <v>103</v>
      </c>
      <c r="F82" s="1">
        <v>491</v>
      </c>
      <c r="G82" s="6">
        <v>0.12</v>
      </c>
      <c r="H82" s="1">
        <v>60</v>
      </c>
      <c r="I82" s="1" t="s">
        <v>35</v>
      </c>
      <c r="J82" s="1"/>
      <c r="K82" s="1">
        <v>173</v>
      </c>
      <c r="L82" s="1">
        <f t="shared" si="17"/>
        <v>-70</v>
      </c>
      <c r="M82" s="1"/>
      <c r="N82" s="1"/>
      <c r="O82" s="1">
        <v>170</v>
      </c>
      <c r="P82" s="1">
        <f t="shared" si="18"/>
        <v>20.6</v>
      </c>
      <c r="Q82" s="19"/>
      <c r="R82" s="22">
        <v>300</v>
      </c>
      <c r="S82" s="1">
        <f t="shared" si="19"/>
        <v>32.087378640776699</v>
      </c>
      <c r="T82" s="1">
        <f t="shared" si="20"/>
        <v>32.087378640776699</v>
      </c>
      <c r="U82" s="1">
        <v>37.200000000000003</v>
      </c>
      <c r="V82" s="1">
        <v>42.4</v>
      </c>
      <c r="W82" s="1">
        <v>23.8</v>
      </c>
      <c r="X82" s="1">
        <v>27.4</v>
      </c>
      <c r="Y82" s="1">
        <v>28.2</v>
      </c>
      <c r="Z82" s="1">
        <v>22.2</v>
      </c>
      <c r="AA82" s="1">
        <v>25</v>
      </c>
      <c r="AB82" s="1">
        <v>29</v>
      </c>
      <c r="AC82" s="1">
        <v>27.4</v>
      </c>
      <c r="AD82" s="1">
        <v>27</v>
      </c>
      <c r="AE82" s="1"/>
      <c r="AF82" s="1"/>
      <c r="AG82" s="1">
        <f t="shared" si="16"/>
        <v>0</v>
      </c>
      <c r="AH82" s="1">
        <f t="shared" si="21"/>
        <v>36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126</v>
      </c>
      <c r="B83" s="1" t="s">
        <v>38</v>
      </c>
      <c r="C83" s="1"/>
      <c r="D83" s="1">
        <v>198</v>
      </c>
      <c r="E83" s="1">
        <v>4</v>
      </c>
      <c r="F83" s="1">
        <v>189</v>
      </c>
      <c r="G83" s="6">
        <v>0.15</v>
      </c>
      <c r="H83" s="1">
        <v>90</v>
      </c>
      <c r="I83" s="1" t="s">
        <v>35</v>
      </c>
      <c r="J83" s="1"/>
      <c r="K83" s="1">
        <v>12</v>
      </c>
      <c r="L83" s="1">
        <f t="shared" si="17"/>
        <v>-8</v>
      </c>
      <c r="M83" s="1"/>
      <c r="N83" s="1"/>
      <c r="O83" s="1">
        <v>150</v>
      </c>
      <c r="P83" s="1">
        <f t="shared" si="18"/>
        <v>0.8</v>
      </c>
      <c r="Q83" s="19"/>
      <c r="R83" s="22">
        <v>50</v>
      </c>
      <c r="S83" s="1">
        <f t="shared" si="19"/>
        <v>423.75</v>
      </c>
      <c r="T83" s="1">
        <f t="shared" si="20"/>
        <v>423.75</v>
      </c>
      <c r="U83" s="1">
        <v>5.4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/>
      <c r="AF83" s="1" t="s">
        <v>36</v>
      </c>
      <c r="AG83" s="1">
        <f t="shared" si="16"/>
        <v>0</v>
      </c>
      <c r="AH83" s="1">
        <f t="shared" si="21"/>
        <v>7.5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127</v>
      </c>
      <c r="B84" s="1" t="s">
        <v>38</v>
      </c>
      <c r="C84" s="1">
        <v>11</v>
      </c>
      <c r="D84" s="1">
        <v>144</v>
      </c>
      <c r="E84" s="1">
        <v>19</v>
      </c>
      <c r="F84" s="1">
        <v>128</v>
      </c>
      <c r="G84" s="6">
        <v>0.15</v>
      </c>
      <c r="H84" s="1">
        <v>90</v>
      </c>
      <c r="I84" s="1" t="s">
        <v>35</v>
      </c>
      <c r="J84" s="1"/>
      <c r="K84" s="1">
        <v>19</v>
      </c>
      <c r="L84" s="1">
        <f t="shared" si="17"/>
        <v>0</v>
      </c>
      <c r="M84" s="1"/>
      <c r="N84" s="1"/>
      <c r="O84" s="1">
        <v>100</v>
      </c>
      <c r="P84" s="1">
        <f t="shared" si="18"/>
        <v>3.8</v>
      </c>
      <c r="Q84" s="19"/>
      <c r="R84" s="22">
        <v>50</v>
      </c>
      <c r="S84" s="1">
        <f t="shared" si="19"/>
        <v>60</v>
      </c>
      <c r="T84" s="1">
        <f t="shared" si="20"/>
        <v>60</v>
      </c>
      <c r="U84" s="1">
        <v>5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/>
      <c r="AF84" s="1" t="s">
        <v>36</v>
      </c>
      <c r="AG84" s="1">
        <f t="shared" si="16"/>
        <v>0</v>
      </c>
      <c r="AH84" s="1">
        <f t="shared" si="21"/>
        <v>7.5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128</v>
      </c>
      <c r="B85" s="1" t="s">
        <v>38</v>
      </c>
      <c r="C85" s="1">
        <v>35</v>
      </c>
      <c r="D85" s="1">
        <v>178</v>
      </c>
      <c r="E85" s="1">
        <v>69</v>
      </c>
      <c r="F85" s="1">
        <v>102</v>
      </c>
      <c r="G85" s="6">
        <v>0.33</v>
      </c>
      <c r="H85" s="1">
        <v>30</v>
      </c>
      <c r="I85" s="1" t="s">
        <v>35</v>
      </c>
      <c r="J85" s="1"/>
      <c r="K85" s="1">
        <v>79</v>
      </c>
      <c r="L85" s="1">
        <f t="shared" si="17"/>
        <v>-10</v>
      </c>
      <c r="M85" s="1"/>
      <c r="N85" s="1"/>
      <c r="O85" s="1">
        <v>80</v>
      </c>
      <c r="P85" s="1">
        <f t="shared" si="18"/>
        <v>13.8</v>
      </c>
      <c r="Q85" s="19">
        <f t="shared" si="15"/>
        <v>25</v>
      </c>
      <c r="R85" s="22">
        <v>100</v>
      </c>
      <c r="S85" s="1">
        <f t="shared" si="19"/>
        <v>15</v>
      </c>
      <c r="T85" s="1">
        <f t="shared" si="20"/>
        <v>13.188405797101449</v>
      </c>
      <c r="U85" s="1">
        <v>17</v>
      </c>
      <c r="V85" s="1">
        <v>22.4</v>
      </c>
      <c r="W85" s="1">
        <v>17.600000000000001</v>
      </c>
      <c r="X85" s="1">
        <v>15</v>
      </c>
      <c r="Y85" s="1">
        <v>17</v>
      </c>
      <c r="Z85" s="1">
        <v>9.8000000000000007</v>
      </c>
      <c r="AA85" s="1">
        <v>5</v>
      </c>
      <c r="AB85" s="1">
        <v>13</v>
      </c>
      <c r="AC85" s="1">
        <v>9.4</v>
      </c>
      <c r="AD85" s="1">
        <v>-1</v>
      </c>
      <c r="AE85" s="1"/>
      <c r="AF85" s="1"/>
      <c r="AG85" s="1">
        <f t="shared" si="16"/>
        <v>8.25</v>
      </c>
      <c r="AH85" s="1">
        <f t="shared" si="21"/>
        <v>33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129</v>
      </c>
      <c r="B86" s="1" t="s">
        <v>38</v>
      </c>
      <c r="C86" s="1">
        <v>214</v>
      </c>
      <c r="D86" s="1">
        <v>205</v>
      </c>
      <c r="E86" s="1">
        <v>296</v>
      </c>
      <c r="F86" s="1">
        <v>49</v>
      </c>
      <c r="G86" s="6">
        <v>0.15</v>
      </c>
      <c r="H86" s="1">
        <v>60</v>
      </c>
      <c r="I86" s="1" t="s">
        <v>35</v>
      </c>
      <c r="J86" s="1"/>
      <c r="K86" s="1">
        <v>308</v>
      </c>
      <c r="L86" s="1">
        <f t="shared" si="17"/>
        <v>-12</v>
      </c>
      <c r="M86" s="1"/>
      <c r="N86" s="1"/>
      <c r="O86" s="1">
        <v>460</v>
      </c>
      <c r="P86" s="1">
        <f t="shared" si="18"/>
        <v>59.2</v>
      </c>
      <c r="Q86" s="19">
        <f t="shared" si="15"/>
        <v>379</v>
      </c>
      <c r="R86" s="22">
        <v>500</v>
      </c>
      <c r="S86" s="1">
        <f t="shared" si="19"/>
        <v>15</v>
      </c>
      <c r="T86" s="1">
        <f t="shared" si="20"/>
        <v>8.5979729729729719</v>
      </c>
      <c r="U86" s="1">
        <v>51</v>
      </c>
      <c r="V86" s="1">
        <v>47</v>
      </c>
      <c r="W86" s="1">
        <v>39.200000000000003</v>
      </c>
      <c r="X86" s="1">
        <v>18</v>
      </c>
      <c r="Y86" s="1">
        <v>47.4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/>
      <c r="AF86" s="1" t="s">
        <v>36</v>
      </c>
      <c r="AG86" s="1">
        <f t="shared" si="16"/>
        <v>56.85</v>
      </c>
      <c r="AH86" s="1">
        <f t="shared" si="21"/>
        <v>75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2" t="s">
        <v>130</v>
      </c>
      <c r="B87" s="12" t="s">
        <v>38</v>
      </c>
      <c r="C87" s="12"/>
      <c r="D87" s="12"/>
      <c r="E87" s="12"/>
      <c r="F87" s="12"/>
      <c r="G87" s="13">
        <v>0</v>
      </c>
      <c r="H87" s="12">
        <v>45</v>
      </c>
      <c r="I87" s="12" t="s">
        <v>35</v>
      </c>
      <c r="J87" s="12"/>
      <c r="K87" s="12"/>
      <c r="L87" s="12">
        <f t="shared" si="17"/>
        <v>0</v>
      </c>
      <c r="M87" s="12"/>
      <c r="N87" s="12"/>
      <c r="O87" s="12">
        <v>0</v>
      </c>
      <c r="P87" s="12">
        <f t="shared" si="18"/>
        <v>0</v>
      </c>
      <c r="Q87" s="21"/>
      <c r="R87" s="24"/>
      <c r="S87" s="12" t="e">
        <f t="shared" si="19"/>
        <v>#DIV/0!</v>
      </c>
      <c r="T87" s="12" t="e">
        <f t="shared" si="20"/>
        <v>#DIV/0!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/>
      <c r="AF87" s="12" t="s">
        <v>131</v>
      </c>
      <c r="AG87" s="12"/>
      <c r="AH87" s="1">
        <f t="shared" si="21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2" t="s">
        <v>132</v>
      </c>
      <c r="B88" s="12" t="s">
        <v>34</v>
      </c>
      <c r="C88" s="12">
        <v>-3.0000000000000001E-3</v>
      </c>
      <c r="D88" s="12"/>
      <c r="E88" s="12"/>
      <c r="F88" s="12">
        <v>-3.0000000000000001E-3</v>
      </c>
      <c r="G88" s="13">
        <v>0</v>
      </c>
      <c r="H88" s="12">
        <v>30</v>
      </c>
      <c r="I88" s="12" t="s">
        <v>35</v>
      </c>
      <c r="J88" s="12"/>
      <c r="K88" s="12">
        <v>5.65</v>
      </c>
      <c r="L88" s="12">
        <f t="shared" si="17"/>
        <v>-5.65</v>
      </c>
      <c r="M88" s="12"/>
      <c r="N88" s="12"/>
      <c r="O88" s="12">
        <v>0</v>
      </c>
      <c r="P88" s="12">
        <f t="shared" si="18"/>
        <v>0</v>
      </c>
      <c r="Q88" s="21"/>
      <c r="R88" s="24"/>
      <c r="S88" s="12" t="e">
        <f t="shared" si="19"/>
        <v>#DIV/0!</v>
      </c>
      <c r="T88" s="12" t="e">
        <f t="shared" si="20"/>
        <v>#DIV/0!</v>
      </c>
      <c r="U88" s="12">
        <v>1.3322000000000001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/>
      <c r="AF88" s="12" t="s">
        <v>131</v>
      </c>
      <c r="AG88" s="12"/>
      <c r="AH88" s="1">
        <f t="shared" si="21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2" t="s">
        <v>133</v>
      </c>
      <c r="B89" s="12" t="s">
        <v>38</v>
      </c>
      <c r="C89" s="12"/>
      <c r="D89" s="12"/>
      <c r="E89" s="12"/>
      <c r="F89" s="12"/>
      <c r="G89" s="13">
        <v>0</v>
      </c>
      <c r="H89" s="12">
        <v>45</v>
      </c>
      <c r="I89" s="12" t="s">
        <v>35</v>
      </c>
      <c r="J89" s="12"/>
      <c r="K89" s="12"/>
      <c r="L89" s="12">
        <f t="shared" si="17"/>
        <v>0</v>
      </c>
      <c r="M89" s="12"/>
      <c r="N89" s="12"/>
      <c r="O89" s="12">
        <v>0</v>
      </c>
      <c r="P89" s="12">
        <f t="shared" si="18"/>
        <v>0</v>
      </c>
      <c r="Q89" s="21"/>
      <c r="R89" s="24"/>
      <c r="S89" s="12" t="e">
        <f t="shared" si="19"/>
        <v>#DIV/0!</v>
      </c>
      <c r="T89" s="12" t="e">
        <f t="shared" si="20"/>
        <v>#DIV/0!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/>
      <c r="AF89" s="12" t="s">
        <v>131</v>
      </c>
      <c r="AG89" s="12"/>
      <c r="AH89" s="1">
        <f t="shared" si="21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2" t="s">
        <v>134</v>
      </c>
      <c r="B90" s="12" t="s">
        <v>34</v>
      </c>
      <c r="C90" s="12">
        <v>4.3970000000000002</v>
      </c>
      <c r="D90" s="12"/>
      <c r="E90" s="12">
        <v>2.97</v>
      </c>
      <c r="F90" s="12"/>
      <c r="G90" s="13">
        <v>0</v>
      </c>
      <c r="H90" s="12">
        <v>30</v>
      </c>
      <c r="I90" s="12" t="s">
        <v>35</v>
      </c>
      <c r="J90" s="12"/>
      <c r="K90" s="12">
        <v>2.8</v>
      </c>
      <c r="L90" s="12">
        <f t="shared" si="17"/>
        <v>0.17000000000000037</v>
      </c>
      <c r="M90" s="12"/>
      <c r="N90" s="12"/>
      <c r="O90" s="12">
        <v>0</v>
      </c>
      <c r="P90" s="12">
        <f t="shared" si="18"/>
        <v>0.59400000000000008</v>
      </c>
      <c r="Q90" s="21"/>
      <c r="R90" s="24"/>
      <c r="S90" s="12">
        <f t="shared" si="19"/>
        <v>0</v>
      </c>
      <c r="T90" s="12">
        <f t="shared" si="20"/>
        <v>0</v>
      </c>
      <c r="U90" s="12">
        <v>0.86319999999999997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/>
      <c r="AF90" s="12" t="s">
        <v>131</v>
      </c>
      <c r="AG90" s="12"/>
      <c r="AH90" s="1">
        <f t="shared" si="21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135</v>
      </c>
      <c r="B91" s="1" t="s">
        <v>38</v>
      </c>
      <c r="C91" s="1">
        <v>155</v>
      </c>
      <c r="D91" s="1">
        <v>1</v>
      </c>
      <c r="E91" s="1">
        <v>117</v>
      </c>
      <c r="F91" s="1">
        <v>26</v>
      </c>
      <c r="G91" s="6">
        <v>0.4</v>
      </c>
      <c r="H91" s="1">
        <v>60</v>
      </c>
      <c r="I91" s="1" t="s">
        <v>35</v>
      </c>
      <c r="J91" s="1"/>
      <c r="K91" s="1">
        <v>115</v>
      </c>
      <c r="L91" s="1">
        <f t="shared" si="17"/>
        <v>2</v>
      </c>
      <c r="M91" s="1"/>
      <c r="N91" s="1"/>
      <c r="O91" s="1">
        <v>300</v>
      </c>
      <c r="P91" s="1">
        <f t="shared" si="18"/>
        <v>23.4</v>
      </c>
      <c r="Q91" s="19">
        <f>15*P91-O91-F91</f>
        <v>25</v>
      </c>
      <c r="R91" s="22">
        <v>100</v>
      </c>
      <c r="S91" s="1">
        <f t="shared" si="19"/>
        <v>15.000000000000002</v>
      </c>
      <c r="T91" s="1">
        <f t="shared" si="20"/>
        <v>13.931623931623932</v>
      </c>
      <c r="U91" s="1">
        <v>34</v>
      </c>
      <c r="V91" s="1">
        <v>18.399999999999999</v>
      </c>
      <c r="W91" s="1">
        <v>27.8</v>
      </c>
      <c r="X91" s="1">
        <v>25.6</v>
      </c>
      <c r="Y91" s="1">
        <v>19.8</v>
      </c>
      <c r="Z91" s="1">
        <v>28.6</v>
      </c>
      <c r="AA91" s="1">
        <v>18.600000000000001</v>
      </c>
      <c r="AB91" s="1">
        <v>18.8</v>
      </c>
      <c r="AC91" s="1">
        <v>19.600000000000001</v>
      </c>
      <c r="AD91" s="1">
        <v>23.8</v>
      </c>
      <c r="AE91" s="1"/>
      <c r="AF91" s="1" t="s">
        <v>46</v>
      </c>
      <c r="AG91" s="1">
        <f>G91*Q91</f>
        <v>10</v>
      </c>
      <c r="AH91" s="1">
        <f t="shared" si="21"/>
        <v>40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2" t="s">
        <v>136</v>
      </c>
      <c r="B92" s="12" t="s">
        <v>38</v>
      </c>
      <c r="C92" s="12"/>
      <c r="D92" s="12"/>
      <c r="E92" s="12"/>
      <c r="F92" s="12"/>
      <c r="G92" s="13">
        <v>0</v>
      </c>
      <c r="H92" s="12">
        <v>60</v>
      </c>
      <c r="I92" s="12" t="s">
        <v>35</v>
      </c>
      <c r="J92" s="12"/>
      <c r="K92" s="12">
        <v>10</v>
      </c>
      <c r="L92" s="12">
        <f t="shared" si="17"/>
        <v>-10</v>
      </c>
      <c r="M92" s="12"/>
      <c r="N92" s="12"/>
      <c r="O92" s="12">
        <v>0</v>
      </c>
      <c r="P92" s="12">
        <f t="shared" si="18"/>
        <v>0</v>
      </c>
      <c r="Q92" s="21"/>
      <c r="R92" s="24"/>
      <c r="S92" s="12" t="e">
        <f t="shared" si="19"/>
        <v>#DIV/0!</v>
      </c>
      <c r="T92" s="12" t="e">
        <f t="shared" si="20"/>
        <v>#DIV/0!</v>
      </c>
      <c r="U92" s="12">
        <v>0</v>
      </c>
      <c r="V92" s="12">
        <v>0.8</v>
      </c>
      <c r="W92" s="12">
        <v>0.4</v>
      </c>
      <c r="X92" s="12">
        <v>1.6</v>
      </c>
      <c r="Y92" s="12">
        <v>2.4</v>
      </c>
      <c r="Z92" s="12">
        <v>2.8</v>
      </c>
      <c r="AA92" s="12">
        <v>2</v>
      </c>
      <c r="AB92" s="12">
        <v>3.8</v>
      </c>
      <c r="AC92" s="12">
        <v>4.2</v>
      </c>
      <c r="AD92" s="12">
        <v>8.6</v>
      </c>
      <c r="AE92" s="12"/>
      <c r="AF92" s="12" t="s">
        <v>131</v>
      </c>
      <c r="AG92" s="12"/>
      <c r="AH92" s="1">
        <f t="shared" si="21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2" t="s">
        <v>137</v>
      </c>
      <c r="B93" s="12" t="s">
        <v>34</v>
      </c>
      <c r="C93" s="12"/>
      <c r="D93" s="12"/>
      <c r="E93" s="12"/>
      <c r="F93" s="12"/>
      <c r="G93" s="13">
        <v>0</v>
      </c>
      <c r="H93" s="12">
        <v>45</v>
      </c>
      <c r="I93" s="12" t="s">
        <v>35</v>
      </c>
      <c r="J93" s="12"/>
      <c r="K93" s="12"/>
      <c r="L93" s="12">
        <f t="shared" si="17"/>
        <v>0</v>
      </c>
      <c r="M93" s="12"/>
      <c r="N93" s="12"/>
      <c r="O93" s="12">
        <v>0</v>
      </c>
      <c r="P93" s="12">
        <f t="shared" si="18"/>
        <v>0</v>
      </c>
      <c r="Q93" s="21"/>
      <c r="R93" s="24"/>
      <c r="S93" s="12" t="e">
        <f t="shared" si="19"/>
        <v>#DIV/0!</v>
      </c>
      <c r="T93" s="12" t="e">
        <f t="shared" si="20"/>
        <v>#DIV/0!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/>
      <c r="AF93" s="12" t="s">
        <v>131</v>
      </c>
      <c r="AG93" s="12"/>
      <c r="AH93" s="1">
        <f t="shared" si="21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2" t="s">
        <v>138</v>
      </c>
      <c r="B94" s="12" t="s">
        <v>34</v>
      </c>
      <c r="C94" s="12"/>
      <c r="D94" s="12"/>
      <c r="E94" s="12"/>
      <c r="F94" s="12"/>
      <c r="G94" s="13">
        <v>0</v>
      </c>
      <c r="H94" s="12"/>
      <c r="I94" s="12" t="s">
        <v>35</v>
      </c>
      <c r="J94" s="12"/>
      <c r="K94" s="12"/>
      <c r="L94" s="12">
        <f t="shared" si="17"/>
        <v>0</v>
      </c>
      <c r="M94" s="12"/>
      <c r="N94" s="12"/>
      <c r="O94" s="12">
        <v>0</v>
      </c>
      <c r="P94" s="12">
        <f t="shared" si="18"/>
        <v>0</v>
      </c>
      <c r="Q94" s="21"/>
      <c r="R94" s="24"/>
      <c r="S94" s="12" t="e">
        <f t="shared" si="19"/>
        <v>#DIV/0!</v>
      </c>
      <c r="T94" s="12" t="e">
        <f t="shared" si="20"/>
        <v>#DIV/0!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/>
      <c r="AF94" s="12" t="s">
        <v>131</v>
      </c>
      <c r="AG94" s="12"/>
      <c r="AH94" s="1">
        <f t="shared" si="21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139</v>
      </c>
      <c r="B95" s="1" t="s">
        <v>38</v>
      </c>
      <c r="C95" s="1">
        <v>125</v>
      </c>
      <c r="D95" s="1">
        <v>48</v>
      </c>
      <c r="E95" s="1">
        <v>170</v>
      </c>
      <c r="F95" s="1"/>
      <c r="G95" s="6">
        <v>0.33</v>
      </c>
      <c r="H95" s="1">
        <v>45</v>
      </c>
      <c r="I95" s="1" t="s">
        <v>35</v>
      </c>
      <c r="J95" s="1"/>
      <c r="K95" s="1">
        <v>178</v>
      </c>
      <c r="L95" s="1">
        <f t="shared" si="17"/>
        <v>-8</v>
      </c>
      <c r="M95" s="1"/>
      <c r="N95" s="1"/>
      <c r="O95" s="1">
        <v>0</v>
      </c>
      <c r="P95" s="1">
        <f t="shared" si="18"/>
        <v>34</v>
      </c>
      <c r="Q95" s="19">
        <f>8*P95-O95-F95</f>
        <v>272</v>
      </c>
      <c r="R95" s="22"/>
      <c r="S95" s="1">
        <f t="shared" si="19"/>
        <v>8</v>
      </c>
      <c r="T95" s="1">
        <f t="shared" si="20"/>
        <v>0</v>
      </c>
      <c r="U95" s="1">
        <v>8.8000000000000007</v>
      </c>
      <c r="V95" s="1">
        <v>15.2</v>
      </c>
      <c r="W95" s="1">
        <v>10.4</v>
      </c>
      <c r="X95" s="1">
        <v>19.8</v>
      </c>
      <c r="Y95" s="1">
        <v>18</v>
      </c>
      <c r="Z95" s="1">
        <v>14.6</v>
      </c>
      <c r="AA95" s="1">
        <v>12</v>
      </c>
      <c r="AB95" s="1">
        <v>15.6</v>
      </c>
      <c r="AC95" s="1">
        <v>10.8</v>
      </c>
      <c r="AD95" s="1">
        <v>2</v>
      </c>
      <c r="AE95" s="1"/>
      <c r="AF95" s="1"/>
      <c r="AG95" s="1">
        <f>G95*Q95</f>
        <v>89.76</v>
      </c>
      <c r="AH95" s="1">
        <f t="shared" si="21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2" t="s">
        <v>140</v>
      </c>
      <c r="B96" s="12" t="s">
        <v>38</v>
      </c>
      <c r="C96" s="12">
        <v>41</v>
      </c>
      <c r="D96" s="12"/>
      <c r="E96" s="12">
        <v>18</v>
      </c>
      <c r="F96" s="12">
        <v>18</v>
      </c>
      <c r="G96" s="13">
        <v>0</v>
      </c>
      <c r="H96" s="12">
        <v>60</v>
      </c>
      <c r="I96" s="12" t="s">
        <v>141</v>
      </c>
      <c r="J96" s="12"/>
      <c r="K96" s="12">
        <v>18</v>
      </c>
      <c r="L96" s="12">
        <f t="shared" si="17"/>
        <v>0</v>
      </c>
      <c r="M96" s="12"/>
      <c r="N96" s="12"/>
      <c r="O96" s="12">
        <v>0</v>
      </c>
      <c r="P96" s="12">
        <f t="shared" si="18"/>
        <v>3.6</v>
      </c>
      <c r="Q96" s="21"/>
      <c r="R96" s="24"/>
      <c r="S96" s="12">
        <f t="shared" si="19"/>
        <v>5</v>
      </c>
      <c r="T96" s="12">
        <f t="shared" si="20"/>
        <v>5</v>
      </c>
      <c r="U96" s="12">
        <v>9</v>
      </c>
      <c r="V96" s="12">
        <v>1.6</v>
      </c>
      <c r="W96" s="12">
        <v>4.8</v>
      </c>
      <c r="X96" s="12">
        <v>7.4</v>
      </c>
      <c r="Y96" s="12">
        <v>1.4</v>
      </c>
      <c r="Z96" s="12">
        <v>8.4</v>
      </c>
      <c r="AA96" s="12">
        <v>3.6</v>
      </c>
      <c r="AB96" s="12">
        <v>6.4</v>
      </c>
      <c r="AC96" s="12">
        <v>6.4</v>
      </c>
      <c r="AD96" s="12">
        <v>5.2</v>
      </c>
      <c r="AE96" s="12"/>
      <c r="AF96" s="12"/>
      <c r="AG96" s="12"/>
      <c r="AH96" s="1">
        <f t="shared" si="21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142</v>
      </c>
      <c r="B97" s="1" t="s">
        <v>38</v>
      </c>
      <c r="C97" s="1">
        <v>62</v>
      </c>
      <c r="D97" s="1">
        <v>400</v>
      </c>
      <c r="E97" s="1">
        <v>189</v>
      </c>
      <c r="F97" s="1">
        <v>200</v>
      </c>
      <c r="G97" s="6">
        <v>0.1</v>
      </c>
      <c r="H97" s="1">
        <v>60</v>
      </c>
      <c r="I97" s="1" t="s">
        <v>35</v>
      </c>
      <c r="J97" s="1"/>
      <c r="K97" s="1">
        <v>220</v>
      </c>
      <c r="L97" s="1">
        <f t="shared" si="17"/>
        <v>-31</v>
      </c>
      <c r="M97" s="1"/>
      <c r="N97" s="1"/>
      <c r="O97" s="1">
        <v>800</v>
      </c>
      <c r="P97" s="1">
        <f t="shared" si="18"/>
        <v>37.799999999999997</v>
      </c>
      <c r="Q97" s="19"/>
      <c r="R97" s="22">
        <v>300</v>
      </c>
      <c r="S97" s="1">
        <f t="shared" si="19"/>
        <v>26.455026455026456</v>
      </c>
      <c r="T97" s="1">
        <f t="shared" si="20"/>
        <v>26.455026455026456</v>
      </c>
      <c r="U97" s="1">
        <v>70.8</v>
      </c>
      <c r="V97" s="1">
        <v>55</v>
      </c>
      <c r="W97" s="1">
        <v>45.6</v>
      </c>
      <c r="X97" s="1">
        <v>34.799999999999997</v>
      </c>
      <c r="Y97" s="1">
        <v>53.8</v>
      </c>
      <c r="Z97" s="1">
        <v>47</v>
      </c>
      <c r="AA97" s="1">
        <v>28.2</v>
      </c>
      <c r="AB97" s="1">
        <v>64</v>
      </c>
      <c r="AC97" s="1">
        <v>40.200000000000003</v>
      </c>
      <c r="AD97" s="1">
        <v>0</v>
      </c>
      <c r="AE97" s="1"/>
      <c r="AF97" s="1"/>
      <c r="AG97" s="1">
        <f t="shared" ref="AG97:AG102" si="22">G97*Q97</f>
        <v>0</v>
      </c>
      <c r="AH97" s="1">
        <f t="shared" si="21"/>
        <v>30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143</v>
      </c>
      <c r="B98" s="1" t="s">
        <v>38</v>
      </c>
      <c r="C98" s="1">
        <v>435</v>
      </c>
      <c r="D98" s="1">
        <v>210</v>
      </c>
      <c r="E98" s="1">
        <v>297</v>
      </c>
      <c r="F98" s="1">
        <v>313</v>
      </c>
      <c r="G98" s="6">
        <v>0.1</v>
      </c>
      <c r="H98" s="1">
        <v>60</v>
      </c>
      <c r="I98" s="1" t="s">
        <v>35</v>
      </c>
      <c r="J98" s="1"/>
      <c r="K98" s="1">
        <v>307</v>
      </c>
      <c r="L98" s="1">
        <f t="shared" si="17"/>
        <v>-10</v>
      </c>
      <c r="M98" s="1"/>
      <c r="N98" s="1"/>
      <c r="O98" s="1">
        <v>450</v>
      </c>
      <c r="P98" s="1">
        <f t="shared" si="18"/>
        <v>59.4</v>
      </c>
      <c r="Q98" s="19">
        <f t="shared" ref="Q98" si="23">15*P98-O98-F98</f>
        <v>128</v>
      </c>
      <c r="R98" s="22">
        <v>300</v>
      </c>
      <c r="S98" s="1">
        <f t="shared" si="19"/>
        <v>15</v>
      </c>
      <c r="T98" s="1">
        <f t="shared" si="20"/>
        <v>12.845117845117846</v>
      </c>
      <c r="U98" s="1">
        <v>56</v>
      </c>
      <c r="V98" s="1">
        <v>65.8</v>
      </c>
      <c r="W98" s="1">
        <v>74.2</v>
      </c>
      <c r="X98" s="1">
        <v>30.6</v>
      </c>
      <c r="Y98" s="1">
        <v>63.6</v>
      </c>
      <c r="Z98" s="1">
        <v>73.599999999999994</v>
      </c>
      <c r="AA98" s="1">
        <v>36.200000000000003</v>
      </c>
      <c r="AB98" s="1">
        <v>50</v>
      </c>
      <c r="AC98" s="1">
        <v>47.8</v>
      </c>
      <c r="AD98" s="1">
        <v>36</v>
      </c>
      <c r="AE98" s="1"/>
      <c r="AF98" s="1"/>
      <c r="AG98" s="1">
        <f t="shared" si="22"/>
        <v>12.8</v>
      </c>
      <c r="AH98" s="1">
        <f t="shared" si="21"/>
        <v>30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144</v>
      </c>
      <c r="B99" s="1" t="s">
        <v>38</v>
      </c>
      <c r="C99" s="1">
        <v>197</v>
      </c>
      <c r="D99" s="1">
        <v>141</v>
      </c>
      <c r="E99" s="1">
        <v>114</v>
      </c>
      <c r="F99" s="1">
        <v>194</v>
      </c>
      <c r="G99" s="6">
        <v>0.4</v>
      </c>
      <c r="H99" s="1">
        <v>60</v>
      </c>
      <c r="I99" s="1" t="s">
        <v>35</v>
      </c>
      <c r="J99" s="1"/>
      <c r="K99" s="1">
        <v>139</v>
      </c>
      <c r="L99" s="1">
        <f t="shared" si="17"/>
        <v>-25</v>
      </c>
      <c r="M99" s="1"/>
      <c r="N99" s="1"/>
      <c r="O99" s="1">
        <v>220</v>
      </c>
      <c r="P99" s="1">
        <f t="shared" si="18"/>
        <v>22.8</v>
      </c>
      <c r="Q99" s="19"/>
      <c r="R99" s="22">
        <v>250</v>
      </c>
      <c r="S99" s="1">
        <f t="shared" si="19"/>
        <v>18.157894736842106</v>
      </c>
      <c r="T99" s="1">
        <f t="shared" si="20"/>
        <v>18.157894736842106</v>
      </c>
      <c r="U99" s="1">
        <v>29.2</v>
      </c>
      <c r="V99" s="1">
        <v>34.799999999999997</v>
      </c>
      <c r="W99" s="1">
        <v>28.4</v>
      </c>
      <c r="X99" s="1">
        <v>30.2</v>
      </c>
      <c r="Y99" s="1">
        <v>28.8</v>
      </c>
      <c r="Z99" s="1">
        <v>34.4</v>
      </c>
      <c r="AA99" s="1">
        <v>19.8</v>
      </c>
      <c r="AB99" s="1">
        <v>30</v>
      </c>
      <c r="AC99" s="1">
        <v>20.8</v>
      </c>
      <c r="AD99" s="1">
        <v>25.2</v>
      </c>
      <c r="AE99" s="1"/>
      <c r="AF99" s="1" t="s">
        <v>145</v>
      </c>
      <c r="AG99" s="1">
        <f t="shared" si="22"/>
        <v>0</v>
      </c>
      <c r="AH99" s="1">
        <f t="shared" si="21"/>
        <v>100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146</v>
      </c>
      <c r="B100" s="1" t="s">
        <v>38</v>
      </c>
      <c r="C100" s="1">
        <v>137</v>
      </c>
      <c r="D100" s="1"/>
      <c r="E100" s="1">
        <v>25</v>
      </c>
      <c r="F100" s="1">
        <v>67</v>
      </c>
      <c r="G100" s="6">
        <v>0.1</v>
      </c>
      <c r="H100" s="1"/>
      <c r="I100" s="1" t="s">
        <v>35</v>
      </c>
      <c r="J100" s="1"/>
      <c r="K100" s="1">
        <v>39</v>
      </c>
      <c r="L100" s="1">
        <f t="shared" si="17"/>
        <v>-14</v>
      </c>
      <c r="M100" s="1"/>
      <c r="N100" s="1"/>
      <c r="O100" s="1">
        <v>13</v>
      </c>
      <c r="P100" s="1">
        <f t="shared" si="18"/>
        <v>5</v>
      </c>
      <c r="Q100" s="19"/>
      <c r="R100" s="22">
        <v>30</v>
      </c>
      <c r="S100" s="1">
        <f t="shared" si="19"/>
        <v>16</v>
      </c>
      <c r="T100" s="1">
        <f t="shared" si="20"/>
        <v>16</v>
      </c>
      <c r="U100" s="1">
        <v>9.6</v>
      </c>
      <c r="V100" s="1">
        <v>6</v>
      </c>
      <c r="W100" s="1">
        <v>18.399999999999999</v>
      </c>
      <c r="X100" s="1">
        <v>14.6</v>
      </c>
      <c r="Y100" s="1">
        <v>15.4</v>
      </c>
      <c r="Z100" s="1">
        <v>8.4</v>
      </c>
      <c r="AA100" s="1">
        <v>10.8</v>
      </c>
      <c r="AB100" s="1">
        <v>0</v>
      </c>
      <c r="AC100" s="1">
        <v>0</v>
      </c>
      <c r="AD100" s="1">
        <v>0</v>
      </c>
      <c r="AE100" s="1"/>
      <c r="AF100" s="1"/>
      <c r="AG100" s="1">
        <f t="shared" si="22"/>
        <v>0</v>
      </c>
      <c r="AH100" s="1">
        <f t="shared" si="21"/>
        <v>3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147</v>
      </c>
      <c r="B101" s="1" t="s">
        <v>38</v>
      </c>
      <c r="C101" s="1">
        <v>23</v>
      </c>
      <c r="D101" s="1">
        <v>160</v>
      </c>
      <c r="E101" s="1">
        <v>38</v>
      </c>
      <c r="F101" s="1">
        <v>125</v>
      </c>
      <c r="G101" s="6">
        <v>0.1</v>
      </c>
      <c r="H101" s="1"/>
      <c r="I101" s="1" t="s">
        <v>35</v>
      </c>
      <c r="J101" s="1"/>
      <c r="K101" s="1">
        <v>46</v>
      </c>
      <c r="L101" s="1">
        <f t="shared" si="17"/>
        <v>-8</v>
      </c>
      <c r="M101" s="1"/>
      <c r="N101" s="1"/>
      <c r="O101" s="1">
        <v>7</v>
      </c>
      <c r="P101" s="1">
        <f t="shared" si="18"/>
        <v>7.6</v>
      </c>
      <c r="Q101" s="19"/>
      <c r="R101" s="22"/>
      <c r="S101" s="1">
        <f t="shared" si="19"/>
        <v>17.368421052631579</v>
      </c>
      <c r="T101" s="1">
        <f t="shared" si="20"/>
        <v>17.368421052631579</v>
      </c>
      <c r="U101" s="1">
        <v>12.6</v>
      </c>
      <c r="V101" s="1">
        <v>21.6</v>
      </c>
      <c r="W101" s="1">
        <v>14</v>
      </c>
      <c r="X101" s="1">
        <v>15.6</v>
      </c>
      <c r="Y101" s="1">
        <v>20</v>
      </c>
      <c r="Z101" s="1">
        <v>7</v>
      </c>
      <c r="AA101" s="1">
        <v>11.8</v>
      </c>
      <c r="AB101" s="1">
        <v>0</v>
      </c>
      <c r="AC101" s="1">
        <v>0</v>
      </c>
      <c r="AD101" s="1">
        <v>0</v>
      </c>
      <c r="AE101" s="1"/>
      <c r="AF101" s="1"/>
      <c r="AG101" s="1">
        <f t="shared" si="22"/>
        <v>0</v>
      </c>
      <c r="AH101" s="1">
        <f t="shared" si="21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148</v>
      </c>
      <c r="B102" s="1" t="s">
        <v>38</v>
      </c>
      <c r="C102" s="1"/>
      <c r="D102" s="1"/>
      <c r="E102" s="1"/>
      <c r="F102" s="1"/>
      <c r="G102" s="6">
        <v>0.3</v>
      </c>
      <c r="H102" s="1">
        <v>45</v>
      </c>
      <c r="I102" s="1" t="s">
        <v>35</v>
      </c>
      <c r="J102" s="1"/>
      <c r="K102" s="1">
        <v>3</v>
      </c>
      <c r="L102" s="1">
        <f t="shared" ref="L102:L104" si="24">E102-K102</f>
        <v>-3</v>
      </c>
      <c r="M102" s="1"/>
      <c r="N102" s="1"/>
      <c r="O102" s="1">
        <v>80</v>
      </c>
      <c r="P102" s="1">
        <f t="shared" si="18"/>
        <v>0</v>
      </c>
      <c r="Q102" s="19"/>
      <c r="R102" s="22">
        <v>80</v>
      </c>
      <c r="S102" s="1" t="e">
        <f t="shared" ref="S102:S104" si="25">(F102+O102+Q102)/P102</f>
        <v>#DIV/0!</v>
      </c>
      <c r="T102" s="1" t="e">
        <f t="shared" si="20"/>
        <v>#DIV/0!</v>
      </c>
      <c r="U102" s="1">
        <v>8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 t="s">
        <v>149</v>
      </c>
      <c r="AG102" s="1">
        <f t="shared" si="22"/>
        <v>0</v>
      </c>
      <c r="AH102" s="1">
        <f t="shared" si="21"/>
        <v>24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2" t="s">
        <v>150</v>
      </c>
      <c r="B103" s="12" t="s">
        <v>38</v>
      </c>
      <c r="C103" s="12">
        <v>861</v>
      </c>
      <c r="D103" s="12">
        <v>12</v>
      </c>
      <c r="E103" s="12">
        <v>621</v>
      </c>
      <c r="F103" s="12">
        <v>149</v>
      </c>
      <c r="G103" s="13">
        <v>0</v>
      </c>
      <c r="H103" s="12"/>
      <c r="I103" s="12" t="s">
        <v>151</v>
      </c>
      <c r="J103" s="12"/>
      <c r="K103" s="12">
        <v>633</v>
      </c>
      <c r="L103" s="12">
        <f t="shared" si="24"/>
        <v>-12</v>
      </c>
      <c r="M103" s="12"/>
      <c r="N103" s="12"/>
      <c r="O103" s="12">
        <v>0</v>
      </c>
      <c r="P103" s="12">
        <f t="shared" si="18"/>
        <v>124.2</v>
      </c>
      <c r="Q103" s="21"/>
      <c r="R103" s="24"/>
      <c r="S103" s="12">
        <f t="shared" si="25"/>
        <v>1.1996779388083736</v>
      </c>
      <c r="T103" s="12">
        <f t="shared" si="20"/>
        <v>1.1996779388083736</v>
      </c>
      <c r="U103" s="12">
        <v>27.8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/>
      <c r="AF103" s="8" t="s">
        <v>152</v>
      </c>
      <c r="AG103" s="12"/>
      <c r="AH103" s="1">
        <f t="shared" si="21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153</v>
      </c>
      <c r="B104" s="1" t="s">
        <v>34</v>
      </c>
      <c r="C104" s="1">
        <v>39.509</v>
      </c>
      <c r="D104" s="1">
        <v>21.411999999999999</v>
      </c>
      <c r="E104" s="1">
        <v>26.498000000000001</v>
      </c>
      <c r="F104" s="1">
        <v>33.094000000000001</v>
      </c>
      <c r="G104" s="6">
        <v>1</v>
      </c>
      <c r="H104" s="1"/>
      <c r="I104" s="1" t="s">
        <v>35</v>
      </c>
      <c r="J104" s="1"/>
      <c r="K104" s="1">
        <v>26.1</v>
      </c>
      <c r="L104" s="1">
        <f t="shared" si="24"/>
        <v>0.39799999999999969</v>
      </c>
      <c r="M104" s="1"/>
      <c r="N104" s="1"/>
      <c r="O104" s="1">
        <v>50</v>
      </c>
      <c r="P104" s="1">
        <f t="shared" si="18"/>
        <v>5.2995999999999999</v>
      </c>
      <c r="Q104" s="19"/>
      <c r="R104" s="22">
        <v>80</v>
      </c>
      <c r="S104" s="1">
        <f t="shared" si="25"/>
        <v>15.67929655068307</v>
      </c>
      <c r="T104" s="1">
        <f t="shared" si="20"/>
        <v>15.67929655068307</v>
      </c>
      <c r="U104" s="1">
        <v>4.2118000000000002</v>
      </c>
      <c r="V104" s="1">
        <v>5.5704000000000002</v>
      </c>
      <c r="W104" s="1">
        <v>1.3280000000000001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/>
      <c r="AF104" s="1" t="s">
        <v>110</v>
      </c>
      <c r="AG104" s="1">
        <f>G104*Q104</f>
        <v>0</v>
      </c>
      <c r="AH104" s="1">
        <f t="shared" si="21"/>
        <v>80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G10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2026-09-21T13:47:19Z</dcterms:created>
  <dcterms:modified xsi:type="dcterms:W3CDTF">2026-09-23T12:36:41Z</dcterms:modified>
</cp:coreProperties>
</file>