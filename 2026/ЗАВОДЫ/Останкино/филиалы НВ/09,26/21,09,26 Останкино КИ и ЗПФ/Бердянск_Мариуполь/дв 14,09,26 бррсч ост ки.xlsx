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C41AC284-7002-49E9-BFC4-615FB04BC1F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Sheet!$A$3:$AI$119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81" i="1" l="1"/>
  <c r="AL80" i="1"/>
  <c r="AL70" i="1"/>
  <c r="AL59" i="1"/>
  <c r="AL38" i="1"/>
  <c r="AL37" i="1"/>
  <c r="AK105" i="1"/>
  <c r="AL105" i="1" s="1"/>
  <c r="AK88" i="1"/>
  <c r="AL88" i="1" s="1"/>
  <c r="AK80" i="1"/>
  <c r="AK79" i="1"/>
  <c r="AL79" i="1" s="1"/>
  <c r="AK78" i="1"/>
  <c r="AL78" i="1" s="1"/>
  <c r="AK76" i="1"/>
  <c r="AL76" i="1" s="1"/>
  <c r="AK70" i="1"/>
  <c r="AK68" i="1"/>
  <c r="AL68" i="1" s="1"/>
  <c r="AK67" i="1"/>
  <c r="AL67" i="1" s="1"/>
  <c r="AK66" i="1"/>
  <c r="AL66" i="1" s="1"/>
  <c r="AK58" i="1"/>
  <c r="AL58" i="1" s="1"/>
  <c r="AK56" i="1"/>
  <c r="AL56" i="1" s="1"/>
  <c r="AK53" i="1"/>
  <c r="AL53" i="1" s="1"/>
  <c r="AK49" i="1"/>
  <c r="AL49" i="1" s="1"/>
  <c r="AK48" i="1"/>
  <c r="AL48" i="1" s="1"/>
  <c r="AK46" i="1"/>
  <c r="AL46" i="1" s="1"/>
  <c r="AK45" i="1"/>
  <c r="AL45" i="1" s="1"/>
  <c r="AK44" i="1"/>
  <c r="AL44" i="1" s="1"/>
  <c r="AK42" i="1"/>
  <c r="AL42" i="1" s="1"/>
  <c r="AK40" i="1"/>
  <c r="AK30" i="1"/>
  <c r="AK20" i="1"/>
  <c r="AL20" i="1" s="1"/>
  <c r="AK15" i="1"/>
  <c r="AL15" i="1" s="1"/>
  <c r="AK13" i="1"/>
  <c r="AL13" i="1" s="1"/>
  <c r="AK10" i="1"/>
  <c r="AL10" i="1" s="1"/>
  <c r="AK8" i="1"/>
  <c r="AL8" i="1" s="1"/>
  <c r="AI102" i="1"/>
  <c r="AI97" i="1"/>
  <c r="AI23" i="1"/>
  <c r="T8" i="1"/>
  <c r="AI8" i="1" s="1"/>
  <c r="T9" i="1"/>
  <c r="AI9" i="1" s="1"/>
  <c r="T10" i="1"/>
  <c r="AI10" i="1" s="1"/>
  <c r="T11" i="1"/>
  <c r="AI11" i="1" s="1"/>
  <c r="T12" i="1"/>
  <c r="AI12" i="1" s="1"/>
  <c r="T13" i="1"/>
  <c r="AI13" i="1" s="1"/>
  <c r="T14" i="1"/>
  <c r="AI14" i="1" s="1"/>
  <c r="T19" i="1"/>
  <c r="AI19" i="1" s="1"/>
  <c r="AI20" i="1"/>
  <c r="AI21" i="1"/>
  <c r="T24" i="1"/>
  <c r="AI24" i="1" s="1"/>
  <c r="T25" i="1"/>
  <c r="AI25" i="1" s="1"/>
  <c r="T27" i="1"/>
  <c r="AI27" i="1" s="1"/>
  <c r="T29" i="1"/>
  <c r="AI29" i="1" s="1"/>
  <c r="T33" i="1"/>
  <c r="AI33" i="1" s="1"/>
  <c r="T34" i="1"/>
  <c r="AI34" i="1" s="1"/>
  <c r="T35" i="1"/>
  <c r="AI35" i="1" s="1"/>
  <c r="T36" i="1"/>
  <c r="AI36" i="1" s="1"/>
  <c r="T37" i="1"/>
  <c r="AI37" i="1" s="1"/>
  <c r="T38" i="1"/>
  <c r="AI38" i="1" s="1"/>
  <c r="T40" i="1"/>
  <c r="AI40" i="1" s="1"/>
  <c r="T41" i="1"/>
  <c r="AI41" i="1" s="1"/>
  <c r="T42" i="1"/>
  <c r="AI42" i="1" s="1"/>
  <c r="T44" i="1"/>
  <c r="AI44" i="1" s="1"/>
  <c r="T45" i="1"/>
  <c r="AI45" i="1" s="1"/>
  <c r="T47" i="1"/>
  <c r="AI47" i="1" s="1"/>
  <c r="T50" i="1"/>
  <c r="AI50" i="1" s="1"/>
  <c r="T51" i="1"/>
  <c r="AI51" i="1" s="1"/>
  <c r="T52" i="1"/>
  <c r="AI52" i="1" s="1"/>
  <c r="T55" i="1"/>
  <c r="AI55" i="1" s="1"/>
  <c r="AI56" i="1"/>
  <c r="T57" i="1"/>
  <c r="AI57" i="1" s="1"/>
  <c r="T59" i="1"/>
  <c r="AI59" i="1" s="1"/>
  <c r="T61" i="1"/>
  <c r="AI61" i="1" s="1"/>
  <c r="T62" i="1"/>
  <c r="AI62" i="1" s="1"/>
  <c r="T63" i="1"/>
  <c r="AI63" i="1" s="1"/>
  <c r="T65" i="1"/>
  <c r="AI65" i="1" s="1"/>
  <c r="T69" i="1"/>
  <c r="AI69" i="1" s="1"/>
  <c r="T70" i="1"/>
  <c r="AI70" i="1" s="1"/>
  <c r="T71" i="1"/>
  <c r="AI71" i="1" s="1"/>
  <c r="T74" i="1"/>
  <c r="AI74" i="1" s="1"/>
  <c r="T75" i="1"/>
  <c r="AI75" i="1" s="1"/>
  <c r="T77" i="1"/>
  <c r="AI77" i="1" s="1"/>
  <c r="T81" i="1"/>
  <c r="AI81" i="1" s="1"/>
  <c r="T83" i="1"/>
  <c r="AI83" i="1" s="1"/>
  <c r="T84" i="1"/>
  <c r="AI84" i="1" s="1"/>
  <c r="T86" i="1"/>
  <c r="AI86" i="1" s="1"/>
  <c r="T87" i="1"/>
  <c r="AI87" i="1" s="1"/>
  <c r="T88" i="1"/>
  <c r="AI88" i="1" s="1"/>
  <c r="T89" i="1"/>
  <c r="AI89" i="1" s="1"/>
  <c r="T91" i="1"/>
  <c r="AI91" i="1" s="1"/>
  <c r="T92" i="1"/>
  <c r="AI92" i="1" s="1"/>
  <c r="T93" i="1"/>
  <c r="AI93" i="1" s="1"/>
  <c r="T94" i="1"/>
  <c r="AI94" i="1" s="1"/>
  <c r="T95" i="1"/>
  <c r="AI95" i="1" s="1"/>
  <c r="AI96" i="1"/>
  <c r="AI100" i="1"/>
  <c r="T105" i="1"/>
  <c r="AI105" i="1" s="1"/>
  <c r="T106" i="1"/>
  <c r="AI106" i="1" s="1"/>
  <c r="T108" i="1"/>
  <c r="AI108" i="1" s="1"/>
  <c r="T109" i="1"/>
  <c r="AI109" i="1" s="1"/>
  <c r="T110" i="1"/>
  <c r="AI110" i="1" s="1"/>
  <c r="T111" i="1"/>
  <c r="AI111" i="1" s="1"/>
  <c r="T114" i="1"/>
  <c r="AI114" i="1" s="1"/>
  <c r="T116" i="1"/>
  <c r="AI116" i="1" s="1"/>
  <c r="T117" i="1"/>
  <c r="AI117" i="1" s="1"/>
  <c r="T118" i="1"/>
  <c r="AI118" i="1" s="1"/>
  <c r="T119" i="1"/>
  <c r="AI119" i="1" s="1"/>
  <c r="U7" i="1"/>
  <c r="T7" i="1" s="1"/>
  <c r="AI7" i="1" s="1"/>
  <c r="U15" i="1"/>
  <c r="U16" i="1"/>
  <c r="T16" i="1" s="1"/>
  <c r="AI16" i="1" s="1"/>
  <c r="U17" i="1"/>
  <c r="T17" i="1" s="1"/>
  <c r="U20" i="1"/>
  <c r="U21" i="1"/>
  <c r="U22" i="1"/>
  <c r="T22" i="1" s="1"/>
  <c r="U23" i="1"/>
  <c r="U32" i="1"/>
  <c r="T32" i="1" s="1"/>
  <c r="U56" i="1"/>
  <c r="U58" i="1"/>
  <c r="T58" i="1" s="1"/>
  <c r="U60" i="1"/>
  <c r="T60" i="1" s="1"/>
  <c r="AI60" i="1" s="1"/>
  <c r="U66" i="1"/>
  <c r="T66" i="1" s="1"/>
  <c r="U76" i="1"/>
  <c r="T76" i="1" s="1"/>
  <c r="U78" i="1"/>
  <c r="T78" i="1" s="1"/>
  <c r="U79" i="1"/>
  <c r="T79" i="1" s="1"/>
  <c r="U80" i="1"/>
  <c r="T80" i="1" s="1"/>
  <c r="U90" i="1"/>
  <c r="U96" i="1"/>
  <c r="U97" i="1"/>
  <c r="U99" i="1"/>
  <c r="U100" i="1"/>
  <c r="U101" i="1"/>
  <c r="T101" i="1" s="1"/>
  <c r="AI101" i="1" s="1"/>
  <c r="U102" i="1"/>
  <c r="U103" i="1"/>
  <c r="T103" i="1" s="1"/>
  <c r="AI103" i="1" s="1"/>
  <c r="O119" i="1" l="1"/>
  <c r="R119" i="1" s="1"/>
  <c r="AJ119" i="1" s="1"/>
  <c r="N119" i="1"/>
  <c r="H119" i="1"/>
  <c r="V119" i="1" s="1"/>
  <c r="O118" i="1"/>
  <c r="R118" i="1" s="1"/>
  <c r="AJ118" i="1" s="1"/>
  <c r="N118" i="1"/>
  <c r="H118" i="1"/>
  <c r="V118" i="1" s="1"/>
  <c r="O117" i="1"/>
  <c r="R117" i="1" s="1"/>
  <c r="AJ117" i="1" s="1"/>
  <c r="N117" i="1"/>
  <c r="H117" i="1"/>
  <c r="V117" i="1" s="1"/>
  <c r="O116" i="1"/>
  <c r="R116" i="1" s="1"/>
  <c r="AJ116" i="1" s="1"/>
  <c r="N116" i="1"/>
  <c r="H116" i="1"/>
  <c r="O115" i="1"/>
  <c r="R115" i="1" s="1"/>
  <c r="AJ115" i="1" s="1"/>
  <c r="N115" i="1"/>
  <c r="H115" i="1"/>
  <c r="O114" i="1"/>
  <c r="R114" i="1" s="1"/>
  <c r="AJ114" i="1" s="1"/>
  <c r="N114" i="1"/>
  <c r="H114" i="1"/>
  <c r="V114" i="1" s="1"/>
  <c r="O113" i="1"/>
  <c r="R113" i="1" s="1"/>
  <c r="AJ113" i="1" s="1"/>
  <c r="N113" i="1"/>
  <c r="F113" i="1"/>
  <c r="H113" i="1" s="1"/>
  <c r="O112" i="1"/>
  <c r="R112" i="1" s="1"/>
  <c r="AJ112" i="1" s="1"/>
  <c r="N112" i="1"/>
  <c r="H112" i="1"/>
  <c r="O111" i="1"/>
  <c r="R111" i="1" s="1"/>
  <c r="AJ111" i="1" s="1"/>
  <c r="N111" i="1"/>
  <c r="H111" i="1"/>
  <c r="V111" i="1" s="1"/>
  <c r="O110" i="1"/>
  <c r="R110" i="1" s="1"/>
  <c r="AJ110" i="1" s="1"/>
  <c r="N110" i="1"/>
  <c r="H110" i="1"/>
  <c r="V110" i="1" s="1"/>
  <c r="O109" i="1"/>
  <c r="R109" i="1" s="1"/>
  <c r="AJ109" i="1" s="1"/>
  <c r="N109" i="1"/>
  <c r="H109" i="1"/>
  <c r="O108" i="1"/>
  <c r="R108" i="1" s="1"/>
  <c r="AJ108" i="1" s="1"/>
  <c r="N108" i="1"/>
  <c r="H108" i="1"/>
  <c r="V108" i="1" s="1"/>
  <c r="O107" i="1"/>
  <c r="R107" i="1" s="1"/>
  <c r="AJ107" i="1" s="1"/>
  <c r="N107" i="1"/>
  <c r="H107" i="1"/>
  <c r="O106" i="1"/>
  <c r="R106" i="1" s="1"/>
  <c r="AJ106" i="1" s="1"/>
  <c r="N106" i="1"/>
  <c r="H106" i="1"/>
  <c r="O105" i="1"/>
  <c r="R105" i="1" s="1"/>
  <c r="AJ105" i="1" s="1"/>
  <c r="N105" i="1"/>
  <c r="H105" i="1"/>
  <c r="O104" i="1"/>
  <c r="R104" i="1" s="1"/>
  <c r="AJ104" i="1" s="1"/>
  <c r="N104" i="1"/>
  <c r="H104" i="1"/>
  <c r="O103" i="1"/>
  <c r="R103" i="1" s="1"/>
  <c r="AJ103" i="1" s="1"/>
  <c r="N103" i="1"/>
  <c r="H103" i="1"/>
  <c r="O102" i="1"/>
  <c r="R102" i="1" s="1"/>
  <c r="AJ102" i="1" s="1"/>
  <c r="N102" i="1"/>
  <c r="H102" i="1"/>
  <c r="V102" i="1" s="1"/>
  <c r="O101" i="1"/>
  <c r="R101" i="1" s="1"/>
  <c r="AJ101" i="1" s="1"/>
  <c r="N101" i="1"/>
  <c r="H101" i="1"/>
  <c r="V101" i="1" s="1"/>
  <c r="O100" i="1"/>
  <c r="R100" i="1" s="1"/>
  <c r="AJ100" i="1" s="1"/>
  <c r="N100" i="1"/>
  <c r="H100" i="1"/>
  <c r="O99" i="1"/>
  <c r="R99" i="1" s="1"/>
  <c r="AJ99" i="1" s="1"/>
  <c r="N99" i="1"/>
  <c r="H99" i="1"/>
  <c r="O98" i="1"/>
  <c r="R98" i="1" s="1"/>
  <c r="AJ98" i="1" s="1"/>
  <c r="N98" i="1"/>
  <c r="F98" i="1"/>
  <c r="H98" i="1" s="1"/>
  <c r="O97" i="1"/>
  <c r="R97" i="1" s="1"/>
  <c r="AJ97" i="1" s="1"/>
  <c r="N97" i="1"/>
  <c r="H97" i="1"/>
  <c r="V97" i="1" s="1"/>
  <c r="O96" i="1"/>
  <c r="R96" i="1" s="1"/>
  <c r="AJ96" i="1" s="1"/>
  <c r="N96" i="1"/>
  <c r="H96" i="1"/>
  <c r="O95" i="1"/>
  <c r="R95" i="1" s="1"/>
  <c r="AJ95" i="1" s="1"/>
  <c r="N95" i="1"/>
  <c r="H95" i="1"/>
  <c r="O94" i="1"/>
  <c r="R94" i="1" s="1"/>
  <c r="AJ94" i="1" s="1"/>
  <c r="N94" i="1"/>
  <c r="H94" i="1"/>
  <c r="V94" i="1" s="1"/>
  <c r="O93" i="1"/>
  <c r="R93" i="1" s="1"/>
  <c r="AJ93" i="1" s="1"/>
  <c r="N93" i="1"/>
  <c r="H93" i="1"/>
  <c r="O92" i="1"/>
  <c r="R92" i="1" s="1"/>
  <c r="AJ92" i="1" s="1"/>
  <c r="N92" i="1"/>
  <c r="H92" i="1"/>
  <c r="V92" i="1" s="1"/>
  <c r="O91" i="1"/>
  <c r="R91" i="1" s="1"/>
  <c r="AJ91" i="1" s="1"/>
  <c r="N91" i="1"/>
  <c r="H91" i="1"/>
  <c r="V91" i="1" s="1"/>
  <c r="O90" i="1"/>
  <c r="R90" i="1" s="1"/>
  <c r="AJ90" i="1" s="1"/>
  <c r="N90" i="1"/>
  <c r="H90" i="1"/>
  <c r="O89" i="1"/>
  <c r="R89" i="1" s="1"/>
  <c r="AJ89" i="1" s="1"/>
  <c r="N89" i="1"/>
  <c r="H89" i="1"/>
  <c r="O88" i="1"/>
  <c r="R88" i="1" s="1"/>
  <c r="AJ88" i="1" s="1"/>
  <c r="N88" i="1"/>
  <c r="H88" i="1"/>
  <c r="V88" i="1" s="1"/>
  <c r="O87" i="1"/>
  <c r="R87" i="1" s="1"/>
  <c r="AJ87" i="1" s="1"/>
  <c r="N87" i="1"/>
  <c r="H87" i="1"/>
  <c r="O86" i="1"/>
  <c r="R86" i="1" s="1"/>
  <c r="AJ86" i="1" s="1"/>
  <c r="N86" i="1"/>
  <c r="H86" i="1"/>
  <c r="O85" i="1"/>
  <c r="R85" i="1" s="1"/>
  <c r="AJ85" i="1" s="1"/>
  <c r="N85" i="1"/>
  <c r="H85" i="1"/>
  <c r="O84" i="1"/>
  <c r="R84" i="1" s="1"/>
  <c r="AJ84" i="1" s="1"/>
  <c r="N84" i="1"/>
  <c r="H84" i="1"/>
  <c r="O83" i="1"/>
  <c r="R83" i="1" s="1"/>
  <c r="AJ83" i="1" s="1"/>
  <c r="N83" i="1"/>
  <c r="H83" i="1"/>
  <c r="O82" i="1"/>
  <c r="R82" i="1" s="1"/>
  <c r="AJ82" i="1" s="1"/>
  <c r="N82" i="1"/>
  <c r="H82" i="1"/>
  <c r="O81" i="1"/>
  <c r="R81" i="1" s="1"/>
  <c r="AJ81" i="1" s="1"/>
  <c r="N81" i="1"/>
  <c r="H81" i="1"/>
  <c r="V81" i="1" s="1"/>
  <c r="O80" i="1"/>
  <c r="R80" i="1" s="1"/>
  <c r="AJ80" i="1" s="1"/>
  <c r="N80" i="1"/>
  <c r="H80" i="1"/>
  <c r="O79" i="1"/>
  <c r="R79" i="1" s="1"/>
  <c r="AJ79" i="1" s="1"/>
  <c r="N79" i="1"/>
  <c r="H79" i="1"/>
  <c r="O78" i="1"/>
  <c r="R78" i="1" s="1"/>
  <c r="AJ78" i="1" s="1"/>
  <c r="N78" i="1"/>
  <c r="H78" i="1"/>
  <c r="O77" i="1"/>
  <c r="R77" i="1" s="1"/>
  <c r="AJ77" i="1" s="1"/>
  <c r="N77" i="1"/>
  <c r="H77" i="1"/>
  <c r="V77" i="1" s="1"/>
  <c r="O76" i="1"/>
  <c r="R76" i="1" s="1"/>
  <c r="AJ76" i="1" s="1"/>
  <c r="N76" i="1"/>
  <c r="F76" i="1"/>
  <c r="H76" i="1" s="1"/>
  <c r="O75" i="1"/>
  <c r="R75" i="1" s="1"/>
  <c r="AJ75" i="1" s="1"/>
  <c r="N75" i="1"/>
  <c r="H75" i="1"/>
  <c r="O74" i="1"/>
  <c r="R74" i="1" s="1"/>
  <c r="AJ74" i="1" s="1"/>
  <c r="N74" i="1"/>
  <c r="H74" i="1"/>
  <c r="V74" i="1" s="1"/>
  <c r="O73" i="1"/>
  <c r="R73" i="1" s="1"/>
  <c r="AJ73" i="1" s="1"/>
  <c r="N73" i="1"/>
  <c r="H73" i="1"/>
  <c r="O72" i="1"/>
  <c r="R72" i="1" s="1"/>
  <c r="AJ72" i="1" s="1"/>
  <c r="N72" i="1"/>
  <c r="H72" i="1"/>
  <c r="O71" i="1"/>
  <c r="R71" i="1" s="1"/>
  <c r="AJ71" i="1" s="1"/>
  <c r="N71" i="1"/>
  <c r="H71" i="1"/>
  <c r="V71" i="1" s="1"/>
  <c r="O70" i="1"/>
  <c r="R70" i="1" s="1"/>
  <c r="AJ70" i="1" s="1"/>
  <c r="N70" i="1"/>
  <c r="H70" i="1"/>
  <c r="V70" i="1" s="1"/>
  <c r="O69" i="1"/>
  <c r="R69" i="1" s="1"/>
  <c r="AJ69" i="1" s="1"/>
  <c r="N69" i="1"/>
  <c r="H69" i="1"/>
  <c r="O68" i="1"/>
  <c r="R68" i="1" s="1"/>
  <c r="AJ68" i="1" s="1"/>
  <c r="N68" i="1"/>
  <c r="H68" i="1"/>
  <c r="O67" i="1"/>
  <c r="R67" i="1" s="1"/>
  <c r="AJ67" i="1" s="1"/>
  <c r="N67" i="1"/>
  <c r="H67" i="1"/>
  <c r="O66" i="1"/>
  <c r="R66" i="1" s="1"/>
  <c r="AJ66" i="1" s="1"/>
  <c r="N66" i="1"/>
  <c r="H66" i="1"/>
  <c r="O65" i="1"/>
  <c r="R65" i="1" s="1"/>
  <c r="AJ65" i="1" s="1"/>
  <c r="N65" i="1"/>
  <c r="H65" i="1"/>
  <c r="V65" i="1" s="1"/>
  <c r="O64" i="1"/>
  <c r="R64" i="1" s="1"/>
  <c r="AJ64" i="1" s="1"/>
  <c r="N64" i="1"/>
  <c r="H64" i="1"/>
  <c r="O63" i="1"/>
  <c r="R63" i="1" s="1"/>
  <c r="AJ63" i="1" s="1"/>
  <c r="N63" i="1"/>
  <c r="H63" i="1"/>
  <c r="O62" i="1"/>
  <c r="R62" i="1" s="1"/>
  <c r="AJ62" i="1" s="1"/>
  <c r="N62" i="1"/>
  <c r="H62" i="1"/>
  <c r="O61" i="1"/>
  <c r="R61" i="1" s="1"/>
  <c r="AJ61" i="1" s="1"/>
  <c r="N61" i="1"/>
  <c r="H61" i="1"/>
  <c r="V61" i="1" s="1"/>
  <c r="O60" i="1"/>
  <c r="R60" i="1" s="1"/>
  <c r="AJ60" i="1" s="1"/>
  <c r="N60" i="1"/>
  <c r="H60" i="1"/>
  <c r="V60" i="1" s="1"/>
  <c r="O59" i="1"/>
  <c r="R59" i="1" s="1"/>
  <c r="AJ59" i="1" s="1"/>
  <c r="N59" i="1"/>
  <c r="H59" i="1"/>
  <c r="V59" i="1" s="1"/>
  <c r="O58" i="1"/>
  <c r="R58" i="1" s="1"/>
  <c r="AJ58" i="1" s="1"/>
  <c r="N58" i="1"/>
  <c r="H58" i="1"/>
  <c r="O57" i="1"/>
  <c r="R57" i="1" s="1"/>
  <c r="AJ57" i="1" s="1"/>
  <c r="N57" i="1"/>
  <c r="H57" i="1"/>
  <c r="V57" i="1" s="1"/>
  <c r="O56" i="1"/>
  <c r="R56" i="1" s="1"/>
  <c r="AJ56" i="1" s="1"/>
  <c r="N56" i="1"/>
  <c r="H56" i="1"/>
  <c r="O55" i="1"/>
  <c r="R55" i="1" s="1"/>
  <c r="AJ55" i="1" s="1"/>
  <c r="N55" i="1"/>
  <c r="H55" i="1"/>
  <c r="O54" i="1"/>
  <c r="R54" i="1" s="1"/>
  <c r="AJ54" i="1" s="1"/>
  <c r="N54" i="1"/>
  <c r="H54" i="1"/>
  <c r="O53" i="1"/>
  <c r="R53" i="1" s="1"/>
  <c r="AJ53" i="1" s="1"/>
  <c r="N53" i="1"/>
  <c r="H53" i="1"/>
  <c r="O52" i="1"/>
  <c r="R52" i="1" s="1"/>
  <c r="AJ52" i="1" s="1"/>
  <c r="N52" i="1"/>
  <c r="H52" i="1"/>
  <c r="V52" i="1" s="1"/>
  <c r="O51" i="1"/>
  <c r="R51" i="1" s="1"/>
  <c r="AJ51" i="1" s="1"/>
  <c r="N51" i="1"/>
  <c r="H51" i="1"/>
  <c r="V51" i="1" s="1"/>
  <c r="O50" i="1"/>
  <c r="R50" i="1" s="1"/>
  <c r="AJ50" i="1" s="1"/>
  <c r="N50" i="1"/>
  <c r="H50" i="1"/>
  <c r="V50" i="1" s="1"/>
  <c r="O49" i="1"/>
  <c r="R49" i="1" s="1"/>
  <c r="AJ49" i="1" s="1"/>
  <c r="N49" i="1"/>
  <c r="H49" i="1"/>
  <c r="O48" i="1"/>
  <c r="R48" i="1" s="1"/>
  <c r="AJ48" i="1" s="1"/>
  <c r="N48" i="1"/>
  <c r="H48" i="1"/>
  <c r="O47" i="1"/>
  <c r="R47" i="1" s="1"/>
  <c r="AJ47" i="1" s="1"/>
  <c r="N47" i="1"/>
  <c r="H47" i="1"/>
  <c r="O46" i="1"/>
  <c r="R46" i="1" s="1"/>
  <c r="AJ46" i="1" s="1"/>
  <c r="N46" i="1"/>
  <c r="H46" i="1"/>
  <c r="O45" i="1"/>
  <c r="R45" i="1" s="1"/>
  <c r="AJ45" i="1" s="1"/>
  <c r="N45" i="1"/>
  <c r="H45" i="1"/>
  <c r="O44" i="1"/>
  <c r="R44" i="1" s="1"/>
  <c r="AJ44" i="1" s="1"/>
  <c r="N44" i="1"/>
  <c r="H44" i="1"/>
  <c r="O43" i="1"/>
  <c r="R43" i="1" s="1"/>
  <c r="AJ43" i="1" s="1"/>
  <c r="N43" i="1"/>
  <c r="H43" i="1"/>
  <c r="O42" i="1"/>
  <c r="R42" i="1" s="1"/>
  <c r="AJ42" i="1" s="1"/>
  <c r="N42" i="1"/>
  <c r="H42" i="1"/>
  <c r="O41" i="1"/>
  <c r="R41" i="1" s="1"/>
  <c r="AJ41" i="1" s="1"/>
  <c r="N41" i="1"/>
  <c r="H41" i="1"/>
  <c r="V41" i="1" s="1"/>
  <c r="O40" i="1"/>
  <c r="N40" i="1"/>
  <c r="G40" i="1"/>
  <c r="O39" i="1"/>
  <c r="R39" i="1" s="1"/>
  <c r="AJ39" i="1" s="1"/>
  <c r="N39" i="1"/>
  <c r="H39" i="1"/>
  <c r="O38" i="1"/>
  <c r="R38" i="1" s="1"/>
  <c r="AJ38" i="1" s="1"/>
  <c r="N38" i="1"/>
  <c r="H38" i="1"/>
  <c r="V38" i="1" s="1"/>
  <c r="O37" i="1"/>
  <c r="R37" i="1" s="1"/>
  <c r="AJ37" i="1" s="1"/>
  <c r="N37" i="1"/>
  <c r="H37" i="1"/>
  <c r="V37" i="1" s="1"/>
  <c r="O36" i="1"/>
  <c r="R36" i="1" s="1"/>
  <c r="AJ36" i="1" s="1"/>
  <c r="N36" i="1"/>
  <c r="H36" i="1"/>
  <c r="O35" i="1"/>
  <c r="R35" i="1" s="1"/>
  <c r="AJ35" i="1" s="1"/>
  <c r="N35" i="1"/>
  <c r="H35" i="1"/>
  <c r="O34" i="1"/>
  <c r="R34" i="1" s="1"/>
  <c r="AJ34" i="1" s="1"/>
  <c r="N34" i="1"/>
  <c r="H34" i="1"/>
  <c r="V34" i="1" s="1"/>
  <c r="O33" i="1"/>
  <c r="R33" i="1" s="1"/>
  <c r="AJ33" i="1" s="1"/>
  <c r="N33" i="1"/>
  <c r="H33" i="1"/>
  <c r="O32" i="1"/>
  <c r="R32" i="1" s="1"/>
  <c r="AJ32" i="1" s="1"/>
  <c r="N32" i="1"/>
  <c r="H32" i="1"/>
  <c r="O31" i="1"/>
  <c r="R31" i="1" s="1"/>
  <c r="AJ31" i="1" s="1"/>
  <c r="N31" i="1"/>
  <c r="H31" i="1"/>
  <c r="O30" i="1"/>
  <c r="R30" i="1" s="1"/>
  <c r="AJ30" i="1" s="1"/>
  <c r="N30" i="1"/>
  <c r="G30" i="1"/>
  <c r="O29" i="1"/>
  <c r="R29" i="1" s="1"/>
  <c r="AJ29" i="1" s="1"/>
  <c r="N29" i="1"/>
  <c r="H29" i="1"/>
  <c r="O28" i="1"/>
  <c r="R28" i="1" s="1"/>
  <c r="AJ28" i="1" s="1"/>
  <c r="N28" i="1"/>
  <c r="H28" i="1"/>
  <c r="O27" i="1"/>
  <c r="R27" i="1" s="1"/>
  <c r="AJ27" i="1" s="1"/>
  <c r="N27" i="1"/>
  <c r="H27" i="1"/>
  <c r="O26" i="1"/>
  <c r="R26" i="1" s="1"/>
  <c r="AJ26" i="1" s="1"/>
  <c r="N26" i="1"/>
  <c r="H26" i="1"/>
  <c r="O25" i="1"/>
  <c r="R25" i="1" s="1"/>
  <c r="AJ25" i="1" s="1"/>
  <c r="N25" i="1"/>
  <c r="H25" i="1"/>
  <c r="V25" i="1" s="1"/>
  <c r="O24" i="1"/>
  <c r="R24" i="1" s="1"/>
  <c r="AJ24" i="1" s="1"/>
  <c r="N24" i="1"/>
  <c r="H24" i="1"/>
  <c r="O23" i="1"/>
  <c r="R23" i="1" s="1"/>
  <c r="AJ23" i="1" s="1"/>
  <c r="N23" i="1"/>
  <c r="H23" i="1"/>
  <c r="O22" i="1"/>
  <c r="R22" i="1" s="1"/>
  <c r="AJ22" i="1" s="1"/>
  <c r="N22" i="1"/>
  <c r="H22" i="1"/>
  <c r="O21" i="1"/>
  <c r="R21" i="1" s="1"/>
  <c r="AJ21" i="1" s="1"/>
  <c r="N21" i="1"/>
  <c r="H21" i="1"/>
  <c r="V21" i="1" s="1"/>
  <c r="O20" i="1"/>
  <c r="R20" i="1" s="1"/>
  <c r="AJ20" i="1" s="1"/>
  <c r="N20" i="1"/>
  <c r="H20" i="1"/>
  <c r="V20" i="1" s="1"/>
  <c r="O19" i="1"/>
  <c r="R19" i="1" s="1"/>
  <c r="AJ19" i="1" s="1"/>
  <c r="N19" i="1"/>
  <c r="H19" i="1"/>
  <c r="V19" i="1" s="1"/>
  <c r="O18" i="1"/>
  <c r="R18" i="1" s="1"/>
  <c r="AJ18" i="1" s="1"/>
  <c r="N18" i="1"/>
  <c r="H18" i="1"/>
  <c r="O17" i="1"/>
  <c r="R17" i="1" s="1"/>
  <c r="AJ17" i="1" s="1"/>
  <c r="N17" i="1"/>
  <c r="H17" i="1"/>
  <c r="O16" i="1"/>
  <c r="R16" i="1" s="1"/>
  <c r="AJ16" i="1" s="1"/>
  <c r="N16" i="1"/>
  <c r="H16" i="1"/>
  <c r="O15" i="1"/>
  <c r="R15" i="1" s="1"/>
  <c r="AJ15" i="1" s="1"/>
  <c r="N15" i="1"/>
  <c r="H15" i="1"/>
  <c r="O14" i="1"/>
  <c r="R14" i="1" s="1"/>
  <c r="AJ14" i="1" s="1"/>
  <c r="N14" i="1"/>
  <c r="H14" i="1"/>
  <c r="V14" i="1" s="1"/>
  <c r="O13" i="1"/>
  <c r="R13" i="1" s="1"/>
  <c r="AJ13" i="1" s="1"/>
  <c r="N13" i="1"/>
  <c r="H13" i="1"/>
  <c r="O12" i="1"/>
  <c r="R12" i="1" s="1"/>
  <c r="AJ12" i="1" s="1"/>
  <c r="N12" i="1"/>
  <c r="H12" i="1"/>
  <c r="V12" i="1" s="1"/>
  <c r="O11" i="1"/>
  <c r="R11" i="1" s="1"/>
  <c r="AJ11" i="1" s="1"/>
  <c r="N11" i="1"/>
  <c r="H11" i="1"/>
  <c r="V11" i="1" s="1"/>
  <c r="O10" i="1"/>
  <c r="R10" i="1" s="1"/>
  <c r="AJ10" i="1" s="1"/>
  <c r="N10" i="1"/>
  <c r="H10" i="1"/>
  <c r="V10" i="1" s="1"/>
  <c r="O9" i="1"/>
  <c r="R9" i="1" s="1"/>
  <c r="AJ9" i="1" s="1"/>
  <c r="N9" i="1"/>
  <c r="H9" i="1"/>
  <c r="O8" i="1"/>
  <c r="R8" i="1" s="1"/>
  <c r="AJ8" i="1" s="1"/>
  <c r="N8" i="1"/>
  <c r="H8" i="1"/>
  <c r="V8" i="1" s="1"/>
  <c r="O7" i="1"/>
  <c r="R7" i="1" s="1"/>
  <c r="AJ7" i="1" s="1"/>
  <c r="N7" i="1"/>
  <c r="H7" i="1"/>
  <c r="O6" i="1"/>
  <c r="R6" i="1" s="1"/>
  <c r="AJ6" i="1" s="1"/>
  <c r="N6" i="1"/>
  <c r="H6" i="1"/>
  <c r="AG5" i="1"/>
  <c r="AF5" i="1"/>
  <c r="AE5" i="1"/>
  <c r="AD5" i="1"/>
  <c r="AC5" i="1"/>
  <c r="AB5" i="1"/>
  <c r="AA5" i="1"/>
  <c r="Z5" i="1"/>
  <c r="Y5" i="1"/>
  <c r="X5" i="1"/>
  <c r="Q5" i="1"/>
  <c r="P5" i="1"/>
  <c r="M5" i="1"/>
  <c r="E5" i="1"/>
  <c r="H30" i="1" l="1"/>
  <c r="H5" i="1" s="1"/>
  <c r="AL30" i="1"/>
  <c r="H40" i="1"/>
  <c r="AL40" i="1"/>
  <c r="V35" i="1"/>
  <c r="V55" i="1"/>
  <c r="V75" i="1"/>
  <c r="V95" i="1"/>
  <c r="V42" i="1"/>
  <c r="V62" i="1"/>
  <c r="V9" i="1"/>
  <c r="V29" i="1"/>
  <c r="V69" i="1"/>
  <c r="V89" i="1"/>
  <c r="V109" i="1"/>
  <c r="V16" i="1"/>
  <c r="V36" i="1"/>
  <c r="V56" i="1"/>
  <c r="V96" i="1"/>
  <c r="V116" i="1"/>
  <c r="V24" i="1"/>
  <c r="V44" i="1"/>
  <c r="V84" i="1"/>
  <c r="V100" i="1"/>
  <c r="V7" i="1"/>
  <c r="V27" i="1"/>
  <c r="V47" i="1"/>
  <c r="V87" i="1"/>
  <c r="G5" i="1"/>
  <c r="V23" i="1"/>
  <c r="V63" i="1"/>
  <c r="V83" i="1"/>
  <c r="V103" i="1"/>
  <c r="V45" i="1"/>
  <c r="V105" i="1"/>
  <c r="V86" i="1"/>
  <c r="V106" i="1"/>
  <c r="V13" i="1"/>
  <c r="V33" i="1"/>
  <c r="V93" i="1"/>
  <c r="V76" i="1"/>
  <c r="V80" i="1"/>
  <c r="S26" i="1"/>
  <c r="T26" i="1" s="1"/>
  <c r="AI26" i="1" s="1"/>
  <c r="S46" i="1"/>
  <c r="T46" i="1" s="1"/>
  <c r="AI46" i="1" s="1"/>
  <c r="S58" i="1"/>
  <c r="AI58" i="1" s="1"/>
  <c r="S6" i="1"/>
  <c r="T6" i="1" s="1"/>
  <c r="S107" i="1"/>
  <c r="T107" i="1" s="1"/>
  <c r="AI107" i="1" s="1"/>
  <c r="S113" i="1"/>
  <c r="T113" i="1" s="1"/>
  <c r="AI113" i="1" s="1"/>
  <c r="S17" i="1"/>
  <c r="AI17" i="1" s="1"/>
  <c r="S22" i="1"/>
  <c r="AI22" i="1" s="1"/>
  <c r="S30" i="1"/>
  <c r="T30" i="1" s="1"/>
  <c r="AI30" i="1" s="1"/>
  <c r="S72" i="1"/>
  <c r="T72" i="1" s="1"/>
  <c r="AI72" i="1" s="1"/>
  <c r="S76" i="1"/>
  <c r="AI76" i="1" s="1"/>
  <c r="S78" i="1"/>
  <c r="AI78" i="1" s="1"/>
  <c r="S80" i="1"/>
  <c r="AI80" i="1" s="1"/>
  <c r="S99" i="1"/>
  <c r="AI99" i="1" s="1"/>
  <c r="S115" i="1"/>
  <c r="T115" i="1" s="1"/>
  <c r="AI115" i="1" s="1"/>
  <c r="S15" i="1"/>
  <c r="AI15" i="1" s="1"/>
  <c r="S28" i="1"/>
  <c r="T28" i="1" s="1"/>
  <c r="AI28" i="1" s="1"/>
  <c r="S32" i="1"/>
  <c r="AI32" i="1" s="1"/>
  <c r="S54" i="1"/>
  <c r="T54" i="1" s="1"/>
  <c r="AI54" i="1" s="1"/>
  <c r="S67" i="1"/>
  <c r="T67" i="1" s="1"/>
  <c r="AI67" i="1" s="1"/>
  <c r="S82" i="1"/>
  <c r="T82" i="1" s="1"/>
  <c r="AI82" i="1" s="1"/>
  <c r="S90" i="1"/>
  <c r="AI90" i="1" s="1"/>
  <c r="R40" i="1"/>
  <c r="S31" i="1"/>
  <c r="T31" i="1" s="1"/>
  <c r="AI31" i="1" s="1"/>
  <c r="S43" i="1"/>
  <c r="T43" i="1" s="1"/>
  <c r="AI43" i="1" s="1"/>
  <c r="S49" i="1"/>
  <c r="T49" i="1" s="1"/>
  <c r="AI49" i="1" s="1"/>
  <c r="S66" i="1"/>
  <c r="AI66" i="1" s="1"/>
  <c r="S98" i="1"/>
  <c r="T98" i="1" s="1"/>
  <c r="AI98" i="1" s="1"/>
  <c r="S39" i="1"/>
  <c r="T39" i="1" s="1"/>
  <c r="AI39" i="1" s="1"/>
  <c r="S53" i="1"/>
  <c r="T53" i="1" s="1"/>
  <c r="AI53" i="1" s="1"/>
  <c r="S64" i="1"/>
  <c r="T64" i="1" s="1"/>
  <c r="AI64" i="1" s="1"/>
  <c r="S68" i="1"/>
  <c r="T68" i="1" s="1"/>
  <c r="AI68" i="1" s="1"/>
  <c r="S73" i="1"/>
  <c r="T73" i="1" s="1"/>
  <c r="AI73" i="1" s="1"/>
  <c r="S79" i="1"/>
  <c r="AI79" i="1" s="1"/>
  <c r="S85" i="1"/>
  <c r="T85" i="1" s="1"/>
  <c r="AI85" i="1" s="1"/>
  <c r="S104" i="1"/>
  <c r="T104" i="1" s="1"/>
  <c r="AI104" i="1" s="1"/>
  <c r="S112" i="1"/>
  <c r="T112" i="1" s="1"/>
  <c r="AI112" i="1" s="1"/>
  <c r="S18" i="1"/>
  <c r="T18" i="1" s="1"/>
  <c r="AI18" i="1" s="1"/>
  <c r="S48" i="1"/>
  <c r="T48" i="1" s="1"/>
  <c r="AI48" i="1" s="1"/>
  <c r="W53" i="1"/>
  <c r="W57" i="1"/>
  <c r="W33" i="1"/>
  <c r="W34" i="1"/>
  <c r="W43" i="1"/>
  <c r="W47" i="1"/>
  <c r="W52" i="1"/>
  <c r="W56" i="1"/>
  <c r="W63" i="1"/>
  <c r="W67" i="1"/>
  <c r="W71" i="1"/>
  <c r="W75" i="1"/>
  <c r="W80" i="1"/>
  <c r="W98" i="1"/>
  <c r="O5" i="1"/>
  <c r="W10" i="1"/>
  <c r="W14" i="1"/>
  <c r="W18" i="1"/>
  <c r="W22" i="1"/>
  <c r="W35" i="1"/>
  <c r="W51" i="1"/>
  <c r="W54" i="1"/>
  <c r="W55" i="1"/>
  <c r="W88" i="1"/>
  <c r="W100" i="1"/>
  <c r="W104" i="1"/>
  <c r="W108" i="1"/>
  <c r="W109" i="1"/>
  <c r="W110" i="1"/>
  <c r="W114" i="1"/>
  <c r="W119" i="1"/>
  <c r="W9" i="1"/>
  <c r="W17" i="1"/>
  <c r="W29" i="1"/>
  <c r="W32" i="1"/>
  <c r="W46" i="1"/>
  <c r="W62" i="1"/>
  <c r="W70" i="1"/>
  <c r="W13" i="1"/>
  <c r="W21" i="1"/>
  <c r="W39" i="1"/>
  <c r="W42" i="1"/>
  <c r="W50" i="1"/>
  <c r="W66" i="1"/>
  <c r="W74" i="1"/>
  <c r="W79" i="1"/>
  <c r="W87" i="1"/>
  <c r="W99" i="1"/>
  <c r="W103" i="1"/>
  <c r="W107" i="1"/>
  <c r="W118" i="1"/>
  <c r="F5" i="1"/>
  <c r="W7" i="1"/>
  <c r="W8" i="1"/>
  <c r="W11" i="1"/>
  <c r="W12" i="1"/>
  <c r="W15" i="1"/>
  <c r="W16" i="1"/>
  <c r="W19" i="1"/>
  <c r="W20" i="1"/>
  <c r="W23" i="1"/>
  <c r="W24" i="1"/>
  <c r="W25" i="1"/>
  <c r="W26" i="1"/>
  <c r="W27" i="1"/>
  <c r="W28" i="1"/>
  <c r="W31" i="1"/>
  <c r="W36" i="1"/>
  <c r="W37" i="1"/>
  <c r="W41" i="1"/>
  <c r="W44" i="1"/>
  <c r="W45" i="1"/>
  <c r="W48" i="1"/>
  <c r="W49" i="1"/>
  <c r="W58" i="1"/>
  <c r="W59" i="1"/>
  <c r="W60" i="1"/>
  <c r="W61" i="1"/>
  <c r="W64" i="1"/>
  <c r="W65" i="1"/>
  <c r="W68" i="1"/>
  <c r="W69" i="1"/>
  <c r="W72" i="1"/>
  <c r="W73" i="1"/>
  <c r="W77" i="1"/>
  <c r="W78" i="1"/>
  <c r="W81" i="1"/>
  <c r="W82" i="1"/>
  <c r="W83" i="1"/>
  <c r="W84" i="1"/>
  <c r="W85" i="1"/>
  <c r="W86" i="1"/>
  <c r="W89" i="1"/>
  <c r="W90" i="1"/>
  <c r="W91" i="1"/>
  <c r="W92" i="1"/>
  <c r="W93" i="1"/>
  <c r="W94" i="1"/>
  <c r="W95" i="1"/>
  <c r="W96" i="1"/>
  <c r="W97" i="1"/>
  <c r="W101" i="1"/>
  <c r="W102" i="1"/>
  <c r="W105" i="1"/>
  <c r="W106" i="1"/>
  <c r="W111" i="1"/>
  <c r="W112" i="1"/>
  <c r="W116" i="1"/>
  <c r="W117" i="1"/>
  <c r="W6" i="1"/>
  <c r="W30" i="1"/>
  <c r="W115" i="1"/>
  <c r="N5" i="1"/>
  <c r="W38" i="1"/>
  <c r="W76" i="1"/>
  <c r="W113" i="1"/>
  <c r="AL5" i="1" l="1"/>
  <c r="V40" i="1"/>
  <c r="AJ40" i="1"/>
  <c r="AJ5" i="1" s="1"/>
  <c r="V107" i="1"/>
  <c r="V73" i="1"/>
  <c r="V64" i="1"/>
  <c r="V28" i="1"/>
  <c r="V115" i="1"/>
  <c r="V85" i="1"/>
  <c r="V43" i="1"/>
  <c r="V54" i="1"/>
  <c r="V6" i="1"/>
  <c r="AI6" i="1"/>
  <c r="T5" i="1"/>
  <c r="V53" i="1"/>
  <c r="V31" i="1"/>
  <c r="V15" i="1"/>
  <c r="V104" i="1"/>
  <c r="V90" i="1"/>
  <c r="V68" i="1"/>
  <c r="V46" i="1"/>
  <c r="V32" i="1"/>
  <c r="V22" i="1"/>
  <c r="V113" i="1"/>
  <c r="V99" i="1"/>
  <c r="V79" i="1"/>
  <c r="V67" i="1"/>
  <c r="V49" i="1"/>
  <c r="V39" i="1"/>
  <c r="V17" i="1"/>
  <c r="V112" i="1"/>
  <c r="V98" i="1"/>
  <c r="V82" i="1"/>
  <c r="V78" i="1"/>
  <c r="V72" i="1"/>
  <c r="V66" i="1"/>
  <c r="V58" i="1"/>
  <c r="V48" i="1"/>
  <c r="V30" i="1"/>
  <c r="V26" i="1"/>
  <c r="V18" i="1"/>
  <c r="W40" i="1"/>
  <c r="R5" i="1"/>
  <c r="S5" i="1"/>
  <c r="AI5" i="1" l="1"/>
</calcChain>
</file>

<file path=xl/sharedStrings.xml><?xml version="1.0" encoding="utf-8"?>
<sst xmlns="http://schemas.openxmlformats.org/spreadsheetml/2006/main" count="460" uniqueCount="184">
  <si>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</si>
  <si>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</si>
  <si>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</si>
  <si>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</si>
  <si>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</si>
  <si>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</si>
  <si>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Грация</t>
  </si>
  <si>
    <t>ОСТАТКИ без опта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</si>
  <si>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</si>
  <si>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</si>
  <si>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</si>
  <si>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</si>
  <si>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</si>
  <si>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</si>
  <si>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</si>
  <si>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</si>
  <si>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</si>
  <si>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</si>
  <si>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</si>
  <si>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</si>
  <si>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</si>
  <si>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</si>
  <si>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</si>
  <si>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</si>
  <si>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без Грации</t>
  </si>
  <si>
    <t>15,09,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</si>
  <si>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</si>
  <si>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</si>
  <si>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</si>
  <si>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</si>
  <si>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</si>
  <si>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</si>
  <si>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</si>
  <si>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</si>
  <si>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</si>
  <si>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</si>
  <si>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</si>
  <si>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</si>
  <si>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</si>
  <si>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</si>
  <si>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</si>
  <si>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</si>
  <si>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</si>
  <si>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</si>
  <si>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</si>
  <si>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</si>
  <si>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</si>
  <si>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</si>
  <si>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</si>
  <si>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</si>
  <si>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</si>
  <si>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</si>
  <si>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</si>
  <si>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</si>
  <si>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</si>
  <si>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</si>
  <si>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</si>
  <si>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</si>
  <si>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</si>
  <si>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</si>
  <si>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</si>
  <si>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</si>
  <si>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</si>
  <si>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нужно увеличить продажи!!! / 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</si>
  <si>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</si>
  <si>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</si>
  <si>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</si>
  <si>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</si>
  <si>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</si>
  <si>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</si>
  <si>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</si>
  <si>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</si>
  <si>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</si>
  <si>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</si>
  <si>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</si>
  <si>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</si>
  <si>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</si>
  <si>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</si>
  <si>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</si>
  <si>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</si>
  <si>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</si>
  <si>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</si>
  <si>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</si>
  <si>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</si>
  <si>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</si>
  <si>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</si>
  <si>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</si>
  <si>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</si>
  <si>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</si>
  <si>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</si>
  <si>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</si>
  <si>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</si>
  <si>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</si>
  <si>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</si>
  <si>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</si>
  <si>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</si>
  <si>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</si>
  <si>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</si>
  <si>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</si>
  <si>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</si>
  <si>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</si>
  <si>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</si>
  <si>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</si>
  <si>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</si>
  <si>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</si>
  <si>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</si>
  <si>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</si>
  <si>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</si>
  <si>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</si>
  <si>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</si>
  <si>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</si>
  <si>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новинка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</si>
  <si>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</si>
  <si>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</si>
  <si>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</si>
  <si>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</si>
  <si>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</si>
  <si>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</si>
  <si>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</si>
  <si>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</si>
  <si>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</si>
  <si>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</si>
  <si>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</si>
  <si>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</si>
  <si>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</si>
  <si>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</si>
  <si>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</si>
  <si>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</si>
  <si>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</si>
  <si>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</si>
  <si>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</si>
  <si>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</si>
  <si>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</si>
  <si>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</si>
  <si>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</si>
  <si>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</si>
  <si>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</si>
  <si>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</si>
  <si>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</si>
  <si>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</si>
  <si>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</si>
  <si>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</si>
  <si>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</si>
  <si>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</si>
  <si>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</si>
  <si>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</si>
  <si>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</si>
  <si>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</si>
  <si>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</si>
  <si>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</si>
  <si>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</si>
  <si>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</si>
  <si>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</si>
  <si>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</si>
  <si>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</si>
  <si>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</si>
  <si>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</si>
  <si>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</si>
  <si>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</si>
  <si>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</si>
  <si>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</si>
  <si>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нужно увеличить продажи!!! / помощь заводу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</si>
  <si>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</si>
  <si>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</si>
  <si>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</si>
  <si>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</si>
  <si>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</si>
  <si>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</si>
  <si>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</si>
  <si>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</si>
  <si>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</si>
  <si>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</si>
  <si>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</si>
  <si>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</si>
  <si>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</si>
  <si>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</si>
  <si>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268шт списание (20,08,26)</t>
  </si>
  <si>
    <t>374шт списание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</si>
  <si>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</si>
  <si>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192шт списано (11,08,26)</t>
    </r>
  </si>
  <si>
    <t>ТК</t>
  </si>
  <si>
    <t>Титенок</t>
  </si>
  <si>
    <t>заказ</t>
  </si>
  <si>
    <t>22,09,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</si>
</sst>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6" fillId="4" borderId="1" xfId="1" applyNumberFormat="1" applyFont="1" applyFill="1"/>
    <xf numFmtId="164" fontId="6" fillId="0" borderId="1" xfId="1" applyNumberFormat="1" applyFont="1"/>
    <xf numFmtId="0" fontId="7" fillId="0" borderId="0" xfId="0" applyFont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2026\&#1047;&#1040;&#1042;&#1054;&#1044;&#1067;\&#1054;&#1089;&#1090;&#1072;&#1085;&#1082;&#1080;&#1085;&#1086;\&#1092;&#1080;&#1083;&#1080;&#1072;&#1083;&#1099;%20&#1053;&#1042;\09,26\14,09,26%20&#1054;&#1089;&#1090;&#1072;&#1085;&#1082;&#1080;&#1085;&#1086;%20&#1050;&#1048;%20&#1080;%20&#1047;&#1055;&#1060;\_&#1076;&#1074;%2014,09,26%20&#1073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Грация</v>
          </cell>
          <cell r="H3" t="str">
            <v>ОСТАТКИ без опта</v>
          </cell>
          <cell r="I3" t="str">
            <v>крат</v>
          </cell>
          <cell r="J3" t="str">
            <v>сроки</v>
          </cell>
          <cell r="K3" t="str">
            <v>метка</v>
          </cell>
          <cell r="L3" t="str">
            <v>метка2</v>
          </cell>
          <cell r="M3" t="str">
            <v>заяв</v>
          </cell>
          <cell r="N3" t="str">
            <v>разн</v>
          </cell>
          <cell r="O3" t="str">
            <v>без опта</v>
          </cell>
          <cell r="P3" t="str">
            <v>опт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H4" t="str">
            <v>без Грации</v>
          </cell>
          <cell r="Q4" t="str">
            <v>15,09,</v>
          </cell>
          <cell r="R4" t="str">
            <v>14,09,</v>
          </cell>
        </row>
        <row r="5">
          <cell r="E5">
            <v>15416.210999999999</v>
          </cell>
          <cell r="F5">
            <v>31765.542999999998</v>
          </cell>
          <cell r="G5">
            <v>5061.7910000000002</v>
          </cell>
          <cell r="H5">
            <v>26703.752</v>
          </cell>
          <cell r="M5">
            <v>20358.098999999995</v>
          </cell>
          <cell r="N5">
            <v>-4941.8879999999999</v>
          </cell>
          <cell r="O5">
            <v>14105.380999999999</v>
          </cell>
          <cell r="P5">
            <v>1310.8300000000002</v>
          </cell>
          <cell r="Q5">
            <v>16977</v>
          </cell>
          <cell r="R5">
            <v>2821.0762000000004</v>
          </cell>
          <cell r="S5">
            <v>6711.8518000000013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21.39</v>
          </cell>
          <cell r="D6">
            <v>1.7150000000000001</v>
          </cell>
          <cell r="E6">
            <v>11.893000000000001</v>
          </cell>
          <cell r="F6">
            <v>10.625999999999999</v>
          </cell>
          <cell r="H6">
            <v>10.625999999999999</v>
          </cell>
          <cell r="I6">
            <v>1</v>
          </cell>
          <cell r="J6">
            <v>120</v>
          </cell>
          <cell r="K6" t="str">
            <v>матрица</v>
          </cell>
          <cell r="M6">
            <v>11.6</v>
          </cell>
          <cell r="N6">
            <v>0.29300000000000104</v>
          </cell>
          <cell r="O6">
            <v>11.893000000000001</v>
          </cell>
          <cell r="Q6">
            <v>0</v>
          </cell>
          <cell r="R6">
            <v>2.3786</v>
          </cell>
          <cell r="S6">
            <v>17.917200000000001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460</v>
          </cell>
          <cell r="D7">
            <v>78</v>
          </cell>
          <cell r="E7">
            <v>218</v>
          </cell>
          <cell r="F7">
            <v>319</v>
          </cell>
          <cell r="H7">
            <v>319</v>
          </cell>
          <cell r="I7">
            <v>0.4</v>
          </cell>
          <cell r="J7">
            <v>60</v>
          </cell>
          <cell r="K7" t="str">
            <v>матрица</v>
          </cell>
          <cell r="M7">
            <v>269</v>
          </cell>
          <cell r="N7">
            <v>-51</v>
          </cell>
          <cell r="O7">
            <v>218</v>
          </cell>
          <cell r="Q7">
            <v>600</v>
          </cell>
          <cell r="R7">
            <v>43.6</v>
          </cell>
          <cell r="T7">
            <v>100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211.25399999999999</v>
          </cell>
          <cell r="D8">
            <v>28.204999999999998</v>
          </cell>
          <cell r="E8">
            <v>18.954000000000001</v>
          </cell>
          <cell r="F8">
            <v>220.505</v>
          </cell>
          <cell r="G8">
            <v>116.696</v>
          </cell>
          <cell r="H8">
            <v>103.809</v>
          </cell>
          <cell r="I8">
            <v>1</v>
          </cell>
          <cell r="J8">
            <v>120</v>
          </cell>
          <cell r="K8" t="str">
            <v>матрица</v>
          </cell>
          <cell r="M8">
            <v>19.2</v>
          </cell>
          <cell r="N8">
            <v>-0.24599999999999866</v>
          </cell>
          <cell r="O8">
            <v>18.954000000000001</v>
          </cell>
          <cell r="Q8">
            <v>22</v>
          </cell>
          <cell r="R8">
            <v>3.7907999999999999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494</v>
          </cell>
          <cell r="D9">
            <v>101</v>
          </cell>
          <cell r="E9">
            <v>270</v>
          </cell>
          <cell r="F9">
            <v>306</v>
          </cell>
          <cell r="H9">
            <v>306</v>
          </cell>
          <cell r="I9">
            <v>0.25</v>
          </cell>
          <cell r="J9">
            <v>120</v>
          </cell>
          <cell r="K9" t="str">
            <v>матрица</v>
          </cell>
          <cell r="M9">
            <v>382</v>
          </cell>
          <cell r="N9">
            <v>-112</v>
          </cell>
          <cell r="O9">
            <v>270</v>
          </cell>
          <cell r="Q9">
            <v>744</v>
          </cell>
          <cell r="R9">
            <v>54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588.82399999999996</v>
          </cell>
          <cell r="D10">
            <v>729.43600000000004</v>
          </cell>
          <cell r="E10">
            <v>273.78899999999999</v>
          </cell>
          <cell r="F10">
            <v>1014.189</v>
          </cell>
          <cell r="G10">
            <v>271.685</v>
          </cell>
          <cell r="H10">
            <v>742.50399999999991</v>
          </cell>
          <cell r="I10">
            <v>1</v>
          </cell>
          <cell r="J10">
            <v>60</v>
          </cell>
          <cell r="K10" t="str">
            <v>матрица</v>
          </cell>
          <cell r="M10">
            <v>262.10000000000002</v>
          </cell>
          <cell r="N10">
            <v>11.688999999999965</v>
          </cell>
          <cell r="O10">
            <v>221.31599999999997</v>
          </cell>
          <cell r="P10">
            <v>52.472999999999999</v>
          </cell>
          <cell r="Q10">
            <v>100</v>
          </cell>
          <cell r="R10">
            <v>44.263199999999998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119.898</v>
          </cell>
          <cell r="D11">
            <v>1.498</v>
          </cell>
          <cell r="E11">
            <v>12.093999999999999</v>
          </cell>
          <cell r="F11">
            <v>108.30800000000001</v>
          </cell>
          <cell r="H11">
            <v>108.30800000000001</v>
          </cell>
          <cell r="I11">
            <v>1</v>
          </cell>
          <cell r="J11">
            <v>120</v>
          </cell>
          <cell r="K11" t="str">
            <v>матрица</v>
          </cell>
          <cell r="M11">
            <v>12.6</v>
          </cell>
          <cell r="N11">
            <v>-0.50600000000000023</v>
          </cell>
          <cell r="O11">
            <v>12.093999999999999</v>
          </cell>
          <cell r="Q11">
            <v>0</v>
          </cell>
          <cell r="R11">
            <v>2.4188000000000001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0.38400000000000001</v>
          </cell>
          <cell r="D12">
            <v>117.167</v>
          </cell>
          <cell r="E12">
            <v>7.5940000000000003</v>
          </cell>
          <cell r="F12">
            <v>109.43300000000001</v>
          </cell>
          <cell r="H12">
            <v>109.43300000000001</v>
          </cell>
          <cell r="I12">
            <v>1</v>
          </cell>
          <cell r="J12">
            <v>60</v>
          </cell>
          <cell r="K12" t="str">
            <v>матрица</v>
          </cell>
          <cell r="M12">
            <v>32.299999999999997</v>
          </cell>
          <cell r="N12">
            <v>-24.705999999999996</v>
          </cell>
          <cell r="O12">
            <v>7.5940000000000003</v>
          </cell>
          <cell r="Q12">
            <v>0</v>
          </cell>
          <cell r="R12">
            <v>1.5188000000000001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614.02800000000002</v>
          </cell>
          <cell r="D13">
            <v>620.66600000000005</v>
          </cell>
          <cell r="E13">
            <v>247.946</v>
          </cell>
          <cell r="F13">
            <v>960.49199999999996</v>
          </cell>
          <cell r="G13">
            <v>238.30099999999999</v>
          </cell>
          <cell r="H13">
            <v>722.19100000000003</v>
          </cell>
          <cell r="I13">
            <v>1</v>
          </cell>
          <cell r="J13">
            <v>60</v>
          </cell>
          <cell r="K13" t="str">
            <v>матрица</v>
          </cell>
          <cell r="M13">
            <v>238.2</v>
          </cell>
          <cell r="N13">
            <v>9.7460000000000093</v>
          </cell>
          <cell r="O13">
            <v>194.893</v>
          </cell>
          <cell r="P13">
            <v>53.052999999999997</v>
          </cell>
          <cell r="Q13">
            <v>100</v>
          </cell>
          <cell r="R13">
            <v>38.9786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510</v>
          </cell>
          <cell r="D14">
            <v>40</v>
          </cell>
          <cell r="E14">
            <v>146</v>
          </cell>
          <cell r="F14">
            <v>391</v>
          </cell>
          <cell r="H14">
            <v>391</v>
          </cell>
          <cell r="I14">
            <v>0.25</v>
          </cell>
          <cell r="J14">
            <v>120</v>
          </cell>
          <cell r="K14" t="str">
            <v>матрица</v>
          </cell>
          <cell r="M14">
            <v>187</v>
          </cell>
          <cell r="N14">
            <v>-41</v>
          </cell>
          <cell r="O14">
            <v>146</v>
          </cell>
          <cell r="Q14">
            <v>142</v>
          </cell>
          <cell r="R14">
            <v>29.2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339.69400000000002</v>
          </cell>
          <cell r="D15">
            <v>54.581000000000003</v>
          </cell>
          <cell r="E15">
            <v>72.528000000000006</v>
          </cell>
          <cell r="F15">
            <v>313.59500000000003</v>
          </cell>
          <cell r="G15">
            <v>188.37</v>
          </cell>
          <cell r="H15">
            <v>125.22500000000002</v>
          </cell>
          <cell r="I15">
            <v>1</v>
          </cell>
          <cell r="J15">
            <v>60</v>
          </cell>
          <cell r="K15" t="str">
            <v>матрица</v>
          </cell>
          <cell r="M15">
            <v>71.7</v>
          </cell>
          <cell r="N15">
            <v>0.82800000000000296</v>
          </cell>
          <cell r="O15">
            <v>64.239000000000004</v>
          </cell>
          <cell r="P15">
            <v>8.2889999999999997</v>
          </cell>
          <cell r="Q15">
            <v>0</v>
          </cell>
          <cell r="R15">
            <v>12.847800000000001</v>
          </cell>
          <cell r="S15">
            <v>67.49199999999999</v>
          </cell>
          <cell r="T15">
            <v>200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658</v>
          </cell>
          <cell r="D16">
            <v>54</v>
          </cell>
          <cell r="E16">
            <v>296</v>
          </cell>
          <cell r="F16">
            <v>407</v>
          </cell>
          <cell r="H16">
            <v>407</v>
          </cell>
          <cell r="I16">
            <v>0.25</v>
          </cell>
          <cell r="J16">
            <v>120</v>
          </cell>
          <cell r="K16" t="str">
            <v>матрица</v>
          </cell>
          <cell r="M16">
            <v>364</v>
          </cell>
          <cell r="N16">
            <v>-68</v>
          </cell>
          <cell r="O16">
            <v>296</v>
          </cell>
          <cell r="Q16">
            <v>542</v>
          </cell>
          <cell r="R16">
            <v>59.2</v>
          </cell>
          <cell r="T16">
            <v>150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376</v>
          </cell>
          <cell r="D17">
            <v>208</v>
          </cell>
          <cell r="E17">
            <v>166</v>
          </cell>
          <cell r="F17">
            <v>417</v>
          </cell>
          <cell r="H17">
            <v>417</v>
          </cell>
          <cell r="I17">
            <v>0.4</v>
          </cell>
          <cell r="J17">
            <v>60</v>
          </cell>
          <cell r="K17" t="str">
            <v>матрица</v>
          </cell>
          <cell r="M17">
            <v>190</v>
          </cell>
          <cell r="N17">
            <v>-24</v>
          </cell>
          <cell r="O17">
            <v>166</v>
          </cell>
          <cell r="Q17">
            <v>0</v>
          </cell>
          <cell r="R17">
            <v>33.200000000000003</v>
          </cell>
          <cell r="S17">
            <v>81.000000000000057</v>
          </cell>
          <cell r="T17">
            <v>170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225.73</v>
          </cell>
          <cell r="D18">
            <v>155.702</v>
          </cell>
          <cell r="E18">
            <v>219.518</v>
          </cell>
          <cell r="F18">
            <v>139.14500000000001</v>
          </cell>
          <cell r="H18">
            <v>139.14500000000001</v>
          </cell>
          <cell r="I18">
            <v>1</v>
          </cell>
          <cell r="J18">
            <v>45</v>
          </cell>
          <cell r="K18" t="str">
            <v>матрица</v>
          </cell>
          <cell r="M18">
            <v>212.441</v>
          </cell>
          <cell r="N18">
            <v>7.0769999999999982</v>
          </cell>
          <cell r="O18">
            <v>219.518</v>
          </cell>
          <cell r="Q18">
            <v>500</v>
          </cell>
          <cell r="R18">
            <v>43.903599999999997</v>
          </cell>
          <cell r="S18">
            <v>19.408999999999963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60.831000000000003</v>
          </cell>
          <cell r="D19">
            <v>8.9819999999999993</v>
          </cell>
          <cell r="E19">
            <v>8.734</v>
          </cell>
          <cell r="F19">
            <v>60.061</v>
          </cell>
          <cell r="H19">
            <v>60.061</v>
          </cell>
          <cell r="I19">
            <v>1</v>
          </cell>
          <cell r="J19">
            <v>120</v>
          </cell>
          <cell r="K19" t="str">
            <v>матрица</v>
          </cell>
          <cell r="M19">
            <v>23</v>
          </cell>
          <cell r="N19">
            <v>-14.266</v>
          </cell>
          <cell r="O19">
            <v>8.734</v>
          </cell>
          <cell r="Q19">
            <v>0</v>
          </cell>
          <cell r="R19">
            <v>1.7467999999999999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176</v>
          </cell>
          <cell r="D20">
            <v>96</v>
          </cell>
          <cell r="E20">
            <v>1</v>
          </cell>
          <cell r="F20">
            <v>271</v>
          </cell>
          <cell r="G20">
            <v>144</v>
          </cell>
          <cell r="H20">
            <v>127</v>
          </cell>
          <cell r="I20">
            <v>0.4</v>
          </cell>
          <cell r="J20">
            <v>45</v>
          </cell>
          <cell r="K20" t="str">
            <v>матрица</v>
          </cell>
          <cell r="M20">
            <v>142</v>
          </cell>
          <cell r="N20">
            <v>-141</v>
          </cell>
          <cell r="O20">
            <v>1</v>
          </cell>
          <cell r="Q20">
            <v>0</v>
          </cell>
          <cell r="R20">
            <v>0.2</v>
          </cell>
          <cell r="T20">
            <v>100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233.29599999999999</v>
          </cell>
          <cell r="D21">
            <v>108.916</v>
          </cell>
          <cell r="E21">
            <v>128.273</v>
          </cell>
          <cell r="F21">
            <v>194.91</v>
          </cell>
          <cell r="H21">
            <v>194.91</v>
          </cell>
          <cell r="I21">
            <v>1</v>
          </cell>
          <cell r="J21">
            <v>60</v>
          </cell>
          <cell r="K21" t="str">
            <v>матрица</v>
          </cell>
          <cell r="M21">
            <v>140.5</v>
          </cell>
          <cell r="N21">
            <v>-12.227000000000004</v>
          </cell>
          <cell r="O21">
            <v>128.273</v>
          </cell>
          <cell r="Q21">
            <v>300</v>
          </cell>
          <cell r="R21">
            <v>25.654599999999999</v>
          </cell>
          <cell r="T21">
            <v>100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738</v>
          </cell>
          <cell r="D22">
            <v>218</v>
          </cell>
          <cell r="E22">
            <v>339</v>
          </cell>
          <cell r="F22">
            <v>607</v>
          </cell>
          <cell r="H22">
            <v>607</v>
          </cell>
          <cell r="I22">
            <v>0.22</v>
          </cell>
          <cell r="J22">
            <v>120</v>
          </cell>
          <cell r="K22" t="str">
            <v>матрица</v>
          </cell>
          <cell r="M22">
            <v>346</v>
          </cell>
          <cell r="N22">
            <v>-7</v>
          </cell>
          <cell r="O22">
            <v>251</v>
          </cell>
          <cell r="P22">
            <v>88</v>
          </cell>
          <cell r="Q22">
            <v>0</v>
          </cell>
          <cell r="R22">
            <v>50.2</v>
          </cell>
          <cell r="S22">
            <v>146</v>
          </cell>
          <cell r="T22">
            <v>270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9.3879999999999999</v>
          </cell>
          <cell r="D23">
            <v>20.62</v>
          </cell>
          <cell r="E23">
            <v>9.4939999999999998</v>
          </cell>
          <cell r="F23">
            <v>11.868</v>
          </cell>
          <cell r="H23">
            <v>11.868</v>
          </cell>
          <cell r="I23">
            <v>1</v>
          </cell>
          <cell r="J23">
            <v>40</v>
          </cell>
          <cell r="K23" t="str">
            <v>матрица</v>
          </cell>
          <cell r="M23">
            <v>40.5</v>
          </cell>
          <cell r="N23">
            <v>-31.006</v>
          </cell>
          <cell r="O23">
            <v>9.4939999999999998</v>
          </cell>
          <cell r="Q23">
            <v>34</v>
          </cell>
          <cell r="R23">
            <v>1.8988</v>
          </cell>
          <cell r="T23">
            <v>50</v>
          </cell>
        </row>
        <row r="24">
          <cell r="A24" t="str">
            <v>6025 ВЕТЧ.ФИРМЕННАЯ С ИНДЕЙКОЙ п/о   ОСТАНКИНО</v>
          </cell>
          <cell r="B24" t="str">
            <v>кг</v>
          </cell>
          <cell r="C24">
            <v>39.21</v>
          </cell>
          <cell r="F24">
            <v>39.21</v>
          </cell>
          <cell r="H24">
            <v>39.21</v>
          </cell>
          <cell r="I24">
            <v>0</v>
          </cell>
          <cell r="K24" t="str">
            <v>не в матрице</v>
          </cell>
          <cell r="N24">
            <v>0</v>
          </cell>
          <cell r="O24">
            <v>0</v>
          </cell>
          <cell r="Q24">
            <v>0</v>
          </cell>
          <cell r="R24">
            <v>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41.801000000000002</v>
          </cell>
          <cell r="D25">
            <v>83.343999999999994</v>
          </cell>
          <cell r="E25">
            <v>49.817999999999998</v>
          </cell>
          <cell r="F25">
            <v>64.570999999999998</v>
          </cell>
          <cell r="H25">
            <v>64.570999999999998</v>
          </cell>
          <cell r="I25">
            <v>1</v>
          </cell>
          <cell r="J25">
            <v>60</v>
          </cell>
          <cell r="K25" t="str">
            <v>матрица</v>
          </cell>
          <cell r="M25">
            <v>75.7</v>
          </cell>
          <cell r="N25">
            <v>-25.882000000000005</v>
          </cell>
          <cell r="O25">
            <v>49.817999999999998</v>
          </cell>
          <cell r="Q25">
            <v>170</v>
          </cell>
          <cell r="R25">
            <v>9.9635999999999996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294</v>
          </cell>
          <cell r="D26">
            <v>231</v>
          </cell>
          <cell r="E26">
            <v>233</v>
          </cell>
          <cell r="F26">
            <v>249</v>
          </cell>
          <cell r="H26">
            <v>249</v>
          </cell>
          <cell r="I26">
            <v>0.09</v>
          </cell>
          <cell r="J26">
            <v>60</v>
          </cell>
          <cell r="K26" t="str">
            <v>матрица</v>
          </cell>
          <cell r="M26">
            <v>298</v>
          </cell>
          <cell r="N26">
            <v>-65</v>
          </cell>
          <cell r="O26">
            <v>233</v>
          </cell>
          <cell r="Q26">
            <v>0</v>
          </cell>
          <cell r="R26">
            <v>46.6</v>
          </cell>
          <cell r="S26">
            <v>356.80000000000007</v>
          </cell>
        </row>
        <row r="27">
          <cell r="A27" t="str">
            <v>6222 ИТАЛЬЯНСКОЕ АССОРТИ с/в с/н мгс 1/90 ОСТАНКИНО</v>
          </cell>
          <cell r="B27" t="str">
            <v>шт</v>
          </cell>
          <cell r="C27">
            <v>70</v>
          </cell>
          <cell r="E27">
            <v>2</v>
          </cell>
          <cell r="F27">
            <v>68</v>
          </cell>
          <cell r="H27">
            <v>68</v>
          </cell>
          <cell r="I27">
            <v>0</v>
          </cell>
          <cell r="K27" t="str">
            <v>не в матрице</v>
          </cell>
          <cell r="M27">
            <v>2</v>
          </cell>
          <cell r="N27">
            <v>0</v>
          </cell>
          <cell r="O27">
            <v>2</v>
          </cell>
          <cell r="Q27">
            <v>0</v>
          </cell>
          <cell r="R27">
            <v>0.4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50</v>
          </cell>
          <cell r="D28">
            <v>87</v>
          </cell>
          <cell r="E28">
            <v>63</v>
          </cell>
          <cell r="F28">
            <v>66</v>
          </cell>
          <cell r="H28">
            <v>66</v>
          </cell>
          <cell r="I28">
            <v>0.09</v>
          </cell>
          <cell r="J28">
            <v>45</v>
          </cell>
          <cell r="K28" t="str">
            <v>матрица</v>
          </cell>
          <cell r="M28">
            <v>77</v>
          </cell>
          <cell r="N28">
            <v>-14</v>
          </cell>
          <cell r="O28">
            <v>63</v>
          </cell>
          <cell r="Q28">
            <v>56</v>
          </cell>
          <cell r="R28">
            <v>12.6</v>
          </cell>
          <cell r="S28">
            <v>67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81</v>
          </cell>
          <cell r="F29">
            <v>81</v>
          </cell>
          <cell r="H29">
            <v>81</v>
          </cell>
          <cell r="I29">
            <v>0.15</v>
          </cell>
          <cell r="J29">
            <v>45</v>
          </cell>
          <cell r="K29" t="str">
            <v>матрица</v>
          </cell>
          <cell r="M29">
            <v>14</v>
          </cell>
          <cell r="N29">
            <v>-14</v>
          </cell>
          <cell r="O29">
            <v>0</v>
          </cell>
          <cell r="Q29">
            <v>0</v>
          </cell>
          <cell r="R29">
            <v>0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1123.0540000000001</v>
          </cell>
          <cell r="D30">
            <v>602.04399999999998</v>
          </cell>
          <cell r="E30">
            <v>488.46899999999999</v>
          </cell>
          <cell r="F30">
            <v>1211.2349999999999</v>
          </cell>
          <cell r="G30">
            <v>323.666</v>
          </cell>
          <cell r="H30">
            <v>887.56899999999996</v>
          </cell>
          <cell r="I30">
            <v>1</v>
          </cell>
          <cell r="J30">
            <v>45</v>
          </cell>
          <cell r="K30" t="str">
            <v>матрица</v>
          </cell>
          <cell r="M30">
            <v>476.7</v>
          </cell>
          <cell r="N30">
            <v>11.769000000000005</v>
          </cell>
          <cell r="O30">
            <v>427.16300000000001</v>
          </cell>
          <cell r="P30">
            <v>61.305999999999997</v>
          </cell>
          <cell r="Q30">
            <v>0</v>
          </cell>
          <cell r="R30">
            <v>85.432600000000008</v>
          </cell>
          <cell r="S30">
            <v>393.92000000000007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159</v>
          </cell>
          <cell r="D31">
            <v>47</v>
          </cell>
          <cell r="E31">
            <v>153</v>
          </cell>
          <cell r="F31">
            <v>26</v>
          </cell>
          <cell r="H31">
            <v>26</v>
          </cell>
          <cell r="I31">
            <v>0.4</v>
          </cell>
          <cell r="J31">
            <v>60</v>
          </cell>
          <cell r="K31" t="str">
            <v>матрица</v>
          </cell>
          <cell r="M31">
            <v>208</v>
          </cell>
          <cell r="N31">
            <v>-55</v>
          </cell>
          <cell r="O31">
            <v>129</v>
          </cell>
          <cell r="P31">
            <v>24</v>
          </cell>
          <cell r="Q31">
            <v>274</v>
          </cell>
          <cell r="R31">
            <v>25.8</v>
          </cell>
          <cell r="S31">
            <v>87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869</v>
          </cell>
          <cell r="D32">
            <v>419</v>
          </cell>
          <cell r="E32">
            <v>533</v>
          </cell>
          <cell r="F32">
            <v>707</v>
          </cell>
          <cell r="H32">
            <v>707</v>
          </cell>
          <cell r="I32">
            <v>0.4</v>
          </cell>
          <cell r="J32">
            <v>60</v>
          </cell>
          <cell r="K32" t="str">
            <v>матрица</v>
          </cell>
          <cell r="M32">
            <v>583</v>
          </cell>
          <cell r="N32">
            <v>-50</v>
          </cell>
          <cell r="O32">
            <v>469</v>
          </cell>
          <cell r="P32">
            <v>64</v>
          </cell>
          <cell r="Q32">
            <v>606</v>
          </cell>
          <cell r="R32">
            <v>93.8</v>
          </cell>
          <cell r="S32">
            <v>94</v>
          </cell>
          <cell r="T32">
            <v>200</v>
          </cell>
        </row>
        <row r="33">
          <cell r="A33" t="str">
            <v>6364 СЕРВЕЛАТ ЗЕРНИСТЫЙ ПМ в/к в/у 0.35кг  ОСТАНКИНО</v>
          </cell>
          <cell r="B33" t="str">
            <v>шт</v>
          </cell>
          <cell r="C33">
            <v>-1</v>
          </cell>
          <cell r="F33">
            <v>-1</v>
          </cell>
          <cell r="H33">
            <v>-1</v>
          </cell>
          <cell r="I33">
            <v>0</v>
          </cell>
          <cell r="K33" t="str">
            <v>не в матрице</v>
          </cell>
          <cell r="L33" t="str">
            <v>7154 СЕРВЕЛАТ ЗЕРНИСТЫЙ ПМ в/к в/у 0,35кг_50с  Останкино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</row>
        <row r="34">
          <cell r="A34" t="str">
            <v>6392 ФИЛЕЙНАЯ Папа может вар п/о 0,4кг  ОСТАНКИНО</v>
          </cell>
          <cell r="B34" t="str">
            <v>шт</v>
          </cell>
          <cell r="C34">
            <v>717</v>
          </cell>
          <cell r="D34">
            <v>302</v>
          </cell>
          <cell r="E34">
            <v>380</v>
          </cell>
          <cell r="F34">
            <v>607</v>
          </cell>
          <cell r="H34">
            <v>607</v>
          </cell>
          <cell r="I34">
            <v>0.4</v>
          </cell>
          <cell r="J34">
            <v>60</v>
          </cell>
          <cell r="K34" t="str">
            <v>матрица</v>
          </cell>
          <cell r="M34">
            <v>439</v>
          </cell>
          <cell r="N34">
            <v>-59</v>
          </cell>
          <cell r="O34">
            <v>340</v>
          </cell>
          <cell r="P34">
            <v>40</v>
          </cell>
          <cell r="Q34">
            <v>453</v>
          </cell>
          <cell r="R34">
            <v>68</v>
          </cell>
        </row>
        <row r="35">
          <cell r="A35" t="str">
            <v>6411 ВЕТЧ.РУБЛЕНАЯ ПМ в/у срез 0.3кг 6шт.  ОСТАНКИНО</v>
          </cell>
          <cell r="B35" t="str">
            <v>шт</v>
          </cell>
          <cell r="C35">
            <v>123</v>
          </cell>
          <cell r="D35">
            <v>1</v>
          </cell>
          <cell r="E35">
            <v>36</v>
          </cell>
          <cell r="F35">
            <v>82</v>
          </cell>
          <cell r="H35">
            <v>82</v>
          </cell>
          <cell r="I35">
            <v>0</v>
          </cell>
          <cell r="J35">
            <v>45</v>
          </cell>
          <cell r="K35" t="str">
            <v>вывод</v>
          </cell>
          <cell r="M35">
            <v>48</v>
          </cell>
          <cell r="N35">
            <v>-12</v>
          </cell>
          <cell r="O35">
            <v>36</v>
          </cell>
          <cell r="Q35">
            <v>0</v>
          </cell>
          <cell r="R35">
            <v>7.2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2</v>
          </cell>
          <cell r="F36">
            <v>2</v>
          </cell>
          <cell r="H36">
            <v>2</v>
          </cell>
          <cell r="I36">
            <v>0</v>
          </cell>
          <cell r="J36">
            <v>60</v>
          </cell>
          <cell r="K36" t="str">
            <v>не в матрице</v>
          </cell>
          <cell r="L36" t="str">
            <v>7616 ЭКСТРА Папа может с/к с/н в/у 1/100_  ОСТАНКИНО</v>
          </cell>
          <cell r="N36">
            <v>0</v>
          </cell>
          <cell r="O36">
            <v>0</v>
          </cell>
          <cell r="Q36">
            <v>0</v>
          </cell>
          <cell r="R36">
            <v>0</v>
          </cell>
        </row>
        <row r="37">
          <cell r="A37" t="str">
            <v>6470 ВЕТЧ.МРАМОРНАЯ в/у_45с  ОСТАНКИНО</v>
          </cell>
          <cell r="B37" t="str">
            <v>кг</v>
          </cell>
          <cell r="C37">
            <v>14.555</v>
          </cell>
          <cell r="F37">
            <v>14.555</v>
          </cell>
          <cell r="G37">
            <v>14.462999999999999</v>
          </cell>
          <cell r="H37">
            <v>9.2000000000000526E-2</v>
          </cell>
          <cell r="I37">
            <v>0</v>
          </cell>
          <cell r="J37">
            <v>45</v>
          </cell>
          <cell r="K37" t="str">
            <v>не в матрице</v>
          </cell>
          <cell r="M37">
            <v>17</v>
          </cell>
          <cell r="N37">
            <v>-17</v>
          </cell>
          <cell r="O37">
            <v>0</v>
          </cell>
          <cell r="Q37">
            <v>0</v>
          </cell>
          <cell r="R37">
            <v>0</v>
          </cell>
        </row>
        <row r="38">
          <cell r="A38" t="str">
            <v>6475 Сосиски Папа может 400г С сыром  ОСТАНКИНО</v>
          </cell>
          <cell r="B38" t="str">
            <v>шт</v>
          </cell>
          <cell r="C38">
            <v>114</v>
          </cell>
          <cell r="E38">
            <v>36</v>
          </cell>
          <cell r="F38">
            <v>78</v>
          </cell>
          <cell r="G38">
            <v>78</v>
          </cell>
          <cell r="H38">
            <v>0</v>
          </cell>
          <cell r="I38">
            <v>0</v>
          </cell>
          <cell r="K38" t="str">
            <v>не в матрице</v>
          </cell>
          <cell r="M38">
            <v>103</v>
          </cell>
          <cell r="N38">
            <v>-67</v>
          </cell>
          <cell r="O38">
            <v>0</v>
          </cell>
          <cell r="P38">
            <v>36</v>
          </cell>
          <cell r="Q38">
            <v>0</v>
          </cell>
          <cell r="R38">
            <v>0</v>
          </cell>
        </row>
        <row r="39">
          <cell r="A39" t="str">
            <v>6495 ВЕТЧ.МРАМОРНАЯ в/у срез 0,3кг 6шт_45с  Останкино</v>
          </cell>
          <cell r="B39" t="str">
            <v>шт</v>
          </cell>
          <cell r="C39">
            <v>129</v>
          </cell>
          <cell r="D39">
            <v>98</v>
          </cell>
          <cell r="E39">
            <v>81</v>
          </cell>
          <cell r="F39">
            <v>126</v>
          </cell>
          <cell r="H39">
            <v>126</v>
          </cell>
          <cell r="I39">
            <v>0.3</v>
          </cell>
          <cell r="J39">
            <v>45</v>
          </cell>
          <cell r="K39" t="str">
            <v>матрица</v>
          </cell>
          <cell r="M39">
            <v>113</v>
          </cell>
          <cell r="N39">
            <v>-32</v>
          </cell>
          <cell r="O39">
            <v>81</v>
          </cell>
          <cell r="Q39">
            <v>0</v>
          </cell>
          <cell r="R39">
            <v>16.2</v>
          </cell>
          <cell r="S39">
            <v>117</v>
          </cell>
        </row>
        <row r="40">
          <cell r="A40" t="str">
            <v>6498 МОЛОЧНАЯ Папа может вар п/о  ОСТАНКИНО</v>
          </cell>
          <cell r="B40" t="str">
            <v>кг</v>
          </cell>
          <cell r="C40">
            <v>753.81100000000004</v>
          </cell>
          <cell r="D40">
            <v>518.58699999999999</v>
          </cell>
          <cell r="E40">
            <v>139.58000000000001</v>
          </cell>
          <cell r="F40">
            <v>1123.6590000000001</v>
          </cell>
          <cell r="G40">
            <v>360.72699999999998</v>
          </cell>
          <cell r="H40">
            <v>762.93200000000013</v>
          </cell>
          <cell r="I40">
            <v>1</v>
          </cell>
          <cell r="J40">
            <v>60</v>
          </cell>
          <cell r="K40" t="str">
            <v>матрица</v>
          </cell>
          <cell r="M40">
            <v>173.8</v>
          </cell>
          <cell r="N40">
            <v>-34.22</v>
          </cell>
          <cell r="O40">
            <v>86.77000000000001</v>
          </cell>
          <cell r="P40">
            <v>52.81</v>
          </cell>
          <cell r="Q40">
            <v>0</v>
          </cell>
          <cell r="R40">
            <v>17.354000000000003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22.981999999999999</v>
          </cell>
          <cell r="D41">
            <v>141.768</v>
          </cell>
          <cell r="E41">
            <v>28.994</v>
          </cell>
          <cell r="F41">
            <v>127.858</v>
          </cell>
          <cell r="H41">
            <v>127.858</v>
          </cell>
          <cell r="I41">
            <v>1</v>
          </cell>
          <cell r="J41">
            <v>45</v>
          </cell>
          <cell r="K41" t="str">
            <v>матрица</v>
          </cell>
          <cell r="M41">
            <v>84.2</v>
          </cell>
          <cell r="N41">
            <v>-55.206000000000003</v>
          </cell>
          <cell r="O41">
            <v>28.994</v>
          </cell>
          <cell r="Q41">
            <v>160</v>
          </cell>
          <cell r="R41">
            <v>5.7988</v>
          </cell>
        </row>
        <row r="42">
          <cell r="A42" t="str">
            <v>6550 МЯСНЫЕ Папа может сар б/о мгс 1*3 О 45с  Останкино</v>
          </cell>
          <cell r="B42" t="str">
            <v>кг</v>
          </cell>
          <cell r="C42">
            <v>267.53500000000003</v>
          </cell>
          <cell r="D42">
            <v>72.414000000000001</v>
          </cell>
          <cell r="E42">
            <v>107.10599999999999</v>
          </cell>
          <cell r="F42">
            <v>227.56100000000001</v>
          </cell>
          <cell r="G42">
            <v>50.112000000000002</v>
          </cell>
          <cell r="H42">
            <v>177.44900000000001</v>
          </cell>
          <cell r="I42">
            <v>1</v>
          </cell>
          <cell r="J42">
            <v>45</v>
          </cell>
          <cell r="K42" t="str">
            <v>матрица</v>
          </cell>
          <cell r="M42">
            <v>104.251</v>
          </cell>
          <cell r="N42">
            <v>2.8549999999999898</v>
          </cell>
          <cell r="O42">
            <v>88.221999999999994</v>
          </cell>
          <cell r="P42">
            <v>18.884</v>
          </cell>
          <cell r="Q42">
            <v>340</v>
          </cell>
          <cell r="R42">
            <v>17.644399999999997</v>
          </cell>
        </row>
        <row r="43">
          <cell r="A43" t="str">
            <v>6608 С ГОВЯДИНОЙ ОРИГИН. сар б/о мгс 1*3_45с  ОСТАНКИНО</v>
          </cell>
          <cell r="B43" t="str">
            <v>кг</v>
          </cell>
          <cell r="C43">
            <v>66.418000000000006</v>
          </cell>
          <cell r="D43">
            <v>62.37</v>
          </cell>
          <cell r="E43">
            <v>55.036000000000001</v>
          </cell>
          <cell r="F43">
            <v>68.498000000000005</v>
          </cell>
          <cell r="H43">
            <v>68.498000000000005</v>
          </cell>
          <cell r="I43">
            <v>1</v>
          </cell>
          <cell r="J43">
            <v>45</v>
          </cell>
          <cell r="K43" t="str">
            <v>матрица</v>
          </cell>
          <cell r="M43">
            <v>68.099999999999994</v>
          </cell>
          <cell r="N43">
            <v>-13.063999999999993</v>
          </cell>
          <cell r="O43">
            <v>55.036000000000001</v>
          </cell>
          <cell r="Q43">
            <v>47</v>
          </cell>
          <cell r="R43">
            <v>11.007200000000001</v>
          </cell>
          <cell r="S43">
            <v>49.61</v>
          </cell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279</v>
          </cell>
          <cell r="D44">
            <v>317</v>
          </cell>
          <cell r="E44">
            <v>218</v>
          </cell>
          <cell r="F44">
            <v>363</v>
          </cell>
          <cell r="G44">
            <v>120</v>
          </cell>
          <cell r="H44">
            <v>243</v>
          </cell>
          <cell r="I44">
            <v>0.3</v>
          </cell>
          <cell r="J44">
            <v>45</v>
          </cell>
          <cell r="K44" t="str">
            <v>матрица</v>
          </cell>
          <cell r="M44">
            <v>391</v>
          </cell>
          <cell r="N44">
            <v>-173</v>
          </cell>
          <cell r="O44">
            <v>186</v>
          </cell>
          <cell r="P44">
            <v>32</v>
          </cell>
          <cell r="Q44">
            <v>964</v>
          </cell>
          <cell r="R44">
            <v>37.200000000000003</v>
          </cell>
        </row>
        <row r="45">
          <cell r="A45" t="str">
            <v>6620 РЕБРЫШКИ к/в в/у_30с  Останкино</v>
          </cell>
          <cell r="B45" t="str">
            <v>кг</v>
          </cell>
          <cell r="C45">
            <v>58.716000000000001</v>
          </cell>
          <cell r="D45">
            <v>55.527999999999999</v>
          </cell>
          <cell r="E45">
            <v>12.874000000000001</v>
          </cell>
          <cell r="F45">
            <v>94.372</v>
          </cell>
          <cell r="G45">
            <v>55.92</v>
          </cell>
          <cell r="H45">
            <v>38.451999999999998</v>
          </cell>
          <cell r="I45">
            <v>1</v>
          </cell>
          <cell r="K45" t="str">
            <v>матрица</v>
          </cell>
          <cell r="M45">
            <v>90.451999999999998</v>
          </cell>
          <cell r="N45">
            <v>-77.578000000000003</v>
          </cell>
          <cell r="O45">
            <v>12.874000000000001</v>
          </cell>
          <cell r="Q45">
            <v>120</v>
          </cell>
          <cell r="R45">
            <v>2.5748000000000002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>
            <v>254.393</v>
          </cell>
          <cell r="E46">
            <v>82.790999999999997</v>
          </cell>
          <cell r="F46">
            <v>170.042</v>
          </cell>
          <cell r="G46">
            <v>81.055000000000007</v>
          </cell>
          <cell r="H46">
            <v>88.986999999999995</v>
          </cell>
          <cell r="I46">
            <v>1</v>
          </cell>
          <cell r="J46">
            <v>45</v>
          </cell>
          <cell r="K46" t="str">
            <v>матрица</v>
          </cell>
          <cell r="M46">
            <v>82</v>
          </cell>
          <cell r="N46">
            <v>0.79099999999999682</v>
          </cell>
          <cell r="O46">
            <v>82.790999999999997</v>
          </cell>
          <cell r="Q46">
            <v>0</v>
          </cell>
          <cell r="R46">
            <v>16.558199999999999</v>
          </cell>
          <cell r="S46">
            <v>126.2696</v>
          </cell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884</v>
          </cell>
          <cell r="D47">
            <v>496</v>
          </cell>
          <cell r="E47">
            <v>670</v>
          </cell>
          <cell r="F47">
            <v>659</v>
          </cell>
          <cell r="H47">
            <v>659</v>
          </cell>
          <cell r="I47">
            <v>0.35</v>
          </cell>
          <cell r="J47">
            <v>45</v>
          </cell>
          <cell r="K47" t="str">
            <v>матрица</v>
          </cell>
          <cell r="M47">
            <v>803</v>
          </cell>
          <cell r="N47">
            <v>-133</v>
          </cell>
          <cell r="O47">
            <v>670</v>
          </cell>
          <cell r="Q47">
            <v>1400</v>
          </cell>
          <cell r="R47">
            <v>134</v>
          </cell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916</v>
          </cell>
          <cell r="D48">
            <v>27</v>
          </cell>
          <cell r="E48">
            <v>46</v>
          </cell>
          <cell r="F48">
            <v>889</v>
          </cell>
          <cell r="G48">
            <v>841</v>
          </cell>
          <cell r="H48">
            <v>48</v>
          </cell>
          <cell r="I48">
            <v>0.41</v>
          </cell>
          <cell r="J48">
            <v>45</v>
          </cell>
          <cell r="K48" t="str">
            <v>матрица</v>
          </cell>
          <cell r="M48">
            <v>322</v>
          </cell>
          <cell r="N48">
            <v>-276</v>
          </cell>
          <cell r="O48">
            <v>30</v>
          </cell>
          <cell r="P48">
            <v>16</v>
          </cell>
          <cell r="Q48">
            <v>0</v>
          </cell>
          <cell r="R48">
            <v>6</v>
          </cell>
          <cell r="S48">
            <v>42</v>
          </cell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278</v>
          </cell>
          <cell r="D49">
            <v>648</v>
          </cell>
          <cell r="E49">
            <v>303</v>
          </cell>
          <cell r="F49">
            <v>619</v>
          </cell>
          <cell r="G49">
            <v>100</v>
          </cell>
          <cell r="H49">
            <v>519</v>
          </cell>
          <cell r="I49">
            <v>0.41</v>
          </cell>
          <cell r="J49">
            <v>45</v>
          </cell>
          <cell r="K49" t="str">
            <v>матрица</v>
          </cell>
          <cell r="M49">
            <v>408</v>
          </cell>
          <cell r="N49">
            <v>-105</v>
          </cell>
          <cell r="O49">
            <v>243</v>
          </cell>
          <cell r="P49">
            <v>60</v>
          </cell>
          <cell r="Q49">
            <v>102</v>
          </cell>
          <cell r="R49">
            <v>48.6</v>
          </cell>
          <cell r="S49">
            <v>108</v>
          </cell>
        </row>
        <row r="50">
          <cell r="A50" t="str">
            <v>6761 МОЛОЧНЫЕ ГОСТ сос ц/о мгс 1*4  Останкино</v>
          </cell>
          <cell r="B50" t="str">
            <v>кг</v>
          </cell>
          <cell r="C50">
            <v>16.449000000000002</v>
          </cell>
          <cell r="F50">
            <v>16.449000000000002</v>
          </cell>
          <cell r="H50">
            <v>16.449000000000002</v>
          </cell>
          <cell r="I50">
            <v>0</v>
          </cell>
          <cell r="J50">
            <v>30</v>
          </cell>
          <cell r="K50" t="str">
            <v>не в матрице</v>
          </cell>
          <cell r="N50">
            <v>0</v>
          </cell>
          <cell r="O50">
            <v>0</v>
          </cell>
          <cell r="Q50">
            <v>0</v>
          </cell>
          <cell r="R50">
            <v>0</v>
          </cell>
        </row>
        <row r="51">
          <cell r="A51" t="str">
            <v>6765 РУБЛЕНЫЕ сос ц/о мгс 0,36кг 6шт  Останкино</v>
          </cell>
          <cell r="B51" t="str">
            <v>шт</v>
          </cell>
          <cell r="C51">
            <v>5</v>
          </cell>
          <cell r="D51">
            <v>57</v>
          </cell>
          <cell r="E51">
            <v>11</v>
          </cell>
          <cell r="F51">
            <v>50</v>
          </cell>
          <cell r="H51">
            <v>50</v>
          </cell>
          <cell r="I51">
            <v>0.36</v>
          </cell>
          <cell r="J51">
            <v>45</v>
          </cell>
          <cell r="K51" t="str">
            <v>матрица</v>
          </cell>
          <cell r="M51">
            <v>73</v>
          </cell>
          <cell r="N51">
            <v>-62</v>
          </cell>
          <cell r="O51">
            <v>11</v>
          </cell>
          <cell r="Q51">
            <v>117</v>
          </cell>
          <cell r="R51">
            <v>2.2000000000000002</v>
          </cell>
        </row>
        <row r="52">
          <cell r="A52" t="str">
            <v>6787 СЕРВЕЛАТ КРЕМЛЕВСКИЙ в/к в/у 0,33кг 8шт  Останкино</v>
          </cell>
          <cell r="B52" t="str">
            <v>шт</v>
          </cell>
          <cell r="C52">
            <v>28</v>
          </cell>
          <cell r="D52">
            <v>122</v>
          </cell>
          <cell r="E52">
            <v>30</v>
          </cell>
          <cell r="F52">
            <v>107</v>
          </cell>
          <cell r="H52">
            <v>107</v>
          </cell>
          <cell r="I52">
            <v>0.33</v>
          </cell>
          <cell r="J52">
            <v>45</v>
          </cell>
          <cell r="K52" t="str">
            <v>матрица</v>
          </cell>
          <cell r="M52">
            <v>103</v>
          </cell>
          <cell r="N52">
            <v>-73</v>
          </cell>
          <cell r="O52">
            <v>30</v>
          </cell>
          <cell r="Q52">
            <v>211</v>
          </cell>
          <cell r="R52">
            <v>6</v>
          </cell>
        </row>
        <row r="53">
          <cell r="A53" t="str">
            <v>6797 С ИНДЕЙКОЙ Папа может вар п/о 0,4кг 8шт. ОСТАНКИНО</v>
          </cell>
          <cell r="B53" t="str">
            <v>шт</v>
          </cell>
          <cell r="C53">
            <v>310</v>
          </cell>
          <cell r="D53">
            <v>65</v>
          </cell>
          <cell r="E53">
            <v>214</v>
          </cell>
          <cell r="F53">
            <v>154</v>
          </cell>
          <cell r="G53">
            <v>24</v>
          </cell>
          <cell r="H53">
            <v>130</v>
          </cell>
          <cell r="I53">
            <v>0.4</v>
          </cell>
          <cell r="J53">
            <v>60</v>
          </cell>
          <cell r="K53" t="str">
            <v>матрица</v>
          </cell>
          <cell r="M53">
            <v>234</v>
          </cell>
          <cell r="N53">
            <v>-20</v>
          </cell>
          <cell r="O53">
            <v>182</v>
          </cell>
          <cell r="P53">
            <v>32</v>
          </cell>
          <cell r="Q53">
            <v>306</v>
          </cell>
          <cell r="R53">
            <v>36.4</v>
          </cell>
          <cell r="S53">
            <v>110</v>
          </cell>
        </row>
        <row r="54">
          <cell r="A54" t="str">
            <v>6807 СЕРВЕЛАТ ЕВРОПЕЙСКИЙ в/к в/у 0,33кг 8шт  Останкино</v>
          </cell>
          <cell r="B54" t="str">
            <v>шт</v>
          </cell>
          <cell r="C54">
            <v>20</v>
          </cell>
          <cell r="E54">
            <v>11</v>
          </cell>
          <cell r="F54">
            <v>9</v>
          </cell>
          <cell r="H54">
            <v>9</v>
          </cell>
          <cell r="I54">
            <v>0.33</v>
          </cell>
          <cell r="J54">
            <v>45</v>
          </cell>
          <cell r="K54" t="str">
            <v>матрица</v>
          </cell>
          <cell r="M54">
            <v>16</v>
          </cell>
          <cell r="N54">
            <v>-5</v>
          </cell>
          <cell r="O54">
            <v>11</v>
          </cell>
          <cell r="Q54">
            <v>19</v>
          </cell>
          <cell r="R54">
            <v>2.2000000000000002</v>
          </cell>
          <cell r="S54">
            <v>5</v>
          </cell>
        </row>
        <row r="55">
          <cell r="A55" t="str">
            <v>6829  МОЛОЧНЫЕ КЛАССИЧЕСКИЕ сос п/о мгс 2*4 С  Останккино</v>
          </cell>
          <cell r="B55" t="str">
            <v>кг</v>
          </cell>
          <cell r="C55">
            <v>231.238</v>
          </cell>
          <cell r="D55">
            <v>331.41399999999999</v>
          </cell>
          <cell r="E55">
            <v>237.93600000000001</v>
          </cell>
          <cell r="F55">
            <v>301.26400000000001</v>
          </cell>
          <cell r="H55">
            <v>301.26400000000001</v>
          </cell>
          <cell r="I55">
            <v>1</v>
          </cell>
          <cell r="J55">
            <v>45</v>
          </cell>
          <cell r="K55" t="str">
            <v>матрица</v>
          </cell>
          <cell r="M55">
            <v>250.3</v>
          </cell>
          <cell r="N55">
            <v>-12.364000000000004</v>
          </cell>
          <cell r="O55">
            <v>237.93600000000001</v>
          </cell>
          <cell r="Q55">
            <v>664</v>
          </cell>
          <cell r="R55">
            <v>47.587200000000003</v>
          </cell>
        </row>
        <row r="56">
          <cell r="A56" t="str">
            <v>6837 ФИЛЕЙНЫЕ Папа Может сос ц/о мгс 0,4кг  Останкино</v>
          </cell>
          <cell r="B56" t="str">
            <v>шт</v>
          </cell>
          <cell r="C56">
            <v>240</v>
          </cell>
          <cell r="E56">
            <v>78</v>
          </cell>
          <cell r="F56">
            <v>162</v>
          </cell>
          <cell r="G56">
            <v>48</v>
          </cell>
          <cell r="H56">
            <v>114</v>
          </cell>
          <cell r="I56">
            <v>0.4</v>
          </cell>
          <cell r="J56">
            <v>45</v>
          </cell>
          <cell r="K56" t="str">
            <v>матрица</v>
          </cell>
          <cell r="M56">
            <v>128</v>
          </cell>
          <cell r="N56">
            <v>-50</v>
          </cell>
          <cell r="O56">
            <v>0</v>
          </cell>
          <cell r="P56">
            <v>78</v>
          </cell>
          <cell r="Q56">
            <v>0</v>
          </cell>
          <cell r="R56">
            <v>0</v>
          </cell>
          <cell r="T56">
            <v>100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H57">
            <v>0</v>
          </cell>
          <cell r="I57">
            <v>0</v>
          </cell>
          <cell r="K57" t="str">
            <v>матрица</v>
          </cell>
          <cell r="M57">
            <v>2</v>
          </cell>
          <cell r="N57">
            <v>-2</v>
          </cell>
          <cell r="O57">
            <v>0</v>
          </cell>
          <cell r="Q57">
            <v>0</v>
          </cell>
          <cell r="R57">
            <v>0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184.69499999999999</v>
          </cell>
          <cell r="D58">
            <v>66.465000000000003</v>
          </cell>
          <cell r="E58">
            <v>68.5</v>
          </cell>
          <cell r="F58">
            <v>182.66</v>
          </cell>
          <cell r="G58">
            <v>126.52500000000001</v>
          </cell>
          <cell r="H58">
            <v>56.134999999999991</v>
          </cell>
          <cell r="I58">
            <v>1</v>
          </cell>
          <cell r="J58">
            <v>60</v>
          </cell>
          <cell r="K58" t="str">
            <v>матрица</v>
          </cell>
          <cell r="M58">
            <v>63.3</v>
          </cell>
          <cell r="N58">
            <v>5.2000000000000028</v>
          </cell>
          <cell r="O58">
            <v>68.5</v>
          </cell>
          <cell r="Q58">
            <v>0</v>
          </cell>
          <cell r="R58">
            <v>13.7</v>
          </cell>
          <cell r="S58">
            <v>108.26499999999999</v>
          </cell>
          <cell r="T58">
            <v>200</v>
          </cell>
        </row>
        <row r="59">
          <cell r="A59" t="str">
            <v>6925 ВЕТЧ.КЛАССИЧЕСКАЯ в/у 0,6кг 8шт. ОСТАНКИНО</v>
          </cell>
          <cell r="B59" t="str">
            <v>шт</v>
          </cell>
          <cell r="C59">
            <v>81</v>
          </cell>
          <cell r="D59">
            <v>9</v>
          </cell>
          <cell r="E59">
            <v>26</v>
          </cell>
          <cell r="F59">
            <v>62</v>
          </cell>
          <cell r="G59">
            <v>32</v>
          </cell>
          <cell r="H59">
            <v>30</v>
          </cell>
          <cell r="I59">
            <v>0</v>
          </cell>
          <cell r="J59">
            <v>45</v>
          </cell>
          <cell r="K59" t="str">
            <v>вывод</v>
          </cell>
          <cell r="M59">
            <v>44</v>
          </cell>
          <cell r="N59">
            <v>-18</v>
          </cell>
          <cell r="O59">
            <v>26</v>
          </cell>
          <cell r="Q59">
            <v>0</v>
          </cell>
          <cell r="R59">
            <v>5.2</v>
          </cell>
        </row>
        <row r="60">
          <cell r="A60" t="str">
            <v>6929 КАРБОНАД ДОМАШНИЙ ПМ к/в кр/к в/у  ОСТАНКИНО</v>
          </cell>
          <cell r="B60" t="str">
            <v>кг</v>
          </cell>
          <cell r="D60">
            <v>98.896000000000001</v>
          </cell>
          <cell r="E60">
            <v>1.716</v>
          </cell>
          <cell r="F60">
            <v>97.18</v>
          </cell>
          <cell r="H60">
            <v>97.18</v>
          </cell>
          <cell r="I60">
            <v>1</v>
          </cell>
          <cell r="J60">
            <v>45</v>
          </cell>
          <cell r="K60" t="str">
            <v>матрица</v>
          </cell>
          <cell r="M60">
            <v>5.7160000000000002</v>
          </cell>
          <cell r="N60">
            <v>-4</v>
          </cell>
          <cell r="O60">
            <v>1.716</v>
          </cell>
          <cell r="Q60">
            <v>0</v>
          </cell>
          <cell r="R60">
            <v>0.34320000000000001</v>
          </cell>
          <cell r="T60">
            <v>50</v>
          </cell>
        </row>
        <row r="61">
          <cell r="A61" t="str">
            <v>6937 САЛЯМИ Папа может с/к в/у 1/250 8шт  Останкино</v>
          </cell>
          <cell r="B61" t="str">
            <v>шт</v>
          </cell>
          <cell r="C61">
            <v>120</v>
          </cell>
          <cell r="E61">
            <v>1</v>
          </cell>
          <cell r="F61">
            <v>119</v>
          </cell>
          <cell r="H61">
            <v>119</v>
          </cell>
          <cell r="I61">
            <v>0</v>
          </cell>
          <cell r="K61" t="str">
            <v>не в матрице</v>
          </cell>
          <cell r="M61">
            <v>1</v>
          </cell>
          <cell r="N61">
            <v>0</v>
          </cell>
          <cell r="O61">
            <v>1</v>
          </cell>
          <cell r="Q61">
            <v>0</v>
          </cell>
          <cell r="R61">
            <v>0.2</v>
          </cell>
        </row>
        <row r="62">
          <cell r="A62" t="str">
            <v>6967 БУРГУНДИЯ Папа может с/к в/у 1/250 8шт  Останкино</v>
          </cell>
          <cell r="B62" t="str">
            <v>шт</v>
          </cell>
          <cell r="C62">
            <v>244</v>
          </cell>
          <cell r="D62">
            <v>81</v>
          </cell>
          <cell r="E62">
            <v>106</v>
          </cell>
          <cell r="F62">
            <v>213</v>
          </cell>
          <cell r="H62">
            <v>213</v>
          </cell>
          <cell r="I62">
            <v>0.25</v>
          </cell>
          <cell r="J62">
            <v>120</v>
          </cell>
          <cell r="K62" t="str">
            <v>матрица</v>
          </cell>
          <cell r="M62">
            <v>114</v>
          </cell>
          <cell r="N62">
            <v>-8</v>
          </cell>
          <cell r="O62">
            <v>106</v>
          </cell>
          <cell r="Q62">
            <v>122</v>
          </cell>
          <cell r="R62">
            <v>21.2</v>
          </cell>
        </row>
        <row r="63">
          <cell r="A63" t="str">
            <v>7001 КЛАССИЧЕСКИЕ Папа может сар б/о мгс 1*3  Останкино</v>
          </cell>
          <cell r="B63" t="str">
            <v>кг</v>
          </cell>
          <cell r="C63">
            <v>20.029</v>
          </cell>
          <cell r="D63">
            <v>71.959999999999994</v>
          </cell>
          <cell r="E63">
            <v>18.888999999999999</v>
          </cell>
          <cell r="F63">
            <v>69.918000000000006</v>
          </cell>
          <cell r="H63">
            <v>69.918000000000006</v>
          </cell>
          <cell r="I63">
            <v>1</v>
          </cell>
          <cell r="J63">
            <v>45</v>
          </cell>
          <cell r="K63" t="str">
            <v>матрица</v>
          </cell>
          <cell r="M63">
            <v>44.1</v>
          </cell>
          <cell r="N63">
            <v>-25.211000000000002</v>
          </cell>
          <cell r="O63">
            <v>18.888999999999999</v>
          </cell>
          <cell r="Q63">
            <v>0</v>
          </cell>
          <cell r="R63">
            <v>3.7778</v>
          </cell>
        </row>
        <row r="64">
          <cell r="A64" t="str">
            <v>7040 С ИНДЕЙКОЙ ПМ сос ц/о в/у 1/270 8шт.  ОСТАНКИНО</v>
          </cell>
          <cell r="B64" t="str">
            <v>шт</v>
          </cell>
          <cell r="C64">
            <v>88</v>
          </cell>
          <cell r="D64">
            <v>70</v>
          </cell>
          <cell r="E64">
            <v>125</v>
          </cell>
          <cell r="F64">
            <v>28</v>
          </cell>
          <cell r="H64">
            <v>28</v>
          </cell>
          <cell r="I64">
            <v>0.27</v>
          </cell>
          <cell r="K64" t="str">
            <v>матрица</v>
          </cell>
          <cell r="M64">
            <v>148</v>
          </cell>
          <cell r="N64">
            <v>-23</v>
          </cell>
          <cell r="O64">
            <v>125</v>
          </cell>
          <cell r="Q64">
            <v>246</v>
          </cell>
          <cell r="R64">
            <v>25</v>
          </cell>
          <cell r="S64">
            <v>101</v>
          </cell>
        </row>
        <row r="65">
          <cell r="A65" t="str">
            <v>7059 ШПИКАЧКИ СОЧНЫЕ С БЕК. п/о мгс 0,3кг 60с ОСТАНКИНО</v>
          </cell>
          <cell r="B65" t="str">
            <v>шт</v>
          </cell>
          <cell r="C65">
            <v>77</v>
          </cell>
          <cell r="D65">
            <v>72</v>
          </cell>
          <cell r="E65">
            <v>97</v>
          </cell>
          <cell r="F65">
            <v>50</v>
          </cell>
          <cell r="H65">
            <v>50</v>
          </cell>
          <cell r="I65">
            <v>0.3</v>
          </cell>
          <cell r="J65">
            <v>60</v>
          </cell>
          <cell r="K65" t="str">
            <v>матрица</v>
          </cell>
          <cell r="M65">
            <v>160</v>
          </cell>
          <cell r="N65">
            <v>-63</v>
          </cell>
          <cell r="O65">
            <v>97</v>
          </cell>
          <cell r="Q65">
            <v>400</v>
          </cell>
          <cell r="R65">
            <v>19.399999999999999</v>
          </cell>
        </row>
        <row r="66">
          <cell r="A66" t="str">
            <v>7066 СОЧНЫЕ ПМ сос п/о мгс 0,41кг 10шт 50с  Останкино</v>
          </cell>
          <cell r="B66" t="str">
            <v>шт</v>
          </cell>
          <cell r="C66">
            <v>2224</v>
          </cell>
          <cell r="D66">
            <v>1386</v>
          </cell>
          <cell r="E66">
            <v>1243</v>
          </cell>
          <cell r="F66">
            <v>2280</v>
          </cell>
          <cell r="G66">
            <v>580</v>
          </cell>
          <cell r="H66">
            <v>1700</v>
          </cell>
          <cell r="I66">
            <v>0.41</v>
          </cell>
          <cell r="J66">
            <v>50</v>
          </cell>
          <cell r="K66" t="str">
            <v>матрица</v>
          </cell>
          <cell r="M66">
            <v>1332</v>
          </cell>
          <cell r="N66">
            <v>-89</v>
          </cell>
          <cell r="O66">
            <v>1163</v>
          </cell>
          <cell r="P66">
            <v>80</v>
          </cell>
          <cell r="Q66">
            <v>0</v>
          </cell>
          <cell r="R66">
            <v>232.6</v>
          </cell>
          <cell r="S66">
            <v>1789</v>
          </cell>
          <cell r="T66">
            <v>2000</v>
          </cell>
        </row>
        <row r="67">
          <cell r="A67" t="str">
            <v>7070 СОЧНЫЕ ПМ сос п/о 1,5*4_А_50с  Останкино</v>
          </cell>
          <cell r="B67" t="str">
            <v>кг</v>
          </cell>
          <cell r="C67">
            <v>638.62599999999998</v>
          </cell>
          <cell r="D67">
            <v>363.2</v>
          </cell>
          <cell r="E67">
            <v>257.62599999999998</v>
          </cell>
          <cell r="F67">
            <v>729.48400000000004</v>
          </cell>
          <cell r="G67">
            <v>230.10300000000001</v>
          </cell>
          <cell r="H67">
            <v>499.38100000000003</v>
          </cell>
          <cell r="I67">
            <v>1</v>
          </cell>
          <cell r="J67">
            <v>50</v>
          </cell>
          <cell r="K67" t="str">
            <v>матрица</v>
          </cell>
          <cell r="M67">
            <v>251.3</v>
          </cell>
          <cell r="N67">
            <v>6.325999999999965</v>
          </cell>
          <cell r="O67">
            <v>202.21899999999999</v>
          </cell>
          <cell r="P67">
            <v>55.406999999999996</v>
          </cell>
          <cell r="Q67">
            <v>0</v>
          </cell>
          <cell r="R67">
            <v>40.443799999999996</v>
          </cell>
          <cell r="S67">
            <v>107.2759999999999</v>
          </cell>
        </row>
        <row r="68">
          <cell r="A68" t="str">
            <v>7073 МОЛОЧ.ПРЕМИУМ ПМ сос п/о в/у 1/350_50с  Останкино</v>
          </cell>
          <cell r="B68" t="str">
            <v>шт</v>
          </cell>
          <cell r="C68">
            <v>290</v>
          </cell>
          <cell r="D68">
            <v>289</v>
          </cell>
          <cell r="E68">
            <v>268</v>
          </cell>
          <cell r="F68">
            <v>286</v>
          </cell>
          <cell r="G68">
            <v>8</v>
          </cell>
          <cell r="H68">
            <v>278</v>
          </cell>
          <cell r="I68">
            <v>0.35</v>
          </cell>
          <cell r="J68">
            <v>50</v>
          </cell>
          <cell r="K68" t="str">
            <v>матрица</v>
          </cell>
          <cell r="M68">
            <v>324</v>
          </cell>
          <cell r="N68">
            <v>-56</v>
          </cell>
          <cell r="O68">
            <v>244</v>
          </cell>
          <cell r="P68">
            <v>24</v>
          </cell>
          <cell r="Q68">
            <v>361</v>
          </cell>
          <cell r="R68">
            <v>48.8</v>
          </cell>
          <cell r="S68">
            <v>93</v>
          </cell>
        </row>
        <row r="69">
          <cell r="A69" t="str">
            <v>7075 МОЛОЧ.ПРЕМИУМ ПМ сос п/о мгс 1,5*4_О_50с  Останкино</v>
          </cell>
          <cell r="B69" t="str">
            <v>кг</v>
          </cell>
          <cell r="C69">
            <v>17.033000000000001</v>
          </cell>
          <cell r="D69">
            <v>7.8849999999999998</v>
          </cell>
          <cell r="E69">
            <v>20.196000000000002</v>
          </cell>
          <cell r="F69">
            <v>-3.0760000000000001</v>
          </cell>
          <cell r="H69">
            <v>-3.0760000000000001</v>
          </cell>
          <cell r="I69">
            <v>1</v>
          </cell>
          <cell r="J69">
            <v>50</v>
          </cell>
          <cell r="K69" t="str">
            <v>матрица</v>
          </cell>
          <cell r="M69">
            <v>26</v>
          </cell>
          <cell r="N69">
            <v>-5.8039999999999985</v>
          </cell>
          <cell r="O69">
            <v>20.196000000000002</v>
          </cell>
          <cell r="Q69">
            <v>61</v>
          </cell>
          <cell r="R69">
            <v>4.0392000000000001</v>
          </cell>
          <cell r="S69">
            <v>4</v>
          </cell>
        </row>
        <row r="70">
          <cell r="A70" t="str">
            <v>7080 СЛИВОЧНЫЕ ПМ сос п/о мгс 0,41кг 10шт 50с  Останкино</v>
          </cell>
          <cell r="B70" t="str">
            <v>шт</v>
          </cell>
          <cell r="C70">
            <v>1552</v>
          </cell>
          <cell r="D70">
            <v>492</v>
          </cell>
          <cell r="E70">
            <v>701</v>
          </cell>
          <cell r="F70">
            <v>1257</v>
          </cell>
          <cell r="G70">
            <v>210</v>
          </cell>
          <cell r="H70">
            <v>1047</v>
          </cell>
          <cell r="I70">
            <v>0.41</v>
          </cell>
          <cell r="J70">
            <v>50</v>
          </cell>
          <cell r="K70" t="str">
            <v>матрица</v>
          </cell>
          <cell r="M70">
            <v>734</v>
          </cell>
          <cell r="N70">
            <v>-33</v>
          </cell>
          <cell r="O70">
            <v>631</v>
          </cell>
          <cell r="P70">
            <v>70</v>
          </cell>
          <cell r="Q70">
            <v>1181</v>
          </cell>
          <cell r="R70">
            <v>126.2</v>
          </cell>
        </row>
        <row r="71">
          <cell r="A71" t="str">
            <v>7083 СЛИВОЧНЫЕ ПМ сос п/о мгс 1.5*4_А_50с  ОСТАНКИНО</v>
          </cell>
          <cell r="B71" t="str">
            <v>кг</v>
          </cell>
          <cell r="C71">
            <v>37.192999999999998</v>
          </cell>
          <cell r="D71">
            <v>221.80099999999999</v>
          </cell>
          <cell r="E71">
            <v>48.168999999999997</v>
          </cell>
          <cell r="F71">
            <v>198.357</v>
          </cell>
          <cell r="H71">
            <v>198.357</v>
          </cell>
          <cell r="I71">
            <v>1</v>
          </cell>
          <cell r="J71">
            <v>50</v>
          </cell>
          <cell r="K71" t="str">
            <v>матрица</v>
          </cell>
          <cell r="M71">
            <v>65.7</v>
          </cell>
          <cell r="N71">
            <v>-17.531000000000006</v>
          </cell>
          <cell r="O71">
            <v>48.168999999999997</v>
          </cell>
          <cell r="Q71">
            <v>0</v>
          </cell>
          <cell r="R71">
            <v>9.633799999999999</v>
          </cell>
        </row>
        <row r="72">
          <cell r="A72" t="str">
            <v>7090 СВИНИНА ПО-ДОМ.к/в мл/к в/у 0,3кг_50с  Останкино</v>
          </cell>
          <cell r="B72" t="str">
            <v>шт</v>
          </cell>
          <cell r="C72">
            <v>343</v>
          </cell>
          <cell r="D72">
            <v>154</v>
          </cell>
          <cell r="E72">
            <v>187</v>
          </cell>
          <cell r="F72">
            <v>286</v>
          </cell>
          <cell r="H72">
            <v>286</v>
          </cell>
          <cell r="I72">
            <v>0.3</v>
          </cell>
          <cell r="J72">
            <v>50</v>
          </cell>
          <cell r="K72" t="str">
            <v>матрица</v>
          </cell>
          <cell r="M72">
            <v>215</v>
          </cell>
          <cell r="N72">
            <v>-28</v>
          </cell>
          <cell r="O72">
            <v>187</v>
          </cell>
          <cell r="Q72">
            <v>0</v>
          </cell>
          <cell r="R72">
            <v>37.4</v>
          </cell>
          <cell r="S72">
            <v>275</v>
          </cell>
        </row>
        <row r="73">
          <cell r="A73" t="str">
            <v>7103 БЕКОН Останкино с/к с/н в/у 1/180_50с  Останкино</v>
          </cell>
          <cell r="B73" t="str">
            <v>шт</v>
          </cell>
          <cell r="C73">
            <v>341</v>
          </cell>
          <cell r="D73">
            <v>49</v>
          </cell>
          <cell r="E73">
            <v>112</v>
          </cell>
          <cell r="F73">
            <v>277</v>
          </cell>
          <cell r="H73">
            <v>277</v>
          </cell>
          <cell r="I73">
            <v>0.18</v>
          </cell>
          <cell r="J73">
            <v>50</v>
          </cell>
          <cell r="K73" t="str">
            <v>матрица</v>
          </cell>
          <cell r="M73">
            <v>156</v>
          </cell>
          <cell r="N73">
            <v>-44</v>
          </cell>
          <cell r="O73">
            <v>112</v>
          </cell>
          <cell r="Q73">
            <v>0</v>
          </cell>
          <cell r="R73">
            <v>22.4</v>
          </cell>
          <cell r="S73">
            <v>59</v>
          </cell>
        </row>
        <row r="74">
          <cell r="A74" t="str">
            <v>7143 БРАУНШВЕЙГСКАЯ ГОСТ с/к в/у 1/220 8шт.  ОСТАНКИНО</v>
          </cell>
          <cell r="B74" t="str">
            <v>шт</v>
          </cell>
          <cell r="D74">
            <v>120</v>
          </cell>
          <cell r="F74">
            <v>120</v>
          </cell>
          <cell r="H74">
            <v>120</v>
          </cell>
          <cell r="I74">
            <v>0.22</v>
          </cell>
          <cell r="J74">
            <v>120</v>
          </cell>
          <cell r="K74" t="str">
            <v>матрица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</row>
        <row r="75">
          <cell r="A75" t="str">
            <v>7149 БАЛЫКОВАЯ Коровино п/к в/у 0,84кг_50с  Останкино</v>
          </cell>
          <cell r="B75" t="str">
            <v>кг</v>
          </cell>
          <cell r="H75">
            <v>0</v>
          </cell>
          <cell r="I75">
            <v>0</v>
          </cell>
          <cell r="K75" t="str">
            <v>матрица</v>
          </cell>
          <cell r="M75">
            <v>23</v>
          </cell>
          <cell r="N75">
            <v>-23</v>
          </cell>
          <cell r="O75">
            <v>0</v>
          </cell>
          <cell r="Q75">
            <v>0</v>
          </cell>
          <cell r="R75">
            <v>0</v>
          </cell>
        </row>
        <row r="76">
          <cell r="A76" t="str">
            <v>7154 СЕРВЕЛАТ ЗЕРНИСТЫЙ ПМ в/к в/у 0,35кг_50с  Останкино</v>
          </cell>
          <cell r="B76" t="str">
            <v>шт</v>
          </cell>
          <cell r="C76">
            <v>1622</v>
          </cell>
          <cell r="D76">
            <v>375</v>
          </cell>
          <cell r="E76">
            <v>626</v>
          </cell>
          <cell r="F76">
            <v>1314</v>
          </cell>
          <cell r="G76">
            <v>168</v>
          </cell>
          <cell r="H76">
            <v>1146</v>
          </cell>
          <cell r="I76">
            <v>0.35</v>
          </cell>
          <cell r="J76">
            <v>50</v>
          </cell>
          <cell r="K76" t="str">
            <v>матрица</v>
          </cell>
          <cell r="M76">
            <v>667</v>
          </cell>
          <cell r="N76">
            <v>-41</v>
          </cell>
          <cell r="O76">
            <v>546</v>
          </cell>
          <cell r="P76">
            <v>80</v>
          </cell>
          <cell r="Q76">
            <v>415</v>
          </cell>
          <cell r="R76">
            <v>109.2</v>
          </cell>
          <cell r="S76">
            <v>77</v>
          </cell>
          <cell r="T76">
            <v>170</v>
          </cell>
        </row>
        <row r="77">
          <cell r="A77" t="str">
            <v>7156 СЕРВЕЛАТ КОПЧ.НА БУКЕ в/к в/у 0.35кг_50с</v>
          </cell>
          <cell r="B77" t="str">
            <v>шт</v>
          </cell>
          <cell r="H77">
            <v>0</v>
          </cell>
          <cell r="I77">
            <v>0</v>
          </cell>
          <cell r="K77" t="str">
            <v>матрица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</row>
        <row r="78">
          <cell r="A78" t="str">
            <v>7157 СЕРВЕЛАТ ЗЕРНИСТЫЙ ПМ в/к в/у_50с  Останкино</v>
          </cell>
          <cell r="B78" t="str">
            <v>кг</v>
          </cell>
          <cell r="C78">
            <v>457.10300000000001</v>
          </cell>
          <cell r="D78">
            <v>88.622</v>
          </cell>
          <cell r="E78">
            <v>175.934</v>
          </cell>
          <cell r="F78">
            <v>345.71699999999998</v>
          </cell>
          <cell r="G78">
            <v>178.17599999999999</v>
          </cell>
          <cell r="H78">
            <v>167.541</v>
          </cell>
          <cell r="I78">
            <v>1</v>
          </cell>
          <cell r="J78">
            <v>50</v>
          </cell>
          <cell r="K78" t="str">
            <v>матрица</v>
          </cell>
          <cell r="M78">
            <v>197.6</v>
          </cell>
          <cell r="N78">
            <v>-21.665999999999997</v>
          </cell>
          <cell r="O78">
            <v>159.166</v>
          </cell>
          <cell r="P78">
            <v>16.768000000000001</v>
          </cell>
          <cell r="Q78">
            <v>124</v>
          </cell>
          <cell r="R78">
            <v>31.833199999999998</v>
          </cell>
          <cell r="S78">
            <v>185.95699999999999</v>
          </cell>
          <cell r="T78">
            <v>300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766.90200000000004</v>
          </cell>
          <cell r="D79">
            <v>166.26599999999999</v>
          </cell>
          <cell r="E79">
            <v>322.98399999999998</v>
          </cell>
          <cell r="F79">
            <v>589.10599999999999</v>
          </cell>
          <cell r="G79">
            <v>268.99200000000002</v>
          </cell>
          <cell r="H79">
            <v>320.11399999999998</v>
          </cell>
          <cell r="I79">
            <v>1</v>
          </cell>
          <cell r="J79">
            <v>50</v>
          </cell>
          <cell r="K79" t="str">
            <v>матрица</v>
          </cell>
          <cell r="M79">
            <v>318.76900000000001</v>
          </cell>
          <cell r="N79">
            <v>4.214999999999975</v>
          </cell>
          <cell r="O79">
            <v>283.14400000000001</v>
          </cell>
          <cell r="P79">
            <v>39.840000000000003</v>
          </cell>
          <cell r="Q79">
            <v>277</v>
          </cell>
          <cell r="R79">
            <v>56.628799999999998</v>
          </cell>
          <cell r="S79">
            <v>252.31800000000004</v>
          </cell>
          <cell r="T79">
            <v>400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1234</v>
          </cell>
          <cell r="D80">
            <v>405</v>
          </cell>
          <cell r="E80">
            <v>779</v>
          </cell>
          <cell r="F80">
            <v>786</v>
          </cell>
          <cell r="G80">
            <v>32</v>
          </cell>
          <cell r="H80">
            <v>754</v>
          </cell>
          <cell r="I80">
            <v>0.35</v>
          </cell>
          <cell r="J80">
            <v>50</v>
          </cell>
          <cell r="K80" t="str">
            <v>матрица</v>
          </cell>
          <cell r="M80">
            <v>853</v>
          </cell>
          <cell r="N80">
            <v>-74</v>
          </cell>
          <cell r="O80">
            <v>707</v>
          </cell>
          <cell r="P80">
            <v>72</v>
          </cell>
          <cell r="Q80">
            <v>900</v>
          </cell>
          <cell r="R80">
            <v>141.4</v>
          </cell>
          <cell r="S80">
            <v>467</v>
          </cell>
          <cell r="T80">
            <v>600</v>
          </cell>
        </row>
        <row r="81">
          <cell r="A81" t="str">
            <v>7177 ЧЕСНОЧНАЯ ПМ п/к в/у 0,35кг 8шт_50с  Останкино</v>
          </cell>
          <cell r="B81" t="str">
            <v>шт</v>
          </cell>
          <cell r="C81">
            <v>71</v>
          </cell>
          <cell r="D81">
            <v>8</v>
          </cell>
          <cell r="E81">
            <v>6</v>
          </cell>
          <cell r="F81">
            <v>71</v>
          </cell>
          <cell r="G81">
            <v>32</v>
          </cell>
          <cell r="H81">
            <v>39</v>
          </cell>
          <cell r="I81">
            <v>0</v>
          </cell>
          <cell r="K81" t="str">
            <v>не в матрице</v>
          </cell>
          <cell r="M81">
            <v>69</v>
          </cell>
          <cell r="N81">
            <v>-63</v>
          </cell>
          <cell r="O81">
            <v>-2</v>
          </cell>
          <cell r="P81">
            <v>8</v>
          </cell>
          <cell r="Q81">
            <v>0</v>
          </cell>
          <cell r="R81">
            <v>-0.4</v>
          </cell>
        </row>
        <row r="82">
          <cell r="A82" t="str">
            <v>7187 ГРУДИНКА ПРЕМИУМ к/в мл/к в/у 0,3кг_50с  Останкино</v>
          </cell>
          <cell r="B82" t="str">
            <v>шт</v>
          </cell>
          <cell r="C82">
            <v>228</v>
          </cell>
          <cell r="D82">
            <v>62</v>
          </cell>
          <cell r="E82">
            <v>238</v>
          </cell>
          <cell r="F82">
            <v>24</v>
          </cell>
          <cell r="H82">
            <v>24</v>
          </cell>
          <cell r="I82">
            <v>0.3</v>
          </cell>
          <cell r="J82">
            <v>50</v>
          </cell>
          <cell r="K82" t="str">
            <v>матрица</v>
          </cell>
          <cell r="M82">
            <v>313</v>
          </cell>
          <cell r="N82">
            <v>-75</v>
          </cell>
          <cell r="O82">
            <v>208</v>
          </cell>
          <cell r="P82">
            <v>30</v>
          </cell>
          <cell r="Q82">
            <v>325</v>
          </cell>
          <cell r="R82">
            <v>41.6</v>
          </cell>
          <cell r="S82">
            <v>275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9</v>
          </cell>
          <cell r="D83">
            <v>51</v>
          </cell>
          <cell r="E83">
            <v>13</v>
          </cell>
          <cell r="F83">
            <v>47</v>
          </cell>
          <cell r="H83">
            <v>47</v>
          </cell>
          <cell r="I83">
            <v>0.3</v>
          </cell>
          <cell r="J83">
            <v>60</v>
          </cell>
          <cell r="K83" t="str">
            <v>матрица</v>
          </cell>
          <cell r="M83">
            <v>55</v>
          </cell>
          <cell r="N83">
            <v>-42</v>
          </cell>
          <cell r="O83">
            <v>13</v>
          </cell>
          <cell r="Q83">
            <v>99</v>
          </cell>
          <cell r="R83">
            <v>2.6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869</v>
          </cell>
          <cell r="D84">
            <v>98</v>
          </cell>
          <cell r="E84">
            <v>257</v>
          </cell>
          <cell r="F84">
            <v>623</v>
          </cell>
          <cell r="H84">
            <v>623</v>
          </cell>
          <cell r="I84">
            <v>0.28000000000000003</v>
          </cell>
          <cell r="J84">
            <v>50</v>
          </cell>
          <cell r="K84" t="str">
            <v>матрица</v>
          </cell>
          <cell r="M84">
            <v>432</v>
          </cell>
          <cell r="N84">
            <v>-175</v>
          </cell>
          <cell r="O84">
            <v>257</v>
          </cell>
          <cell r="Q84">
            <v>425</v>
          </cell>
          <cell r="R84">
            <v>51.4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837</v>
          </cell>
          <cell r="D85">
            <v>255</v>
          </cell>
          <cell r="E85">
            <v>390</v>
          </cell>
          <cell r="F85">
            <v>673</v>
          </cell>
          <cell r="H85">
            <v>673</v>
          </cell>
          <cell r="I85">
            <v>0.28000000000000003</v>
          </cell>
          <cell r="J85">
            <v>45</v>
          </cell>
          <cell r="K85" t="str">
            <v>матрица</v>
          </cell>
          <cell r="M85">
            <v>452</v>
          </cell>
          <cell r="N85">
            <v>-62</v>
          </cell>
          <cell r="O85">
            <v>350</v>
          </cell>
          <cell r="P85">
            <v>40</v>
          </cell>
          <cell r="Q85">
            <v>291</v>
          </cell>
          <cell r="R85">
            <v>70</v>
          </cell>
          <cell r="S85">
            <v>86</v>
          </cell>
        </row>
        <row r="86">
          <cell r="A86" t="str">
            <v>7238 СЕРВЕЛАТ ОРЕХОВЫЙ в/к в/у 0,31кг_209к  Останкино</v>
          </cell>
          <cell r="B86" t="str">
            <v>шт</v>
          </cell>
          <cell r="C86">
            <v>140</v>
          </cell>
          <cell r="F86">
            <v>140</v>
          </cell>
          <cell r="H86">
            <v>140</v>
          </cell>
          <cell r="I86">
            <v>0</v>
          </cell>
          <cell r="K86" t="str">
            <v>не в матрице</v>
          </cell>
          <cell r="M86">
            <v>1</v>
          </cell>
          <cell r="N86">
            <v>-1</v>
          </cell>
          <cell r="O86">
            <v>0</v>
          </cell>
          <cell r="Q86">
            <v>0</v>
          </cell>
          <cell r="R86">
            <v>0</v>
          </cell>
        </row>
        <row r="87">
          <cell r="A87" t="str">
            <v>7241 САЛЯМИ Папа может п/к в/у 0,28кг ОСТАНКИНО</v>
          </cell>
          <cell r="B87" t="str">
            <v>шт</v>
          </cell>
          <cell r="C87">
            <v>563</v>
          </cell>
          <cell r="D87">
            <v>147</v>
          </cell>
          <cell r="E87">
            <v>304</v>
          </cell>
          <cell r="F87">
            <v>375</v>
          </cell>
          <cell r="H87">
            <v>375</v>
          </cell>
          <cell r="I87">
            <v>0.28000000000000003</v>
          </cell>
          <cell r="J87">
            <v>45</v>
          </cell>
          <cell r="K87" t="str">
            <v>матрица</v>
          </cell>
          <cell r="M87">
            <v>384</v>
          </cell>
          <cell r="N87">
            <v>-80</v>
          </cell>
          <cell r="O87">
            <v>280</v>
          </cell>
          <cell r="P87">
            <v>24</v>
          </cell>
          <cell r="Q87">
            <v>566</v>
          </cell>
          <cell r="R87">
            <v>56</v>
          </cell>
        </row>
        <row r="88">
          <cell r="A88" t="str">
            <v>7255 МЯСНЫЕ С ГОВЯД.ПМ сос п/о мгс 0.4кг 6шт.  ОСТАНКИНО</v>
          </cell>
          <cell r="B88" t="str">
            <v>шт</v>
          </cell>
          <cell r="C88">
            <v>655</v>
          </cell>
          <cell r="D88">
            <v>1437</v>
          </cell>
          <cell r="E88">
            <v>601</v>
          </cell>
          <cell r="F88">
            <v>1426</v>
          </cell>
          <cell r="G88">
            <v>132</v>
          </cell>
          <cell r="H88">
            <v>1294</v>
          </cell>
          <cell r="I88">
            <v>0.4</v>
          </cell>
          <cell r="J88">
            <v>50</v>
          </cell>
          <cell r="K88" t="str">
            <v>матрица</v>
          </cell>
          <cell r="M88">
            <v>802</v>
          </cell>
          <cell r="N88">
            <v>-201</v>
          </cell>
          <cell r="O88">
            <v>583</v>
          </cell>
          <cell r="P88">
            <v>18</v>
          </cell>
          <cell r="Q88">
            <v>688</v>
          </cell>
          <cell r="R88">
            <v>116.6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-6</v>
          </cell>
          <cell r="F89">
            <v>-6</v>
          </cell>
          <cell r="H89">
            <v>-6</v>
          </cell>
          <cell r="I89">
            <v>0</v>
          </cell>
          <cell r="K89" t="str">
            <v>не в матрице</v>
          </cell>
          <cell r="L89" t="str">
            <v>7461 ДЛЯ ДЕТЕЙ Папа Может сос п/о мгс 0,33кг ОСТАНКИНО</v>
          </cell>
          <cell r="M89">
            <v>37</v>
          </cell>
          <cell r="N89">
            <v>-37</v>
          </cell>
          <cell r="O89">
            <v>0</v>
          </cell>
          <cell r="Q89">
            <v>0</v>
          </cell>
          <cell r="R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75.623000000000005</v>
          </cell>
          <cell r="D90">
            <v>11.077999999999999</v>
          </cell>
          <cell r="E90">
            <v>33.552</v>
          </cell>
          <cell r="F90">
            <v>45.125</v>
          </cell>
          <cell r="H90">
            <v>45.125</v>
          </cell>
          <cell r="I90">
            <v>1</v>
          </cell>
          <cell r="J90">
            <v>30</v>
          </cell>
          <cell r="K90" t="str">
            <v>матрица</v>
          </cell>
          <cell r="M90">
            <v>39.35</v>
          </cell>
          <cell r="N90">
            <v>-5.7980000000000018</v>
          </cell>
          <cell r="O90">
            <v>33.552</v>
          </cell>
          <cell r="Q90">
            <v>0</v>
          </cell>
          <cell r="R90">
            <v>6.7103999999999999</v>
          </cell>
          <cell r="S90">
            <v>55.531000000000006</v>
          </cell>
          <cell r="T90">
            <v>200</v>
          </cell>
        </row>
        <row r="91">
          <cell r="A91" t="str">
            <v>7332 БОЯРСКАЯ ПМ п/к в/у 0,28кг ОСТАНКИНО</v>
          </cell>
          <cell r="B91" t="str">
            <v>шт</v>
          </cell>
          <cell r="C91">
            <v>23</v>
          </cell>
          <cell r="D91">
            <v>1</v>
          </cell>
          <cell r="E91">
            <v>20</v>
          </cell>
          <cell r="F91">
            <v>3</v>
          </cell>
          <cell r="H91">
            <v>3</v>
          </cell>
          <cell r="I91">
            <v>0</v>
          </cell>
          <cell r="J91">
            <v>50</v>
          </cell>
          <cell r="K91" t="str">
            <v>вывод</v>
          </cell>
          <cell r="M91">
            <v>46</v>
          </cell>
          <cell r="N91">
            <v>-26</v>
          </cell>
          <cell r="O91">
            <v>20</v>
          </cell>
          <cell r="Q91">
            <v>0</v>
          </cell>
          <cell r="R91">
            <v>4</v>
          </cell>
        </row>
        <row r="92">
          <cell r="A92" t="str">
            <v>7334 МЯСНАЯ СО ШПИКОМ ПМ вар п/о 0.4кг 8шт.</v>
          </cell>
          <cell r="B92" t="str">
            <v>шт</v>
          </cell>
          <cell r="C92">
            <v>280</v>
          </cell>
          <cell r="F92">
            <v>280</v>
          </cell>
          <cell r="H92">
            <v>280</v>
          </cell>
          <cell r="I92">
            <v>0</v>
          </cell>
          <cell r="K92" t="str">
            <v>не в матрице</v>
          </cell>
          <cell r="N92">
            <v>0</v>
          </cell>
          <cell r="O92">
            <v>0</v>
          </cell>
          <cell r="Q92">
            <v>0</v>
          </cell>
          <cell r="R92">
            <v>0</v>
          </cell>
        </row>
        <row r="93">
          <cell r="A93" t="str">
            <v>7344 КОНСЕРВЫ МЯС.ГОВЯДИНА ТУШ. В/С 338г_ЧЗ  ОСТАНКИНО</v>
          </cell>
          <cell r="B93" t="str">
            <v>шт</v>
          </cell>
          <cell r="D93">
            <v>301</v>
          </cell>
          <cell r="E93">
            <v>4</v>
          </cell>
          <cell r="F93">
            <v>296</v>
          </cell>
          <cell r="H93">
            <v>296</v>
          </cell>
          <cell r="I93">
            <v>0.33800000000000002</v>
          </cell>
          <cell r="J93" t="str">
            <v>3 года</v>
          </cell>
          <cell r="K93" t="str">
            <v>матрица</v>
          </cell>
          <cell r="M93">
            <v>12</v>
          </cell>
          <cell r="N93">
            <v>-8</v>
          </cell>
          <cell r="O93">
            <v>4</v>
          </cell>
          <cell r="Q93">
            <v>0</v>
          </cell>
          <cell r="R93">
            <v>0.8</v>
          </cell>
        </row>
        <row r="94">
          <cell r="A94" t="str">
            <v>7345 КОНСЕРВЫ МЯС.СВИНИНА ТУШ. В/С 325г_ЧЗ  ОСТАНКИНО</v>
          </cell>
          <cell r="B94" t="str">
            <v>шт</v>
          </cell>
          <cell r="D94">
            <v>288</v>
          </cell>
          <cell r="E94">
            <v>2</v>
          </cell>
          <cell r="F94">
            <v>286</v>
          </cell>
          <cell r="H94">
            <v>286</v>
          </cell>
          <cell r="I94">
            <v>0.32500000000000001</v>
          </cell>
          <cell r="J94" t="str">
            <v>3 года</v>
          </cell>
          <cell r="K94" t="str">
            <v>матрица</v>
          </cell>
          <cell r="M94">
            <v>2</v>
          </cell>
          <cell r="N94">
            <v>0</v>
          </cell>
          <cell r="O94">
            <v>2</v>
          </cell>
          <cell r="Q94">
            <v>0</v>
          </cell>
          <cell r="R94">
            <v>0.4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522</v>
          </cell>
          <cell r="D95">
            <v>15</v>
          </cell>
          <cell r="E95">
            <v>253</v>
          </cell>
          <cell r="F95">
            <v>268</v>
          </cell>
          <cell r="H95">
            <v>268</v>
          </cell>
          <cell r="I95">
            <v>0.12</v>
          </cell>
          <cell r="J95">
            <v>60</v>
          </cell>
          <cell r="K95" t="str">
            <v>матрица</v>
          </cell>
          <cell r="M95">
            <v>313</v>
          </cell>
          <cell r="N95">
            <v>-60</v>
          </cell>
          <cell r="O95">
            <v>253</v>
          </cell>
          <cell r="Q95">
            <v>639</v>
          </cell>
          <cell r="R95">
            <v>50.6</v>
          </cell>
        </row>
        <row r="96">
          <cell r="A96" t="str">
            <v>7386 БАРСЕЛОНА ПМ с/к в/у 1/150  ОСТАНКИНО</v>
          </cell>
          <cell r="B96" t="str">
            <v>шт</v>
          </cell>
          <cell r="C96">
            <v>18</v>
          </cell>
          <cell r="D96">
            <v>144</v>
          </cell>
          <cell r="E96">
            <v>23</v>
          </cell>
          <cell r="F96">
            <v>139</v>
          </cell>
          <cell r="H96">
            <v>139</v>
          </cell>
          <cell r="I96">
            <v>0.15</v>
          </cell>
          <cell r="J96">
            <v>90</v>
          </cell>
          <cell r="K96" t="str">
            <v>матрица</v>
          </cell>
          <cell r="M96">
            <v>59</v>
          </cell>
          <cell r="N96">
            <v>-36</v>
          </cell>
          <cell r="O96">
            <v>23</v>
          </cell>
          <cell r="Q96">
            <v>0</v>
          </cell>
          <cell r="R96">
            <v>4.5999999999999996</v>
          </cell>
          <cell r="T96">
            <v>200</v>
          </cell>
        </row>
        <row r="97">
          <cell r="A97" t="str">
            <v>7456 САЛЯМИ ФИНСКАЯ Папа может с/к в/у 1/150  ОСТАНКИНО</v>
          </cell>
          <cell r="B97" t="str">
            <v>шт</v>
          </cell>
          <cell r="D97">
            <v>120</v>
          </cell>
          <cell r="E97">
            <v>6</v>
          </cell>
          <cell r="F97">
            <v>114</v>
          </cell>
          <cell r="H97">
            <v>114</v>
          </cell>
          <cell r="I97">
            <v>0.15</v>
          </cell>
          <cell r="J97">
            <v>90</v>
          </cell>
          <cell r="K97" t="str">
            <v>матрица</v>
          </cell>
          <cell r="M97">
            <v>13</v>
          </cell>
          <cell r="N97">
            <v>-7</v>
          </cell>
          <cell r="O97">
            <v>6</v>
          </cell>
          <cell r="Q97">
            <v>0</v>
          </cell>
          <cell r="R97">
            <v>1.2</v>
          </cell>
          <cell r="T97">
            <v>200</v>
          </cell>
        </row>
        <row r="98">
          <cell r="A98" t="str">
            <v>7461 ДЛЯ ДЕТЕЙ Папа Может сос п/о мгс 0,33кг ОСТАНКИНО</v>
          </cell>
          <cell r="B98" t="str">
            <v>шт</v>
          </cell>
          <cell r="C98">
            <v>302</v>
          </cell>
          <cell r="D98">
            <v>45</v>
          </cell>
          <cell r="E98">
            <v>122</v>
          </cell>
          <cell r="F98">
            <v>200</v>
          </cell>
          <cell r="H98">
            <v>200</v>
          </cell>
          <cell r="I98">
            <v>0.33</v>
          </cell>
          <cell r="J98">
            <v>30</v>
          </cell>
          <cell r="K98" t="str">
            <v>матрица</v>
          </cell>
          <cell r="M98">
            <v>141</v>
          </cell>
          <cell r="N98">
            <v>-19</v>
          </cell>
          <cell r="O98">
            <v>122</v>
          </cell>
          <cell r="Q98">
            <v>79</v>
          </cell>
          <cell r="R98">
            <v>24.4</v>
          </cell>
          <cell r="S98">
            <v>87</v>
          </cell>
        </row>
        <row r="99">
          <cell r="A99" t="str">
            <v>7485 РИЕТ МЯСНОЙ С ГРИБАМИ ПМ п/о 1/150  ОСТАНКИНО</v>
          </cell>
          <cell r="B99" t="str">
            <v>шт</v>
          </cell>
          <cell r="C99">
            <v>16</v>
          </cell>
          <cell r="D99">
            <v>201</v>
          </cell>
          <cell r="E99">
            <v>57</v>
          </cell>
          <cell r="F99">
            <v>148</v>
          </cell>
          <cell r="H99">
            <v>148</v>
          </cell>
          <cell r="I99">
            <v>0.15</v>
          </cell>
          <cell r="J99">
            <v>60</v>
          </cell>
          <cell r="K99" t="str">
            <v>матрица</v>
          </cell>
          <cell r="M99">
            <v>275</v>
          </cell>
          <cell r="N99">
            <v>-218</v>
          </cell>
          <cell r="O99">
            <v>57</v>
          </cell>
          <cell r="Q99">
            <v>0</v>
          </cell>
          <cell r="R99">
            <v>11.4</v>
          </cell>
          <cell r="S99">
            <v>23</v>
          </cell>
          <cell r="T99">
            <v>300</v>
          </cell>
        </row>
        <row r="100">
          <cell r="A100" t="str">
            <v>7513 ВОСКРЕСЕНСКАЯ ВЯЛЕНАЯ в/к в/у срез 1/260  ОСТАНКИНО</v>
          </cell>
          <cell r="B100" t="str">
            <v>шт</v>
          </cell>
          <cell r="C100">
            <v>3</v>
          </cell>
          <cell r="D100">
            <v>201</v>
          </cell>
          <cell r="E100">
            <v>17</v>
          </cell>
          <cell r="F100">
            <v>186</v>
          </cell>
          <cell r="H100">
            <v>186</v>
          </cell>
          <cell r="I100">
            <v>0.26</v>
          </cell>
          <cell r="J100">
            <v>45</v>
          </cell>
          <cell r="K100" t="str">
            <v>матрица</v>
          </cell>
          <cell r="M100">
            <v>106</v>
          </cell>
          <cell r="N100">
            <v>-89</v>
          </cell>
          <cell r="O100">
            <v>17</v>
          </cell>
          <cell r="Q100">
            <v>0</v>
          </cell>
          <cell r="R100">
            <v>3.4</v>
          </cell>
          <cell r="T100">
            <v>50</v>
          </cell>
        </row>
        <row r="101">
          <cell r="A101" t="str">
            <v>7514 ЛЮБИТЕЛЬСКАЯ ОСТАНКИНСКАЯ вар п/о в/у  ОСТАНКИНО</v>
          </cell>
          <cell r="B101" t="str">
            <v>кг</v>
          </cell>
          <cell r="D101">
            <v>100.914</v>
          </cell>
          <cell r="F101">
            <v>100.914</v>
          </cell>
          <cell r="H101">
            <v>100.914</v>
          </cell>
          <cell r="I101">
            <v>1</v>
          </cell>
          <cell r="J101">
            <v>30</v>
          </cell>
          <cell r="K101" t="str">
            <v>матрица</v>
          </cell>
          <cell r="M101">
            <v>4.5999999999999996</v>
          </cell>
          <cell r="N101">
            <v>-4.5999999999999996</v>
          </cell>
          <cell r="O101">
            <v>0</v>
          </cell>
          <cell r="Q101">
            <v>0</v>
          </cell>
          <cell r="R101">
            <v>0</v>
          </cell>
          <cell r="T101">
            <v>50</v>
          </cell>
        </row>
        <row r="102">
          <cell r="A102" t="str">
            <v>7516 НОВОМОСКОВСКАЯ в/к в/у срез 0.31кг  ОСТАНКИНО</v>
          </cell>
          <cell r="B102" t="str">
            <v>шт</v>
          </cell>
          <cell r="C102">
            <v>7</v>
          </cell>
          <cell r="D102">
            <v>202</v>
          </cell>
          <cell r="E102">
            <v>25</v>
          </cell>
          <cell r="F102">
            <v>182</v>
          </cell>
          <cell r="H102">
            <v>182</v>
          </cell>
          <cell r="I102">
            <v>0.31</v>
          </cell>
          <cell r="J102">
            <v>45</v>
          </cell>
          <cell r="K102" t="str">
            <v>матрица</v>
          </cell>
          <cell r="M102">
            <v>132</v>
          </cell>
          <cell r="N102">
            <v>-107</v>
          </cell>
          <cell r="O102">
            <v>25</v>
          </cell>
          <cell r="Q102">
            <v>0</v>
          </cell>
          <cell r="R102">
            <v>5</v>
          </cell>
          <cell r="T102">
            <v>50</v>
          </cell>
        </row>
        <row r="103">
          <cell r="A103" t="str">
            <v>7518 ТЕЛЯЧЬЯ ГОСТ Останкино вар п/о в/у  ОСТАНКИНО</v>
          </cell>
          <cell r="B103" t="str">
            <v>кг</v>
          </cell>
          <cell r="D103">
            <v>103.571</v>
          </cell>
          <cell r="F103">
            <v>102.47</v>
          </cell>
          <cell r="H103">
            <v>102.47</v>
          </cell>
          <cell r="I103">
            <v>1</v>
          </cell>
          <cell r="J103">
            <v>30</v>
          </cell>
          <cell r="K103" t="str">
            <v>матрица</v>
          </cell>
          <cell r="M103">
            <v>9.1</v>
          </cell>
          <cell r="N103">
            <v>-9.1</v>
          </cell>
          <cell r="O103">
            <v>0</v>
          </cell>
          <cell r="Q103">
            <v>0</v>
          </cell>
          <cell r="R103">
            <v>0</v>
          </cell>
          <cell r="T103">
            <v>50</v>
          </cell>
        </row>
        <row r="104">
          <cell r="A104" t="str">
            <v>7523 ГОВЯЖЬЯ Папа Может вар п/о 0,4кг 6шт. ОСТАНКИНО</v>
          </cell>
          <cell r="B104" t="str">
            <v>шт</v>
          </cell>
          <cell r="C104">
            <v>566</v>
          </cell>
          <cell r="D104">
            <v>21</v>
          </cell>
          <cell r="E104">
            <v>195</v>
          </cell>
          <cell r="F104">
            <v>386</v>
          </cell>
          <cell r="H104">
            <v>386</v>
          </cell>
          <cell r="I104">
            <v>0.4</v>
          </cell>
          <cell r="J104">
            <v>60</v>
          </cell>
          <cell r="K104" t="str">
            <v>матрица</v>
          </cell>
          <cell r="M104">
            <v>210</v>
          </cell>
          <cell r="N104">
            <v>-15</v>
          </cell>
          <cell r="O104">
            <v>159</v>
          </cell>
          <cell r="P104">
            <v>36</v>
          </cell>
          <cell r="Q104">
            <v>49</v>
          </cell>
          <cell r="R104">
            <v>31.8</v>
          </cell>
          <cell r="S104">
            <v>42</v>
          </cell>
        </row>
        <row r="105">
          <cell r="A105" t="str">
            <v>7539 ДОКТОРСКАЯ ГОСТ вар п/о 0,35кг ОСТАНКИНО</v>
          </cell>
          <cell r="B105" t="str">
            <v>шт</v>
          </cell>
          <cell r="C105">
            <v>9</v>
          </cell>
          <cell r="E105">
            <v>1</v>
          </cell>
          <cell r="F105">
            <v>8</v>
          </cell>
          <cell r="G105">
            <v>8</v>
          </cell>
          <cell r="H105">
            <v>0</v>
          </cell>
          <cell r="I105">
            <v>0.35</v>
          </cell>
          <cell r="J105">
            <v>60</v>
          </cell>
          <cell r="K105" t="str">
            <v>матрица</v>
          </cell>
          <cell r="M105">
            <v>118</v>
          </cell>
          <cell r="N105">
            <v>-117</v>
          </cell>
          <cell r="O105">
            <v>1</v>
          </cell>
          <cell r="Q105">
            <v>116</v>
          </cell>
          <cell r="R105">
            <v>0.2</v>
          </cell>
        </row>
        <row r="106">
          <cell r="A106" t="str">
            <v>7562 КРАКОВСКАЯ ГОСТ Останкино п/к н/о мгс  ОСТАНКИНО</v>
          </cell>
          <cell r="B106" t="str">
            <v>кг</v>
          </cell>
          <cell r="C106">
            <v>4.2930000000000001</v>
          </cell>
          <cell r="D106">
            <v>176.25399999999999</v>
          </cell>
          <cell r="E106">
            <v>6.609</v>
          </cell>
          <cell r="F106">
            <v>172.86199999999999</v>
          </cell>
          <cell r="H106">
            <v>172.86199999999999</v>
          </cell>
          <cell r="I106">
            <v>1</v>
          </cell>
          <cell r="J106">
            <v>45</v>
          </cell>
          <cell r="K106" t="str">
            <v>матрица</v>
          </cell>
          <cell r="M106">
            <v>49</v>
          </cell>
          <cell r="N106">
            <v>-42.390999999999998</v>
          </cell>
          <cell r="O106">
            <v>6.609</v>
          </cell>
          <cell r="Q106">
            <v>0</v>
          </cell>
          <cell r="R106">
            <v>1.3218000000000001</v>
          </cell>
        </row>
        <row r="107">
          <cell r="A107" t="str">
            <v>7564 Балыковая в/к в/у Останкино Вес  ОСТАНКИНО</v>
          </cell>
          <cell r="B107" t="str">
            <v>кг</v>
          </cell>
          <cell r="C107">
            <v>79.027000000000001</v>
          </cell>
          <cell r="D107">
            <v>30.675000000000001</v>
          </cell>
          <cell r="E107">
            <v>82.614999999999995</v>
          </cell>
          <cell r="F107">
            <v>19.420000000000002</v>
          </cell>
          <cell r="H107">
            <v>19.420000000000002</v>
          </cell>
          <cell r="I107">
            <v>1</v>
          </cell>
          <cell r="J107">
            <v>45</v>
          </cell>
          <cell r="K107" t="str">
            <v>матрица</v>
          </cell>
          <cell r="M107">
            <v>81.92</v>
          </cell>
          <cell r="N107">
            <v>0.69499999999999318</v>
          </cell>
          <cell r="O107">
            <v>82.614999999999995</v>
          </cell>
          <cell r="Q107">
            <v>0</v>
          </cell>
          <cell r="R107">
            <v>16.523</v>
          </cell>
          <cell r="S107">
            <v>129.28699999999998</v>
          </cell>
        </row>
        <row r="108">
          <cell r="A108" t="str">
            <v>7601 ДЛЯ ДЕТЕЙ Папа может сос п/о мгс 0.264кг  ОСТАНКИНО</v>
          </cell>
          <cell r="B108" t="str">
            <v>шт</v>
          </cell>
          <cell r="C108">
            <v>159</v>
          </cell>
          <cell r="E108">
            <v>1</v>
          </cell>
          <cell r="F108">
            <v>158</v>
          </cell>
          <cell r="H108">
            <v>158</v>
          </cell>
          <cell r="I108">
            <v>0</v>
          </cell>
          <cell r="K108" t="str">
            <v>не в матрице</v>
          </cell>
          <cell r="M108">
            <v>47</v>
          </cell>
          <cell r="N108">
            <v>-46</v>
          </cell>
          <cell r="O108">
            <v>1</v>
          </cell>
          <cell r="Q108">
            <v>0</v>
          </cell>
          <cell r="R108">
            <v>0.2</v>
          </cell>
        </row>
        <row r="109">
          <cell r="A109" t="str">
            <v>7603 БАЛЫКОВАЯ в/к в/у 0.33кг 8шт. ОСТАНКИНО</v>
          </cell>
          <cell r="B109" t="str">
            <v>шт</v>
          </cell>
          <cell r="C109">
            <v>28</v>
          </cell>
          <cell r="D109">
            <v>80</v>
          </cell>
          <cell r="E109">
            <v>25</v>
          </cell>
          <cell r="F109">
            <v>79</v>
          </cell>
          <cell r="H109">
            <v>79</v>
          </cell>
          <cell r="I109">
            <v>0.33</v>
          </cell>
          <cell r="J109">
            <v>45</v>
          </cell>
          <cell r="K109" t="str">
            <v>матрица</v>
          </cell>
          <cell r="M109">
            <v>265</v>
          </cell>
          <cell r="N109">
            <v>-240</v>
          </cell>
          <cell r="O109">
            <v>25</v>
          </cell>
          <cell r="Q109">
            <v>0</v>
          </cell>
          <cell r="R109">
            <v>5</v>
          </cell>
        </row>
        <row r="110">
          <cell r="A110" t="str">
            <v>7608 СЕРВЕЛАТ ШВЕЙЦАРСК.в/к с/н в/у 1/100_Л11  ОСТАНКИНО</v>
          </cell>
          <cell r="B110" t="str">
            <v>шт</v>
          </cell>
          <cell r="C110">
            <v>46</v>
          </cell>
          <cell r="F110">
            <v>46</v>
          </cell>
          <cell r="H110">
            <v>46</v>
          </cell>
          <cell r="I110">
            <v>0</v>
          </cell>
          <cell r="J110">
            <v>45</v>
          </cell>
          <cell r="K110" t="str">
            <v>вывод</v>
          </cell>
          <cell r="M110">
            <v>24</v>
          </cell>
          <cell r="N110">
            <v>-24</v>
          </cell>
          <cell r="O110">
            <v>0</v>
          </cell>
          <cell r="Q110">
            <v>0</v>
          </cell>
          <cell r="R110">
            <v>0</v>
          </cell>
        </row>
        <row r="111">
          <cell r="A111" t="str">
            <v>7612 БАЛЫК с/к с/н в/у 1/100 10шт_  ОСТАНКИНО</v>
          </cell>
          <cell r="B111" t="str">
            <v>шт</v>
          </cell>
          <cell r="C111">
            <v>24</v>
          </cell>
          <cell r="D111">
            <v>5</v>
          </cell>
          <cell r="E111">
            <v>20</v>
          </cell>
          <cell r="F111">
            <v>4</v>
          </cell>
          <cell r="H111">
            <v>4</v>
          </cell>
          <cell r="I111">
            <v>0</v>
          </cell>
          <cell r="J111">
            <v>60</v>
          </cell>
          <cell r="K111" t="str">
            <v>вывод</v>
          </cell>
          <cell r="M111">
            <v>126</v>
          </cell>
          <cell r="N111">
            <v>-106</v>
          </cell>
          <cell r="O111">
            <v>20</v>
          </cell>
          <cell r="Q111">
            <v>0</v>
          </cell>
          <cell r="R111">
            <v>4</v>
          </cell>
        </row>
        <row r="112">
          <cell r="A112" t="str">
            <v>7613 АРОМАТНАЯ с/к с/н в/у 1/100 10шт_Л10  ОСТАНКИНО</v>
          </cell>
          <cell r="B112" t="str">
            <v>шт</v>
          </cell>
          <cell r="C112">
            <v>187</v>
          </cell>
          <cell r="D112">
            <v>161</v>
          </cell>
          <cell r="E112">
            <v>146</v>
          </cell>
          <cell r="F112">
            <v>193</v>
          </cell>
          <cell r="H112">
            <v>193</v>
          </cell>
          <cell r="I112">
            <v>0.1</v>
          </cell>
          <cell r="J112">
            <v>60</v>
          </cell>
          <cell r="K112" t="str">
            <v>матрица</v>
          </cell>
          <cell r="M112">
            <v>308</v>
          </cell>
          <cell r="N112">
            <v>-162</v>
          </cell>
          <cell r="O112">
            <v>146</v>
          </cell>
          <cell r="Q112">
            <v>90</v>
          </cell>
          <cell r="R112">
            <v>29.2</v>
          </cell>
          <cell r="S112">
            <v>155</v>
          </cell>
        </row>
        <row r="113">
          <cell r="A113" t="str">
            <v>7616 ЭКСТРА Папа может с/к с/н в/у 1/100_  ОСТАНКИНО</v>
          </cell>
          <cell r="B113" t="str">
            <v>шт</v>
          </cell>
          <cell r="C113">
            <v>260</v>
          </cell>
          <cell r="D113">
            <v>167</v>
          </cell>
          <cell r="E113">
            <v>264</v>
          </cell>
          <cell r="F113">
            <v>137</v>
          </cell>
          <cell r="H113">
            <v>137</v>
          </cell>
          <cell r="I113">
            <v>0.1</v>
          </cell>
          <cell r="J113">
            <v>60</v>
          </cell>
          <cell r="K113" t="str">
            <v>матрица</v>
          </cell>
          <cell r="M113">
            <v>426</v>
          </cell>
          <cell r="N113">
            <v>-162</v>
          </cell>
          <cell r="O113">
            <v>264</v>
          </cell>
          <cell r="Q113">
            <v>0</v>
          </cell>
          <cell r="R113">
            <v>52.8</v>
          </cell>
          <cell r="S113">
            <v>443.79999999999995</v>
          </cell>
        </row>
        <row r="114">
          <cell r="A114" t="str">
            <v>7626 БРАУНШВЕЙГСКАЯ с/к с/н мгс 1/100_Л10  ОСТАНКИНО</v>
          </cell>
          <cell r="B114" t="str">
            <v>шт</v>
          </cell>
          <cell r="E114">
            <v>3</v>
          </cell>
          <cell r="F114">
            <v>-3</v>
          </cell>
          <cell r="H114">
            <v>-3</v>
          </cell>
          <cell r="I114">
            <v>0</v>
          </cell>
          <cell r="K114" t="str">
            <v>не в матрице</v>
          </cell>
          <cell r="M114">
            <v>9</v>
          </cell>
          <cell r="N114">
            <v>-6</v>
          </cell>
          <cell r="O114">
            <v>3</v>
          </cell>
          <cell r="R114">
            <v>0.6</v>
          </cell>
        </row>
        <row r="115">
          <cell r="A115" t="str">
            <v>7632 ЭКСТРА Папа может вар п/о 0.4кг 8шт_195к  ОСТАНКИНО</v>
          </cell>
          <cell r="B115" t="str">
            <v>шт</v>
          </cell>
          <cell r="C115">
            <v>525</v>
          </cell>
          <cell r="D115">
            <v>507</v>
          </cell>
          <cell r="E115">
            <v>364</v>
          </cell>
          <cell r="F115">
            <v>654</v>
          </cell>
          <cell r="H115">
            <v>654</v>
          </cell>
          <cell r="I115">
            <v>0.4</v>
          </cell>
          <cell r="J115">
            <v>60</v>
          </cell>
          <cell r="K115" t="str">
            <v>матрица</v>
          </cell>
          <cell r="M115">
            <v>416</v>
          </cell>
          <cell r="N115">
            <v>-52</v>
          </cell>
          <cell r="O115">
            <v>364</v>
          </cell>
          <cell r="Q115">
            <v>430</v>
          </cell>
          <cell r="R115">
            <v>72.8</v>
          </cell>
          <cell r="S115">
            <v>8</v>
          </cell>
        </row>
        <row r="116">
          <cell r="A116" t="str">
            <v>7647 ХОЧУ ВЕТЧ.ИЗ СВ.ОТРУБА с/н мгс 1/100_Л11  ОСТАНКИНО</v>
          </cell>
          <cell r="B116" t="str">
            <v>шт</v>
          </cell>
          <cell r="C116">
            <v>3</v>
          </cell>
          <cell r="D116">
            <v>184</v>
          </cell>
          <cell r="E116">
            <v>-4</v>
          </cell>
          <cell r="F116">
            <v>181</v>
          </cell>
          <cell r="H116">
            <v>181</v>
          </cell>
          <cell r="I116">
            <v>0.1</v>
          </cell>
          <cell r="K116" t="str">
            <v>матрица</v>
          </cell>
          <cell r="M116">
            <v>44</v>
          </cell>
          <cell r="N116">
            <v>-48</v>
          </cell>
          <cell r="O116">
            <v>-4</v>
          </cell>
          <cell r="Q116">
            <v>0</v>
          </cell>
          <cell r="R116">
            <v>-0.8</v>
          </cell>
        </row>
        <row r="117">
          <cell r="A117" t="str">
            <v>7651 ХОЧУ ВЕТЧ.МРАМОР. ПМ с/н мгс 1/100_Л11  ОСТАНКИНО</v>
          </cell>
          <cell r="B117" t="str">
            <v>шт</v>
          </cell>
          <cell r="C117">
            <v>4</v>
          </cell>
          <cell r="D117">
            <v>185</v>
          </cell>
          <cell r="E117">
            <v>5</v>
          </cell>
          <cell r="F117">
            <v>179</v>
          </cell>
          <cell r="H117">
            <v>179</v>
          </cell>
          <cell r="I117">
            <v>0.1</v>
          </cell>
          <cell r="K117" t="str">
            <v>матрица</v>
          </cell>
          <cell r="M117">
            <v>44</v>
          </cell>
          <cell r="N117">
            <v>-39</v>
          </cell>
          <cell r="O117">
            <v>5</v>
          </cell>
          <cell r="Q117">
            <v>0</v>
          </cell>
          <cell r="R117">
            <v>1</v>
          </cell>
        </row>
        <row r="118">
          <cell r="A118" t="str">
            <v>7710 КРАКОВСКАЯ ГОСТ п/к н/о мгс 0.3кг  ОСТАНКИНО</v>
          </cell>
          <cell r="B118" t="str">
            <v>шт</v>
          </cell>
          <cell r="D118">
            <v>120</v>
          </cell>
          <cell r="E118">
            <v>3</v>
          </cell>
          <cell r="F118">
            <v>117</v>
          </cell>
          <cell r="H118">
            <v>117</v>
          </cell>
          <cell r="I118">
            <v>0.3</v>
          </cell>
          <cell r="J118">
            <v>45</v>
          </cell>
          <cell r="K118" t="str">
            <v>матрица</v>
          </cell>
          <cell r="M118">
            <v>18</v>
          </cell>
          <cell r="N118">
            <v>-15</v>
          </cell>
          <cell r="O118">
            <v>3</v>
          </cell>
          <cell r="Q118">
            <v>0</v>
          </cell>
          <cell r="R118">
            <v>0.6</v>
          </cell>
        </row>
        <row r="119">
          <cell r="A119" t="str">
            <v>8014 ДОКТОРСКАЯ ПРЕМИУМ вар п/о(п)</v>
          </cell>
          <cell r="B119" t="str">
            <v>кг</v>
          </cell>
          <cell r="H119">
            <v>0</v>
          </cell>
          <cell r="I119">
            <v>0</v>
          </cell>
          <cell r="K119" t="str">
            <v>матрица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" sqref="AH1"/>
    </sheetView>
  </sheetViews>
  <sheetFormatPr defaultRowHeight="15" x14ac:dyDescent="0.25"/>
  <cols>
    <col min="1" max="1" width="51.7109375" customWidth="1"/>
    <col min="2" max="2" width="3" customWidth="1"/>
    <col min="3" max="4" width="6" customWidth="1"/>
    <col min="5" max="6" width="7" customWidth="1"/>
    <col min="7" max="8" width="7" style="9" customWidth="1"/>
    <col min="9" max="9" width="5" style="6" customWidth="1"/>
    <col min="10" max="10" width="5" customWidth="1"/>
    <col min="11" max="11" width="12" customWidth="1"/>
    <col min="12" max="12" width="1" customWidth="1"/>
    <col min="13" max="20" width="7" customWidth="1"/>
    <col min="21" max="21" width="7" style="9" customWidth="1"/>
    <col min="22" max="23" width="5" customWidth="1"/>
    <col min="24" max="33" width="6" customWidth="1"/>
    <col min="34" max="34" width="23.5703125" style="17" customWidth="1"/>
    <col min="35" max="35" width="7" customWidth="1"/>
    <col min="36" max="36" width="5.7109375" customWidth="1"/>
    <col min="37" max="37" width="5.140625" customWidth="1"/>
    <col min="38" max="38" width="6.5703125" customWidth="1"/>
    <col min="39" max="51" width="3" customWidth="1"/>
  </cols>
  <sheetData>
    <row r="1" spans="1:51" x14ac:dyDescent="0.25">
      <c r="A1" s="5"/>
      <c r="B1" s="5"/>
      <c r="C1" s="5"/>
      <c r="D1" s="5"/>
      <c r="E1" s="5"/>
      <c r="F1" s="5"/>
      <c r="G1" s="5"/>
      <c r="H1" s="5"/>
      <c r="I1" s="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1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5"/>
      <c r="H2" s="5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16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8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2" t="s">
        <v>18</v>
      </c>
      <c r="T3" s="2" t="s">
        <v>182</v>
      </c>
      <c r="U3" s="2" t="s">
        <v>180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5"/>
      <c r="H4" s="5" t="s">
        <v>24</v>
      </c>
      <c r="I4" s="7"/>
      <c r="J4" s="5"/>
      <c r="K4" s="5"/>
      <c r="L4" s="5"/>
      <c r="M4" s="5"/>
      <c r="N4" s="5"/>
      <c r="O4" s="5"/>
      <c r="P4" s="5"/>
      <c r="Q4" s="5" t="s">
        <v>25</v>
      </c>
      <c r="R4" s="5" t="s">
        <v>26</v>
      </c>
      <c r="S4" s="5"/>
      <c r="T4" s="5" t="s">
        <v>183</v>
      </c>
      <c r="U4" s="5" t="s">
        <v>181</v>
      </c>
      <c r="V4" s="5"/>
      <c r="W4" s="5"/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 t="s">
        <v>34</v>
      </c>
      <c r="AF4" s="5" t="s">
        <v>35</v>
      </c>
      <c r="AG4" s="5" t="s">
        <v>36</v>
      </c>
      <c r="AH4" s="16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SUM(E6:E494)</f>
        <v>15416.210999999999</v>
      </c>
      <c r="F5" s="3">
        <f>SUM(F6:F494)</f>
        <v>31765.542999999998</v>
      </c>
      <c r="G5" s="3">
        <f>SUM(G6:G494)</f>
        <v>5061.7910000000002</v>
      </c>
      <c r="H5" s="3">
        <f>SUM(H6:H494)</f>
        <v>26703.752</v>
      </c>
      <c r="I5" s="7"/>
      <c r="J5" s="5"/>
      <c r="K5" s="5"/>
      <c r="L5" s="5"/>
      <c r="M5" s="3">
        <f t="shared" ref="M5:T5" si="0">SUM(M6:M494)</f>
        <v>20358.098999999995</v>
      </c>
      <c r="N5" s="3">
        <f t="shared" si="0"/>
        <v>-4941.8879999999999</v>
      </c>
      <c r="O5" s="3">
        <f t="shared" si="0"/>
        <v>14105.380999999999</v>
      </c>
      <c r="P5" s="3">
        <f t="shared" si="0"/>
        <v>1310.8300000000002</v>
      </c>
      <c r="Q5" s="3">
        <f t="shared" si="0"/>
        <v>16977</v>
      </c>
      <c r="R5" s="3">
        <f t="shared" si="0"/>
        <v>2821.0762000000004</v>
      </c>
      <c r="S5" s="3">
        <f t="shared" si="0"/>
        <v>6711.8518000000013</v>
      </c>
      <c r="T5" s="3">
        <f t="shared" si="0"/>
        <v>8865</v>
      </c>
      <c r="U5" s="3"/>
      <c r="V5" s="5"/>
      <c r="W5" s="5"/>
      <c r="X5" s="3">
        <f t="shared" ref="X5:AG5" si="1">SUM(X6:X494)</f>
        <v>3399.7716000000014</v>
      </c>
      <c r="Y5" s="3">
        <f t="shared" si="1"/>
        <v>2006.4104000000002</v>
      </c>
      <c r="Z5" s="3">
        <f t="shared" si="1"/>
        <v>3945.1628000000014</v>
      </c>
      <c r="AA5" s="3">
        <f t="shared" si="1"/>
        <v>3700.6237999999994</v>
      </c>
      <c r="AB5" s="3">
        <f t="shared" si="1"/>
        <v>2207.3885999999998</v>
      </c>
      <c r="AC5" s="3">
        <f t="shared" si="1"/>
        <v>2571.2086000000004</v>
      </c>
      <c r="AD5" s="3">
        <f t="shared" si="1"/>
        <v>3192.5596000000005</v>
      </c>
      <c r="AE5" s="3">
        <f t="shared" si="1"/>
        <v>2915.7354</v>
      </c>
      <c r="AF5" s="3">
        <f t="shared" si="1"/>
        <v>2107.6981999999998</v>
      </c>
      <c r="AG5" s="3">
        <f t="shared" si="1"/>
        <v>2205.5688000000005</v>
      </c>
      <c r="AH5" s="16"/>
      <c r="AI5" s="3">
        <f>SUM(AI6:AI494)</f>
        <v>4229.34</v>
      </c>
      <c r="AJ5" s="3">
        <f>SUM(AJ6:AJ494)</f>
        <v>1305.5426000000004</v>
      </c>
      <c r="AK5" s="5"/>
      <c r="AL5" s="3">
        <f>SUM(AL6:AL494)</f>
        <v>3526.9010000000007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5" t="s">
        <v>37</v>
      </c>
      <c r="B6" s="5" t="s">
        <v>38</v>
      </c>
      <c r="C6" s="5">
        <v>21.39</v>
      </c>
      <c r="D6" s="5">
        <v>1.7150000000000001</v>
      </c>
      <c r="E6" s="5">
        <v>11.893000000000001</v>
      </c>
      <c r="F6" s="5">
        <v>10.625999999999999</v>
      </c>
      <c r="G6" s="5"/>
      <c r="H6" s="5">
        <f t="shared" ref="H6:H37" si="2">F6-G6</f>
        <v>10.625999999999999</v>
      </c>
      <c r="I6" s="7">
        <v>1</v>
      </c>
      <c r="J6" s="5">
        <v>120</v>
      </c>
      <c r="K6" s="5" t="s">
        <v>39</v>
      </c>
      <c r="L6" s="5"/>
      <c r="M6" s="5">
        <v>11.6</v>
      </c>
      <c r="N6" s="5">
        <f t="shared" ref="N6:N37" si="3">E6-M6</f>
        <v>0.29300000000000104</v>
      </c>
      <c r="O6" s="5">
        <f t="shared" ref="O6:O37" si="4">E6-P6</f>
        <v>11.893000000000001</v>
      </c>
      <c r="P6" s="5"/>
      <c r="Q6" s="5">
        <v>0</v>
      </c>
      <c r="R6" s="5">
        <f>O6/5</f>
        <v>2.3786</v>
      </c>
      <c r="S6" s="4">
        <f>12*R6-Q6-H6</f>
        <v>17.917200000000001</v>
      </c>
      <c r="T6" s="4">
        <f>ROUND(S6,0)</f>
        <v>18</v>
      </c>
      <c r="U6" s="5"/>
      <c r="V6" s="5">
        <f>(H6+Q6+T6)/R6</f>
        <v>12.034810392667955</v>
      </c>
      <c r="W6" s="5">
        <f t="shared" ref="W6:W37" si="5">(H6+Q6)/R6</f>
        <v>4.4673337257210122</v>
      </c>
      <c r="X6" s="5">
        <v>0.79720000000000002</v>
      </c>
      <c r="Y6" s="5">
        <v>0.3392</v>
      </c>
      <c r="Z6" s="5">
        <v>3.1198000000000001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16" t="s">
        <v>111</v>
      </c>
      <c r="AI6" s="5">
        <f>I6*T6</f>
        <v>18</v>
      </c>
      <c r="AJ6" s="5">
        <f>R6*I6</f>
        <v>2.3786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5" t="s">
        <v>40</v>
      </c>
      <c r="B7" s="5" t="s">
        <v>41</v>
      </c>
      <c r="C7" s="5">
        <v>460</v>
      </c>
      <c r="D7" s="5">
        <v>78</v>
      </c>
      <c r="E7" s="5">
        <v>218</v>
      </c>
      <c r="F7" s="5">
        <v>319</v>
      </c>
      <c r="G7" s="5"/>
      <c r="H7" s="5">
        <f t="shared" si="2"/>
        <v>319</v>
      </c>
      <c r="I7" s="7">
        <v>0.4</v>
      </c>
      <c r="J7" s="5">
        <v>60</v>
      </c>
      <c r="K7" s="5" t="s">
        <v>39</v>
      </c>
      <c r="L7" s="5"/>
      <c r="M7" s="5">
        <v>269</v>
      </c>
      <c r="N7" s="5">
        <f t="shared" si="3"/>
        <v>-51</v>
      </c>
      <c r="O7" s="5">
        <f t="shared" si="4"/>
        <v>218</v>
      </c>
      <c r="P7" s="5"/>
      <c r="Q7" s="5">
        <v>600</v>
      </c>
      <c r="R7" s="5">
        <f t="shared" ref="R7:R70" si="6">O7/5</f>
        <v>43.6</v>
      </c>
      <c r="S7" s="4"/>
      <c r="T7" s="4">
        <f>U7</f>
        <v>100</v>
      </c>
      <c r="U7" s="5">
        <f>VLOOKUP(A7,[1]Sheet!$A:$T,20,0)</f>
        <v>100</v>
      </c>
      <c r="V7" s="5">
        <f t="shared" ref="V7:V70" si="7">(H7+Q7+T7)/R7</f>
        <v>23.371559633027523</v>
      </c>
      <c r="W7" s="5">
        <f t="shared" si="5"/>
        <v>21.077981651376145</v>
      </c>
      <c r="X7" s="5">
        <v>69.400000000000006</v>
      </c>
      <c r="Y7" s="5">
        <v>26.6</v>
      </c>
      <c r="Z7" s="5">
        <v>68.8</v>
      </c>
      <c r="AA7" s="5">
        <v>75.599999999999994</v>
      </c>
      <c r="AB7" s="5">
        <v>35.4</v>
      </c>
      <c r="AC7" s="5">
        <v>54.2</v>
      </c>
      <c r="AD7" s="5">
        <v>62.6</v>
      </c>
      <c r="AE7" s="5">
        <v>55.6</v>
      </c>
      <c r="AF7" s="5">
        <v>41.2</v>
      </c>
      <c r="AG7" s="5">
        <v>33.6</v>
      </c>
      <c r="AH7" s="15" t="s">
        <v>49</v>
      </c>
      <c r="AI7" s="5">
        <f t="shared" ref="AI7:AI70" si="8">I7*T7</f>
        <v>40</v>
      </c>
      <c r="AJ7" s="5">
        <f t="shared" ref="AJ7:AJ70" si="9">R7*I7</f>
        <v>17.440000000000001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 t="s">
        <v>42</v>
      </c>
      <c r="B8" s="5" t="s">
        <v>38</v>
      </c>
      <c r="C8" s="5">
        <v>211.25399999999999</v>
      </c>
      <c r="D8" s="5">
        <v>28.204999999999998</v>
      </c>
      <c r="E8" s="5">
        <v>18.954000000000001</v>
      </c>
      <c r="F8" s="5">
        <v>220.505</v>
      </c>
      <c r="G8" s="5">
        <v>116.696</v>
      </c>
      <c r="H8" s="5">
        <f t="shared" si="2"/>
        <v>103.809</v>
      </c>
      <c r="I8" s="7">
        <v>1</v>
      </c>
      <c r="J8" s="5">
        <v>120</v>
      </c>
      <c r="K8" s="5" t="s">
        <v>39</v>
      </c>
      <c r="L8" s="5"/>
      <c r="M8" s="5">
        <v>19.2</v>
      </c>
      <c r="N8" s="5">
        <f t="shared" si="3"/>
        <v>-0.24599999999999866</v>
      </c>
      <c r="O8" s="5">
        <f t="shared" si="4"/>
        <v>18.954000000000001</v>
      </c>
      <c r="P8" s="5"/>
      <c r="Q8" s="5">
        <v>22</v>
      </c>
      <c r="R8" s="5">
        <f t="shared" si="6"/>
        <v>3.7907999999999999</v>
      </c>
      <c r="S8" s="4"/>
      <c r="T8" s="4">
        <f t="shared" ref="T8:T70" si="10">ROUND(S8,0)</f>
        <v>0</v>
      </c>
      <c r="U8" s="5"/>
      <c r="V8" s="5">
        <f t="shared" si="7"/>
        <v>33.187981428722168</v>
      </c>
      <c r="W8" s="5">
        <f t="shared" si="5"/>
        <v>33.187981428722168</v>
      </c>
      <c r="X8" s="5">
        <v>3.9006000000000012</v>
      </c>
      <c r="Y8" s="5">
        <v>3.4222000000000001</v>
      </c>
      <c r="Z8" s="5">
        <v>5.2168000000000001</v>
      </c>
      <c r="AA8" s="5">
        <v>4.2012</v>
      </c>
      <c r="AB8" s="5">
        <v>3.2757999999999998</v>
      </c>
      <c r="AC8" s="5">
        <v>0.29959999999999998</v>
      </c>
      <c r="AD8" s="5">
        <v>0.99220000000000008</v>
      </c>
      <c r="AE8" s="5">
        <v>4.3465999999999996</v>
      </c>
      <c r="AF8" s="5">
        <v>1.4268000000000001</v>
      </c>
      <c r="AG8" s="5">
        <v>4.1590000000000007</v>
      </c>
      <c r="AH8" s="15" t="s">
        <v>178</v>
      </c>
      <c r="AI8" s="5">
        <f t="shared" si="8"/>
        <v>0</v>
      </c>
      <c r="AJ8" s="5">
        <f t="shared" si="9"/>
        <v>3.7907999999999999</v>
      </c>
      <c r="AK8" s="18">
        <f>I8</f>
        <v>1</v>
      </c>
      <c r="AL8" s="5">
        <f>G8*AK8</f>
        <v>116.696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5" t="s">
        <v>44</v>
      </c>
      <c r="B9" s="5" t="s">
        <v>41</v>
      </c>
      <c r="C9" s="5">
        <v>494</v>
      </c>
      <c r="D9" s="5">
        <v>101</v>
      </c>
      <c r="E9" s="5">
        <v>270</v>
      </c>
      <c r="F9" s="5">
        <v>306</v>
      </c>
      <c r="G9" s="5"/>
      <c r="H9" s="5">
        <f t="shared" si="2"/>
        <v>306</v>
      </c>
      <c r="I9" s="7">
        <v>0.25</v>
      </c>
      <c r="J9" s="5">
        <v>120</v>
      </c>
      <c r="K9" s="5" t="s">
        <v>39</v>
      </c>
      <c r="L9" s="5"/>
      <c r="M9" s="5">
        <v>382</v>
      </c>
      <c r="N9" s="5">
        <f t="shared" si="3"/>
        <v>-112</v>
      </c>
      <c r="O9" s="5">
        <f t="shared" si="4"/>
        <v>270</v>
      </c>
      <c r="P9" s="5"/>
      <c r="Q9" s="5">
        <v>744</v>
      </c>
      <c r="R9" s="5">
        <f t="shared" si="6"/>
        <v>54</v>
      </c>
      <c r="S9" s="4"/>
      <c r="T9" s="4">
        <f t="shared" si="10"/>
        <v>0</v>
      </c>
      <c r="U9" s="5"/>
      <c r="V9" s="5">
        <f t="shared" si="7"/>
        <v>19.444444444444443</v>
      </c>
      <c r="W9" s="5">
        <f t="shared" si="5"/>
        <v>19.444444444444443</v>
      </c>
      <c r="X9" s="5">
        <v>88</v>
      </c>
      <c r="Y9" s="5">
        <v>23.2</v>
      </c>
      <c r="Z9" s="5">
        <v>97.8</v>
      </c>
      <c r="AA9" s="5">
        <v>70</v>
      </c>
      <c r="AB9" s="5">
        <v>29.8</v>
      </c>
      <c r="AC9" s="5">
        <v>37.4</v>
      </c>
      <c r="AD9" s="5">
        <v>61.4</v>
      </c>
      <c r="AE9" s="5">
        <v>31.4</v>
      </c>
      <c r="AF9" s="5">
        <v>25</v>
      </c>
      <c r="AG9" s="5">
        <v>35.799999999999997</v>
      </c>
      <c r="AH9" s="16" t="s">
        <v>43</v>
      </c>
      <c r="AI9" s="5">
        <f t="shared" si="8"/>
        <v>0</v>
      </c>
      <c r="AJ9" s="5">
        <f t="shared" si="9"/>
        <v>13.5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5" t="s">
        <v>45</v>
      </c>
      <c r="B10" s="5" t="s">
        <v>38</v>
      </c>
      <c r="C10" s="5">
        <v>588.82399999999996</v>
      </c>
      <c r="D10" s="5">
        <v>729.43600000000004</v>
      </c>
      <c r="E10" s="5">
        <v>273.78899999999999</v>
      </c>
      <c r="F10" s="5">
        <v>1014.189</v>
      </c>
      <c r="G10" s="5">
        <v>271.685</v>
      </c>
      <c r="H10" s="5">
        <f t="shared" si="2"/>
        <v>742.50399999999991</v>
      </c>
      <c r="I10" s="7">
        <v>1</v>
      </c>
      <c r="J10" s="5">
        <v>60</v>
      </c>
      <c r="K10" s="5" t="s">
        <v>39</v>
      </c>
      <c r="L10" s="5"/>
      <c r="M10" s="5">
        <v>262.10000000000002</v>
      </c>
      <c r="N10" s="5">
        <f t="shared" si="3"/>
        <v>11.688999999999965</v>
      </c>
      <c r="O10" s="5">
        <f t="shared" si="4"/>
        <v>221.31599999999997</v>
      </c>
      <c r="P10" s="5">
        <v>52.472999999999999</v>
      </c>
      <c r="Q10" s="5">
        <v>100</v>
      </c>
      <c r="R10" s="5">
        <f t="shared" si="6"/>
        <v>44.263199999999998</v>
      </c>
      <c r="S10" s="4"/>
      <c r="T10" s="4">
        <f t="shared" si="10"/>
        <v>0</v>
      </c>
      <c r="U10" s="5"/>
      <c r="V10" s="5">
        <f t="shared" si="7"/>
        <v>19.033960490881814</v>
      </c>
      <c r="W10" s="5">
        <f t="shared" si="5"/>
        <v>19.033960490881814</v>
      </c>
      <c r="X10" s="5">
        <v>46.027599999999993</v>
      </c>
      <c r="Y10" s="5">
        <v>57.752200000000002</v>
      </c>
      <c r="Z10" s="5">
        <v>47.667999999999999</v>
      </c>
      <c r="AA10" s="5">
        <v>71.5244</v>
      </c>
      <c r="AB10" s="5">
        <v>59.996400000000008</v>
      </c>
      <c r="AC10" s="5">
        <v>49.260599999999997</v>
      </c>
      <c r="AD10" s="5">
        <v>56.257199999999997</v>
      </c>
      <c r="AE10" s="5">
        <v>69.917000000000002</v>
      </c>
      <c r="AF10" s="5">
        <v>42.271000000000001</v>
      </c>
      <c r="AG10" s="5">
        <v>39.854199999999999</v>
      </c>
      <c r="AH10" s="15" t="s">
        <v>49</v>
      </c>
      <c r="AI10" s="5">
        <f t="shared" si="8"/>
        <v>0</v>
      </c>
      <c r="AJ10" s="5">
        <f t="shared" si="9"/>
        <v>44.263199999999998</v>
      </c>
      <c r="AK10" s="18">
        <f>I10</f>
        <v>1</v>
      </c>
      <c r="AL10" s="5">
        <f>G10*AK10</f>
        <v>271.685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46</v>
      </c>
      <c r="B11" s="5" t="s">
        <v>38</v>
      </c>
      <c r="C11" s="5">
        <v>119.898</v>
      </c>
      <c r="D11" s="5">
        <v>1.498</v>
      </c>
      <c r="E11" s="5">
        <v>12.093999999999999</v>
      </c>
      <c r="F11" s="5">
        <v>108.30800000000001</v>
      </c>
      <c r="G11" s="5"/>
      <c r="H11" s="5">
        <f t="shared" si="2"/>
        <v>108.30800000000001</v>
      </c>
      <c r="I11" s="7">
        <v>1</v>
      </c>
      <c r="J11" s="5">
        <v>120</v>
      </c>
      <c r="K11" s="5" t="s">
        <v>39</v>
      </c>
      <c r="L11" s="5"/>
      <c r="M11" s="5">
        <v>12.6</v>
      </c>
      <c r="N11" s="5">
        <f t="shared" si="3"/>
        <v>-0.50600000000000023</v>
      </c>
      <c r="O11" s="5">
        <f t="shared" si="4"/>
        <v>12.093999999999999</v>
      </c>
      <c r="P11" s="5"/>
      <c r="Q11" s="5">
        <v>0</v>
      </c>
      <c r="R11" s="5">
        <f t="shared" si="6"/>
        <v>2.4188000000000001</v>
      </c>
      <c r="S11" s="4"/>
      <c r="T11" s="4">
        <f t="shared" si="10"/>
        <v>0</v>
      </c>
      <c r="U11" s="5"/>
      <c r="V11" s="5">
        <f t="shared" si="7"/>
        <v>44.777575657350752</v>
      </c>
      <c r="W11" s="5">
        <f t="shared" si="5"/>
        <v>44.777575657350752</v>
      </c>
      <c r="X11" s="5">
        <v>4.3449999999999998</v>
      </c>
      <c r="Y11" s="5">
        <v>4.2176</v>
      </c>
      <c r="Z11" s="5">
        <v>10.532</v>
      </c>
      <c r="AA11" s="5">
        <v>6.9102000000000006</v>
      </c>
      <c r="AB11" s="5">
        <v>4.5746000000000002</v>
      </c>
      <c r="AC11" s="5">
        <v>8.6004000000000005</v>
      </c>
      <c r="AD11" s="5">
        <v>5.0928000000000004</v>
      </c>
      <c r="AE11" s="5">
        <v>2.7075999999999998</v>
      </c>
      <c r="AF11" s="5">
        <v>4.4042000000000003</v>
      </c>
      <c r="AG11" s="5">
        <v>2.8081999999999998</v>
      </c>
      <c r="AH11" s="15" t="s">
        <v>178</v>
      </c>
      <c r="AI11" s="5">
        <f t="shared" si="8"/>
        <v>0</v>
      </c>
      <c r="AJ11" s="5">
        <f t="shared" si="9"/>
        <v>2.4188000000000001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5" t="s">
        <v>47</v>
      </c>
      <c r="B12" s="5" t="s">
        <v>38</v>
      </c>
      <c r="C12" s="5">
        <v>0.38400000000000001</v>
      </c>
      <c r="D12" s="5">
        <v>117.167</v>
      </c>
      <c r="E12" s="5">
        <v>7.5940000000000003</v>
      </c>
      <c r="F12" s="5">
        <v>109.43300000000001</v>
      </c>
      <c r="G12" s="5"/>
      <c r="H12" s="5">
        <f t="shared" si="2"/>
        <v>109.43300000000001</v>
      </c>
      <c r="I12" s="7">
        <v>1</v>
      </c>
      <c r="J12" s="5">
        <v>60</v>
      </c>
      <c r="K12" s="5" t="s">
        <v>39</v>
      </c>
      <c r="L12" s="5"/>
      <c r="M12" s="5">
        <v>32.299999999999997</v>
      </c>
      <c r="N12" s="5">
        <f t="shared" si="3"/>
        <v>-24.705999999999996</v>
      </c>
      <c r="O12" s="5">
        <f t="shared" si="4"/>
        <v>7.5940000000000003</v>
      </c>
      <c r="P12" s="5"/>
      <c r="Q12" s="5">
        <v>0</v>
      </c>
      <c r="R12" s="5">
        <f t="shared" si="6"/>
        <v>1.5188000000000001</v>
      </c>
      <c r="S12" s="4"/>
      <c r="T12" s="4">
        <f t="shared" si="10"/>
        <v>0</v>
      </c>
      <c r="U12" s="5"/>
      <c r="V12" s="5">
        <f t="shared" si="7"/>
        <v>72.052278114300762</v>
      </c>
      <c r="W12" s="5">
        <f t="shared" si="5"/>
        <v>72.052278114300762</v>
      </c>
      <c r="X12" s="5">
        <v>6.2080000000000002</v>
      </c>
      <c r="Y12" s="5">
        <v>8.642199999999999</v>
      </c>
      <c r="Z12" s="5">
        <v>5.4014000000000006</v>
      </c>
      <c r="AA12" s="5">
        <v>2.4533999999999998</v>
      </c>
      <c r="AB12" s="5">
        <v>4.0156000000000001</v>
      </c>
      <c r="AC12" s="5">
        <v>8.7403999999999993</v>
      </c>
      <c r="AD12" s="5">
        <v>3.5335999999999999</v>
      </c>
      <c r="AE12" s="5">
        <v>3.8138000000000001</v>
      </c>
      <c r="AF12" s="5">
        <v>0.81980000000000008</v>
      </c>
      <c r="AG12" s="5">
        <v>1.0762</v>
      </c>
      <c r="AH12" s="16"/>
      <c r="AI12" s="5">
        <f t="shared" si="8"/>
        <v>0</v>
      </c>
      <c r="AJ12" s="5">
        <f t="shared" si="9"/>
        <v>1.5188000000000001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48</v>
      </c>
      <c r="B13" s="5" t="s">
        <v>38</v>
      </c>
      <c r="C13" s="5">
        <v>614.02800000000002</v>
      </c>
      <c r="D13" s="5">
        <v>620.66600000000005</v>
      </c>
      <c r="E13" s="5">
        <v>247.946</v>
      </c>
      <c r="F13" s="5">
        <v>960.49199999999996</v>
      </c>
      <c r="G13" s="5">
        <v>238.30099999999999</v>
      </c>
      <c r="H13" s="5">
        <f t="shared" si="2"/>
        <v>722.19100000000003</v>
      </c>
      <c r="I13" s="7">
        <v>1</v>
      </c>
      <c r="J13" s="5">
        <v>60</v>
      </c>
      <c r="K13" s="5" t="s">
        <v>39</v>
      </c>
      <c r="L13" s="5"/>
      <c r="M13" s="5">
        <v>238.2</v>
      </c>
      <c r="N13" s="5">
        <f t="shared" si="3"/>
        <v>9.7460000000000093</v>
      </c>
      <c r="O13" s="5">
        <f t="shared" si="4"/>
        <v>194.893</v>
      </c>
      <c r="P13" s="5">
        <v>53.052999999999997</v>
      </c>
      <c r="Q13" s="5">
        <v>100</v>
      </c>
      <c r="R13" s="5">
        <f t="shared" si="6"/>
        <v>38.9786</v>
      </c>
      <c r="S13" s="4"/>
      <c r="T13" s="4">
        <f t="shared" si="10"/>
        <v>0</v>
      </c>
      <c r="U13" s="5"/>
      <c r="V13" s="5">
        <f t="shared" si="7"/>
        <v>21.093394837167061</v>
      </c>
      <c r="W13" s="5">
        <f t="shared" si="5"/>
        <v>21.093394837167061</v>
      </c>
      <c r="X13" s="5">
        <v>46.416999999999987</v>
      </c>
      <c r="Y13" s="5">
        <v>60.004800000000003</v>
      </c>
      <c r="Z13" s="5">
        <v>59.633799999999987</v>
      </c>
      <c r="AA13" s="5">
        <v>64.598800000000011</v>
      </c>
      <c r="AB13" s="5">
        <v>47.507800000000003</v>
      </c>
      <c r="AC13" s="5">
        <v>63.072600000000001</v>
      </c>
      <c r="AD13" s="5">
        <v>49.145600000000002</v>
      </c>
      <c r="AE13" s="5">
        <v>63.110400000000013</v>
      </c>
      <c r="AF13" s="5">
        <v>35.663600000000002</v>
      </c>
      <c r="AG13" s="5">
        <v>33.933800000000012</v>
      </c>
      <c r="AH13" s="13" t="s">
        <v>69</v>
      </c>
      <c r="AI13" s="5">
        <f t="shared" si="8"/>
        <v>0</v>
      </c>
      <c r="AJ13" s="5">
        <f t="shared" si="9"/>
        <v>38.9786</v>
      </c>
      <c r="AK13" s="18">
        <f>I13</f>
        <v>1</v>
      </c>
      <c r="AL13" s="5">
        <f>G13*AK13</f>
        <v>238.30099999999999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50</v>
      </c>
      <c r="B14" s="5" t="s">
        <v>41</v>
      </c>
      <c r="C14" s="5">
        <v>510</v>
      </c>
      <c r="D14" s="5">
        <v>40</v>
      </c>
      <c r="E14" s="5">
        <v>146</v>
      </c>
      <c r="F14" s="5">
        <v>391</v>
      </c>
      <c r="G14" s="5"/>
      <c r="H14" s="5">
        <f t="shared" si="2"/>
        <v>391</v>
      </c>
      <c r="I14" s="7">
        <v>0.25</v>
      </c>
      <c r="J14" s="5">
        <v>120</v>
      </c>
      <c r="K14" s="5" t="s">
        <v>39</v>
      </c>
      <c r="L14" s="5"/>
      <c r="M14" s="5">
        <v>187</v>
      </c>
      <c r="N14" s="5">
        <f t="shared" si="3"/>
        <v>-41</v>
      </c>
      <c r="O14" s="5">
        <f t="shared" si="4"/>
        <v>146</v>
      </c>
      <c r="P14" s="5"/>
      <c r="Q14" s="5">
        <v>142</v>
      </c>
      <c r="R14" s="5">
        <f t="shared" si="6"/>
        <v>29.2</v>
      </c>
      <c r="S14" s="4"/>
      <c r="T14" s="4">
        <f t="shared" si="10"/>
        <v>0</v>
      </c>
      <c r="U14" s="5"/>
      <c r="V14" s="5">
        <f t="shared" si="7"/>
        <v>18.253424657534246</v>
      </c>
      <c r="W14" s="5">
        <f t="shared" si="5"/>
        <v>18.253424657534246</v>
      </c>
      <c r="X14" s="5">
        <v>44.6</v>
      </c>
      <c r="Y14" s="5">
        <v>30.6</v>
      </c>
      <c r="Z14" s="5">
        <v>70.400000000000006</v>
      </c>
      <c r="AA14" s="5">
        <v>62</v>
      </c>
      <c r="AB14" s="5">
        <v>37</v>
      </c>
      <c r="AC14" s="5">
        <v>33</v>
      </c>
      <c r="AD14" s="5">
        <v>47.4</v>
      </c>
      <c r="AE14" s="5">
        <v>53.6</v>
      </c>
      <c r="AF14" s="5">
        <v>24.2</v>
      </c>
      <c r="AG14" s="5">
        <v>21.4</v>
      </c>
      <c r="AH14" s="16" t="s">
        <v>43</v>
      </c>
      <c r="AI14" s="5">
        <f t="shared" si="8"/>
        <v>0</v>
      </c>
      <c r="AJ14" s="5">
        <f t="shared" si="9"/>
        <v>7.3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51</v>
      </c>
      <c r="B15" s="5" t="s">
        <v>38</v>
      </c>
      <c r="C15" s="5">
        <v>339.69400000000002</v>
      </c>
      <c r="D15" s="5">
        <v>54.581000000000003</v>
      </c>
      <c r="E15" s="5">
        <v>72.528000000000006</v>
      </c>
      <c r="F15" s="5">
        <v>313.59500000000003</v>
      </c>
      <c r="G15" s="5">
        <v>188.37</v>
      </c>
      <c r="H15" s="5">
        <f t="shared" si="2"/>
        <v>125.22500000000002</v>
      </c>
      <c r="I15" s="7">
        <v>1</v>
      </c>
      <c r="J15" s="5">
        <v>60</v>
      </c>
      <c r="K15" s="5" t="s">
        <v>39</v>
      </c>
      <c r="L15" s="5"/>
      <c r="M15" s="5">
        <v>71.7</v>
      </c>
      <c r="N15" s="5">
        <f t="shared" si="3"/>
        <v>0.82800000000000296</v>
      </c>
      <c r="O15" s="5">
        <f t="shared" si="4"/>
        <v>64.239000000000004</v>
      </c>
      <c r="P15" s="5">
        <v>8.2889999999999997</v>
      </c>
      <c r="Q15" s="5">
        <v>0</v>
      </c>
      <c r="R15" s="5">
        <f t="shared" si="6"/>
        <v>12.847800000000001</v>
      </c>
      <c r="S15" s="4">
        <f t="shared" ref="S15:S22" si="11">15*R15-Q15-H15</f>
        <v>67.49199999999999</v>
      </c>
      <c r="T15" s="4">
        <v>120</v>
      </c>
      <c r="U15" s="5">
        <f>VLOOKUP(A15,[1]Sheet!$A:$T,20,0)</f>
        <v>200</v>
      </c>
      <c r="V15" s="5">
        <f t="shared" si="7"/>
        <v>19.086925388004172</v>
      </c>
      <c r="W15" s="5">
        <f t="shared" si="5"/>
        <v>9.7468049004498827</v>
      </c>
      <c r="X15" s="5">
        <v>13.256399999999999</v>
      </c>
      <c r="Y15" s="5">
        <v>14.061199999999999</v>
      </c>
      <c r="Z15" s="5">
        <v>19.492999999999999</v>
      </c>
      <c r="AA15" s="5">
        <v>0.47199999999999998</v>
      </c>
      <c r="AB15" s="5">
        <v>8.4016000000000002</v>
      </c>
      <c r="AC15" s="5">
        <v>26.634799999999998</v>
      </c>
      <c r="AD15" s="5">
        <v>14.544</v>
      </c>
      <c r="AE15" s="5">
        <v>9.7308000000000003</v>
      </c>
      <c r="AF15" s="5">
        <v>0.81180000000000008</v>
      </c>
      <c r="AG15" s="5">
        <v>3.512</v>
      </c>
      <c r="AH15" s="16"/>
      <c r="AI15" s="5">
        <f t="shared" si="8"/>
        <v>120</v>
      </c>
      <c r="AJ15" s="5">
        <f t="shared" si="9"/>
        <v>12.847800000000001</v>
      </c>
      <c r="AK15" s="18">
        <f>I15</f>
        <v>1</v>
      </c>
      <c r="AL15" s="5">
        <f>G15*AK15</f>
        <v>188.37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52</v>
      </c>
      <c r="B16" s="5" t="s">
        <v>41</v>
      </c>
      <c r="C16" s="5">
        <v>658</v>
      </c>
      <c r="D16" s="5">
        <v>54</v>
      </c>
      <c r="E16" s="5">
        <v>296</v>
      </c>
      <c r="F16" s="5">
        <v>407</v>
      </c>
      <c r="G16" s="5"/>
      <c r="H16" s="5">
        <f t="shared" si="2"/>
        <v>407</v>
      </c>
      <c r="I16" s="7">
        <v>0.25</v>
      </c>
      <c r="J16" s="5">
        <v>120</v>
      </c>
      <c r="K16" s="5" t="s">
        <v>39</v>
      </c>
      <c r="L16" s="5"/>
      <c r="M16" s="5">
        <v>364</v>
      </c>
      <c r="N16" s="5">
        <f t="shared" si="3"/>
        <v>-68</v>
      </c>
      <c r="O16" s="5">
        <f t="shared" si="4"/>
        <v>296</v>
      </c>
      <c r="P16" s="5"/>
      <c r="Q16" s="5">
        <v>542</v>
      </c>
      <c r="R16" s="5">
        <f t="shared" si="6"/>
        <v>59.2</v>
      </c>
      <c r="S16" s="4"/>
      <c r="T16" s="4">
        <f t="shared" ref="T16:T17" si="12">U16</f>
        <v>150</v>
      </c>
      <c r="U16" s="5">
        <f>VLOOKUP(A16,[1]Sheet!$A:$T,20,0)</f>
        <v>150</v>
      </c>
      <c r="V16" s="5">
        <f t="shared" si="7"/>
        <v>18.564189189189189</v>
      </c>
      <c r="W16" s="5">
        <f t="shared" si="5"/>
        <v>16.030405405405403</v>
      </c>
      <c r="X16" s="5">
        <v>82.6</v>
      </c>
      <c r="Y16" s="5">
        <v>19.600000000000001</v>
      </c>
      <c r="Z16" s="5">
        <v>119.2</v>
      </c>
      <c r="AA16" s="5">
        <v>76</v>
      </c>
      <c r="AB16" s="5">
        <v>40.200000000000003</v>
      </c>
      <c r="AC16" s="5">
        <v>40.4</v>
      </c>
      <c r="AD16" s="5">
        <v>55.8</v>
      </c>
      <c r="AE16" s="5">
        <v>48.2</v>
      </c>
      <c r="AF16" s="5">
        <v>24.2</v>
      </c>
      <c r="AG16" s="5">
        <v>25.2</v>
      </c>
      <c r="AH16" s="16" t="s">
        <v>43</v>
      </c>
      <c r="AI16" s="5">
        <f t="shared" si="8"/>
        <v>37.5</v>
      </c>
      <c r="AJ16" s="5">
        <f t="shared" si="9"/>
        <v>14.8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53</v>
      </c>
      <c r="B17" s="5" t="s">
        <v>41</v>
      </c>
      <c r="C17" s="5">
        <v>376</v>
      </c>
      <c r="D17" s="5">
        <v>208</v>
      </c>
      <c r="E17" s="5">
        <v>166</v>
      </c>
      <c r="F17" s="5">
        <v>417</v>
      </c>
      <c r="G17" s="5"/>
      <c r="H17" s="5">
        <f t="shared" si="2"/>
        <v>417</v>
      </c>
      <c r="I17" s="7">
        <v>0.4</v>
      </c>
      <c r="J17" s="5">
        <v>60</v>
      </c>
      <c r="K17" s="5" t="s">
        <v>39</v>
      </c>
      <c r="L17" s="5"/>
      <c r="M17" s="5">
        <v>190</v>
      </c>
      <c r="N17" s="5">
        <f t="shared" si="3"/>
        <v>-24</v>
      </c>
      <c r="O17" s="5">
        <f t="shared" si="4"/>
        <v>166</v>
      </c>
      <c r="P17" s="5"/>
      <c r="Q17" s="5">
        <v>0</v>
      </c>
      <c r="R17" s="5">
        <f t="shared" si="6"/>
        <v>33.200000000000003</v>
      </c>
      <c r="S17" s="4">
        <f t="shared" si="11"/>
        <v>81.000000000000057</v>
      </c>
      <c r="T17" s="4">
        <f t="shared" si="12"/>
        <v>170</v>
      </c>
      <c r="U17" s="5">
        <f>VLOOKUP(A17,[1]Sheet!$A:$T,20,0)</f>
        <v>170</v>
      </c>
      <c r="V17" s="5">
        <f t="shared" si="7"/>
        <v>17.680722891566262</v>
      </c>
      <c r="W17" s="5">
        <f t="shared" si="5"/>
        <v>12.560240963855421</v>
      </c>
      <c r="X17" s="5">
        <v>37.6</v>
      </c>
      <c r="Y17" s="5">
        <v>7.4</v>
      </c>
      <c r="Z17" s="5">
        <v>43.8</v>
      </c>
      <c r="AA17" s="5">
        <v>40</v>
      </c>
      <c r="AB17" s="5">
        <v>24.6</v>
      </c>
      <c r="AC17" s="5">
        <v>22.8</v>
      </c>
      <c r="AD17" s="5">
        <v>36.799999999999997</v>
      </c>
      <c r="AE17" s="5">
        <v>37</v>
      </c>
      <c r="AF17" s="5">
        <v>34.799999999999997</v>
      </c>
      <c r="AG17" s="5">
        <v>26.6</v>
      </c>
      <c r="AH17" s="16"/>
      <c r="AI17" s="5">
        <f t="shared" si="8"/>
        <v>68</v>
      </c>
      <c r="AJ17" s="5">
        <f t="shared" si="9"/>
        <v>13.280000000000001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54</v>
      </c>
      <c r="B18" s="5" t="s">
        <v>38</v>
      </c>
      <c r="C18" s="5">
        <v>225.73</v>
      </c>
      <c r="D18" s="5">
        <v>155.702</v>
      </c>
      <c r="E18" s="5">
        <v>219.518</v>
      </c>
      <c r="F18" s="5">
        <v>139.14500000000001</v>
      </c>
      <c r="G18" s="5"/>
      <c r="H18" s="5">
        <f t="shared" si="2"/>
        <v>139.14500000000001</v>
      </c>
      <c r="I18" s="7">
        <v>1</v>
      </c>
      <c r="J18" s="5">
        <v>45</v>
      </c>
      <c r="K18" s="5" t="s">
        <v>39</v>
      </c>
      <c r="L18" s="5"/>
      <c r="M18" s="5">
        <v>212.441</v>
      </c>
      <c r="N18" s="5">
        <f t="shared" si="3"/>
        <v>7.0769999999999982</v>
      </c>
      <c r="O18" s="5">
        <f t="shared" si="4"/>
        <v>219.518</v>
      </c>
      <c r="P18" s="5"/>
      <c r="Q18" s="5">
        <v>500</v>
      </c>
      <c r="R18" s="5">
        <f t="shared" si="6"/>
        <v>43.903599999999997</v>
      </c>
      <c r="S18" s="4">
        <f t="shared" si="11"/>
        <v>19.408999999999963</v>
      </c>
      <c r="T18" s="4">
        <f t="shared" si="10"/>
        <v>19</v>
      </c>
      <c r="U18" s="5"/>
      <c r="V18" s="5">
        <f t="shared" si="7"/>
        <v>14.990684135241757</v>
      </c>
      <c r="W18" s="5">
        <f t="shared" si="5"/>
        <v>14.557917801729243</v>
      </c>
      <c r="X18" s="5">
        <v>54.553999999999988</v>
      </c>
      <c r="Y18" s="5">
        <v>12.0352</v>
      </c>
      <c r="Z18" s="5">
        <v>43.809600000000003</v>
      </c>
      <c r="AA18" s="5">
        <v>38.122</v>
      </c>
      <c r="AB18" s="5">
        <v>31.1738</v>
      </c>
      <c r="AC18" s="5">
        <v>36.706800000000001</v>
      </c>
      <c r="AD18" s="5">
        <v>45.036999999999999</v>
      </c>
      <c r="AE18" s="5">
        <v>38.583599999999997</v>
      </c>
      <c r="AF18" s="5">
        <v>38.170400000000001</v>
      </c>
      <c r="AG18" s="5">
        <v>32.511000000000003</v>
      </c>
      <c r="AH18" s="16"/>
      <c r="AI18" s="5">
        <f t="shared" si="8"/>
        <v>19</v>
      </c>
      <c r="AJ18" s="5">
        <f t="shared" si="9"/>
        <v>43.903599999999997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55</v>
      </c>
      <c r="B19" s="5" t="s">
        <v>38</v>
      </c>
      <c r="C19" s="5">
        <v>60.831000000000003</v>
      </c>
      <c r="D19" s="5">
        <v>8.9819999999999993</v>
      </c>
      <c r="E19" s="5">
        <v>8.734</v>
      </c>
      <c r="F19" s="5">
        <v>60.061</v>
      </c>
      <c r="G19" s="5"/>
      <c r="H19" s="5">
        <f t="shared" si="2"/>
        <v>60.061</v>
      </c>
      <c r="I19" s="7">
        <v>1</v>
      </c>
      <c r="J19" s="5">
        <v>120</v>
      </c>
      <c r="K19" s="5" t="s">
        <v>39</v>
      </c>
      <c r="L19" s="5"/>
      <c r="M19" s="5">
        <v>23</v>
      </c>
      <c r="N19" s="5">
        <f t="shared" si="3"/>
        <v>-14.266</v>
      </c>
      <c r="O19" s="5">
        <f t="shared" si="4"/>
        <v>8.734</v>
      </c>
      <c r="P19" s="5"/>
      <c r="Q19" s="5">
        <v>0</v>
      </c>
      <c r="R19" s="5">
        <f t="shared" si="6"/>
        <v>1.7467999999999999</v>
      </c>
      <c r="S19" s="4"/>
      <c r="T19" s="4">
        <f t="shared" si="10"/>
        <v>0</v>
      </c>
      <c r="U19" s="5"/>
      <c r="V19" s="5">
        <f t="shared" si="7"/>
        <v>34.383444011907493</v>
      </c>
      <c r="W19" s="5">
        <f t="shared" si="5"/>
        <v>34.383444011907493</v>
      </c>
      <c r="X19" s="5">
        <v>3.6257999999999999</v>
      </c>
      <c r="Y19" s="5">
        <v>4.1105999999999998</v>
      </c>
      <c r="Z19" s="5">
        <v>11.1694</v>
      </c>
      <c r="AA19" s="5">
        <v>5.2294</v>
      </c>
      <c r="AB19" s="5">
        <v>2.7151999999999998</v>
      </c>
      <c r="AC19" s="5">
        <v>5.2648000000000001</v>
      </c>
      <c r="AD19" s="5">
        <v>4.2115999999999998</v>
      </c>
      <c r="AE19" s="5">
        <v>3.5571999999999999</v>
      </c>
      <c r="AF19" s="5">
        <v>3.2544</v>
      </c>
      <c r="AG19" s="5">
        <v>1.6692</v>
      </c>
      <c r="AH19" s="15" t="s">
        <v>178</v>
      </c>
      <c r="AI19" s="5">
        <f t="shared" si="8"/>
        <v>0</v>
      </c>
      <c r="AJ19" s="5">
        <f t="shared" si="9"/>
        <v>1.7467999999999999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 t="s">
        <v>56</v>
      </c>
      <c r="B20" s="5" t="s">
        <v>41</v>
      </c>
      <c r="C20" s="5">
        <v>176</v>
      </c>
      <c r="D20" s="5">
        <v>96</v>
      </c>
      <c r="E20" s="5">
        <v>1</v>
      </c>
      <c r="F20" s="5">
        <v>271</v>
      </c>
      <c r="G20" s="5">
        <v>144</v>
      </c>
      <c r="H20" s="5">
        <f t="shared" si="2"/>
        <v>127</v>
      </c>
      <c r="I20" s="7">
        <v>0.4</v>
      </c>
      <c r="J20" s="5">
        <v>45</v>
      </c>
      <c r="K20" s="5" t="s">
        <v>39</v>
      </c>
      <c r="L20" s="5"/>
      <c r="M20" s="5">
        <v>142</v>
      </c>
      <c r="N20" s="5">
        <f t="shared" si="3"/>
        <v>-141</v>
      </c>
      <c r="O20" s="5">
        <f t="shared" si="4"/>
        <v>1</v>
      </c>
      <c r="P20" s="5"/>
      <c r="Q20" s="5">
        <v>0</v>
      </c>
      <c r="R20" s="5">
        <f t="shared" si="6"/>
        <v>0.2</v>
      </c>
      <c r="S20" s="4"/>
      <c r="T20" s="4">
        <v>40</v>
      </c>
      <c r="U20" s="5">
        <f>VLOOKUP(A20,[1]Sheet!$A:$T,20,0)</f>
        <v>100</v>
      </c>
      <c r="V20" s="5">
        <f t="shared" si="7"/>
        <v>835</v>
      </c>
      <c r="W20" s="5">
        <f t="shared" si="5"/>
        <v>635</v>
      </c>
      <c r="X20" s="5">
        <v>0</v>
      </c>
      <c r="Y20" s="5">
        <v>0</v>
      </c>
      <c r="Z20" s="5">
        <v>0</v>
      </c>
      <c r="AA20" s="5">
        <v>-1.2</v>
      </c>
      <c r="AB20" s="5">
        <v>-0.2</v>
      </c>
      <c r="AC20" s="5">
        <v>-3.8</v>
      </c>
      <c r="AD20" s="5">
        <v>-0.2</v>
      </c>
      <c r="AE20" s="5">
        <v>5</v>
      </c>
      <c r="AF20" s="5">
        <v>9.6</v>
      </c>
      <c r="AG20" s="5">
        <v>3.8</v>
      </c>
      <c r="AH20" s="15" t="s">
        <v>179</v>
      </c>
      <c r="AI20" s="5">
        <f t="shared" si="8"/>
        <v>16</v>
      </c>
      <c r="AJ20" s="5">
        <f t="shared" si="9"/>
        <v>8.0000000000000016E-2</v>
      </c>
      <c r="AK20" s="18">
        <f>I20</f>
        <v>0.4</v>
      </c>
      <c r="AL20" s="5">
        <f>G20*AK20</f>
        <v>57.6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57</v>
      </c>
      <c r="B21" s="5" t="s">
        <v>38</v>
      </c>
      <c r="C21" s="5">
        <v>233.29599999999999</v>
      </c>
      <c r="D21" s="5">
        <v>108.916</v>
      </c>
      <c r="E21" s="5">
        <v>128.273</v>
      </c>
      <c r="F21" s="5">
        <v>194.91</v>
      </c>
      <c r="G21" s="5"/>
      <c r="H21" s="5">
        <f t="shared" si="2"/>
        <v>194.91</v>
      </c>
      <c r="I21" s="7">
        <v>1</v>
      </c>
      <c r="J21" s="5">
        <v>60</v>
      </c>
      <c r="K21" s="5" t="s">
        <v>39</v>
      </c>
      <c r="L21" s="5"/>
      <c r="M21" s="5">
        <v>140.5</v>
      </c>
      <c r="N21" s="5">
        <f t="shared" si="3"/>
        <v>-12.227000000000004</v>
      </c>
      <c r="O21" s="5">
        <f t="shared" si="4"/>
        <v>128.273</v>
      </c>
      <c r="P21" s="5"/>
      <c r="Q21" s="5">
        <v>300</v>
      </c>
      <c r="R21" s="5">
        <f t="shared" si="6"/>
        <v>25.654599999999999</v>
      </c>
      <c r="S21" s="4"/>
      <c r="T21" s="4">
        <v>40</v>
      </c>
      <c r="U21" s="5">
        <f>VLOOKUP(A21,[1]Sheet!$A:$T,20,0)</f>
        <v>100</v>
      </c>
      <c r="V21" s="5">
        <f t="shared" si="7"/>
        <v>20.850451770832521</v>
      </c>
      <c r="W21" s="5">
        <f t="shared" si="5"/>
        <v>19.291277197851457</v>
      </c>
      <c r="X21" s="5">
        <v>35.742199999999997</v>
      </c>
      <c r="Y21" s="5">
        <v>24.3264</v>
      </c>
      <c r="Z21" s="5">
        <v>38.0486</v>
      </c>
      <c r="AA21" s="5">
        <v>34.205199999999998</v>
      </c>
      <c r="AB21" s="5">
        <v>22.615200000000002</v>
      </c>
      <c r="AC21" s="5">
        <v>32.779600000000002</v>
      </c>
      <c r="AD21" s="5">
        <v>30.880400000000002</v>
      </c>
      <c r="AE21" s="5">
        <v>43.971800000000002</v>
      </c>
      <c r="AF21" s="5">
        <v>24.540600000000001</v>
      </c>
      <c r="AG21" s="5">
        <v>24.433</v>
      </c>
      <c r="AH21" s="15" t="s">
        <v>49</v>
      </c>
      <c r="AI21" s="5">
        <f t="shared" si="8"/>
        <v>40</v>
      </c>
      <c r="AJ21" s="5">
        <f t="shared" si="9"/>
        <v>25.654599999999999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58</v>
      </c>
      <c r="B22" s="5" t="s">
        <v>41</v>
      </c>
      <c r="C22" s="5">
        <v>738</v>
      </c>
      <c r="D22" s="5">
        <v>218</v>
      </c>
      <c r="E22" s="5">
        <v>339</v>
      </c>
      <c r="F22" s="5">
        <v>607</v>
      </c>
      <c r="G22" s="5"/>
      <c r="H22" s="5">
        <f t="shared" si="2"/>
        <v>607</v>
      </c>
      <c r="I22" s="7">
        <v>0.22</v>
      </c>
      <c r="J22" s="5">
        <v>120</v>
      </c>
      <c r="K22" s="5" t="s">
        <v>39</v>
      </c>
      <c r="L22" s="5"/>
      <c r="M22" s="5">
        <v>346</v>
      </c>
      <c r="N22" s="5">
        <f t="shared" si="3"/>
        <v>-7</v>
      </c>
      <c r="O22" s="5">
        <f t="shared" si="4"/>
        <v>251</v>
      </c>
      <c r="P22" s="5">
        <v>88</v>
      </c>
      <c r="Q22" s="5">
        <v>0</v>
      </c>
      <c r="R22" s="5">
        <f t="shared" si="6"/>
        <v>50.2</v>
      </c>
      <c r="S22" s="4">
        <f t="shared" si="11"/>
        <v>146</v>
      </c>
      <c r="T22" s="4">
        <f t="shared" ref="T22" si="13">U22</f>
        <v>270</v>
      </c>
      <c r="U22" s="5">
        <f>VLOOKUP(A22,[1]Sheet!$A:$T,20,0)</f>
        <v>270</v>
      </c>
      <c r="V22" s="5">
        <f t="shared" si="7"/>
        <v>17.470119521912348</v>
      </c>
      <c r="W22" s="5">
        <f t="shared" si="5"/>
        <v>12.091633466135457</v>
      </c>
      <c r="X22" s="5">
        <v>44</v>
      </c>
      <c r="Y22" s="5">
        <v>71.599999999999994</v>
      </c>
      <c r="Z22" s="5">
        <v>133.6</v>
      </c>
      <c r="AA22" s="5">
        <v>105.8</v>
      </c>
      <c r="AB22" s="5">
        <v>63.4</v>
      </c>
      <c r="AC22" s="5">
        <v>72.2</v>
      </c>
      <c r="AD22" s="5">
        <v>83.4</v>
      </c>
      <c r="AE22" s="5">
        <v>44.2</v>
      </c>
      <c r="AF22" s="5">
        <v>39.6</v>
      </c>
      <c r="AG22" s="5">
        <v>29.2</v>
      </c>
      <c r="AH22" s="16" t="s">
        <v>43</v>
      </c>
      <c r="AI22" s="5">
        <f t="shared" si="8"/>
        <v>59.4</v>
      </c>
      <c r="AJ22" s="5">
        <f t="shared" si="9"/>
        <v>11.044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59</v>
      </c>
      <c r="B23" s="5" t="s">
        <v>38</v>
      </c>
      <c r="C23" s="5">
        <v>9.3879999999999999</v>
      </c>
      <c r="D23" s="5">
        <v>20.62</v>
      </c>
      <c r="E23" s="5">
        <v>9.4939999999999998</v>
      </c>
      <c r="F23" s="5">
        <v>11.868</v>
      </c>
      <c r="G23" s="5"/>
      <c r="H23" s="5">
        <f t="shared" si="2"/>
        <v>11.868</v>
      </c>
      <c r="I23" s="7">
        <v>1</v>
      </c>
      <c r="J23" s="5">
        <v>40</v>
      </c>
      <c r="K23" s="5" t="s">
        <v>39</v>
      </c>
      <c r="L23" s="5"/>
      <c r="M23" s="5">
        <v>40.5</v>
      </c>
      <c r="N23" s="5">
        <f t="shared" si="3"/>
        <v>-31.006</v>
      </c>
      <c r="O23" s="5">
        <f t="shared" si="4"/>
        <v>9.4939999999999998</v>
      </c>
      <c r="P23" s="5"/>
      <c r="Q23" s="5">
        <v>34</v>
      </c>
      <c r="R23" s="5">
        <f t="shared" si="6"/>
        <v>1.8988</v>
      </c>
      <c r="S23" s="4"/>
      <c r="T23" s="4">
        <v>40</v>
      </c>
      <c r="U23" s="5">
        <f>VLOOKUP(A23,[1]Sheet!$A:$T,20,0)</f>
        <v>50</v>
      </c>
      <c r="V23" s="5">
        <f t="shared" si="7"/>
        <v>45.2222456288182</v>
      </c>
      <c r="W23" s="5">
        <f t="shared" si="5"/>
        <v>24.156309247946073</v>
      </c>
      <c r="X23" s="5">
        <v>4.2084000000000001</v>
      </c>
      <c r="Y23" s="5">
        <v>0</v>
      </c>
      <c r="Z23" s="5">
        <v>-0.17599999999999999</v>
      </c>
      <c r="AA23" s="5">
        <v>-0.27</v>
      </c>
      <c r="AB23" s="5">
        <v>1.016</v>
      </c>
      <c r="AC23" s="5">
        <v>0.62519999999999998</v>
      </c>
      <c r="AD23" s="5">
        <v>3.5935999999999999</v>
      </c>
      <c r="AE23" s="5">
        <v>9.9719999999999995</v>
      </c>
      <c r="AF23" s="5">
        <v>8.8043999999999993</v>
      </c>
      <c r="AG23" s="5">
        <v>4.5223999999999993</v>
      </c>
      <c r="AH23" s="16" t="s">
        <v>60</v>
      </c>
      <c r="AI23" s="5">
        <f t="shared" si="8"/>
        <v>40</v>
      </c>
      <c r="AJ23" s="5">
        <f t="shared" si="9"/>
        <v>1.8988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10" t="s">
        <v>61</v>
      </c>
      <c r="B24" s="10" t="s">
        <v>38</v>
      </c>
      <c r="C24" s="10">
        <v>39.21</v>
      </c>
      <c r="D24" s="10"/>
      <c r="E24" s="10"/>
      <c r="F24" s="10">
        <v>39.21</v>
      </c>
      <c r="G24" s="10"/>
      <c r="H24" s="10">
        <f t="shared" si="2"/>
        <v>39.21</v>
      </c>
      <c r="I24" s="11">
        <v>0</v>
      </c>
      <c r="J24" s="10"/>
      <c r="K24" s="10" t="s">
        <v>62</v>
      </c>
      <c r="L24" s="10"/>
      <c r="M24" s="10"/>
      <c r="N24" s="10">
        <f t="shared" si="3"/>
        <v>0</v>
      </c>
      <c r="O24" s="10">
        <f t="shared" si="4"/>
        <v>0</v>
      </c>
      <c r="P24" s="10"/>
      <c r="Q24" s="10">
        <v>0</v>
      </c>
      <c r="R24" s="10">
        <f t="shared" si="6"/>
        <v>0</v>
      </c>
      <c r="S24" s="12"/>
      <c r="T24" s="4">
        <f t="shared" si="10"/>
        <v>0</v>
      </c>
      <c r="U24" s="5"/>
      <c r="V24" s="5" t="e">
        <f t="shared" si="7"/>
        <v>#DIV/0!</v>
      </c>
      <c r="W24" s="10" t="e">
        <f t="shared" si="5"/>
        <v>#DIV/0!</v>
      </c>
      <c r="X24" s="10">
        <v>0</v>
      </c>
      <c r="Y24" s="10">
        <v>0</v>
      </c>
      <c r="Z24" s="10">
        <v>2.4140000000000001</v>
      </c>
      <c r="AA24" s="10">
        <v>3.625</v>
      </c>
      <c r="AB24" s="10">
        <v>0</v>
      </c>
      <c r="AC24" s="10">
        <v>5.444</v>
      </c>
      <c r="AD24" s="10">
        <v>0</v>
      </c>
      <c r="AE24" s="10">
        <v>0</v>
      </c>
      <c r="AF24" s="10">
        <v>0</v>
      </c>
      <c r="AG24" s="10">
        <v>0</v>
      </c>
      <c r="AH24" s="13" t="s">
        <v>63</v>
      </c>
      <c r="AI24" s="5">
        <f t="shared" si="8"/>
        <v>0</v>
      </c>
      <c r="AJ24" s="5">
        <f t="shared" si="9"/>
        <v>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64</v>
      </c>
      <c r="B25" s="5" t="s">
        <v>38</v>
      </c>
      <c r="C25" s="5">
        <v>41.801000000000002</v>
      </c>
      <c r="D25" s="5">
        <v>83.343999999999994</v>
      </c>
      <c r="E25" s="5">
        <v>49.817999999999998</v>
      </c>
      <c r="F25" s="5">
        <v>64.570999999999998</v>
      </c>
      <c r="G25" s="5"/>
      <c r="H25" s="5">
        <f t="shared" si="2"/>
        <v>64.570999999999998</v>
      </c>
      <c r="I25" s="7">
        <v>1</v>
      </c>
      <c r="J25" s="5">
        <v>60</v>
      </c>
      <c r="K25" s="5" t="s">
        <v>39</v>
      </c>
      <c r="L25" s="5"/>
      <c r="M25" s="5">
        <v>75.7</v>
      </c>
      <c r="N25" s="5">
        <f t="shared" si="3"/>
        <v>-25.882000000000005</v>
      </c>
      <c r="O25" s="5">
        <f t="shared" si="4"/>
        <v>49.817999999999998</v>
      </c>
      <c r="P25" s="5"/>
      <c r="Q25" s="5">
        <v>170</v>
      </c>
      <c r="R25" s="5">
        <f t="shared" si="6"/>
        <v>9.9635999999999996</v>
      </c>
      <c r="S25" s="4"/>
      <c r="T25" s="4">
        <f t="shared" si="10"/>
        <v>0</v>
      </c>
      <c r="U25" s="5"/>
      <c r="V25" s="5">
        <f t="shared" si="7"/>
        <v>23.542795776626924</v>
      </c>
      <c r="W25" s="5">
        <f t="shared" si="5"/>
        <v>23.542795776626924</v>
      </c>
      <c r="X25" s="5">
        <v>18.268599999999999</v>
      </c>
      <c r="Y25" s="5">
        <v>0.24260000000000001</v>
      </c>
      <c r="Z25" s="5">
        <v>10.1114</v>
      </c>
      <c r="AA25" s="5">
        <v>16.404199999999999</v>
      </c>
      <c r="AB25" s="5">
        <v>2.4239999999999999</v>
      </c>
      <c r="AC25" s="5">
        <v>13.7454</v>
      </c>
      <c r="AD25" s="5">
        <v>15.651999999999999</v>
      </c>
      <c r="AE25" s="5">
        <v>11.1342</v>
      </c>
      <c r="AF25" s="5">
        <v>14.042400000000001</v>
      </c>
      <c r="AG25" s="5">
        <v>14.0364</v>
      </c>
      <c r="AH25" s="16"/>
      <c r="AI25" s="5">
        <f t="shared" si="8"/>
        <v>0</v>
      </c>
      <c r="AJ25" s="5">
        <f t="shared" si="9"/>
        <v>9.9635999999999996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65</v>
      </c>
      <c r="B26" s="5" t="s">
        <v>41</v>
      </c>
      <c r="C26" s="5">
        <v>294</v>
      </c>
      <c r="D26" s="5">
        <v>231</v>
      </c>
      <c r="E26" s="5">
        <v>233</v>
      </c>
      <c r="F26" s="5">
        <v>249</v>
      </c>
      <c r="G26" s="5"/>
      <c r="H26" s="5">
        <f t="shared" si="2"/>
        <v>249</v>
      </c>
      <c r="I26" s="7">
        <v>0.09</v>
      </c>
      <c r="J26" s="5">
        <v>60</v>
      </c>
      <c r="K26" s="5" t="s">
        <v>39</v>
      </c>
      <c r="L26" s="5"/>
      <c r="M26" s="5">
        <v>298</v>
      </c>
      <c r="N26" s="5">
        <f t="shared" si="3"/>
        <v>-65</v>
      </c>
      <c r="O26" s="5">
        <f t="shared" si="4"/>
        <v>233</v>
      </c>
      <c r="P26" s="5"/>
      <c r="Q26" s="5">
        <v>0</v>
      </c>
      <c r="R26" s="5">
        <f t="shared" si="6"/>
        <v>46.6</v>
      </c>
      <c r="S26" s="4">
        <f>13*R26-Q26-H26</f>
        <v>356.80000000000007</v>
      </c>
      <c r="T26" s="4">
        <f t="shared" si="10"/>
        <v>357</v>
      </c>
      <c r="U26" s="5"/>
      <c r="V26" s="5">
        <f t="shared" si="7"/>
        <v>13.004291845493562</v>
      </c>
      <c r="W26" s="5">
        <f t="shared" si="5"/>
        <v>5.3433476394849784</v>
      </c>
      <c r="X26" s="5">
        <v>25.6</v>
      </c>
      <c r="Y26" s="5">
        <v>35.4</v>
      </c>
      <c r="Z26" s="5">
        <v>48.8</v>
      </c>
      <c r="AA26" s="5">
        <v>39.6</v>
      </c>
      <c r="AB26" s="5">
        <v>38.799999999999997</v>
      </c>
      <c r="AC26" s="5">
        <v>13.2</v>
      </c>
      <c r="AD26" s="5">
        <v>47.8</v>
      </c>
      <c r="AE26" s="5">
        <v>38.799999999999997</v>
      </c>
      <c r="AF26" s="5">
        <v>20</v>
      </c>
      <c r="AG26" s="5">
        <v>34.4</v>
      </c>
      <c r="AH26" s="16"/>
      <c r="AI26" s="5">
        <f t="shared" si="8"/>
        <v>32.129999999999995</v>
      </c>
      <c r="AJ26" s="5">
        <f t="shared" si="9"/>
        <v>4.194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10" t="s">
        <v>66</v>
      </c>
      <c r="B27" s="10" t="s">
        <v>41</v>
      </c>
      <c r="C27" s="10">
        <v>70</v>
      </c>
      <c r="D27" s="10"/>
      <c r="E27" s="10">
        <v>2</v>
      </c>
      <c r="F27" s="10">
        <v>68</v>
      </c>
      <c r="G27" s="10"/>
      <c r="H27" s="10">
        <f t="shared" si="2"/>
        <v>68</v>
      </c>
      <c r="I27" s="11">
        <v>0</v>
      </c>
      <c r="J27" s="10"/>
      <c r="K27" s="10" t="s">
        <v>62</v>
      </c>
      <c r="L27" s="10"/>
      <c r="M27" s="10">
        <v>2</v>
      </c>
      <c r="N27" s="10">
        <f t="shared" si="3"/>
        <v>0</v>
      </c>
      <c r="O27" s="10">
        <f t="shared" si="4"/>
        <v>2</v>
      </c>
      <c r="P27" s="10"/>
      <c r="Q27" s="10">
        <v>0</v>
      </c>
      <c r="R27" s="10">
        <f t="shared" si="6"/>
        <v>0.4</v>
      </c>
      <c r="S27" s="12"/>
      <c r="T27" s="4">
        <f t="shared" si="10"/>
        <v>0</v>
      </c>
      <c r="U27" s="5"/>
      <c r="V27" s="5">
        <f t="shared" si="7"/>
        <v>170</v>
      </c>
      <c r="W27" s="10">
        <f t="shared" si="5"/>
        <v>170</v>
      </c>
      <c r="X27" s="10">
        <v>0</v>
      </c>
      <c r="Y27" s="10">
        <v>0</v>
      </c>
      <c r="Z27" s="10">
        <v>0</v>
      </c>
      <c r="AA27" s="10">
        <v>6</v>
      </c>
      <c r="AB27" s="10">
        <v>0</v>
      </c>
      <c r="AC27" s="10">
        <v>4.2</v>
      </c>
      <c r="AD27" s="10">
        <v>0</v>
      </c>
      <c r="AE27" s="10">
        <v>0</v>
      </c>
      <c r="AF27" s="10">
        <v>0</v>
      </c>
      <c r="AG27" s="10">
        <v>0</v>
      </c>
      <c r="AH27" s="13" t="s">
        <v>63</v>
      </c>
      <c r="AI27" s="5">
        <f t="shared" si="8"/>
        <v>0</v>
      </c>
      <c r="AJ27" s="5">
        <f t="shared" si="9"/>
        <v>0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67</v>
      </c>
      <c r="B28" s="5" t="s">
        <v>41</v>
      </c>
      <c r="C28" s="5">
        <v>50</v>
      </c>
      <c r="D28" s="5">
        <v>87</v>
      </c>
      <c r="E28" s="5">
        <v>63</v>
      </c>
      <c r="F28" s="5">
        <v>66</v>
      </c>
      <c r="G28" s="5"/>
      <c r="H28" s="5">
        <f t="shared" si="2"/>
        <v>66</v>
      </c>
      <c r="I28" s="7">
        <v>0.09</v>
      </c>
      <c r="J28" s="5">
        <v>45</v>
      </c>
      <c r="K28" s="5" t="s">
        <v>39</v>
      </c>
      <c r="L28" s="5"/>
      <c r="M28" s="5">
        <v>77</v>
      </c>
      <c r="N28" s="5">
        <f t="shared" si="3"/>
        <v>-14</v>
      </c>
      <c r="O28" s="5">
        <f t="shared" si="4"/>
        <v>63</v>
      </c>
      <c r="P28" s="5"/>
      <c r="Q28" s="5">
        <v>56</v>
      </c>
      <c r="R28" s="5">
        <f t="shared" si="6"/>
        <v>12.6</v>
      </c>
      <c r="S28" s="4">
        <f t="shared" ref="S28:S32" si="14">15*R28-Q28-H28</f>
        <v>67</v>
      </c>
      <c r="T28" s="4">
        <f t="shared" si="10"/>
        <v>67</v>
      </c>
      <c r="U28" s="5"/>
      <c r="V28" s="5">
        <f t="shared" si="7"/>
        <v>15</v>
      </c>
      <c r="W28" s="5">
        <f t="shared" si="5"/>
        <v>9.6825396825396837</v>
      </c>
      <c r="X28" s="5">
        <v>12.2</v>
      </c>
      <c r="Y28" s="5">
        <v>0.8</v>
      </c>
      <c r="Z28" s="5">
        <v>1.8</v>
      </c>
      <c r="AA28" s="5">
        <v>14.2</v>
      </c>
      <c r="AB28" s="5">
        <v>7.2</v>
      </c>
      <c r="AC28" s="5">
        <v>6.2</v>
      </c>
      <c r="AD28" s="5">
        <v>11</v>
      </c>
      <c r="AE28" s="5">
        <v>14.8</v>
      </c>
      <c r="AF28" s="5">
        <v>8.1999999999999993</v>
      </c>
      <c r="AG28" s="5">
        <v>11</v>
      </c>
      <c r="AH28" s="16"/>
      <c r="AI28" s="5">
        <f t="shared" si="8"/>
        <v>6.0299999999999994</v>
      </c>
      <c r="AJ28" s="5">
        <f t="shared" si="9"/>
        <v>1.1339999999999999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68</v>
      </c>
      <c r="B29" s="5" t="s">
        <v>41</v>
      </c>
      <c r="C29" s="5">
        <v>81</v>
      </c>
      <c r="D29" s="5"/>
      <c r="E29" s="5"/>
      <c r="F29" s="5">
        <v>81</v>
      </c>
      <c r="G29" s="5"/>
      <c r="H29" s="5">
        <f t="shared" si="2"/>
        <v>81</v>
      </c>
      <c r="I29" s="7">
        <v>0.15</v>
      </c>
      <c r="J29" s="5">
        <v>45</v>
      </c>
      <c r="K29" s="5" t="s">
        <v>39</v>
      </c>
      <c r="L29" s="5"/>
      <c r="M29" s="5">
        <v>14</v>
      </c>
      <c r="N29" s="5">
        <f t="shared" si="3"/>
        <v>-14</v>
      </c>
      <c r="O29" s="5">
        <f t="shared" si="4"/>
        <v>0</v>
      </c>
      <c r="P29" s="5"/>
      <c r="Q29" s="5">
        <v>0</v>
      </c>
      <c r="R29" s="5">
        <f t="shared" si="6"/>
        <v>0</v>
      </c>
      <c r="S29" s="4"/>
      <c r="T29" s="4">
        <f t="shared" si="10"/>
        <v>0</v>
      </c>
      <c r="U29" s="5"/>
      <c r="V29" s="5" t="e">
        <f t="shared" si="7"/>
        <v>#DIV/0!</v>
      </c>
      <c r="W29" s="5" t="e">
        <f t="shared" si="5"/>
        <v>#DIV/0!</v>
      </c>
      <c r="X29" s="5">
        <v>6.2</v>
      </c>
      <c r="Y29" s="5">
        <v>0</v>
      </c>
      <c r="Z29" s="5">
        <v>0</v>
      </c>
      <c r="AA29" s="5">
        <v>8</v>
      </c>
      <c r="AB29" s="5">
        <v>2</v>
      </c>
      <c r="AC29" s="5">
        <v>1.8</v>
      </c>
      <c r="AD29" s="5">
        <v>2.2000000000000002</v>
      </c>
      <c r="AE29" s="5">
        <v>6</v>
      </c>
      <c r="AF29" s="5">
        <v>8.8000000000000007</v>
      </c>
      <c r="AG29" s="5">
        <v>7</v>
      </c>
      <c r="AH29" s="13" t="s">
        <v>69</v>
      </c>
      <c r="AI29" s="5">
        <f t="shared" si="8"/>
        <v>0</v>
      </c>
      <c r="AJ29" s="5">
        <f t="shared" si="9"/>
        <v>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70</v>
      </c>
      <c r="B30" s="5" t="s">
        <v>38</v>
      </c>
      <c r="C30" s="5">
        <v>1123.0540000000001</v>
      </c>
      <c r="D30" s="5">
        <v>602.04399999999998</v>
      </c>
      <c r="E30" s="5">
        <v>488.46899999999999</v>
      </c>
      <c r="F30" s="5">
        <v>1211.2349999999999</v>
      </c>
      <c r="G30" s="5">
        <f>66.164+257.502</f>
        <v>323.666</v>
      </c>
      <c r="H30" s="5">
        <f t="shared" si="2"/>
        <v>887.56899999999996</v>
      </c>
      <c r="I30" s="7">
        <v>1</v>
      </c>
      <c r="J30" s="5">
        <v>45</v>
      </c>
      <c r="K30" s="5" t="s">
        <v>39</v>
      </c>
      <c r="L30" s="5"/>
      <c r="M30" s="5">
        <v>476.7</v>
      </c>
      <c r="N30" s="5">
        <f t="shared" si="3"/>
        <v>11.769000000000005</v>
      </c>
      <c r="O30" s="5">
        <f t="shared" si="4"/>
        <v>427.16300000000001</v>
      </c>
      <c r="P30" s="5">
        <v>61.305999999999997</v>
      </c>
      <c r="Q30" s="5">
        <v>0</v>
      </c>
      <c r="R30" s="5">
        <f t="shared" si="6"/>
        <v>85.432600000000008</v>
      </c>
      <c r="S30" s="4">
        <f t="shared" si="14"/>
        <v>393.92000000000007</v>
      </c>
      <c r="T30" s="4">
        <f t="shared" si="10"/>
        <v>394</v>
      </c>
      <c r="U30" s="5"/>
      <c r="V30" s="5">
        <f t="shared" si="7"/>
        <v>15.000936410690999</v>
      </c>
      <c r="W30" s="5">
        <f t="shared" si="5"/>
        <v>10.389113757511769</v>
      </c>
      <c r="X30" s="5">
        <v>49.553600000000003</v>
      </c>
      <c r="Y30" s="5">
        <v>55.760399999999997</v>
      </c>
      <c r="Z30" s="5">
        <v>95.490800000000007</v>
      </c>
      <c r="AA30" s="5">
        <v>113.20059999999999</v>
      </c>
      <c r="AB30" s="5">
        <v>18.4908</v>
      </c>
      <c r="AC30" s="5">
        <v>75.172600000000003</v>
      </c>
      <c r="AD30" s="5">
        <v>78.514399999999995</v>
      </c>
      <c r="AE30" s="5">
        <v>67.384799999999998</v>
      </c>
      <c r="AF30" s="5">
        <v>59.207000000000008</v>
      </c>
      <c r="AG30" s="5">
        <v>31.207000000000001</v>
      </c>
      <c r="AH30" s="16"/>
      <c r="AI30" s="5">
        <f t="shared" si="8"/>
        <v>394</v>
      </c>
      <c r="AJ30" s="5">
        <f t="shared" si="9"/>
        <v>85.432600000000008</v>
      </c>
      <c r="AK30" s="18">
        <f>I30</f>
        <v>1</v>
      </c>
      <c r="AL30" s="5">
        <f>G30*AK30</f>
        <v>323.666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71</v>
      </c>
      <c r="B31" s="5" t="s">
        <v>41</v>
      </c>
      <c r="C31" s="5">
        <v>159</v>
      </c>
      <c r="D31" s="5">
        <v>47</v>
      </c>
      <c r="E31" s="5">
        <v>153</v>
      </c>
      <c r="F31" s="5">
        <v>26</v>
      </c>
      <c r="G31" s="5"/>
      <c r="H31" s="5">
        <f t="shared" si="2"/>
        <v>26</v>
      </c>
      <c r="I31" s="7">
        <v>0.4</v>
      </c>
      <c r="J31" s="5">
        <v>60</v>
      </c>
      <c r="K31" s="5" t="s">
        <v>39</v>
      </c>
      <c r="L31" s="5"/>
      <c r="M31" s="5">
        <v>208</v>
      </c>
      <c r="N31" s="5">
        <f t="shared" si="3"/>
        <v>-55</v>
      </c>
      <c r="O31" s="5">
        <f t="shared" si="4"/>
        <v>129</v>
      </c>
      <c r="P31" s="5">
        <v>24</v>
      </c>
      <c r="Q31" s="5">
        <v>274</v>
      </c>
      <c r="R31" s="5">
        <f t="shared" si="6"/>
        <v>25.8</v>
      </c>
      <c r="S31" s="4">
        <f t="shared" si="14"/>
        <v>87</v>
      </c>
      <c r="T31" s="4">
        <f t="shared" si="10"/>
        <v>87</v>
      </c>
      <c r="U31" s="5"/>
      <c r="V31" s="5">
        <f t="shared" si="7"/>
        <v>15</v>
      </c>
      <c r="W31" s="5">
        <f t="shared" si="5"/>
        <v>11.627906976744185</v>
      </c>
      <c r="X31" s="5">
        <v>35</v>
      </c>
      <c r="Y31" s="5">
        <v>3.4</v>
      </c>
      <c r="Z31" s="5">
        <v>24</v>
      </c>
      <c r="AA31" s="5">
        <v>24</v>
      </c>
      <c r="AB31" s="5">
        <v>7.4</v>
      </c>
      <c r="AC31" s="5">
        <v>16</v>
      </c>
      <c r="AD31" s="5">
        <v>24.8</v>
      </c>
      <c r="AE31" s="5">
        <v>16.600000000000001</v>
      </c>
      <c r="AF31" s="5">
        <v>16.600000000000001</v>
      </c>
      <c r="AG31" s="5">
        <v>14.2</v>
      </c>
      <c r="AH31" s="16"/>
      <c r="AI31" s="5">
        <f t="shared" si="8"/>
        <v>34.800000000000004</v>
      </c>
      <c r="AJ31" s="5">
        <f t="shared" si="9"/>
        <v>10.32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 t="s">
        <v>72</v>
      </c>
      <c r="B32" s="5" t="s">
        <v>41</v>
      </c>
      <c r="C32" s="5">
        <v>869</v>
      </c>
      <c r="D32" s="5">
        <v>419</v>
      </c>
      <c r="E32" s="5">
        <v>533</v>
      </c>
      <c r="F32" s="5">
        <v>707</v>
      </c>
      <c r="G32" s="5"/>
      <c r="H32" s="5">
        <f t="shared" si="2"/>
        <v>707</v>
      </c>
      <c r="I32" s="7">
        <v>0.4</v>
      </c>
      <c r="J32" s="5">
        <v>60</v>
      </c>
      <c r="K32" s="5" t="s">
        <v>39</v>
      </c>
      <c r="L32" s="5"/>
      <c r="M32" s="5">
        <v>583</v>
      </c>
      <c r="N32" s="5">
        <f t="shared" si="3"/>
        <v>-50</v>
      </c>
      <c r="O32" s="5">
        <f t="shared" si="4"/>
        <v>469</v>
      </c>
      <c r="P32" s="5">
        <v>64</v>
      </c>
      <c r="Q32" s="5">
        <v>606</v>
      </c>
      <c r="R32" s="5">
        <f t="shared" si="6"/>
        <v>93.8</v>
      </c>
      <c r="S32" s="4">
        <f t="shared" si="14"/>
        <v>94</v>
      </c>
      <c r="T32" s="4">
        <f>U32</f>
        <v>200</v>
      </c>
      <c r="U32" s="5">
        <f>VLOOKUP(A32,[1]Sheet!$A:$T,20,0)</f>
        <v>200</v>
      </c>
      <c r="V32" s="5">
        <f t="shared" si="7"/>
        <v>16.130063965884862</v>
      </c>
      <c r="W32" s="5">
        <f t="shared" si="5"/>
        <v>13.997867803837954</v>
      </c>
      <c r="X32" s="5">
        <v>116.6</v>
      </c>
      <c r="Y32" s="5">
        <v>78.599999999999994</v>
      </c>
      <c r="Z32" s="5">
        <v>127.2</v>
      </c>
      <c r="AA32" s="5">
        <v>120</v>
      </c>
      <c r="AB32" s="5">
        <v>82.4</v>
      </c>
      <c r="AC32" s="5">
        <v>83.8</v>
      </c>
      <c r="AD32" s="5">
        <v>120.6</v>
      </c>
      <c r="AE32" s="5">
        <v>106.6</v>
      </c>
      <c r="AF32" s="5">
        <v>74.8</v>
      </c>
      <c r="AG32" s="5">
        <v>84</v>
      </c>
      <c r="AH32" s="16"/>
      <c r="AI32" s="5">
        <f t="shared" si="8"/>
        <v>80</v>
      </c>
      <c r="AJ32" s="5">
        <f t="shared" si="9"/>
        <v>37.520000000000003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10" t="s">
        <v>73</v>
      </c>
      <c r="B33" s="10" t="s">
        <v>41</v>
      </c>
      <c r="C33" s="10">
        <v>-1</v>
      </c>
      <c r="D33" s="10"/>
      <c r="E33" s="10"/>
      <c r="F33" s="14">
        <v>-1</v>
      </c>
      <c r="G33" s="10"/>
      <c r="H33" s="10">
        <f t="shared" si="2"/>
        <v>-1</v>
      </c>
      <c r="I33" s="11">
        <v>0</v>
      </c>
      <c r="J33" s="10"/>
      <c r="K33" s="10" t="s">
        <v>62</v>
      </c>
      <c r="L33" s="10" t="s">
        <v>74</v>
      </c>
      <c r="M33" s="10"/>
      <c r="N33" s="10">
        <f t="shared" si="3"/>
        <v>0</v>
      </c>
      <c r="O33" s="10">
        <f t="shared" si="4"/>
        <v>0</v>
      </c>
      <c r="P33" s="10"/>
      <c r="Q33" s="10">
        <v>0</v>
      </c>
      <c r="R33" s="10">
        <f t="shared" si="6"/>
        <v>0</v>
      </c>
      <c r="S33" s="12"/>
      <c r="T33" s="4">
        <f t="shared" si="10"/>
        <v>0</v>
      </c>
      <c r="U33" s="5"/>
      <c r="V33" s="5" t="e">
        <f t="shared" si="7"/>
        <v>#DIV/0!</v>
      </c>
      <c r="W33" s="10" t="e">
        <f t="shared" si="5"/>
        <v>#DIV/0!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/>
      <c r="AI33" s="5">
        <f t="shared" si="8"/>
        <v>0</v>
      </c>
      <c r="AJ33" s="5">
        <f t="shared" si="9"/>
        <v>0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75</v>
      </c>
      <c r="B34" s="5" t="s">
        <v>41</v>
      </c>
      <c r="C34" s="5">
        <v>717</v>
      </c>
      <c r="D34" s="5">
        <v>302</v>
      </c>
      <c r="E34" s="5">
        <v>380</v>
      </c>
      <c r="F34" s="5">
        <v>607</v>
      </c>
      <c r="G34" s="5"/>
      <c r="H34" s="5">
        <f t="shared" si="2"/>
        <v>607</v>
      </c>
      <c r="I34" s="7">
        <v>0.4</v>
      </c>
      <c r="J34" s="5">
        <v>60</v>
      </c>
      <c r="K34" s="5" t="s">
        <v>39</v>
      </c>
      <c r="L34" s="5"/>
      <c r="M34" s="5">
        <v>439</v>
      </c>
      <c r="N34" s="5">
        <f t="shared" si="3"/>
        <v>-59</v>
      </c>
      <c r="O34" s="5">
        <f t="shared" si="4"/>
        <v>340</v>
      </c>
      <c r="P34" s="5">
        <v>40</v>
      </c>
      <c r="Q34" s="5">
        <v>453</v>
      </c>
      <c r="R34" s="5">
        <f t="shared" si="6"/>
        <v>68</v>
      </c>
      <c r="S34" s="4"/>
      <c r="T34" s="4">
        <f t="shared" si="10"/>
        <v>0</v>
      </c>
      <c r="U34" s="5"/>
      <c r="V34" s="5">
        <f t="shared" si="7"/>
        <v>15.588235294117647</v>
      </c>
      <c r="W34" s="5">
        <f t="shared" si="5"/>
        <v>15.588235294117647</v>
      </c>
      <c r="X34" s="5">
        <v>92.8</v>
      </c>
      <c r="Y34" s="5">
        <v>62</v>
      </c>
      <c r="Z34" s="5">
        <v>104.8</v>
      </c>
      <c r="AA34" s="5">
        <v>105.6</v>
      </c>
      <c r="AB34" s="5">
        <v>60</v>
      </c>
      <c r="AC34" s="5">
        <v>94.2</v>
      </c>
      <c r="AD34" s="5">
        <v>83.8</v>
      </c>
      <c r="AE34" s="5">
        <v>105</v>
      </c>
      <c r="AF34" s="5">
        <v>61.8</v>
      </c>
      <c r="AG34" s="5">
        <v>65.400000000000006</v>
      </c>
      <c r="AH34" s="15" t="s">
        <v>49</v>
      </c>
      <c r="AI34" s="5">
        <f t="shared" si="8"/>
        <v>0</v>
      </c>
      <c r="AJ34" s="5">
        <f t="shared" si="9"/>
        <v>27.200000000000003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10" t="s">
        <v>76</v>
      </c>
      <c r="B35" s="10" t="s">
        <v>41</v>
      </c>
      <c r="C35" s="10">
        <v>123</v>
      </c>
      <c r="D35" s="10">
        <v>1</v>
      </c>
      <c r="E35" s="10">
        <v>36</v>
      </c>
      <c r="F35" s="10">
        <v>82</v>
      </c>
      <c r="G35" s="10"/>
      <c r="H35" s="10">
        <f t="shared" si="2"/>
        <v>82</v>
      </c>
      <c r="I35" s="11">
        <v>0</v>
      </c>
      <c r="J35" s="10">
        <v>45</v>
      </c>
      <c r="K35" s="10" t="s">
        <v>77</v>
      </c>
      <c r="L35" s="10"/>
      <c r="M35" s="10">
        <v>48</v>
      </c>
      <c r="N35" s="10">
        <f t="shared" si="3"/>
        <v>-12</v>
      </c>
      <c r="O35" s="10">
        <f t="shared" si="4"/>
        <v>36</v>
      </c>
      <c r="P35" s="10"/>
      <c r="Q35" s="10">
        <v>0</v>
      </c>
      <c r="R35" s="10">
        <f t="shared" si="6"/>
        <v>7.2</v>
      </c>
      <c r="S35" s="12"/>
      <c r="T35" s="4">
        <f t="shared" si="10"/>
        <v>0</v>
      </c>
      <c r="U35" s="5"/>
      <c r="V35" s="5">
        <f t="shared" si="7"/>
        <v>11.388888888888889</v>
      </c>
      <c r="W35" s="10">
        <f t="shared" si="5"/>
        <v>11.388888888888889</v>
      </c>
      <c r="X35" s="10">
        <v>6</v>
      </c>
      <c r="Y35" s="10">
        <v>5.8</v>
      </c>
      <c r="Z35" s="10">
        <v>3.8</v>
      </c>
      <c r="AA35" s="10">
        <v>0</v>
      </c>
      <c r="AB35" s="10">
        <v>0.4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3" t="s">
        <v>78</v>
      </c>
      <c r="AI35" s="5">
        <f t="shared" si="8"/>
        <v>0</v>
      </c>
      <c r="AJ35" s="5">
        <f t="shared" si="9"/>
        <v>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10" t="s">
        <v>79</v>
      </c>
      <c r="B36" s="10" t="s">
        <v>41</v>
      </c>
      <c r="C36" s="10">
        <v>2</v>
      </c>
      <c r="D36" s="10"/>
      <c r="E36" s="10"/>
      <c r="F36" s="14">
        <v>2</v>
      </c>
      <c r="G36" s="10"/>
      <c r="H36" s="10">
        <f t="shared" si="2"/>
        <v>2</v>
      </c>
      <c r="I36" s="11">
        <v>0</v>
      </c>
      <c r="J36" s="10">
        <v>60</v>
      </c>
      <c r="K36" s="10" t="s">
        <v>62</v>
      </c>
      <c r="L36" s="10" t="s">
        <v>80</v>
      </c>
      <c r="M36" s="10"/>
      <c r="N36" s="10">
        <f t="shared" si="3"/>
        <v>0</v>
      </c>
      <c r="O36" s="10">
        <f t="shared" si="4"/>
        <v>0</v>
      </c>
      <c r="P36" s="10"/>
      <c r="Q36" s="10">
        <v>0</v>
      </c>
      <c r="R36" s="10">
        <f t="shared" si="6"/>
        <v>0</v>
      </c>
      <c r="S36" s="12"/>
      <c r="T36" s="4">
        <f t="shared" si="10"/>
        <v>0</v>
      </c>
      <c r="U36" s="5"/>
      <c r="V36" s="5" t="e">
        <f t="shared" si="7"/>
        <v>#DIV/0!</v>
      </c>
      <c r="W36" s="10" t="e">
        <f t="shared" si="5"/>
        <v>#DIV/0!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0.2</v>
      </c>
      <c r="AE36" s="10">
        <v>-0.4</v>
      </c>
      <c r="AF36" s="10">
        <v>20.6</v>
      </c>
      <c r="AG36" s="10">
        <v>34</v>
      </c>
      <c r="AH36" s="10" t="s">
        <v>81</v>
      </c>
      <c r="AI36" s="5">
        <f t="shared" si="8"/>
        <v>0</v>
      </c>
      <c r="AJ36" s="5">
        <f t="shared" si="9"/>
        <v>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10" t="s">
        <v>82</v>
      </c>
      <c r="B37" s="10" t="s">
        <v>38</v>
      </c>
      <c r="C37" s="10">
        <v>14.555</v>
      </c>
      <c r="D37" s="10"/>
      <c r="E37" s="10"/>
      <c r="F37" s="10">
        <v>14.555</v>
      </c>
      <c r="G37" s="10">
        <v>14.462999999999999</v>
      </c>
      <c r="H37" s="10">
        <f t="shared" si="2"/>
        <v>9.2000000000000526E-2</v>
      </c>
      <c r="I37" s="11">
        <v>0</v>
      </c>
      <c r="J37" s="10">
        <v>45</v>
      </c>
      <c r="K37" s="10" t="s">
        <v>62</v>
      </c>
      <c r="L37" s="10"/>
      <c r="M37" s="10">
        <v>17</v>
      </c>
      <c r="N37" s="10">
        <f t="shared" si="3"/>
        <v>-17</v>
      </c>
      <c r="O37" s="10">
        <f t="shared" si="4"/>
        <v>0</v>
      </c>
      <c r="P37" s="10"/>
      <c r="Q37" s="10">
        <v>0</v>
      </c>
      <c r="R37" s="10">
        <f t="shared" si="6"/>
        <v>0</v>
      </c>
      <c r="S37" s="12"/>
      <c r="T37" s="4">
        <f t="shared" si="10"/>
        <v>0</v>
      </c>
      <c r="U37" s="5"/>
      <c r="V37" s="5" t="e">
        <f t="shared" si="7"/>
        <v>#DIV/0!</v>
      </c>
      <c r="W37" s="10" t="e">
        <f t="shared" si="5"/>
        <v>#DIV/0!</v>
      </c>
      <c r="X37" s="10">
        <v>1.9390000000000009</v>
      </c>
      <c r="Y37" s="10">
        <v>2.6938</v>
      </c>
      <c r="Z37" s="10">
        <v>9.0944000000000003</v>
      </c>
      <c r="AA37" s="10">
        <v>3.9171999999999998</v>
      </c>
      <c r="AB37" s="10">
        <v>0</v>
      </c>
      <c r="AC37" s="10">
        <v>11.114000000000001</v>
      </c>
      <c r="AD37" s="10">
        <v>13.551</v>
      </c>
      <c r="AE37" s="10">
        <v>8.1720000000000006</v>
      </c>
      <c r="AF37" s="10">
        <v>2.6469999999999998</v>
      </c>
      <c r="AG37" s="10">
        <v>0</v>
      </c>
      <c r="AH37" s="10"/>
      <c r="AI37" s="5">
        <f t="shared" si="8"/>
        <v>0</v>
      </c>
      <c r="AJ37" s="5">
        <f t="shared" si="9"/>
        <v>0</v>
      </c>
      <c r="AK37" s="18">
        <v>1</v>
      </c>
      <c r="AL37" s="5">
        <f t="shared" ref="AL37:AL38" si="15">G37*AK37</f>
        <v>14.462999999999999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10" t="s">
        <v>83</v>
      </c>
      <c r="B38" s="10" t="s">
        <v>41</v>
      </c>
      <c r="C38" s="10">
        <v>114</v>
      </c>
      <c r="D38" s="10"/>
      <c r="E38" s="10">
        <v>36</v>
      </c>
      <c r="F38" s="10">
        <v>78</v>
      </c>
      <c r="G38" s="10">
        <v>78</v>
      </c>
      <c r="H38" s="10">
        <f t="shared" ref="H38:H69" si="16">F38-G38</f>
        <v>0</v>
      </c>
      <c r="I38" s="11">
        <v>0</v>
      </c>
      <c r="J38" s="10"/>
      <c r="K38" s="10" t="s">
        <v>62</v>
      </c>
      <c r="L38" s="10"/>
      <c r="M38" s="10">
        <v>103</v>
      </c>
      <c r="N38" s="10">
        <f t="shared" ref="N38:N69" si="17">E38-M38</f>
        <v>-67</v>
      </c>
      <c r="O38" s="10">
        <f t="shared" ref="O38:O69" si="18">E38-P38</f>
        <v>0</v>
      </c>
      <c r="P38" s="10">
        <v>36</v>
      </c>
      <c r="Q38" s="10">
        <v>0</v>
      </c>
      <c r="R38" s="10">
        <f t="shared" si="6"/>
        <v>0</v>
      </c>
      <c r="S38" s="12"/>
      <c r="T38" s="4">
        <f t="shared" si="10"/>
        <v>0</v>
      </c>
      <c r="U38" s="5"/>
      <c r="V38" s="5" t="e">
        <f t="shared" si="7"/>
        <v>#DIV/0!</v>
      </c>
      <c r="W38" s="10" t="e">
        <f t="shared" ref="W38:W69" si="19">(H38+Q38)/R38</f>
        <v>#DIV/0!</v>
      </c>
      <c r="X38" s="10">
        <v>2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/>
      <c r="AI38" s="5">
        <f t="shared" si="8"/>
        <v>0</v>
      </c>
      <c r="AJ38" s="5">
        <f t="shared" si="9"/>
        <v>0</v>
      </c>
      <c r="AK38" s="18">
        <v>0.4</v>
      </c>
      <c r="AL38" s="5">
        <f t="shared" si="15"/>
        <v>31.200000000000003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84</v>
      </c>
      <c r="B39" s="5" t="s">
        <v>41</v>
      </c>
      <c r="C39" s="5">
        <v>129</v>
      </c>
      <c r="D39" s="5">
        <v>98</v>
      </c>
      <c r="E39" s="5">
        <v>81</v>
      </c>
      <c r="F39" s="5">
        <v>126</v>
      </c>
      <c r="G39" s="5"/>
      <c r="H39" s="5">
        <f t="shared" si="16"/>
        <v>126</v>
      </c>
      <c r="I39" s="7">
        <v>0.3</v>
      </c>
      <c r="J39" s="5">
        <v>45</v>
      </c>
      <c r="K39" s="5" t="s">
        <v>39</v>
      </c>
      <c r="L39" s="5"/>
      <c r="M39" s="5">
        <v>113</v>
      </c>
      <c r="N39" s="5">
        <f t="shared" si="17"/>
        <v>-32</v>
      </c>
      <c r="O39" s="5">
        <f t="shared" si="18"/>
        <v>81</v>
      </c>
      <c r="P39" s="5"/>
      <c r="Q39" s="5">
        <v>0</v>
      </c>
      <c r="R39" s="5">
        <f t="shared" si="6"/>
        <v>16.2</v>
      </c>
      <c r="S39" s="4">
        <f t="shared" ref="S39:S49" si="20">15*R39-Q39-H39</f>
        <v>117</v>
      </c>
      <c r="T39" s="4">
        <f t="shared" si="10"/>
        <v>117</v>
      </c>
      <c r="U39" s="5"/>
      <c r="V39" s="5">
        <f t="shared" si="7"/>
        <v>15</v>
      </c>
      <c r="W39" s="5">
        <f t="shared" si="19"/>
        <v>7.7777777777777777</v>
      </c>
      <c r="X39" s="5">
        <v>15.4</v>
      </c>
      <c r="Y39" s="5">
        <v>16.399999999999999</v>
      </c>
      <c r="Z39" s="5">
        <v>26</v>
      </c>
      <c r="AA39" s="5">
        <v>22.4</v>
      </c>
      <c r="AB39" s="5">
        <v>25.8</v>
      </c>
      <c r="AC39" s="5">
        <v>11.4</v>
      </c>
      <c r="AD39" s="5">
        <v>21.2</v>
      </c>
      <c r="AE39" s="5">
        <v>45.2</v>
      </c>
      <c r="AF39" s="5">
        <v>22.6</v>
      </c>
      <c r="AG39" s="5">
        <v>12.4</v>
      </c>
      <c r="AH39" s="16"/>
      <c r="AI39" s="5">
        <f t="shared" si="8"/>
        <v>35.1</v>
      </c>
      <c r="AJ39" s="5">
        <f t="shared" si="9"/>
        <v>4.8599999999999994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5" t="s">
        <v>85</v>
      </c>
      <c r="B40" s="5" t="s">
        <v>38</v>
      </c>
      <c r="C40" s="5">
        <v>753.81100000000004</v>
      </c>
      <c r="D40" s="5">
        <v>518.58699999999999</v>
      </c>
      <c r="E40" s="5">
        <v>139.58000000000001</v>
      </c>
      <c r="F40" s="5">
        <v>1123.6590000000001</v>
      </c>
      <c r="G40" s="5">
        <f>32.272+328.455</f>
        <v>360.72699999999998</v>
      </c>
      <c r="H40" s="5">
        <f t="shared" si="16"/>
        <v>762.93200000000013</v>
      </c>
      <c r="I40" s="7">
        <v>1</v>
      </c>
      <c r="J40" s="5">
        <v>60</v>
      </c>
      <c r="K40" s="5" t="s">
        <v>39</v>
      </c>
      <c r="L40" s="5"/>
      <c r="M40" s="5">
        <v>173.8</v>
      </c>
      <c r="N40" s="5">
        <f t="shared" si="17"/>
        <v>-34.22</v>
      </c>
      <c r="O40" s="5">
        <f t="shared" si="18"/>
        <v>86.77000000000001</v>
      </c>
      <c r="P40" s="5">
        <v>52.81</v>
      </c>
      <c r="Q40" s="5">
        <v>0</v>
      </c>
      <c r="R40" s="5">
        <f t="shared" si="6"/>
        <v>17.354000000000003</v>
      </c>
      <c r="S40" s="4"/>
      <c r="T40" s="4">
        <f t="shared" si="10"/>
        <v>0</v>
      </c>
      <c r="U40" s="5"/>
      <c r="V40" s="5">
        <f t="shared" si="7"/>
        <v>43.962890399907806</v>
      </c>
      <c r="W40" s="5">
        <f t="shared" si="19"/>
        <v>43.962890399907806</v>
      </c>
      <c r="X40" s="5">
        <v>14.4514</v>
      </c>
      <c r="Y40" s="5">
        <v>46.306199999999997</v>
      </c>
      <c r="Z40" s="5">
        <v>46.882800000000003</v>
      </c>
      <c r="AA40" s="5">
        <v>45.837400000000002</v>
      </c>
      <c r="AB40" s="5">
        <v>32.807000000000002</v>
      </c>
      <c r="AC40" s="5">
        <v>36.681600000000003</v>
      </c>
      <c r="AD40" s="5">
        <v>46.652000000000001</v>
      </c>
      <c r="AE40" s="5">
        <v>53.252200000000002</v>
      </c>
      <c r="AF40" s="5">
        <v>15.216799999999999</v>
      </c>
      <c r="AG40" s="5">
        <v>15.7242</v>
      </c>
      <c r="AH40" s="13" t="s">
        <v>69</v>
      </c>
      <c r="AI40" s="5">
        <f t="shared" si="8"/>
        <v>0</v>
      </c>
      <c r="AJ40" s="5">
        <f t="shared" si="9"/>
        <v>17.354000000000003</v>
      </c>
      <c r="AK40" s="18">
        <f>I40</f>
        <v>1</v>
      </c>
      <c r="AL40" s="5">
        <f>G40*AK40</f>
        <v>360.72699999999998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 t="s">
        <v>86</v>
      </c>
      <c r="B41" s="5" t="s">
        <v>38</v>
      </c>
      <c r="C41" s="5">
        <v>22.981999999999999</v>
      </c>
      <c r="D41" s="5">
        <v>141.768</v>
      </c>
      <c r="E41" s="5">
        <v>28.994</v>
      </c>
      <c r="F41" s="5">
        <v>127.858</v>
      </c>
      <c r="G41" s="5"/>
      <c r="H41" s="5">
        <f t="shared" si="16"/>
        <v>127.858</v>
      </c>
      <c r="I41" s="7">
        <v>1</v>
      </c>
      <c r="J41" s="5">
        <v>45</v>
      </c>
      <c r="K41" s="5" t="s">
        <v>39</v>
      </c>
      <c r="L41" s="5"/>
      <c r="M41" s="5">
        <v>84.2</v>
      </c>
      <c r="N41" s="5">
        <f t="shared" si="17"/>
        <v>-55.206000000000003</v>
      </c>
      <c r="O41" s="5">
        <f t="shared" si="18"/>
        <v>28.994</v>
      </c>
      <c r="P41" s="5"/>
      <c r="Q41" s="5">
        <v>160</v>
      </c>
      <c r="R41" s="5">
        <f t="shared" si="6"/>
        <v>5.7988</v>
      </c>
      <c r="S41" s="4"/>
      <c r="T41" s="4">
        <f t="shared" si="10"/>
        <v>0</v>
      </c>
      <c r="U41" s="5"/>
      <c r="V41" s="5">
        <f t="shared" si="7"/>
        <v>49.640960198661794</v>
      </c>
      <c r="W41" s="5">
        <f t="shared" si="19"/>
        <v>49.640960198661794</v>
      </c>
      <c r="X41" s="5">
        <v>18.465599999999998</v>
      </c>
      <c r="Y41" s="5">
        <v>17.502400000000002</v>
      </c>
      <c r="Z41" s="5">
        <v>10.848800000000001</v>
      </c>
      <c r="AA41" s="5">
        <v>17.9328</v>
      </c>
      <c r="AB41" s="5">
        <v>15.6494</v>
      </c>
      <c r="AC41" s="5">
        <v>12.670999999999999</v>
      </c>
      <c r="AD41" s="5">
        <v>16.613800000000001</v>
      </c>
      <c r="AE41" s="5">
        <v>17.702400000000001</v>
      </c>
      <c r="AF41" s="5">
        <v>10.339600000000001</v>
      </c>
      <c r="AG41" s="5">
        <v>13.245200000000001</v>
      </c>
      <c r="AH41" s="13" t="s">
        <v>69</v>
      </c>
      <c r="AI41" s="5">
        <f t="shared" si="8"/>
        <v>0</v>
      </c>
      <c r="AJ41" s="5">
        <f t="shared" si="9"/>
        <v>5.7988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16" t="s">
        <v>87</v>
      </c>
      <c r="B42" s="5" t="s">
        <v>38</v>
      </c>
      <c r="C42" s="5">
        <v>267.53500000000003</v>
      </c>
      <c r="D42" s="5">
        <v>72.414000000000001</v>
      </c>
      <c r="E42" s="5">
        <v>107.10599999999999</v>
      </c>
      <c r="F42" s="5">
        <v>227.56100000000001</v>
      </c>
      <c r="G42" s="5">
        <v>50.112000000000002</v>
      </c>
      <c r="H42" s="5">
        <f t="shared" si="16"/>
        <v>177.44900000000001</v>
      </c>
      <c r="I42" s="7">
        <v>1</v>
      </c>
      <c r="J42" s="5">
        <v>45</v>
      </c>
      <c r="K42" s="5" t="s">
        <v>39</v>
      </c>
      <c r="L42" s="5"/>
      <c r="M42" s="5">
        <v>104.251</v>
      </c>
      <c r="N42" s="5">
        <f t="shared" si="17"/>
        <v>2.8549999999999898</v>
      </c>
      <c r="O42" s="5">
        <f t="shared" si="18"/>
        <v>88.221999999999994</v>
      </c>
      <c r="P42" s="5">
        <v>18.884</v>
      </c>
      <c r="Q42" s="5">
        <v>340</v>
      </c>
      <c r="R42" s="5">
        <f t="shared" si="6"/>
        <v>17.644399999999997</v>
      </c>
      <c r="S42" s="4"/>
      <c r="T42" s="4">
        <f t="shared" si="10"/>
        <v>0</v>
      </c>
      <c r="U42" s="5"/>
      <c r="V42" s="5">
        <f t="shared" si="7"/>
        <v>29.326528530298575</v>
      </c>
      <c r="W42" s="5">
        <f t="shared" si="19"/>
        <v>29.326528530298575</v>
      </c>
      <c r="X42" s="5">
        <v>21.256599999999999</v>
      </c>
      <c r="Y42" s="5">
        <v>2.8117999999999999</v>
      </c>
      <c r="Z42" s="5">
        <v>24.3322</v>
      </c>
      <c r="AA42" s="5">
        <v>18.131399999999999</v>
      </c>
      <c r="AB42" s="5">
        <v>12.0776</v>
      </c>
      <c r="AC42" s="5">
        <v>13.896599999999999</v>
      </c>
      <c r="AD42" s="5">
        <v>19.759399999999999</v>
      </c>
      <c r="AE42" s="5">
        <v>14.8596</v>
      </c>
      <c r="AF42" s="5">
        <v>11.2278</v>
      </c>
      <c r="AG42" s="5">
        <v>8.8872</v>
      </c>
      <c r="AH42" s="13" t="s">
        <v>69</v>
      </c>
      <c r="AI42" s="5">
        <f t="shared" si="8"/>
        <v>0</v>
      </c>
      <c r="AJ42" s="5">
        <f t="shared" si="9"/>
        <v>17.644399999999997</v>
      </c>
      <c r="AK42" s="18">
        <f>I42</f>
        <v>1</v>
      </c>
      <c r="AL42" s="5">
        <f>G42*AK42</f>
        <v>50.112000000000002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 t="s">
        <v>88</v>
      </c>
      <c r="B43" s="5" t="s">
        <v>38</v>
      </c>
      <c r="C43" s="5">
        <v>66.418000000000006</v>
      </c>
      <c r="D43" s="5">
        <v>62.37</v>
      </c>
      <c r="E43" s="5">
        <v>55.036000000000001</v>
      </c>
      <c r="F43" s="5">
        <v>68.498000000000005</v>
      </c>
      <c r="G43" s="5"/>
      <c r="H43" s="5">
        <f t="shared" si="16"/>
        <v>68.498000000000005</v>
      </c>
      <c r="I43" s="7">
        <v>1</v>
      </c>
      <c r="J43" s="5">
        <v>45</v>
      </c>
      <c r="K43" s="5" t="s">
        <v>39</v>
      </c>
      <c r="L43" s="5"/>
      <c r="M43" s="5">
        <v>68.099999999999994</v>
      </c>
      <c r="N43" s="5">
        <f t="shared" si="17"/>
        <v>-13.063999999999993</v>
      </c>
      <c r="O43" s="5">
        <f t="shared" si="18"/>
        <v>55.036000000000001</v>
      </c>
      <c r="P43" s="5"/>
      <c r="Q43" s="5">
        <v>47</v>
      </c>
      <c r="R43" s="5">
        <f t="shared" si="6"/>
        <v>11.007200000000001</v>
      </c>
      <c r="S43" s="4">
        <f t="shared" si="20"/>
        <v>49.61</v>
      </c>
      <c r="T43" s="4">
        <f t="shared" si="10"/>
        <v>50</v>
      </c>
      <c r="U43" s="5"/>
      <c r="V43" s="5">
        <f t="shared" si="7"/>
        <v>15.035431354022819</v>
      </c>
      <c r="W43" s="5">
        <f t="shared" si="19"/>
        <v>10.492950069045715</v>
      </c>
      <c r="X43" s="5">
        <v>11.5886</v>
      </c>
      <c r="Y43" s="5">
        <v>6.1677999999999997</v>
      </c>
      <c r="Z43" s="5">
        <v>9.9160000000000004</v>
      </c>
      <c r="AA43" s="5">
        <v>15.056800000000001</v>
      </c>
      <c r="AB43" s="5">
        <v>10.8932</v>
      </c>
      <c r="AC43" s="5">
        <v>5.9122000000000003</v>
      </c>
      <c r="AD43" s="5">
        <v>11.0404</v>
      </c>
      <c r="AE43" s="5">
        <v>17.397600000000001</v>
      </c>
      <c r="AF43" s="5">
        <v>6.0191999999999997</v>
      </c>
      <c r="AG43" s="5">
        <v>11.008599999999999</v>
      </c>
      <c r="AH43" s="16"/>
      <c r="AI43" s="5">
        <f t="shared" si="8"/>
        <v>50</v>
      </c>
      <c r="AJ43" s="5">
        <f t="shared" si="9"/>
        <v>11.007200000000001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 t="s">
        <v>89</v>
      </c>
      <c r="B44" s="5" t="s">
        <v>41</v>
      </c>
      <c r="C44" s="5">
        <v>279</v>
      </c>
      <c r="D44" s="5">
        <v>317</v>
      </c>
      <c r="E44" s="5">
        <v>218</v>
      </c>
      <c r="F44" s="5">
        <v>363</v>
      </c>
      <c r="G44" s="5">
        <v>120</v>
      </c>
      <c r="H44" s="5">
        <f t="shared" si="16"/>
        <v>243</v>
      </c>
      <c r="I44" s="7">
        <v>0.3</v>
      </c>
      <c r="J44" s="5">
        <v>45</v>
      </c>
      <c r="K44" s="5" t="s">
        <v>39</v>
      </c>
      <c r="L44" s="5"/>
      <c r="M44" s="5">
        <v>391</v>
      </c>
      <c r="N44" s="5">
        <f t="shared" si="17"/>
        <v>-173</v>
      </c>
      <c r="O44" s="5">
        <f t="shared" si="18"/>
        <v>186</v>
      </c>
      <c r="P44" s="5">
        <v>32</v>
      </c>
      <c r="Q44" s="5">
        <v>964</v>
      </c>
      <c r="R44" s="5">
        <f t="shared" si="6"/>
        <v>37.200000000000003</v>
      </c>
      <c r="S44" s="4"/>
      <c r="T44" s="4">
        <f t="shared" si="10"/>
        <v>0</v>
      </c>
      <c r="U44" s="5"/>
      <c r="V44" s="5">
        <f t="shared" si="7"/>
        <v>32.446236559139784</v>
      </c>
      <c r="W44" s="5">
        <f t="shared" si="19"/>
        <v>32.446236559139784</v>
      </c>
      <c r="X44" s="5">
        <v>118.8</v>
      </c>
      <c r="Y44" s="5">
        <v>1.6</v>
      </c>
      <c r="Z44" s="5">
        <v>52.2</v>
      </c>
      <c r="AA44" s="5">
        <v>85.8</v>
      </c>
      <c r="AB44" s="5">
        <v>35.799999999999997</v>
      </c>
      <c r="AC44" s="5">
        <v>58.4</v>
      </c>
      <c r="AD44" s="5">
        <v>64.8</v>
      </c>
      <c r="AE44" s="5">
        <v>52.8</v>
      </c>
      <c r="AF44" s="5">
        <v>58.8</v>
      </c>
      <c r="AG44" s="5">
        <v>86.4</v>
      </c>
      <c r="AH44" s="16"/>
      <c r="AI44" s="5">
        <f t="shared" si="8"/>
        <v>0</v>
      </c>
      <c r="AJ44" s="5">
        <f t="shared" si="9"/>
        <v>11.16</v>
      </c>
      <c r="AK44" s="18">
        <f t="shared" ref="AK44:AK46" si="21">I44</f>
        <v>0.3</v>
      </c>
      <c r="AL44" s="5">
        <f t="shared" ref="AL44:AL46" si="22">G44*AK44</f>
        <v>36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 t="s">
        <v>90</v>
      </c>
      <c r="B45" s="5" t="s">
        <v>38</v>
      </c>
      <c r="C45" s="5">
        <v>58.716000000000001</v>
      </c>
      <c r="D45" s="5">
        <v>55.527999999999999</v>
      </c>
      <c r="E45" s="5">
        <v>12.874000000000001</v>
      </c>
      <c r="F45" s="5">
        <v>94.372</v>
      </c>
      <c r="G45" s="5">
        <v>55.92</v>
      </c>
      <c r="H45" s="5">
        <f t="shared" si="16"/>
        <v>38.451999999999998</v>
      </c>
      <c r="I45" s="7">
        <v>1</v>
      </c>
      <c r="J45" s="5"/>
      <c r="K45" s="5" t="s">
        <v>39</v>
      </c>
      <c r="L45" s="5"/>
      <c r="M45" s="5">
        <v>90.451999999999998</v>
      </c>
      <c r="N45" s="5">
        <f t="shared" si="17"/>
        <v>-77.578000000000003</v>
      </c>
      <c r="O45" s="5">
        <f t="shared" si="18"/>
        <v>12.874000000000001</v>
      </c>
      <c r="P45" s="5"/>
      <c r="Q45" s="5">
        <v>120</v>
      </c>
      <c r="R45" s="5">
        <f t="shared" si="6"/>
        <v>2.5748000000000002</v>
      </c>
      <c r="S45" s="4"/>
      <c r="T45" s="4">
        <f t="shared" si="10"/>
        <v>0</v>
      </c>
      <c r="U45" s="5"/>
      <c r="V45" s="5">
        <f t="shared" si="7"/>
        <v>61.539537051421462</v>
      </c>
      <c r="W45" s="5">
        <f t="shared" si="19"/>
        <v>61.539537051421462</v>
      </c>
      <c r="X45" s="5">
        <v>10.1496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16" t="s">
        <v>91</v>
      </c>
      <c r="AI45" s="5">
        <f t="shared" si="8"/>
        <v>0</v>
      </c>
      <c r="AJ45" s="5">
        <f t="shared" si="9"/>
        <v>2.5748000000000002</v>
      </c>
      <c r="AK45" s="18">
        <f t="shared" si="21"/>
        <v>1</v>
      </c>
      <c r="AL45" s="5">
        <f t="shared" si="22"/>
        <v>55.92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 t="s">
        <v>92</v>
      </c>
      <c r="B46" s="5" t="s">
        <v>38</v>
      </c>
      <c r="C46" s="5">
        <v>254.393</v>
      </c>
      <c r="D46" s="5"/>
      <c r="E46" s="5">
        <v>82.790999999999997</v>
      </c>
      <c r="F46" s="5">
        <v>170.042</v>
      </c>
      <c r="G46" s="5">
        <v>81.055000000000007</v>
      </c>
      <c r="H46" s="5">
        <f t="shared" si="16"/>
        <v>88.986999999999995</v>
      </c>
      <c r="I46" s="7">
        <v>1</v>
      </c>
      <c r="J46" s="5">
        <v>45</v>
      </c>
      <c r="K46" s="5" t="s">
        <v>39</v>
      </c>
      <c r="L46" s="5"/>
      <c r="M46" s="5">
        <v>82</v>
      </c>
      <c r="N46" s="5">
        <f t="shared" si="17"/>
        <v>0.79099999999999682</v>
      </c>
      <c r="O46" s="5">
        <f t="shared" si="18"/>
        <v>82.790999999999997</v>
      </c>
      <c r="P46" s="5"/>
      <c r="Q46" s="5">
        <v>0</v>
      </c>
      <c r="R46" s="5">
        <f t="shared" si="6"/>
        <v>16.558199999999999</v>
      </c>
      <c r="S46" s="4">
        <f>13*R46-Q46-H46</f>
        <v>126.2696</v>
      </c>
      <c r="T46" s="4">
        <f t="shared" si="10"/>
        <v>126</v>
      </c>
      <c r="U46" s="5"/>
      <c r="V46" s="5">
        <f t="shared" si="7"/>
        <v>12.983718036984696</v>
      </c>
      <c r="W46" s="5">
        <f t="shared" si="19"/>
        <v>5.3741952627701082</v>
      </c>
      <c r="X46" s="5">
        <v>4.0780000000000003</v>
      </c>
      <c r="Y46" s="5">
        <v>8.1170000000000009</v>
      </c>
      <c r="Z46" s="5">
        <v>16.876200000000001</v>
      </c>
      <c r="AA46" s="5">
        <v>10.6318</v>
      </c>
      <c r="AB46" s="5">
        <v>4.3406000000000002</v>
      </c>
      <c r="AC46" s="5">
        <v>15.939</v>
      </c>
      <c r="AD46" s="5">
        <v>6.1928000000000001</v>
      </c>
      <c r="AE46" s="5">
        <v>6.7195999999999998</v>
      </c>
      <c r="AF46" s="5">
        <v>2.1467999999999998</v>
      </c>
      <c r="AG46" s="5">
        <v>2.1526000000000001</v>
      </c>
      <c r="AH46" s="16"/>
      <c r="AI46" s="5">
        <f t="shared" si="8"/>
        <v>126</v>
      </c>
      <c r="AJ46" s="5">
        <f t="shared" si="9"/>
        <v>16.558199999999999</v>
      </c>
      <c r="AK46" s="18">
        <f t="shared" si="21"/>
        <v>1</v>
      </c>
      <c r="AL46" s="5">
        <f t="shared" si="22"/>
        <v>81.055000000000007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 t="s">
        <v>93</v>
      </c>
      <c r="B47" s="5" t="s">
        <v>41</v>
      </c>
      <c r="C47" s="5">
        <v>884</v>
      </c>
      <c r="D47" s="5">
        <v>496</v>
      </c>
      <c r="E47" s="5">
        <v>670</v>
      </c>
      <c r="F47" s="5">
        <v>659</v>
      </c>
      <c r="G47" s="5"/>
      <c r="H47" s="5">
        <f t="shared" si="16"/>
        <v>659</v>
      </c>
      <c r="I47" s="7">
        <v>0.35</v>
      </c>
      <c r="J47" s="5">
        <v>45</v>
      </c>
      <c r="K47" s="5" t="s">
        <v>39</v>
      </c>
      <c r="L47" s="5"/>
      <c r="M47" s="5">
        <v>803</v>
      </c>
      <c r="N47" s="5">
        <f t="shared" si="17"/>
        <v>-133</v>
      </c>
      <c r="O47" s="5">
        <f t="shared" si="18"/>
        <v>670</v>
      </c>
      <c r="P47" s="5"/>
      <c r="Q47" s="5">
        <v>1400</v>
      </c>
      <c r="R47" s="5">
        <f t="shared" si="6"/>
        <v>134</v>
      </c>
      <c r="S47" s="4"/>
      <c r="T47" s="4">
        <f t="shared" si="10"/>
        <v>0</v>
      </c>
      <c r="U47" s="5"/>
      <c r="V47" s="5">
        <f t="shared" si="7"/>
        <v>15.365671641791044</v>
      </c>
      <c r="W47" s="5">
        <f t="shared" si="19"/>
        <v>15.365671641791044</v>
      </c>
      <c r="X47" s="5">
        <v>176</v>
      </c>
      <c r="Y47" s="5">
        <v>82.6</v>
      </c>
      <c r="Z47" s="5">
        <v>158.6</v>
      </c>
      <c r="AA47" s="5">
        <v>169.2</v>
      </c>
      <c r="AB47" s="5">
        <v>109.4</v>
      </c>
      <c r="AC47" s="5">
        <v>94.4</v>
      </c>
      <c r="AD47" s="5">
        <v>139</v>
      </c>
      <c r="AE47" s="5">
        <v>135.4</v>
      </c>
      <c r="AF47" s="5">
        <v>91.2</v>
      </c>
      <c r="AG47" s="5">
        <v>124.2</v>
      </c>
      <c r="AH47" s="16"/>
      <c r="AI47" s="5">
        <f t="shared" si="8"/>
        <v>0</v>
      </c>
      <c r="AJ47" s="5">
        <f t="shared" si="9"/>
        <v>46.9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 t="s">
        <v>94</v>
      </c>
      <c r="B48" s="5" t="s">
        <v>41</v>
      </c>
      <c r="C48" s="5">
        <v>916</v>
      </c>
      <c r="D48" s="5">
        <v>27</v>
      </c>
      <c r="E48" s="5">
        <v>46</v>
      </c>
      <c r="F48" s="5">
        <v>889</v>
      </c>
      <c r="G48" s="5">
        <v>841</v>
      </c>
      <c r="H48" s="5">
        <f t="shared" si="16"/>
        <v>48</v>
      </c>
      <c r="I48" s="7">
        <v>0.41</v>
      </c>
      <c r="J48" s="5">
        <v>45</v>
      </c>
      <c r="K48" s="5" t="s">
        <v>39</v>
      </c>
      <c r="L48" s="5"/>
      <c r="M48" s="5">
        <v>322</v>
      </c>
      <c r="N48" s="5">
        <f t="shared" si="17"/>
        <v>-276</v>
      </c>
      <c r="O48" s="5">
        <f t="shared" si="18"/>
        <v>30</v>
      </c>
      <c r="P48" s="5">
        <v>16</v>
      </c>
      <c r="Q48" s="5">
        <v>0</v>
      </c>
      <c r="R48" s="5">
        <f t="shared" si="6"/>
        <v>6</v>
      </c>
      <c r="S48" s="4">
        <f t="shared" si="20"/>
        <v>42</v>
      </c>
      <c r="T48" s="4">
        <f t="shared" si="10"/>
        <v>42</v>
      </c>
      <c r="U48" s="5"/>
      <c r="V48" s="5">
        <f t="shared" si="7"/>
        <v>15</v>
      </c>
      <c r="W48" s="5">
        <f t="shared" si="19"/>
        <v>8</v>
      </c>
      <c r="X48" s="5">
        <v>80</v>
      </c>
      <c r="Y48" s="5">
        <v>-2.6</v>
      </c>
      <c r="Z48" s="5">
        <v>-2.8</v>
      </c>
      <c r="AA48" s="5">
        <v>46.8</v>
      </c>
      <c r="AB48" s="5">
        <v>39</v>
      </c>
      <c r="AC48" s="5">
        <v>41</v>
      </c>
      <c r="AD48" s="5">
        <v>31</v>
      </c>
      <c r="AE48" s="5">
        <v>61.6</v>
      </c>
      <c r="AF48" s="5">
        <v>47</v>
      </c>
      <c r="AG48" s="5">
        <v>55.4</v>
      </c>
      <c r="AH48" s="16" t="s">
        <v>176</v>
      </c>
      <c r="AI48" s="5">
        <f t="shared" si="8"/>
        <v>17.22</v>
      </c>
      <c r="AJ48" s="5">
        <f t="shared" si="9"/>
        <v>2.46</v>
      </c>
      <c r="AK48" s="18">
        <f t="shared" ref="AK48:AK49" si="23">I48</f>
        <v>0.41</v>
      </c>
      <c r="AL48" s="5">
        <f t="shared" ref="AL48:AL49" si="24">G48*AK48</f>
        <v>344.81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 t="s">
        <v>95</v>
      </c>
      <c r="B49" s="5" t="s">
        <v>41</v>
      </c>
      <c r="C49" s="5">
        <v>278</v>
      </c>
      <c r="D49" s="5">
        <v>648</v>
      </c>
      <c r="E49" s="5">
        <v>303</v>
      </c>
      <c r="F49" s="5">
        <v>619</v>
      </c>
      <c r="G49" s="5">
        <v>100</v>
      </c>
      <c r="H49" s="5">
        <f t="shared" si="16"/>
        <v>519</v>
      </c>
      <c r="I49" s="7">
        <v>0.41</v>
      </c>
      <c r="J49" s="5">
        <v>45</v>
      </c>
      <c r="K49" s="5" t="s">
        <v>39</v>
      </c>
      <c r="L49" s="5"/>
      <c r="M49" s="5">
        <v>408</v>
      </c>
      <c r="N49" s="5">
        <f t="shared" si="17"/>
        <v>-105</v>
      </c>
      <c r="O49" s="5">
        <f t="shared" si="18"/>
        <v>243</v>
      </c>
      <c r="P49" s="5">
        <v>60</v>
      </c>
      <c r="Q49" s="5">
        <v>102</v>
      </c>
      <c r="R49" s="5">
        <f t="shared" si="6"/>
        <v>48.6</v>
      </c>
      <c r="S49" s="4">
        <f t="shared" si="20"/>
        <v>108</v>
      </c>
      <c r="T49" s="4">
        <f t="shared" si="10"/>
        <v>108</v>
      </c>
      <c r="U49" s="5"/>
      <c r="V49" s="5">
        <f t="shared" si="7"/>
        <v>15</v>
      </c>
      <c r="W49" s="5">
        <f t="shared" si="19"/>
        <v>12.777777777777777</v>
      </c>
      <c r="X49" s="5">
        <v>58.2</v>
      </c>
      <c r="Y49" s="5">
        <v>52.4</v>
      </c>
      <c r="Z49" s="5">
        <v>16.600000000000001</v>
      </c>
      <c r="AA49" s="5">
        <v>57.6</v>
      </c>
      <c r="AB49" s="5">
        <v>35.6</v>
      </c>
      <c r="AC49" s="5">
        <v>12.4</v>
      </c>
      <c r="AD49" s="5">
        <v>28</v>
      </c>
      <c r="AE49" s="5">
        <v>35</v>
      </c>
      <c r="AF49" s="5">
        <v>20.2</v>
      </c>
      <c r="AG49" s="5">
        <v>21.2</v>
      </c>
      <c r="AH49" s="16"/>
      <c r="AI49" s="5">
        <f t="shared" si="8"/>
        <v>44.279999999999994</v>
      </c>
      <c r="AJ49" s="5">
        <f t="shared" si="9"/>
        <v>19.925999999999998</v>
      </c>
      <c r="AK49" s="18">
        <f t="shared" si="23"/>
        <v>0.41</v>
      </c>
      <c r="AL49" s="5">
        <f t="shared" si="24"/>
        <v>41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10" t="s">
        <v>96</v>
      </c>
      <c r="B50" s="10" t="s">
        <v>38</v>
      </c>
      <c r="C50" s="10">
        <v>16.449000000000002</v>
      </c>
      <c r="D50" s="10"/>
      <c r="E50" s="10"/>
      <c r="F50" s="10">
        <v>16.449000000000002</v>
      </c>
      <c r="G50" s="10"/>
      <c r="H50" s="10">
        <f t="shared" si="16"/>
        <v>16.449000000000002</v>
      </c>
      <c r="I50" s="11">
        <v>0</v>
      </c>
      <c r="J50" s="10">
        <v>30</v>
      </c>
      <c r="K50" s="10" t="s">
        <v>62</v>
      </c>
      <c r="L50" s="10"/>
      <c r="M50" s="10"/>
      <c r="N50" s="10">
        <f t="shared" si="17"/>
        <v>0</v>
      </c>
      <c r="O50" s="10">
        <f t="shared" si="18"/>
        <v>0</v>
      </c>
      <c r="P50" s="10"/>
      <c r="Q50" s="10">
        <v>0</v>
      </c>
      <c r="R50" s="10">
        <f t="shared" si="6"/>
        <v>0</v>
      </c>
      <c r="S50" s="12"/>
      <c r="T50" s="4">
        <f t="shared" si="10"/>
        <v>0</v>
      </c>
      <c r="U50" s="5"/>
      <c r="V50" s="5" t="e">
        <f t="shared" si="7"/>
        <v>#DIV/0!</v>
      </c>
      <c r="W50" s="10" t="e">
        <f t="shared" si="19"/>
        <v>#DIV/0!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3" t="s">
        <v>69</v>
      </c>
      <c r="AI50" s="5">
        <f t="shared" si="8"/>
        <v>0</v>
      </c>
      <c r="AJ50" s="5">
        <f t="shared" si="9"/>
        <v>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 t="s">
        <v>97</v>
      </c>
      <c r="B51" s="5" t="s">
        <v>41</v>
      </c>
      <c r="C51" s="5">
        <v>5</v>
      </c>
      <c r="D51" s="5">
        <v>57</v>
      </c>
      <c r="E51" s="5">
        <v>11</v>
      </c>
      <c r="F51" s="5">
        <v>50</v>
      </c>
      <c r="G51" s="5"/>
      <c r="H51" s="5">
        <f t="shared" si="16"/>
        <v>50</v>
      </c>
      <c r="I51" s="7">
        <v>0.36</v>
      </c>
      <c r="J51" s="5">
        <v>45</v>
      </c>
      <c r="K51" s="5" t="s">
        <v>39</v>
      </c>
      <c r="L51" s="5"/>
      <c r="M51" s="5">
        <v>73</v>
      </c>
      <c r="N51" s="5">
        <f t="shared" si="17"/>
        <v>-62</v>
      </c>
      <c r="O51" s="5">
        <f t="shared" si="18"/>
        <v>11</v>
      </c>
      <c r="P51" s="5"/>
      <c r="Q51" s="5">
        <v>117</v>
      </c>
      <c r="R51" s="5">
        <f t="shared" si="6"/>
        <v>2.2000000000000002</v>
      </c>
      <c r="S51" s="4"/>
      <c r="T51" s="4">
        <f t="shared" si="10"/>
        <v>0</v>
      </c>
      <c r="U51" s="5"/>
      <c r="V51" s="5">
        <f t="shared" si="7"/>
        <v>75.909090909090907</v>
      </c>
      <c r="W51" s="5">
        <f t="shared" si="19"/>
        <v>75.909090909090907</v>
      </c>
      <c r="X51" s="5">
        <v>12</v>
      </c>
      <c r="Y51" s="5">
        <v>0.2</v>
      </c>
      <c r="Z51" s="5">
        <v>6.8</v>
      </c>
      <c r="AA51" s="5">
        <v>0</v>
      </c>
      <c r="AB51" s="5">
        <v>0</v>
      </c>
      <c r="AC51" s="5">
        <v>-0.4</v>
      </c>
      <c r="AD51" s="5">
        <v>0</v>
      </c>
      <c r="AE51" s="5">
        <v>-0.8</v>
      </c>
      <c r="AF51" s="5">
        <v>-1.4</v>
      </c>
      <c r="AG51" s="5">
        <v>-0.6</v>
      </c>
      <c r="AH51" s="16" t="s">
        <v>98</v>
      </c>
      <c r="AI51" s="5">
        <f t="shared" si="8"/>
        <v>0</v>
      </c>
      <c r="AJ51" s="5">
        <f t="shared" si="9"/>
        <v>0.79200000000000004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5" t="s">
        <v>99</v>
      </c>
      <c r="B52" s="5" t="s">
        <v>41</v>
      </c>
      <c r="C52" s="5">
        <v>28</v>
      </c>
      <c r="D52" s="5">
        <v>122</v>
      </c>
      <c r="E52" s="5">
        <v>30</v>
      </c>
      <c r="F52" s="5">
        <v>107</v>
      </c>
      <c r="G52" s="5"/>
      <c r="H52" s="5">
        <f t="shared" si="16"/>
        <v>107</v>
      </c>
      <c r="I52" s="7">
        <v>0.33</v>
      </c>
      <c r="J52" s="5">
        <v>45</v>
      </c>
      <c r="K52" s="5" t="s">
        <v>39</v>
      </c>
      <c r="L52" s="5"/>
      <c r="M52" s="5">
        <v>103</v>
      </c>
      <c r="N52" s="5">
        <f t="shared" si="17"/>
        <v>-73</v>
      </c>
      <c r="O52" s="5">
        <f t="shared" si="18"/>
        <v>30</v>
      </c>
      <c r="P52" s="5"/>
      <c r="Q52" s="5">
        <v>211</v>
      </c>
      <c r="R52" s="5">
        <f t="shared" si="6"/>
        <v>6</v>
      </c>
      <c r="S52" s="4"/>
      <c r="T52" s="4">
        <f t="shared" si="10"/>
        <v>0</v>
      </c>
      <c r="U52" s="5"/>
      <c r="V52" s="5">
        <f t="shared" si="7"/>
        <v>53</v>
      </c>
      <c r="W52" s="5">
        <f t="shared" si="19"/>
        <v>53</v>
      </c>
      <c r="X52" s="5">
        <v>27.2</v>
      </c>
      <c r="Y52" s="5">
        <v>17.600000000000001</v>
      </c>
      <c r="Z52" s="5">
        <v>5.2</v>
      </c>
      <c r="AA52" s="5">
        <v>20.2</v>
      </c>
      <c r="AB52" s="5">
        <v>12.8</v>
      </c>
      <c r="AC52" s="5">
        <v>2.2000000000000002</v>
      </c>
      <c r="AD52" s="5">
        <v>11.4</v>
      </c>
      <c r="AE52" s="5">
        <v>17</v>
      </c>
      <c r="AF52" s="5">
        <v>0</v>
      </c>
      <c r="AG52" s="5">
        <v>15.8</v>
      </c>
      <c r="AH52" s="16" t="s">
        <v>100</v>
      </c>
      <c r="AI52" s="5">
        <f t="shared" si="8"/>
        <v>0</v>
      </c>
      <c r="AJ52" s="5">
        <f t="shared" si="9"/>
        <v>1.98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5" t="s">
        <v>101</v>
      </c>
      <c r="B53" s="5" t="s">
        <v>41</v>
      </c>
      <c r="C53" s="5">
        <v>310</v>
      </c>
      <c r="D53" s="5">
        <v>65</v>
      </c>
      <c r="E53" s="5">
        <v>214</v>
      </c>
      <c r="F53" s="5">
        <v>154</v>
      </c>
      <c r="G53" s="5">
        <v>24</v>
      </c>
      <c r="H53" s="5">
        <f t="shared" si="16"/>
        <v>130</v>
      </c>
      <c r="I53" s="7">
        <v>0.4</v>
      </c>
      <c r="J53" s="5">
        <v>60</v>
      </c>
      <c r="K53" s="5" t="s">
        <v>39</v>
      </c>
      <c r="L53" s="5"/>
      <c r="M53" s="5">
        <v>234</v>
      </c>
      <c r="N53" s="5">
        <f t="shared" si="17"/>
        <v>-20</v>
      </c>
      <c r="O53" s="5">
        <f t="shared" si="18"/>
        <v>182</v>
      </c>
      <c r="P53" s="5">
        <v>32</v>
      </c>
      <c r="Q53" s="5">
        <v>306</v>
      </c>
      <c r="R53" s="5">
        <f t="shared" si="6"/>
        <v>36.4</v>
      </c>
      <c r="S53" s="4">
        <f t="shared" ref="S53:S54" si="25">15*R53-Q53-H53</f>
        <v>110</v>
      </c>
      <c r="T53" s="4">
        <f t="shared" si="10"/>
        <v>110</v>
      </c>
      <c r="U53" s="5"/>
      <c r="V53" s="5">
        <f t="shared" si="7"/>
        <v>15</v>
      </c>
      <c r="W53" s="5">
        <f t="shared" si="19"/>
        <v>11.978021978021978</v>
      </c>
      <c r="X53" s="5">
        <v>45</v>
      </c>
      <c r="Y53" s="5">
        <v>9</v>
      </c>
      <c r="Z53" s="5">
        <v>38</v>
      </c>
      <c r="AA53" s="5">
        <v>38.4</v>
      </c>
      <c r="AB53" s="5">
        <v>27</v>
      </c>
      <c r="AC53" s="5">
        <v>20.8</v>
      </c>
      <c r="AD53" s="5">
        <v>30.2</v>
      </c>
      <c r="AE53" s="5">
        <v>34.6</v>
      </c>
      <c r="AF53" s="5">
        <v>33.799999999999997</v>
      </c>
      <c r="AG53" s="5">
        <v>24.2</v>
      </c>
      <c r="AH53" s="16"/>
      <c r="AI53" s="5">
        <f t="shared" si="8"/>
        <v>44</v>
      </c>
      <c r="AJ53" s="5">
        <f t="shared" si="9"/>
        <v>14.56</v>
      </c>
      <c r="AK53" s="18">
        <f>I53</f>
        <v>0.4</v>
      </c>
      <c r="AL53" s="5">
        <f>G53*AK53</f>
        <v>9.6000000000000014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 t="s">
        <v>102</v>
      </c>
      <c r="B54" s="5" t="s">
        <v>41</v>
      </c>
      <c r="C54" s="5">
        <v>20</v>
      </c>
      <c r="D54" s="5"/>
      <c r="E54" s="5">
        <v>11</v>
      </c>
      <c r="F54" s="5">
        <v>9</v>
      </c>
      <c r="G54" s="5"/>
      <c r="H54" s="5">
        <f t="shared" si="16"/>
        <v>9</v>
      </c>
      <c r="I54" s="7">
        <v>0.33</v>
      </c>
      <c r="J54" s="5">
        <v>45</v>
      </c>
      <c r="K54" s="5" t="s">
        <v>39</v>
      </c>
      <c r="L54" s="5"/>
      <c r="M54" s="5">
        <v>16</v>
      </c>
      <c r="N54" s="5">
        <f t="shared" si="17"/>
        <v>-5</v>
      </c>
      <c r="O54" s="5">
        <f t="shared" si="18"/>
        <v>11</v>
      </c>
      <c r="P54" s="5"/>
      <c r="Q54" s="5">
        <v>19</v>
      </c>
      <c r="R54" s="5">
        <f t="shared" si="6"/>
        <v>2.2000000000000002</v>
      </c>
      <c r="S54" s="4">
        <f t="shared" si="25"/>
        <v>5</v>
      </c>
      <c r="T54" s="4">
        <f t="shared" si="10"/>
        <v>5</v>
      </c>
      <c r="U54" s="5"/>
      <c r="V54" s="5">
        <f t="shared" si="7"/>
        <v>14.999999999999998</v>
      </c>
      <c r="W54" s="5">
        <f t="shared" si="19"/>
        <v>12.727272727272727</v>
      </c>
      <c r="X54" s="5">
        <v>2.6</v>
      </c>
      <c r="Y54" s="5">
        <v>-0.4</v>
      </c>
      <c r="Z54" s="5">
        <v>0</v>
      </c>
      <c r="AA54" s="5">
        <v>-0.6</v>
      </c>
      <c r="AB54" s="5">
        <v>0</v>
      </c>
      <c r="AC54" s="5">
        <v>0.8</v>
      </c>
      <c r="AD54" s="5">
        <v>1.4</v>
      </c>
      <c r="AE54" s="5">
        <v>3.2</v>
      </c>
      <c r="AF54" s="5">
        <v>2.6</v>
      </c>
      <c r="AG54" s="5">
        <v>0.8</v>
      </c>
      <c r="AH54" s="16" t="s">
        <v>103</v>
      </c>
      <c r="AI54" s="5">
        <f t="shared" si="8"/>
        <v>1.6500000000000001</v>
      </c>
      <c r="AJ54" s="5">
        <f t="shared" si="9"/>
        <v>0.72600000000000009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 t="s">
        <v>104</v>
      </c>
      <c r="B55" s="5" t="s">
        <v>38</v>
      </c>
      <c r="C55" s="5">
        <v>231.238</v>
      </c>
      <c r="D55" s="5">
        <v>331.41399999999999</v>
      </c>
      <c r="E55" s="5">
        <v>237.93600000000001</v>
      </c>
      <c r="F55" s="5">
        <v>301.26400000000001</v>
      </c>
      <c r="G55" s="5"/>
      <c r="H55" s="5">
        <f t="shared" si="16"/>
        <v>301.26400000000001</v>
      </c>
      <c r="I55" s="7">
        <v>1</v>
      </c>
      <c r="J55" s="5">
        <v>45</v>
      </c>
      <c r="K55" s="5" t="s">
        <v>39</v>
      </c>
      <c r="L55" s="5"/>
      <c r="M55" s="5">
        <v>250.3</v>
      </c>
      <c r="N55" s="5">
        <f t="shared" si="17"/>
        <v>-12.364000000000004</v>
      </c>
      <c r="O55" s="5">
        <f t="shared" si="18"/>
        <v>237.93600000000001</v>
      </c>
      <c r="P55" s="5"/>
      <c r="Q55" s="5">
        <v>664</v>
      </c>
      <c r="R55" s="5">
        <f t="shared" si="6"/>
        <v>47.587200000000003</v>
      </c>
      <c r="S55" s="4"/>
      <c r="T55" s="4">
        <f t="shared" si="10"/>
        <v>0</v>
      </c>
      <c r="U55" s="5"/>
      <c r="V55" s="5">
        <f t="shared" si="7"/>
        <v>20.284110012776544</v>
      </c>
      <c r="W55" s="5">
        <f t="shared" si="19"/>
        <v>20.284110012776544</v>
      </c>
      <c r="X55" s="5">
        <v>80.835799999999992</v>
      </c>
      <c r="Y55" s="5">
        <v>30.045400000000001</v>
      </c>
      <c r="Z55" s="5">
        <v>65.753799999999998</v>
      </c>
      <c r="AA55" s="5">
        <v>61.433399999999992</v>
      </c>
      <c r="AB55" s="5">
        <v>54.076999999999998</v>
      </c>
      <c r="AC55" s="5">
        <v>13.7126</v>
      </c>
      <c r="AD55" s="5">
        <v>63.340599999999988</v>
      </c>
      <c r="AE55" s="5">
        <v>57.431199999999997</v>
      </c>
      <c r="AF55" s="5">
        <v>38.247</v>
      </c>
      <c r="AG55" s="5">
        <v>48.421199999999999</v>
      </c>
      <c r="AH55" s="16"/>
      <c r="AI55" s="5">
        <f t="shared" si="8"/>
        <v>0</v>
      </c>
      <c r="AJ55" s="5">
        <f t="shared" si="9"/>
        <v>47.587200000000003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 t="s">
        <v>105</v>
      </c>
      <c r="B56" s="5" t="s">
        <v>41</v>
      </c>
      <c r="C56" s="5">
        <v>240</v>
      </c>
      <c r="D56" s="5"/>
      <c r="E56" s="5">
        <v>78</v>
      </c>
      <c r="F56" s="5">
        <v>162</v>
      </c>
      <c r="G56" s="5">
        <v>48</v>
      </c>
      <c r="H56" s="5">
        <f t="shared" si="16"/>
        <v>114</v>
      </c>
      <c r="I56" s="7">
        <v>0.4</v>
      </c>
      <c r="J56" s="5">
        <v>45</v>
      </c>
      <c r="K56" s="5" t="s">
        <v>39</v>
      </c>
      <c r="L56" s="5"/>
      <c r="M56" s="5">
        <v>128</v>
      </c>
      <c r="N56" s="5">
        <f t="shared" si="17"/>
        <v>-50</v>
      </c>
      <c r="O56" s="5">
        <f t="shared" si="18"/>
        <v>0</v>
      </c>
      <c r="P56" s="5">
        <v>78</v>
      </c>
      <c r="Q56" s="5">
        <v>0</v>
      </c>
      <c r="R56" s="5">
        <f t="shared" si="6"/>
        <v>0</v>
      </c>
      <c r="S56" s="4"/>
      <c r="T56" s="4"/>
      <c r="U56" s="5">
        <f>VLOOKUP(A56,[1]Sheet!$A:$T,20,0)</f>
        <v>100</v>
      </c>
      <c r="V56" s="5" t="e">
        <f t="shared" si="7"/>
        <v>#DIV/0!</v>
      </c>
      <c r="W56" s="5" t="e">
        <f t="shared" si="19"/>
        <v>#DIV/0!</v>
      </c>
      <c r="X56" s="5">
        <v>-0.6</v>
      </c>
      <c r="Y56" s="5">
        <v>-0.2</v>
      </c>
      <c r="Z56" s="5">
        <v>-2.6</v>
      </c>
      <c r="AA56" s="5">
        <v>0</v>
      </c>
      <c r="AB56" s="5">
        <v>-0.4</v>
      </c>
      <c r="AC56" s="5">
        <v>-0.2</v>
      </c>
      <c r="AD56" s="5">
        <v>-2.4</v>
      </c>
      <c r="AE56" s="5">
        <v>-3.4</v>
      </c>
      <c r="AF56" s="5">
        <v>1</v>
      </c>
      <c r="AG56" s="5">
        <v>-1.6</v>
      </c>
      <c r="AH56" s="13" t="s">
        <v>69</v>
      </c>
      <c r="AI56" s="5">
        <f t="shared" si="8"/>
        <v>0</v>
      </c>
      <c r="AJ56" s="5">
        <f t="shared" si="9"/>
        <v>0</v>
      </c>
      <c r="AK56" s="18">
        <f>I56</f>
        <v>0.4</v>
      </c>
      <c r="AL56" s="5">
        <f>G56*AK56</f>
        <v>19.200000000000003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10" t="s">
        <v>106</v>
      </c>
      <c r="B57" s="10" t="s">
        <v>38</v>
      </c>
      <c r="C57" s="10"/>
      <c r="D57" s="10"/>
      <c r="E57" s="10"/>
      <c r="F57" s="10"/>
      <c r="G57" s="10"/>
      <c r="H57" s="10">
        <f t="shared" si="16"/>
        <v>0</v>
      </c>
      <c r="I57" s="11">
        <v>0</v>
      </c>
      <c r="J57" s="10"/>
      <c r="K57" s="10" t="s">
        <v>39</v>
      </c>
      <c r="L57" s="10"/>
      <c r="M57" s="10">
        <v>2</v>
      </c>
      <c r="N57" s="10">
        <f t="shared" si="17"/>
        <v>-2</v>
      </c>
      <c r="O57" s="10">
        <f t="shared" si="18"/>
        <v>0</v>
      </c>
      <c r="P57" s="10"/>
      <c r="Q57" s="10">
        <v>0</v>
      </c>
      <c r="R57" s="10">
        <f t="shared" si="6"/>
        <v>0</v>
      </c>
      <c r="S57" s="12"/>
      <c r="T57" s="4">
        <f t="shared" si="10"/>
        <v>0</v>
      </c>
      <c r="U57" s="5"/>
      <c r="V57" s="5" t="e">
        <f t="shared" si="7"/>
        <v>#DIV/0!</v>
      </c>
      <c r="W57" s="10" t="e">
        <f t="shared" si="19"/>
        <v>#DIV/0!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 t="s">
        <v>107</v>
      </c>
      <c r="AI57" s="5">
        <f t="shared" si="8"/>
        <v>0</v>
      </c>
      <c r="AJ57" s="5">
        <f t="shared" si="9"/>
        <v>0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5" t="s">
        <v>108</v>
      </c>
      <c r="B58" s="5" t="s">
        <v>38</v>
      </c>
      <c r="C58" s="5">
        <v>184.69499999999999</v>
      </c>
      <c r="D58" s="5">
        <v>66.465000000000003</v>
      </c>
      <c r="E58" s="5">
        <v>68.5</v>
      </c>
      <c r="F58" s="5">
        <v>182.66</v>
      </c>
      <c r="G58" s="5">
        <v>126.52500000000001</v>
      </c>
      <c r="H58" s="5">
        <f t="shared" si="16"/>
        <v>56.134999999999991</v>
      </c>
      <c r="I58" s="7">
        <v>1</v>
      </c>
      <c r="J58" s="5">
        <v>60</v>
      </c>
      <c r="K58" s="5" t="s">
        <v>39</v>
      </c>
      <c r="L58" s="5"/>
      <c r="M58" s="5">
        <v>63.3</v>
      </c>
      <c r="N58" s="5">
        <f t="shared" si="17"/>
        <v>5.2000000000000028</v>
      </c>
      <c r="O58" s="5">
        <f t="shared" si="18"/>
        <v>68.5</v>
      </c>
      <c r="P58" s="5"/>
      <c r="Q58" s="5">
        <v>0</v>
      </c>
      <c r="R58" s="5">
        <f t="shared" si="6"/>
        <v>13.7</v>
      </c>
      <c r="S58" s="4">
        <f>12*R58-Q58-H58</f>
        <v>108.26499999999999</v>
      </c>
      <c r="T58" s="4">
        <f>U58</f>
        <v>200</v>
      </c>
      <c r="U58" s="5">
        <f>VLOOKUP(A58,[1]Sheet!$A:$T,20,0)</f>
        <v>200</v>
      </c>
      <c r="V58" s="5">
        <f t="shared" si="7"/>
        <v>18.695985401459854</v>
      </c>
      <c r="W58" s="5">
        <f t="shared" si="19"/>
        <v>4.0974452554744518</v>
      </c>
      <c r="X58" s="5">
        <v>7.6189999999999998</v>
      </c>
      <c r="Y58" s="5">
        <v>7.8315999999999999</v>
      </c>
      <c r="Z58" s="5">
        <v>9.9421999999999997</v>
      </c>
      <c r="AA58" s="5">
        <v>12.0648</v>
      </c>
      <c r="AB58" s="5">
        <v>5.1560000000000006</v>
      </c>
      <c r="AC58" s="5">
        <v>7.8439999999999994</v>
      </c>
      <c r="AD58" s="5">
        <v>4.2359999999999998</v>
      </c>
      <c r="AE58" s="5">
        <v>5.14</v>
      </c>
      <c r="AF58" s="5">
        <v>2.649</v>
      </c>
      <c r="AG58" s="5">
        <v>1.7909999999999999</v>
      </c>
      <c r="AH58" s="16"/>
      <c r="AI58" s="5">
        <f t="shared" si="8"/>
        <v>200</v>
      </c>
      <c r="AJ58" s="5">
        <f t="shared" si="9"/>
        <v>13.7</v>
      </c>
      <c r="AK58" s="18">
        <f t="shared" ref="AK58" si="26">I58</f>
        <v>1</v>
      </c>
      <c r="AL58" s="5">
        <f t="shared" ref="AL58:AL59" si="27">G58*AK58</f>
        <v>126.52500000000001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10" t="s">
        <v>109</v>
      </c>
      <c r="B59" s="10" t="s">
        <v>41</v>
      </c>
      <c r="C59" s="10">
        <v>81</v>
      </c>
      <c r="D59" s="10">
        <v>9</v>
      </c>
      <c r="E59" s="10">
        <v>26</v>
      </c>
      <c r="F59" s="10">
        <v>62</v>
      </c>
      <c r="G59" s="10">
        <v>32</v>
      </c>
      <c r="H59" s="10">
        <f t="shared" si="16"/>
        <v>30</v>
      </c>
      <c r="I59" s="11">
        <v>0</v>
      </c>
      <c r="J59" s="10">
        <v>45</v>
      </c>
      <c r="K59" s="10" t="s">
        <v>77</v>
      </c>
      <c r="L59" s="10"/>
      <c r="M59" s="10">
        <v>44</v>
      </c>
      <c r="N59" s="10">
        <f t="shared" si="17"/>
        <v>-18</v>
      </c>
      <c r="O59" s="10">
        <f t="shared" si="18"/>
        <v>26</v>
      </c>
      <c r="P59" s="10"/>
      <c r="Q59" s="10">
        <v>0</v>
      </c>
      <c r="R59" s="10">
        <f t="shared" si="6"/>
        <v>5.2</v>
      </c>
      <c r="S59" s="12"/>
      <c r="T59" s="4">
        <f t="shared" si="10"/>
        <v>0</v>
      </c>
      <c r="U59" s="5"/>
      <c r="V59" s="5">
        <f t="shared" si="7"/>
        <v>5.7692307692307692</v>
      </c>
      <c r="W59" s="10">
        <f t="shared" si="19"/>
        <v>5.7692307692307692</v>
      </c>
      <c r="X59" s="10">
        <v>4.8</v>
      </c>
      <c r="Y59" s="10">
        <v>5.8</v>
      </c>
      <c r="Z59" s="10">
        <v>9.6</v>
      </c>
      <c r="AA59" s="10">
        <v>6</v>
      </c>
      <c r="AB59" s="10">
        <v>7.6</v>
      </c>
      <c r="AC59" s="10">
        <v>8.1999999999999993</v>
      </c>
      <c r="AD59" s="10">
        <v>12.8</v>
      </c>
      <c r="AE59" s="10">
        <v>10.8</v>
      </c>
      <c r="AF59" s="10">
        <v>13.8</v>
      </c>
      <c r="AG59" s="10">
        <v>13</v>
      </c>
      <c r="AH59" s="10"/>
      <c r="AI59" s="5">
        <f t="shared" si="8"/>
        <v>0</v>
      </c>
      <c r="AJ59" s="5">
        <f t="shared" si="9"/>
        <v>0</v>
      </c>
      <c r="AK59" s="18">
        <v>0.6</v>
      </c>
      <c r="AL59" s="5">
        <f t="shared" si="27"/>
        <v>19.2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5" t="s">
        <v>110</v>
      </c>
      <c r="B60" s="5" t="s">
        <v>38</v>
      </c>
      <c r="C60" s="5"/>
      <c r="D60" s="5">
        <v>98.896000000000001</v>
      </c>
      <c r="E60" s="5">
        <v>1.716</v>
      </c>
      <c r="F60" s="5">
        <v>97.18</v>
      </c>
      <c r="G60" s="5"/>
      <c r="H60" s="5">
        <f t="shared" si="16"/>
        <v>97.18</v>
      </c>
      <c r="I60" s="7">
        <v>1</v>
      </c>
      <c r="J60" s="5">
        <v>45</v>
      </c>
      <c r="K60" s="5" t="s">
        <v>39</v>
      </c>
      <c r="L60" s="5"/>
      <c r="M60" s="5">
        <v>5.7160000000000002</v>
      </c>
      <c r="N60" s="5">
        <f t="shared" si="17"/>
        <v>-4</v>
      </c>
      <c r="O60" s="5">
        <f t="shared" si="18"/>
        <v>1.716</v>
      </c>
      <c r="P60" s="5"/>
      <c r="Q60" s="5">
        <v>0</v>
      </c>
      <c r="R60" s="5">
        <f t="shared" si="6"/>
        <v>0.34320000000000001</v>
      </c>
      <c r="S60" s="4"/>
      <c r="T60" s="4">
        <f>U60</f>
        <v>50</v>
      </c>
      <c r="U60" s="5">
        <f>VLOOKUP(A60,[1]Sheet!$A:$T,20,0)</f>
        <v>50</v>
      </c>
      <c r="V60" s="5">
        <f t="shared" si="7"/>
        <v>428.84615384615387</v>
      </c>
      <c r="W60" s="5">
        <f t="shared" si="19"/>
        <v>283.1585081585082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16" t="s">
        <v>111</v>
      </c>
      <c r="AI60" s="5">
        <f t="shared" si="8"/>
        <v>50</v>
      </c>
      <c r="AJ60" s="5">
        <f t="shared" si="9"/>
        <v>0.34320000000000001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10" t="s">
        <v>112</v>
      </c>
      <c r="B61" s="10" t="s">
        <v>41</v>
      </c>
      <c r="C61" s="10">
        <v>120</v>
      </c>
      <c r="D61" s="10"/>
      <c r="E61" s="10">
        <v>1</v>
      </c>
      <c r="F61" s="10">
        <v>119</v>
      </c>
      <c r="G61" s="10"/>
      <c r="H61" s="10">
        <f t="shared" si="16"/>
        <v>119</v>
      </c>
      <c r="I61" s="11">
        <v>0</v>
      </c>
      <c r="J61" s="10"/>
      <c r="K61" s="10" t="s">
        <v>62</v>
      </c>
      <c r="L61" s="10"/>
      <c r="M61" s="10">
        <v>1</v>
      </c>
      <c r="N61" s="10">
        <f t="shared" si="17"/>
        <v>0</v>
      </c>
      <c r="O61" s="10">
        <f t="shared" si="18"/>
        <v>1</v>
      </c>
      <c r="P61" s="10"/>
      <c r="Q61" s="10">
        <v>0</v>
      </c>
      <c r="R61" s="10">
        <f t="shared" si="6"/>
        <v>0.2</v>
      </c>
      <c r="S61" s="12"/>
      <c r="T61" s="4">
        <f t="shared" si="10"/>
        <v>0</v>
      </c>
      <c r="U61" s="5"/>
      <c r="V61" s="5">
        <f t="shared" si="7"/>
        <v>595</v>
      </c>
      <c r="W61" s="10">
        <f t="shared" si="19"/>
        <v>595</v>
      </c>
      <c r="X61" s="10">
        <v>0</v>
      </c>
      <c r="Y61" s="10">
        <v>0</v>
      </c>
      <c r="Z61" s="10">
        <v>3.2</v>
      </c>
      <c r="AA61" s="10">
        <v>4.8</v>
      </c>
      <c r="AB61" s="10">
        <v>0</v>
      </c>
      <c r="AC61" s="10">
        <v>8</v>
      </c>
      <c r="AD61" s="10">
        <v>0</v>
      </c>
      <c r="AE61" s="10">
        <v>0</v>
      </c>
      <c r="AF61" s="10">
        <v>0</v>
      </c>
      <c r="AG61" s="10">
        <v>0</v>
      </c>
      <c r="AH61" s="13" t="s">
        <v>63</v>
      </c>
      <c r="AI61" s="5">
        <f t="shared" si="8"/>
        <v>0</v>
      </c>
      <c r="AJ61" s="5">
        <f t="shared" si="9"/>
        <v>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 t="s">
        <v>113</v>
      </c>
      <c r="B62" s="5" t="s">
        <v>41</v>
      </c>
      <c r="C62" s="5">
        <v>244</v>
      </c>
      <c r="D62" s="5">
        <v>81</v>
      </c>
      <c r="E62" s="5">
        <v>106</v>
      </c>
      <c r="F62" s="5">
        <v>213</v>
      </c>
      <c r="G62" s="5"/>
      <c r="H62" s="5">
        <f t="shared" si="16"/>
        <v>213</v>
      </c>
      <c r="I62" s="7">
        <v>0.25</v>
      </c>
      <c r="J62" s="5">
        <v>120</v>
      </c>
      <c r="K62" s="5" t="s">
        <v>39</v>
      </c>
      <c r="L62" s="5"/>
      <c r="M62" s="5">
        <v>114</v>
      </c>
      <c r="N62" s="5">
        <f t="shared" si="17"/>
        <v>-8</v>
      </c>
      <c r="O62" s="5">
        <f t="shared" si="18"/>
        <v>106</v>
      </c>
      <c r="P62" s="5"/>
      <c r="Q62" s="5">
        <v>122</v>
      </c>
      <c r="R62" s="5">
        <f t="shared" si="6"/>
        <v>21.2</v>
      </c>
      <c r="S62" s="4"/>
      <c r="T62" s="4">
        <f t="shared" si="10"/>
        <v>0</v>
      </c>
      <c r="U62" s="5"/>
      <c r="V62" s="5">
        <f t="shared" si="7"/>
        <v>15.80188679245283</v>
      </c>
      <c r="W62" s="5">
        <f t="shared" si="19"/>
        <v>15.80188679245283</v>
      </c>
      <c r="X62" s="5">
        <v>29.6</v>
      </c>
      <c r="Y62" s="5">
        <v>23.8</v>
      </c>
      <c r="Z62" s="5">
        <v>41.2</v>
      </c>
      <c r="AA62" s="5">
        <v>35.799999999999997</v>
      </c>
      <c r="AB62" s="5">
        <v>24</v>
      </c>
      <c r="AC62" s="5">
        <v>14.4</v>
      </c>
      <c r="AD62" s="5">
        <v>17.2</v>
      </c>
      <c r="AE62" s="5">
        <v>29.8</v>
      </c>
      <c r="AF62" s="5">
        <v>8.4</v>
      </c>
      <c r="AG62" s="5">
        <v>9.4</v>
      </c>
      <c r="AH62" s="16" t="s">
        <v>43</v>
      </c>
      <c r="AI62" s="5">
        <f t="shared" si="8"/>
        <v>0</v>
      </c>
      <c r="AJ62" s="5">
        <f t="shared" si="9"/>
        <v>5.3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5" t="s">
        <v>114</v>
      </c>
      <c r="B63" s="5" t="s">
        <v>38</v>
      </c>
      <c r="C63" s="5">
        <v>20.029</v>
      </c>
      <c r="D63" s="5">
        <v>71.959999999999994</v>
      </c>
      <c r="E63" s="5">
        <v>18.888999999999999</v>
      </c>
      <c r="F63" s="5">
        <v>69.918000000000006</v>
      </c>
      <c r="G63" s="5"/>
      <c r="H63" s="5">
        <f t="shared" si="16"/>
        <v>69.918000000000006</v>
      </c>
      <c r="I63" s="7">
        <v>1</v>
      </c>
      <c r="J63" s="5">
        <v>45</v>
      </c>
      <c r="K63" s="5" t="s">
        <v>39</v>
      </c>
      <c r="L63" s="5"/>
      <c r="M63" s="5">
        <v>44.1</v>
      </c>
      <c r="N63" s="5">
        <f t="shared" si="17"/>
        <v>-25.211000000000002</v>
      </c>
      <c r="O63" s="5">
        <f t="shared" si="18"/>
        <v>18.888999999999999</v>
      </c>
      <c r="P63" s="5"/>
      <c r="Q63" s="5">
        <v>0</v>
      </c>
      <c r="R63" s="5">
        <f t="shared" si="6"/>
        <v>3.7778</v>
      </c>
      <c r="S63" s="4"/>
      <c r="T63" s="4">
        <f t="shared" si="10"/>
        <v>0</v>
      </c>
      <c r="U63" s="5"/>
      <c r="V63" s="5">
        <f t="shared" si="7"/>
        <v>18.507597014135211</v>
      </c>
      <c r="W63" s="5">
        <f t="shared" si="19"/>
        <v>18.507597014135211</v>
      </c>
      <c r="X63" s="5">
        <v>5.52</v>
      </c>
      <c r="Y63" s="5">
        <v>-0.21079999999999999</v>
      </c>
      <c r="Z63" s="5">
        <v>3.5804</v>
      </c>
      <c r="AA63" s="5">
        <v>5.7594000000000003</v>
      </c>
      <c r="AB63" s="5">
        <v>-2E-3</v>
      </c>
      <c r="AC63" s="5">
        <v>3.0392000000000001</v>
      </c>
      <c r="AD63" s="5">
        <v>5.0497999999999994</v>
      </c>
      <c r="AE63" s="5">
        <v>3.3026</v>
      </c>
      <c r="AF63" s="5">
        <v>2.3260000000000001</v>
      </c>
      <c r="AG63" s="5">
        <v>2.6434000000000002</v>
      </c>
      <c r="AH63" s="16"/>
      <c r="AI63" s="5">
        <f t="shared" si="8"/>
        <v>0</v>
      </c>
      <c r="AJ63" s="5">
        <f t="shared" si="9"/>
        <v>3.7778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 t="s">
        <v>115</v>
      </c>
      <c r="B64" s="5" t="s">
        <v>41</v>
      </c>
      <c r="C64" s="5">
        <v>88</v>
      </c>
      <c r="D64" s="5">
        <v>70</v>
      </c>
      <c r="E64" s="5">
        <v>125</v>
      </c>
      <c r="F64" s="5">
        <v>28</v>
      </c>
      <c r="G64" s="5"/>
      <c r="H64" s="5">
        <f t="shared" si="16"/>
        <v>28</v>
      </c>
      <c r="I64" s="7">
        <v>0.27</v>
      </c>
      <c r="J64" s="5"/>
      <c r="K64" s="5" t="s">
        <v>39</v>
      </c>
      <c r="L64" s="5"/>
      <c r="M64" s="5">
        <v>148</v>
      </c>
      <c r="N64" s="5">
        <f t="shared" si="17"/>
        <v>-23</v>
      </c>
      <c r="O64" s="5">
        <f t="shared" si="18"/>
        <v>125</v>
      </c>
      <c r="P64" s="5"/>
      <c r="Q64" s="5">
        <v>246</v>
      </c>
      <c r="R64" s="5">
        <f t="shared" si="6"/>
        <v>25</v>
      </c>
      <c r="S64" s="4">
        <f t="shared" ref="S64:S73" si="28">15*R64-Q64-H64</f>
        <v>101</v>
      </c>
      <c r="T64" s="4">
        <f t="shared" si="10"/>
        <v>101</v>
      </c>
      <c r="U64" s="5"/>
      <c r="V64" s="5">
        <f t="shared" si="7"/>
        <v>15</v>
      </c>
      <c r="W64" s="5">
        <f t="shared" si="19"/>
        <v>10.96</v>
      </c>
      <c r="X64" s="5">
        <v>23.2</v>
      </c>
      <c r="Y64" s="5">
        <v>0.2</v>
      </c>
      <c r="Z64" s="5">
        <v>14.8</v>
      </c>
      <c r="AA64" s="5">
        <v>24.8</v>
      </c>
      <c r="AB64" s="5">
        <v>10.4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16" t="s">
        <v>111</v>
      </c>
      <c r="AI64" s="5">
        <f t="shared" si="8"/>
        <v>27.270000000000003</v>
      </c>
      <c r="AJ64" s="5">
        <f t="shared" si="9"/>
        <v>6.75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 t="s">
        <v>116</v>
      </c>
      <c r="B65" s="5" t="s">
        <v>41</v>
      </c>
      <c r="C65" s="5">
        <v>77</v>
      </c>
      <c r="D65" s="5">
        <v>72</v>
      </c>
      <c r="E65" s="5">
        <v>97</v>
      </c>
      <c r="F65" s="5">
        <v>50</v>
      </c>
      <c r="G65" s="5"/>
      <c r="H65" s="5">
        <f t="shared" si="16"/>
        <v>50</v>
      </c>
      <c r="I65" s="7">
        <v>0.3</v>
      </c>
      <c r="J65" s="5">
        <v>60</v>
      </c>
      <c r="K65" s="5" t="s">
        <v>39</v>
      </c>
      <c r="L65" s="5"/>
      <c r="M65" s="5">
        <v>160</v>
      </c>
      <c r="N65" s="5">
        <f t="shared" si="17"/>
        <v>-63</v>
      </c>
      <c r="O65" s="5">
        <f t="shared" si="18"/>
        <v>97</v>
      </c>
      <c r="P65" s="5"/>
      <c r="Q65" s="5">
        <v>400</v>
      </c>
      <c r="R65" s="5">
        <f t="shared" si="6"/>
        <v>19.399999999999999</v>
      </c>
      <c r="S65" s="4"/>
      <c r="T65" s="4">
        <f t="shared" si="10"/>
        <v>0</v>
      </c>
      <c r="U65" s="5"/>
      <c r="V65" s="5">
        <f t="shared" si="7"/>
        <v>23.195876288659797</v>
      </c>
      <c r="W65" s="5">
        <f t="shared" si="19"/>
        <v>23.195876288659797</v>
      </c>
      <c r="X65" s="5">
        <v>41.4</v>
      </c>
      <c r="Y65" s="5">
        <v>19.2</v>
      </c>
      <c r="Z65" s="5">
        <v>9.4</v>
      </c>
      <c r="AA65" s="5">
        <v>37.799999999999997</v>
      </c>
      <c r="AB65" s="5">
        <v>29.6</v>
      </c>
      <c r="AC65" s="5">
        <v>15.4</v>
      </c>
      <c r="AD65" s="5">
        <v>26.8</v>
      </c>
      <c r="AE65" s="5">
        <v>44</v>
      </c>
      <c r="AF65" s="5">
        <v>30</v>
      </c>
      <c r="AG65" s="5">
        <v>34</v>
      </c>
      <c r="AH65" s="16"/>
      <c r="AI65" s="5">
        <f t="shared" si="8"/>
        <v>0</v>
      </c>
      <c r="AJ65" s="5">
        <f t="shared" si="9"/>
        <v>5.8199999999999994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5" t="s">
        <v>117</v>
      </c>
      <c r="B66" s="5" t="s">
        <v>41</v>
      </c>
      <c r="C66" s="5">
        <v>2224</v>
      </c>
      <c r="D66" s="5">
        <v>1386</v>
      </c>
      <c r="E66" s="5">
        <v>1243</v>
      </c>
      <c r="F66" s="5">
        <v>2280</v>
      </c>
      <c r="G66" s="5">
        <v>580</v>
      </c>
      <c r="H66" s="5">
        <f t="shared" si="16"/>
        <v>1700</v>
      </c>
      <c r="I66" s="7">
        <v>0.41</v>
      </c>
      <c r="J66" s="5">
        <v>50</v>
      </c>
      <c r="K66" s="5" t="s">
        <v>39</v>
      </c>
      <c r="L66" s="5"/>
      <c r="M66" s="5">
        <v>1332</v>
      </c>
      <c r="N66" s="5">
        <f t="shared" si="17"/>
        <v>-89</v>
      </c>
      <c r="O66" s="5">
        <f t="shared" si="18"/>
        <v>1163</v>
      </c>
      <c r="P66" s="5">
        <v>80</v>
      </c>
      <c r="Q66" s="5">
        <v>0</v>
      </c>
      <c r="R66" s="5">
        <f t="shared" si="6"/>
        <v>232.6</v>
      </c>
      <c r="S66" s="4">
        <f t="shared" si="28"/>
        <v>1789</v>
      </c>
      <c r="T66" s="4">
        <f>U66</f>
        <v>2000</v>
      </c>
      <c r="U66" s="5">
        <f>VLOOKUP(A66,[1]Sheet!$A:$T,20,0)</f>
        <v>2000</v>
      </c>
      <c r="V66" s="5">
        <f t="shared" si="7"/>
        <v>15.90713671539123</v>
      </c>
      <c r="W66" s="5">
        <f t="shared" si="19"/>
        <v>7.3086844368013759</v>
      </c>
      <c r="X66" s="5">
        <v>96.2</v>
      </c>
      <c r="Y66" s="5">
        <v>48.6</v>
      </c>
      <c r="Z66" s="5">
        <v>324.60000000000002</v>
      </c>
      <c r="AA66" s="5">
        <v>150</v>
      </c>
      <c r="AB66" s="5">
        <v>81.2</v>
      </c>
      <c r="AC66" s="5">
        <v>212.8</v>
      </c>
      <c r="AD66" s="5">
        <v>266.8</v>
      </c>
      <c r="AE66" s="5">
        <v>172.2</v>
      </c>
      <c r="AF66" s="5">
        <v>150</v>
      </c>
      <c r="AG66" s="5">
        <v>221.2</v>
      </c>
      <c r="AH66" s="16"/>
      <c r="AI66" s="5">
        <f t="shared" si="8"/>
        <v>820</v>
      </c>
      <c r="AJ66" s="5">
        <f t="shared" si="9"/>
        <v>95.365999999999985</v>
      </c>
      <c r="AK66" s="18">
        <f t="shared" ref="AK66:AK68" si="29">I66</f>
        <v>0.41</v>
      </c>
      <c r="AL66" s="5">
        <f t="shared" ref="AL66:AL68" si="30">G66*AK66</f>
        <v>237.79999999999998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 t="s">
        <v>118</v>
      </c>
      <c r="B67" s="5" t="s">
        <v>38</v>
      </c>
      <c r="C67" s="5">
        <v>638.62599999999998</v>
      </c>
      <c r="D67" s="5">
        <v>363.2</v>
      </c>
      <c r="E67" s="5">
        <v>257.62599999999998</v>
      </c>
      <c r="F67" s="5">
        <v>729.48400000000004</v>
      </c>
      <c r="G67" s="5">
        <v>230.10300000000001</v>
      </c>
      <c r="H67" s="5">
        <f t="shared" si="16"/>
        <v>499.38100000000003</v>
      </c>
      <c r="I67" s="7">
        <v>1</v>
      </c>
      <c r="J67" s="5">
        <v>50</v>
      </c>
      <c r="K67" s="5" t="s">
        <v>39</v>
      </c>
      <c r="L67" s="5"/>
      <c r="M67" s="5">
        <v>251.3</v>
      </c>
      <c r="N67" s="5">
        <f t="shared" si="17"/>
        <v>6.325999999999965</v>
      </c>
      <c r="O67" s="5">
        <f t="shared" si="18"/>
        <v>202.21899999999999</v>
      </c>
      <c r="P67" s="5">
        <v>55.406999999999996</v>
      </c>
      <c r="Q67" s="5">
        <v>0</v>
      </c>
      <c r="R67" s="5">
        <f t="shared" si="6"/>
        <v>40.443799999999996</v>
      </c>
      <c r="S67" s="4">
        <f t="shared" si="28"/>
        <v>107.2759999999999</v>
      </c>
      <c r="T67" s="4">
        <f t="shared" si="10"/>
        <v>107</v>
      </c>
      <c r="U67" s="5"/>
      <c r="V67" s="5">
        <f t="shared" si="7"/>
        <v>14.993175715437228</v>
      </c>
      <c r="W67" s="5">
        <f t="shared" si="19"/>
        <v>12.347529163926239</v>
      </c>
      <c r="X67" s="5">
        <v>36.291999999999987</v>
      </c>
      <c r="Y67" s="5">
        <v>43.002200000000002</v>
      </c>
      <c r="Z67" s="5">
        <v>52.134</v>
      </c>
      <c r="AA67" s="5">
        <v>58.188000000000002</v>
      </c>
      <c r="AB67" s="5">
        <v>30.930399999999999</v>
      </c>
      <c r="AC67" s="5">
        <v>29.0246</v>
      </c>
      <c r="AD67" s="5">
        <v>23.655999999999999</v>
      </c>
      <c r="AE67" s="5">
        <v>36.418599999999998</v>
      </c>
      <c r="AF67" s="5">
        <v>13.896000000000001</v>
      </c>
      <c r="AG67" s="5">
        <v>12.993399999999999</v>
      </c>
      <c r="AH67" s="16"/>
      <c r="AI67" s="5">
        <f t="shared" si="8"/>
        <v>107</v>
      </c>
      <c r="AJ67" s="5">
        <f t="shared" si="9"/>
        <v>40.443799999999996</v>
      </c>
      <c r="AK67" s="18">
        <f t="shared" si="29"/>
        <v>1</v>
      </c>
      <c r="AL67" s="5">
        <f t="shared" si="30"/>
        <v>230.10300000000001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5" t="s">
        <v>119</v>
      </c>
      <c r="B68" s="5" t="s">
        <v>41</v>
      </c>
      <c r="C68" s="5">
        <v>290</v>
      </c>
      <c r="D68" s="5">
        <v>289</v>
      </c>
      <c r="E68" s="5">
        <v>268</v>
      </c>
      <c r="F68" s="5">
        <v>286</v>
      </c>
      <c r="G68" s="5">
        <v>8</v>
      </c>
      <c r="H68" s="5">
        <f t="shared" si="16"/>
        <v>278</v>
      </c>
      <c r="I68" s="7">
        <v>0.35</v>
      </c>
      <c r="J68" s="5">
        <v>50</v>
      </c>
      <c r="K68" s="5" t="s">
        <v>39</v>
      </c>
      <c r="L68" s="5"/>
      <c r="M68" s="5">
        <v>324</v>
      </c>
      <c r="N68" s="5">
        <f t="shared" si="17"/>
        <v>-56</v>
      </c>
      <c r="O68" s="5">
        <f t="shared" si="18"/>
        <v>244</v>
      </c>
      <c r="P68" s="5">
        <v>24</v>
      </c>
      <c r="Q68" s="5">
        <v>361</v>
      </c>
      <c r="R68" s="5">
        <f t="shared" si="6"/>
        <v>48.8</v>
      </c>
      <c r="S68" s="4">
        <f t="shared" si="28"/>
        <v>93</v>
      </c>
      <c r="T68" s="4">
        <f t="shared" si="10"/>
        <v>93</v>
      </c>
      <c r="U68" s="5"/>
      <c r="V68" s="5">
        <f t="shared" si="7"/>
        <v>15</v>
      </c>
      <c r="W68" s="5">
        <f t="shared" si="19"/>
        <v>13.094262295081968</v>
      </c>
      <c r="X68" s="5">
        <v>56</v>
      </c>
      <c r="Y68" s="5">
        <v>17.600000000000001</v>
      </c>
      <c r="Z68" s="5">
        <v>29</v>
      </c>
      <c r="AA68" s="5">
        <v>62</v>
      </c>
      <c r="AB68" s="5">
        <v>32.4</v>
      </c>
      <c r="AC68" s="5">
        <v>31</v>
      </c>
      <c r="AD68" s="5">
        <v>41</v>
      </c>
      <c r="AE68" s="5">
        <v>31.2</v>
      </c>
      <c r="AF68" s="5">
        <v>33.799999999999997</v>
      </c>
      <c r="AG68" s="5">
        <v>31.2</v>
      </c>
      <c r="AH68" s="16"/>
      <c r="AI68" s="5">
        <f t="shared" si="8"/>
        <v>32.549999999999997</v>
      </c>
      <c r="AJ68" s="5">
        <f t="shared" si="9"/>
        <v>17.079999999999998</v>
      </c>
      <c r="AK68" s="18">
        <f t="shared" si="29"/>
        <v>0.35</v>
      </c>
      <c r="AL68" s="5">
        <f t="shared" si="30"/>
        <v>2.8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 t="s">
        <v>120</v>
      </c>
      <c r="B69" s="5" t="s">
        <v>38</v>
      </c>
      <c r="C69" s="5">
        <v>17.033000000000001</v>
      </c>
      <c r="D69" s="5">
        <v>7.8849999999999998</v>
      </c>
      <c r="E69" s="5">
        <v>20.196000000000002</v>
      </c>
      <c r="F69" s="5">
        <v>-3.0760000000000001</v>
      </c>
      <c r="G69" s="5"/>
      <c r="H69" s="5">
        <f t="shared" si="16"/>
        <v>-3.0760000000000001</v>
      </c>
      <c r="I69" s="7">
        <v>1</v>
      </c>
      <c r="J69" s="5">
        <v>50</v>
      </c>
      <c r="K69" s="5" t="s">
        <v>39</v>
      </c>
      <c r="L69" s="5"/>
      <c r="M69" s="5">
        <v>26</v>
      </c>
      <c r="N69" s="5">
        <f t="shared" si="17"/>
        <v>-5.8039999999999985</v>
      </c>
      <c r="O69" s="5">
        <f t="shared" si="18"/>
        <v>20.196000000000002</v>
      </c>
      <c r="P69" s="5"/>
      <c r="Q69" s="5">
        <v>61</v>
      </c>
      <c r="R69" s="5">
        <f t="shared" si="6"/>
        <v>4.0392000000000001</v>
      </c>
      <c r="S69" s="4">
        <v>4</v>
      </c>
      <c r="T69" s="4">
        <f t="shared" si="10"/>
        <v>4</v>
      </c>
      <c r="U69" s="5"/>
      <c r="V69" s="5">
        <f t="shared" si="7"/>
        <v>15.330758566052683</v>
      </c>
      <c r="W69" s="5">
        <f t="shared" si="19"/>
        <v>14.340463458110516</v>
      </c>
      <c r="X69" s="5">
        <v>7.4278000000000004</v>
      </c>
      <c r="Y69" s="5">
        <v>0</v>
      </c>
      <c r="Z69" s="5">
        <v>1.2567999999999999</v>
      </c>
      <c r="AA69" s="5">
        <v>7.3841999999999999</v>
      </c>
      <c r="AB69" s="5">
        <v>0.93720000000000003</v>
      </c>
      <c r="AC69" s="5">
        <v>2.504</v>
      </c>
      <c r="AD69" s="5">
        <v>3.7235999999999998</v>
      </c>
      <c r="AE69" s="5">
        <v>1.5624</v>
      </c>
      <c r="AF69" s="5">
        <v>2.1745999999999999</v>
      </c>
      <c r="AG69" s="5">
        <v>2.2000000000000002</v>
      </c>
      <c r="AH69" s="16"/>
      <c r="AI69" s="5">
        <f t="shared" si="8"/>
        <v>4</v>
      </c>
      <c r="AJ69" s="5">
        <f t="shared" si="9"/>
        <v>4.0392000000000001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 t="s">
        <v>121</v>
      </c>
      <c r="B70" s="5" t="s">
        <v>41</v>
      </c>
      <c r="C70" s="5">
        <v>1552</v>
      </c>
      <c r="D70" s="5">
        <v>492</v>
      </c>
      <c r="E70" s="5">
        <v>701</v>
      </c>
      <c r="F70" s="5">
        <v>1257</v>
      </c>
      <c r="G70" s="5">
        <v>210</v>
      </c>
      <c r="H70" s="5">
        <f t="shared" ref="H70:H101" si="31">F70-G70</f>
        <v>1047</v>
      </c>
      <c r="I70" s="7">
        <v>0.41</v>
      </c>
      <c r="J70" s="5">
        <v>50</v>
      </c>
      <c r="K70" s="5" t="s">
        <v>39</v>
      </c>
      <c r="L70" s="5"/>
      <c r="M70" s="5">
        <v>734</v>
      </c>
      <c r="N70" s="5">
        <f t="shared" ref="N70:N101" si="32">E70-M70</f>
        <v>-33</v>
      </c>
      <c r="O70" s="5">
        <f t="shared" ref="O70:O101" si="33">E70-P70</f>
        <v>631</v>
      </c>
      <c r="P70" s="5">
        <v>70</v>
      </c>
      <c r="Q70" s="5">
        <v>1181</v>
      </c>
      <c r="R70" s="5">
        <f t="shared" si="6"/>
        <v>126.2</v>
      </c>
      <c r="S70" s="4"/>
      <c r="T70" s="4">
        <f t="shared" si="10"/>
        <v>0</v>
      </c>
      <c r="U70" s="5"/>
      <c r="V70" s="5">
        <f t="shared" si="7"/>
        <v>17.654516640253565</v>
      </c>
      <c r="W70" s="5">
        <f t="shared" ref="W70:W101" si="34">(H70+Q70)/R70</f>
        <v>17.654516640253565</v>
      </c>
      <c r="X70" s="5">
        <v>193.4</v>
      </c>
      <c r="Y70" s="5">
        <v>65</v>
      </c>
      <c r="Z70" s="5">
        <v>200.4</v>
      </c>
      <c r="AA70" s="5">
        <v>174.2</v>
      </c>
      <c r="AB70" s="5">
        <v>38.200000000000003</v>
      </c>
      <c r="AC70" s="5">
        <v>129.4</v>
      </c>
      <c r="AD70" s="5">
        <v>156.6</v>
      </c>
      <c r="AE70" s="5">
        <v>120.8</v>
      </c>
      <c r="AF70" s="5">
        <v>91.6</v>
      </c>
      <c r="AG70" s="5">
        <v>120.2</v>
      </c>
      <c r="AH70" s="16"/>
      <c r="AI70" s="5">
        <f t="shared" si="8"/>
        <v>0</v>
      </c>
      <c r="AJ70" s="5">
        <f t="shared" si="9"/>
        <v>51.741999999999997</v>
      </c>
      <c r="AK70" s="18">
        <f>I70</f>
        <v>0.41</v>
      </c>
      <c r="AL70" s="5">
        <f>G70*AK70</f>
        <v>86.1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 t="s">
        <v>122</v>
      </c>
      <c r="B71" s="5" t="s">
        <v>38</v>
      </c>
      <c r="C71" s="5">
        <v>37.192999999999998</v>
      </c>
      <c r="D71" s="5">
        <v>221.80099999999999</v>
      </c>
      <c r="E71" s="5">
        <v>48.168999999999997</v>
      </c>
      <c r="F71" s="5">
        <v>198.357</v>
      </c>
      <c r="G71" s="5"/>
      <c r="H71" s="5">
        <f t="shared" si="31"/>
        <v>198.357</v>
      </c>
      <c r="I71" s="7">
        <v>1</v>
      </c>
      <c r="J71" s="5">
        <v>50</v>
      </c>
      <c r="K71" s="5" t="s">
        <v>39</v>
      </c>
      <c r="L71" s="5"/>
      <c r="M71" s="5">
        <v>65.7</v>
      </c>
      <c r="N71" s="5">
        <f t="shared" si="32"/>
        <v>-17.531000000000006</v>
      </c>
      <c r="O71" s="5">
        <f t="shared" si="33"/>
        <v>48.168999999999997</v>
      </c>
      <c r="P71" s="5"/>
      <c r="Q71" s="5">
        <v>0</v>
      </c>
      <c r="R71" s="5">
        <f t="shared" ref="R71:R119" si="35">O71/5</f>
        <v>9.633799999999999</v>
      </c>
      <c r="S71" s="4"/>
      <c r="T71" s="4">
        <f t="shared" ref="T71:T119" si="36">ROUND(S71,0)</f>
        <v>0</v>
      </c>
      <c r="U71" s="5"/>
      <c r="V71" s="5">
        <f t="shared" ref="V71:V119" si="37">(H71+Q71+T71)/R71</f>
        <v>20.589694616869775</v>
      </c>
      <c r="W71" s="5">
        <f t="shared" si="34"/>
        <v>20.589694616869775</v>
      </c>
      <c r="X71" s="5">
        <v>14.559799999999999</v>
      </c>
      <c r="Y71" s="5">
        <v>26.645800000000001</v>
      </c>
      <c r="Z71" s="5">
        <v>17.4558</v>
      </c>
      <c r="AA71" s="5">
        <v>13.043799999999999</v>
      </c>
      <c r="AB71" s="5">
        <v>19.4636</v>
      </c>
      <c r="AC71" s="5">
        <v>6.3722000000000003</v>
      </c>
      <c r="AD71" s="5">
        <v>12.7166</v>
      </c>
      <c r="AE71" s="5">
        <v>14.8438</v>
      </c>
      <c r="AF71" s="5">
        <v>8.7585999999999995</v>
      </c>
      <c r="AG71" s="5">
        <v>10.333</v>
      </c>
      <c r="AH71" s="16"/>
      <c r="AI71" s="5">
        <f t="shared" ref="AI71:AI119" si="38">I71*T71</f>
        <v>0</v>
      </c>
      <c r="AJ71" s="5">
        <f t="shared" ref="AJ71:AJ119" si="39">R71*I71</f>
        <v>9.633799999999999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 t="s">
        <v>123</v>
      </c>
      <c r="B72" s="5" t="s">
        <v>41</v>
      </c>
      <c r="C72" s="5">
        <v>343</v>
      </c>
      <c r="D72" s="5">
        <v>154</v>
      </c>
      <c r="E72" s="5">
        <v>187</v>
      </c>
      <c r="F72" s="5">
        <v>286</v>
      </c>
      <c r="G72" s="5"/>
      <c r="H72" s="5">
        <f t="shared" si="31"/>
        <v>286</v>
      </c>
      <c r="I72" s="7">
        <v>0.3</v>
      </c>
      <c r="J72" s="5">
        <v>50</v>
      </c>
      <c r="K72" s="5" t="s">
        <v>39</v>
      </c>
      <c r="L72" s="5"/>
      <c r="M72" s="5">
        <v>215</v>
      </c>
      <c r="N72" s="5">
        <f t="shared" si="32"/>
        <v>-28</v>
      </c>
      <c r="O72" s="5">
        <f t="shared" si="33"/>
        <v>187</v>
      </c>
      <c r="P72" s="5"/>
      <c r="Q72" s="5">
        <v>0</v>
      </c>
      <c r="R72" s="5">
        <f t="shared" si="35"/>
        <v>37.4</v>
      </c>
      <c r="S72" s="4">
        <f t="shared" si="28"/>
        <v>275</v>
      </c>
      <c r="T72" s="4">
        <f t="shared" si="36"/>
        <v>275</v>
      </c>
      <c r="U72" s="5"/>
      <c r="V72" s="5">
        <f t="shared" si="37"/>
        <v>15</v>
      </c>
      <c r="W72" s="5">
        <f t="shared" si="34"/>
        <v>7.6470588235294121</v>
      </c>
      <c r="X72" s="5">
        <v>7</v>
      </c>
      <c r="Y72" s="5">
        <v>33.4</v>
      </c>
      <c r="Z72" s="5">
        <v>54.8</v>
      </c>
      <c r="AA72" s="5">
        <v>36.4</v>
      </c>
      <c r="AB72" s="5">
        <v>29.6</v>
      </c>
      <c r="AC72" s="5">
        <v>32.799999999999997</v>
      </c>
      <c r="AD72" s="5">
        <v>41</v>
      </c>
      <c r="AE72" s="5">
        <v>43.6</v>
      </c>
      <c r="AF72" s="5">
        <v>22.2</v>
      </c>
      <c r="AG72" s="5">
        <v>27.2</v>
      </c>
      <c r="AH72" s="16"/>
      <c r="AI72" s="5">
        <f t="shared" si="38"/>
        <v>82.5</v>
      </c>
      <c r="AJ72" s="5">
        <f t="shared" si="39"/>
        <v>11.219999999999999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 t="s">
        <v>124</v>
      </c>
      <c r="B73" s="5" t="s">
        <v>41</v>
      </c>
      <c r="C73" s="5">
        <v>341</v>
      </c>
      <c r="D73" s="5">
        <v>49</v>
      </c>
      <c r="E73" s="5">
        <v>112</v>
      </c>
      <c r="F73" s="5">
        <v>277</v>
      </c>
      <c r="G73" s="5"/>
      <c r="H73" s="5">
        <f t="shared" si="31"/>
        <v>277</v>
      </c>
      <c r="I73" s="7">
        <v>0.18</v>
      </c>
      <c r="J73" s="5">
        <v>50</v>
      </c>
      <c r="K73" s="5" t="s">
        <v>39</v>
      </c>
      <c r="L73" s="5"/>
      <c r="M73" s="5">
        <v>156</v>
      </c>
      <c r="N73" s="5">
        <f t="shared" si="32"/>
        <v>-44</v>
      </c>
      <c r="O73" s="5">
        <f t="shared" si="33"/>
        <v>112</v>
      </c>
      <c r="P73" s="5"/>
      <c r="Q73" s="5">
        <v>0</v>
      </c>
      <c r="R73" s="5">
        <f t="shared" si="35"/>
        <v>22.4</v>
      </c>
      <c r="S73" s="4">
        <f t="shared" si="28"/>
        <v>59</v>
      </c>
      <c r="T73" s="4">
        <f t="shared" si="36"/>
        <v>59</v>
      </c>
      <c r="U73" s="5"/>
      <c r="V73" s="5">
        <f t="shared" si="37"/>
        <v>15.000000000000002</v>
      </c>
      <c r="W73" s="5">
        <f t="shared" si="34"/>
        <v>12.366071428571429</v>
      </c>
      <c r="X73" s="5">
        <v>25.4</v>
      </c>
      <c r="Y73" s="5">
        <v>33.6</v>
      </c>
      <c r="Z73" s="5">
        <v>53</v>
      </c>
      <c r="AA73" s="5">
        <v>47.2</v>
      </c>
      <c r="AB73" s="5">
        <v>9.6</v>
      </c>
      <c r="AC73" s="5">
        <v>35.6</v>
      </c>
      <c r="AD73" s="5">
        <v>42</v>
      </c>
      <c r="AE73" s="5">
        <v>28.4</v>
      </c>
      <c r="AF73" s="5">
        <v>15.8</v>
      </c>
      <c r="AG73" s="5">
        <v>6.4</v>
      </c>
      <c r="AH73" s="16"/>
      <c r="AI73" s="5">
        <f t="shared" si="38"/>
        <v>10.62</v>
      </c>
      <c r="AJ73" s="5">
        <f t="shared" si="39"/>
        <v>4.032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 t="s">
        <v>125</v>
      </c>
      <c r="B74" s="5" t="s">
        <v>41</v>
      </c>
      <c r="C74" s="5"/>
      <c r="D74" s="5">
        <v>120</v>
      </c>
      <c r="E74" s="5"/>
      <c r="F74" s="5">
        <v>120</v>
      </c>
      <c r="G74" s="5"/>
      <c r="H74" s="5">
        <f t="shared" si="31"/>
        <v>120</v>
      </c>
      <c r="I74" s="7">
        <v>0.22</v>
      </c>
      <c r="J74" s="5">
        <v>120</v>
      </c>
      <c r="K74" s="5" t="s">
        <v>39</v>
      </c>
      <c r="L74" s="5"/>
      <c r="M74" s="5"/>
      <c r="N74" s="5">
        <f t="shared" si="32"/>
        <v>0</v>
      </c>
      <c r="O74" s="5">
        <f t="shared" si="33"/>
        <v>0</v>
      </c>
      <c r="P74" s="5"/>
      <c r="Q74" s="5">
        <v>0</v>
      </c>
      <c r="R74" s="5">
        <f t="shared" si="35"/>
        <v>0</v>
      </c>
      <c r="S74" s="4"/>
      <c r="T74" s="4">
        <f t="shared" si="36"/>
        <v>0</v>
      </c>
      <c r="U74" s="5"/>
      <c r="V74" s="5" t="e">
        <f t="shared" si="37"/>
        <v>#DIV/0!</v>
      </c>
      <c r="W74" s="5" t="e">
        <f t="shared" si="34"/>
        <v>#DIV/0!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16" t="s">
        <v>111</v>
      </c>
      <c r="AI74" s="5">
        <f t="shared" si="38"/>
        <v>0</v>
      </c>
      <c r="AJ74" s="5">
        <f t="shared" si="39"/>
        <v>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10" t="s">
        <v>126</v>
      </c>
      <c r="B75" s="10" t="s">
        <v>38</v>
      </c>
      <c r="C75" s="10"/>
      <c r="D75" s="10"/>
      <c r="E75" s="10"/>
      <c r="F75" s="10"/>
      <c r="G75" s="10"/>
      <c r="H75" s="10">
        <f t="shared" si="31"/>
        <v>0</v>
      </c>
      <c r="I75" s="11">
        <v>0</v>
      </c>
      <c r="J75" s="10"/>
      <c r="K75" s="10" t="s">
        <v>39</v>
      </c>
      <c r="L75" s="10"/>
      <c r="M75" s="10">
        <v>23</v>
      </c>
      <c r="N75" s="10">
        <f t="shared" si="32"/>
        <v>-23</v>
      </c>
      <c r="O75" s="10">
        <f t="shared" si="33"/>
        <v>0</v>
      </c>
      <c r="P75" s="10"/>
      <c r="Q75" s="10">
        <v>0</v>
      </c>
      <c r="R75" s="10">
        <f t="shared" si="35"/>
        <v>0</v>
      </c>
      <c r="S75" s="12"/>
      <c r="T75" s="4">
        <f t="shared" si="36"/>
        <v>0</v>
      </c>
      <c r="U75" s="5"/>
      <c r="V75" s="5" t="e">
        <f t="shared" si="37"/>
        <v>#DIV/0!</v>
      </c>
      <c r="W75" s="10" t="e">
        <f t="shared" si="34"/>
        <v>#DIV/0!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 t="s">
        <v>107</v>
      </c>
      <c r="AI75" s="5">
        <f t="shared" si="38"/>
        <v>0</v>
      </c>
      <c r="AJ75" s="5">
        <f t="shared" si="39"/>
        <v>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 t="s">
        <v>74</v>
      </c>
      <c r="B76" s="5" t="s">
        <v>41</v>
      </c>
      <c r="C76" s="5">
        <v>1622</v>
      </c>
      <c r="D76" s="5">
        <v>375</v>
      </c>
      <c r="E76" s="5">
        <v>626</v>
      </c>
      <c r="F76" s="14">
        <f>1315+F33</f>
        <v>1314</v>
      </c>
      <c r="G76" s="5">
        <v>168</v>
      </c>
      <c r="H76" s="5">
        <f t="shared" si="31"/>
        <v>1146</v>
      </c>
      <c r="I76" s="7">
        <v>0.35</v>
      </c>
      <c r="J76" s="5">
        <v>50</v>
      </c>
      <c r="K76" s="5" t="s">
        <v>39</v>
      </c>
      <c r="L76" s="5"/>
      <c r="M76" s="5">
        <v>667</v>
      </c>
      <c r="N76" s="5">
        <f t="shared" si="32"/>
        <v>-41</v>
      </c>
      <c r="O76" s="5">
        <f t="shared" si="33"/>
        <v>546</v>
      </c>
      <c r="P76" s="5">
        <v>80</v>
      </c>
      <c r="Q76" s="5">
        <v>415</v>
      </c>
      <c r="R76" s="5">
        <f t="shared" si="35"/>
        <v>109.2</v>
      </c>
      <c r="S76" s="4">
        <f t="shared" ref="S76:S80" si="40">15*R76-Q76-H76</f>
        <v>77</v>
      </c>
      <c r="T76" s="4">
        <f>U76</f>
        <v>170</v>
      </c>
      <c r="U76" s="5">
        <f>VLOOKUP(A76,[1]Sheet!$A:$T,20,0)</f>
        <v>170</v>
      </c>
      <c r="V76" s="5">
        <f t="shared" si="37"/>
        <v>15.85164835164835</v>
      </c>
      <c r="W76" s="5">
        <f t="shared" si="34"/>
        <v>14.294871794871794</v>
      </c>
      <c r="X76" s="5">
        <v>139.80000000000001</v>
      </c>
      <c r="Y76" s="5">
        <v>31.4</v>
      </c>
      <c r="Z76" s="5">
        <v>171.8</v>
      </c>
      <c r="AA76" s="5">
        <v>167.8</v>
      </c>
      <c r="AB76" s="5">
        <v>88.4</v>
      </c>
      <c r="AC76" s="5">
        <v>88.6</v>
      </c>
      <c r="AD76" s="5">
        <v>163.19999999999999</v>
      </c>
      <c r="AE76" s="5">
        <v>117.6</v>
      </c>
      <c r="AF76" s="5">
        <v>85.6</v>
      </c>
      <c r="AG76" s="5">
        <v>104.4</v>
      </c>
      <c r="AH76" s="16"/>
      <c r="AI76" s="5">
        <f t="shared" si="38"/>
        <v>59.499999999999993</v>
      </c>
      <c r="AJ76" s="5">
        <f t="shared" si="39"/>
        <v>38.22</v>
      </c>
      <c r="AK76" s="18">
        <f>I76</f>
        <v>0.35</v>
      </c>
      <c r="AL76" s="5">
        <f>G76*AK76</f>
        <v>58.8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10" t="s">
        <v>127</v>
      </c>
      <c r="B77" s="10" t="s">
        <v>41</v>
      </c>
      <c r="C77" s="10"/>
      <c r="D77" s="10"/>
      <c r="E77" s="10"/>
      <c r="F77" s="10"/>
      <c r="G77" s="10"/>
      <c r="H77" s="10">
        <f t="shared" si="31"/>
        <v>0</v>
      </c>
      <c r="I77" s="11">
        <v>0</v>
      </c>
      <c r="J77" s="10"/>
      <c r="K77" s="10" t="s">
        <v>39</v>
      </c>
      <c r="L77" s="10"/>
      <c r="M77" s="10"/>
      <c r="N77" s="10">
        <f t="shared" si="32"/>
        <v>0</v>
      </c>
      <c r="O77" s="10">
        <f t="shared" si="33"/>
        <v>0</v>
      </c>
      <c r="P77" s="10"/>
      <c r="Q77" s="10">
        <v>0</v>
      </c>
      <c r="R77" s="10">
        <f t="shared" si="35"/>
        <v>0</v>
      </c>
      <c r="S77" s="12"/>
      <c r="T77" s="4">
        <f t="shared" si="36"/>
        <v>0</v>
      </c>
      <c r="U77" s="5"/>
      <c r="V77" s="5" t="e">
        <f t="shared" si="37"/>
        <v>#DIV/0!</v>
      </c>
      <c r="W77" s="10" t="e">
        <f t="shared" si="34"/>
        <v>#DIV/0!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 t="s">
        <v>107</v>
      </c>
      <c r="AI77" s="5">
        <f t="shared" si="38"/>
        <v>0</v>
      </c>
      <c r="AJ77" s="5">
        <f t="shared" si="39"/>
        <v>0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 t="s">
        <v>128</v>
      </c>
      <c r="B78" s="5" t="s">
        <v>38</v>
      </c>
      <c r="C78" s="5">
        <v>457.10300000000001</v>
      </c>
      <c r="D78" s="5">
        <v>88.622</v>
      </c>
      <c r="E78" s="5">
        <v>175.934</v>
      </c>
      <c r="F78" s="5">
        <v>345.71699999999998</v>
      </c>
      <c r="G78" s="5">
        <v>178.17599999999999</v>
      </c>
      <c r="H78" s="5">
        <f t="shared" si="31"/>
        <v>167.541</v>
      </c>
      <c r="I78" s="7">
        <v>1</v>
      </c>
      <c r="J78" s="5">
        <v>50</v>
      </c>
      <c r="K78" s="5" t="s">
        <v>39</v>
      </c>
      <c r="L78" s="5"/>
      <c r="M78" s="5">
        <v>197.6</v>
      </c>
      <c r="N78" s="5">
        <f t="shared" si="32"/>
        <v>-21.665999999999997</v>
      </c>
      <c r="O78" s="5">
        <f t="shared" si="33"/>
        <v>159.166</v>
      </c>
      <c r="P78" s="5">
        <v>16.768000000000001</v>
      </c>
      <c r="Q78" s="5">
        <v>124</v>
      </c>
      <c r="R78" s="5">
        <f t="shared" si="35"/>
        <v>31.833199999999998</v>
      </c>
      <c r="S78" s="4">
        <f t="shared" si="40"/>
        <v>185.95699999999999</v>
      </c>
      <c r="T78" s="4">
        <f t="shared" ref="T78:T80" si="41">U78</f>
        <v>300</v>
      </c>
      <c r="U78" s="5">
        <f>VLOOKUP(A78,[1]Sheet!$A:$T,20,0)</f>
        <v>300</v>
      </c>
      <c r="V78" s="5">
        <f t="shared" si="37"/>
        <v>18.582517623110462</v>
      </c>
      <c r="W78" s="5">
        <f t="shared" si="34"/>
        <v>9.1583943807094492</v>
      </c>
      <c r="X78" s="5">
        <v>30.706800000000001</v>
      </c>
      <c r="Y78" s="5">
        <v>26.449000000000002</v>
      </c>
      <c r="Z78" s="5">
        <v>38.481000000000002</v>
      </c>
      <c r="AA78" s="5">
        <v>36.499000000000002</v>
      </c>
      <c r="AB78" s="5">
        <v>22.372399999999999</v>
      </c>
      <c r="AC78" s="5">
        <v>38.507599999999996</v>
      </c>
      <c r="AD78" s="5">
        <v>29.706199999999999</v>
      </c>
      <c r="AE78" s="5">
        <v>31.820399999999999</v>
      </c>
      <c r="AF78" s="5">
        <v>24.954999999999998</v>
      </c>
      <c r="AG78" s="5">
        <v>19.36</v>
      </c>
      <c r="AH78" s="16"/>
      <c r="AI78" s="5">
        <f t="shared" si="38"/>
        <v>300</v>
      </c>
      <c r="AJ78" s="5">
        <f t="shared" si="39"/>
        <v>31.833199999999998</v>
      </c>
      <c r="AK78" s="18">
        <f t="shared" ref="AK78:AK80" si="42">I78</f>
        <v>1</v>
      </c>
      <c r="AL78" s="5">
        <f t="shared" ref="AL78:AL81" si="43">G78*AK78</f>
        <v>178.17599999999999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 t="s">
        <v>129</v>
      </c>
      <c r="B79" s="5" t="s">
        <v>38</v>
      </c>
      <c r="C79" s="5">
        <v>766.90200000000004</v>
      </c>
      <c r="D79" s="5">
        <v>166.26599999999999</v>
      </c>
      <c r="E79" s="5">
        <v>322.98399999999998</v>
      </c>
      <c r="F79" s="5">
        <v>589.10599999999999</v>
      </c>
      <c r="G79" s="5">
        <v>268.99200000000002</v>
      </c>
      <c r="H79" s="5">
        <f t="shared" si="31"/>
        <v>320.11399999999998</v>
      </c>
      <c r="I79" s="7">
        <v>1</v>
      </c>
      <c r="J79" s="5">
        <v>50</v>
      </c>
      <c r="K79" s="5" t="s">
        <v>39</v>
      </c>
      <c r="L79" s="5"/>
      <c r="M79" s="5">
        <v>318.76900000000001</v>
      </c>
      <c r="N79" s="5">
        <f t="shared" si="32"/>
        <v>4.214999999999975</v>
      </c>
      <c r="O79" s="5">
        <f t="shared" si="33"/>
        <v>283.14400000000001</v>
      </c>
      <c r="P79" s="5">
        <v>39.840000000000003</v>
      </c>
      <c r="Q79" s="5">
        <v>277</v>
      </c>
      <c r="R79" s="5">
        <f t="shared" si="35"/>
        <v>56.628799999999998</v>
      </c>
      <c r="S79" s="4">
        <f t="shared" si="40"/>
        <v>252.31800000000004</v>
      </c>
      <c r="T79" s="4">
        <f t="shared" si="41"/>
        <v>400</v>
      </c>
      <c r="U79" s="5">
        <f>VLOOKUP(A79,[1]Sheet!$A:$T,20,0)</f>
        <v>400</v>
      </c>
      <c r="V79" s="5">
        <f t="shared" si="37"/>
        <v>17.607895629079199</v>
      </c>
      <c r="W79" s="5">
        <f t="shared" si="34"/>
        <v>10.544351990506598</v>
      </c>
      <c r="X79" s="5">
        <v>59.719200000000001</v>
      </c>
      <c r="Y79" s="5">
        <v>27.568200000000001</v>
      </c>
      <c r="Z79" s="5">
        <v>69.794600000000003</v>
      </c>
      <c r="AA79" s="5">
        <v>60.612000000000002</v>
      </c>
      <c r="AB79" s="5">
        <v>40.339399999999998</v>
      </c>
      <c r="AC79" s="5">
        <v>47.528399999999998</v>
      </c>
      <c r="AD79" s="5">
        <v>59.781599999999997</v>
      </c>
      <c r="AE79" s="5">
        <v>56.038800000000002</v>
      </c>
      <c r="AF79" s="5">
        <v>36.125599999999999</v>
      </c>
      <c r="AG79" s="5">
        <v>28.154199999999999</v>
      </c>
      <c r="AH79" s="16"/>
      <c r="AI79" s="5">
        <f t="shared" si="38"/>
        <v>400</v>
      </c>
      <c r="AJ79" s="5">
        <f t="shared" si="39"/>
        <v>56.628799999999998</v>
      </c>
      <c r="AK79" s="18">
        <f t="shared" si="42"/>
        <v>1</v>
      </c>
      <c r="AL79" s="5">
        <f t="shared" si="43"/>
        <v>268.99200000000002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 t="s">
        <v>130</v>
      </c>
      <c r="B80" s="5" t="s">
        <v>41</v>
      </c>
      <c r="C80" s="5">
        <v>1234</v>
      </c>
      <c r="D80" s="5">
        <v>405</v>
      </c>
      <c r="E80" s="5">
        <v>779</v>
      </c>
      <c r="F80" s="5">
        <v>786</v>
      </c>
      <c r="G80" s="5">
        <v>32</v>
      </c>
      <c r="H80" s="5">
        <f t="shared" si="31"/>
        <v>754</v>
      </c>
      <c r="I80" s="7">
        <v>0.35</v>
      </c>
      <c r="J80" s="5">
        <v>50</v>
      </c>
      <c r="K80" s="5" t="s">
        <v>39</v>
      </c>
      <c r="L80" s="5"/>
      <c r="M80" s="5">
        <v>853</v>
      </c>
      <c r="N80" s="5">
        <f t="shared" si="32"/>
        <v>-74</v>
      </c>
      <c r="O80" s="5">
        <f t="shared" si="33"/>
        <v>707</v>
      </c>
      <c r="P80" s="5">
        <v>72</v>
      </c>
      <c r="Q80" s="5">
        <v>900</v>
      </c>
      <c r="R80" s="5">
        <f t="shared" si="35"/>
        <v>141.4</v>
      </c>
      <c r="S80" s="4">
        <f t="shared" si="40"/>
        <v>467</v>
      </c>
      <c r="T80" s="4">
        <f t="shared" si="41"/>
        <v>600</v>
      </c>
      <c r="U80" s="5">
        <f>VLOOKUP(A80,[1]Sheet!$A:$T,20,0)</f>
        <v>600</v>
      </c>
      <c r="V80" s="5">
        <f t="shared" si="37"/>
        <v>15.940594059405941</v>
      </c>
      <c r="W80" s="5">
        <f t="shared" si="34"/>
        <v>11.697312588401697</v>
      </c>
      <c r="X80" s="5">
        <v>157.19999999999999</v>
      </c>
      <c r="Y80" s="5">
        <v>83.2</v>
      </c>
      <c r="Z80" s="5">
        <v>181</v>
      </c>
      <c r="AA80" s="5">
        <v>164.4</v>
      </c>
      <c r="AB80" s="5">
        <v>112.2</v>
      </c>
      <c r="AC80" s="5">
        <v>124.6</v>
      </c>
      <c r="AD80" s="5">
        <v>139</v>
      </c>
      <c r="AE80" s="5">
        <v>128</v>
      </c>
      <c r="AF80" s="5">
        <v>104.2</v>
      </c>
      <c r="AG80" s="5">
        <v>95.2</v>
      </c>
      <c r="AH80" s="16"/>
      <c r="AI80" s="5">
        <f t="shared" si="38"/>
        <v>210</v>
      </c>
      <c r="AJ80" s="5">
        <f t="shared" si="39"/>
        <v>49.49</v>
      </c>
      <c r="AK80" s="18">
        <f t="shared" si="42"/>
        <v>0.35</v>
      </c>
      <c r="AL80" s="5">
        <f t="shared" si="43"/>
        <v>11.2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10" t="s">
        <v>131</v>
      </c>
      <c r="B81" s="10" t="s">
        <v>41</v>
      </c>
      <c r="C81" s="10">
        <v>71</v>
      </c>
      <c r="D81" s="10">
        <v>8</v>
      </c>
      <c r="E81" s="10">
        <v>6</v>
      </c>
      <c r="F81" s="10">
        <v>71</v>
      </c>
      <c r="G81" s="10">
        <v>32</v>
      </c>
      <c r="H81" s="10">
        <f t="shared" si="31"/>
        <v>39</v>
      </c>
      <c r="I81" s="11">
        <v>0</v>
      </c>
      <c r="J81" s="10"/>
      <c r="K81" s="10" t="s">
        <v>62</v>
      </c>
      <c r="L81" s="10"/>
      <c r="M81" s="10">
        <v>69</v>
      </c>
      <c r="N81" s="10">
        <f t="shared" si="32"/>
        <v>-63</v>
      </c>
      <c r="O81" s="10">
        <f t="shared" si="33"/>
        <v>-2</v>
      </c>
      <c r="P81" s="10">
        <v>8</v>
      </c>
      <c r="Q81" s="10">
        <v>0</v>
      </c>
      <c r="R81" s="10">
        <f t="shared" si="35"/>
        <v>-0.4</v>
      </c>
      <c r="S81" s="12"/>
      <c r="T81" s="4">
        <f t="shared" si="36"/>
        <v>0</v>
      </c>
      <c r="U81" s="5"/>
      <c r="V81" s="5">
        <f t="shared" si="37"/>
        <v>-97.5</v>
      </c>
      <c r="W81" s="10">
        <f t="shared" si="34"/>
        <v>-97.5</v>
      </c>
      <c r="X81" s="10">
        <v>10.4</v>
      </c>
      <c r="Y81" s="10">
        <v>5.2</v>
      </c>
      <c r="Z81" s="10">
        <v>3.6</v>
      </c>
      <c r="AA81" s="10">
        <v>3.2</v>
      </c>
      <c r="AB81" s="10">
        <v>4.8</v>
      </c>
      <c r="AC81" s="10">
        <v>6.4</v>
      </c>
      <c r="AD81" s="10">
        <v>0</v>
      </c>
      <c r="AE81" s="10">
        <v>0</v>
      </c>
      <c r="AF81" s="10">
        <v>0</v>
      </c>
      <c r="AG81" s="10">
        <v>0</v>
      </c>
      <c r="AH81" s="13" t="s">
        <v>63</v>
      </c>
      <c r="AI81" s="5">
        <f t="shared" si="38"/>
        <v>0</v>
      </c>
      <c r="AJ81" s="5">
        <f t="shared" si="39"/>
        <v>0</v>
      </c>
      <c r="AK81" s="18">
        <v>0.35</v>
      </c>
      <c r="AL81" s="5">
        <f t="shared" si="43"/>
        <v>11.2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 t="s">
        <v>132</v>
      </c>
      <c r="B82" s="5" t="s">
        <v>41</v>
      </c>
      <c r="C82" s="5">
        <v>228</v>
      </c>
      <c r="D82" s="5">
        <v>62</v>
      </c>
      <c r="E82" s="5">
        <v>238</v>
      </c>
      <c r="F82" s="5">
        <v>24</v>
      </c>
      <c r="G82" s="5"/>
      <c r="H82" s="5">
        <f t="shared" si="31"/>
        <v>24</v>
      </c>
      <c r="I82" s="7">
        <v>0.3</v>
      </c>
      <c r="J82" s="5">
        <v>50</v>
      </c>
      <c r="K82" s="5" t="s">
        <v>39</v>
      </c>
      <c r="L82" s="5"/>
      <c r="M82" s="5">
        <v>313</v>
      </c>
      <c r="N82" s="5">
        <f t="shared" si="32"/>
        <v>-75</v>
      </c>
      <c r="O82" s="5">
        <f t="shared" si="33"/>
        <v>208</v>
      </c>
      <c r="P82" s="5">
        <v>30</v>
      </c>
      <c r="Q82" s="5">
        <v>325</v>
      </c>
      <c r="R82" s="5">
        <f t="shared" si="35"/>
        <v>41.6</v>
      </c>
      <c r="S82" s="4">
        <f t="shared" ref="S82:S85" si="44">15*R82-Q82-H82</f>
        <v>275</v>
      </c>
      <c r="T82" s="4">
        <f t="shared" si="36"/>
        <v>275</v>
      </c>
      <c r="U82" s="5"/>
      <c r="V82" s="5">
        <f t="shared" si="37"/>
        <v>15</v>
      </c>
      <c r="W82" s="5">
        <f t="shared" si="34"/>
        <v>8.3894230769230766</v>
      </c>
      <c r="X82" s="5">
        <v>38</v>
      </c>
      <c r="Y82" s="5">
        <v>4</v>
      </c>
      <c r="Z82" s="5">
        <v>39.200000000000003</v>
      </c>
      <c r="AA82" s="5">
        <v>26.6</v>
      </c>
      <c r="AB82" s="5">
        <v>20.6</v>
      </c>
      <c r="AC82" s="5">
        <v>23</v>
      </c>
      <c r="AD82" s="5">
        <v>20</v>
      </c>
      <c r="AE82" s="5">
        <v>27</v>
      </c>
      <c r="AF82" s="5">
        <v>28.2</v>
      </c>
      <c r="AG82" s="5">
        <v>19.2</v>
      </c>
      <c r="AH82" s="16"/>
      <c r="AI82" s="5">
        <f t="shared" si="38"/>
        <v>82.5</v>
      </c>
      <c r="AJ82" s="5">
        <f t="shared" si="39"/>
        <v>12.48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 t="s">
        <v>133</v>
      </c>
      <c r="B83" s="5" t="s">
        <v>41</v>
      </c>
      <c r="C83" s="5">
        <v>9</v>
      </c>
      <c r="D83" s="5">
        <v>51</v>
      </c>
      <c r="E83" s="5">
        <v>13</v>
      </c>
      <c r="F83" s="5">
        <v>47</v>
      </c>
      <c r="G83" s="5"/>
      <c r="H83" s="5">
        <f t="shared" si="31"/>
        <v>47</v>
      </c>
      <c r="I83" s="7">
        <v>0.3</v>
      </c>
      <c r="J83" s="5">
        <v>60</v>
      </c>
      <c r="K83" s="5" t="s">
        <v>39</v>
      </c>
      <c r="L83" s="5"/>
      <c r="M83" s="5">
        <v>55</v>
      </c>
      <c r="N83" s="5">
        <f t="shared" si="32"/>
        <v>-42</v>
      </c>
      <c r="O83" s="5">
        <f t="shared" si="33"/>
        <v>13</v>
      </c>
      <c r="P83" s="5"/>
      <c r="Q83" s="5">
        <v>99</v>
      </c>
      <c r="R83" s="5">
        <f t="shared" si="35"/>
        <v>2.6</v>
      </c>
      <c r="S83" s="4"/>
      <c r="T83" s="4">
        <f t="shared" si="36"/>
        <v>0</v>
      </c>
      <c r="U83" s="5"/>
      <c r="V83" s="5">
        <f t="shared" si="37"/>
        <v>56.153846153846153</v>
      </c>
      <c r="W83" s="5">
        <f t="shared" si="34"/>
        <v>56.153846153846153</v>
      </c>
      <c r="X83" s="5">
        <v>12.4</v>
      </c>
      <c r="Y83" s="5">
        <v>8</v>
      </c>
      <c r="Z83" s="5">
        <v>5.2</v>
      </c>
      <c r="AA83" s="5">
        <v>9.6</v>
      </c>
      <c r="AB83" s="5">
        <v>8.4</v>
      </c>
      <c r="AC83" s="5">
        <v>4.5999999999999996</v>
      </c>
      <c r="AD83" s="5">
        <v>4</v>
      </c>
      <c r="AE83" s="5">
        <v>7.8</v>
      </c>
      <c r="AF83" s="5">
        <v>5.8</v>
      </c>
      <c r="AG83" s="5">
        <v>9</v>
      </c>
      <c r="AH83" s="16"/>
      <c r="AI83" s="5">
        <f t="shared" si="38"/>
        <v>0</v>
      </c>
      <c r="AJ83" s="5">
        <f t="shared" si="39"/>
        <v>0.78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 t="s">
        <v>134</v>
      </c>
      <c r="B84" s="5" t="s">
        <v>41</v>
      </c>
      <c r="C84" s="5">
        <v>869</v>
      </c>
      <c r="D84" s="5">
        <v>98</v>
      </c>
      <c r="E84" s="5">
        <v>257</v>
      </c>
      <c r="F84" s="5">
        <v>623</v>
      </c>
      <c r="G84" s="5"/>
      <c r="H84" s="5">
        <f t="shared" si="31"/>
        <v>623</v>
      </c>
      <c r="I84" s="7">
        <v>0.28000000000000003</v>
      </c>
      <c r="J84" s="5">
        <v>50</v>
      </c>
      <c r="K84" s="5" t="s">
        <v>39</v>
      </c>
      <c r="L84" s="5"/>
      <c r="M84" s="5">
        <v>432</v>
      </c>
      <c r="N84" s="5">
        <f t="shared" si="32"/>
        <v>-175</v>
      </c>
      <c r="O84" s="5">
        <f t="shared" si="33"/>
        <v>257</v>
      </c>
      <c r="P84" s="5"/>
      <c r="Q84" s="5">
        <v>425</v>
      </c>
      <c r="R84" s="5">
        <f t="shared" si="35"/>
        <v>51.4</v>
      </c>
      <c r="S84" s="4"/>
      <c r="T84" s="4">
        <f t="shared" si="36"/>
        <v>0</v>
      </c>
      <c r="U84" s="5"/>
      <c r="V84" s="5">
        <f t="shared" si="37"/>
        <v>20.389105058365761</v>
      </c>
      <c r="W84" s="5">
        <f t="shared" si="34"/>
        <v>20.389105058365761</v>
      </c>
      <c r="X84" s="5">
        <v>86.8</v>
      </c>
      <c r="Y84" s="5">
        <v>22</v>
      </c>
      <c r="Z84" s="5">
        <v>110.6</v>
      </c>
      <c r="AA84" s="5">
        <v>99.4</v>
      </c>
      <c r="AB84" s="5">
        <v>52.6</v>
      </c>
      <c r="AC84" s="5">
        <v>55.4</v>
      </c>
      <c r="AD84" s="5">
        <v>88.4</v>
      </c>
      <c r="AE84" s="5">
        <v>94.2</v>
      </c>
      <c r="AF84" s="5">
        <v>52.8</v>
      </c>
      <c r="AG84" s="5">
        <v>65.599999999999994</v>
      </c>
      <c r="AH84" s="16"/>
      <c r="AI84" s="5">
        <f t="shared" si="38"/>
        <v>0</v>
      </c>
      <c r="AJ84" s="5">
        <f t="shared" si="39"/>
        <v>14.392000000000001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 t="s">
        <v>135</v>
      </c>
      <c r="B85" s="5" t="s">
        <v>41</v>
      </c>
      <c r="C85" s="5">
        <v>837</v>
      </c>
      <c r="D85" s="5">
        <v>255</v>
      </c>
      <c r="E85" s="5">
        <v>390</v>
      </c>
      <c r="F85" s="5">
        <v>673</v>
      </c>
      <c r="G85" s="5"/>
      <c r="H85" s="5">
        <f t="shared" si="31"/>
        <v>673</v>
      </c>
      <c r="I85" s="7">
        <v>0.28000000000000003</v>
      </c>
      <c r="J85" s="5">
        <v>45</v>
      </c>
      <c r="K85" s="5" t="s">
        <v>39</v>
      </c>
      <c r="L85" s="5"/>
      <c r="M85" s="5">
        <v>452</v>
      </c>
      <c r="N85" s="5">
        <f t="shared" si="32"/>
        <v>-62</v>
      </c>
      <c r="O85" s="5">
        <f t="shared" si="33"/>
        <v>350</v>
      </c>
      <c r="P85" s="5">
        <v>40</v>
      </c>
      <c r="Q85" s="5">
        <v>291</v>
      </c>
      <c r="R85" s="5">
        <f t="shared" si="35"/>
        <v>70</v>
      </c>
      <c r="S85" s="4">
        <f t="shared" si="44"/>
        <v>86</v>
      </c>
      <c r="T85" s="4">
        <f t="shared" si="36"/>
        <v>86</v>
      </c>
      <c r="U85" s="5"/>
      <c r="V85" s="5">
        <f t="shared" si="37"/>
        <v>15</v>
      </c>
      <c r="W85" s="5">
        <f t="shared" si="34"/>
        <v>13.771428571428572</v>
      </c>
      <c r="X85" s="5">
        <v>86.8</v>
      </c>
      <c r="Y85" s="5">
        <v>43.4</v>
      </c>
      <c r="Z85" s="5">
        <v>132</v>
      </c>
      <c r="AA85" s="5">
        <v>102</v>
      </c>
      <c r="AB85" s="5">
        <v>67.599999999999994</v>
      </c>
      <c r="AC85" s="5">
        <v>86.6</v>
      </c>
      <c r="AD85" s="5">
        <v>90.2</v>
      </c>
      <c r="AE85" s="5">
        <v>81.8</v>
      </c>
      <c r="AF85" s="5">
        <v>59.8</v>
      </c>
      <c r="AG85" s="5">
        <v>55.2</v>
      </c>
      <c r="AH85" s="16"/>
      <c r="AI85" s="5">
        <f t="shared" si="38"/>
        <v>24.080000000000002</v>
      </c>
      <c r="AJ85" s="5">
        <f t="shared" si="39"/>
        <v>19.600000000000001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10" t="s">
        <v>136</v>
      </c>
      <c r="B86" s="10" t="s">
        <v>41</v>
      </c>
      <c r="C86" s="10">
        <v>140</v>
      </c>
      <c r="D86" s="10"/>
      <c r="E86" s="10"/>
      <c r="F86" s="10">
        <v>140</v>
      </c>
      <c r="G86" s="10"/>
      <c r="H86" s="10">
        <f t="shared" si="31"/>
        <v>140</v>
      </c>
      <c r="I86" s="11">
        <v>0</v>
      </c>
      <c r="J86" s="10"/>
      <c r="K86" s="10" t="s">
        <v>62</v>
      </c>
      <c r="L86" s="10"/>
      <c r="M86" s="10">
        <v>1</v>
      </c>
      <c r="N86" s="10">
        <f t="shared" si="32"/>
        <v>-1</v>
      </c>
      <c r="O86" s="10">
        <f t="shared" si="33"/>
        <v>0</v>
      </c>
      <c r="P86" s="10"/>
      <c r="Q86" s="10">
        <v>0</v>
      </c>
      <c r="R86" s="10">
        <f t="shared" si="35"/>
        <v>0</v>
      </c>
      <c r="S86" s="12"/>
      <c r="T86" s="4">
        <f t="shared" si="36"/>
        <v>0</v>
      </c>
      <c r="U86" s="5"/>
      <c r="V86" s="5" t="e">
        <f t="shared" si="37"/>
        <v>#DIV/0!</v>
      </c>
      <c r="W86" s="10" t="e">
        <f t="shared" si="34"/>
        <v>#DIV/0!</v>
      </c>
      <c r="X86" s="10">
        <v>0</v>
      </c>
      <c r="Y86" s="10">
        <v>0</v>
      </c>
      <c r="Z86" s="10">
        <v>0.4</v>
      </c>
      <c r="AA86" s="10">
        <v>6.4</v>
      </c>
      <c r="AB86" s="10">
        <v>0</v>
      </c>
      <c r="AC86" s="10">
        <v>1.6</v>
      </c>
      <c r="AD86" s="10">
        <v>3.2</v>
      </c>
      <c r="AE86" s="10">
        <v>0</v>
      </c>
      <c r="AF86" s="10">
        <v>0</v>
      </c>
      <c r="AG86" s="10">
        <v>0</v>
      </c>
      <c r="AH86" s="13" t="s">
        <v>63</v>
      </c>
      <c r="AI86" s="5">
        <f t="shared" si="38"/>
        <v>0</v>
      </c>
      <c r="AJ86" s="5">
        <f t="shared" si="39"/>
        <v>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 t="s">
        <v>137</v>
      </c>
      <c r="B87" s="5" t="s">
        <v>41</v>
      </c>
      <c r="C87" s="5">
        <v>563</v>
      </c>
      <c r="D87" s="5">
        <v>147</v>
      </c>
      <c r="E87" s="5">
        <v>304</v>
      </c>
      <c r="F87" s="5">
        <v>375</v>
      </c>
      <c r="G87" s="5"/>
      <c r="H87" s="5">
        <f t="shared" si="31"/>
        <v>375</v>
      </c>
      <c r="I87" s="7">
        <v>0.28000000000000003</v>
      </c>
      <c r="J87" s="5">
        <v>45</v>
      </c>
      <c r="K87" s="5" t="s">
        <v>39</v>
      </c>
      <c r="L87" s="5"/>
      <c r="M87" s="5">
        <v>384</v>
      </c>
      <c r="N87" s="5">
        <f t="shared" si="32"/>
        <v>-80</v>
      </c>
      <c r="O87" s="5">
        <f t="shared" si="33"/>
        <v>280</v>
      </c>
      <c r="P87" s="5">
        <v>24</v>
      </c>
      <c r="Q87" s="5">
        <v>566</v>
      </c>
      <c r="R87" s="5">
        <f t="shared" si="35"/>
        <v>56</v>
      </c>
      <c r="S87" s="4"/>
      <c r="T87" s="4">
        <f t="shared" si="36"/>
        <v>0</v>
      </c>
      <c r="U87" s="5"/>
      <c r="V87" s="5">
        <f t="shared" si="37"/>
        <v>16.803571428571427</v>
      </c>
      <c r="W87" s="5">
        <f t="shared" si="34"/>
        <v>16.803571428571427</v>
      </c>
      <c r="X87" s="5">
        <v>80.8</v>
      </c>
      <c r="Y87" s="5">
        <v>37.200000000000003</v>
      </c>
      <c r="Z87" s="5">
        <v>103.2</v>
      </c>
      <c r="AA87" s="5">
        <v>77.2</v>
      </c>
      <c r="AB87" s="5">
        <v>52.2</v>
      </c>
      <c r="AC87" s="5">
        <v>71.8</v>
      </c>
      <c r="AD87" s="5">
        <v>70.8</v>
      </c>
      <c r="AE87" s="5">
        <v>74.2</v>
      </c>
      <c r="AF87" s="5">
        <v>48.8</v>
      </c>
      <c r="AG87" s="5">
        <v>44.4</v>
      </c>
      <c r="AH87" s="16"/>
      <c r="AI87" s="5">
        <f t="shared" si="38"/>
        <v>0</v>
      </c>
      <c r="AJ87" s="5">
        <f t="shared" si="39"/>
        <v>15.680000000000001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 t="s">
        <v>138</v>
      </c>
      <c r="B88" s="5" t="s">
        <v>41</v>
      </c>
      <c r="C88" s="5">
        <v>655</v>
      </c>
      <c r="D88" s="5">
        <v>1437</v>
      </c>
      <c r="E88" s="5">
        <v>601</v>
      </c>
      <c r="F88" s="5">
        <v>1426</v>
      </c>
      <c r="G88" s="5">
        <v>132</v>
      </c>
      <c r="H88" s="5">
        <f t="shared" si="31"/>
        <v>1294</v>
      </c>
      <c r="I88" s="7">
        <v>0.4</v>
      </c>
      <c r="J88" s="5">
        <v>50</v>
      </c>
      <c r="K88" s="5" t="s">
        <v>39</v>
      </c>
      <c r="L88" s="5"/>
      <c r="M88" s="5">
        <v>802</v>
      </c>
      <c r="N88" s="5">
        <f t="shared" si="32"/>
        <v>-201</v>
      </c>
      <c r="O88" s="5">
        <f t="shared" si="33"/>
        <v>583</v>
      </c>
      <c r="P88" s="5">
        <v>18</v>
      </c>
      <c r="Q88" s="5">
        <v>688</v>
      </c>
      <c r="R88" s="5">
        <f t="shared" si="35"/>
        <v>116.6</v>
      </c>
      <c r="S88" s="4"/>
      <c r="T88" s="4">
        <f t="shared" si="36"/>
        <v>0</v>
      </c>
      <c r="U88" s="5"/>
      <c r="V88" s="5">
        <f t="shared" si="37"/>
        <v>16.99828473413379</v>
      </c>
      <c r="W88" s="5">
        <f t="shared" si="34"/>
        <v>16.99828473413379</v>
      </c>
      <c r="X88" s="5">
        <v>169.8</v>
      </c>
      <c r="Y88" s="5">
        <v>144.4</v>
      </c>
      <c r="Z88" s="5">
        <v>147.80000000000001</v>
      </c>
      <c r="AA88" s="5">
        <v>187.2</v>
      </c>
      <c r="AB88" s="5">
        <v>136.4</v>
      </c>
      <c r="AC88" s="5">
        <v>73</v>
      </c>
      <c r="AD88" s="5">
        <v>123.8</v>
      </c>
      <c r="AE88" s="5">
        <v>112.6</v>
      </c>
      <c r="AF88" s="5">
        <v>89.6</v>
      </c>
      <c r="AG88" s="5">
        <v>96</v>
      </c>
      <c r="AH88" s="16"/>
      <c r="AI88" s="5">
        <f t="shared" si="38"/>
        <v>0</v>
      </c>
      <c r="AJ88" s="5">
        <f t="shared" si="39"/>
        <v>46.64</v>
      </c>
      <c r="AK88" s="18">
        <f>I88</f>
        <v>0.4</v>
      </c>
      <c r="AL88" s="5">
        <f>G88*AK88</f>
        <v>52.800000000000004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10" t="s">
        <v>139</v>
      </c>
      <c r="B89" s="10" t="s">
        <v>41</v>
      </c>
      <c r="C89" s="10">
        <v>-6</v>
      </c>
      <c r="D89" s="10"/>
      <c r="E89" s="10"/>
      <c r="F89" s="14">
        <v>-6</v>
      </c>
      <c r="G89" s="10"/>
      <c r="H89" s="10">
        <f t="shared" si="31"/>
        <v>-6</v>
      </c>
      <c r="I89" s="11">
        <v>0</v>
      </c>
      <c r="J89" s="10"/>
      <c r="K89" s="10" t="s">
        <v>62</v>
      </c>
      <c r="L89" s="10" t="s">
        <v>140</v>
      </c>
      <c r="M89" s="10">
        <v>37</v>
      </c>
      <c r="N89" s="10">
        <f t="shared" si="32"/>
        <v>-37</v>
      </c>
      <c r="O89" s="10">
        <f t="shared" si="33"/>
        <v>0</v>
      </c>
      <c r="P89" s="10"/>
      <c r="Q89" s="10">
        <v>0</v>
      </c>
      <c r="R89" s="10">
        <f t="shared" si="35"/>
        <v>0</v>
      </c>
      <c r="S89" s="12"/>
      <c r="T89" s="4">
        <f t="shared" si="36"/>
        <v>0</v>
      </c>
      <c r="U89" s="5"/>
      <c r="V89" s="5" t="e">
        <f t="shared" si="37"/>
        <v>#DIV/0!</v>
      </c>
      <c r="W89" s="10" t="e">
        <f t="shared" si="34"/>
        <v>#DIV/0!</v>
      </c>
      <c r="X89" s="10">
        <v>1</v>
      </c>
      <c r="Y89" s="10">
        <v>0</v>
      </c>
      <c r="Z89" s="10">
        <v>0.2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/>
      <c r="AI89" s="5">
        <f t="shared" si="38"/>
        <v>0</v>
      </c>
      <c r="AJ89" s="5">
        <f t="shared" si="39"/>
        <v>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 t="s">
        <v>141</v>
      </c>
      <c r="B90" s="5" t="s">
        <v>38</v>
      </c>
      <c r="C90" s="5">
        <v>75.623000000000005</v>
      </c>
      <c r="D90" s="5">
        <v>11.077999999999999</v>
      </c>
      <c r="E90" s="5">
        <v>33.552</v>
      </c>
      <c r="F90" s="5">
        <v>45.125</v>
      </c>
      <c r="G90" s="5"/>
      <c r="H90" s="5">
        <f t="shared" si="31"/>
        <v>45.125</v>
      </c>
      <c r="I90" s="7">
        <v>1</v>
      </c>
      <c r="J90" s="5">
        <v>30</v>
      </c>
      <c r="K90" s="5" t="s">
        <v>39</v>
      </c>
      <c r="L90" s="5"/>
      <c r="M90" s="5">
        <v>39.35</v>
      </c>
      <c r="N90" s="5">
        <f t="shared" si="32"/>
        <v>-5.7980000000000018</v>
      </c>
      <c r="O90" s="5">
        <f t="shared" si="33"/>
        <v>33.552</v>
      </c>
      <c r="P90" s="5"/>
      <c r="Q90" s="5">
        <v>0</v>
      </c>
      <c r="R90" s="5">
        <f t="shared" si="35"/>
        <v>6.7103999999999999</v>
      </c>
      <c r="S90" s="4">
        <f>15*R90-Q90-H90</f>
        <v>55.531000000000006</v>
      </c>
      <c r="T90" s="4">
        <v>80</v>
      </c>
      <c r="U90" s="5">
        <f>VLOOKUP(A90,[1]Sheet!$A:$T,20,0)</f>
        <v>200</v>
      </c>
      <c r="V90" s="5">
        <f t="shared" si="37"/>
        <v>18.646429422985218</v>
      </c>
      <c r="W90" s="5">
        <f t="shared" si="34"/>
        <v>6.7246363853123512</v>
      </c>
      <c r="X90" s="5">
        <v>5.0915999999999997</v>
      </c>
      <c r="Y90" s="5">
        <v>3.8393999999999999</v>
      </c>
      <c r="Z90" s="5">
        <v>4.0342000000000002</v>
      </c>
      <c r="AA90" s="5">
        <v>9.1999999999999998E-2</v>
      </c>
      <c r="AB90" s="5">
        <v>3.0341999999999998</v>
      </c>
      <c r="AC90" s="5">
        <v>4.6256000000000004</v>
      </c>
      <c r="AD90" s="5">
        <v>0.94879999999999998</v>
      </c>
      <c r="AE90" s="5">
        <v>0.78600000000000003</v>
      </c>
      <c r="AF90" s="5">
        <v>0</v>
      </c>
      <c r="AG90" s="5">
        <v>0</v>
      </c>
      <c r="AH90" s="16"/>
      <c r="AI90" s="5">
        <f t="shared" si="38"/>
        <v>80</v>
      </c>
      <c r="AJ90" s="5">
        <f t="shared" si="39"/>
        <v>6.7103999999999999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10" t="s">
        <v>142</v>
      </c>
      <c r="B91" s="10" t="s">
        <v>41</v>
      </c>
      <c r="C91" s="10">
        <v>23</v>
      </c>
      <c r="D91" s="10">
        <v>1</v>
      </c>
      <c r="E91" s="10">
        <v>20</v>
      </c>
      <c r="F91" s="10">
        <v>3</v>
      </c>
      <c r="G91" s="10"/>
      <c r="H91" s="10">
        <f t="shared" si="31"/>
        <v>3</v>
      </c>
      <c r="I91" s="11">
        <v>0</v>
      </c>
      <c r="J91" s="10">
        <v>50</v>
      </c>
      <c r="K91" s="10" t="s">
        <v>77</v>
      </c>
      <c r="L91" s="10"/>
      <c r="M91" s="10">
        <v>46</v>
      </c>
      <c r="N91" s="10">
        <f t="shared" si="32"/>
        <v>-26</v>
      </c>
      <c r="O91" s="10">
        <f t="shared" si="33"/>
        <v>20</v>
      </c>
      <c r="P91" s="10"/>
      <c r="Q91" s="10">
        <v>0</v>
      </c>
      <c r="R91" s="10">
        <f t="shared" si="35"/>
        <v>4</v>
      </c>
      <c r="S91" s="12"/>
      <c r="T91" s="4">
        <f t="shared" si="36"/>
        <v>0</v>
      </c>
      <c r="U91" s="5"/>
      <c r="V91" s="5">
        <f t="shared" si="37"/>
        <v>0.75</v>
      </c>
      <c r="W91" s="10">
        <f t="shared" si="34"/>
        <v>0.75</v>
      </c>
      <c r="X91" s="10">
        <v>2.4</v>
      </c>
      <c r="Y91" s="10">
        <v>4.4000000000000004</v>
      </c>
      <c r="Z91" s="10">
        <v>4</v>
      </c>
      <c r="AA91" s="10">
        <v>4.4000000000000004</v>
      </c>
      <c r="AB91" s="10">
        <v>5.4</v>
      </c>
      <c r="AC91" s="10">
        <v>2.8</v>
      </c>
      <c r="AD91" s="10">
        <v>5.2</v>
      </c>
      <c r="AE91" s="10">
        <v>5.6</v>
      </c>
      <c r="AF91" s="10">
        <v>4.4000000000000004</v>
      </c>
      <c r="AG91" s="10">
        <v>3.6</v>
      </c>
      <c r="AH91" s="10"/>
      <c r="AI91" s="5">
        <f t="shared" si="38"/>
        <v>0</v>
      </c>
      <c r="AJ91" s="5">
        <f t="shared" si="39"/>
        <v>0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10" t="s">
        <v>143</v>
      </c>
      <c r="B92" s="10" t="s">
        <v>41</v>
      </c>
      <c r="C92" s="10">
        <v>280</v>
      </c>
      <c r="D92" s="10"/>
      <c r="E92" s="10"/>
      <c r="F92" s="10">
        <v>280</v>
      </c>
      <c r="G92" s="10"/>
      <c r="H92" s="10">
        <f t="shared" si="31"/>
        <v>280</v>
      </c>
      <c r="I92" s="11">
        <v>0</v>
      </c>
      <c r="J92" s="10"/>
      <c r="K92" s="10" t="s">
        <v>62</v>
      </c>
      <c r="L92" s="10"/>
      <c r="M92" s="10"/>
      <c r="N92" s="10">
        <f t="shared" si="32"/>
        <v>0</v>
      </c>
      <c r="O92" s="10">
        <f t="shared" si="33"/>
        <v>0</v>
      </c>
      <c r="P92" s="10"/>
      <c r="Q92" s="10">
        <v>0</v>
      </c>
      <c r="R92" s="10">
        <f t="shared" si="35"/>
        <v>0</v>
      </c>
      <c r="S92" s="12"/>
      <c r="T92" s="4">
        <f t="shared" si="36"/>
        <v>0</v>
      </c>
      <c r="U92" s="5"/>
      <c r="V92" s="5" t="e">
        <f t="shared" si="37"/>
        <v>#DIV/0!</v>
      </c>
      <c r="W92" s="10" t="e">
        <f t="shared" si="34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3" t="s">
        <v>63</v>
      </c>
      <c r="AI92" s="5">
        <f t="shared" si="38"/>
        <v>0</v>
      </c>
      <c r="AJ92" s="5">
        <f t="shared" si="39"/>
        <v>0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5" t="s">
        <v>144</v>
      </c>
      <c r="B93" s="5" t="s">
        <v>41</v>
      </c>
      <c r="C93" s="5"/>
      <c r="D93" s="5">
        <v>301</v>
      </c>
      <c r="E93" s="5">
        <v>4</v>
      </c>
      <c r="F93" s="5">
        <v>296</v>
      </c>
      <c r="G93" s="5"/>
      <c r="H93" s="5">
        <f t="shared" si="31"/>
        <v>296</v>
      </c>
      <c r="I93" s="7">
        <v>0.33800000000000002</v>
      </c>
      <c r="J93" s="5" t="s">
        <v>145</v>
      </c>
      <c r="K93" s="5" t="s">
        <v>39</v>
      </c>
      <c r="L93" s="5"/>
      <c r="M93" s="5">
        <v>12</v>
      </c>
      <c r="N93" s="5">
        <f t="shared" si="32"/>
        <v>-8</v>
      </c>
      <c r="O93" s="5">
        <f t="shared" si="33"/>
        <v>4</v>
      </c>
      <c r="P93" s="5"/>
      <c r="Q93" s="5">
        <v>0</v>
      </c>
      <c r="R93" s="5">
        <f t="shared" si="35"/>
        <v>0.8</v>
      </c>
      <c r="S93" s="4"/>
      <c r="T93" s="4">
        <f t="shared" si="36"/>
        <v>0</v>
      </c>
      <c r="U93" s="5"/>
      <c r="V93" s="5">
        <f t="shared" si="37"/>
        <v>370</v>
      </c>
      <c r="W93" s="5">
        <f t="shared" si="34"/>
        <v>370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16" t="s">
        <v>111</v>
      </c>
      <c r="AI93" s="5">
        <f t="shared" si="38"/>
        <v>0</v>
      </c>
      <c r="AJ93" s="5">
        <f t="shared" si="39"/>
        <v>0.27040000000000003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 t="s">
        <v>146</v>
      </c>
      <c r="B94" s="5" t="s">
        <v>41</v>
      </c>
      <c r="C94" s="5"/>
      <c r="D94" s="5">
        <v>288</v>
      </c>
      <c r="E94" s="5">
        <v>2</v>
      </c>
      <c r="F94" s="5">
        <v>286</v>
      </c>
      <c r="G94" s="5"/>
      <c r="H94" s="5">
        <f t="shared" si="31"/>
        <v>286</v>
      </c>
      <c r="I94" s="7">
        <v>0.32500000000000001</v>
      </c>
      <c r="J94" s="5" t="s">
        <v>145</v>
      </c>
      <c r="K94" s="5" t="s">
        <v>39</v>
      </c>
      <c r="L94" s="5"/>
      <c r="M94" s="5">
        <v>2</v>
      </c>
      <c r="N94" s="5">
        <f t="shared" si="32"/>
        <v>0</v>
      </c>
      <c r="O94" s="5">
        <f t="shared" si="33"/>
        <v>2</v>
      </c>
      <c r="P94" s="5"/>
      <c r="Q94" s="5">
        <v>0</v>
      </c>
      <c r="R94" s="5">
        <f t="shared" si="35"/>
        <v>0.4</v>
      </c>
      <c r="S94" s="4"/>
      <c r="T94" s="4">
        <f t="shared" si="36"/>
        <v>0</v>
      </c>
      <c r="U94" s="5"/>
      <c r="V94" s="5">
        <f t="shared" si="37"/>
        <v>715</v>
      </c>
      <c r="W94" s="5">
        <f t="shared" si="34"/>
        <v>715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16" t="s">
        <v>111</v>
      </c>
      <c r="AI94" s="5">
        <f t="shared" si="38"/>
        <v>0</v>
      </c>
      <c r="AJ94" s="5">
        <f t="shared" si="39"/>
        <v>0.13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 t="s">
        <v>147</v>
      </c>
      <c r="B95" s="5" t="s">
        <v>41</v>
      </c>
      <c r="C95" s="5">
        <v>522</v>
      </c>
      <c r="D95" s="5">
        <v>15</v>
      </c>
      <c r="E95" s="5">
        <v>253</v>
      </c>
      <c r="F95" s="5">
        <v>268</v>
      </c>
      <c r="G95" s="5"/>
      <c r="H95" s="5">
        <f t="shared" si="31"/>
        <v>268</v>
      </c>
      <c r="I95" s="7">
        <v>0.12</v>
      </c>
      <c r="J95" s="5">
        <v>60</v>
      </c>
      <c r="K95" s="5" t="s">
        <v>39</v>
      </c>
      <c r="L95" s="5"/>
      <c r="M95" s="5">
        <v>313</v>
      </c>
      <c r="N95" s="5">
        <f t="shared" si="32"/>
        <v>-60</v>
      </c>
      <c r="O95" s="5">
        <f t="shared" si="33"/>
        <v>253</v>
      </c>
      <c r="P95" s="5"/>
      <c r="Q95" s="5">
        <v>639</v>
      </c>
      <c r="R95" s="5">
        <f t="shared" si="35"/>
        <v>50.6</v>
      </c>
      <c r="S95" s="4"/>
      <c r="T95" s="4">
        <f t="shared" si="36"/>
        <v>0</v>
      </c>
      <c r="U95" s="5"/>
      <c r="V95" s="5">
        <f t="shared" si="37"/>
        <v>17.92490118577075</v>
      </c>
      <c r="W95" s="5">
        <f t="shared" si="34"/>
        <v>17.92490118577075</v>
      </c>
      <c r="X95" s="5">
        <v>77.2</v>
      </c>
      <c r="Y95" s="5">
        <v>50</v>
      </c>
      <c r="Z95" s="5">
        <v>83</v>
      </c>
      <c r="AA95" s="5">
        <v>79</v>
      </c>
      <c r="AB95" s="5">
        <v>54.8</v>
      </c>
      <c r="AC95" s="5">
        <v>35.6</v>
      </c>
      <c r="AD95" s="5">
        <v>57.8</v>
      </c>
      <c r="AE95" s="5">
        <v>44.4</v>
      </c>
      <c r="AF95" s="5">
        <v>26.4</v>
      </c>
      <c r="AG95" s="5">
        <v>32.6</v>
      </c>
      <c r="AH95" s="16"/>
      <c r="AI95" s="5">
        <f t="shared" si="38"/>
        <v>0</v>
      </c>
      <c r="AJ95" s="5">
        <f t="shared" si="39"/>
        <v>6.0720000000000001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 t="s">
        <v>148</v>
      </c>
      <c r="B96" s="5" t="s">
        <v>41</v>
      </c>
      <c r="C96" s="5">
        <v>18</v>
      </c>
      <c r="D96" s="5">
        <v>144</v>
      </c>
      <c r="E96" s="5">
        <v>23</v>
      </c>
      <c r="F96" s="5">
        <v>139</v>
      </c>
      <c r="G96" s="5"/>
      <c r="H96" s="5">
        <f t="shared" si="31"/>
        <v>139</v>
      </c>
      <c r="I96" s="7">
        <v>0.15</v>
      </c>
      <c r="J96" s="5">
        <v>90</v>
      </c>
      <c r="K96" s="5" t="s">
        <v>39</v>
      </c>
      <c r="L96" s="5"/>
      <c r="M96" s="5">
        <v>59</v>
      </c>
      <c r="N96" s="5">
        <f t="shared" si="32"/>
        <v>-36</v>
      </c>
      <c r="O96" s="5">
        <f t="shared" si="33"/>
        <v>23</v>
      </c>
      <c r="P96" s="5"/>
      <c r="Q96" s="5">
        <v>0</v>
      </c>
      <c r="R96" s="5">
        <f t="shared" si="35"/>
        <v>4.5999999999999996</v>
      </c>
      <c r="S96" s="4"/>
      <c r="T96" s="4">
        <v>60</v>
      </c>
      <c r="U96" s="5">
        <f>VLOOKUP(A96,[1]Sheet!$A:$T,20,0)</f>
        <v>200</v>
      </c>
      <c r="V96" s="5">
        <f t="shared" si="37"/>
        <v>43.260869565217398</v>
      </c>
      <c r="W96" s="5">
        <f t="shared" si="34"/>
        <v>30.217391304347828</v>
      </c>
      <c r="X96" s="5">
        <v>0</v>
      </c>
      <c r="Y96" s="5">
        <v>3.4</v>
      </c>
      <c r="Z96" s="5">
        <v>9</v>
      </c>
      <c r="AA96" s="5">
        <v>7.2</v>
      </c>
      <c r="AB96" s="5">
        <v>5.4</v>
      </c>
      <c r="AC96" s="5">
        <v>9</v>
      </c>
      <c r="AD96" s="5">
        <v>0</v>
      </c>
      <c r="AE96" s="5">
        <v>0</v>
      </c>
      <c r="AF96" s="5">
        <v>0</v>
      </c>
      <c r="AG96" s="5">
        <v>0</v>
      </c>
      <c r="AH96" s="16" t="s">
        <v>111</v>
      </c>
      <c r="AI96" s="5">
        <f t="shared" si="38"/>
        <v>9</v>
      </c>
      <c r="AJ96" s="5">
        <f t="shared" si="39"/>
        <v>0.69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5" t="s">
        <v>149</v>
      </c>
      <c r="B97" s="5" t="s">
        <v>41</v>
      </c>
      <c r="C97" s="5"/>
      <c r="D97" s="5">
        <v>120</v>
      </c>
      <c r="E97" s="5">
        <v>6</v>
      </c>
      <c r="F97" s="5">
        <v>114</v>
      </c>
      <c r="G97" s="5"/>
      <c r="H97" s="5">
        <f t="shared" si="31"/>
        <v>114</v>
      </c>
      <c r="I97" s="7">
        <v>0.15</v>
      </c>
      <c r="J97" s="5">
        <v>90</v>
      </c>
      <c r="K97" s="5" t="s">
        <v>39</v>
      </c>
      <c r="L97" s="5"/>
      <c r="M97" s="5">
        <v>13</v>
      </c>
      <c r="N97" s="5">
        <f t="shared" si="32"/>
        <v>-7</v>
      </c>
      <c r="O97" s="5">
        <f t="shared" si="33"/>
        <v>6</v>
      </c>
      <c r="P97" s="5"/>
      <c r="Q97" s="5">
        <v>0</v>
      </c>
      <c r="R97" s="5">
        <f t="shared" si="35"/>
        <v>1.2</v>
      </c>
      <c r="S97" s="4"/>
      <c r="T97" s="4">
        <v>150</v>
      </c>
      <c r="U97" s="5">
        <f>VLOOKUP(A97,[1]Sheet!$A:$T,20,0)</f>
        <v>200</v>
      </c>
      <c r="V97" s="5">
        <f t="shared" si="37"/>
        <v>220</v>
      </c>
      <c r="W97" s="5">
        <f t="shared" si="34"/>
        <v>95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16" t="s">
        <v>111</v>
      </c>
      <c r="AI97" s="5">
        <f t="shared" si="38"/>
        <v>22.5</v>
      </c>
      <c r="AJ97" s="5">
        <f t="shared" si="39"/>
        <v>0.18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 t="s">
        <v>140</v>
      </c>
      <c r="B98" s="5" t="s">
        <v>41</v>
      </c>
      <c r="C98" s="5">
        <v>302</v>
      </c>
      <c r="D98" s="5">
        <v>45</v>
      </c>
      <c r="E98" s="5">
        <v>122</v>
      </c>
      <c r="F98" s="14">
        <f>206+F89</f>
        <v>200</v>
      </c>
      <c r="G98" s="5"/>
      <c r="H98" s="5">
        <f t="shared" si="31"/>
        <v>200</v>
      </c>
      <c r="I98" s="7">
        <v>0.33</v>
      </c>
      <c r="J98" s="5">
        <v>30</v>
      </c>
      <c r="K98" s="5" t="s">
        <v>39</v>
      </c>
      <c r="L98" s="5"/>
      <c r="M98" s="5">
        <v>141</v>
      </c>
      <c r="N98" s="5">
        <f t="shared" si="32"/>
        <v>-19</v>
      </c>
      <c r="O98" s="5">
        <f t="shared" si="33"/>
        <v>122</v>
      </c>
      <c r="P98" s="5"/>
      <c r="Q98" s="5">
        <v>79</v>
      </c>
      <c r="R98" s="5">
        <f t="shared" si="35"/>
        <v>24.4</v>
      </c>
      <c r="S98" s="4">
        <f t="shared" ref="S98:S104" si="45">15*R98-Q98-H98</f>
        <v>87</v>
      </c>
      <c r="T98" s="4">
        <f t="shared" si="36"/>
        <v>87</v>
      </c>
      <c r="U98" s="5"/>
      <c r="V98" s="5">
        <f t="shared" si="37"/>
        <v>15</v>
      </c>
      <c r="W98" s="5">
        <f t="shared" si="34"/>
        <v>11.434426229508198</v>
      </c>
      <c r="X98" s="5">
        <v>27.2</v>
      </c>
      <c r="Y98" s="5">
        <v>30.4</v>
      </c>
      <c r="Z98" s="5">
        <v>43</v>
      </c>
      <c r="AA98" s="5">
        <v>45.2</v>
      </c>
      <c r="AB98" s="5">
        <v>1.8</v>
      </c>
      <c r="AC98" s="5">
        <v>37.799999999999997</v>
      </c>
      <c r="AD98" s="5">
        <v>56</v>
      </c>
      <c r="AE98" s="5">
        <v>32.200000000000003</v>
      </c>
      <c r="AF98" s="5">
        <v>40</v>
      </c>
      <c r="AG98" s="5">
        <v>37.4</v>
      </c>
      <c r="AH98" s="16"/>
      <c r="AI98" s="5">
        <f t="shared" si="38"/>
        <v>28.71</v>
      </c>
      <c r="AJ98" s="5">
        <f t="shared" si="39"/>
        <v>8.0519999999999996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 t="s">
        <v>150</v>
      </c>
      <c r="B99" s="5" t="s">
        <v>41</v>
      </c>
      <c r="C99" s="5">
        <v>16</v>
      </c>
      <c r="D99" s="5">
        <v>201</v>
      </c>
      <c r="E99" s="5">
        <v>57</v>
      </c>
      <c r="F99" s="5">
        <v>148</v>
      </c>
      <c r="G99" s="5"/>
      <c r="H99" s="5">
        <f t="shared" si="31"/>
        <v>148</v>
      </c>
      <c r="I99" s="7">
        <v>0.15</v>
      </c>
      <c r="J99" s="5">
        <v>60</v>
      </c>
      <c r="K99" s="5" t="s">
        <v>39</v>
      </c>
      <c r="L99" s="5"/>
      <c r="M99" s="5">
        <v>275</v>
      </c>
      <c r="N99" s="5">
        <f t="shared" si="32"/>
        <v>-218</v>
      </c>
      <c r="O99" s="5">
        <f t="shared" si="33"/>
        <v>57</v>
      </c>
      <c r="P99" s="5"/>
      <c r="Q99" s="5">
        <v>0</v>
      </c>
      <c r="R99" s="5">
        <f t="shared" si="35"/>
        <v>11.4</v>
      </c>
      <c r="S99" s="4">
        <f t="shared" si="45"/>
        <v>23</v>
      </c>
      <c r="T99" s="4">
        <v>200</v>
      </c>
      <c r="U99" s="5">
        <f>VLOOKUP(A99,[1]Sheet!$A:$T,20,0)</f>
        <v>300</v>
      </c>
      <c r="V99" s="5">
        <f t="shared" si="37"/>
        <v>30.526315789473685</v>
      </c>
      <c r="W99" s="5">
        <f t="shared" si="34"/>
        <v>12.982456140350877</v>
      </c>
      <c r="X99" s="5">
        <v>5.6</v>
      </c>
      <c r="Y99" s="5">
        <v>10</v>
      </c>
      <c r="Z99" s="5">
        <v>7.8</v>
      </c>
      <c r="AA99" s="5">
        <v>5.8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16" t="s">
        <v>111</v>
      </c>
      <c r="AI99" s="5">
        <f t="shared" si="38"/>
        <v>30</v>
      </c>
      <c r="AJ99" s="5">
        <f t="shared" si="39"/>
        <v>1.71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 t="s">
        <v>151</v>
      </c>
      <c r="B100" s="5" t="s">
        <v>41</v>
      </c>
      <c r="C100" s="5">
        <v>3</v>
      </c>
      <c r="D100" s="5">
        <v>201</v>
      </c>
      <c r="E100" s="5">
        <v>17</v>
      </c>
      <c r="F100" s="5">
        <v>186</v>
      </c>
      <c r="G100" s="5"/>
      <c r="H100" s="5">
        <f t="shared" si="31"/>
        <v>186</v>
      </c>
      <c r="I100" s="7">
        <v>0.26</v>
      </c>
      <c r="J100" s="5">
        <v>45</v>
      </c>
      <c r="K100" s="5" t="s">
        <v>39</v>
      </c>
      <c r="L100" s="5"/>
      <c r="M100" s="5">
        <v>106</v>
      </c>
      <c r="N100" s="5">
        <f t="shared" si="32"/>
        <v>-89</v>
      </c>
      <c r="O100" s="5">
        <f t="shared" si="33"/>
        <v>17</v>
      </c>
      <c r="P100" s="5"/>
      <c r="Q100" s="5">
        <v>0</v>
      </c>
      <c r="R100" s="5">
        <f t="shared" si="35"/>
        <v>3.4</v>
      </c>
      <c r="S100" s="4"/>
      <c r="T100" s="4">
        <v>30</v>
      </c>
      <c r="U100" s="5">
        <f>VLOOKUP(A100,[1]Sheet!$A:$T,20,0)</f>
        <v>50</v>
      </c>
      <c r="V100" s="5">
        <f t="shared" si="37"/>
        <v>63.529411764705884</v>
      </c>
      <c r="W100" s="5">
        <f t="shared" si="34"/>
        <v>54.705882352941181</v>
      </c>
      <c r="X100" s="5">
        <v>6.2</v>
      </c>
      <c r="Y100" s="5">
        <v>11</v>
      </c>
      <c r="Z100" s="5">
        <v>6.8</v>
      </c>
      <c r="AA100" s="5">
        <v>2.8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16" t="s">
        <v>111</v>
      </c>
      <c r="AI100" s="5">
        <f t="shared" si="38"/>
        <v>7.8000000000000007</v>
      </c>
      <c r="AJ100" s="5">
        <f t="shared" si="39"/>
        <v>0.88400000000000001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 t="s">
        <v>152</v>
      </c>
      <c r="B101" s="5" t="s">
        <v>38</v>
      </c>
      <c r="C101" s="5"/>
      <c r="D101" s="5">
        <v>100.914</v>
      </c>
      <c r="E101" s="5"/>
      <c r="F101" s="5">
        <v>100.914</v>
      </c>
      <c r="G101" s="5"/>
      <c r="H101" s="5">
        <f t="shared" si="31"/>
        <v>100.914</v>
      </c>
      <c r="I101" s="7">
        <v>1</v>
      </c>
      <c r="J101" s="5">
        <v>30</v>
      </c>
      <c r="K101" s="5" t="s">
        <v>39</v>
      </c>
      <c r="L101" s="5"/>
      <c r="M101" s="5">
        <v>4.5999999999999996</v>
      </c>
      <c r="N101" s="5">
        <f t="shared" si="32"/>
        <v>-4.5999999999999996</v>
      </c>
      <c r="O101" s="5">
        <f t="shared" si="33"/>
        <v>0</v>
      </c>
      <c r="P101" s="5"/>
      <c r="Q101" s="5">
        <v>0</v>
      </c>
      <c r="R101" s="5">
        <f t="shared" si="35"/>
        <v>0</v>
      </c>
      <c r="S101" s="4"/>
      <c r="T101" s="4">
        <f t="shared" ref="T101:T103" si="46">U101</f>
        <v>50</v>
      </c>
      <c r="U101" s="5">
        <f>VLOOKUP(A101,[1]Sheet!$A:$T,20,0)</f>
        <v>50</v>
      </c>
      <c r="V101" s="5" t="e">
        <f t="shared" si="37"/>
        <v>#DIV/0!</v>
      </c>
      <c r="W101" s="5" t="e">
        <f t="shared" si="34"/>
        <v>#DIV/0!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16" t="s">
        <v>111</v>
      </c>
      <c r="AI101" s="5">
        <f t="shared" si="38"/>
        <v>50</v>
      </c>
      <c r="AJ101" s="5">
        <f t="shared" si="39"/>
        <v>0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 t="s">
        <v>153</v>
      </c>
      <c r="B102" s="5" t="s">
        <v>41</v>
      </c>
      <c r="C102" s="5">
        <v>7</v>
      </c>
      <c r="D102" s="5">
        <v>202</v>
      </c>
      <c r="E102" s="5">
        <v>25</v>
      </c>
      <c r="F102" s="5">
        <v>182</v>
      </c>
      <c r="G102" s="5"/>
      <c r="H102" s="5">
        <f t="shared" ref="H102:H119" si="47">F102-G102</f>
        <v>182</v>
      </c>
      <c r="I102" s="7">
        <v>0.31</v>
      </c>
      <c r="J102" s="5">
        <v>45</v>
      </c>
      <c r="K102" s="5" t="s">
        <v>39</v>
      </c>
      <c r="L102" s="5"/>
      <c r="M102" s="5">
        <v>132</v>
      </c>
      <c r="N102" s="5">
        <f t="shared" ref="N102:N119" si="48">E102-M102</f>
        <v>-107</v>
      </c>
      <c r="O102" s="5">
        <f t="shared" ref="O102:O119" si="49">E102-P102</f>
        <v>25</v>
      </c>
      <c r="P102" s="5"/>
      <c r="Q102" s="5">
        <v>0</v>
      </c>
      <c r="R102" s="5">
        <f t="shared" si="35"/>
        <v>5</v>
      </c>
      <c r="S102" s="4"/>
      <c r="T102" s="4">
        <v>30</v>
      </c>
      <c r="U102" s="5">
        <f>VLOOKUP(A102,[1]Sheet!$A:$T,20,0)</f>
        <v>50</v>
      </c>
      <c r="V102" s="5">
        <f t="shared" si="37"/>
        <v>42.4</v>
      </c>
      <c r="W102" s="5">
        <f t="shared" ref="W102:W119" si="50">(H102+Q102)/R102</f>
        <v>36.4</v>
      </c>
      <c r="X102" s="5">
        <v>8.4</v>
      </c>
      <c r="Y102" s="5">
        <v>9</v>
      </c>
      <c r="Z102" s="5">
        <v>7.8</v>
      </c>
      <c r="AA102" s="5">
        <v>4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16" t="s">
        <v>111</v>
      </c>
      <c r="AI102" s="5">
        <f t="shared" si="38"/>
        <v>9.3000000000000007</v>
      </c>
      <c r="AJ102" s="5">
        <f t="shared" si="39"/>
        <v>1.55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 t="s">
        <v>154</v>
      </c>
      <c r="B103" s="5" t="s">
        <v>38</v>
      </c>
      <c r="C103" s="5"/>
      <c r="D103" s="5">
        <v>103.571</v>
      </c>
      <c r="E103" s="5"/>
      <c r="F103" s="5">
        <v>102.47</v>
      </c>
      <c r="G103" s="5"/>
      <c r="H103" s="5">
        <f t="shared" si="47"/>
        <v>102.47</v>
      </c>
      <c r="I103" s="7">
        <v>1</v>
      </c>
      <c r="J103" s="5">
        <v>30</v>
      </c>
      <c r="K103" s="5" t="s">
        <v>39</v>
      </c>
      <c r="L103" s="5"/>
      <c r="M103" s="5">
        <v>9.1</v>
      </c>
      <c r="N103" s="5">
        <f t="shared" si="48"/>
        <v>-9.1</v>
      </c>
      <c r="O103" s="5">
        <f t="shared" si="49"/>
        <v>0</v>
      </c>
      <c r="P103" s="5"/>
      <c r="Q103" s="5">
        <v>0</v>
      </c>
      <c r="R103" s="5">
        <f t="shared" si="35"/>
        <v>0</v>
      </c>
      <c r="S103" s="4"/>
      <c r="T103" s="4">
        <f t="shared" si="46"/>
        <v>50</v>
      </c>
      <c r="U103" s="5">
        <f>VLOOKUP(A103,[1]Sheet!$A:$T,20,0)</f>
        <v>50</v>
      </c>
      <c r="V103" s="5" t="e">
        <f t="shared" si="37"/>
        <v>#DIV/0!</v>
      </c>
      <c r="W103" s="5" t="e">
        <f t="shared" si="50"/>
        <v>#DIV/0!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16" t="s">
        <v>111</v>
      </c>
      <c r="AI103" s="5">
        <f t="shared" si="38"/>
        <v>50</v>
      </c>
      <c r="AJ103" s="5">
        <f t="shared" si="39"/>
        <v>0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 t="s">
        <v>155</v>
      </c>
      <c r="B104" s="5" t="s">
        <v>41</v>
      </c>
      <c r="C104" s="5">
        <v>566</v>
      </c>
      <c r="D104" s="5">
        <v>21</v>
      </c>
      <c r="E104" s="5">
        <v>195</v>
      </c>
      <c r="F104" s="5">
        <v>386</v>
      </c>
      <c r="G104" s="5"/>
      <c r="H104" s="5">
        <f t="shared" si="47"/>
        <v>386</v>
      </c>
      <c r="I104" s="7">
        <v>0.4</v>
      </c>
      <c r="J104" s="5">
        <v>60</v>
      </c>
      <c r="K104" s="5" t="s">
        <v>39</v>
      </c>
      <c r="L104" s="5"/>
      <c r="M104" s="5">
        <v>210</v>
      </c>
      <c r="N104" s="5">
        <f t="shared" si="48"/>
        <v>-15</v>
      </c>
      <c r="O104" s="5">
        <f t="shared" si="49"/>
        <v>159</v>
      </c>
      <c r="P104" s="5">
        <v>36</v>
      </c>
      <c r="Q104" s="5">
        <v>49</v>
      </c>
      <c r="R104" s="5">
        <f t="shared" si="35"/>
        <v>31.8</v>
      </c>
      <c r="S104" s="4">
        <f t="shared" si="45"/>
        <v>42</v>
      </c>
      <c r="T104" s="4">
        <f t="shared" si="36"/>
        <v>42</v>
      </c>
      <c r="U104" s="5"/>
      <c r="V104" s="5">
        <f t="shared" si="37"/>
        <v>15</v>
      </c>
      <c r="W104" s="5">
        <f t="shared" si="50"/>
        <v>13.679245283018867</v>
      </c>
      <c r="X104" s="5">
        <v>39.4</v>
      </c>
      <c r="Y104" s="5">
        <v>24.4</v>
      </c>
      <c r="Z104" s="5">
        <v>65</v>
      </c>
      <c r="AA104" s="5">
        <v>53.4</v>
      </c>
      <c r="AB104" s="5">
        <v>32</v>
      </c>
      <c r="AC104" s="5">
        <v>33</v>
      </c>
      <c r="AD104" s="5">
        <v>43</v>
      </c>
      <c r="AE104" s="5">
        <v>36.6</v>
      </c>
      <c r="AF104" s="5">
        <v>18.600000000000001</v>
      </c>
      <c r="AG104" s="5">
        <v>15.8</v>
      </c>
      <c r="AH104" s="16"/>
      <c r="AI104" s="5">
        <f t="shared" si="38"/>
        <v>16.8</v>
      </c>
      <c r="AJ104" s="5">
        <f t="shared" si="39"/>
        <v>12.72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 t="s">
        <v>156</v>
      </c>
      <c r="B105" s="5" t="s">
        <v>41</v>
      </c>
      <c r="C105" s="5">
        <v>9</v>
      </c>
      <c r="D105" s="5"/>
      <c r="E105" s="5">
        <v>1</v>
      </c>
      <c r="F105" s="5">
        <v>8</v>
      </c>
      <c r="G105" s="5">
        <v>8</v>
      </c>
      <c r="H105" s="5">
        <f t="shared" si="47"/>
        <v>0</v>
      </c>
      <c r="I105" s="7">
        <v>0.35</v>
      </c>
      <c r="J105" s="5">
        <v>60</v>
      </c>
      <c r="K105" s="5" t="s">
        <v>39</v>
      </c>
      <c r="L105" s="5"/>
      <c r="M105" s="5">
        <v>118</v>
      </c>
      <c r="N105" s="5">
        <f t="shared" si="48"/>
        <v>-117</v>
      </c>
      <c r="O105" s="5">
        <f t="shared" si="49"/>
        <v>1</v>
      </c>
      <c r="P105" s="5"/>
      <c r="Q105" s="5">
        <v>116</v>
      </c>
      <c r="R105" s="5">
        <f t="shared" si="35"/>
        <v>0.2</v>
      </c>
      <c r="S105" s="4"/>
      <c r="T105" s="4">
        <f t="shared" si="36"/>
        <v>0</v>
      </c>
      <c r="U105" s="5"/>
      <c r="V105" s="5">
        <f t="shared" si="37"/>
        <v>580</v>
      </c>
      <c r="W105" s="5">
        <f t="shared" si="50"/>
        <v>580</v>
      </c>
      <c r="X105" s="5">
        <v>7.8</v>
      </c>
      <c r="Y105" s="5">
        <v>0</v>
      </c>
      <c r="Z105" s="5">
        <v>0</v>
      </c>
      <c r="AA105" s="5">
        <v>4.5999999999999996</v>
      </c>
      <c r="AB105" s="5">
        <v>3.6</v>
      </c>
      <c r="AC105" s="5">
        <v>1</v>
      </c>
      <c r="AD105" s="5">
        <v>0.6</v>
      </c>
      <c r="AE105" s="5">
        <v>0.4</v>
      </c>
      <c r="AF105" s="5">
        <v>0.6</v>
      </c>
      <c r="AG105" s="5">
        <v>2.6</v>
      </c>
      <c r="AH105" s="16" t="s">
        <v>157</v>
      </c>
      <c r="AI105" s="5">
        <f t="shared" si="38"/>
        <v>0</v>
      </c>
      <c r="AJ105" s="5">
        <f t="shared" si="39"/>
        <v>6.9999999999999993E-2</v>
      </c>
      <c r="AK105" s="18">
        <f>I105</f>
        <v>0.35</v>
      </c>
      <c r="AL105" s="5">
        <f>G105*AK105</f>
        <v>2.8</v>
      </c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 t="s">
        <v>158</v>
      </c>
      <c r="B106" s="5" t="s">
        <v>38</v>
      </c>
      <c r="C106" s="5">
        <v>4.2930000000000001</v>
      </c>
      <c r="D106" s="5">
        <v>176.25399999999999</v>
      </c>
      <c r="E106" s="5">
        <v>6.609</v>
      </c>
      <c r="F106" s="5">
        <v>172.86199999999999</v>
      </c>
      <c r="G106" s="5"/>
      <c r="H106" s="5">
        <f t="shared" si="47"/>
        <v>172.86199999999999</v>
      </c>
      <c r="I106" s="7">
        <v>1</v>
      </c>
      <c r="J106" s="5">
        <v>45</v>
      </c>
      <c r="K106" s="5" t="s">
        <v>39</v>
      </c>
      <c r="L106" s="5"/>
      <c r="M106" s="5">
        <v>49</v>
      </c>
      <c r="N106" s="5">
        <f t="shared" si="48"/>
        <v>-42.390999999999998</v>
      </c>
      <c r="O106" s="5">
        <f t="shared" si="49"/>
        <v>6.609</v>
      </c>
      <c r="P106" s="5"/>
      <c r="Q106" s="5">
        <v>0</v>
      </c>
      <c r="R106" s="5">
        <f t="shared" si="35"/>
        <v>1.3218000000000001</v>
      </c>
      <c r="S106" s="4"/>
      <c r="T106" s="4">
        <f t="shared" si="36"/>
        <v>0</v>
      </c>
      <c r="U106" s="5"/>
      <c r="V106" s="5">
        <f t="shared" si="37"/>
        <v>130.777727341504</v>
      </c>
      <c r="W106" s="5">
        <f t="shared" si="50"/>
        <v>130.777727341504</v>
      </c>
      <c r="X106" s="5">
        <v>3.1663999999999999</v>
      </c>
      <c r="Y106" s="5">
        <v>11.7332</v>
      </c>
      <c r="Z106" s="5">
        <v>0.34699999999999998</v>
      </c>
      <c r="AA106" s="5">
        <v>0.50080000000000002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16" t="s">
        <v>111</v>
      </c>
      <c r="AI106" s="5">
        <f t="shared" si="38"/>
        <v>0</v>
      </c>
      <c r="AJ106" s="5">
        <f t="shared" si="39"/>
        <v>1.3218000000000001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 t="s">
        <v>159</v>
      </c>
      <c r="B107" s="5" t="s">
        <v>38</v>
      </c>
      <c r="C107" s="5">
        <v>79.027000000000001</v>
      </c>
      <c r="D107" s="5">
        <v>30.675000000000001</v>
      </c>
      <c r="E107" s="5">
        <v>82.614999999999995</v>
      </c>
      <c r="F107" s="5">
        <v>19.420000000000002</v>
      </c>
      <c r="G107" s="5"/>
      <c r="H107" s="5">
        <f t="shared" si="47"/>
        <v>19.420000000000002</v>
      </c>
      <c r="I107" s="7">
        <v>1</v>
      </c>
      <c r="J107" s="5">
        <v>45</v>
      </c>
      <c r="K107" s="5" t="s">
        <v>39</v>
      </c>
      <c r="L107" s="5"/>
      <c r="M107" s="5">
        <v>81.92</v>
      </c>
      <c r="N107" s="5">
        <f t="shared" si="48"/>
        <v>0.69499999999999318</v>
      </c>
      <c r="O107" s="5">
        <f t="shared" si="49"/>
        <v>82.614999999999995</v>
      </c>
      <c r="P107" s="5"/>
      <c r="Q107" s="5">
        <v>0</v>
      </c>
      <c r="R107" s="5">
        <f t="shared" si="35"/>
        <v>16.523</v>
      </c>
      <c r="S107" s="4">
        <f>9*R107-Q107-H107</f>
        <v>129.28699999999998</v>
      </c>
      <c r="T107" s="4">
        <f t="shared" si="36"/>
        <v>129</v>
      </c>
      <c r="U107" s="5"/>
      <c r="V107" s="5">
        <f t="shared" si="37"/>
        <v>8.9826302729528553</v>
      </c>
      <c r="W107" s="5">
        <f t="shared" si="50"/>
        <v>1.1753313562912304</v>
      </c>
      <c r="X107" s="5">
        <v>0</v>
      </c>
      <c r="Y107" s="5">
        <v>6.5928000000000004</v>
      </c>
      <c r="Z107" s="5">
        <v>12.7</v>
      </c>
      <c r="AA107" s="5">
        <v>5.0625999999999998</v>
      </c>
      <c r="AB107" s="5">
        <v>0.50580000000000003</v>
      </c>
      <c r="AC107" s="5">
        <v>9.2891999999999992</v>
      </c>
      <c r="AD107" s="5">
        <v>4.9366000000000003</v>
      </c>
      <c r="AE107" s="5">
        <v>0.85839999999999994</v>
      </c>
      <c r="AF107" s="5">
        <v>15.9528</v>
      </c>
      <c r="AG107" s="5">
        <v>3.9323999999999999</v>
      </c>
      <c r="AH107" s="16"/>
      <c r="AI107" s="5">
        <f t="shared" si="38"/>
        <v>129</v>
      </c>
      <c r="AJ107" s="5">
        <f t="shared" si="39"/>
        <v>16.523</v>
      </c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10" t="s">
        <v>160</v>
      </c>
      <c r="B108" s="10" t="s">
        <v>41</v>
      </c>
      <c r="C108" s="10">
        <v>159</v>
      </c>
      <c r="D108" s="10"/>
      <c r="E108" s="10">
        <v>1</v>
      </c>
      <c r="F108" s="10">
        <v>158</v>
      </c>
      <c r="G108" s="10"/>
      <c r="H108" s="10">
        <f t="shared" si="47"/>
        <v>158</v>
      </c>
      <c r="I108" s="11">
        <v>0</v>
      </c>
      <c r="J108" s="10"/>
      <c r="K108" s="10" t="s">
        <v>62</v>
      </c>
      <c r="L108" s="10"/>
      <c r="M108" s="10">
        <v>47</v>
      </c>
      <c r="N108" s="10">
        <f t="shared" si="48"/>
        <v>-46</v>
      </c>
      <c r="O108" s="10">
        <f t="shared" si="49"/>
        <v>1</v>
      </c>
      <c r="P108" s="10"/>
      <c r="Q108" s="10">
        <v>0</v>
      </c>
      <c r="R108" s="10">
        <f t="shared" si="35"/>
        <v>0.2</v>
      </c>
      <c r="S108" s="12"/>
      <c r="T108" s="4">
        <f t="shared" si="36"/>
        <v>0</v>
      </c>
      <c r="U108" s="5"/>
      <c r="V108" s="5">
        <f t="shared" si="37"/>
        <v>790</v>
      </c>
      <c r="W108" s="10">
        <f t="shared" si="50"/>
        <v>790</v>
      </c>
      <c r="X108" s="10">
        <v>0.2</v>
      </c>
      <c r="Y108" s="10">
        <v>0</v>
      </c>
      <c r="Z108" s="10">
        <v>4.4000000000000004</v>
      </c>
      <c r="AA108" s="10">
        <v>2.2000000000000002</v>
      </c>
      <c r="AB108" s="10">
        <v>1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3" t="s">
        <v>161</v>
      </c>
      <c r="AI108" s="5">
        <f t="shared" si="38"/>
        <v>0</v>
      </c>
      <c r="AJ108" s="5">
        <f t="shared" si="39"/>
        <v>0</v>
      </c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 t="s">
        <v>162</v>
      </c>
      <c r="B109" s="5" t="s">
        <v>41</v>
      </c>
      <c r="C109" s="5">
        <v>28</v>
      </c>
      <c r="D109" s="5">
        <v>80</v>
      </c>
      <c r="E109" s="5">
        <v>25</v>
      </c>
      <c r="F109" s="5">
        <v>79</v>
      </c>
      <c r="G109" s="5"/>
      <c r="H109" s="5">
        <f t="shared" si="47"/>
        <v>79</v>
      </c>
      <c r="I109" s="7">
        <v>0.33</v>
      </c>
      <c r="J109" s="5">
        <v>45</v>
      </c>
      <c r="K109" s="5" t="s">
        <v>39</v>
      </c>
      <c r="L109" s="5"/>
      <c r="M109" s="5">
        <v>265</v>
      </c>
      <c r="N109" s="5">
        <f t="shared" si="48"/>
        <v>-240</v>
      </c>
      <c r="O109" s="5">
        <f t="shared" si="49"/>
        <v>25</v>
      </c>
      <c r="P109" s="5"/>
      <c r="Q109" s="5">
        <v>0</v>
      </c>
      <c r="R109" s="5">
        <f t="shared" si="35"/>
        <v>5</v>
      </c>
      <c r="S109" s="4"/>
      <c r="T109" s="4">
        <f t="shared" si="36"/>
        <v>0</v>
      </c>
      <c r="U109" s="5"/>
      <c r="V109" s="5">
        <f t="shared" si="37"/>
        <v>15.8</v>
      </c>
      <c r="W109" s="5">
        <f t="shared" si="50"/>
        <v>15.8</v>
      </c>
      <c r="X109" s="5">
        <v>1.6</v>
      </c>
      <c r="Y109" s="5">
        <v>0</v>
      </c>
      <c r="Z109" s="5">
        <v>-2.2000000000000002</v>
      </c>
      <c r="AA109" s="5">
        <v>23</v>
      </c>
      <c r="AB109" s="5">
        <v>25.8</v>
      </c>
      <c r="AC109" s="5">
        <v>35.200000000000003</v>
      </c>
      <c r="AD109" s="5">
        <v>18.8</v>
      </c>
      <c r="AE109" s="5">
        <v>4.8</v>
      </c>
      <c r="AF109" s="5">
        <v>21.6</v>
      </c>
      <c r="AG109" s="5">
        <v>23.6</v>
      </c>
      <c r="AH109" s="16" t="s">
        <v>177</v>
      </c>
      <c r="AI109" s="5">
        <f t="shared" si="38"/>
        <v>0</v>
      </c>
      <c r="AJ109" s="5">
        <f t="shared" si="39"/>
        <v>1.6500000000000001</v>
      </c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10" t="s">
        <v>163</v>
      </c>
      <c r="B110" s="10" t="s">
        <v>41</v>
      </c>
      <c r="C110" s="10">
        <v>46</v>
      </c>
      <c r="D110" s="10"/>
      <c r="E110" s="10"/>
      <c r="F110" s="10">
        <v>46</v>
      </c>
      <c r="G110" s="10"/>
      <c r="H110" s="10">
        <f t="shared" si="47"/>
        <v>46</v>
      </c>
      <c r="I110" s="11">
        <v>0</v>
      </c>
      <c r="J110" s="10">
        <v>45</v>
      </c>
      <c r="K110" s="10" t="s">
        <v>77</v>
      </c>
      <c r="L110" s="10"/>
      <c r="M110" s="10">
        <v>24</v>
      </c>
      <c r="N110" s="10">
        <f t="shared" si="48"/>
        <v>-24</v>
      </c>
      <c r="O110" s="10">
        <f t="shared" si="49"/>
        <v>0</v>
      </c>
      <c r="P110" s="10"/>
      <c r="Q110" s="10">
        <v>0</v>
      </c>
      <c r="R110" s="10">
        <f t="shared" si="35"/>
        <v>0</v>
      </c>
      <c r="S110" s="12"/>
      <c r="T110" s="4">
        <f t="shared" si="36"/>
        <v>0</v>
      </c>
      <c r="U110" s="5"/>
      <c r="V110" s="5" t="e">
        <f t="shared" si="37"/>
        <v>#DIV/0!</v>
      </c>
      <c r="W110" s="10" t="e">
        <f t="shared" si="50"/>
        <v>#DIV/0!</v>
      </c>
      <c r="X110" s="10">
        <v>-0.2</v>
      </c>
      <c r="Y110" s="10">
        <v>0</v>
      </c>
      <c r="Z110" s="10">
        <v>2.4</v>
      </c>
      <c r="AA110" s="10">
        <v>0.8</v>
      </c>
      <c r="AB110" s="10">
        <v>0.6</v>
      </c>
      <c r="AC110" s="10">
        <v>0.4</v>
      </c>
      <c r="AD110" s="10">
        <v>4.2</v>
      </c>
      <c r="AE110" s="10">
        <v>3.4</v>
      </c>
      <c r="AF110" s="10">
        <v>0</v>
      </c>
      <c r="AG110" s="10">
        <v>0</v>
      </c>
      <c r="AH110" s="13" t="s">
        <v>69</v>
      </c>
      <c r="AI110" s="5">
        <f t="shared" si="38"/>
        <v>0</v>
      </c>
      <c r="AJ110" s="5">
        <f t="shared" si="39"/>
        <v>0</v>
      </c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10" t="s">
        <v>164</v>
      </c>
      <c r="B111" s="10" t="s">
        <v>41</v>
      </c>
      <c r="C111" s="10">
        <v>24</v>
      </c>
      <c r="D111" s="10">
        <v>5</v>
      </c>
      <c r="E111" s="10">
        <v>20</v>
      </c>
      <c r="F111" s="10">
        <v>4</v>
      </c>
      <c r="G111" s="10"/>
      <c r="H111" s="10">
        <f t="shared" si="47"/>
        <v>4</v>
      </c>
      <c r="I111" s="11">
        <v>0</v>
      </c>
      <c r="J111" s="10">
        <v>60</v>
      </c>
      <c r="K111" s="10" t="s">
        <v>77</v>
      </c>
      <c r="L111" s="10"/>
      <c r="M111" s="10">
        <v>126</v>
      </c>
      <c r="N111" s="10">
        <f t="shared" si="48"/>
        <v>-106</v>
      </c>
      <c r="O111" s="10">
        <f t="shared" si="49"/>
        <v>20</v>
      </c>
      <c r="P111" s="10"/>
      <c r="Q111" s="10">
        <v>0</v>
      </c>
      <c r="R111" s="10">
        <f t="shared" si="35"/>
        <v>4</v>
      </c>
      <c r="S111" s="12"/>
      <c r="T111" s="4">
        <f t="shared" si="36"/>
        <v>0</v>
      </c>
      <c r="U111" s="5"/>
      <c r="V111" s="5">
        <f t="shared" si="37"/>
        <v>1</v>
      </c>
      <c r="W111" s="10">
        <f t="shared" si="50"/>
        <v>1</v>
      </c>
      <c r="X111" s="10">
        <v>6.2</v>
      </c>
      <c r="Y111" s="10">
        <v>3.4</v>
      </c>
      <c r="Z111" s="10">
        <v>10</v>
      </c>
      <c r="AA111" s="10">
        <v>1</v>
      </c>
      <c r="AB111" s="10">
        <v>0</v>
      </c>
      <c r="AC111" s="10">
        <v>0.4</v>
      </c>
      <c r="AD111" s="10">
        <v>5.8</v>
      </c>
      <c r="AE111" s="10">
        <v>0.6</v>
      </c>
      <c r="AF111" s="10">
        <v>0</v>
      </c>
      <c r="AG111" s="10">
        <v>0</v>
      </c>
      <c r="AH111" s="10" t="s">
        <v>165</v>
      </c>
      <c r="AI111" s="5">
        <f t="shared" si="38"/>
        <v>0</v>
      </c>
      <c r="AJ111" s="5">
        <f t="shared" si="39"/>
        <v>0</v>
      </c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 t="s">
        <v>166</v>
      </c>
      <c r="B112" s="5" t="s">
        <v>41</v>
      </c>
      <c r="C112" s="5">
        <v>187</v>
      </c>
      <c r="D112" s="5">
        <v>161</v>
      </c>
      <c r="E112" s="5">
        <v>146</v>
      </c>
      <c r="F112" s="5">
        <v>193</v>
      </c>
      <c r="G112" s="5"/>
      <c r="H112" s="5">
        <f t="shared" si="47"/>
        <v>193</v>
      </c>
      <c r="I112" s="7">
        <v>0.1</v>
      </c>
      <c r="J112" s="5">
        <v>60</v>
      </c>
      <c r="K112" s="5" t="s">
        <v>39</v>
      </c>
      <c r="L112" s="5"/>
      <c r="M112" s="5">
        <v>308</v>
      </c>
      <c r="N112" s="5">
        <f t="shared" si="48"/>
        <v>-162</v>
      </c>
      <c r="O112" s="5">
        <f t="shared" si="49"/>
        <v>146</v>
      </c>
      <c r="P112" s="5"/>
      <c r="Q112" s="5">
        <v>90</v>
      </c>
      <c r="R112" s="5">
        <f t="shared" si="35"/>
        <v>29.2</v>
      </c>
      <c r="S112" s="4">
        <f t="shared" ref="S112" si="51">15*R112-Q112-H112</f>
        <v>155</v>
      </c>
      <c r="T112" s="4">
        <f t="shared" si="36"/>
        <v>155</v>
      </c>
      <c r="U112" s="5"/>
      <c r="V112" s="5">
        <f t="shared" si="37"/>
        <v>15</v>
      </c>
      <c r="W112" s="5">
        <f t="shared" si="50"/>
        <v>9.6917808219178081</v>
      </c>
      <c r="X112" s="5">
        <v>28.4</v>
      </c>
      <c r="Y112" s="5">
        <v>25.8</v>
      </c>
      <c r="Z112" s="5">
        <v>40.4</v>
      </c>
      <c r="AA112" s="5">
        <v>27</v>
      </c>
      <c r="AB112" s="5">
        <v>16.2</v>
      </c>
      <c r="AC112" s="5">
        <v>1.4</v>
      </c>
      <c r="AD112" s="5">
        <v>17</v>
      </c>
      <c r="AE112" s="5">
        <v>24.6</v>
      </c>
      <c r="AF112" s="5">
        <v>0</v>
      </c>
      <c r="AG112" s="5">
        <v>0</v>
      </c>
      <c r="AH112" s="16" t="s">
        <v>167</v>
      </c>
      <c r="AI112" s="5">
        <f t="shared" si="38"/>
        <v>15.5</v>
      </c>
      <c r="AJ112" s="5">
        <f t="shared" si="39"/>
        <v>2.92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 t="s">
        <v>80</v>
      </c>
      <c r="B113" s="5" t="s">
        <v>41</v>
      </c>
      <c r="C113" s="5">
        <v>260</v>
      </c>
      <c r="D113" s="5">
        <v>167</v>
      </c>
      <c r="E113" s="5">
        <v>264</v>
      </c>
      <c r="F113" s="14">
        <f>135+F36</f>
        <v>137</v>
      </c>
      <c r="G113" s="5"/>
      <c r="H113" s="5">
        <f t="shared" si="47"/>
        <v>137</v>
      </c>
      <c r="I113" s="7">
        <v>0.1</v>
      </c>
      <c r="J113" s="5">
        <v>60</v>
      </c>
      <c r="K113" s="5" t="s">
        <v>39</v>
      </c>
      <c r="L113" s="5"/>
      <c r="M113" s="5">
        <v>426</v>
      </c>
      <c r="N113" s="5">
        <f t="shared" si="48"/>
        <v>-162</v>
      </c>
      <c r="O113" s="5">
        <f t="shared" si="49"/>
        <v>264</v>
      </c>
      <c r="P113" s="5"/>
      <c r="Q113" s="5">
        <v>0</v>
      </c>
      <c r="R113" s="5">
        <f t="shared" si="35"/>
        <v>52.8</v>
      </c>
      <c r="S113" s="4">
        <f>11*R113-Q113-H113</f>
        <v>443.79999999999995</v>
      </c>
      <c r="T113" s="4">
        <f t="shared" si="36"/>
        <v>444</v>
      </c>
      <c r="U113" s="5"/>
      <c r="V113" s="5">
        <f t="shared" si="37"/>
        <v>11.003787878787879</v>
      </c>
      <c r="W113" s="5">
        <f t="shared" si="50"/>
        <v>2.5946969696969697</v>
      </c>
      <c r="X113" s="5">
        <v>10.8</v>
      </c>
      <c r="Y113" s="5">
        <v>29.2</v>
      </c>
      <c r="Z113" s="5">
        <v>51</v>
      </c>
      <c r="AA113" s="5">
        <v>2.2000000000000002</v>
      </c>
      <c r="AB113" s="5">
        <v>20.399999999999999</v>
      </c>
      <c r="AC113" s="5">
        <v>38.799999999999997</v>
      </c>
      <c r="AD113" s="5">
        <v>20</v>
      </c>
      <c r="AE113" s="5">
        <v>-0.4</v>
      </c>
      <c r="AF113" s="5">
        <v>0</v>
      </c>
      <c r="AG113" s="5">
        <v>0</v>
      </c>
      <c r="AH113" s="16" t="s">
        <v>168</v>
      </c>
      <c r="AI113" s="5">
        <f t="shared" si="38"/>
        <v>44.400000000000006</v>
      </c>
      <c r="AJ113" s="5">
        <f t="shared" si="39"/>
        <v>5.28</v>
      </c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10" t="s">
        <v>169</v>
      </c>
      <c r="B114" s="10" t="s">
        <v>41</v>
      </c>
      <c r="C114" s="10"/>
      <c r="D114" s="10"/>
      <c r="E114" s="10">
        <v>3</v>
      </c>
      <c r="F114" s="10">
        <v>-3</v>
      </c>
      <c r="G114" s="10"/>
      <c r="H114" s="10">
        <f t="shared" si="47"/>
        <v>-3</v>
      </c>
      <c r="I114" s="11">
        <v>0</v>
      </c>
      <c r="J114" s="10"/>
      <c r="K114" s="10" t="s">
        <v>62</v>
      </c>
      <c r="L114" s="10"/>
      <c r="M114" s="10">
        <v>9</v>
      </c>
      <c r="N114" s="10">
        <f t="shared" si="48"/>
        <v>-6</v>
      </c>
      <c r="O114" s="10">
        <f t="shared" si="49"/>
        <v>3</v>
      </c>
      <c r="P114" s="10"/>
      <c r="Q114" s="10"/>
      <c r="R114" s="10">
        <f t="shared" si="35"/>
        <v>0.6</v>
      </c>
      <c r="S114" s="12"/>
      <c r="T114" s="4">
        <f t="shared" si="36"/>
        <v>0</v>
      </c>
      <c r="U114" s="5"/>
      <c r="V114" s="5">
        <f t="shared" si="37"/>
        <v>-5</v>
      </c>
      <c r="W114" s="10">
        <f t="shared" si="50"/>
        <v>-5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/>
      <c r="AI114" s="5">
        <f t="shared" si="38"/>
        <v>0</v>
      </c>
      <c r="AJ114" s="5">
        <f t="shared" si="39"/>
        <v>0</v>
      </c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 t="s">
        <v>170</v>
      </c>
      <c r="B115" s="5" t="s">
        <v>41</v>
      </c>
      <c r="C115" s="5">
        <v>525</v>
      </c>
      <c r="D115" s="5">
        <v>507</v>
      </c>
      <c r="E115" s="5">
        <v>364</v>
      </c>
      <c r="F115" s="5">
        <v>654</v>
      </c>
      <c r="G115" s="5"/>
      <c r="H115" s="5">
        <f t="shared" si="47"/>
        <v>654</v>
      </c>
      <c r="I115" s="7">
        <v>0.4</v>
      </c>
      <c r="J115" s="5">
        <v>60</v>
      </c>
      <c r="K115" s="5" t="s">
        <v>39</v>
      </c>
      <c r="L115" s="5"/>
      <c r="M115" s="5">
        <v>416</v>
      </c>
      <c r="N115" s="5">
        <f t="shared" si="48"/>
        <v>-52</v>
      </c>
      <c r="O115" s="5">
        <f t="shared" si="49"/>
        <v>364</v>
      </c>
      <c r="P115" s="5"/>
      <c r="Q115" s="5">
        <v>430</v>
      </c>
      <c r="R115" s="5">
        <f t="shared" si="35"/>
        <v>72.8</v>
      </c>
      <c r="S115" s="4">
        <f t="shared" ref="S115" si="52">15*R115-Q115-H115</f>
        <v>8</v>
      </c>
      <c r="T115" s="4">
        <f t="shared" si="36"/>
        <v>8</v>
      </c>
      <c r="U115" s="5"/>
      <c r="V115" s="5">
        <f t="shared" si="37"/>
        <v>15</v>
      </c>
      <c r="W115" s="5">
        <f t="shared" si="50"/>
        <v>14.890109890109891</v>
      </c>
      <c r="X115" s="5">
        <v>96.4</v>
      </c>
      <c r="Y115" s="5">
        <v>80</v>
      </c>
      <c r="Z115" s="5">
        <v>80.2</v>
      </c>
      <c r="AA115" s="5">
        <v>93.8</v>
      </c>
      <c r="AB115" s="5">
        <v>30.4</v>
      </c>
      <c r="AC115" s="5">
        <v>47.8</v>
      </c>
      <c r="AD115" s="5">
        <v>65.8</v>
      </c>
      <c r="AE115" s="5">
        <v>42</v>
      </c>
      <c r="AF115" s="5">
        <v>44.4</v>
      </c>
      <c r="AG115" s="5">
        <v>0</v>
      </c>
      <c r="AH115" s="16" t="s">
        <v>171</v>
      </c>
      <c r="AI115" s="5">
        <f t="shared" si="38"/>
        <v>3.2</v>
      </c>
      <c r="AJ115" s="5">
        <f t="shared" si="39"/>
        <v>29.12</v>
      </c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 t="s">
        <v>172</v>
      </c>
      <c r="B116" s="5" t="s">
        <v>41</v>
      </c>
      <c r="C116" s="5">
        <v>3</v>
      </c>
      <c r="D116" s="5">
        <v>184</v>
      </c>
      <c r="E116" s="5">
        <v>-4</v>
      </c>
      <c r="F116" s="5">
        <v>181</v>
      </c>
      <c r="G116" s="5"/>
      <c r="H116" s="5">
        <f t="shared" si="47"/>
        <v>181</v>
      </c>
      <c r="I116" s="7">
        <v>0.1</v>
      </c>
      <c r="J116" s="5"/>
      <c r="K116" s="5" t="s">
        <v>39</v>
      </c>
      <c r="L116" s="5"/>
      <c r="M116" s="5">
        <v>44</v>
      </c>
      <c r="N116" s="5">
        <f t="shared" si="48"/>
        <v>-48</v>
      </c>
      <c r="O116" s="5">
        <f t="shared" si="49"/>
        <v>-4</v>
      </c>
      <c r="P116" s="5"/>
      <c r="Q116" s="5">
        <v>0</v>
      </c>
      <c r="R116" s="5">
        <f t="shared" si="35"/>
        <v>-0.8</v>
      </c>
      <c r="S116" s="4"/>
      <c r="T116" s="4">
        <f t="shared" si="36"/>
        <v>0</v>
      </c>
      <c r="U116" s="5"/>
      <c r="V116" s="5">
        <f t="shared" si="37"/>
        <v>-226.25</v>
      </c>
      <c r="W116" s="5">
        <f t="shared" si="50"/>
        <v>-226.25</v>
      </c>
      <c r="X116" s="5">
        <v>2.4</v>
      </c>
      <c r="Y116" s="5">
        <v>23</v>
      </c>
      <c r="Z116" s="5">
        <v>4.8</v>
      </c>
      <c r="AA116" s="5">
        <v>1.6</v>
      </c>
      <c r="AB116" s="5">
        <v>16</v>
      </c>
      <c r="AC116" s="5">
        <v>1.8</v>
      </c>
      <c r="AD116" s="5">
        <v>0</v>
      </c>
      <c r="AE116" s="5">
        <v>0</v>
      </c>
      <c r="AF116" s="5">
        <v>0</v>
      </c>
      <c r="AG116" s="5">
        <v>0</v>
      </c>
      <c r="AH116" s="16" t="s">
        <v>111</v>
      </c>
      <c r="AI116" s="5">
        <f t="shared" si="38"/>
        <v>0</v>
      </c>
      <c r="AJ116" s="5">
        <f t="shared" si="39"/>
        <v>-8.0000000000000016E-2</v>
      </c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 t="s">
        <v>173</v>
      </c>
      <c r="B117" s="5" t="s">
        <v>41</v>
      </c>
      <c r="C117" s="5">
        <v>4</v>
      </c>
      <c r="D117" s="5">
        <v>185</v>
      </c>
      <c r="E117" s="5">
        <v>5</v>
      </c>
      <c r="F117" s="5">
        <v>179</v>
      </c>
      <c r="G117" s="5"/>
      <c r="H117" s="5">
        <f t="shared" si="47"/>
        <v>179</v>
      </c>
      <c r="I117" s="7">
        <v>0.1</v>
      </c>
      <c r="J117" s="5"/>
      <c r="K117" s="5" t="s">
        <v>39</v>
      </c>
      <c r="L117" s="5"/>
      <c r="M117" s="5">
        <v>44</v>
      </c>
      <c r="N117" s="5">
        <f t="shared" si="48"/>
        <v>-39</v>
      </c>
      <c r="O117" s="5">
        <f t="shared" si="49"/>
        <v>5</v>
      </c>
      <c r="P117" s="5"/>
      <c r="Q117" s="5">
        <v>0</v>
      </c>
      <c r="R117" s="5">
        <f t="shared" si="35"/>
        <v>1</v>
      </c>
      <c r="S117" s="4"/>
      <c r="T117" s="4">
        <f t="shared" si="36"/>
        <v>0</v>
      </c>
      <c r="U117" s="5"/>
      <c r="V117" s="5">
        <f t="shared" si="37"/>
        <v>179</v>
      </c>
      <c r="W117" s="5">
        <f t="shared" si="50"/>
        <v>179</v>
      </c>
      <c r="X117" s="5">
        <v>2.8</v>
      </c>
      <c r="Y117" s="5">
        <v>22.8</v>
      </c>
      <c r="Z117" s="5">
        <v>5.4</v>
      </c>
      <c r="AA117" s="5">
        <v>1.6</v>
      </c>
      <c r="AB117" s="5">
        <v>16</v>
      </c>
      <c r="AC117" s="5">
        <v>1.6</v>
      </c>
      <c r="AD117" s="5">
        <v>0</v>
      </c>
      <c r="AE117" s="5">
        <v>0</v>
      </c>
      <c r="AF117" s="5">
        <v>0</v>
      </c>
      <c r="AG117" s="5">
        <v>0</v>
      </c>
      <c r="AH117" s="16" t="s">
        <v>111</v>
      </c>
      <c r="AI117" s="5">
        <f t="shared" si="38"/>
        <v>0</v>
      </c>
      <c r="AJ117" s="5">
        <f t="shared" si="39"/>
        <v>0.1</v>
      </c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 t="s">
        <v>174</v>
      </c>
      <c r="B118" s="5" t="s">
        <v>41</v>
      </c>
      <c r="C118" s="5"/>
      <c r="D118" s="5">
        <v>120</v>
      </c>
      <c r="E118" s="5">
        <v>3</v>
      </c>
      <c r="F118" s="5">
        <v>117</v>
      </c>
      <c r="G118" s="5"/>
      <c r="H118" s="5">
        <f t="shared" si="47"/>
        <v>117</v>
      </c>
      <c r="I118" s="7">
        <v>0.3</v>
      </c>
      <c r="J118" s="5">
        <v>45</v>
      </c>
      <c r="K118" s="5" t="s">
        <v>39</v>
      </c>
      <c r="L118" s="5"/>
      <c r="M118" s="5">
        <v>18</v>
      </c>
      <c r="N118" s="5">
        <f t="shared" si="48"/>
        <v>-15</v>
      </c>
      <c r="O118" s="5">
        <f t="shared" si="49"/>
        <v>3</v>
      </c>
      <c r="P118" s="5"/>
      <c r="Q118" s="5">
        <v>0</v>
      </c>
      <c r="R118" s="5">
        <f t="shared" si="35"/>
        <v>0.6</v>
      </c>
      <c r="S118" s="4"/>
      <c r="T118" s="4">
        <f t="shared" si="36"/>
        <v>0</v>
      </c>
      <c r="U118" s="5"/>
      <c r="V118" s="5">
        <f t="shared" si="37"/>
        <v>195</v>
      </c>
      <c r="W118" s="5">
        <f t="shared" si="50"/>
        <v>195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16" t="s">
        <v>111</v>
      </c>
      <c r="AI118" s="5">
        <f t="shared" si="38"/>
        <v>0</v>
      </c>
      <c r="AJ118" s="5">
        <f t="shared" si="39"/>
        <v>0.18</v>
      </c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10" t="s">
        <v>175</v>
      </c>
      <c r="B119" s="10" t="s">
        <v>38</v>
      </c>
      <c r="C119" s="10"/>
      <c r="D119" s="10"/>
      <c r="E119" s="10"/>
      <c r="F119" s="10"/>
      <c r="G119" s="10"/>
      <c r="H119" s="10">
        <f t="shared" si="47"/>
        <v>0</v>
      </c>
      <c r="I119" s="11">
        <v>0</v>
      </c>
      <c r="J119" s="10"/>
      <c r="K119" s="10" t="s">
        <v>39</v>
      </c>
      <c r="L119" s="10"/>
      <c r="M119" s="10"/>
      <c r="N119" s="10">
        <f t="shared" si="48"/>
        <v>0</v>
      </c>
      <c r="O119" s="10">
        <f t="shared" si="49"/>
        <v>0</v>
      </c>
      <c r="P119" s="10"/>
      <c r="Q119" s="10">
        <v>0</v>
      </c>
      <c r="R119" s="10">
        <f t="shared" si="35"/>
        <v>0</v>
      </c>
      <c r="S119" s="12"/>
      <c r="T119" s="4">
        <f t="shared" si="36"/>
        <v>0</v>
      </c>
      <c r="U119" s="5"/>
      <c r="V119" s="5" t="e">
        <f t="shared" si="37"/>
        <v>#DIV/0!</v>
      </c>
      <c r="W119" s="10" t="e">
        <f t="shared" si="50"/>
        <v>#DIV/0!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 t="s">
        <v>107</v>
      </c>
      <c r="AI119" s="5">
        <f t="shared" si="38"/>
        <v>0</v>
      </c>
      <c r="AJ119" s="5">
        <f t="shared" si="39"/>
        <v>0</v>
      </c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5"/>
      <c r="H120" s="5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16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16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5"/>
      <c r="H122" s="5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16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5"/>
      <c r="H123" s="5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16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16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5"/>
      <c r="H125" s="5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16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16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5"/>
      <c r="H127" s="5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16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5"/>
      <c r="H128" s="5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16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5"/>
      <c r="H129" s="5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16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16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5"/>
      <c r="H131" s="5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16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5"/>
      <c r="H132" s="5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16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5"/>
      <c r="H133" s="5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16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5"/>
      <c r="H134" s="5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16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16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5"/>
      <c r="H136" s="5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16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5"/>
      <c r="H137" s="5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16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5"/>
      <c r="H138" s="5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16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5"/>
      <c r="H139" s="5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16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5"/>
      <c r="H140" s="5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16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5"/>
      <c r="H141" s="5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16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5"/>
      <c r="H142" s="5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16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5"/>
      <c r="H143" s="5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16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16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5"/>
      <c r="H145" s="5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16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5"/>
      <c r="H146" s="5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16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5"/>
      <c r="H147" s="5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16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5"/>
      <c r="H148" s="5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16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5"/>
      <c r="H149" s="5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16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5"/>
      <c r="H150" s="5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16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5"/>
      <c r="H151" s="5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16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5"/>
      <c r="H152" s="5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16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5"/>
      <c r="H153" s="5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16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5"/>
      <c r="H154" s="5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16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5"/>
      <c r="H155" s="5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16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5"/>
      <c r="H156" s="5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16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5"/>
      <c r="H157" s="5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16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5"/>
      <c r="H158" s="5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16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5"/>
      <c r="H159" s="5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16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5"/>
      <c r="H160" s="5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16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5"/>
      <c r="H161" s="5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16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5"/>
      <c r="H162" s="5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16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5"/>
      <c r="H163" s="5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16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5"/>
      <c r="H164" s="5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16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5"/>
      <c r="H165" s="5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16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5"/>
      <c r="H166" s="5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16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5"/>
      <c r="H167" s="5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16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5"/>
      <c r="H168" s="5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16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5"/>
      <c r="H169" s="5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16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5"/>
      <c r="H170" s="5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16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5"/>
      <c r="H171" s="5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16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5"/>
      <c r="H172" s="5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16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5"/>
      <c r="H173" s="5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16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5"/>
      <c r="H174" s="5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16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5"/>
      <c r="H175" s="5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16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5"/>
      <c r="H176" s="5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16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5"/>
      <c r="H177" s="5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16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5"/>
      <c r="H178" s="5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16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5"/>
      <c r="H179" s="5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16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5"/>
      <c r="H180" s="5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16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5"/>
      <c r="H181" s="5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16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5"/>
      <c r="H182" s="5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16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5"/>
      <c r="H183" s="5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16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5"/>
      <c r="H184" s="5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16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5"/>
      <c r="H185" s="5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16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5"/>
      <c r="H186" s="5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16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5"/>
      <c r="H187" s="5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16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5"/>
      <c r="H188" s="5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16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5"/>
      <c r="H189" s="5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16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5"/>
      <c r="H190" s="5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16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5"/>
      <c r="H191" s="5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16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5"/>
      <c r="H192" s="5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16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5"/>
      <c r="H193" s="5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16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5"/>
      <c r="H194" s="5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16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5"/>
      <c r="H195" s="5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16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5"/>
      <c r="H196" s="5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16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5"/>
      <c r="H197" s="5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16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5"/>
      <c r="H198" s="5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16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5"/>
      <c r="H199" s="5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16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5"/>
      <c r="H200" s="5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16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5"/>
      <c r="H201" s="5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16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5"/>
      <c r="H202" s="5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16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5"/>
      <c r="H203" s="5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16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5"/>
      <c r="H204" s="5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16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5"/>
      <c r="H205" s="5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16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5"/>
      <c r="H206" s="5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16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5"/>
      <c r="H207" s="5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16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5"/>
      <c r="H208" s="5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16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5"/>
      <c r="H209" s="5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16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5"/>
      <c r="H210" s="5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16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5"/>
      <c r="H211" s="5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16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5"/>
      <c r="H212" s="5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16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5"/>
      <c r="H213" s="5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16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5"/>
      <c r="H214" s="5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16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5"/>
      <c r="H215" s="5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16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5"/>
      <c r="H216" s="5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16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5"/>
      <c r="H217" s="5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16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5"/>
      <c r="H218" s="5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16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5"/>
      <c r="H219" s="5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16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5"/>
      <c r="H220" s="5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16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5"/>
      <c r="H221" s="5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16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5"/>
      <c r="H222" s="5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16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5"/>
      <c r="H223" s="5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16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5"/>
      <c r="H224" s="5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16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5"/>
      <c r="H225" s="5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16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5"/>
      <c r="H226" s="5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16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5"/>
      <c r="H227" s="5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16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5"/>
      <c r="H228" s="5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16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5"/>
      <c r="H229" s="5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16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5"/>
      <c r="H230" s="5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16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5"/>
      <c r="H231" s="5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16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5"/>
      <c r="H232" s="5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16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5"/>
      <c r="H233" s="5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16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5"/>
      <c r="H234" s="5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16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5"/>
      <c r="H235" s="5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16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5"/>
      <c r="H236" s="5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16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5"/>
      <c r="H237" s="5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16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5"/>
      <c r="H238" s="5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16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5"/>
      <c r="H239" s="5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16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5"/>
      <c r="H240" s="5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16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5"/>
      <c r="H241" s="5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16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5"/>
      <c r="H242" s="5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16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5"/>
      <c r="H243" s="5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16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5"/>
      <c r="H244" s="5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16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5"/>
      <c r="H245" s="5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16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5"/>
      <c r="H246" s="5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16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5"/>
      <c r="H247" s="5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16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5"/>
      <c r="H248" s="5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16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5"/>
      <c r="H249" s="5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16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5"/>
      <c r="H250" s="5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16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5"/>
      <c r="H251" s="5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16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5"/>
      <c r="H252" s="5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16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5"/>
      <c r="H253" s="5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16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5"/>
      <c r="H254" s="5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16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5"/>
      <c r="H255" s="5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16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5"/>
      <c r="H256" s="5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16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5"/>
      <c r="H257" s="5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16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5"/>
      <c r="H258" s="5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16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5"/>
      <c r="H259" s="5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16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5"/>
      <c r="H260" s="5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16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5"/>
      <c r="H261" s="5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16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5"/>
      <c r="H262" s="5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16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5"/>
      <c r="H263" s="5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16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5"/>
      <c r="H264" s="5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16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5"/>
      <c r="H265" s="5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16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5"/>
      <c r="H266" s="5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16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5"/>
      <c r="H267" s="5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16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5"/>
      <c r="H268" s="5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16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5"/>
      <c r="H269" s="5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16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5"/>
      <c r="H270" s="5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16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5"/>
      <c r="H271" s="5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16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5"/>
      <c r="H272" s="5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16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5"/>
      <c r="H273" s="5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16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5"/>
      <c r="H274" s="5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16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5"/>
      <c r="H275" s="5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16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5"/>
      <c r="H276" s="5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16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5"/>
      <c r="H277" s="5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16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5"/>
      <c r="H278" s="5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16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5"/>
      <c r="H279" s="5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16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5"/>
      <c r="H280" s="5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16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5"/>
      <c r="H281" s="5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16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5"/>
      <c r="H282" s="5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16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5"/>
      <c r="H283" s="5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16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5"/>
      <c r="H284" s="5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16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5"/>
      <c r="H285" s="5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16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5"/>
      <c r="H286" s="5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16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5"/>
      <c r="H287" s="5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16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5"/>
      <c r="H288" s="5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16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5"/>
      <c r="H289" s="5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16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5"/>
      <c r="H290" s="5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16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5"/>
      <c r="H291" s="5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16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5"/>
      <c r="H292" s="5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16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5"/>
      <c r="H293" s="5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16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5"/>
      <c r="H294" s="5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16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5"/>
      <c r="H295" s="5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16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5"/>
      <c r="H296" s="5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16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5"/>
      <c r="H297" s="5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16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5"/>
      <c r="H298" s="5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16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5"/>
      <c r="H299" s="5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16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5"/>
      <c r="H300" s="5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16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5"/>
      <c r="H301" s="5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16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5"/>
      <c r="H302" s="5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16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5"/>
      <c r="H303" s="5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16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5"/>
      <c r="H304" s="5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16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5"/>
      <c r="H305" s="5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16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5"/>
      <c r="H306" s="5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16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5"/>
      <c r="H307" s="5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16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5"/>
      <c r="H308" s="5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16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5"/>
      <c r="H309" s="5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16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5"/>
      <c r="H310" s="5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16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5"/>
      <c r="H311" s="5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16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5"/>
      <c r="H312" s="5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16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5"/>
      <c r="H313" s="5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16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5"/>
      <c r="H314" s="5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16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5"/>
      <c r="H315" s="5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16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5"/>
      <c r="H316" s="5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16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5"/>
      <c r="H317" s="5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16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5"/>
      <c r="H318" s="5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16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5"/>
      <c r="H319" s="5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16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5"/>
      <c r="H320" s="5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16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5"/>
      <c r="H321" s="5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16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5"/>
      <c r="H322" s="5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16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5"/>
      <c r="H323" s="5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16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5"/>
      <c r="H324" s="5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16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5"/>
      <c r="H325" s="5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16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5"/>
      <c r="H326" s="5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16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5"/>
      <c r="H327" s="5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16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5"/>
      <c r="H328" s="5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16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5"/>
      <c r="H329" s="5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16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5"/>
      <c r="H330" s="5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16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5"/>
      <c r="H331" s="5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16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5"/>
      <c r="H332" s="5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16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5"/>
      <c r="H333" s="5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16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5"/>
      <c r="H334" s="5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16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5"/>
      <c r="H335" s="5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16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5"/>
      <c r="H336" s="5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16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5"/>
      <c r="H337" s="5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16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5"/>
      <c r="H338" s="5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16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5"/>
      <c r="H339" s="5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16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5"/>
      <c r="H340" s="5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16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5"/>
      <c r="H341" s="5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16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5"/>
      <c r="H342" s="5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16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5"/>
      <c r="H343" s="5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16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5"/>
      <c r="H344" s="5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16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5"/>
      <c r="H345" s="5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16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5"/>
      <c r="H346" s="5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16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5"/>
      <c r="H347" s="5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16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5"/>
      <c r="H348" s="5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16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5"/>
      <c r="H349" s="5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16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5"/>
      <c r="H350" s="5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16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5"/>
      <c r="H351" s="5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16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5"/>
      <c r="H352" s="5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16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5"/>
      <c r="H353" s="5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16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5"/>
      <c r="H354" s="5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16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5"/>
      <c r="H355" s="5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16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5"/>
      <c r="H356" s="5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16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5"/>
      <c r="H357" s="5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16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5"/>
      <c r="H358" s="5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16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5"/>
      <c r="H359" s="5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16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5"/>
      <c r="H360" s="5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16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5"/>
      <c r="H361" s="5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16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5"/>
      <c r="H362" s="5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16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5"/>
      <c r="H363" s="5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16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5"/>
      <c r="H364" s="5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16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5"/>
      <c r="H365" s="5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16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5"/>
      <c r="H366" s="5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16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5"/>
      <c r="H367" s="5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16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5"/>
      <c r="H368" s="5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16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5"/>
      <c r="H369" s="5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16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5"/>
      <c r="H370" s="5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16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5"/>
      <c r="H371" s="5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16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5"/>
      <c r="H372" s="5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16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5"/>
      <c r="H373" s="5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16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5"/>
      <c r="H374" s="5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16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5"/>
      <c r="H375" s="5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16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5"/>
      <c r="H376" s="5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16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5"/>
      <c r="H377" s="5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16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5"/>
      <c r="H378" s="5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16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5"/>
      <c r="H379" s="5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16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5"/>
      <c r="H380" s="5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16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5"/>
      <c r="H381" s="5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16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5"/>
      <c r="H382" s="5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16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5"/>
      <c r="H383" s="5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16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5"/>
      <c r="H384" s="5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16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5"/>
      <c r="H385" s="5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16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5"/>
      <c r="H386" s="5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16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5"/>
      <c r="H387" s="5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16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5"/>
      <c r="H388" s="5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16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5"/>
      <c r="H389" s="5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16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5"/>
      <c r="H390" s="5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16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5"/>
      <c r="H391" s="5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16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5"/>
      <c r="H392" s="5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16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5"/>
      <c r="H393" s="5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16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5"/>
      <c r="H394" s="5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16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5"/>
      <c r="H395" s="5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16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5"/>
      <c r="H396" s="5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16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5"/>
      <c r="H397" s="5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16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5"/>
      <c r="H398" s="5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16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5"/>
      <c r="H399" s="5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16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5"/>
      <c r="H400" s="5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16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5"/>
      <c r="H401" s="5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16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5"/>
      <c r="H402" s="5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16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5"/>
      <c r="H403" s="5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16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5"/>
      <c r="H404" s="5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16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5"/>
      <c r="H405" s="5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16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5"/>
      <c r="H406" s="5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16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5"/>
      <c r="H407" s="5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16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5"/>
      <c r="H408" s="5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16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5"/>
      <c r="H409" s="5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16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5"/>
      <c r="H410" s="5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16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5"/>
      <c r="H411" s="5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16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5"/>
      <c r="H412" s="5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16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5"/>
      <c r="H413" s="5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16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5"/>
      <c r="H414" s="5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16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5"/>
      <c r="H415" s="5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16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5"/>
      <c r="H416" s="5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16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5"/>
      <c r="H417" s="5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16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5"/>
      <c r="H418" s="5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16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5"/>
      <c r="H419" s="5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16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5"/>
      <c r="H420" s="5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16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5"/>
      <c r="H421" s="5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16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5"/>
      <c r="H422" s="5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16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5"/>
      <c r="H423" s="5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16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5"/>
      <c r="H424" s="5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16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5"/>
      <c r="H425" s="5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16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5"/>
      <c r="H426" s="5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16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5"/>
      <c r="H427" s="5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16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5"/>
      <c r="H428" s="5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16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5"/>
      <c r="H429" s="5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16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5"/>
      <c r="H430" s="5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16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5"/>
      <c r="H431" s="5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16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5"/>
      <c r="H432" s="5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16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5"/>
      <c r="H433" s="5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16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5"/>
      <c r="H434" s="5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16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5"/>
      <c r="H435" s="5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16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5"/>
      <c r="H436" s="5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16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5"/>
      <c r="H437" s="5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16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5"/>
      <c r="H438" s="5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16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5"/>
      <c r="H439" s="5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16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5"/>
      <c r="H440" s="5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16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5"/>
      <c r="H441" s="5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16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5"/>
      <c r="H442" s="5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16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5"/>
      <c r="H443" s="5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16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5"/>
      <c r="H444" s="5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16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5"/>
      <c r="H445" s="5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16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5"/>
      <c r="H446" s="5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16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5"/>
      <c r="H447" s="5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16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5"/>
      <c r="H448" s="5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16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5"/>
      <c r="H449" s="5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16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5"/>
      <c r="H450" s="5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16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5"/>
      <c r="H451" s="5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16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5"/>
      <c r="H452" s="5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16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5"/>
      <c r="H453" s="5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16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5"/>
      <c r="H454" s="5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16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5"/>
      <c r="H455" s="5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16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5"/>
      <c r="H456" s="5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16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5"/>
      <c r="H457" s="5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16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5"/>
      <c r="H458" s="5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16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5"/>
      <c r="H459" s="5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16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5"/>
      <c r="H460" s="5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16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5"/>
      <c r="H461" s="5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16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5"/>
      <c r="H462" s="5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16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5"/>
      <c r="H463" s="5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16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5"/>
      <c r="H464" s="5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16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5"/>
      <c r="H465" s="5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16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5"/>
      <c r="H466" s="5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16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5"/>
      <c r="H467" s="5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16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5"/>
      <c r="H468" s="5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16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5"/>
      <c r="H469" s="5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16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5"/>
      <c r="H470" s="5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16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5"/>
      <c r="H471" s="5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16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5"/>
      <c r="H472" s="5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16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5"/>
      <c r="H473" s="5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16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5"/>
      <c r="H474" s="5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16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5"/>
      <c r="H475" s="5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16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5"/>
      <c r="H476" s="5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16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5"/>
      <c r="H477" s="5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16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5"/>
      <c r="H478" s="5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16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5"/>
      <c r="H479" s="5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16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5"/>
      <c r="H480" s="5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16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5"/>
      <c r="H481" s="5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16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5"/>
      <c r="H482" s="5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16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5"/>
      <c r="H483" s="5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16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x14ac:dyDescent="0.25">
      <c r="A484" s="5"/>
      <c r="B484" s="5"/>
      <c r="C484" s="5"/>
      <c r="D484" s="5"/>
      <c r="E484" s="5"/>
      <c r="F484" s="5"/>
      <c r="G484" s="5"/>
      <c r="H484" s="5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16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x14ac:dyDescent="0.25">
      <c r="A485" s="5"/>
      <c r="B485" s="5"/>
      <c r="C485" s="5"/>
      <c r="D485" s="5"/>
      <c r="E485" s="5"/>
      <c r="F485" s="5"/>
      <c r="G485" s="5"/>
      <c r="H485" s="5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16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x14ac:dyDescent="0.25">
      <c r="A486" s="5"/>
      <c r="B486" s="5"/>
      <c r="C486" s="5"/>
      <c r="D486" s="5"/>
      <c r="E486" s="5"/>
      <c r="F486" s="5"/>
      <c r="G486" s="5"/>
      <c r="H486" s="5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16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x14ac:dyDescent="0.25">
      <c r="A487" s="5"/>
      <c r="B487" s="5"/>
      <c r="C487" s="5"/>
      <c r="D487" s="5"/>
      <c r="E487" s="5"/>
      <c r="F487" s="5"/>
      <c r="G487" s="5"/>
      <c r="H487" s="5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16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x14ac:dyDescent="0.25">
      <c r="A488" s="5"/>
      <c r="B488" s="5"/>
      <c r="C488" s="5"/>
      <c r="D488" s="5"/>
      <c r="E488" s="5"/>
      <c r="F488" s="5"/>
      <c r="G488" s="5"/>
      <c r="H488" s="5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16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x14ac:dyDescent="0.25">
      <c r="A489" s="5"/>
      <c r="B489" s="5"/>
      <c r="C489" s="5"/>
      <c r="D489" s="5"/>
      <c r="E489" s="5"/>
      <c r="F489" s="5"/>
      <c r="G489" s="5"/>
      <c r="H489" s="5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16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x14ac:dyDescent="0.25">
      <c r="A490" s="5"/>
      <c r="B490" s="5"/>
      <c r="C490" s="5"/>
      <c r="D490" s="5"/>
      <c r="E490" s="5"/>
      <c r="F490" s="5"/>
      <c r="G490" s="5"/>
      <c r="H490" s="5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16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x14ac:dyDescent="0.25">
      <c r="A491" s="5"/>
      <c r="B491" s="5"/>
      <c r="C491" s="5"/>
      <c r="D491" s="5"/>
      <c r="E491" s="5"/>
      <c r="F491" s="5"/>
      <c r="G491" s="5"/>
      <c r="H491" s="5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16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x14ac:dyDescent="0.25">
      <c r="A492" s="5"/>
      <c r="B492" s="5"/>
      <c r="C492" s="5"/>
      <c r="D492" s="5"/>
      <c r="E492" s="5"/>
      <c r="F492" s="5"/>
      <c r="G492" s="5"/>
      <c r="H492" s="5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16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x14ac:dyDescent="0.25">
      <c r="A493" s="5"/>
      <c r="B493" s="5"/>
      <c r="C493" s="5"/>
      <c r="D493" s="5"/>
      <c r="E493" s="5"/>
      <c r="F493" s="5"/>
      <c r="G493" s="5"/>
      <c r="H493" s="5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16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x14ac:dyDescent="0.25">
      <c r="A494" s="5"/>
      <c r="B494" s="5"/>
      <c r="C494" s="5"/>
      <c r="D494" s="5"/>
      <c r="E494" s="5"/>
      <c r="F494" s="5"/>
      <c r="G494" s="5"/>
      <c r="H494" s="5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16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</sheetData>
  <autoFilter ref="A3:AI11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2026-09-14T09:03:46Z</dcterms:created>
  <dcterms:modified xsi:type="dcterms:W3CDTF">2026-09-21T10:03:46Z</dcterms:modified>
</cp:coreProperties>
</file>