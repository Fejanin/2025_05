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6,10 Бердянск_Мариуполь_Грация(Бер._Мар.) КИ+ЗПФ\"/>
    </mc:Choice>
  </mc:AlternateContent>
  <xr:revisionPtr revIDLastSave="0" documentId="13_ncr:1_{914445A5-43E8-4A51-867B-DFEEF5013F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<sst xmlns="http://schemas.openxmlformats.org/spreadsheetml/2006/main" count="677" uniqueCount="221">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</sst>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2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X1692"/>
  <sheetViews>
    <sheetView tabSelected="1" zoomScale="70" zoomScaleNormal="70" workbookViewId="0">
      <pane ySplit="9" topLeftCell="A10" activePane="bottomLeft" state="frozen"/>
      <selection pane="bottomLeft" activeCell="O29" sqref="O2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130439107</v>
      </c>
      <c r="E1" s="121" t="s">
        <v>219</v>
      </c>
      <c r="F1" s="122"/>
      <c r="G1" s="122"/>
      <c r="H1" s="122"/>
      <c r="I1" s="122"/>
      <c r="J1" s="123"/>
      <c r="K1">
        <v>130438384</v>
      </c>
      <c r="L1" t="s">
        <v>171</v>
      </c>
    </row>
    <row r="2" spans="1:50" ht="16.5" customHeight="1" thickTop="1" thickBot="1" x14ac:dyDescent="0.3">
      <c r="K2">
        <v>130438644</v>
      </c>
      <c r="L2" t="s">
        <v>172</v>
      </c>
    </row>
    <row r="3" spans="1:50" ht="19.5" customHeight="1" thickTop="1" thickBot="1" x14ac:dyDescent="0.3">
      <c r="B3" s="32"/>
      <c r="C3" s="7" t="s">
        <v>1</v>
      </c>
      <c r="D3" s="55">
        <v>46301</v>
      </c>
      <c r="E3" s="7" t="s">
        <v>2</v>
      </c>
      <c r="F3" s="55"/>
      <c r="G3" s="124" t="s">
        <v>220</v>
      </c>
      <c r="H3" s="122"/>
      <c r="I3" s="122"/>
      <c r="J3" s="123"/>
      <c r="K3">
        <v>130439106</v>
      </c>
      <c r="L3" t="s">
        <v>191</v>
      </c>
    </row>
    <row r="4" spans="1:50" ht="15.75" customHeight="1" thickTop="1" x14ac:dyDescent="0.25">
      <c r="K4">
        <v>130439107</v>
      </c>
      <c r="L4" t="s">
        <v>192</v>
      </c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hidden="1" customHeight="1" thickTop="1" x14ac:dyDescent="0.25">
      <c r="A11" s="56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hidden="1" customHeight="1" x14ac:dyDescent="0.25">
      <c r="A12" s="112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thickTop="1" x14ac:dyDescent="0.25">
      <c r="A13" s="56">
        <v>5851</v>
      </c>
      <c r="B13" s="54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hidden="1" customHeight="1" x14ac:dyDescent="0.25">
      <c r="A14" s="56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hidden="1" customHeight="1" x14ac:dyDescent="0.25">
      <c r="A15" s="56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hidden="1" customHeight="1" x14ac:dyDescent="0.25">
      <c r="A16" s="56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</row>
    <row r="17" spans="1:10" ht="16.5" hidden="1" customHeight="1" x14ac:dyDescent="0.25">
      <c r="A17" s="56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hidden="1" customHeight="1" x14ac:dyDescent="0.25">
      <c r="A18" s="56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</row>
    <row r="19" spans="1:10" ht="16.5" hidden="1" customHeight="1" x14ac:dyDescent="0.25">
      <c r="A19" s="56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</row>
    <row r="20" spans="1:10" ht="16.5" hidden="1" customHeight="1" x14ac:dyDescent="0.25">
      <c r="A20" s="56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</row>
    <row r="21" spans="1:10" ht="16.5" customHeight="1" x14ac:dyDescent="0.25">
      <c r="A21" s="112">
        <v>7539</v>
      </c>
      <c r="B21" s="54" t="s">
        <v>106</v>
      </c>
      <c r="C21" s="51" t="s">
        <v>20</v>
      </c>
      <c r="D21" s="52">
        <v>1001010017539</v>
      </c>
      <c r="E21" s="24">
        <v>30</v>
      </c>
      <c r="F21" s="23">
        <v>0.35</v>
      </c>
      <c r="G21" s="23">
        <f>E21*F21</f>
        <v>10.5</v>
      </c>
      <c r="H21" s="14">
        <v>2.8</v>
      </c>
      <c r="I21" s="14">
        <v>60</v>
      </c>
      <c r="J21" s="53" t="s">
        <v>167</v>
      </c>
    </row>
    <row r="22" spans="1:10" ht="16.5" hidden="1" customHeight="1" x14ac:dyDescent="0.25">
      <c r="A22" s="56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</row>
    <row r="23" spans="1:10" ht="16.5" customHeight="1" x14ac:dyDescent="0.25">
      <c r="A23" s="56"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2"/>
        <v>16</v>
      </c>
      <c r="H23" s="14">
        <v>3.2</v>
      </c>
      <c r="I23" s="14">
        <v>60</v>
      </c>
      <c r="J23" s="29"/>
    </row>
    <row r="24" spans="1:10" ht="16.5" hidden="1" customHeight="1" x14ac:dyDescent="0.25">
      <c r="A24" s="56">
        <v>8014</v>
      </c>
      <c r="B24" s="54" t="s">
        <v>113</v>
      </c>
      <c r="C24" s="51" t="s">
        <v>22</v>
      </c>
      <c r="D24" s="52">
        <v>1001010108014</v>
      </c>
      <c r="E24" s="24"/>
      <c r="F24" s="57">
        <v>1.35</v>
      </c>
      <c r="G24" s="23">
        <f t="shared" ref="G24" si="3">E24</f>
        <v>0</v>
      </c>
      <c r="H24" s="29">
        <v>5.4</v>
      </c>
      <c r="I24" s="29">
        <v>60</v>
      </c>
      <c r="J24" s="29"/>
    </row>
    <row r="25" spans="1:10" ht="16.5" hidden="1" customHeight="1" x14ac:dyDescent="0.25">
      <c r="A25" s="112">
        <v>7632</v>
      </c>
      <c r="B25" s="54" t="s">
        <v>194</v>
      </c>
      <c r="C25" s="51" t="s">
        <v>20</v>
      </c>
      <c r="D25" s="52">
        <v>1001012507632</v>
      </c>
      <c r="E25" s="24"/>
      <c r="F25" s="57">
        <v>0.4</v>
      </c>
      <c r="G25" s="23">
        <f t="shared" ref="G25:G33" si="4">E25*F25</f>
        <v>0</v>
      </c>
      <c r="H25" s="29">
        <v>3.2</v>
      </c>
      <c r="I25" s="29">
        <v>60</v>
      </c>
      <c r="J25" s="53" t="s">
        <v>193</v>
      </c>
    </row>
    <row r="26" spans="1:10" ht="16.5" customHeight="1" x14ac:dyDescent="0.25">
      <c r="A26" s="112">
        <v>7523</v>
      </c>
      <c r="B26" s="54" t="s">
        <v>105</v>
      </c>
      <c r="C26" s="51" t="s">
        <v>20</v>
      </c>
      <c r="D26" s="52">
        <v>1001012427523</v>
      </c>
      <c r="E26" s="24">
        <v>70</v>
      </c>
      <c r="F26" s="57">
        <v>0.4</v>
      </c>
      <c r="G26" s="23">
        <f t="shared" si="4"/>
        <v>28</v>
      </c>
      <c r="H26" s="29">
        <v>2.4</v>
      </c>
      <c r="I26" s="29">
        <v>60</v>
      </c>
      <c r="J26" s="53" t="s">
        <v>166</v>
      </c>
    </row>
    <row r="27" spans="1:10" ht="16.5" hidden="1" customHeight="1" x14ac:dyDescent="0.25">
      <c r="A27" s="114">
        <v>6340</v>
      </c>
      <c r="B27" s="115" t="s">
        <v>26</v>
      </c>
      <c r="C27" s="116" t="s">
        <v>20</v>
      </c>
      <c r="D27" s="117">
        <v>1001012816340</v>
      </c>
      <c r="E27" s="118"/>
      <c r="F27" s="119">
        <v>0.5</v>
      </c>
      <c r="G27" s="119">
        <f t="shared" si="4"/>
        <v>0</v>
      </c>
      <c r="H27" s="120">
        <v>4</v>
      </c>
      <c r="I27" s="120">
        <v>60</v>
      </c>
      <c r="J27" s="120" t="s">
        <v>212</v>
      </c>
    </row>
    <row r="28" spans="1:10" ht="16.5" hidden="1" customHeight="1" x14ac:dyDescent="0.25">
      <c r="A28" s="114">
        <v>6341</v>
      </c>
      <c r="B28" s="115" t="s">
        <v>27</v>
      </c>
      <c r="C28" s="116" t="s">
        <v>20</v>
      </c>
      <c r="D28" s="117">
        <v>1001012816341</v>
      </c>
      <c r="E28" s="118"/>
      <c r="F28" s="119">
        <v>0.5</v>
      </c>
      <c r="G28" s="119">
        <f t="shared" si="4"/>
        <v>0</v>
      </c>
      <c r="H28" s="120">
        <v>4</v>
      </c>
      <c r="I28" s="120">
        <v>60</v>
      </c>
      <c r="J28" s="120" t="s">
        <v>212</v>
      </c>
    </row>
    <row r="29" spans="1:10" ht="16.5" customHeight="1" x14ac:dyDescent="0.25">
      <c r="A29" s="56">
        <v>6333</v>
      </c>
      <c r="B29" s="54" t="s">
        <v>23</v>
      </c>
      <c r="C29" s="51" t="s">
        <v>20</v>
      </c>
      <c r="D29" s="52">
        <v>1001012486333</v>
      </c>
      <c r="E29" s="24">
        <v>100</v>
      </c>
      <c r="F29" s="23">
        <v>0.4</v>
      </c>
      <c r="G29" s="23">
        <f t="shared" si="4"/>
        <v>40</v>
      </c>
      <c r="H29" s="14">
        <v>3.2</v>
      </c>
      <c r="I29" s="14">
        <v>60</v>
      </c>
      <c r="J29" s="29"/>
    </row>
    <row r="30" spans="1:10" ht="16.5" customHeight="1" x14ac:dyDescent="0.25">
      <c r="A30" s="56">
        <v>6392</v>
      </c>
      <c r="B30" s="54" t="s">
        <v>109</v>
      </c>
      <c r="C30" s="51" t="s">
        <v>20</v>
      </c>
      <c r="D30" s="52">
        <v>1001012566392</v>
      </c>
      <c r="E30" s="24">
        <v>100</v>
      </c>
      <c r="F30" s="23">
        <v>0.4</v>
      </c>
      <c r="G30" s="23">
        <f t="shared" si="4"/>
        <v>40</v>
      </c>
      <c r="H30" s="14">
        <v>3.2</v>
      </c>
      <c r="I30" s="14">
        <v>60</v>
      </c>
      <c r="J30" s="29"/>
    </row>
    <row r="31" spans="1:10" ht="16.5" hidden="1" customHeight="1" x14ac:dyDescent="0.25">
      <c r="A31" s="56">
        <v>7343</v>
      </c>
      <c r="B31" s="54" t="s">
        <v>31</v>
      </c>
      <c r="C31" s="51" t="s">
        <v>20</v>
      </c>
      <c r="D31" s="52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</row>
    <row r="32" spans="1:10" ht="16.5" hidden="1" customHeight="1" x14ac:dyDescent="0.25">
      <c r="A32" s="56">
        <v>6797</v>
      </c>
      <c r="B32" s="54" t="s">
        <v>114</v>
      </c>
      <c r="C32" s="51" t="s">
        <v>20</v>
      </c>
      <c r="D32" s="52">
        <v>1001015026797</v>
      </c>
      <c r="E32" s="24"/>
      <c r="F32" s="57">
        <v>0.4</v>
      </c>
      <c r="G32" s="23">
        <f t="shared" si="4"/>
        <v>0</v>
      </c>
      <c r="H32" s="29">
        <v>3.2</v>
      </c>
      <c r="I32" s="29">
        <v>60</v>
      </c>
      <c r="J32" s="29"/>
    </row>
    <row r="33" spans="1:10" ht="16.5" hidden="1" customHeight="1" thickBot="1" x14ac:dyDescent="0.25">
      <c r="A33" s="56">
        <v>7231</v>
      </c>
      <c r="B33" s="54" t="s">
        <v>33</v>
      </c>
      <c r="C33" s="51" t="s">
        <v>20</v>
      </c>
      <c r="D33" s="52">
        <v>1001013957231</v>
      </c>
      <c r="E33" s="24"/>
      <c r="F33" s="57">
        <v>0.3</v>
      </c>
      <c r="G33" s="23">
        <f t="shared" si="4"/>
        <v>0</v>
      </c>
      <c r="H33" s="29">
        <v>2.4</v>
      </c>
      <c r="I33" s="29">
        <v>60</v>
      </c>
      <c r="J33" s="29"/>
    </row>
    <row r="34" spans="1:10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</row>
    <row r="35" spans="1:10" ht="16.5" hidden="1" customHeight="1" thickTop="1" x14ac:dyDescent="0.25">
      <c r="A35" s="56">
        <v>6767</v>
      </c>
      <c r="B35" s="54" t="s">
        <v>43</v>
      </c>
      <c r="C35" s="51" t="s">
        <v>22</v>
      </c>
      <c r="D35" s="52">
        <v>1001023696767</v>
      </c>
      <c r="E35" s="24"/>
      <c r="F35" s="57">
        <v>1.04</v>
      </c>
      <c r="G35" s="23">
        <f t="shared" ref="G35:G46" si="5">E35</f>
        <v>0</v>
      </c>
      <c r="H35" s="29">
        <v>4.16</v>
      </c>
      <c r="I35" s="29">
        <v>45</v>
      </c>
      <c r="J35" s="29"/>
    </row>
    <row r="36" spans="1:10" ht="16.5" hidden="1" customHeight="1" x14ac:dyDescent="0.25">
      <c r="A36" s="56">
        <v>6761</v>
      </c>
      <c r="B36" s="54" t="s">
        <v>52</v>
      </c>
      <c r="C36" s="51" t="s">
        <v>22</v>
      </c>
      <c r="D36" s="52">
        <v>1001020836761</v>
      </c>
      <c r="E36" s="24"/>
      <c r="F36" s="57">
        <v>1</v>
      </c>
      <c r="G36" s="23">
        <f t="shared" si="5"/>
        <v>0</v>
      </c>
      <c r="H36" s="29">
        <v>4</v>
      </c>
      <c r="I36" s="29">
        <v>30</v>
      </c>
      <c r="J36" s="29"/>
    </row>
    <row r="37" spans="1:10" ht="16.5" hidden="1" customHeight="1" x14ac:dyDescent="0.25">
      <c r="A37" s="56">
        <v>6764</v>
      </c>
      <c r="B37" s="54" t="s">
        <v>48</v>
      </c>
      <c r="C37" s="51" t="s">
        <v>22</v>
      </c>
      <c r="D37" s="52">
        <v>1001020846764</v>
      </c>
      <c r="E37" s="24"/>
      <c r="F37" s="57">
        <v>1</v>
      </c>
      <c r="G37" s="23">
        <f t="shared" si="5"/>
        <v>0</v>
      </c>
      <c r="H37" s="29">
        <v>4</v>
      </c>
      <c r="I37" s="29">
        <v>45</v>
      </c>
      <c r="J37" s="29"/>
    </row>
    <row r="38" spans="1:10" ht="16.5" hidden="1" customHeight="1" x14ac:dyDescent="0.25">
      <c r="A38" s="56">
        <v>6254</v>
      </c>
      <c r="B38" s="54" t="s">
        <v>162</v>
      </c>
      <c r="C38" s="51" t="s">
        <v>22</v>
      </c>
      <c r="D38" s="52">
        <v>1001022556254</v>
      </c>
      <c r="E38" s="24"/>
      <c r="F38" s="57">
        <v>1.5</v>
      </c>
      <c r="G38" s="23">
        <f t="shared" si="5"/>
        <v>0</v>
      </c>
      <c r="H38" s="29">
        <v>3</v>
      </c>
      <c r="I38" s="29">
        <v>45</v>
      </c>
      <c r="J38" s="29"/>
    </row>
    <row r="39" spans="1:10" ht="16.5" hidden="1" customHeight="1" x14ac:dyDescent="0.25">
      <c r="A39" s="56">
        <v>7075</v>
      </c>
      <c r="B39" s="54" t="s">
        <v>49</v>
      </c>
      <c r="C39" s="51" t="s">
        <v>22</v>
      </c>
      <c r="D39" s="52">
        <v>1001022657075</v>
      </c>
      <c r="E39" s="24"/>
      <c r="F39" s="57">
        <v>1.5</v>
      </c>
      <c r="G39" s="23">
        <f t="shared" si="5"/>
        <v>0</v>
      </c>
      <c r="H39" s="29">
        <v>6</v>
      </c>
      <c r="I39" s="29">
        <v>50</v>
      </c>
      <c r="J39" s="29"/>
    </row>
    <row r="40" spans="1:10" ht="16.5" hidden="1" customHeight="1" x14ac:dyDescent="0.25">
      <c r="A40" s="56">
        <v>7083</v>
      </c>
      <c r="B40" s="54" t="s">
        <v>160</v>
      </c>
      <c r="C40" s="51" t="s">
        <v>22</v>
      </c>
      <c r="D40" s="52">
        <v>1001022467083</v>
      </c>
      <c r="E40" s="24"/>
      <c r="F40" s="57">
        <v>1.5</v>
      </c>
      <c r="G40" s="23">
        <f t="shared" si="5"/>
        <v>0</v>
      </c>
      <c r="H40" s="29">
        <v>6</v>
      </c>
      <c r="I40" s="29">
        <v>50</v>
      </c>
      <c r="J40" s="29"/>
    </row>
    <row r="41" spans="1:10" ht="16.5" hidden="1" customHeight="1" x14ac:dyDescent="0.25">
      <c r="A41" s="56">
        <v>6829</v>
      </c>
      <c r="B41" s="54" t="s">
        <v>156</v>
      </c>
      <c r="C41" s="51" t="s">
        <v>22</v>
      </c>
      <c r="D41" s="52">
        <v>1001024976829</v>
      </c>
      <c r="E41" s="24"/>
      <c r="F41" s="57">
        <v>2.1</v>
      </c>
      <c r="G41" s="23">
        <f t="shared" si="5"/>
        <v>0</v>
      </c>
      <c r="H41" s="29">
        <v>8.4</v>
      </c>
      <c r="I41" s="29">
        <v>45</v>
      </c>
      <c r="J41" s="29"/>
    </row>
    <row r="42" spans="1:10" ht="16.5" hidden="1" customHeight="1" x14ac:dyDescent="0.25">
      <c r="A42" s="56">
        <v>7070</v>
      </c>
      <c r="B42" s="54" t="s">
        <v>44</v>
      </c>
      <c r="C42" s="51" t="s">
        <v>22</v>
      </c>
      <c r="D42" s="52">
        <v>1001022377070</v>
      </c>
      <c r="E42" s="24"/>
      <c r="F42" s="57">
        <v>1.5</v>
      </c>
      <c r="G42" s="23">
        <f t="shared" si="5"/>
        <v>0</v>
      </c>
      <c r="H42" s="29">
        <v>6</v>
      </c>
      <c r="I42" s="29">
        <v>50</v>
      </c>
      <c r="J42" s="29"/>
    </row>
    <row r="43" spans="1:10" ht="16.5" hidden="1" customHeight="1" x14ac:dyDescent="0.25">
      <c r="A43" s="56">
        <v>7076</v>
      </c>
      <c r="B43" s="54" t="s">
        <v>185</v>
      </c>
      <c r="C43" s="51" t="s">
        <v>22</v>
      </c>
      <c r="D43" s="52">
        <v>1001022657076</v>
      </c>
      <c r="E43" s="24"/>
      <c r="F43" s="57">
        <v>1.5</v>
      </c>
      <c r="G43" s="23">
        <f t="shared" si="5"/>
        <v>0</v>
      </c>
      <c r="H43" s="29">
        <v>6</v>
      </c>
      <c r="I43" s="29">
        <v>50</v>
      </c>
      <c r="J43" s="29"/>
    </row>
    <row r="44" spans="1:10" ht="16.5" hidden="1" customHeight="1" x14ac:dyDescent="0.25">
      <c r="A44" s="56">
        <v>7271</v>
      </c>
      <c r="B44" s="54" t="s">
        <v>159</v>
      </c>
      <c r="C44" s="51" t="s">
        <v>22</v>
      </c>
      <c r="D44" s="52">
        <v>1001025507271</v>
      </c>
      <c r="E44" s="24"/>
      <c r="F44" s="57">
        <v>1.5</v>
      </c>
      <c r="G44" s="23">
        <f t="shared" si="5"/>
        <v>0</v>
      </c>
      <c r="H44" s="29">
        <v>6</v>
      </c>
      <c r="I44" s="29">
        <v>50</v>
      </c>
      <c r="J44" s="29"/>
    </row>
    <row r="45" spans="1:10" ht="16.5" hidden="1" customHeight="1" x14ac:dyDescent="0.25">
      <c r="A45" s="56">
        <v>6303</v>
      </c>
      <c r="B45" s="54" t="s">
        <v>158</v>
      </c>
      <c r="C45" s="51" t="s">
        <v>22</v>
      </c>
      <c r="D45" s="52">
        <v>1001022726303</v>
      </c>
      <c r="E45" s="24"/>
      <c r="F45" s="57">
        <v>1.5</v>
      </c>
      <c r="G45" s="23">
        <f t="shared" si="5"/>
        <v>0</v>
      </c>
      <c r="H45" s="29">
        <v>4.5</v>
      </c>
      <c r="I45" s="29">
        <v>45</v>
      </c>
      <c r="J45" s="29"/>
    </row>
    <row r="46" spans="1:10" ht="16.5" hidden="1" customHeight="1" x14ac:dyDescent="0.25">
      <c r="A46" s="56">
        <v>6661</v>
      </c>
      <c r="B46" s="54" t="s">
        <v>161</v>
      </c>
      <c r="C46" s="51" t="s">
        <v>22</v>
      </c>
      <c r="D46" s="52">
        <v>1001022246661</v>
      </c>
      <c r="E46" s="24"/>
      <c r="F46" s="57">
        <v>1.5</v>
      </c>
      <c r="G46" s="23">
        <f t="shared" si="5"/>
        <v>0</v>
      </c>
      <c r="H46" s="29">
        <v>6</v>
      </c>
      <c r="I46" s="29">
        <v>45</v>
      </c>
      <c r="J46" s="29"/>
    </row>
    <row r="47" spans="1:10" ht="16.5" hidden="1" customHeight="1" x14ac:dyDescent="0.25">
      <c r="A47" s="56">
        <v>6759</v>
      </c>
      <c r="B47" s="54" t="s">
        <v>41</v>
      </c>
      <c r="C47" s="51" t="s">
        <v>20</v>
      </c>
      <c r="D47" s="52">
        <v>1001020836759</v>
      </c>
      <c r="E47" s="24"/>
      <c r="F47" s="57">
        <v>0.4</v>
      </c>
      <c r="G47" s="23">
        <f t="shared" ref="G47:G72" si="6">E47*F47</f>
        <v>0</v>
      </c>
      <c r="H47" s="29">
        <v>2.8</v>
      </c>
      <c r="I47" s="29">
        <v>30</v>
      </c>
      <c r="J47" s="29"/>
    </row>
    <row r="48" spans="1:10" ht="16.5" hidden="1" customHeight="1" x14ac:dyDescent="0.25">
      <c r="A48" s="56">
        <v>6762</v>
      </c>
      <c r="B48" s="54" t="s">
        <v>39</v>
      </c>
      <c r="C48" s="51" t="s">
        <v>20</v>
      </c>
      <c r="D48" s="52">
        <v>1001020846762</v>
      </c>
      <c r="E48" s="24"/>
      <c r="F48" s="57">
        <v>0.41</v>
      </c>
      <c r="G48" s="23">
        <f t="shared" si="6"/>
        <v>0</v>
      </c>
      <c r="H48" s="29">
        <v>3.28</v>
      </c>
      <c r="I48" s="29">
        <v>45</v>
      </c>
      <c r="J48" s="29"/>
    </row>
    <row r="49" spans="1:10" ht="16.5" hidden="1" customHeight="1" x14ac:dyDescent="0.25">
      <c r="A49" s="56">
        <v>6765</v>
      </c>
      <c r="B49" s="54" t="s">
        <v>40</v>
      </c>
      <c r="C49" s="51" t="s">
        <v>20</v>
      </c>
      <c r="D49" s="52">
        <v>1001023696765</v>
      </c>
      <c r="E49" s="24"/>
      <c r="F49" s="57">
        <v>0.36</v>
      </c>
      <c r="G49" s="23">
        <f t="shared" si="6"/>
        <v>0</v>
      </c>
      <c r="H49" s="29">
        <v>2.16</v>
      </c>
      <c r="I49" s="29">
        <v>45</v>
      </c>
      <c r="J49" s="29"/>
    </row>
    <row r="50" spans="1:10" ht="16.5" hidden="1" customHeight="1" x14ac:dyDescent="0.25">
      <c r="A50" s="56">
        <v>7074</v>
      </c>
      <c r="B50" s="54" t="s">
        <v>157</v>
      </c>
      <c r="C50" s="51" t="s">
        <v>20</v>
      </c>
      <c r="D50" s="52">
        <v>1001022657074</v>
      </c>
      <c r="E50" s="24"/>
      <c r="F50" s="57">
        <v>0.6</v>
      </c>
      <c r="G50" s="23">
        <f t="shared" si="6"/>
        <v>0</v>
      </c>
      <c r="H50" s="29">
        <v>4.8</v>
      </c>
      <c r="I50" s="29">
        <v>50</v>
      </c>
      <c r="J50" s="29"/>
    </row>
    <row r="51" spans="1:10" ht="16.5" hidden="1" customHeight="1" x14ac:dyDescent="0.25">
      <c r="A51" s="56">
        <v>7123</v>
      </c>
      <c r="B51" s="54" t="s">
        <v>186</v>
      </c>
      <c r="C51" s="51" t="s">
        <v>20</v>
      </c>
      <c r="D51" s="52">
        <v>1001020867123</v>
      </c>
      <c r="E51" s="24"/>
      <c r="F51" s="57">
        <v>0.3</v>
      </c>
      <c r="G51" s="23">
        <f t="shared" si="6"/>
        <v>0</v>
      </c>
      <c r="H51" s="29">
        <v>1.8</v>
      </c>
      <c r="I51" s="29">
        <v>45</v>
      </c>
      <c r="J51" s="29"/>
    </row>
    <row r="52" spans="1:10" ht="16.5" hidden="1" customHeight="1" x14ac:dyDescent="0.25">
      <c r="A52" s="56">
        <v>5819</v>
      </c>
      <c r="B52" s="54" t="s">
        <v>38</v>
      </c>
      <c r="C52" s="51" t="s">
        <v>20</v>
      </c>
      <c r="D52" s="52">
        <v>1001022725819</v>
      </c>
      <c r="E52" s="24"/>
      <c r="F52" s="57">
        <v>0.4</v>
      </c>
      <c r="G52" s="23">
        <f t="shared" si="6"/>
        <v>0</v>
      </c>
      <c r="H52" s="29">
        <v>3.2</v>
      </c>
      <c r="I52" s="29">
        <v>45</v>
      </c>
      <c r="J52" s="29"/>
    </row>
    <row r="53" spans="1:10" ht="16.5" customHeight="1" x14ac:dyDescent="0.25">
      <c r="A53" s="56">
        <v>6475</v>
      </c>
      <c r="B53" s="54" t="s">
        <v>45</v>
      </c>
      <c r="C53" s="51" t="s">
        <v>20</v>
      </c>
      <c r="D53" s="52">
        <v>1001025176475</v>
      </c>
      <c r="E53" s="24">
        <v>200</v>
      </c>
      <c r="F53" s="57">
        <v>0.4</v>
      </c>
      <c r="G53" s="23">
        <f t="shared" si="6"/>
        <v>80</v>
      </c>
      <c r="H53" s="29">
        <v>2.4</v>
      </c>
      <c r="I53" s="29">
        <v>45</v>
      </c>
      <c r="J53" s="29"/>
    </row>
    <row r="54" spans="1:10" ht="16.5" hidden="1" customHeight="1" x14ac:dyDescent="0.25">
      <c r="A54" s="114">
        <v>7284</v>
      </c>
      <c r="B54" s="115" t="s">
        <v>187</v>
      </c>
      <c r="C54" s="116" t="s">
        <v>20</v>
      </c>
      <c r="D54" s="117">
        <v>1001025767284</v>
      </c>
      <c r="E54" s="118"/>
      <c r="F54" s="119">
        <v>0.33</v>
      </c>
      <c r="G54" s="119">
        <f t="shared" si="6"/>
        <v>0</v>
      </c>
      <c r="H54" s="120">
        <v>1.98</v>
      </c>
      <c r="I54" s="120">
        <v>30</v>
      </c>
      <c r="J54" s="120" t="s">
        <v>212</v>
      </c>
    </row>
    <row r="55" spans="1:10" ht="16.5" hidden="1" customHeight="1" x14ac:dyDescent="0.25">
      <c r="A55" s="56">
        <v>7461</v>
      </c>
      <c r="B55" s="54" t="s">
        <v>189</v>
      </c>
      <c r="C55" s="51" t="s">
        <v>20</v>
      </c>
      <c r="D55" s="52">
        <v>1001025767461</v>
      </c>
      <c r="E55" s="24"/>
      <c r="F55" s="57">
        <v>0.33</v>
      </c>
      <c r="G55" s="23">
        <f>E55*F55</f>
        <v>0</v>
      </c>
      <c r="H55" s="29">
        <v>1.98</v>
      </c>
      <c r="I55" s="29">
        <v>30</v>
      </c>
      <c r="J55" s="53" t="s">
        <v>213</v>
      </c>
    </row>
    <row r="56" spans="1:10" ht="16.5" hidden="1" customHeight="1" x14ac:dyDescent="0.25">
      <c r="A56" s="56">
        <v>7601</v>
      </c>
      <c r="B56" s="54" t="s">
        <v>188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6"/>
        <v>0</v>
      </c>
      <c r="H56" s="29">
        <v>1.58</v>
      </c>
      <c r="I56" s="29">
        <v>30</v>
      </c>
      <c r="J56" s="29"/>
    </row>
    <row r="57" spans="1:10" ht="16.5" hidden="1" customHeight="1" x14ac:dyDescent="0.25">
      <c r="A57" s="114">
        <v>7371</v>
      </c>
      <c r="B57" s="115" t="s">
        <v>190</v>
      </c>
      <c r="C57" s="116" t="s">
        <v>20</v>
      </c>
      <c r="D57" s="117">
        <v>1001026947371</v>
      </c>
      <c r="E57" s="118"/>
      <c r="F57" s="119">
        <v>0.3</v>
      </c>
      <c r="G57" s="119">
        <f t="shared" si="6"/>
        <v>0</v>
      </c>
      <c r="H57" s="120">
        <v>2.4</v>
      </c>
      <c r="I57" s="120">
        <v>45</v>
      </c>
      <c r="J57" s="120" t="s">
        <v>212</v>
      </c>
    </row>
    <row r="58" spans="1:10" ht="16.5" customHeight="1" x14ac:dyDescent="0.25">
      <c r="A58" s="56">
        <v>6837</v>
      </c>
      <c r="B58" s="54" t="s">
        <v>47</v>
      </c>
      <c r="C58" s="51" t="s">
        <v>20</v>
      </c>
      <c r="D58" s="52">
        <v>1001022556837</v>
      </c>
      <c r="E58" s="24">
        <v>300</v>
      </c>
      <c r="F58" s="57">
        <v>0.4</v>
      </c>
      <c r="G58" s="23">
        <f t="shared" si="6"/>
        <v>120</v>
      </c>
      <c r="H58" s="29">
        <v>2.4</v>
      </c>
      <c r="I58" s="29">
        <v>45</v>
      </c>
      <c r="J58" s="29"/>
    </row>
    <row r="59" spans="1:10" ht="16.5" hidden="1" customHeight="1" x14ac:dyDescent="0.25">
      <c r="A59" s="56">
        <v>7080</v>
      </c>
      <c r="B59" s="54" t="s">
        <v>53</v>
      </c>
      <c r="C59" s="51" t="s">
        <v>20</v>
      </c>
      <c r="D59" s="5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</row>
    <row r="60" spans="1:10" ht="16.5" customHeight="1" x14ac:dyDescent="0.25">
      <c r="A60" s="56">
        <v>6724</v>
      </c>
      <c r="B60" s="54" t="s">
        <v>51</v>
      </c>
      <c r="C60" s="51" t="s">
        <v>20</v>
      </c>
      <c r="D60" s="52">
        <v>1001020836724</v>
      </c>
      <c r="E60" s="24">
        <v>100</v>
      </c>
      <c r="F60" s="23">
        <v>0.41</v>
      </c>
      <c r="G60" s="23">
        <f t="shared" si="6"/>
        <v>41</v>
      </c>
      <c r="H60" s="14">
        <v>4.0999999999999996</v>
      </c>
      <c r="I60" s="14">
        <v>45</v>
      </c>
      <c r="J60" s="29"/>
    </row>
    <row r="61" spans="1:10" ht="16.5" hidden="1" customHeight="1" x14ac:dyDescent="0.25">
      <c r="A61" s="56">
        <v>7066</v>
      </c>
      <c r="B61" s="54" t="s">
        <v>55</v>
      </c>
      <c r="C61" s="51" t="s">
        <v>20</v>
      </c>
      <c r="D61" s="52">
        <v>1001022377066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</row>
    <row r="62" spans="1:10" ht="16.5" customHeight="1" x14ac:dyDescent="0.25">
      <c r="A62" s="56">
        <v>6713</v>
      </c>
      <c r="B62" s="54" t="s">
        <v>46</v>
      </c>
      <c r="C62" s="51" t="s">
        <v>20</v>
      </c>
      <c r="D62" s="52">
        <v>1001022246713</v>
      </c>
      <c r="E62" s="24">
        <v>300</v>
      </c>
      <c r="F62" s="23">
        <v>0.41</v>
      </c>
      <c r="G62" s="23">
        <f t="shared" si="6"/>
        <v>122.99999999999999</v>
      </c>
      <c r="H62" s="14">
        <v>3.28</v>
      </c>
      <c r="I62" s="14">
        <v>45</v>
      </c>
      <c r="J62" s="29"/>
    </row>
    <row r="63" spans="1:10" ht="16.5" hidden="1" customHeight="1" x14ac:dyDescent="0.25">
      <c r="A63" s="56">
        <v>7255</v>
      </c>
      <c r="B63" s="54" t="s">
        <v>37</v>
      </c>
      <c r="C63" s="51" t="s">
        <v>20</v>
      </c>
      <c r="D63" s="52">
        <v>1001025507255</v>
      </c>
      <c r="E63" s="24"/>
      <c r="F63" s="23">
        <v>0.4</v>
      </c>
      <c r="G63" s="23">
        <f t="shared" si="6"/>
        <v>0</v>
      </c>
      <c r="H63" s="14">
        <v>2.4</v>
      </c>
      <c r="I63" s="14">
        <v>50</v>
      </c>
      <c r="J63" s="29"/>
    </row>
    <row r="64" spans="1:10" ht="16.5" hidden="1" customHeight="1" x14ac:dyDescent="0.25">
      <c r="A64" s="56">
        <v>6602</v>
      </c>
      <c r="B64" s="54" t="s">
        <v>155</v>
      </c>
      <c r="C64" s="51" t="s">
        <v>20</v>
      </c>
      <c r="D64" s="5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</row>
    <row r="65" spans="1:10" ht="16.5" hidden="1" customHeight="1" x14ac:dyDescent="0.25">
      <c r="A65" s="112">
        <v>7040</v>
      </c>
      <c r="B65" s="54" t="s">
        <v>217</v>
      </c>
      <c r="C65" s="51" t="s">
        <v>20</v>
      </c>
      <c r="D65" s="5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13" t="s">
        <v>196</v>
      </c>
    </row>
    <row r="66" spans="1:10" ht="16.5" hidden="1" customHeight="1" x14ac:dyDescent="0.25">
      <c r="A66" s="112">
        <v>7521</v>
      </c>
      <c r="B66" s="54" t="s">
        <v>218</v>
      </c>
      <c r="C66" s="51" t="s">
        <v>20</v>
      </c>
      <c r="D66" s="5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13" t="s">
        <v>196</v>
      </c>
    </row>
    <row r="67" spans="1:10" ht="16.5" customHeight="1" x14ac:dyDescent="0.25">
      <c r="A67" s="56">
        <v>7073</v>
      </c>
      <c r="B67" s="54" t="s">
        <v>50</v>
      </c>
      <c r="C67" s="51" t="s">
        <v>20</v>
      </c>
      <c r="D67" s="52">
        <v>1001022657073</v>
      </c>
      <c r="E67" s="24">
        <v>50</v>
      </c>
      <c r="F67" s="23">
        <v>0.35</v>
      </c>
      <c r="G67" s="23">
        <f t="shared" si="6"/>
        <v>17.5</v>
      </c>
      <c r="H67" s="14">
        <v>2.8</v>
      </c>
      <c r="I67" s="14">
        <v>50</v>
      </c>
      <c r="J67" s="29"/>
    </row>
    <row r="68" spans="1:10" ht="16.5" hidden="1" customHeight="1" x14ac:dyDescent="0.25">
      <c r="A68" s="56">
        <v>7276</v>
      </c>
      <c r="B68" s="54" t="s">
        <v>54</v>
      </c>
      <c r="C68" s="51" t="s">
        <v>20</v>
      </c>
      <c r="D68" s="5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</row>
    <row r="69" spans="1:10" ht="16.5" hidden="1" customHeight="1" x14ac:dyDescent="0.25">
      <c r="A69" s="56">
        <v>6616</v>
      </c>
      <c r="B69" s="54" t="s">
        <v>42</v>
      </c>
      <c r="C69" s="51" t="s">
        <v>20</v>
      </c>
      <c r="D69" s="5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</row>
    <row r="70" spans="1:10" ht="16.5" hidden="1" customHeight="1" x14ac:dyDescent="0.25">
      <c r="A70" s="56"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hidden="1" customHeight="1" x14ac:dyDescent="0.25">
      <c r="A71" s="114">
        <v>7385</v>
      </c>
      <c r="B71" s="115" t="s">
        <v>163</v>
      </c>
      <c r="C71" s="116" t="s">
        <v>20</v>
      </c>
      <c r="D71" s="117">
        <v>1001027067385</v>
      </c>
      <c r="E71" s="118"/>
      <c r="F71" s="119">
        <v>0.33</v>
      </c>
      <c r="G71" s="119">
        <f t="shared" si="6"/>
        <v>0</v>
      </c>
      <c r="H71" s="120">
        <v>2.64</v>
      </c>
      <c r="I71" s="120">
        <v>45</v>
      </c>
      <c r="J71" s="120" t="s">
        <v>212</v>
      </c>
    </row>
    <row r="72" spans="1:10" ht="16.5" hidden="1" customHeight="1" thickBot="1" x14ac:dyDescent="0.25">
      <c r="A72" s="114">
        <v>7460</v>
      </c>
      <c r="B72" s="115" t="s">
        <v>165</v>
      </c>
      <c r="C72" s="116" t="s">
        <v>20</v>
      </c>
      <c r="D72" s="117">
        <v>1001027247460</v>
      </c>
      <c r="E72" s="118"/>
      <c r="F72" s="119">
        <v>0.33</v>
      </c>
      <c r="G72" s="119">
        <f t="shared" si="6"/>
        <v>0</v>
      </c>
      <c r="H72" s="120">
        <v>2.64</v>
      </c>
      <c r="I72" s="120">
        <v>45</v>
      </c>
      <c r="J72" s="120" t="s">
        <v>212</v>
      </c>
    </row>
    <row r="73" spans="1:10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</row>
    <row r="74" spans="1:10" ht="16.5" hidden="1" customHeight="1" thickTop="1" x14ac:dyDescent="0.25">
      <c r="A74" s="56">
        <v>6527</v>
      </c>
      <c r="B74" s="86" t="s">
        <v>152</v>
      </c>
      <c r="C74" s="95" t="s">
        <v>22</v>
      </c>
      <c r="D74" s="52">
        <v>1001031076527</v>
      </c>
      <c r="E74" s="24"/>
      <c r="F74" s="57">
        <v>1</v>
      </c>
      <c r="G74" s="23">
        <f t="shared" ref="G74:G78" si="7">E74</f>
        <v>0</v>
      </c>
      <c r="H74" s="29">
        <v>3</v>
      </c>
      <c r="I74" s="29">
        <v>45</v>
      </c>
      <c r="J74" s="29"/>
    </row>
    <row r="75" spans="1:10" ht="16.5" hidden="1" customHeight="1" x14ac:dyDescent="0.25">
      <c r="A75" s="56">
        <v>6550</v>
      </c>
      <c r="B75" s="86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</row>
    <row r="76" spans="1:10" ht="16.5" hidden="1" customHeight="1" x14ac:dyDescent="0.25">
      <c r="A76" s="56">
        <v>6549</v>
      </c>
      <c r="B76" s="86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</row>
    <row r="77" spans="1:10" ht="16.5" hidden="1" customHeight="1" x14ac:dyDescent="0.25">
      <c r="A77" s="56">
        <v>7001</v>
      </c>
      <c r="B77" s="86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</row>
    <row r="78" spans="1:10" ht="16.5" customHeight="1" x14ac:dyDescent="0.25">
      <c r="A78" s="56">
        <v>6608</v>
      </c>
      <c r="B78" s="86" t="s">
        <v>58</v>
      </c>
      <c r="C78" s="51" t="s">
        <v>22</v>
      </c>
      <c r="D78" s="52">
        <v>1001033856608</v>
      </c>
      <c r="E78" s="24">
        <v>30</v>
      </c>
      <c r="F78" s="23">
        <v>1</v>
      </c>
      <c r="G78" s="23">
        <f t="shared" si="7"/>
        <v>30</v>
      </c>
      <c r="H78" s="14">
        <v>3</v>
      </c>
      <c r="I78" s="14">
        <v>45</v>
      </c>
      <c r="J78" s="29"/>
    </row>
    <row r="79" spans="1:10" ht="16.5" hidden="1" customHeight="1" x14ac:dyDescent="0.25">
      <c r="A79" s="56">
        <v>7059</v>
      </c>
      <c r="B79" s="86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</row>
    <row r="80" spans="1:10" ht="16.5" hidden="1" customHeight="1" thickBot="1" x14ac:dyDescent="0.25">
      <c r="A80" s="56">
        <v>6609</v>
      </c>
      <c r="B80" s="86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</row>
    <row r="81" spans="1:10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</row>
    <row r="82" spans="1:10" ht="16.5" hidden="1" customHeight="1" thickTop="1" x14ac:dyDescent="0.25">
      <c r="A82" s="112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</row>
    <row r="83" spans="1:10" ht="16.5" hidden="1" customHeight="1" x14ac:dyDescent="0.25">
      <c r="A83" s="56">
        <v>7133</v>
      </c>
      <c r="B83" s="54" t="s">
        <v>73</v>
      </c>
      <c r="C83" s="51" t="s">
        <v>22</v>
      </c>
      <c r="D83" s="52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29"/>
    </row>
    <row r="84" spans="1:10" ht="16.5" hidden="1" customHeight="1" x14ac:dyDescent="0.25">
      <c r="A84" s="56">
        <v>6946</v>
      </c>
      <c r="B84" s="54" t="s">
        <v>178</v>
      </c>
      <c r="C84" s="51" t="s">
        <v>22</v>
      </c>
      <c r="D84" s="52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</row>
    <row r="85" spans="1:10" ht="16.5" hidden="1" customHeight="1" x14ac:dyDescent="0.25">
      <c r="A85" s="56">
        <v>7132</v>
      </c>
      <c r="B85" s="54" t="s">
        <v>179</v>
      </c>
      <c r="C85" s="51" t="s">
        <v>22</v>
      </c>
      <c r="D85" s="52">
        <v>1001300517132</v>
      </c>
      <c r="E85" s="24"/>
      <c r="F85" s="57">
        <v>0.84</v>
      </c>
      <c r="G85" s="23">
        <f t="shared" si="9"/>
        <v>0</v>
      </c>
      <c r="H85" s="29">
        <v>5.04</v>
      </c>
      <c r="I85" s="29">
        <v>45</v>
      </c>
      <c r="J85" s="29"/>
    </row>
    <row r="86" spans="1:10" ht="16.5" customHeight="1" x14ac:dyDescent="0.25">
      <c r="A86" s="56">
        <v>5544</v>
      </c>
      <c r="B86" s="54" t="s">
        <v>72</v>
      </c>
      <c r="C86" s="51" t="s">
        <v>22</v>
      </c>
      <c r="D86" s="52">
        <v>1001051875544</v>
      </c>
      <c r="E86" s="24">
        <v>100</v>
      </c>
      <c r="F86" s="57">
        <v>0.81</v>
      </c>
      <c r="G86" s="23">
        <f t="shared" si="9"/>
        <v>100</v>
      </c>
      <c r="H86" s="29">
        <v>4.8600000000000003</v>
      </c>
      <c r="I86" s="29">
        <v>45</v>
      </c>
      <c r="J86" s="29"/>
    </row>
    <row r="87" spans="1:10" ht="16.5" hidden="1" customHeight="1" x14ac:dyDescent="0.25">
      <c r="A87" s="56">
        <v>7149</v>
      </c>
      <c r="B87" s="54" t="s">
        <v>19</v>
      </c>
      <c r="C87" s="51" t="s">
        <v>20</v>
      </c>
      <c r="D87" s="52">
        <v>1001303637149</v>
      </c>
      <c r="E87" s="24"/>
      <c r="F87" s="57">
        <v>0.84</v>
      </c>
      <c r="G87" s="23">
        <f>E87*F87</f>
        <v>0</v>
      </c>
      <c r="H87" s="29">
        <v>5.04</v>
      </c>
      <c r="I87" s="29">
        <v>50</v>
      </c>
      <c r="J87" s="29"/>
    </row>
    <row r="88" spans="1:10" ht="16.5" hidden="1" customHeight="1" x14ac:dyDescent="0.25">
      <c r="A88" s="56">
        <v>7157</v>
      </c>
      <c r="B88" s="54" t="s">
        <v>74</v>
      </c>
      <c r="C88" s="51" t="s">
        <v>22</v>
      </c>
      <c r="D88" s="52">
        <v>1001300387157</v>
      </c>
      <c r="E88" s="24"/>
      <c r="F88" s="57">
        <v>0.63</v>
      </c>
      <c r="G88" s="23">
        <f t="shared" ref="G88:G89" si="10">E88</f>
        <v>0</v>
      </c>
      <c r="H88" s="29">
        <v>5.04</v>
      </c>
      <c r="I88" s="29">
        <v>50</v>
      </c>
      <c r="J88" s="29"/>
    </row>
    <row r="89" spans="1:10" ht="16.5" hidden="1" customHeight="1" x14ac:dyDescent="0.25">
      <c r="A89" s="56">
        <v>7166</v>
      </c>
      <c r="B89" s="54" t="s">
        <v>71</v>
      </c>
      <c r="C89" s="51" t="s">
        <v>22</v>
      </c>
      <c r="D89" s="52">
        <v>1001303987166</v>
      </c>
      <c r="E89" s="24"/>
      <c r="F89" s="57">
        <v>0.7</v>
      </c>
      <c r="G89" s="23">
        <f t="shared" si="10"/>
        <v>0</v>
      </c>
      <c r="H89" s="29">
        <v>5.6</v>
      </c>
      <c r="I89" s="29">
        <v>50</v>
      </c>
      <c r="J89" s="29"/>
    </row>
    <row r="90" spans="1:10" ht="16.5" hidden="1" customHeight="1" x14ac:dyDescent="0.25">
      <c r="A90" s="112">
        <v>7603</v>
      </c>
      <c r="B90" s="54" t="s">
        <v>122</v>
      </c>
      <c r="C90" s="51" t="s">
        <v>20</v>
      </c>
      <c r="D90" s="52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</row>
    <row r="91" spans="1:10" ht="16.5" hidden="1" customHeight="1" x14ac:dyDescent="0.25">
      <c r="A91" s="112">
        <v>7489</v>
      </c>
      <c r="B91" s="54" t="s">
        <v>216</v>
      </c>
      <c r="C91" s="51" t="s">
        <v>20</v>
      </c>
      <c r="D91" s="52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13" t="s">
        <v>196</v>
      </c>
    </row>
    <row r="92" spans="1:10" ht="16.5" hidden="1" customHeight="1" x14ac:dyDescent="0.25">
      <c r="A92" s="56">
        <v>6807</v>
      </c>
      <c r="B92" s="54" t="s">
        <v>75</v>
      </c>
      <c r="C92" s="51" t="s">
        <v>20</v>
      </c>
      <c r="D92" s="52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</row>
    <row r="93" spans="1:10" ht="16.5" customHeight="1" x14ac:dyDescent="0.25">
      <c r="A93" s="56">
        <v>6787</v>
      </c>
      <c r="B93" s="54" t="s">
        <v>65</v>
      </c>
      <c r="C93" s="51" t="s">
        <v>20</v>
      </c>
      <c r="D93" s="52">
        <v>1001300456787</v>
      </c>
      <c r="E93" s="24">
        <v>50</v>
      </c>
      <c r="F93" s="23">
        <v>0.33</v>
      </c>
      <c r="G93" s="23">
        <f t="shared" si="11"/>
        <v>16.5</v>
      </c>
      <c r="H93" s="14">
        <v>2.64</v>
      </c>
      <c r="I93" s="14">
        <v>45</v>
      </c>
      <c r="J93" s="29"/>
    </row>
    <row r="94" spans="1:10" ht="16.5" customHeight="1" x14ac:dyDescent="0.25">
      <c r="A94" s="56">
        <v>6697</v>
      </c>
      <c r="B94" s="94" t="s">
        <v>66</v>
      </c>
      <c r="C94" s="51" t="s">
        <v>20</v>
      </c>
      <c r="D94" s="52">
        <v>1001301876697</v>
      </c>
      <c r="E94" s="24">
        <v>100</v>
      </c>
      <c r="F94" s="23">
        <v>0.35</v>
      </c>
      <c r="G94" s="23">
        <f t="shared" si="11"/>
        <v>35</v>
      </c>
      <c r="H94" s="14">
        <v>2.8</v>
      </c>
      <c r="I94" s="14">
        <v>45</v>
      </c>
      <c r="J94" s="29"/>
    </row>
    <row r="95" spans="1:10" ht="16.5" customHeight="1" x14ac:dyDescent="0.25">
      <c r="A95" s="56">
        <v>7169</v>
      </c>
      <c r="B95" s="94" t="s">
        <v>70</v>
      </c>
      <c r="C95" s="51" t="s">
        <v>20</v>
      </c>
      <c r="D95" s="52">
        <v>1001303987169</v>
      </c>
      <c r="E95" s="24">
        <v>100</v>
      </c>
      <c r="F95" s="23">
        <v>0.35</v>
      </c>
      <c r="G95" s="23">
        <f t="shared" si="11"/>
        <v>35</v>
      </c>
      <c r="H95" s="14">
        <v>2.8</v>
      </c>
      <c r="I95" s="14">
        <v>50</v>
      </c>
      <c r="J95" s="29"/>
    </row>
    <row r="96" spans="1:10" ht="15.75" hidden="1" customHeight="1" x14ac:dyDescent="0.25">
      <c r="A96" s="56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</row>
    <row r="97" spans="1:10" ht="15.75" customHeight="1" x14ac:dyDescent="0.25">
      <c r="A97" s="56">
        <v>7236</v>
      </c>
      <c r="B97" s="54" t="s">
        <v>68</v>
      </c>
      <c r="C97" s="51" t="s">
        <v>20</v>
      </c>
      <c r="D97" s="52">
        <v>1001304507236</v>
      </c>
      <c r="E97" s="24">
        <v>100</v>
      </c>
      <c r="F97" s="23">
        <v>0.28000000000000003</v>
      </c>
      <c r="G97" s="23">
        <f t="shared" si="11"/>
        <v>28.000000000000004</v>
      </c>
      <c r="H97" s="14">
        <v>2.2400000000000002</v>
      </c>
      <c r="I97" s="14">
        <v>45</v>
      </c>
      <c r="J97" s="50"/>
    </row>
    <row r="98" spans="1:10" ht="15.75" hidden="1" customHeight="1" x14ac:dyDescent="0.25">
      <c r="A98" s="56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</row>
    <row r="99" spans="1:10" ht="15.75" customHeight="1" x14ac:dyDescent="0.25">
      <c r="A99" s="56">
        <v>7232</v>
      </c>
      <c r="B99" s="54" t="s">
        <v>61</v>
      </c>
      <c r="C99" s="51" t="s">
        <v>20</v>
      </c>
      <c r="D99" s="52">
        <v>1001302277232</v>
      </c>
      <c r="E99" s="24">
        <v>150</v>
      </c>
      <c r="F99" s="23">
        <v>0.28000000000000003</v>
      </c>
      <c r="G99" s="23">
        <f t="shared" si="11"/>
        <v>42.000000000000007</v>
      </c>
      <c r="H99" s="14">
        <v>2.2400000000000002</v>
      </c>
      <c r="I99" s="14">
        <v>50</v>
      </c>
      <c r="J99" s="50"/>
    </row>
    <row r="100" spans="1:10" ht="15.75" customHeight="1" x14ac:dyDescent="0.25">
      <c r="A100" s="56">
        <v>7154</v>
      </c>
      <c r="B100" s="54" t="s">
        <v>64</v>
      </c>
      <c r="C100" s="51" t="s">
        <v>20</v>
      </c>
      <c r="D100" s="52">
        <v>1001300387154</v>
      </c>
      <c r="E100" s="24">
        <v>100</v>
      </c>
      <c r="F100" s="23">
        <v>0.35</v>
      </c>
      <c r="G100" s="23">
        <f t="shared" si="11"/>
        <v>35</v>
      </c>
      <c r="H100" s="14">
        <v>2.8</v>
      </c>
      <c r="I100" s="14">
        <v>50</v>
      </c>
      <c r="J100" s="50"/>
    </row>
    <row r="101" spans="1:10" ht="15.75" hidden="1" customHeight="1" x14ac:dyDescent="0.25">
      <c r="A101" s="56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</row>
    <row r="102" spans="1:10" ht="15.75" hidden="1" customHeight="1" x14ac:dyDescent="0.25">
      <c r="A102" s="114">
        <v>7237</v>
      </c>
      <c r="B102" s="115" t="s">
        <v>67</v>
      </c>
      <c r="C102" s="116" t="s">
        <v>20</v>
      </c>
      <c r="D102" s="117">
        <v>1001304497237</v>
      </c>
      <c r="E102" s="118"/>
      <c r="F102" s="119">
        <v>0.28000000000000003</v>
      </c>
      <c r="G102" s="119">
        <f t="shared" si="11"/>
        <v>0</v>
      </c>
      <c r="H102" s="120">
        <v>2.2400000000000002</v>
      </c>
      <c r="I102" s="120">
        <v>45</v>
      </c>
      <c r="J102" s="120" t="s">
        <v>212</v>
      </c>
    </row>
    <row r="103" spans="1:10" ht="15.75" hidden="1" customHeight="1" x14ac:dyDescent="0.25">
      <c r="A103" s="56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</row>
    <row r="104" spans="1:10" ht="15.75" hidden="1" customHeight="1" x14ac:dyDescent="0.25">
      <c r="A104" s="56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</row>
    <row r="105" spans="1:10" ht="15.75" hidden="1" customHeight="1" x14ac:dyDescent="0.25">
      <c r="A105" s="56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</row>
    <row r="106" spans="1:10" ht="15.75" hidden="1" customHeight="1" x14ac:dyDescent="0.25">
      <c r="A106" s="112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</row>
    <row r="107" spans="1:10" ht="15.75" hidden="1" customHeight="1" thickBot="1" x14ac:dyDescent="0.25">
      <c r="A107" s="112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</row>
    <row r="108" spans="1:10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</row>
    <row r="109" spans="1:10" ht="16.5" hidden="1" customHeight="1" thickTop="1" x14ac:dyDescent="0.25">
      <c r="A109" s="56">
        <v>614</v>
      </c>
      <c r="B109" s="54" t="s">
        <v>140</v>
      </c>
      <c r="C109" s="51" t="s">
        <v>22</v>
      </c>
      <c r="D109" s="52">
        <v>1001060720614</v>
      </c>
      <c r="E109" s="24"/>
      <c r="F109" s="57">
        <v>0.52</v>
      </c>
      <c r="G109" s="23">
        <f t="shared" ref="G109:G112" si="12">E109</f>
        <v>0</v>
      </c>
      <c r="H109" s="89">
        <v>3.64</v>
      </c>
      <c r="I109" s="88">
        <v>120</v>
      </c>
      <c r="J109" s="29"/>
    </row>
    <row r="110" spans="1:10" ht="16.5" hidden="1" customHeight="1" x14ac:dyDescent="0.25">
      <c r="A110" s="56">
        <v>3287</v>
      </c>
      <c r="B110" s="54" t="s">
        <v>90</v>
      </c>
      <c r="C110" s="51" t="s">
        <v>22</v>
      </c>
      <c r="D110" s="52">
        <v>1001060763287</v>
      </c>
      <c r="E110" s="24"/>
      <c r="F110" s="57">
        <v>0.48799999999999999</v>
      </c>
      <c r="G110" s="23">
        <f t="shared" si="12"/>
        <v>0</v>
      </c>
      <c r="H110" s="89">
        <v>3.9</v>
      </c>
      <c r="I110" s="88">
        <v>120</v>
      </c>
      <c r="J110" s="29"/>
    </row>
    <row r="111" spans="1:10" ht="16.5" hidden="1" customHeight="1" x14ac:dyDescent="0.25">
      <c r="A111" s="56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87">
        <v>4</v>
      </c>
      <c r="I111" s="14">
        <v>120</v>
      </c>
      <c r="J111" s="29"/>
    </row>
    <row r="112" spans="1:10" ht="16.5" hidden="1" customHeight="1" x14ac:dyDescent="0.25">
      <c r="A112" s="56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</row>
    <row r="113" spans="1:10" ht="16.5" hidden="1" customHeight="1" x14ac:dyDescent="0.25">
      <c r="A113" s="56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</row>
    <row r="114" spans="1:10" ht="16.5" hidden="1" customHeight="1" x14ac:dyDescent="0.25">
      <c r="A114" s="56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</row>
    <row r="115" spans="1:10" ht="16.5" hidden="1" customHeight="1" x14ac:dyDescent="0.25">
      <c r="A115" s="56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</row>
    <row r="116" spans="1:10" ht="16.5" customHeight="1" x14ac:dyDescent="0.25">
      <c r="A116" s="56">
        <v>7147</v>
      </c>
      <c r="B116" s="54" t="s">
        <v>85</v>
      </c>
      <c r="C116" s="51" t="s">
        <v>20</v>
      </c>
      <c r="D116" s="52">
        <v>1001063237147</v>
      </c>
      <c r="E116" s="24">
        <v>30</v>
      </c>
      <c r="F116" s="23">
        <v>0.22</v>
      </c>
      <c r="G116" s="23">
        <f t="shared" si="13"/>
        <v>6.6</v>
      </c>
      <c r="H116" s="14">
        <v>1.76</v>
      </c>
      <c r="I116" s="14">
        <v>120</v>
      </c>
      <c r="J116" s="29"/>
    </row>
    <row r="117" spans="1:10" ht="16.5" hidden="1" customHeight="1" x14ac:dyDescent="0.25">
      <c r="A117" s="56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</row>
    <row r="118" spans="1:10" ht="16.5" hidden="1" customHeight="1" x14ac:dyDescent="0.25">
      <c r="A118" s="56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</row>
    <row r="119" spans="1:10" ht="16.5" hidden="1" customHeight="1" x14ac:dyDescent="0.25">
      <c r="A119" s="56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</row>
    <row r="120" spans="1:10" ht="16.5" hidden="1" customHeight="1" x14ac:dyDescent="0.25">
      <c r="A120" s="56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</row>
    <row r="121" spans="1:10" ht="16.5" hidden="1" customHeight="1" x14ac:dyDescent="0.25">
      <c r="A121" s="56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</row>
    <row r="122" spans="1:10" ht="16.5" hidden="1" customHeight="1" x14ac:dyDescent="0.25">
      <c r="A122" s="56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</row>
    <row r="123" spans="1:10" ht="16.5" hidden="1" customHeight="1" x14ac:dyDescent="0.25">
      <c r="A123" s="56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</row>
    <row r="124" spans="1:10" ht="16.5" hidden="1" customHeight="1" x14ac:dyDescent="0.25">
      <c r="A124" s="56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6">
        <v>5483</v>
      </c>
      <c r="B125" s="54" t="s">
        <v>88</v>
      </c>
      <c r="C125" s="51" t="s">
        <v>20</v>
      </c>
      <c r="D125" s="52">
        <v>1001062505483</v>
      </c>
      <c r="E125" s="24">
        <v>100</v>
      </c>
      <c r="F125" s="23">
        <v>0.25</v>
      </c>
      <c r="G125" s="23">
        <f t="shared" si="13"/>
        <v>25</v>
      </c>
      <c r="H125" s="14">
        <v>2</v>
      </c>
      <c r="I125" s="14">
        <v>120</v>
      </c>
      <c r="J125" s="29"/>
    </row>
    <row r="126" spans="1:10" ht="16.5" customHeight="1" x14ac:dyDescent="0.25">
      <c r="A126" s="56">
        <v>5931</v>
      </c>
      <c r="B126" s="54" t="s">
        <v>77</v>
      </c>
      <c r="C126" s="51" t="s">
        <v>20</v>
      </c>
      <c r="D126" s="52">
        <v>1001060755931</v>
      </c>
      <c r="E126" s="24">
        <v>200</v>
      </c>
      <c r="F126" s="23">
        <v>0.22</v>
      </c>
      <c r="G126" s="23">
        <f t="shared" si="13"/>
        <v>44</v>
      </c>
      <c r="H126" s="14">
        <v>1.76</v>
      </c>
      <c r="I126" s="14">
        <v>120</v>
      </c>
      <c r="J126" s="29"/>
    </row>
    <row r="127" spans="1:10" ht="16.5" hidden="1" customHeight="1" x14ac:dyDescent="0.25">
      <c r="A127" s="56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</row>
    <row r="128" spans="1:10" ht="16.5" hidden="1" customHeight="1" x14ac:dyDescent="0.25">
      <c r="A128" s="56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</row>
    <row r="129" spans="1:10" ht="16.5" hidden="1" customHeight="1" x14ac:dyDescent="0.25">
      <c r="A129" s="56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</row>
    <row r="130" spans="1:10" ht="16.5" hidden="1" customHeight="1" x14ac:dyDescent="0.25">
      <c r="A130" s="56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</row>
    <row r="131" spans="1:10" ht="16.5" customHeight="1" x14ac:dyDescent="0.25">
      <c r="A131" s="56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</row>
    <row r="132" spans="1:10" ht="16.5" hidden="1" customHeight="1" x14ac:dyDescent="0.25">
      <c r="A132" s="112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</row>
    <row r="133" spans="1:10" ht="16.5" hidden="1" customHeight="1" x14ac:dyDescent="0.25">
      <c r="A133" s="112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</row>
    <row r="134" spans="1:10" ht="16.5" hidden="1" customHeight="1" x14ac:dyDescent="0.25">
      <c r="A134" s="56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</row>
    <row r="135" spans="1:10" ht="16.5" hidden="1" customHeight="1" x14ac:dyDescent="0.25">
      <c r="A135" s="56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</row>
    <row r="136" spans="1:10" ht="16.5" hidden="1" customHeight="1" x14ac:dyDescent="0.25">
      <c r="A136" s="114">
        <v>6834</v>
      </c>
      <c r="B136" s="115" t="s">
        <v>132</v>
      </c>
      <c r="C136" s="116" t="s">
        <v>20</v>
      </c>
      <c r="D136" s="117">
        <v>1001203146834</v>
      </c>
      <c r="E136" s="118"/>
      <c r="F136" s="119">
        <v>0.1</v>
      </c>
      <c r="G136" s="119">
        <f t="shared" si="15"/>
        <v>0</v>
      </c>
      <c r="H136" s="120">
        <v>1</v>
      </c>
      <c r="I136" s="120">
        <v>60</v>
      </c>
      <c r="J136" s="120" t="s">
        <v>203</v>
      </c>
    </row>
    <row r="137" spans="1:10" ht="16.5" hidden="1" customHeight="1" x14ac:dyDescent="0.25">
      <c r="A137" s="114">
        <v>6965</v>
      </c>
      <c r="B137" s="115" t="s">
        <v>134</v>
      </c>
      <c r="C137" s="116" t="s">
        <v>20</v>
      </c>
      <c r="D137" s="117">
        <v>1001206356965</v>
      </c>
      <c r="E137" s="118"/>
      <c r="F137" s="119">
        <v>7.0000000000000007E-2</v>
      </c>
      <c r="G137" s="119">
        <f t="shared" si="15"/>
        <v>0</v>
      </c>
      <c r="H137" s="120">
        <v>0.98</v>
      </c>
      <c r="I137" s="120">
        <v>60</v>
      </c>
      <c r="J137" s="120" t="s">
        <v>203</v>
      </c>
    </row>
    <row r="138" spans="1:10" ht="16.5" hidden="1" customHeight="1" x14ac:dyDescent="0.25">
      <c r="A138" s="114">
        <v>6557</v>
      </c>
      <c r="B138" s="115" t="s">
        <v>135</v>
      </c>
      <c r="C138" s="116" t="s">
        <v>20</v>
      </c>
      <c r="D138" s="117">
        <v>1001200756557</v>
      </c>
      <c r="E138" s="118"/>
      <c r="F138" s="119">
        <v>0.1</v>
      </c>
      <c r="G138" s="119">
        <f t="shared" si="15"/>
        <v>0</v>
      </c>
      <c r="H138" s="120">
        <v>1</v>
      </c>
      <c r="I138" s="120">
        <v>60</v>
      </c>
      <c r="J138" s="120" t="s">
        <v>203</v>
      </c>
    </row>
    <row r="139" spans="1:10" ht="16.5" hidden="1" customHeight="1" thickBot="1" x14ac:dyDescent="0.25">
      <c r="A139" s="112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</row>
    <row r="140" spans="1:10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x14ac:dyDescent="0.25">
      <c r="A141" s="56">
        <v>6470</v>
      </c>
      <c r="B141" s="93" t="s">
        <v>116</v>
      </c>
      <c r="C141" s="51" t="s">
        <v>22</v>
      </c>
      <c r="D141" s="92">
        <v>1001092436470</v>
      </c>
      <c r="E141" s="24">
        <v>50</v>
      </c>
      <c r="F141" s="23">
        <v>1.2</v>
      </c>
      <c r="G141" s="23">
        <f>E141</f>
        <v>50</v>
      </c>
      <c r="H141" s="14">
        <v>4.8</v>
      </c>
      <c r="I141" s="14">
        <v>45</v>
      </c>
      <c r="J141" s="29"/>
    </row>
    <row r="142" spans="1:10" ht="16.149999999999999" hidden="1" customHeight="1" x14ac:dyDescent="0.25">
      <c r="A142" s="56"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hidden="1" customHeight="1" x14ac:dyDescent="0.25">
      <c r="A143" s="56"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16">E143</f>
        <v>0</v>
      </c>
      <c r="H143" s="29">
        <v>4.05</v>
      </c>
      <c r="I143" s="29">
        <v>60</v>
      </c>
      <c r="J143" s="29"/>
    </row>
    <row r="144" spans="1:10" ht="16.149999999999999" hidden="1" customHeight="1" x14ac:dyDescent="0.25">
      <c r="A144" s="56">
        <v>6866</v>
      </c>
      <c r="B144" s="90" t="s">
        <v>92</v>
      </c>
      <c r="C144" s="51" t="s">
        <v>22</v>
      </c>
      <c r="D144" s="52">
        <v>1001095716866</v>
      </c>
      <c r="E144" s="24"/>
      <c r="F144" s="57">
        <v>1.5</v>
      </c>
      <c r="G144" s="23">
        <f t="shared" si="16"/>
        <v>0</v>
      </c>
      <c r="H144" s="29">
        <v>6</v>
      </c>
      <c r="I144" s="29">
        <v>60</v>
      </c>
      <c r="J144" s="29"/>
    </row>
    <row r="145" spans="1:10" ht="16.149999999999999" hidden="1" customHeight="1" x14ac:dyDescent="0.25">
      <c r="A145" s="56"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16"/>
        <v>0</v>
      </c>
      <c r="H145" s="29">
        <v>6</v>
      </c>
      <c r="I145" s="29">
        <v>60</v>
      </c>
      <c r="J145" s="29"/>
    </row>
    <row r="146" spans="1:10" ht="16.149999999999999" hidden="1" customHeight="1" x14ac:dyDescent="0.25">
      <c r="A146" s="56">
        <v>4584</v>
      </c>
      <c r="B146" s="90" t="s">
        <v>174</v>
      </c>
      <c r="C146" s="51" t="s">
        <v>22</v>
      </c>
      <c r="D146" s="52">
        <v>1001092674584</v>
      </c>
      <c r="E146" s="24"/>
      <c r="F146" s="57">
        <v>2.5</v>
      </c>
      <c r="G146" s="23">
        <f t="shared" si="16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6">
        <v>3215</v>
      </c>
      <c r="B147" s="54" t="s">
        <v>175</v>
      </c>
      <c r="C147" s="51" t="s">
        <v>20</v>
      </c>
      <c r="D147" s="91">
        <v>1001094053215</v>
      </c>
      <c r="E147" s="24">
        <v>100</v>
      </c>
      <c r="F147" s="57">
        <v>0.4</v>
      </c>
      <c r="G147" s="23">
        <f t="shared" ref="G147:G150" si="17">E147*F147</f>
        <v>40</v>
      </c>
      <c r="H147" s="29">
        <v>3.2</v>
      </c>
      <c r="I147" s="29">
        <v>60</v>
      </c>
      <c r="J147" s="29"/>
    </row>
    <row r="148" spans="1:10" ht="16.5" customHeight="1" x14ac:dyDescent="0.25">
      <c r="A148" s="56">
        <v>5495</v>
      </c>
      <c r="B148" s="54" t="s">
        <v>94</v>
      </c>
      <c r="C148" s="51" t="s">
        <v>20</v>
      </c>
      <c r="D148" s="91">
        <v>1001093345495</v>
      </c>
      <c r="E148" s="24">
        <v>150</v>
      </c>
      <c r="F148" s="57">
        <v>0.4</v>
      </c>
      <c r="G148" s="23">
        <f t="shared" si="17"/>
        <v>60</v>
      </c>
      <c r="H148" s="29">
        <v>2.4</v>
      </c>
      <c r="I148" s="29">
        <v>60</v>
      </c>
      <c r="J148" s="29"/>
    </row>
    <row r="149" spans="1:10" ht="16.5" hidden="1" customHeight="1" x14ac:dyDescent="0.25">
      <c r="A149" s="56"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17"/>
        <v>0</v>
      </c>
      <c r="H149" s="29">
        <v>1.8</v>
      </c>
      <c r="I149" s="29">
        <v>45</v>
      </c>
      <c r="J149" s="29"/>
    </row>
    <row r="150" spans="1:10" ht="15.75" hidden="1" customHeight="1" x14ac:dyDescent="0.25">
      <c r="A150" s="56"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17"/>
        <v>0</v>
      </c>
      <c r="H150" s="29">
        <v>4.8</v>
      </c>
      <c r="I150" s="29">
        <v>45</v>
      </c>
      <c r="J150" s="29"/>
    </row>
    <row r="151" spans="1:10" ht="15.75" hidden="1" customHeight="1" x14ac:dyDescent="0.25">
      <c r="A151" s="112">
        <v>7647</v>
      </c>
      <c r="B151" s="54" t="s">
        <v>195</v>
      </c>
      <c r="C151" s="51" t="s">
        <v>20</v>
      </c>
      <c r="D151" s="91">
        <v>1001097747647</v>
      </c>
      <c r="E151" s="24"/>
      <c r="F151" s="57">
        <v>0.1</v>
      </c>
      <c r="G151" s="23">
        <f>E151*F151</f>
        <v>0</v>
      </c>
      <c r="H151" s="29">
        <v>1</v>
      </c>
      <c r="I151" s="29">
        <v>30</v>
      </c>
      <c r="J151" s="113" t="s">
        <v>196</v>
      </c>
    </row>
    <row r="152" spans="1:10" ht="15.75" hidden="1" customHeight="1" thickBot="1" x14ac:dyDescent="0.25">
      <c r="A152" s="112">
        <v>7651</v>
      </c>
      <c r="B152" s="54" t="s">
        <v>197</v>
      </c>
      <c r="C152" s="51" t="s">
        <v>20</v>
      </c>
      <c r="D152" s="91">
        <v>1001097767651</v>
      </c>
      <c r="E152" s="24"/>
      <c r="F152" s="57">
        <v>0.1</v>
      </c>
      <c r="G152" s="23">
        <f>E152*F152</f>
        <v>0</v>
      </c>
      <c r="H152" s="29">
        <v>1</v>
      </c>
      <c r="I152" s="29">
        <v>30</v>
      </c>
      <c r="J152" s="113" t="s">
        <v>196</v>
      </c>
    </row>
    <row r="153" spans="1:10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</row>
    <row r="154" spans="1:10" ht="15.75" hidden="1" customHeight="1" thickTop="1" thickBot="1" x14ac:dyDescent="0.25">
      <c r="A154" s="112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13" t="s">
        <v>196</v>
      </c>
    </row>
    <row r="155" spans="1:10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</row>
    <row r="156" spans="1:10" ht="16.5" hidden="1" customHeight="1" thickTop="1" x14ac:dyDescent="0.25">
      <c r="A156" s="56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</row>
    <row r="157" spans="1:10" ht="16.5" hidden="1" customHeight="1" x14ac:dyDescent="0.25">
      <c r="A157" s="56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</row>
    <row r="158" spans="1:10" ht="16.5" hidden="1" customHeight="1" x14ac:dyDescent="0.25">
      <c r="A158" s="112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13" t="s">
        <v>196</v>
      </c>
    </row>
    <row r="159" spans="1:10" ht="16.5" customHeight="1" x14ac:dyDescent="0.25">
      <c r="A159" s="56">
        <v>7090</v>
      </c>
      <c r="B159" s="35" t="s">
        <v>100</v>
      </c>
      <c r="C159" s="51" t="s">
        <v>20</v>
      </c>
      <c r="D159" s="52">
        <v>1001084217090</v>
      </c>
      <c r="E159" s="24">
        <v>100</v>
      </c>
      <c r="F159" s="23">
        <v>0.3</v>
      </c>
      <c r="G159" s="23">
        <f t="shared" si="18"/>
        <v>30</v>
      </c>
      <c r="H159" s="14">
        <v>1.8</v>
      </c>
      <c r="I159" s="14">
        <v>50</v>
      </c>
      <c r="J159" s="29"/>
    </row>
    <row r="160" spans="1:10" ht="16.5" hidden="1" customHeight="1" x14ac:dyDescent="0.25">
      <c r="A160" s="56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</row>
    <row r="161" spans="1:10" ht="16.5" customHeight="1" thickBot="1" x14ac:dyDescent="0.3">
      <c r="A161" s="56">
        <v>6279</v>
      </c>
      <c r="B161" s="35" t="s">
        <v>98</v>
      </c>
      <c r="C161" s="51" t="s">
        <v>20</v>
      </c>
      <c r="D161" s="52">
        <v>1001220286279</v>
      </c>
      <c r="E161" s="24">
        <v>50</v>
      </c>
      <c r="F161" s="23">
        <v>0.15</v>
      </c>
      <c r="G161" s="23">
        <f t="shared" si="18"/>
        <v>7.5</v>
      </c>
      <c r="H161" s="14">
        <v>1.2</v>
      </c>
      <c r="I161" s="14">
        <v>45</v>
      </c>
      <c r="J161" s="29"/>
    </row>
    <row r="162" spans="1:10" ht="16.5" hidden="1" customHeight="1" x14ac:dyDescent="0.3">
      <c r="A162" s="56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</row>
    <row r="163" spans="1:10" ht="16.5" hidden="1" customHeight="1" x14ac:dyDescent="0.3">
      <c r="A163" s="56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</row>
    <row r="164" spans="1:10" ht="16.5" hidden="1" customHeight="1" x14ac:dyDescent="0.3">
      <c r="A164" s="56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</row>
    <row r="165" spans="1:10" ht="16.5" hidden="1" customHeight="1" x14ac:dyDescent="0.3">
      <c r="A165" s="56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</row>
    <row r="166" spans="1:10" ht="16.5" hidden="1" customHeight="1" x14ac:dyDescent="0.3">
      <c r="A166" s="56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</row>
    <row r="167" spans="1:10" ht="16.5" hidden="1" customHeight="1" thickBot="1" x14ac:dyDescent="0.3">
      <c r="A167" s="112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</row>
    <row r="168" spans="1:10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3050</v>
      </c>
      <c r="F168" s="17"/>
      <c r="G168" s="17">
        <f>SUM(G11:G167)</f>
        <v>1174.5999999999999</v>
      </c>
      <c r="H168" s="17"/>
      <c r="I168" s="17"/>
      <c r="J168" s="17"/>
    </row>
    <row r="169" spans="1:10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54"/>
      <c r="E177" s="4"/>
      <c r="F177" s="54"/>
      <c r="G177" s="58"/>
      <c r="H177" s="52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25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25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25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25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25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25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25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25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25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25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25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25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25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25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25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25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25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25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25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25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25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25">
      <c r="B24" s="59">
        <v>6797</v>
      </c>
      <c r="C24" s="63">
        <v>1001015026797</v>
      </c>
      <c r="D24" s="97" t="s">
        <v>114</v>
      </c>
      <c r="E24" s="97" t="s">
        <v>173</v>
      </c>
      <c r="F24" s="59" t="s">
        <v>20</v>
      </c>
      <c r="G24" s="70">
        <v>0.4</v>
      </c>
    </row>
    <row r="25" spans="2:7" ht="21" x14ac:dyDescent="0.25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25" x14ac:dyDescent="0.25">
      <c r="B26" s="73"/>
      <c r="C26" s="98"/>
      <c r="D26" s="99" t="s">
        <v>91</v>
      </c>
      <c r="E26" s="100"/>
      <c r="F26" s="101"/>
      <c r="G26" s="102"/>
    </row>
    <row r="27" spans="2:7" ht="21" x14ac:dyDescent="0.25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25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25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25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25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25">
      <c r="B32" s="75">
        <v>4584</v>
      </c>
      <c r="C32" s="64">
        <v>1001092674584</v>
      </c>
      <c r="D32" s="65" t="s">
        <v>174</v>
      </c>
      <c r="E32" s="65"/>
      <c r="F32" s="67" t="s">
        <v>22</v>
      </c>
      <c r="G32" s="68">
        <v>1</v>
      </c>
    </row>
    <row r="33" spans="2:7" ht="21" x14ac:dyDescent="0.25">
      <c r="B33" s="59">
        <v>3215</v>
      </c>
      <c r="C33" s="96">
        <v>1001094053215</v>
      </c>
      <c r="D33" s="60" t="s">
        <v>175</v>
      </c>
      <c r="E33" s="60"/>
      <c r="F33" s="59" t="s">
        <v>20</v>
      </c>
      <c r="G33" s="70">
        <v>0.4</v>
      </c>
    </row>
    <row r="34" spans="2:7" ht="21" x14ac:dyDescent="0.25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25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25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25" x14ac:dyDescent="0.25">
      <c r="B37" s="103"/>
      <c r="C37" s="104"/>
      <c r="D37" s="105" t="s">
        <v>119</v>
      </c>
      <c r="E37" s="106"/>
      <c r="F37" s="107"/>
      <c r="G37" s="108"/>
    </row>
    <row r="38" spans="2:7" ht="21" x14ac:dyDescent="0.25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25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25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25" x14ac:dyDescent="0.25">
      <c r="B41" s="73"/>
      <c r="C41" s="98"/>
      <c r="D41" s="99" t="s">
        <v>127</v>
      </c>
      <c r="E41" s="100"/>
      <c r="F41" s="101"/>
      <c r="G41" s="102"/>
    </row>
    <row r="42" spans="2:7" ht="23.25" x14ac:dyDescent="0.25">
      <c r="B42" s="59">
        <v>7103</v>
      </c>
      <c r="C42" s="96">
        <v>1001223297103</v>
      </c>
      <c r="D42" s="60" t="s">
        <v>176</v>
      </c>
      <c r="E42" s="109"/>
      <c r="F42" s="59" t="s">
        <v>20</v>
      </c>
      <c r="G42" s="68">
        <v>0.18</v>
      </c>
    </row>
    <row r="43" spans="2:7" ht="21" x14ac:dyDescent="0.25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25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25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25">
      <c r="B46" s="59">
        <v>6754</v>
      </c>
      <c r="C46" s="96">
        <v>1001225406754</v>
      </c>
      <c r="D46" s="60" t="s">
        <v>177</v>
      </c>
      <c r="E46" s="60"/>
      <c r="F46" s="59" t="s">
        <v>20</v>
      </c>
      <c r="G46" s="70">
        <v>0.09</v>
      </c>
    </row>
    <row r="47" spans="2:7" ht="23.25" x14ac:dyDescent="0.25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25" x14ac:dyDescent="0.25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25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25" x14ac:dyDescent="0.25">
      <c r="B50" s="73"/>
      <c r="C50" s="98"/>
      <c r="D50" s="99" t="s">
        <v>120</v>
      </c>
      <c r="E50" s="100"/>
      <c r="F50" s="101"/>
      <c r="G50" s="102"/>
    </row>
    <row r="51" spans="2:7" ht="21" x14ac:dyDescent="0.25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25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25">
      <c r="B53" s="75">
        <v>6946</v>
      </c>
      <c r="C53" s="64">
        <v>1001300456946</v>
      </c>
      <c r="D53" s="65" t="s">
        <v>178</v>
      </c>
      <c r="E53" s="65"/>
      <c r="F53" s="67" t="s">
        <v>22</v>
      </c>
      <c r="G53" s="68">
        <v>1</v>
      </c>
    </row>
    <row r="54" spans="2:7" ht="21" x14ac:dyDescent="0.25">
      <c r="B54" s="75">
        <v>7132</v>
      </c>
      <c r="C54" s="64">
        <v>1001300517132</v>
      </c>
      <c r="D54" s="65" t="s">
        <v>179</v>
      </c>
      <c r="E54" s="65"/>
      <c r="F54" s="67" t="s">
        <v>22</v>
      </c>
      <c r="G54" s="68">
        <v>1</v>
      </c>
    </row>
    <row r="55" spans="2:7" ht="21" x14ac:dyDescent="0.25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25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25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25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25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25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25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25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25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25">
      <c r="B64" s="59">
        <v>7233</v>
      </c>
      <c r="C64" s="62">
        <v>1001303637233</v>
      </c>
      <c r="D64" s="60" t="s">
        <v>180</v>
      </c>
      <c r="E64" s="60"/>
      <c r="F64" s="67" t="s">
        <v>20</v>
      </c>
      <c r="G64" s="68">
        <v>0.31</v>
      </c>
    </row>
    <row r="65" spans="2:7" ht="21" x14ac:dyDescent="0.25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25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25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25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25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25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25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25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25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25" x14ac:dyDescent="0.25">
      <c r="B74" s="78"/>
      <c r="C74" s="71"/>
      <c r="D74" s="72" t="s">
        <v>125</v>
      </c>
      <c r="E74" s="72"/>
      <c r="F74" s="73"/>
      <c r="G74" s="74"/>
    </row>
    <row r="75" spans="2:7" ht="21" x14ac:dyDescent="0.25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25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25" x14ac:dyDescent="0.25">
      <c r="B77" s="73"/>
      <c r="C77" s="98"/>
      <c r="D77" s="99" t="s">
        <v>130</v>
      </c>
      <c r="E77" s="100"/>
      <c r="F77" s="101"/>
      <c r="G77" s="102"/>
    </row>
    <row r="78" spans="2:7" ht="21" x14ac:dyDescent="0.25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25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25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25">
      <c r="B81" s="75">
        <v>6453</v>
      </c>
      <c r="C81" s="64">
        <v>1001202506453</v>
      </c>
      <c r="D81" s="65" t="s">
        <v>181</v>
      </c>
      <c r="E81" s="65"/>
      <c r="F81" s="67" t="s">
        <v>20</v>
      </c>
      <c r="G81" s="68">
        <v>0.1</v>
      </c>
    </row>
    <row r="82" spans="2:7" ht="21" x14ac:dyDescent="0.25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25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25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25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25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25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25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25" x14ac:dyDescent="0.25">
      <c r="B89" s="73"/>
      <c r="C89" s="98"/>
      <c r="D89" s="99" t="s">
        <v>76</v>
      </c>
      <c r="E89" s="100"/>
      <c r="F89" s="101"/>
      <c r="G89" s="102"/>
    </row>
    <row r="90" spans="2:7" ht="21" x14ac:dyDescent="0.25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25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25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25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25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25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25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25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25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25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25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25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25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25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25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25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25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25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25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25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25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25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25" x14ac:dyDescent="0.25">
      <c r="B112" s="103"/>
      <c r="C112" s="104"/>
      <c r="D112" s="105" t="s">
        <v>182</v>
      </c>
      <c r="E112" s="106"/>
      <c r="F112" s="107"/>
      <c r="G112" s="108"/>
    </row>
    <row r="113" spans="2:7" ht="21" x14ac:dyDescent="0.25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25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25">
      <c r="B115" s="75">
        <v>6549</v>
      </c>
      <c r="C115" s="64">
        <v>1001032736549</v>
      </c>
      <c r="D115" s="65" t="s">
        <v>183</v>
      </c>
      <c r="E115" s="79"/>
      <c r="F115" s="67" t="s">
        <v>22</v>
      </c>
      <c r="G115" s="68">
        <v>1</v>
      </c>
    </row>
    <row r="116" spans="2:7" ht="21" x14ac:dyDescent="0.25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25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25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25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25" x14ac:dyDescent="0.25">
      <c r="B120" s="73"/>
      <c r="C120" s="98"/>
      <c r="D120" s="99" t="s">
        <v>184</v>
      </c>
      <c r="E120" s="100"/>
      <c r="F120" s="101"/>
      <c r="G120" s="102"/>
    </row>
    <row r="121" spans="2:7" ht="21" x14ac:dyDescent="0.25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25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25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25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25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25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25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25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25">
      <c r="B129" s="75">
        <v>7076</v>
      </c>
      <c r="C129" s="64">
        <v>1001022657076</v>
      </c>
      <c r="D129" s="65" t="s">
        <v>185</v>
      </c>
      <c r="E129" s="65"/>
      <c r="F129" s="67" t="s">
        <v>22</v>
      </c>
      <c r="G129" s="68">
        <v>1</v>
      </c>
    </row>
    <row r="130" spans="2:7" ht="21" x14ac:dyDescent="0.25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25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25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25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25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25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25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25">
      <c r="B137" s="59">
        <v>7123</v>
      </c>
      <c r="C137" s="63">
        <v>1001020867123</v>
      </c>
      <c r="D137" s="60" t="s">
        <v>186</v>
      </c>
      <c r="E137" s="65"/>
      <c r="F137" s="67" t="s">
        <v>20</v>
      </c>
      <c r="G137" s="68">
        <v>0.3</v>
      </c>
    </row>
    <row r="138" spans="2:7" ht="21" x14ac:dyDescent="0.25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25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25">
      <c r="B140" s="82">
        <v>7284</v>
      </c>
      <c r="C140" s="81">
        <v>1001025767284</v>
      </c>
      <c r="D140" s="80" t="s">
        <v>187</v>
      </c>
      <c r="E140" s="80"/>
      <c r="F140" s="110" t="s">
        <v>20</v>
      </c>
      <c r="G140" s="111">
        <v>0.33</v>
      </c>
    </row>
    <row r="141" spans="2:7" ht="21" x14ac:dyDescent="0.25">
      <c r="B141" s="59">
        <v>7601</v>
      </c>
      <c r="C141" s="63">
        <v>1001025767601</v>
      </c>
      <c r="D141" s="60" t="s">
        <v>188</v>
      </c>
      <c r="E141" s="79"/>
      <c r="F141" s="59" t="s">
        <v>20</v>
      </c>
      <c r="G141" s="70">
        <v>0.26</v>
      </c>
    </row>
    <row r="142" spans="2:7" ht="21" x14ac:dyDescent="0.25">
      <c r="B142" s="82">
        <v>7461</v>
      </c>
      <c r="C142" s="83">
        <v>1001025767461</v>
      </c>
      <c r="D142" s="80" t="s">
        <v>189</v>
      </c>
      <c r="E142" s="79"/>
      <c r="F142" s="82" t="s">
        <v>20</v>
      </c>
      <c r="G142" s="85">
        <v>0.33</v>
      </c>
    </row>
    <row r="143" spans="2:7" ht="21" x14ac:dyDescent="0.25">
      <c r="B143" s="59">
        <v>7371</v>
      </c>
      <c r="C143" s="63">
        <v>1001026947371</v>
      </c>
      <c r="D143" s="60" t="s">
        <v>190</v>
      </c>
      <c r="E143" s="77"/>
      <c r="F143" s="59" t="s">
        <v>20</v>
      </c>
      <c r="G143" s="70">
        <v>0.3</v>
      </c>
    </row>
    <row r="144" spans="2:7" ht="21" x14ac:dyDescent="0.25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25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25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25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25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25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25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25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25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25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25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25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25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2026-10-08T07:17:53Z</dcterms:modified>
</cp:coreProperties>
</file>