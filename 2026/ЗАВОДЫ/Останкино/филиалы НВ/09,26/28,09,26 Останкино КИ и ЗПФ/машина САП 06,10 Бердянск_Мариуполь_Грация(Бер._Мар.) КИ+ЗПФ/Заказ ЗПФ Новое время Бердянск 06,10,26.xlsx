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6,10 Бердянск_Мариуполь_Грация(Бер._Мар.) КИ+ЗПФ\"/>
    </mc:Choice>
  </mc:AlternateContent>
  <xr:revisionPtr revIDLastSave="0" documentId="13_ncr:1_{A287EC2B-1064-4852-80FE-214FCA68C9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F3" i="1"/>
  <c r="G24" i="1" l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<sst xmlns="http://schemas.openxmlformats.org/spreadsheetml/2006/main" count="61" uniqueCount="46">
  <si>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</si>
  <si>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</si>
  <si>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</si>
  <si>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</si>
  <si>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</si>
  <si>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</si>
  <si>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</si>
  <si>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</si>
  <si>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 с. Трояны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</si>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</sst>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O1538"/>
  <sheetViews>
    <sheetView tabSelected="1" zoomScale="85" zoomScaleNormal="85" workbookViewId="0">
      <pane ySplit="9" topLeftCell="A10" activePane="bottomLeft" state="frozen"/>
      <selection pane="bottomLeft" activeCell="D13" sqref="D13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130133082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1"/>
      <c r="C3" s="7" t="s">
        <v>6</v>
      </c>
      <c r="D3" s="61">
        <v>46301</v>
      </c>
      <c r="E3" s="7" t="s">
        <v>7</v>
      </c>
      <c r="F3" s="61">
        <f>D3+3</f>
        <v>46304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6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7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16</v>
      </c>
      <c r="D7" s="36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19</v>
      </c>
      <c r="B9" s="43" t="s">
        <v>20</v>
      </c>
      <c r="C9" s="12" t="s">
        <v>21</v>
      </c>
      <c r="D9" s="33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9" t="s">
        <v>28</v>
      </c>
      <c r="K9" s="27"/>
    </row>
    <row r="10" spans="1:15" ht="16.5" hidden="1" customHeight="1" thickTop="1" thickBot="1" x14ac:dyDescent="0.3">
      <c r="A10" s="46"/>
      <c r="B10" s="41" t="s">
        <v>29</v>
      </c>
      <c r="C10" s="41"/>
      <c r="D10" s="41"/>
      <c r="E10" s="41"/>
      <c r="F10" s="40"/>
      <c r="G10" s="41"/>
      <c r="H10" s="41"/>
      <c r="I10" s="41"/>
      <c r="J10" s="42"/>
    </row>
    <row r="11" spans="1:15" ht="16.5" hidden="1" customHeight="1" thickTop="1" thickBot="1" x14ac:dyDescent="0.3">
      <c r="A11" s="46"/>
      <c r="B11" s="41" t="s">
        <v>30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25">
      <c r="A12" s="55">
        <v>5897</v>
      </c>
      <c r="B12" s="49" t="s">
        <v>31</v>
      </c>
      <c r="C12" s="47" t="s">
        <v>32</v>
      </c>
      <c r="D12" s="48">
        <v>1002134615897</v>
      </c>
      <c r="E12" s="23">
        <v>20</v>
      </c>
      <c r="F12" s="22">
        <v>0.42</v>
      </c>
      <c r="G12" s="22">
        <f t="shared" ref="G12:G19" si="0">E12*F12</f>
        <v>8.4</v>
      </c>
      <c r="H12" s="14">
        <v>4.2</v>
      </c>
      <c r="I12" s="14">
        <v>120</v>
      </c>
      <c r="J12" s="28"/>
    </row>
    <row r="13" spans="1:15" ht="16.5" customHeight="1" x14ac:dyDescent="0.25">
      <c r="A13" s="55">
        <v>6149</v>
      </c>
      <c r="B13" s="49" t="s">
        <v>33</v>
      </c>
      <c r="C13" s="47" t="s">
        <v>32</v>
      </c>
      <c r="D13" s="48">
        <v>1002131166149</v>
      </c>
      <c r="E13" s="23">
        <v>170</v>
      </c>
      <c r="F13" s="22">
        <v>0.3</v>
      </c>
      <c r="G13" s="22">
        <f t="shared" si="0"/>
        <v>51</v>
      </c>
      <c r="H13" s="14">
        <v>3.6</v>
      </c>
      <c r="I13" s="14">
        <v>120</v>
      </c>
      <c r="J13" s="28"/>
    </row>
    <row r="14" spans="1:15" ht="16.5" hidden="1" customHeight="1" x14ac:dyDescent="0.25">
      <c r="A14" s="55">
        <v>6819</v>
      </c>
      <c r="B14" s="49" t="s">
        <v>34</v>
      </c>
      <c r="C14" s="47" t="s">
        <v>32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5">
        <v>6202</v>
      </c>
      <c r="B15" s="49" t="s">
        <v>35</v>
      </c>
      <c r="C15" s="47" t="s">
        <v>32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25">
      <c r="A16" s="55">
        <v>6148</v>
      </c>
      <c r="B16" s="49" t="s">
        <v>36</v>
      </c>
      <c r="C16" s="47" t="s">
        <v>32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hidden="1" customHeight="1" x14ac:dyDescent="0.25">
      <c r="A17" s="55">
        <v>6209</v>
      </c>
      <c r="B17" s="49" t="s">
        <v>37</v>
      </c>
      <c r="C17" s="47" t="s">
        <v>32</v>
      </c>
      <c r="D17" s="48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49" t="s">
        <v>38</v>
      </c>
      <c r="C18" s="47" t="s">
        <v>32</v>
      </c>
      <c r="D18" s="48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28"/>
    </row>
    <row r="19" spans="1:10" ht="16.5" hidden="1" customHeight="1" x14ac:dyDescent="0.25">
      <c r="A19" s="55">
        <v>5579</v>
      </c>
      <c r="B19" s="49" t="s">
        <v>39</v>
      </c>
      <c r="C19" s="47" t="s">
        <v>32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thickBot="1" x14ac:dyDescent="0.3">
      <c r="A20" s="56">
        <v>5754</v>
      </c>
      <c r="B20" s="57" t="s">
        <v>40</v>
      </c>
      <c r="C20" s="47" t="s">
        <v>41</v>
      </c>
      <c r="D20" s="48">
        <v>1002131155754</v>
      </c>
      <c r="E20" s="23">
        <v>100</v>
      </c>
      <c r="F20" s="22">
        <v>4.5</v>
      </c>
      <c r="G20" s="58">
        <f>E20</f>
        <v>100</v>
      </c>
      <c r="H20" s="14">
        <v>4.5</v>
      </c>
      <c r="I20" s="14">
        <v>120</v>
      </c>
      <c r="J20" s="28"/>
    </row>
    <row r="21" spans="1:10" ht="15.75" hidden="1" customHeight="1" x14ac:dyDescent="0.3">
      <c r="A21" s="56">
        <v>5755</v>
      </c>
      <c r="B21" s="49" t="s">
        <v>42</v>
      </c>
      <c r="C21" s="47" t="s">
        <v>41</v>
      </c>
      <c r="D21" s="48">
        <v>1002131185755</v>
      </c>
      <c r="E21" s="23"/>
      <c r="F21" s="22">
        <v>4.5</v>
      </c>
      <c r="G21" s="58">
        <f>E21</f>
        <v>0</v>
      </c>
      <c r="H21" s="14">
        <v>4.5</v>
      </c>
      <c r="I21" s="14">
        <v>120</v>
      </c>
      <c r="J21" s="28"/>
    </row>
    <row r="22" spans="1:10" ht="16.5" hidden="1" customHeight="1" thickBot="1" x14ac:dyDescent="0.3">
      <c r="A22" s="51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hidden="1" customHeight="1" thickTop="1" thickBot="1" x14ac:dyDescent="0.3">
      <c r="A23" s="59">
        <v>7216</v>
      </c>
      <c r="B23" s="52" t="s">
        <v>44</v>
      </c>
      <c r="C23" s="47" t="s">
        <v>32</v>
      </c>
      <c r="D23" s="60">
        <v>1002116437216</v>
      </c>
      <c r="E23" s="53"/>
      <c r="F23" s="22">
        <v>0.7</v>
      </c>
      <c r="G23" s="58">
        <f>E23*F23</f>
        <v>0</v>
      </c>
      <c r="H23" s="14"/>
      <c r="I23" s="54"/>
      <c r="J23" s="54"/>
    </row>
    <row r="24" spans="1:10" ht="16.5" customHeight="1" thickTop="1" thickBot="1" x14ac:dyDescent="0.3">
      <c r="A24" s="50"/>
      <c r="B24" s="44" t="s">
        <v>45</v>
      </c>
      <c r="C24" s="15"/>
      <c r="D24" s="34"/>
      <c r="E24" s="16">
        <f>SUM(E10:E23)</f>
        <v>590</v>
      </c>
      <c r="F24" s="16"/>
      <c r="G24" s="16">
        <f>SUM(G12:G23)</f>
        <v>254.4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>
    <filterColumn colId="4">
      <customFilters>
        <customFilter operator="notEqual" val=" "/>
      </customFilters>
    </filterColumn>
  </autoFilter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2026-10-08T07:14:52Z</dcterms:modified>
</cp:coreProperties>
</file>