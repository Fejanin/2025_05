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машина САП 04,10 БарановКарлова_Малахутин_ПРС_Донецк КИ\"/>
    </mc:Choice>
  </mc:AlternateContent>
  <xr:revisionPtr revIDLastSave="0" documentId="13_ncr:1_{A51192B7-0C92-4F87-8A38-1AC5D51E77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186" i="1" s="1"/>
  <c r="G21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<sst xmlns="http://schemas.openxmlformats.org/spreadsheetml/2006/main" count="724" uniqueCount="243">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</sst>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10" activePane="bottomLeft" state="frozen"/>
      <selection pane="bottomLeft" activeCell="E13" sqref="E1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46299</v>
      </c>
      <c r="E3" s="7" t="s">
        <v>2</v>
      </c>
      <c r="F3" s="54">
        <f>D3+3</f>
        <v>46302</v>
      </c>
      <c r="G3" s="190" t="s">
        <v>242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thickTop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40</v>
      </c>
      <c r="F13" s="23">
        <v>1.35</v>
      </c>
      <c r="G13" s="23">
        <f t="shared" ref="G13:G20" si="1">E13</f>
        <v>40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40</v>
      </c>
      <c r="F14" s="23">
        <v>1.35</v>
      </c>
      <c r="G14" s="23">
        <f t="shared" si="1"/>
        <v>40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>
        <v>20</v>
      </c>
      <c r="F15" s="23">
        <v>1.35</v>
      </c>
      <c r="G15" s="23">
        <f t="shared" si="1"/>
        <v>20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170</v>
      </c>
      <c r="F16" s="23">
        <v>1.35</v>
      </c>
      <c r="G16" s="23">
        <f t="shared" si="1"/>
        <v>170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40</v>
      </c>
      <c r="F17" s="23">
        <v>1.35</v>
      </c>
      <c r="G17" s="23">
        <f t="shared" si="1"/>
        <v>40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30</v>
      </c>
      <c r="F18" s="23">
        <v>1</v>
      </c>
      <c r="G18" s="23">
        <f t="shared" si="1"/>
        <v>30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>
        <v>36</v>
      </c>
      <c r="F26" s="59">
        <v>0.4</v>
      </c>
      <c r="G26" s="23">
        <f t="shared" si="4"/>
        <v>14.4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hidden="1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32</v>
      </c>
      <c r="F30" s="23">
        <v>0.4</v>
      </c>
      <c r="G30" s="23">
        <f t="shared" si="4"/>
        <v>12.8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v>32</v>
      </c>
      <c r="F32" s="59">
        <v>0.4</v>
      </c>
      <c r="G32" s="23">
        <f t="shared" si="4"/>
        <v>12.8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60</v>
      </c>
      <c r="F43" s="59">
        <v>2.1</v>
      </c>
      <c r="G43" s="23">
        <f t="shared" si="5"/>
        <v>60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hidden="1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/>
      <c r="F44" s="59">
        <v>1.5</v>
      </c>
      <c r="G44" s="23">
        <f t="shared" si="5"/>
        <v>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80</v>
      </c>
      <c r="F47" s="59">
        <v>1.5</v>
      </c>
      <c r="G47" s="23">
        <f t="shared" si="5"/>
        <v>80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>
        <v>12</v>
      </c>
      <c r="F53" s="59">
        <v>0.3</v>
      </c>
      <c r="G53" s="23">
        <f t="shared" si="6"/>
        <v>3.5999999999999996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>
        <v>60</v>
      </c>
      <c r="F57" s="59">
        <v>0.33</v>
      </c>
      <c r="G57" s="23">
        <f>E57*F57</f>
        <v>19.8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hidden="1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/>
      <c r="F63" s="23">
        <v>0.41</v>
      </c>
      <c r="G63" s="23">
        <f t="shared" si="6"/>
        <v>0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hidden="1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24</v>
      </c>
      <c r="F66" s="23">
        <v>0.4</v>
      </c>
      <c r="G66" s="23">
        <f t="shared" si="6"/>
        <v>9.6000000000000014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15</v>
      </c>
      <c r="F78" s="23">
        <v>1</v>
      </c>
      <c r="G78" s="23">
        <f t="shared" si="7"/>
        <v>15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15</v>
      </c>
      <c r="F81" s="23">
        <v>1</v>
      </c>
      <c r="G81" s="23">
        <f t="shared" si="7"/>
        <v>15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customHeigh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>
        <v>32</v>
      </c>
      <c r="F83" s="23">
        <v>0.4</v>
      </c>
      <c r="G83" s="23">
        <f t="shared" si="8"/>
        <v>12.8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50</v>
      </c>
      <c r="F89" s="59">
        <v>0.81</v>
      </c>
      <c r="G89" s="23">
        <f t="shared" si="9"/>
        <v>50</v>
      </c>
      <c r="H89" s="60">
        <v>4.8600000000000003</v>
      </c>
      <c r="I89" s="60">
        <v>45</v>
      </c>
      <c r="J89" s="60"/>
      <c r="L89" s="115"/>
    </row>
    <row r="90" spans="1:12" ht="16.5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>
        <v>40</v>
      </c>
      <c r="F90" s="59">
        <v>0.84</v>
      </c>
      <c r="G90" s="23">
        <f>E90*F90</f>
        <v>33.6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50</v>
      </c>
      <c r="F91" s="59">
        <v>0.63</v>
      </c>
      <c r="G91" s="23">
        <f t="shared" ref="G91:G92" si="10">E91</f>
        <v>50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65</v>
      </c>
      <c r="F92" s="59">
        <v>0.7</v>
      </c>
      <c r="G92" s="23">
        <f t="shared" si="10"/>
        <v>65</v>
      </c>
      <c r="H92" s="60">
        <v>5.6</v>
      </c>
      <c r="I92" s="60">
        <v>50</v>
      </c>
      <c r="J92" s="60"/>
      <c r="L92" s="115"/>
    </row>
    <row r="93" spans="1:12" ht="16.5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>
        <v>80</v>
      </c>
      <c r="F93" s="23">
        <v>0.33</v>
      </c>
      <c r="G93" s="23">
        <f t="shared" ref="G93:G115" si="11">E93*F93</f>
        <v>26.400000000000002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80</v>
      </c>
      <c r="F97" s="23">
        <v>0.35</v>
      </c>
      <c r="G97" s="23">
        <f t="shared" si="11"/>
        <v>28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60</v>
      </c>
      <c r="F98" s="23">
        <v>0.35</v>
      </c>
      <c r="G98" s="23">
        <f t="shared" si="11"/>
        <v>21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60</v>
      </c>
      <c r="F100" s="23">
        <v>0.28000000000000003</v>
      </c>
      <c r="G100" s="23">
        <f t="shared" si="11"/>
        <v>16.8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32</v>
      </c>
      <c r="F102" s="23">
        <v>0.28000000000000003</v>
      </c>
      <c r="G102" s="23">
        <f t="shared" si="11"/>
        <v>8.9600000000000009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hidden="1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hidden="1" customHeight="1" x14ac:dyDescent="0.25">
      <c r="A106" s="149">
        <v>7516</v>
      </c>
      <c r="B106" s="186" t="s">
        <v>240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25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104</v>
      </c>
      <c r="F108" s="23">
        <v>0.35</v>
      </c>
      <c r="G108" s="23">
        <f t="shared" si="11"/>
        <v>36.4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60</v>
      </c>
      <c r="F111" s="23">
        <v>0.28000000000000003</v>
      </c>
      <c r="G111" s="23">
        <f t="shared" si="11"/>
        <v>16.8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217</v>
      </c>
      <c r="L119" s="115"/>
    </row>
    <row r="120" spans="1:67" ht="16.5" hidden="1" customHeight="1" x14ac:dyDescent="0.25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16</v>
      </c>
      <c r="F128" s="23">
        <v>0.25</v>
      </c>
      <c r="G128" s="23">
        <f t="shared" si="14"/>
        <v>4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16</v>
      </c>
      <c r="F134" s="23">
        <v>0.25</v>
      </c>
      <c r="G134" s="23">
        <f t="shared" si="14"/>
        <v>4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16</v>
      </c>
      <c r="F135" s="23">
        <v>0.22</v>
      </c>
      <c r="G135" s="23">
        <f t="shared" si="14"/>
        <v>3.52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v>24</v>
      </c>
      <c r="F140" s="23">
        <v>0.12</v>
      </c>
      <c r="G140" s="23">
        <f t="shared" si="16"/>
        <v>2.88</v>
      </c>
      <c r="H140" s="14">
        <v>0.96</v>
      </c>
      <c r="I140" s="14">
        <v>60</v>
      </c>
      <c r="J140" s="29"/>
      <c r="L140" s="115"/>
    </row>
    <row r="141" spans="1:12" ht="16.5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>
        <v>30</v>
      </c>
      <c r="F141" s="23">
        <v>0.1</v>
      </c>
      <c r="G141" s="23">
        <f t="shared" si="16"/>
        <v>3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>
        <v>24</v>
      </c>
      <c r="F142" s="23">
        <v>0.1</v>
      </c>
      <c r="G142" s="23">
        <f t="shared" si="16"/>
        <v>2.4000000000000004</v>
      </c>
      <c r="H142" s="14">
        <v>1.4</v>
      </c>
      <c r="I142" s="14">
        <v>60</v>
      </c>
      <c r="J142" s="60"/>
      <c r="L142" s="115"/>
    </row>
    <row r="143" spans="1:12" ht="16.5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>
        <v>20</v>
      </c>
      <c r="F143" s="23">
        <v>0.09</v>
      </c>
      <c r="G143" s="23">
        <f t="shared" si="16"/>
        <v>1.7999999999999998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25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hidden="1" customHeight="1" x14ac:dyDescent="0.25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60</v>
      </c>
      <c r="F159" s="59">
        <v>0.4</v>
      </c>
      <c r="G159" s="23">
        <f t="shared" si="18"/>
        <v>24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25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25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>
        <v>40</v>
      </c>
      <c r="F174" s="23">
        <v>0.18</v>
      </c>
      <c r="G174" s="23">
        <f t="shared" si="19"/>
        <v>7.1999999999999993</v>
      </c>
      <c r="H174" s="14">
        <v>1.8</v>
      </c>
      <c r="I174" s="14">
        <v>50</v>
      </c>
      <c r="J174" s="29"/>
      <c r="L174" s="115"/>
    </row>
    <row r="175" spans="1:67" ht="16.5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>
        <v>30</v>
      </c>
      <c r="F175" s="23">
        <v>0.15</v>
      </c>
      <c r="G175" s="23">
        <f t="shared" si="19"/>
        <v>4.5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9">
        <v>6929</v>
      </c>
      <c r="B176" s="169" t="s">
        <v>236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customHeight="1" x14ac:dyDescent="0.25">
      <c r="A179" s="57">
        <v>6754</v>
      </c>
      <c r="B179" s="35" t="s">
        <v>172</v>
      </c>
      <c r="C179" s="51" t="s">
        <v>20</v>
      </c>
      <c r="D179" s="52">
        <v>1001225406754</v>
      </c>
      <c r="E179" s="24">
        <v>20</v>
      </c>
      <c r="F179" s="23">
        <v>0.09</v>
      </c>
      <c r="G179" s="23">
        <f t="shared" si="19"/>
        <v>1.7999999999999998</v>
      </c>
      <c r="H179" s="14">
        <v>0.72</v>
      </c>
      <c r="I179" s="14">
        <v>60</v>
      </c>
      <c r="J179" s="29"/>
      <c r="L179" s="115"/>
    </row>
    <row r="180" spans="1:12" ht="16.5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>
        <v>10</v>
      </c>
      <c r="F180" s="23">
        <v>0.15</v>
      </c>
      <c r="G180" s="23">
        <f t="shared" si="19"/>
        <v>1.5</v>
      </c>
      <c r="H180" s="14">
        <v>1.5</v>
      </c>
      <c r="I180" s="14">
        <v>45</v>
      </c>
      <c r="J180" s="29"/>
      <c r="L180" s="115"/>
    </row>
    <row r="181" spans="1:12" ht="16.5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>
        <v>10</v>
      </c>
      <c r="F181" s="23">
        <v>0.09</v>
      </c>
      <c r="G181" s="23">
        <f t="shared" si="19"/>
        <v>0.89999999999999991</v>
      </c>
      <c r="H181" s="14">
        <v>0.9</v>
      </c>
      <c r="I181" s="14">
        <v>45</v>
      </c>
      <c r="J181" s="29"/>
      <c r="L181" s="115"/>
    </row>
    <row r="182" spans="1:12" ht="16.5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>
        <v>30</v>
      </c>
      <c r="F182" s="23">
        <v>0.1</v>
      </c>
      <c r="G182" s="23">
        <f t="shared" si="19"/>
        <v>3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hidden="1" customHeight="1" thickBot="1" x14ac:dyDescent="0.3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1765</v>
      </c>
      <c r="F186" s="17"/>
      <c r="G186" s="17">
        <f>SUM(G11:G185)</f>
        <v>1013.2599999999998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2026-10-06T08:48:32Z</dcterms:modified>
</cp:coreProperties>
</file>