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Бланк!$AC$3:$AC$415</definedName>
    <definedName name="номин.вес_нетто__кг">Бланк!$W$3:$W$415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3"/>
  <sheetViews>
    <sheetView tabSelected="1" zoomScale="85" zoomScaleNormal="85" workbookViewId="0">
      <pane ySplit="9" topLeftCell="A151" activePane="bottomLeft" state="frozen"/>
      <selection pane="bottomLeft" activeCell="D2" sqref="D2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K3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46299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130439104</v>
      </c>
      <c r="L4" t="inlineStr">
        <is>
          <t xml:space="preserve">130439104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56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/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/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</t>
        </is>
      </c>
      <c r="C15" s="46" t="inlineStr">
        <is>
          <t>КГ</t>
        </is>
      </c>
      <c r="D15" s="47" t="n">
        <v>1001015646861</v>
      </c>
      <c r="E15" s="22" t="n">
        <v>17</v>
      </c>
      <c r="F15" s="21" t="n">
        <v>1.95</v>
      </c>
      <c r="G15" s="21">
        <f>E15</f>
        <v/>
      </c>
      <c r="H15" s="13" t="n">
        <v>3.9</v>
      </c>
      <c r="I15" s="13" t="n">
        <v>60</v>
      </c>
      <c r="J15" s="26" t="n"/>
    </row>
    <row r="16">
      <c r="A16" s="100">
        <f>RIGHT(D16,4)</f>
        <v/>
      </c>
      <c r="B16" s="48" t="inlineStr">
        <is>
          <t>ДОМАШНИЙ РЕЦЕПТ СО ШПИК.Коровино вар п/о</t>
        </is>
      </c>
      <c r="C16" s="46" t="inlineStr">
        <is>
          <t>КГ</t>
        </is>
      </c>
      <c r="D16" s="47" t="n">
        <v>1001015706862</v>
      </c>
      <c r="E16" s="22" t="n"/>
      <c r="F16" s="21" t="n">
        <v>1.95</v>
      </c>
      <c r="G16" s="21">
        <f>E16</f>
        <v/>
      </c>
      <c r="H16" s="13" t="n">
        <v>3.9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МОЛОЧНАЯ Папа может вар п/о</t>
        </is>
      </c>
      <c r="C17" s="46" t="inlineStr">
        <is>
          <t>КГ</t>
        </is>
      </c>
      <c r="D17" s="47" t="n">
        <v>1001012456498</v>
      </c>
      <c r="E17" s="22" t="n">
        <v>52</v>
      </c>
      <c r="F17" s="21" t="n">
        <v>1</v>
      </c>
      <c r="G17" s="21">
        <f>E17</f>
        <v/>
      </c>
      <c r="H17" s="13" t="n">
        <v>4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</t>
        </is>
      </c>
      <c r="C18" s="46" t="inlineStr">
        <is>
          <t>КГ</t>
        </is>
      </c>
      <c r="D18" s="47" t="n">
        <v>1001012484063</v>
      </c>
      <c r="E18" s="22" t="n">
        <v>460</v>
      </c>
      <c r="F18" s="21" t="n">
        <v>1.35</v>
      </c>
      <c r="G18" s="21">
        <f>E18</f>
        <v/>
      </c>
      <c r="H18" s="13" t="n">
        <v>4.05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Папа может вар п/о 0.4кг 8шт.</t>
        </is>
      </c>
      <c r="C19" s="46" t="inlineStr">
        <is>
          <t>ШТ</t>
        </is>
      </c>
      <c r="D19" s="47" t="n">
        <v>1001012486333</v>
      </c>
      <c r="E19" s="22" t="n">
        <v>456</v>
      </c>
      <c r="F19" s="21" t="n">
        <v>0.4</v>
      </c>
      <c r="G19" s="21">
        <f>E19*F19</f>
        <v/>
      </c>
      <c r="H19" s="13" t="n">
        <v>3.2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Папа может вар п/о</t>
        </is>
      </c>
      <c r="C20" s="46" t="inlineStr">
        <is>
          <t>КГ</t>
        </is>
      </c>
      <c r="D20" s="47" t="n">
        <v>1001012634574</v>
      </c>
      <c r="E20" s="22" t="n">
        <v>39</v>
      </c>
      <c r="F20" s="21" t="n">
        <v>1.35</v>
      </c>
      <c r="G20" s="21">
        <f>E20</f>
        <v/>
      </c>
      <c r="H20" s="13" t="n">
        <v>4.05</v>
      </c>
      <c r="I20" s="13" t="n">
        <v>60</v>
      </c>
      <c r="J20" s="26" t="n"/>
    </row>
    <row r="21">
      <c r="A21" s="100">
        <f>RIGHT(D21,4)</f>
        <v/>
      </c>
      <c r="B21" s="48" t="inlineStr">
        <is>
          <t>МЯСНАЯ СО ШПИКОМ ПМ вар п/о 0.4кг 8шт.</t>
        </is>
      </c>
      <c r="C21" s="46" t="inlineStr">
        <is>
          <t>ШТ</t>
        </is>
      </c>
      <c r="D21" s="47" t="n">
        <v>1001012637334</v>
      </c>
      <c r="E21" s="22" t="n"/>
      <c r="F21" s="21" t="n">
        <v>0.4</v>
      </c>
      <c r="G21" s="21">
        <f>E21*F21</f>
        <v/>
      </c>
      <c r="H21" s="13" t="n">
        <v>3.2</v>
      </c>
      <c r="I21" s="13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</t>
        </is>
      </c>
      <c r="C22" s="46" t="inlineStr">
        <is>
          <t>КГ</t>
        </is>
      </c>
      <c r="D22" s="47" t="n">
        <v>1001012564813</v>
      </c>
      <c r="E22" s="22" t="n">
        <v>256</v>
      </c>
      <c r="F22" s="102" t="n">
        <v>1.35</v>
      </c>
      <c r="G22" s="21">
        <f>E22</f>
        <v/>
      </c>
      <c r="H22" s="26" t="n">
        <v>4.05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ФИЛЕЙНАЯ Папа может вар п/о 0.4кг</t>
        </is>
      </c>
      <c r="C23" s="46" t="inlineStr">
        <is>
          <t>ШТ</t>
        </is>
      </c>
      <c r="D23" s="47" t="n">
        <v>1001012566392</v>
      </c>
      <c r="E23" s="22" t="n">
        <v>207</v>
      </c>
      <c r="F23" s="102" t="n">
        <v>0.4</v>
      </c>
      <c r="G23" s="21">
        <f>E23*F23</f>
        <v/>
      </c>
      <c r="H23" s="26" t="n">
        <v>3.2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</t>
        </is>
      </c>
      <c r="C24" s="46" t="inlineStr">
        <is>
          <t>КГ</t>
        </is>
      </c>
      <c r="D24" s="47" t="n">
        <v>1001012505851</v>
      </c>
      <c r="E24" s="22" t="n">
        <v>137</v>
      </c>
      <c r="F24" s="102" t="n">
        <v>1.35</v>
      </c>
      <c r="G24" s="21">
        <f>E24</f>
        <v/>
      </c>
      <c r="H24" s="26" t="n">
        <v>4.05</v>
      </c>
      <c r="I24" s="26" t="n">
        <v>60</v>
      </c>
      <c r="J24" s="26" t="n"/>
    </row>
    <row r="25">
      <c r="A25" s="100">
        <f>RIGHT(D25,4)</f>
        <v/>
      </c>
      <c r="B25" s="48" t="inlineStr">
        <is>
          <t>ЭКСТРА Папа может вар п/о 0.4кг 8шт_195к</t>
        </is>
      </c>
      <c r="C25" s="46" t="inlineStr">
        <is>
          <t>ШТ</t>
        </is>
      </c>
      <c r="D25" s="47" t="n">
        <v>1001012507632</v>
      </c>
      <c r="E25" s="22" t="n"/>
      <c r="F25" s="102" t="n">
        <v>0.4</v>
      </c>
      <c r="G25" s="21">
        <f>E25*F25</f>
        <v/>
      </c>
      <c r="H25" s="26" t="n">
        <v>3.2</v>
      </c>
      <c r="I25" s="26" t="n">
        <v>60</v>
      </c>
      <c r="J25" s="26" t="n"/>
    </row>
    <row r="26">
      <c r="A26" s="100">
        <f>RIGHT(D26,4)</f>
        <v/>
      </c>
      <c r="B26" s="48" t="inlineStr">
        <is>
          <t>ДОКТОРСКАЯ ГОСТ Папа может вар п/о</t>
        </is>
      </c>
      <c r="C26" s="46" t="inlineStr">
        <is>
          <t>КГ</t>
        </is>
      </c>
      <c r="D26" s="47" t="n">
        <v>1001010014561</v>
      </c>
      <c r="E26" s="22" t="n"/>
      <c r="F26" s="21" t="n">
        <v>1.35</v>
      </c>
      <c r="G26" s="21">
        <f>E26</f>
        <v/>
      </c>
      <c r="H26" s="13" t="n">
        <v>4.05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вар п/о 0.4кг 8шт.</t>
        </is>
      </c>
      <c r="C27" s="46" t="inlineStr">
        <is>
          <t>ШТ</t>
        </is>
      </c>
      <c r="D27" s="47" t="n">
        <v>1001010106325</v>
      </c>
      <c r="E27" s="22" t="n">
        <v>44</v>
      </c>
      <c r="F27" s="21" t="n">
        <v>0.4</v>
      </c>
      <c r="G27" s="21">
        <f>E27*F27</f>
        <v/>
      </c>
      <c r="H27" s="13" t="n">
        <v>3.2</v>
      </c>
      <c r="I27" s="13" t="n">
        <v>60</v>
      </c>
      <c r="J27" s="26" t="n"/>
    </row>
    <row r="28">
      <c r="A28" s="100">
        <f>RIGHT(D28,4)</f>
        <v/>
      </c>
      <c r="B28" s="48" t="inlineStr">
        <is>
          <t>ДОКТОРСКАЯ ПРЕМИУМ п/о(п)</t>
        </is>
      </c>
      <c r="C28" s="46" t="inlineStr">
        <is>
          <t>КГ</t>
        </is>
      </c>
      <c r="D28" s="47" t="n">
        <v>1001010108014</v>
      </c>
      <c r="E28" s="22" t="n">
        <v>5</v>
      </c>
      <c r="F28" s="102" t="n">
        <v>1.35</v>
      </c>
      <c r="G28" s="21">
        <f>E28</f>
        <v/>
      </c>
      <c r="H28" s="26" t="n">
        <v>5.4</v>
      </c>
      <c r="I28" s="26" t="n">
        <v>60</v>
      </c>
      <c r="J28" s="26" t="n"/>
    </row>
    <row r="29">
      <c r="A29" s="100">
        <f>RIGHT(D29,4)</f>
        <v/>
      </c>
      <c r="B29" s="48" t="inlineStr">
        <is>
          <t>ЛЮБИТЕЛЬСКАЯ ОСТАНКИНСКАЯ вар ц/о в/у</t>
        </is>
      </c>
      <c r="C29" s="46" t="inlineStr">
        <is>
          <t>КГ</t>
        </is>
      </c>
      <c r="D29" s="47" t="n">
        <v>1001017557514</v>
      </c>
      <c r="E29" s="22" t="n">
        <v>60</v>
      </c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ТЕЛЯЧЬЯ ГОСТ Останкино вар н/о в/у</t>
        </is>
      </c>
      <c r="C30" s="46" t="inlineStr">
        <is>
          <t>КГ</t>
        </is>
      </c>
      <c r="D30" s="47" t="n">
        <v>1001017567518</v>
      </c>
      <c r="E30" s="22" t="n">
        <v>22</v>
      </c>
      <c r="F30" s="102" t="n"/>
      <c r="G30" s="21">
        <f>E30</f>
        <v/>
      </c>
      <c r="H30" s="26" t="n"/>
      <c r="I30" s="26" t="n"/>
      <c r="J30" s="26">
        <f>VLOOKUP(D30,[1]Бланк!$D:$J,7,0)</f>
        <v/>
      </c>
    </row>
    <row r="31">
      <c r="A31" s="100">
        <f>RIGHT(D31,4)</f>
        <v/>
      </c>
      <c r="B31" s="48" t="inlineStr">
        <is>
          <t>СЕЙЧАС СЕЗОН ПМ вар п/о 0.4кг</t>
        </is>
      </c>
      <c r="C31" s="46" t="inlineStr">
        <is>
          <t>ШТ</t>
        </is>
      </c>
      <c r="D31" s="47" t="n">
        <v>1001016747343</v>
      </c>
      <c r="E31" s="22" t="n"/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>
      <c r="A32" s="100">
        <f>RIGHT(D32,4)</f>
        <v/>
      </c>
      <c r="B32" s="48" t="inlineStr">
        <is>
          <t>С ИНДЕЙКОЙ Папа может вар п/о 0.4кг 8шт.</t>
        </is>
      </c>
      <c r="C32" s="46" t="inlineStr">
        <is>
          <t>ШТ</t>
        </is>
      </c>
      <c r="D32" s="47" t="n">
        <v>1001015026797</v>
      </c>
      <c r="E32" s="22" t="n"/>
      <c r="F32" s="102" t="n">
        <v>0.4</v>
      </c>
      <c r="G32" s="21">
        <f>E32*F32</f>
        <v/>
      </c>
      <c r="H32" s="26" t="n">
        <v>3.2</v>
      </c>
      <c r="I32" s="26" t="n">
        <v>60</v>
      </c>
      <c r="J32" s="26" t="n"/>
    </row>
    <row r="33" ht="15.75" customHeight="1" s="96" thickBot="1">
      <c r="A33" s="100">
        <f>RIGHT(D33,4)</f>
        <v/>
      </c>
      <c r="B33" s="48" t="inlineStr">
        <is>
          <t>КЛАССИЧЕСКАЯ ПМ вар п/о 0.3кг 8шт_209к</t>
        </is>
      </c>
      <c r="C33" s="46" t="inlineStr">
        <is>
          <t>ШТ</t>
        </is>
      </c>
      <c r="D33" s="47" t="n">
        <v>1001013957231</v>
      </c>
      <c r="E33" s="22" t="n">
        <v>6</v>
      </c>
      <c r="F33" s="102" t="n">
        <v>0.3</v>
      </c>
      <c r="G33" s="21">
        <f>E33*F33</f>
        <v/>
      </c>
      <c r="H33" s="26" t="n">
        <v>2.4</v>
      </c>
      <c r="I33" s="26" t="n">
        <v>60</v>
      </c>
      <c r="J33" s="26" t="n"/>
    </row>
    <row r="34" ht="16.5" customHeight="1" s="96" thickBot="1" thickTop="1">
      <c r="A34" s="44" t="inlineStr"/>
      <c r="B34" s="39" t="inlineStr">
        <is>
          <t>Сосиски</t>
        </is>
      </c>
      <c r="C34" s="39" t="n"/>
      <c r="D34" s="39" t="n"/>
      <c r="E34" s="39" t="n"/>
      <c r="F34" s="38" t="n"/>
      <c r="G34" s="39" t="n"/>
      <c r="H34" s="39" t="n"/>
      <c r="I34" s="39" t="n"/>
      <c r="J34" s="40" t="n"/>
    </row>
    <row r="35" ht="15.75" customHeight="1" s="96" thickTop="1">
      <c r="A35" s="100">
        <f>RIGHT(D35,4)</f>
        <v/>
      </c>
      <c r="B35" s="48" t="inlineStr">
        <is>
          <t>БАВАРСКИЕ ПМ сос ц/о мгс 0.35кг 8шт.</t>
        </is>
      </c>
      <c r="C35" s="46" t="inlineStr">
        <is>
          <t>ШТ</t>
        </is>
      </c>
      <c r="D35" s="47" t="n">
        <v>1001021966602</v>
      </c>
      <c r="E35" s="22" t="n"/>
      <c r="F35" s="102" t="n">
        <v>0.35</v>
      </c>
      <c r="G35" s="21">
        <f>E35*F35</f>
        <v/>
      </c>
      <c r="H35" s="26" t="n">
        <v>2.8</v>
      </c>
      <c r="I35" s="26" t="n">
        <v>45</v>
      </c>
      <c r="J35" s="26" t="n"/>
    </row>
    <row r="36">
      <c r="A36" s="100">
        <f>RIGHT(D36,4)</f>
        <v/>
      </c>
      <c r="B36" s="48" t="inlineStr">
        <is>
          <t>ДЛЯ ДЕТЕЙ Папа может сос п/о мгс 0.264кг</t>
        </is>
      </c>
      <c r="C36" s="46" t="inlineStr">
        <is>
          <t>ШТ</t>
        </is>
      </c>
      <c r="D36" s="47" t="n">
        <v>1001025767601</v>
      </c>
      <c r="E36" s="22" t="n"/>
      <c r="F36" s="102" t="n">
        <v>0.264</v>
      </c>
      <c r="G36" s="21">
        <f>E36*F36</f>
        <v/>
      </c>
      <c r="H36" s="26" t="n">
        <v>1.58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ДЛЯ ДЕТЕЙ Папа может сос п/о мгс 0.33кг</t>
        </is>
      </c>
      <c r="C37" s="46" t="inlineStr">
        <is>
          <t>ШТ</t>
        </is>
      </c>
      <c r="D37" s="47" t="n">
        <v>1001025767461</v>
      </c>
      <c r="E37" s="22" t="n">
        <v>150</v>
      </c>
      <c r="F37" s="102" t="n">
        <v>0.33</v>
      </c>
      <c r="G37" s="21">
        <f>E37*F37</f>
        <v/>
      </c>
      <c r="H37" s="26" t="n">
        <v>1.98</v>
      </c>
      <c r="I37" s="26" t="n">
        <v>30</v>
      </c>
      <c r="J37" s="26" t="n"/>
    </row>
    <row r="38">
      <c r="A38" s="100">
        <f>RIGHT(D38,4)</f>
        <v/>
      </c>
      <c r="B38" s="48" t="inlineStr">
        <is>
          <t>С ИНДЕЙКОЙ ПМ сос ц/о в/у 1/270 8шт.</t>
        </is>
      </c>
      <c r="C38" s="46" t="inlineStr">
        <is>
          <t>ШТ</t>
        </is>
      </c>
      <c r="D38" s="47" t="n">
        <v>1001025027040</v>
      </c>
      <c r="E38" s="22" t="n"/>
      <c r="F38" s="102" t="n">
        <v>0.27</v>
      </c>
      <c r="G38" s="21">
        <f>E38*F38</f>
        <v/>
      </c>
      <c r="H38" s="26" t="n"/>
      <c r="I38" s="26" t="n"/>
      <c r="J38" s="26" t="n"/>
    </row>
    <row r="39">
      <c r="A39" s="100">
        <f>RIGHT(D39,4)</f>
        <v/>
      </c>
      <c r="B39" s="48" t="inlineStr">
        <is>
          <t>МОЛОЧНЫЕ ГОСТ сос ц/о мгс 0.4кг 7шт.</t>
        </is>
      </c>
      <c r="C39" s="46" t="inlineStr">
        <is>
          <t>ШТ</t>
        </is>
      </c>
      <c r="D39" s="47" t="n">
        <v>1001020836759</v>
      </c>
      <c r="E39" s="22" t="n"/>
      <c r="F39" s="102" t="n">
        <v>0.4</v>
      </c>
      <c r="G39" s="21">
        <f>E39*F39</f>
        <v/>
      </c>
      <c r="H39" s="26" t="n">
        <v>2.8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ГОСТ сос ц/о мгс 1*4</t>
        </is>
      </c>
      <c r="C40" s="46" t="inlineStr">
        <is>
          <t>КГ</t>
        </is>
      </c>
      <c r="D40" s="47" t="n">
        <v>1001020836761</v>
      </c>
      <c r="E40" s="22" t="n"/>
      <c r="F40" s="102" t="n">
        <v>1</v>
      </c>
      <c r="G40" s="21">
        <f>E40</f>
        <v/>
      </c>
      <c r="H40" s="26" t="n">
        <v>4</v>
      </c>
      <c r="I40" s="26" t="n">
        <v>30</v>
      </c>
      <c r="J40" s="26" t="n"/>
    </row>
    <row r="41">
      <c r="A41" s="100">
        <f>RIGHT(D41,4)</f>
        <v/>
      </c>
      <c r="B41" s="48" t="inlineStr">
        <is>
          <t>МОЛОЧНЫЕ КЛАССИЧЕСКИЕ сос п/о мгс 2*4_С</t>
        </is>
      </c>
      <c r="C41" s="46" t="inlineStr">
        <is>
          <t>КГ</t>
        </is>
      </c>
      <c r="D41" s="47" t="n">
        <v>1001024976829</v>
      </c>
      <c r="E41" s="22" t="n"/>
      <c r="F41" s="102" t="n">
        <v>2.1</v>
      </c>
      <c r="G41" s="21">
        <f>E41</f>
        <v/>
      </c>
      <c r="H41" s="26" t="n">
        <v>8.4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МОЛОЧНЫЕ КЛАССИЧЕСКИЕ сос п/о в/у 0.3кг</t>
        </is>
      </c>
      <c r="C42" s="46" t="inlineStr">
        <is>
          <t>ШТ</t>
        </is>
      </c>
      <c r="D42" s="47" t="n">
        <v>1001024976616</v>
      </c>
      <c r="E42" s="22" t="n">
        <v>302</v>
      </c>
      <c r="F42" s="102" t="n">
        <v>0.3</v>
      </c>
      <c r="G42" s="21">
        <f>E42*F42</f>
        <v/>
      </c>
      <c r="H42" s="26" t="n">
        <v>2.4</v>
      </c>
      <c r="I42" s="26" t="n">
        <v>45</v>
      </c>
      <c r="J42" s="26" t="n"/>
    </row>
    <row r="43">
      <c r="A43" s="100">
        <f>RIGHT(D43,4)</f>
        <v/>
      </c>
      <c r="B43" s="48" t="inlineStr">
        <is>
          <t>МОЛОЧ.ПРЕМИУМ ПМ сос п/о мгс 1.5*4_О_50с</t>
        </is>
      </c>
      <c r="C43" s="46" t="inlineStr">
        <is>
          <t>КГ</t>
        </is>
      </c>
      <c r="D43" s="47" t="n">
        <v>1001022657075</v>
      </c>
      <c r="E43" s="22" t="n"/>
      <c r="F43" s="102" t="n">
        <v>1.5</v>
      </c>
      <c r="G43" s="21">
        <f>E43</f>
        <v/>
      </c>
      <c r="H43" s="26" t="n">
        <v>6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мгс 0.6кг_50с</t>
        </is>
      </c>
      <c r="C44" s="46" t="inlineStr">
        <is>
          <t>ШТ</t>
        </is>
      </c>
      <c r="D44" s="47" t="n">
        <v>1001022657074</v>
      </c>
      <c r="E44" s="22" t="n"/>
      <c r="F44" s="102" t="n">
        <v>0.6</v>
      </c>
      <c r="G44" s="21">
        <f>E44*F44</f>
        <v/>
      </c>
      <c r="H44" s="26" t="n">
        <v>4.8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МОЛОЧ.ПРЕМИУМ ПМ сос п/о в/у 1/350_50с</t>
        </is>
      </c>
      <c r="C45" s="46" t="inlineStr">
        <is>
          <t>ШТ</t>
        </is>
      </c>
      <c r="D45" s="47" t="n">
        <v>1001022657073</v>
      </c>
      <c r="E45" s="22" t="n">
        <v>88</v>
      </c>
      <c r="F45" s="102" t="n">
        <v>0.35</v>
      </c>
      <c r="G45" s="21">
        <f>E45*F45</f>
        <v/>
      </c>
      <c r="H45" s="26" t="n">
        <v>2.8</v>
      </c>
      <c r="I45" s="26" t="n">
        <v>50</v>
      </c>
      <c r="J45" s="26" t="n"/>
    </row>
    <row r="46">
      <c r="A46" s="100">
        <f>RIGHT(D46,4)</f>
        <v/>
      </c>
      <c r="B46" s="48" t="inlineStr">
        <is>
          <t>МОЛОЧНЫЕ ПМ сос п/о мгс 0.41кг 10шт.</t>
        </is>
      </c>
      <c r="C46" s="46" t="inlineStr">
        <is>
          <t>ШТ</t>
        </is>
      </c>
      <c r="D46" s="47" t="n">
        <v>1001020836724</v>
      </c>
      <c r="E46" s="22" t="n">
        <v>45</v>
      </c>
      <c r="F46" s="102" t="n">
        <v>0.41</v>
      </c>
      <c r="G46" s="21">
        <f>E46*F46</f>
        <v/>
      </c>
      <c r="H46" s="26" t="n">
        <v>4.1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в/у 0.4кг_45с</t>
        </is>
      </c>
      <c r="C47" s="46" t="inlineStr">
        <is>
          <t>ШТ</t>
        </is>
      </c>
      <c r="D47" s="47" t="n">
        <v>1001022725819</v>
      </c>
      <c r="E47" s="22" t="n">
        <v>145</v>
      </c>
      <c r="F47" s="102" t="n">
        <v>0.4</v>
      </c>
      <c r="G47" s="21">
        <f>E47*F47</f>
        <v/>
      </c>
      <c r="H47" s="26" t="n">
        <v>3.2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Папа может сос п/о мгс 1.5*3</t>
        </is>
      </c>
      <c r="C48" s="46" t="inlineStr">
        <is>
          <t>КГ</t>
        </is>
      </c>
      <c r="D48" s="47" t="n">
        <v>1001022726303</v>
      </c>
      <c r="E48" s="22" t="n"/>
      <c r="F48" s="102" t="n">
        <v>1.5</v>
      </c>
      <c r="G48" s="21">
        <f>E48</f>
        <v/>
      </c>
      <c r="H48" s="26" t="n">
        <v>4.5</v>
      </c>
      <c r="I48" s="26" t="n">
        <v>45</v>
      </c>
      <c r="J48" s="26" t="n"/>
    </row>
    <row r="49">
      <c r="A49" s="100">
        <f>RIGHT(D49,4)</f>
        <v/>
      </c>
      <c r="B49" s="48" t="inlineStr">
        <is>
          <t>МЯСНЫЕ С ГОВЯД.ПМ сос п/о мгс 0.4кг 6шт.</t>
        </is>
      </c>
      <c r="C49" s="46" t="inlineStr">
        <is>
          <t>ШТ</t>
        </is>
      </c>
      <c r="D49" s="47" t="n">
        <v>1001025507255</v>
      </c>
      <c r="E49" s="22" t="n">
        <v>109</v>
      </c>
      <c r="F49" s="102" t="n">
        <v>0.4</v>
      </c>
      <c r="G49" s="21">
        <f>E49*F49</f>
        <v/>
      </c>
      <c r="H49" s="26" t="n">
        <v>2.4</v>
      </c>
      <c r="I49" s="26" t="n">
        <v>50</v>
      </c>
      <c r="J49" s="26" t="n"/>
    </row>
    <row r="50">
      <c r="A50" s="100">
        <f>RIGHT(D50,4)</f>
        <v/>
      </c>
      <c r="B50" s="48" t="inlineStr">
        <is>
          <t>МЯСНЫЕ С ГОВЯДИНОЙ ПМ сос п/о мгс 1.5*4</t>
        </is>
      </c>
      <c r="C50" s="46" t="inlineStr">
        <is>
          <t>КГ</t>
        </is>
      </c>
      <c r="D50" s="47" t="n">
        <v>1001025507271</v>
      </c>
      <c r="E50" s="22" t="n"/>
      <c r="F50" s="102" t="n">
        <v>1.5</v>
      </c>
      <c r="G50" s="21">
        <f>E50</f>
        <v/>
      </c>
      <c r="H50" s="26" t="n">
        <v>6</v>
      </c>
      <c r="I50" s="26" t="n">
        <v>50</v>
      </c>
      <c r="J50" s="26" t="n"/>
    </row>
    <row r="51">
      <c r="A51" s="100">
        <f>RIGHT(D51,4)</f>
        <v/>
      </c>
      <c r="B51" s="48" t="inlineStr">
        <is>
          <t>РУБЛЕНЫЕ сос ц/о мгс 0.36кг 6шт.</t>
        </is>
      </c>
      <c r="C51" s="46" t="inlineStr">
        <is>
          <t>ШТ</t>
        </is>
      </c>
      <c r="D51" s="47" t="n">
        <v>1001023696765</v>
      </c>
      <c r="E51" s="22" t="n">
        <v>38</v>
      </c>
      <c r="F51" s="102" t="n">
        <v>0.36</v>
      </c>
      <c r="G51" s="21">
        <f>E51*F51</f>
        <v/>
      </c>
      <c r="H51" s="26" t="n">
        <v>2.16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РУБЛЕНЫЕ сос ц/о мгс 1*4</t>
        </is>
      </c>
      <c r="C52" s="46" t="inlineStr">
        <is>
          <t>КГ</t>
        </is>
      </c>
      <c r="D52" s="47" t="n">
        <v>1001023696767</v>
      </c>
      <c r="E52" s="22" t="n"/>
      <c r="F52" s="102" t="n">
        <v>1.04</v>
      </c>
      <c r="G52" s="21">
        <f>E52</f>
        <v/>
      </c>
      <c r="H52" s="26" t="n">
        <v>4.16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 СЫРОМ Папа может сос ц/о мгс 0.4кг 6шт</t>
        </is>
      </c>
      <c r="C53" s="46" t="inlineStr">
        <is>
          <t>ШТ</t>
        </is>
      </c>
      <c r="D53" s="47" t="n">
        <v>1001025176475</v>
      </c>
      <c r="E53" s="22" t="n"/>
      <c r="F53" s="102" t="n">
        <v>0.4</v>
      </c>
      <c r="G53" s="21">
        <f>E53*F53</f>
        <v/>
      </c>
      <c r="H53" s="26" t="n">
        <v>2.4</v>
      </c>
      <c r="I53" s="26" t="n">
        <v>45</v>
      </c>
      <c r="J53" s="26" t="n"/>
    </row>
    <row r="54">
      <c r="A54" s="100">
        <f>RIGHT(D54,4)</f>
        <v/>
      </c>
      <c r="B54" s="48" t="inlineStr">
        <is>
          <t>СЛИВОЧНЫЕ ПМ сос п/о мгс 1.5*4_А_50с</t>
        </is>
      </c>
      <c r="C54" s="46" t="inlineStr">
        <is>
          <t>КГ</t>
        </is>
      </c>
      <c r="D54" s="47" t="n">
        <v>1001022467083</v>
      </c>
      <c r="E54" s="22" t="n">
        <v>38</v>
      </c>
      <c r="F54" s="102" t="n">
        <v>1.5</v>
      </c>
      <c r="G54" s="21">
        <f>E54</f>
        <v/>
      </c>
      <c r="H54" s="26" t="n">
        <v>6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0.41кг 10шт_50с</t>
        </is>
      </c>
      <c r="C55" s="46" t="inlineStr">
        <is>
          <t>ШТ</t>
        </is>
      </c>
      <c r="D55" s="47" t="n">
        <v>1001022467080</v>
      </c>
      <c r="E55" s="22" t="n">
        <v>723</v>
      </c>
      <c r="F55" s="102" t="n">
        <v>0.41</v>
      </c>
      <c r="G55" s="21">
        <f>E55*F55</f>
        <v/>
      </c>
      <c r="H55" s="26" t="n">
        <v>4.1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ПМ сос п/о мгс 0.3кг 7шт.</t>
        </is>
      </c>
      <c r="C56" s="46" t="inlineStr">
        <is>
          <t>ШТ</t>
        </is>
      </c>
      <c r="D56" s="47" t="n">
        <v>1001022467276</v>
      </c>
      <c r="E56" s="22" t="n"/>
      <c r="F56" s="102" t="n">
        <v>0.3</v>
      </c>
      <c r="G56" s="21">
        <f>E56*F56</f>
        <v/>
      </c>
      <c r="H56" s="26" t="n">
        <v>2.1</v>
      </c>
      <c r="I56" s="26" t="n">
        <v>50</v>
      </c>
      <c r="J56" s="26" t="n"/>
    </row>
    <row r="57">
      <c r="A57" s="100">
        <f>RIGHT(D57,4)</f>
        <v/>
      </c>
      <c r="B57" s="48" t="inlineStr">
        <is>
          <t>СЛИВОЧНЫЕ сос ц/о мгс 0.41кг 8шт.</t>
        </is>
      </c>
      <c r="C57" s="46" t="inlineStr">
        <is>
          <t>ШТ</t>
        </is>
      </c>
      <c r="D57" s="47" t="n">
        <v>1001020846762</v>
      </c>
      <c r="E57" s="22" t="n"/>
      <c r="F57" s="102" t="n">
        <v>0.41</v>
      </c>
      <c r="G57" s="21">
        <f>E57*F57</f>
        <v/>
      </c>
      <c r="H57" s="26" t="n">
        <v>3.28</v>
      </c>
      <c r="I57" s="26" t="n">
        <v>45</v>
      </c>
      <c r="J57" s="26" t="n"/>
    </row>
    <row r="58">
      <c r="A58" s="100">
        <f>RIGHT(D58,4)</f>
        <v/>
      </c>
      <c r="B58" s="48" t="inlineStr">
        <is>
          <t>СЛИВОЧНЫЕ сос ц/о мгс 1*4</t>
        </is>
      </c>
      <c r="C58" s="46" t="inlineStr">
        <is>
          <t>КГ</t>
        </is>
      </c>
      <c r="D58" s="47" t="n">
        <v>1001020846764</v>
      </c>
      <c r="E58" s="22" t="n"/>
      <c r="F58" s="21" t="n">
        <v>1</v>
      </c>
      <c r="G58" s="21">
        <f>E58</f>
        <v/>
      </c>
      <c r="H58" s="13" t="n">
        <v>4</v>
      </c>
      <c r="I58" s="13" t="n">
        <v>45</v>
      </c>
      <c r="J58" s="26" t="n"/>
    </row>
    <row r="59">
      <c r="A59" s="100">
        <f>RIGHT(D59,4)</f>
        <v/>
      </c>
      <c r="B59" s="48" t="inlineStr">
        <is>
          <t>СОЧНЫЕ ПМ сос п/о мгс 0.41кг 10шт_50с</t>
        </is>
      </c>
      <c r="C59" s="46" t="inlineStr">
        <is>
          <t>ШТ</t>
        </is>
      </c>
      <c r="D59" s="47" t="n">
        <v>1001022377066</v>
      </c>
      <c r="E59" s="22" t="n">
        <v>781</v>
      </c>
      <c r="F59" s="21" t="n">
        <v>0.41</v>
      </c>
      <c r="G59" s="21">
        <f>E59*F59</f>
        <v/>
      </c>
      <c r="H59" s="13" t="n">
        <v>4.1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СОЧНЫЕ ПМ сос п/о мгс 1.5*4_А_50с</t>
        </is>
      </c>
      <c r="C60" s="46" t="inlineStr">
        <is>
          <t>КГ</t>
        </is>
      </c>
      <c r="D60" s="47" t="n">
        <v>1001022377070</v>
      </c>
      <c r="E60" s="22" t="n">
        <v>165</v>
      </c>
      <c r="F60" s="21" t="n">
        <v>1.5</v>
      </c>
      <c r="G60" s="21">
        <f>E60</f>
        <v/>
      </c>
      <c r="H60" s="13" t="n">
        <v>6</v>
      </c>
      <c r="I60" s="13" t="n">
        <v>50</v>
      </c>
      <c r="J60" s="26" t="n"/>
    </row>
    <row r="61">
      <c r="A61" s="100">
        <f>RIGHT(D61,4)</f>
        <v/>
      </c>
      <c r="B61" s="48" t="inlineStr">
        <is>
          <t>СОЧНЫЙ ГРИЛЬ сос ц/о мгс 0.41кг_Даблпак</t>
        </is>
      </c>
      <c r="C61" s="46" t="inlineStr">
        <is>
          <t>ШТ</t>
        </is>
      </c>
      <c r="D61" s="47" t="n">
        <v>1001027417490</v>
      </c>
      <c r="E61" s="22" t="n">
        <v>289</v>
      </c>
      <c r="F61" s="21" t="n">
        <v>0.41</v>
      </c>
      <c r="G61" s="21">
        <f>E61*F61</f>
        <v/>
      </c>
      <c r="H61" s="13" t="n"/>
      <c r="I61" s="13" t="n"/>
      <c r="J61" s="26">
        <f>VLOOKUP(D61,[1]Бланк!$D:$J,7,0)</f>
        <v/>
      </c>
    </row>
    <row r="62">
      <c r="A62" s="100">
        <f>RIGHT(D62,4)</f>
        <v/>
      </c>
      <c r="B62" s="48" t="inlineStr">
        <is>
          <t>СОЧНЫЙ ГРИЛЬ ПМ сос п/о мгс 1.5*4_Маяк</t>
        </is>
      </c>
      <c r="C62" s="46" t="inlineStr">
        <is>
          <t>КГ</t>
        </is>
      </c>
      <c r="D62" s="47" t="n">
        <v>1001022246661</v>
      </c>
      <c r="E62" s="22" t="n"/>
      <c r="F62" s="21" t="n">
        <v>1.5</v>
      </c>
      <c r="G62" s="21">
        <f>E62</f>
        <v/>
      </c>
      <c r="H62" s="13" t="n">
        <v>6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1.5*2</t>
        </is>
      </c>
      <c r="C63" s="46" t="inlineStr">
        <is>
          <t>КГ</t>
        </is>
      </c>
      <c r="D63" s="47" t="n">
        <v>1001022556254</v>
      </c>
      <c r="E63" s="22" t="n"/>
      <c r="F63" s="21" t="n">
        <v>1.5</v>
      </c>
      <c r="G63" s="21">
        <f>E63</f>
        <v/>
      </c>
      <c r="H63" s="13" t="n">
        <v>3</v>
      </c>
      <c r="I63" s="13" t="n">
        <v>45</v>
      </c>
      <c r="J63" s="26" t="n"/>
    </row>
    <row r="64">
      <c r="A64" s="100">
        <f>RIGHT(D64,4)</f>
        <v/>
      </c>
      <c r="B64" s="48" t="inlineStr">
        <is>
          <t>ФИЛЕЙНЫЕ Папа Может сос ц/о мгс 0.4кг</t>
        </is>
      </c>
      <c r="C64" s="46" t="inlineStr">
        <is>
          <t>ШТ</t>
        </is>
      </c>
      <c r="D64" s="47" t="n">
        <v>1001022556837</v>
      </c>
      <c r="E64" s="22" t="n"/>
      <c r="F64" s="21" t="n">
        <v>0.4</v>
      </c>
      <c r="G64" s="21">
        <f>E64*F64</f>
        <v/>
      </c>
      <c r="H64" s="13" t="n">
        <v>2.4</v>
      </c>
      <c r="I64" s="13" t="n">
        <v>45</v>
      </c>
      <c r="J64" s="26" t="n"/>
    </row>
    <row r="65" ht="15.75" customHeight="1" s="96" thickBot="1">
      <c r="A65" s="100">
        <f>RIGHT(D65,4)</f>
        <v/>
      </c>
      <c r="B65" s="48" t="inlineStr">
        <is>
          <t>ХОТ-ДОГ Папа может сос б/о в/у 1/320 8шт</t>
        </is>
      </c>
      <c r="C65" s="46" t="inlineStr">
        <is>
          <t>ШТ</t>
        </is>
      </c>
      <c r="D65" s="47" t="n">
        <v>1001025167044</v>
      </c>
      <c r="E65" s="22" t="n"/>
      <c r="F65" s="21" t="n">
        <v>0.32</v>
      </c>
      <c r="G65" s="21">
        <f>E65*F65</f>
        <v/>
      </c>
      <c r="H65" s="13" t="n">
        <v>2.56</v>
      </c>
      <c r="I65" s="13" t="n">
        <v>45</v>
      </c>
      <c r="J65" s="26" t="n"/>
    </row>
    <row r="66" ht="16.5" customHeight="1" s="96" thickBot="1" thickTop="1">
      <c r="A66" s="44" t="inlineStr"/>
      <c r="B66" s="39" t="inlineStr">
        <is>
          <t>Сардельки</t>
        </is>
      </c>
      <c r="C66" s="39" t="n"/>
      <c r="D66" s="39" t="n"/>
      <c r="E66" s="39" t="n"/>
      <c r="F66" s="38" t="n"/>
      <c r="G66" s="39" t="n"/>
      <c r="H66" s="39" t="n"/>
      <c r="I66" s="39" t="n"/>
      <c r="J66" s="40" t="n"/>
    </row>
    <row r="67" ht="15.75" customHeight="1" s="96" thickTop="1">
      <c r="A67" s="100">
        <f>RIGHT(D67,4)</f>
        <v/>
      </c>
      <c r="B67" s="99" t="inlineStr">
        <is>
          <t>МЯСНЫЕ Папа может сар б/о мгс 1*3_О_45с</t>
        </is>
      </c>
      <c r="C67" s="103" t="inlineStr">
        <is>
          <t>КГ</t>
        </is>
      </c>
      <c r="D67" s="47" t="n">
        <v>1001032736550</v>
      </c>
      <c r="E67" s="22" t="n">
        <v>77</v>
      </c>
      <c r="F67" s="102" t="n">
        <v>1</v>
      </c>
      <c r="G67" s="21">
        <f>E67</f>
        <v/>
      </c>
      <c r="H67" s="26" t="n">
        <v>3</v>
      </c>
      <c r="I67" s="26" t="n">
        <v>45</v>
      </c>
      <c r="J67" s="26" t="n"/>
    </row>
    <row r="68">
      <c r="A68" s="100">
        <f>RIGHT(D68,4)</f>
        <v/>
      </c>
      <c r="B68" s="99" t="inlineStr">
        <is>
          <t>С ГОВЯДИНОЙ ОРИГИН. сар б/о мгс 1*3_45с</t>
        </is>
      </c>
      <c r="C68" s="46" t="inlineStr">
        <is>
          <t>КГ</t>
        </is>
      </c>
      <c r="D68" s="47" t="n">
        <v>1001033856608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КЛАССИЧЕСКИЕ Папа может сар б/о мгс 1*3</t>
        </is>
      </c>
      <c r="C69" s="46" t="inlineStr">
        <is>
          <t>КГ</t>
        </is>
      </c>
      <c r="D69" s="47" t="n">
        <v>1001035937001</v>
      </c>
      <c r="E69" s="22" t="n">
        <v>16</v>
      </c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ШПИКАЧКИ СОЧНЫЕ ПМ сар б/о мгс 1*3_45с</t>
        </is>
      </c>
      <c r="C70" s="46" t="inlineStr">
        <is>
          <t>КГ</t>
        </is>
      </c>
      <c r="D70" s="47" t="n">
        <v>1001031076527</v>
      </c>
      <c r="E70" s="22" t="n"/>
      <c r="F70" s="21" t="n">
        <v>1</v>
      </c>
      <c r="G70" s="21">
        <f>E70</f>
        <v/>
      </c>
      <c r="H70" s="13" t="n">
        <v>3</v>
      </c>
      <c r="I70" s="13" t="n">
        <v>45</v>
      </c>
      <c r="J70" s="26" t="n"/>
    </row>
    <row r="71">
      <c r="A71" s="100">
        <f>RIGHT(D71,4)</f>
        <v/>
      </c>
      <c r="B71" s="99" t="inlineStr">
        <is>
          <t>С ГОВЯДИНОЙ ПМ сар б/о мгс 0.4кг_45с</t>
        </is>
      </c>
      <c r="C71" s="46" t="inlineStr">
        <is>
          <t>ШТ</t>
        </is>
      </c>
      <c r="D71" s="47" t="n">
        <v>1001033856609</v>
      </c>
      <c r="E71" s="22" t="n"/>
      <c r="F71" s="21" t="n">
        <v>0.4</v>
      </c>
      <c r="G71" s="21">
        <f>E71*F71</f>
        <v/>
      </c>
      <c r="H71" s="13" t="n">
        <v>2.4</v>
      </c>
      <c r="I71" s="13" t="n">
        <v>45</v>
      </c>
      <c r="J71" s="26" t="n"/>
    </row>
    <row r="72" ht="15.75" customHeight="1" s="96" thickBot="1">
      <c r="A72" s="100">
        <f>RIGHT(D72,4)</f>
        <v/>
      </c>
      <c r="B72" s="99" t="inlineStr">
        <is>
          <t>ШПИКАЧКИ СОЧНЫЕ С БЕК. п/о мгс 0.3кг_60с</t>
        </is>
      </c>
      <c r="C72" s="46" t="inlineStr">
        <is>
          <t>ШТ</t>
        </is>
      </c>
      <c r="D72" s="47" t="n">
        <v>1001035277059</v>
      </c>
      <c r="E72" s="22" t="n">
        <v>29</v>
      </c>
      <c r="F72" s="21" t="n">
        <v>0.3</v>
      </c>
      <c r="G72" s="21">
        <f>E72*F72</f>
        <v/>
      </c>
      <c r="H72" s="13" t="n">
        <v>2.4</v>
      </c>
      <c r="I72" s="13" t="n">
        <v>60</v>
      </c>
      <c r="J72" s="26" t="n"/>
    </row>
    <row r="73" ht="16.5" customHeight="1" s="96" thickBot="1" thickTop="1">
      <c r="A73" s="44" t="inlineStr"/>
      <c r="B73" s="39" t="inlineStr">
        <is>
          <t>Полукопченые колбасы и Варенокопченые колбасы</t>
        </is>
      </c>
      <c r="C73" s="39" t="n"/>
      <c r="D73" s="39" t="n"/>
      <c r="E73" s="39" t="n"/>
      <c r="F73" s="38" t="n"/>
      <c r="G73" s="39" t="n"/>
      <c r="H73" s="39" t="n"/>
      <c r="I73" s="39" t="n"/>
      <c r="J73" s="40" t="n"/>
    </row>
    <row r="74" ht="15.75" customHeight="1" s="96" thickTop="1">
      <c r="A74" s="100">
        <f>RIGHT(D74,4)</f>
        <v/>
      </c>
      <c r="B74" s="48" t="inlineStr">
        <is>
          <t>БАЛЫКОВАЯ Останкино в/к в/у</t>
        </is>
      </c>
      <c r="C74" s="46" t="inlineStr">
        <is>
          <t>КГ</t>
        </is>
      </c>
      <c r="D74" s="47" t="n">
        <v>1001303637564</v>
      </c>
      <c r="E74" s="22" t="n">
        <v>2</v>
      </c>
      <c r="F74" s="21" t="n">
        <v>0.84</v>
      </c>
      <c r="G74" s="21">
        <f>E74</f>
        <v/>
      </c>
      <c r="H74" s="13" t="n">
        <v>5.04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БАЛЫКОВАЯ Останкино в/к в/у 0.33кг 8шт.</t>
        </is>
      </c>
      <c r="C75" s="46" t="inlineStr">
        <is>
          <t>ШТ</t>
        </is>
      </c>
      <c r="D75" s="47" t="n">
        <v>1001303637603</v>
      </c>
      <c r="E75" s="22" t="n">
        <v>75</v>
      </c>
      <c r="F75" s="21" t="n">
        <v>0.33</v>
      </c>
      <c r="G75" s="21">
        <f>E75*F75</f>
        <v/>
      </c>
      <c r="H75" s="13" t="n">
        <v>2.64</v>
      </c>
      <c r="I75" s="13" t="n">
        <v>45</v>
      </c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/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>
        <v>82</v>
      </c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>
        <v>91</v>
      </c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>
        <v>17</v>
      </c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>
        <v>241</v>
      </c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>
        <v>67</v>
      </c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/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>
        <v>48</v>
      </c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>
        <v>65</v>
      </c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>
        <v>200</v>
      </c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646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/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>
        <v>143</v>
      </c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483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>
        <v>55</v>
      </c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>
        <v>110</v>
      </c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>
        <v>55</v>
      </c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>
        <v>140</v>
      </c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>
        <v>194</v>
      </c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>
        <v>4</v>
      </c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>
        <v>5</v>
      </c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/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/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/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/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>
        <v>4</v>
      </c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>
        <v>110</v>
      </c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>
        <v>81</v>
      </c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>
        <v>71</v>
      </c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>
        <v>126</v>
      </c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>
        <v>185</v>
      </c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>
        <v>242</v>
      </c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>
        <v>247</v>
      </c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>
        <v>154</v>
      </c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>
        <v>18</v>
      </c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/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/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>
        <v>66</v>
      </c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/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>
        <v>55</v>
      </c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>
        <v>27</v>
      </c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>
        <v>27</v>
      </c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>
        <v>117</v>
      </c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>
        <v>75</v>
      </c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>
        <v>13</v>
      </c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>
        <v>47</v>
      </c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>
        <v>82</v>
      </c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>
        <v>27</v>
      </c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/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/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/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  <row r="1503">
      <c r="B1503" s="34" t="n"/>
      <c r="C1503" s="16" t="n"/>
      <c r="D1503" s="37" t="n"/>
      <c r="F1503" s="17" t="n"/>
      <c r="G1503" s="17" t="n"/>
      <c r="H1503" s="18" t="n"/>
      <c r="I1503" s="18" t="n"/>
      <c r="J1503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2026-09-30T13:44:05Z</dcterms:modified>
  <cp:lastModifiedBy>Uaer4</cp:lastModifiedBy>
  <cp:lastPrinted>2015-01-13T07:32:10Z</cp:lastPrinted>
</cp:coreProperties>
</file>