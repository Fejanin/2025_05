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0AA5CDD0-1067-4E67-9B99-A4A39764A93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Sheet!$A$3:$W$103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7" i="1" l="1"/>
  <c r="T7" i="1" s="1"/>
  <c r="P8" i="1"/>
  <c r="P9" i="1"/>
  <c r="T9" i="1" s="1"/>
  <c r="P10" i="1"/>
  <c r="P11" i="1"/>
  <c r="T11" i="1" s="1"/>
  <c r="P12" i="1"/>
  <c r="P13" i="1"/>
  <c r="T13" i="1" s="1"/>
  <c r="P14" i="1"/>
  <c r="P15" i="1"/>
  <c r="T15" i="1" s="1"/>
  <c r="P16" i="1"/>
  <c r="P17" i="1"/>
  <c r="T17" i="1" s="1"/>
  <c r="P18" i="1"/>
  <c r="P19" i="1"/>
  <c r="T19" i="1" s="1"/>
  <c r="P20" i="1"/>
  <c r="P21" i="1"/>
  <c r="T21" i="1" s="1"/>
  <c r="P22" i="1"/>
  <c r="Q22" i="1" s="1"/>
  <c r="P23" i="1"/>
  <c r="T23" i="1" s="1"/>
  <c r="P24" i="1"/>
  <c r="P25" i="1"/>
  <c r="T25" i="1" s="1"/>
  <c r="P26" i="1"/>
  <c r="P27" i="1"/>
  <c r="T27" i="1" s="1"/>
  <c r="P28" i="1"/>
  <c r="P29" i="1"/>
  <c r="T29" i="1" s="1"/>
  <c r="P30" i="1"/>
  <c r="P31" i="1"/>
  <c r="T31" i="1" s="1"/>
  <c r="P32" i="1"/>
  <c r="S32" i="1" s="1"/>
  <c r="P33" i="1"/>
  <c r="T33" i="1" s="1"/>
  <c r="P34" i="1"/>
  <c r="P35" i="1"/>
  <c r="T35" i="1" s="1"/>
  <c r="P36" i="1"/>
  <c r="P37" i="1"/>
  <c r="T37" i="1" s="1"/>
  <c r="P38" i="1"/>
  <c r="P39" i="1"/>
  <c r="T39" i="1" s="1"/>
  <c r="P40" i="1"/>
  <c r="P41" i="1"/>
  <c r="T41" i="1" s="1"/>
  <c r="P42" i="1"/>
  <c r="P43" i="1"/>
  <c r="T43" i="1" s="1"/>
  <c r="P44" i="1"/>
  <c r="P45" i="1"/>
  <c r="T45" i="1" s="1"/>
  <c r="P46" i="1"/>
  <c r="P47" i="1"/>
  <c r="T47" i="1" s="1"/>
  <c r="P48" i="1"/>
  <c r="P49" i="1"/>
  <c r="T49" i="1" s="1"/>
  <c r="P50" i="1"/>
  <c r="P51" i="1"/>
  <c r="T51" i="1" s="1"/>
  <c r="P52" i="1"/>
  <c r="P53" i="1"/>
  <c r="T53" i="1" s="1"/>
  <c r="P54" i="1"/>
  <c r="P55" i="1"/>
  <c r="T55" i="1" s="1"/>
  <c r="P56" i="1"/>
  <c r="P57" i="1"/>
  <c r="T57" i="1" s="1"/>
  <c r="P58" i="1"/>
  <c r="P59" i="1"/>
  <c r="T59" i="1" s="1"/>
  <c r="P60" i="1"/>
  <c r="P61" i="1"/>
  <c r="T61" i="1" s="1"/>
  <c r="P62" i="1"/>
  <c r="P63" i="1"/>
  <c r="T63" i="1" s="1"/>
  <c r="P64" i="1"/>
  <c r="P65" i="1"/>
  <c r="T65" i="1" s="1"/>
  <c r="P66" i="1"/>
  <c r="P67" i="1"/>
  <c r="T67" i="1" s="1"/>
  <c r="P68" i="1"/>
  <c r="S68" i="1" s="1"/>
  <c r="P69" i="1"/>
  <c r="T69" i="1" s="1"/>
  <c r="P70" i="1"/>
  <c r="P71" i="1"/>
  <c r="T71" i="1" s="1"/>
  <c r="P72" i="1"/>
  <c r="P73" i="1"/>
  <c r="T73" i="1" s="1"/>
  <c r="P74" i="1"/>
  <c r="P75" i="1"/>
  <c r="T75" i="1" s="1"/>
  <c r="P76" i="1"/>
  <c r="P77" i="1"/>
  <c r="T77" i="1" s="1"/>
  <c r="P78" i="1"/>
  <c r="P79" i="1"/>
  <c r="T79" i="1" s="1"/>
  <c r="P80" i="1"/>
  <c r="P81" i="1"/>
  <c r="T81" i="1" s="1"/>
  <c r="P82" i="1"/>
  <c r="P83" i="1"/>
  <c r="T83" i="1" s="1"/>
  <c r="P84" i="1"/>
  <c r="P85" i="1"/>
  <c r="T85" i="1" s="1"/>
  <c r="P86" i="1"/>
  <c r="P87" i="1"/>
  <c r="T87" i="1" s="1"/>
  <c r="P88" i="1"/>
  <c r="P89" i="1"/>
  <c r="T89" i="1" s="1"/>
  <c r="P90" i="1"/>
  <c r="P91" i="1"/>
  <c r="T91" i="1" s="1"/>
  <c r="P92" i="1"/>
  <c r="P93" i="1"/>
  <c r="T93" i="1" s="1"/>
  <c r="P94" i="1"/>
  <c r="P95" i="1"/>
  <c r="T95" i="1" s="1"/>
  <c r="P96" i="1"/>
  <c r="P97" i="1"/>
  <c r="T97" i="1" s="1"/>
  <c r="P98" i="1"/>
  <c r="P99" i="1"/>
  <c r="T99" i="1" s="1"/>
  <c r="P100" i="1"/>
  <c r="P101" i="1"/>
  <c r="T101" i="1" s="1"/>
  <c r="P102" i="1"/>
  <c r="P103" i="1"/>
  <c r="T103" i="1" s="1"/>
  <c r="P6" i="1"/>
  <c r="Q93" i="1" l="1"/>
  <c r="Q15" i="1"/>
  <c r="W15" i="1" s="1"/>
  <c r="Q11" i="1"/>
  <c r="W11" i="1" s="1"/>
  <c r="Q77" i="1"/>
  <c r="W77" i="1" s="1"/>
  <c r="Q73" i="1"/>
  <c r="S73" i="1" s="1"/>
  <c r="Q55" i="1"/>
  <c r="Q7" i="1"/>
  <c r="S7" i="1" s="1"/>
  <c r="Q59" i="1"/>
  <c r="S59" i="1" s="1"/>
  <c r="Q19" i="1"/>
  <c r="S19" i="1" s="1"/>
  <c r="Q13" i="1"/>
  <c r="W13" i="1" s="1"/>
  <c r="Q37" i="1"/>
  <c r="S37" i="1" s="1"/>
  <c r="Q63" i="1"/>
  <c r="S63" i="1" s="1"/>
  <c r="W93" i="1"/>
  <c r="S15" i="1"/>
  <c r="Q31" i="1"/>
  <c r="S31" i="1" s="1"/>
  <c r="Q45" i="1"/>
  <c r="S45" i="1" s="1"/>
  <c r="Q65" i="1"/>
  <c r="S65" i="1" s="1"/>
  <c r="W6" i="1"/>
  <c r="T6" i="1"/>
  <c r="S102" i="1"/>
  <c r="T102" i="1"/>
  <c r="T100" i="1"/>
  <c r="S100" i="1"/>
  <c r="S98" i="1"/>
  <c r="T98" i="1"/>
  <c r="T96" i="1"/>
  <c r="S96" i="1"/>
  <c r="S94" i="1"/>
  <c r="T94" i="1"/>
  <c r="T92" i="1"/>
  <c r="Q92" i="1"/>
  <c r="S92" i="1" s="1"/>
  <c r="S90" i="1"/>
  <c r="T90" i="1"/>
  <c r="T88" i="1"/>
  <c r="S88" i="1"/>
  <c r="S86" i="1"/>
  <c r="T86" i="1"/>
  <c r="T84" i="1"/>
  <c r="S84" i="1"/>
  <c r="S82" i="1"/>
  <c r="T82" i="1"/>
  <c r="T80" i="1"/>
  <c r="S80" i="1"/>
  <c r="S78" i="1"/>
  <c r="T78" i="1"/>
  <c r="Q76" i="1"/>
  <c r="S76" i="1" s="1"/>
  <c r="S74" i="1"/>
  <c r="T74" i="1"/>
  <c r="S72" i="1"/>
  <c r="S70" i="1"/>
  <c r="T70" i="1"/>
  <c r="Q66" i="1"/>
  <c r="S66" i="1" s="1"/>
  <c r="T66" i="1"/>
  <c r="S64" i="1"/>
  <c r="S62" i="1"/>
  <c r="T62" i="1"/>
  <c r="Q60" i="1"/>
  <c r="S60" i="1" s="1"/>
  <c r="S58" i="1"/>
  <c r="T58" i="1"/>
  <c r="S56" i="1"/>
  <c r="S54" i="1"/>
  <c r="T54" i="1"/>
  <c r="S52" i="1"/>
  <c r="S50" i="1"/>
  <c r="T50" i="1"/>
  <c r="S48" i="1"/>
  <c r="Q46" i="1"/>
  <c r="S46" i="1" s="1"/>
  <c r="T46" i="1"/>
  <c r="Q44" i="1"/>
  <c r="S44" i="1" s="1"/>
  <c r="Q42" i="1"/>
  <c r="S42" i="1" s="1"/>
  <c r="T42" i="1"/>
  <c r="S40" i="1"/>
  <c r="S38" i="1"/>
  <c r="T38" i="1"/>
  <c r="S36" i="1"/>
  <c r="S34" i="1"/>
  <c r="T34" i="1"/>
  <c r="Q30" i="1"/>
  <c r="S30" i="1" s="1"/>
  <c r="T30" i="1"/>
  <c r="S28" i="1"/>
  <c r="S26" i="1"/>
  <c r="T26" i="1"/>
  <c r="S24" i="1"/>
  <c r="S22" i="1"/>
  <c r="T22" i="1"/>
  <c r="S20" i="1"/>
  <c r="S18" i="1"/>
  <c r="T18" i="1"/>
  <c r="S16" i="1"/>
  <c r="Q14" i="1"/>
  <c r="S14" i="1" s="1"/>
  <c r="T14" i="1"/>
  <c r="S12" i="1"/>
  <c r="S10" i="1"/>
  <c r="T10" i="1"/>
  <c r="S8" i="1"/>
  <c r="S53" i="1"/>
  <c r="Q69" i="1"/>
  <c r="W69" i="1" s="1"/>
  <c r="S6" i="1"/>
  <c r="S69" i="1"/>
  <c r="S61" i="1"/>
  <c r="S57" i="1"/>
  <c r="S49" i="1"/>
  <c r="S41" i="1"/>
  <c r="S33" i="1"/>
  <c r="S29" i="1"/>
  <c r="S25" i="1"/>
  <c r="S21" i="1"/>
  <c r="S17" i="1"/>
  <c r="S9" i="1"/>
  <c r="S103" i="1"/>
  <c r="S101" i="1"/>
  <c r="S99" i="1"/>
  <c r="S97" i="1"/>
  <c r="S95" i="1"/>
  <c r="S91" i="1"/>
  <c r="S89" i="1"/>
  <c r="S87" i="1"/>
  <c r="S85" i="1"/>
  <c r="S83" i="1"/>
  <c r="S81" i="1"/>
  <c r="S79" i="1"/>
  <c r="S75" i="1"/>
  <c r="S71" i="1"/>
  <c r="S67" i="1"/>
  <c r="S51" i="1"/>
  <c r="S47" i="1"/>
  <c r="S43" i="1"/>
  <c r="S39" i="1"/>
  <c r="S35" i="1"/>
  <c r="S27" i="1"/>
  <c r="S23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L103" i="1"/>
  <c r="L102" i="1"/>
  <c r="W101" i="1"/>
  <c r="L101" i="1"/>
  <c r="W100" i="1"/>
  <c r="L100" i="1"/>
  <c r="W99" i="1"/>
  <c r="L99" i="1"/>
  <c r="L98" i="1"/>
  <c r="W97" i="1"/>
  <c r="L97" i="1"/>
  <c r="W96" i="1"/>
  <c r="L96" i="1"/>
  <c r="W95" i="1"/>
  <c r="L95" i="1"/>
  <c r="L94" i="1"/>
  <c r="L93" i="1"/>
  <c r="L92" i="1"/>
  <c r="W91" i="1"/>
  <c r="L91" i="1"/>
  <c r="L90" i="1"/>
  <c r="W89" i="1"/>
  <c r="L89" i="1"/>
  <c r="W88" i="1"/>
  <c r="L88" i="1"/>
  <c r="W87" i="1"/>
  <c r="L87" i="1"/>
  <c r="L86" i="1"/>
  <c r="W85" i="1"/>
  <c r="L85" i="1"/>
  <c r="W84" i="1"/>
  <c r="L84" i="1"/>
  <c r="W83" i="1"/>
  <c r="L83" i="1"/>
  <c r="L82" i="1"/>
  <c r="W81" i="1"/>
  <c r="L81" i="1"/>
  <c r="W80" i="1"/>
  <c r="L80" i="1"/>
  <c r="W79" i="1"/>
  <c r="L79" i="1"/>
  <c r="W78" i="1"/>
  <c r="L78" i="1"/>
  <c r="L77" i="1"/>
  <c r="L76" i="1"/>
  <c r="W75" i="1"/>
  <c r="L75" i="1"/>
  <c r="L74" i="1"/>
  <c r="L73" i="1"/>
  <c r="W72" i="1"/>
  <c r="L72" i="1"/>
  <c r="W71" i="1"/>
  <c r="L71" i="1"/>
  <c r="L70" i="1"/>
  <c r="L69" i="1"/>
  <c r="L68" i="1"/>
  <c r="W67" i="1"/>
  <c r="L67" i="1"/>
  <c r="L66" i="1"/>
  <c r="L65" i="1"/>
  <c r="L64" i="1"/>
  <c r="L63" i="1"/>
  <c r="L62" i="1"/>
  <c r="W61" i="1"/>
  <c r="L61" i="1"/>
  <c r="L60" i="1"/>
  <c r="L59" i="1"/>
  <c r="W58" i="1"/>
  <c r="L58" i="1"/>
  <c r="W57" i="1"/>
  <c r="L57" i="1"/>
  <c r="L56" i="1"/>
  <c r="L55" i="1"/>
  <c r="L54" i="1"/>
  <c r="W53" i="1"/>
  <c r="L53" i="1"/>
  <c r="W52" i="1"/>
  <c r="L52" i="1"/>
  <c r="L51" i="1"/>
  <c r="L50" i="1"/>
  <c r="W49" i="1"/>
  <c r="L49" i="1"/>
  <c r="W48" i="1"/>
  <c r="L48" i="1"/>
  <c r="W47" i="1"/>
  <c r="L47" i="1"/>
  <c r="L46" i="1"/>
  <c r="L45" i="1"/>
  <c r="L44" i="1"/>
  <c r="W43" i="1"/>
  <c r="L43" i="1"/>
  <c r="L42" i="1"/>
  <c r="W41" i="1"/>
  <c r="L41" i="1"/>
  <c r="W40" i="1"/>
  <c r="L40" i="1"/>
  <c r="W39" i="1"/>
  <c r="L39" i="1"/>
  <c r="W38" i="1"/>
  <c r="L38" i="1"/>
  <c r="L37" i="1"/>
  <c r="L36" i="1"/>
  <c r="W35" i="1"/>
  <c r="L35" i="1"/>
  <c r="L34" i="1"/>
  <c r="L33" i="1"/>
  <c r="L32" i="1"/>
  <c r="L31" i="1"/>
  <c r="L30" i="1"/>
  <c r="W29" i="1"/>
  <c r="L29" i="1"/>
  <c r="L28" i="1"/>
  <c r="W27" i="1"/>
  <c r="L27" i="1"/>
  <c r="L26" i="1"/>
  <c r="W25" i="1"/>
  <c r="L25" i="1"/>
  <c r="W24" i="1"/>
  <c r="L24" i="1"/>
  <c r="W23" i="1"/>
  <c r="L23" i="1"/>
  <c r="L22" i="1"/>
  <c r="W21" i="1"/>
  <c r="L21" i="1"/>
  <c r="L20" i="1"/>
  <c r="L19" i="1"/>
  <c r="L18" i="1"/>
  <c r="W17" i="1"/>
  <c r="L17" i="1"/>
  <c r="W16" i="1"/>
  <c r="L16" i="1"/>
  <c r="L15" i="1"/>
  <c r="L14" i="1"/>
  <c r="L13" i="1"/>
  <c r="L12" i="1"/>
  <c r="L11" i="1"/>
  <c r="L10" i="1"/>
  <c r="W9" i="1"/>
  <c r="L9" i="1"/>
  <c r="W8" i="1"/>
  <c r="L8" i="1"/>
  <c r="L7" i="1"/>
  <c r="L6" i="1"/>
  <c r="U5" i="1"/>
  <c r="P5" i="1"/>
  <c r="O5" i="1"/>
  <c r="N5" i="1"/>
  <c r="M5" i="1"/>
  <c r="K5" i="1"/>
  <c r="F5" i="1"/>
  <c r="E5" i="1"/>
  <c r="S55" i="1" l="1"/>
  <c r="W55" i="1"/>
  <c r="S11" i="1"/>
  <c r="W59" i="1"/>
  <c r="W19" i="1"/>
  <c r="W63" i="1"/>
  <c r="W66" i="1"/>
  <c r="S13" i="1"/>
  <c r="W46" i="1"/>
  <c r="W7" i="1"/>
  <c r="W14" i="1"/>
  <c r="W60" i="1"/>
  <c r="W92" i="1"/>
  <c r="S77" i="1"/>
  <c r="W37" i="1"/>
  <c r="W45" i="1"/>
  <c r="W73" i="1"/>
  <c r="S93" i="1"/>
  <c r="W30" i="1"/>
  <c r="W65" i="1"/>
  <c r="Q5" i="1"/>
  <c r="W22" i="1"/>
  <c r="W31" i="1"/>
  <c r="W10" i="1"/>
  <c r="W12" i="1"/>
  <c r="W18" i="1"/>
  <c r="W20" i="1"/>
  <c r="W26" i="1"/>
  <c r="W28" i="1"/>
  <c r="W34" i="1"/>
  <c r="W36" i="1"/>
  <c r="W42" i="1"/>
  <c r="W44" i="1"/>
  <c r="W50" i="1"/>
  <c r="W56" i="1"/>
  <c r="W62" i="1"/>
  <c r="W64" i="1"/>
  <c r="W74" i="1"/>
  <c r="W76" i="1"/>
  <c r="W82" i="1"/>
  <c r="W86" i="1"/>
  <c r="W90" i="1"/>
  <c r="W94" i="1"/>
  <c r="W98" i="1"/>
  <c r="W102" i="1"/>
  <c r="L5" i="1"/>
  <c r="W5" i="1" l="1"/>
</calcChain>
</file>

<file path=xl/sharedStrings.xml><?xml version="1.0" encoding="utf-8"?>
<sst xmlns="http://schemas.openxmlformats.org/spreadsheetml/2006/main" count="335" uniqueCount="136">
  <si>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</si>
  <si>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</si>
  <si>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</si>
  <si>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</si>
  <si>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</si>
  <si>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</si>
  <si>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</si>
  <si>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</si>
  <si>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</si>
  <si>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</si>
  <si>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</si>
  <si>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</si>
  <si>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</si>
  <si>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</si>
  <si>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</si>
  <si>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</si>
  <si>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</si>
  <si>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</si>
  <si>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</si>
  <si>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</si>
  <si>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</si>
  <si>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</si>
  <si>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29,09,м</t>
  </si>
  <si>
    <t>28,09,</t>
  </si>
  <si>
    <t>нет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</si>
  <si>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</si>
  <si>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</si>
  <si>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</si>
  <si>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</si>
  <si>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</si>
  <si>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</si>
  <si>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</si>
  <si>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</si>
  <si>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</si>
  <si>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</si>
  <si>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</si>
  <si>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</si>
  <si>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</si>
  <si>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</si>
  <si>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</si>
  <si>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</si>
  <si>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</si>
  <si>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</si>
  <si>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</si>
  <si>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</si>
  <si>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</si>
  <si>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</si>
  <si>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</si>
  <si>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</si>
  <si>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</si>
  <si>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</si>
  <si>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</si>
  <si>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</si>
  <si>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</si>
  <si>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</si>
  <si>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</si>
  <si>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7154 СЕРВЕЛАТ ЗЕРНИСТЫЙ ПМ в/к в/у 0,35кг_50с  Останкино</t>
  </si>
  <si>
    <t>6392 ФИЛЕЙНАЯ Папа может вар п/о 0,4кг  ОСТАНКИНО</t>
  </si>
  <si>
    <t>7616 ЭКСТРА Папа может с/к с/н в/у 1/100_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</si>
  <si>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</si>
  <si>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</si>
  <si>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</si>
  <si>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</si>
  <si>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</si>
  <si>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</si>
  <si>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</si>
  <si>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</si>
  <si>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</si>
  <si>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</si>
  <si>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</si>
  <si>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</si>
  <si>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</si>
  <si>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</si>
  <si>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</si>
  <si>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</si>
  <si>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</si>
  <si>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</si>
  <si>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</si>
  <si>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</si>
  <si>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</si>
  <si>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</si>
  <si>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</si>
  <si>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</si>
  <si>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</si>
  <si>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</si>
  <si>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</si>
  <si>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</si>
  <si>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</si>
  <si>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</si>
  <si>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</si>
  <si>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</si>
  <si>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</si>
  <si>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</si>
  <si>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</si>
  <si>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</si>
  <si>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</si>
  <si>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</si>
  <si>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</si>
  <si>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</si>
  <si>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</si>
  <si>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</si>
  <si>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</si>
  <si>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</si>
  <si>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</si>
  <si>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</si>
  <si>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</si>
  <si>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7461 ДЛЯ ДЕТЕЙ Папа Может сос п/о мгс 0,33кг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</si>
  <si>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</si>
  <si>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</si>
  <si>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</si>
  <si>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</si>
  <si>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</si>
  <si>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</si>
  <si>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</si>
  <si>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</si>
  <si>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</si>
  <si>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</si>
  <si>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</si>
  <si>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</si>
  <si>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</si>
  <si>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</si>
  <si>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</si>
  <si>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</si>
  <si>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</si>
  <si>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</si>
  <si>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</si>
  <si>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</si>
  <si>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</si>
  <si>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</si>
  <si>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7156 СЕРВЕЛАТ КОПЧ.НА БУКЕ в/к в/у 0.35кг_50с  ОСТАНКИНО</t>
  </si>
  <si>
    <t>8014 ДОКТОРСКАЯ ПРЕМИУМ вар п/о(п)    ОСТАНКИНО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</si>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</sst>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17" customWidth="1"/>
    <col min="19" max="20" width="5" customWidth="1"/>
    <col min="21" max="21" width="6" customWidth="1"/>
    <col min="22" max="22" width="50.85546875" customWidth="1"/>
    <col min="23" max="23" width="7" customWidth="1"/>
    <col min="24" max="37" width="3" customWidth="1"/>
  </cols>
  <sheetData>
    <row r="1" spans="1:3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1"/>
      <c r="B5" s="1"/>
      <c r="C5" s="1"/>
      <c r="D5" s="1"/>
      <c r="E5" s="4">
        <f>SUM(E6:E484)</f>
        <v>5186.2580000000007</v>
      </c>
      <c r="F5" s="4">
        <f>SUM(F6:F484)</f>
        <v>7176.5959999999995</v>
      </c>
      <c r="G5" s="7"/>
      <c r="H5" s="1"/>
      <c r="I5" s="1"/>
      <c r="J5" s="1"/>
      <c r="K5" s="4">
        <f t="shared" ref="K5:R5" si="0">SUM(K6:K484)</f>
        <v>7978.5800000000008</v>
      </c>
      <c r="L5" s="4">
        <f t="shared" si="0"/>
        <v>-2792.3220000000001</v>
      </c>
      <c r="M5" s="4">
        <f t="shared" si="0"/>
        <v>0</v>
      </c>
      <c r="N5" s="4">
        <f t="shared" si="0"/>
        <v>0</v>
      </c>
      <c r="O5" s="4">
        <f t="shared" si="0"/>
        <v>7774</v>
      </c>
      <c r="P5" s="4">
        <f t="shared" si="0"/>
        <v>1037.2516000000001</v>
      </c>
      <c r="Q5" s="4">
        <f t="shared" si="0"/>
        <v>5035.7849999999999</v>
      </c>
      <c r="R5" s="4">
        <f t="shared" si="0"/>
        <v>6380</v>
      </c>
      <c r="S5" s="1"/>
      <c r="T5" s="1"/>
      <c r="U5" s="4">
        <f>SUM(U6:U484)</f>
        <v>0</v>
      </c>
      <c r="V5" s="1"/>
      <c r="W5" s="4">
        <f>SUM(W6:W484)</f>
        <v>1981.1030000000001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1" t="s">
        <v>25</v>
      </c>
      <c r="B6" s="1" t="s">
        <v>26</v>
      </c>
      <c r="C6" s="1"/>
      <c r="D6" s="1"/>
      <c r="E6" s="1"/>
      <c r="F6" s="1"/>
      <c r="G6" s="7">
        <v>1</v>
      </c>
      <c r="H6" s="1">
        <v>120</v>
      </c>
      <c r="I6" s="1" t="s">
        <v>27</v>
      </c>
      <c r="J6" s="1"/>
      <c r="K6" s="1">
        <v>5.0999999999999996</v>
      </c>
      <c r="L6" s="1">
        <f t="shared" ref="L6:L32" si="1">E6-K6</f>
        <v>-5.0999999999999996</v>
      </c>
      <c r="M6" s="1"/>
      <c r="N6" s="1"/>
      <c r="O6" s="1">
        <v>4</v>
      </c>
      <c r="P6" s="1">
        <f>E6/5</f>
        <v>0</v>
      </c>
      <c r="Q6" s="5">
        <v>8</v>
      </c>
      <c r="R6" s="15">
        <v>40</v>
      </c>
      <c r="S6" s="1" t="e">
        <f>(F6+O6+Q6)/P6</f>
        <v>#DIV/0!</v>
      </c>
      <c r="T6" s="1" t="e">
        <f>(F6+O6)/P6</f>
        <v>#DIV/0!</v>
      </c>
      <c r="U6" s="1">
        <v>0</v>
      </c>
      <c r="V6" s="1"/>
      <c r="W6" s="1">
        <f t="shared" ref="W6:W23" si="2">G6*Q6</f>
        <v>8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1" t="s">
        <v>28</v>
      </c>
      <c r="B7" s="1" t="s">
        <v>29</v>
      </c>
      <c r="C7" s="1">
        <v>72</v>
      </c>
      <c r="D7" s="1">
        <v>326</v>
      </c>
      <c r="E7" s="1">
        <v>139</v>
      </c>
      <c r="F7" s="1">
        <v>253</v>
      </c>
      <c r="G7" s="7">
        <v>0.4</v>
      </c>
      <c r="H7" s="1">
        <v>60</v>
      </c>
      <c r="I7" s="1" t="s">
        <v>27</v>
      </c>
      <c r="J7" s="1"/>
      <c r="K7" s="1">
        <v>146</v>
      </c>
      <c r="L7" s="1">
        <f t="shared" si="1"/>
        <v>-7</v>
      </c>
      <c r="M7" s="1"/>
      <c r="N7" s="1"/>
      <c r="O7" s="1">
        <v>100</v>
      </c>
      <c r="P7" s="1">
        <f t="shared" ref="P7:P70" si="3">E7/5</f>
        <v>27.8</v>
      </c>
      <c r="Q7" s="5">
        <f t="shared" ref="Q7:Q31" si="4">15*P7-O7-F7</f>
        <v>64</v>
      </c>
      <c r="R7" s="15">
        <v>150</v>
      </c>
      <c r="S7" s="1">
        <f t="shared" ref="S7:S70" si="5">(F7+O7+Q7)/P7</f>
        <v>15</v>
      </c>
      <c r="T7" s="1">
        <f t="shared" ref="T7:T70" si="6">(F7+O7)/P7</f>
        <v>12.697841726618705</v>
      </c>
      <c r="U7" s="1">
        <v>0</v>
      </c>
      <c r="V7" s="1"/>
      <c r="W7" s="1">
        <f t="shared" si="2"/>
        <v>25.6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1" t="s">
        <v>31</v>
      </c>
      <c r="B8" s="1" t="s">
        <v>26</v>
      </c>
      <c r="C8" s="1">
        <v>8.0419999999999998</v>
      </c>
      <c r="D8" s="1">
        <v>7.9269999999999996</v>
      </c>
      <c r="E8" s="1">
        <v>9.5660000000000007</v>
      </c>
      <c r="F8" s="1">
        <v>4.91</v>
      </c>
      <c r="G8" s="7">
        <v>1</v>
      </c>
      <c r="H8" s="1">
        <v>120</v>
      </c>
      <c r="I8" s="1" t="s">
        <v>27</v>
      </c>
      <c r="J8" s="1"/>
      <c r="K8" s="1">
        <v>9.5</v>
      </c>
      <c r="L8" s="1">
        <f t="shared" si="1"/>
        <v>6.6000000000000725E-2</v>
      </c>
      <c r="M8" s="1"/>
      <c r="N8" s="1"/>
      <c r="O8" s="1">
        <v>50</v>
      </c>
      <c r="P8" s="1">
        <f t="shared" si="3"/>
        <v>1.9132000000000002</v>
      </c>
      <c r="Q8" s="5"/>
      <c r="R8" s="15">
        <v>20</v>
      </c>
      <c r="S8" s="1">
        <f t="shared" si="5"/>
        <v>28.700606314028846</v>
      </c>
      <c r="T8" s="1">
        <f t="shared" si="6"/>
        <v>28.700606314028846</v>
      </c>
      <c r="U8" s="1">
        <v>0</v>
      </c>
      <c r="V8" s="1"/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1" t="s">
        <v>32</v>
      </c>
      <c r="B9" s="1" t="s">
        <v>29</v>
      </c>
      <c r="C9" s="1">
        <v>72</v>
      </c>
      <c r="D9" s="1">
        <v>336</v>
      </c>
      <c r="E9" s="1">
        <v>98</v>
      </c>
      <c r="F9" s="1">
        <v>289</v>
      </c>
      <c r="G9" s="7">
        <v>0.25</v>
      </c>
      <c r="H9" s="1">
        <v>120</v>
      </c>
      <c r="I9" s="1" t="s">
        <v>27</v>
      </c>
      <c r="J9" s="1"/>
      <c r="K9" s="1">
        <v>147</v>
      </c>
      <c r="L9" s="1">
        <f t="shared" si="1"/>
        <v>-49</v>
      </c>
      <c r="M9" s="1"/>
      <c r="N9" s="1"/>
      <c r="O9" s="1">
        <v>50</v>
      </c>
      <c r="P9" s="1">
        <f t="shared" si="3"/>
        <v>19.600000000000001</v>
      </c>
      <c r="Q9" s="5"/>
      <c r="R9" s="15"/>
      <c r="S9" s="1">
        <f t="shared" si="5"/>
        <v>17.295918367346939</v>
      </c>
      <c r="T9" s="1">
        <f t="shared" si="6"/>
        <v>17.295918367346939</v>
      </c>
      <c r="U9" s="1">
        <v>0</v>
      </c>
      <c r="V9" s="1"/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1" t="s">
        <v>33</v>
      </c>
      <c r="B10" s="1" t="s">
        <v>26</v>
      </c>
      <c r="C10" s="1">
        <v>169.85499999999999</v>
      </c>
      <c r="D10" s="1">
        <v>108.66200000000001</v>
      </c>
      <c r="E10" s="1">
        <v>121.32</v>
      </c>
      <c r="F10" s="1">
        <v>134.124</v>
      </c>
      <c r="G10" s="7">
        <v>1</v>
      </c>
      <c r="H10" s="1">
        <v>60</v>
      </c>
      <c r="I10" s="1" t="s">
        <v>27</v>
      </c>
      <c r="J10" s="1"/>
      <c r="K10" s="1">
        <v>131.80000000000001</v>
      </c>
      <c r="L10" s="1">
        <f t="shared" si="1"/>
        <v>-10.480000000000018</v>
      </c>
      <c r="M10" s="1"/>
      <c r="N10" s="1"/>
      <c r="O10" s="1">
        <v>250</v>
      </c>
      <c r="P10" s="1">
        <f t="shared" si="3"/>
        <v>24.263999999999999</v>
      </c>
      <c r="Q10" s="5"/>
      <c r="R10" s="15">
        <v>150</v>
      </c>
      <c r="S10" s="1">
        <f t="shared" si="5"/>
        <v>15.83102538740521</v>
      </c>
      <c r="T10" s="1">
        <f t="shared" si="6"/>
        <v>15.83102538740521</v>
      </c>
      <c r="U10" s="1">
        <v>0</v>
      </c>
      <c r="V10" s="1"/>
      <c r="W10" s="1">
        <f t="shared" si="2"/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1" t="s">
        <v>35</v>
      </c>
      <c r="B11" s="1" t="s">
        <v>26</v>
      </c>
      <c r="C11" s="1">
        <v>28.311</v>
      </c>
      <c r="D11" s="1"/>
      <c r="E11" s="1">
        <v>23.010999999999999</v>
      </c>
      <c r="F11" s="1">
        <v>3.9460000000000002</v>
      </c>
      <c r="G11" s="7">
        <v>1</v>
      </c>
      <c r="H11" s="1">
        <v>120</v>
      </c>
      <c r="I11" s="1" t="s">
        <v>27</v>
      </c>
      <c r="J11" s="1"/>
      <c r="K11" s="1">
        <v>19.5</v>
      </c>
      <c r="L11" s="1">
        <f t="shared" si="1"/>
        <v>3.5109999999999992</v>
      </c>
      <c r="M11" s="1"/>
      <c r="N11" s="1"/>
      <c r="O11" s="1">
        <v>0</v>
      </c>
      <c r="P11" s="1">
        <f t="shared" si="3"/>
        <v>4.6021999999999998</v>
      </c>
      <c r="Q11" s="5">
        <f>11*P11-O11-F11</f>
        <v>46.678200000000004</v>
      </c>
      <c r="R11" s="15">
        <v>100</v>
      </c>
      <c r="S11" s="1">
        <f t="shared" si="5"/>
        <v>11</v>
      </c>
      <c r="T11" s="1">
        <f t="shared" si="6"/>
        <v>0.85741601842597026</v>
      </c>
      <c r="U11" s="1">
        <v>0</v>
      </c>
      <c r="V11" s="1"/>
      <c r="W11" s="1">
        <f t="shared" si="2"/>
        <v>46.678200000000004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1" t="s">
        <v>36</v>
      </c>
      <c r="B12" s="1" t="s">
        <v>26</v>
      </c>
      <c r="C12" s="1">
        <v>40.392000000000003</v>
      </c>
      <c r="D12" s="1">
        <v>1.363</v>
      </c>
      <c r="E12" s="1">
        <v>26.852</v>
      </c>
      <c r="F12" s="1">
        <v>5.4290000000000003</v>
      </c>
      <c r="G12" s="7">
        <v>1</v>
      </c>
      <c r="H12" s="1">
        <v>60</v>
      </c>
      <c r="I12" s="1" t="s">
        <v>27</v>
      </c>
      <c r="J12" s="1"/>
      <c r="K12" s="1">
        <v>26.5</v>
      </c>
      <c r="L12" s="1">
        <f t="shared" si="1"/>
        <v>0.35200000000000031</v>
      </c>
      <c r="M12" s="1"/>
      <c r="N12" s="1"/>
      <c r="O12" s="1">
        <v>100</v>
      </c>
      <c r="P12" s="1">
        <f t="shared" si="3"/>
        <v>5.3704000000000001</v>
      </c>
      <c r="Q12" s="5"/>
      <c r="R12" s="15">
        <v>50</v>
      </c>
      <c r="S12" s="1">
        <f t="shared" si="5"/>
        <v>19.631498584835395</v>
      </c>
      <c r="T12" s="1">
        <f t="shared" si="6"/>
        <v>19.631498584835395</v>
      </c>
      <c r="U12" s="1">
        <v>0</v>
      </c>
      <c r="V12" s="1"/>
      <c r="W12" s="1">
        <f t="shared" si="2"/>
        <v>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1" t="s">
        <v>37</v>
      </c>
      <c r="B13" s="1" t="s">
        <v>26</v>
      </c>
      <c r="C13" s="1">
        <v>293.66199999999998</v>
      </c>
      <c r="D13" s="1">
        <v>105.24</v>
      </c>
      <c r="E13" s="1">
        <v>140.517</v>
      </c>
      <c r="F13" s="1">
        <v>237.898</v>
      </c>
      <c r="G13" s="7">
        <v>1</v>
      </c>
      <c r="H13" s="1">
        <v>60</v>
      </c>
      <c r="I13" s="1" t="s">
        <v>27</v>
      </c>
      <c r="J13" s="1"/>
      <c r="K13" s="1">
        <v>147.69999999999999</v>
      </c>
      <c r="L13" s="1">
        <f t="shared" si="1"/>
        <v>-7.1829999999999927</v>
      </c>
      <c r="M13" s="1"/>
      <c r="N13" s="1"/>
      <c r="O13" s="1">
        <v>100</v>
      </c>
      <c r="P13" s="1">
        <f t="shared" si="3"/>
        <v>28.103400000000001</v>
      </c>
      <c r="Q13" s="5">
        <f t="shared" si="4"/>
        <v>83.652999999999992</v>
      </c>
      <c r="R13" s="15">
        <v>150</v>
      </c>
      <c r="S13" s="1">
        <f t="shared" si="5"/>
        <v>15.000000000000002</v>
      </c>
      <c r="T13" s="1">
        <f t="shared" si="6"/>
        <v>12.023385070845521</v>
      </c>
      <c r="U13" s="1">
        <v>0</v>
      </c>
      <c r="V13" s="1"/>
      <c r="W13" s="1">
        <f t="shared" si="2"/>
        <v>83.652999999999992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1" t="s">
        <v>38</v>
      </c>
      <c r="B14" s="1" t="s">
        <v>29</v>
      </c>
      <c r="C14" s="1">
        <v>128</v>
      </c>
      <c r="D14" s="1">
        <v>103</v>
      </c>
      <c r="E14" s="1">
        <v>101</v>
      </c>
      <c r="F14" s="1">
        <v>121</v>
      </c>
      <c r="G14" s="7">
        <v>0.25</v>
      </c>
      <c r="H14" s="1">
        <v>120</v>
      </c>
      <c r="I14" s="1" t="s">
        <v>27</v>
      </c>
      <c r="J14" s="1"/>
      <c r="K14" s="1">
        <v>111</v>
      </c>
      <c r="L14" s="1">
        <f t="shared" si="1"/>
        <v>-10</v>
      </c>
      <c r="M14" s="1"/>
      <c r="N14" s="1"/>
      <c r="O14" s="1">
        <v>50</v>
      </c>
      <c r="P14" s="1">
        <f t="shared" si="3"/>
        <v>20.2</v>
      </c>
      <c r="Q14" s="5">
        <f t="shared" si="4"/>
        <v>132</v>
      </c>
      <c r="R14" s="15">
        <v>200</v>
      </c>
      <c r="S14" s="1">
        <f t="shared" si="5"/>
        <v>15</v>
      </c>
      <c r="T14" s="1">
        <f t="shared" si="6"/>
        <v>8.4653465346534649</v>
      </c>
      <c r="U14" s="1">
        <v>0</v>
      </c>
      <c r="V14" s="1"/>
      <c r="W14" s="1">
        <f t="shared" si="2"/>
        <v>33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1" t="s">
        <v>39</v>
      </c>
      <c r="B15" s="1" t="s">
        <v>26</v>
      </c>
      <c r="C15" s="1">
        <v>61.256999999999998</v>
      </c>
      <c r="D15" s="1">
        <v>1.5589999999999999</v>
      </c>
      <c r="E15" s="1">
        <v>36.837000000000003</v>
      </c>
      <c r="F15" s="1">
        <v>16.280999999999999</v>
      </c>
      <c r="G15" s="7">
        <v>1</v>
      </c>
      <c r="H15" s="1">
        <v>60</v>
      </c>
      <c r="I15" s="1" t="s">
        <v>27</v>
      </c>
      <c r="J15" s="1"/>
      <c r="K15" s="1">
        <v>38</v>
      </c>
      <c r="L15" s="1">
        <f t="shared" si="1"/>
        <v>-1.1629999999999967</v>
      </c>
      <c r="M15" s="1"/>
      <c r="N15" s="1"/>
      <c r="O15" s="1">
        <v>0</v>
      </c>
      <c r="P15" s="1">
        <f t="shared" si="3"/>
        <v>7.3674000000000008</v>
      </c>
      <c r="Q15" s="5">
        <f>12*P15-O15-F15</f>
        <v>72.127800000000008</v>
      </c>
      <c r="R15" s="15">
        <v>150</v>
      </c>
      <c r="S15" s="1">
        <f t="shared" si="5"/>
        <v>12</v>
      </c>
      <c r="T15" s="1">
        <f t="shared" si="6"/>
        <v>2.2098705106279009</v>
      </c>
      <c r="U15" s="1">
        <v>0</v>
      </c>
      <c r="V15" s="1"/>
      <c r="W15" s="1">
        <f t="shared" si="2"/>
        <v>72.127800000000008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1" t="s">
        <v>40</v>
      </c>
      <c r="B16" s="1" t="s">
        <v>29</v>
      </c>
      <c r="C16" s="1">
        <v>128</v>
      </c>
      <c r="D16" s="1">
        <v>297</v>
      </c>
      <c r="E16" s="1">
        <v>98</v>
      </c>
      <c r="F16" s="1">
        <v>303</v>
      </c>
      <c r="G16" s="7">
        <v>0.25</v>
      </c>
      <c r="H16" s="1">
        <v>120</v>
      </c>
      <c r="I16" s="1" t="s">
        <v>27</v>
      </c>
      <c r="J16" s="1"/>
      <c r="K16" s="1">
        <v>121</v>
      </c>
      <c r="L16" s="1">
        <f t="shared" si="1"/>
        <v>-23</v>
      </c>
      <c r="M16" s="1"/>
      <c r="N16" s="1"/>
      <c r="O16" s="1">
        <v>50</v>
      </c>
      <c r="P16" s="1">
        <f t="shared" si="3"/>
        <v>19.600000000000001</v>
      </c>
      <c r="Q16" s="5"/>
      <c r="R16" s="15"/>
      <c r="S16" s="1">
        <f t="shared" si="5"/>
        <v>18.010204081632651</v>
      </c>
      <c r="T16" s="1">
        <f t="shared" si="6"/>
        <v>18.010204081632651</v>
      </c>
      <c r="U16" s="1">
        <v>0</v>
      </c>
      <c r="V16" s="1"/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1" t="s">
        <v>41</v>
      </c>
      <c r="B17" s="1" t="s">
        <v>29</v>
      </c>
      <c r="C17" s="1">
        <v>150</v>
      </c>
      <c r="D17" s="1">
        <v>3</v>
      </c>
      <c r="E17" s="1">
        <v>22</v>
      </c>
      <c r="F17" s="1">
        <v>128</v>
      </c>
      <c r="G17" s="7">
        <v>0.4</v>
      </c>
      <c r="H17" s="1">
        <v>60</v>
      </c>
      <c r="I17" s="1" t="s">
        <v>27</v>
      </c>
      <c r="J17" s="1"/>
      <c r="K17" s="1">
        <v>25</v>
      </c>
      <c r="L17" s="1">
        <f t="shared" si="1"/>
        <v>-3</v>
      </c>
      <c r="M17" s="1"/>
      <c r="N17" s="1"/>
      <c r="O17" s="1">
        <v>50</v>
      </c>
      <c r="P17" s="1">
        <f t="shared" si="3"/>
        <v>4.4000000000000004</v>
      </c>
      <c r="Q17" s="5"/>
      <c r="R17" s="15"/>
      <c r="S17" s="1">
        <f t="shared" si="5"/>
        <v>40.454545454545453</v>
      </c>
      <c r="T17" s="1">
        <f t="shared" si="6"/>
        <v>40.454545454545453</v>
      </c>
      <c r="U17" s="1">
        <v>0</v>
      </c>
      <c r="V17" s="13" t="s">
        <v>34</v>
      </c>
      <c r="W17" s="1">
        <f t="shared" si="2"/>
        <v>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1" t="s">
        <v>42</v>
      </c>
      <c r="B18" s="1" t="s">
        <v>26</v>
      </c>
      <c r="C18" s="1"/>
      <c r="D18" s="1">
        <v>258.65699999999998</v>
      </c>
      <c r="E18" s="1">
        <v>52.406999999999996</v>
      </c>
      <c r="F18" s="1">
        <v>189.36199999999999</v>
      </c>
      <c r="G18" s="7">
        <v>1</v>
      </c>
      <c r="H18" s="1">
        <v>45</v>
      </c>
      <c r="I18" s="1" t="s">
        <v>27</v>
      </c>
      <c r="J18" s="1"/>
      <c r="K18" s="1">
        <v>95.6</v>
      </c>
      <c r="L18" s="1">
        <f t="shared" si="1"/>
        <v>-43.192999999999998</v>
      </c>
      <c r="M18" s="1"/>
      <c r="N18" s="1"/>
      <c r="O18" s="1">
        <v>200</v>
      </c>
      <c r="P18" s="1">
        <f t="shared" si="3"/>
        <v>10.481399999999999</v>
      </c>
      <c r="Q18" s="5"/>
      <c r="R18" s="15">
        <v>50</v>
      </c>
      <c r="S18" s="1">
        <f t="shared" si="5"/>
        <v>37.147900089682679</v>
      </c>
      <c r="T18" s="1">
        <f t="shared" si="6"/>
        <v>37.147900089682679</v>
      </c>
      <c r="U18" s="1">
        <v>0</v>
      </c>
      <c r="V18" s="1"/>
      <c r="W18" s="1">
        <f t="shared" si="2"/>
        <v>0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1" t="s">
        <v>43</v>
      </c>
      <c r="B19" s="1" t="s">
        <v>26</v>
      </c>
      <c r="C19" s="1">
        <v>16.548999999999999</v>
      </c>
      <c r="D19" s="1"/>
      <c r="E19" s="1">
        <v>9.8059999999999992</v>
      </c>
      <c r="F19" s="1">
        <v>5.1890000000000001</v>
      </c>
      <c r="G19" s="7">
        <v>1</v>
      </c>
      <c r="H19" s="1">
        <v>120</v>
      </c>
      <c r="I19" s="1" t="s">
        <v>131</v>
      </c>
      <c r="J19" s="1"/>
      <c r="K19" s="1">
        <v>9.5</v>
      </c>
      <c r="L19" s="1">
        <f t="shared" si="1"/>
        <v>0.30599999999999916</v>
      </c>
      <c r="M19" s="1"/>
      <c r="N19" s="1"/>
      <c r="O19" s="1">
        <v>8</v>
      </c>
      <c r="P19" s="1">
        <f t="shared" si="3"/>
        <v>1.9611999999999998</v>
      </c>
      <c r="Q19" s="5">
        <f t="shared" si="4"/>
        <v>16.228999999999999</v>
      </c>
      <c r="R19" s="15"/>
      <c r="S19" s="1">
        <f t="shared" si="5"/>
        <v>15.000000000000002</v>
      </c>
      <c r="T19" s="1">
        <f t="shared" si="6"/>
        <v>6.7249643075667969</v>
      </c>
      <c r="U19" s="1">
        <v>0</v>
      </c>
      <c r="V19" s="1"/>
      <c r="W19" s="1">
        <f t="shared" si="2"/>
        <v>16.228999999999999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1" t="s">
        <v>44</v>
      </c>
      <c r="B20" s="1" t="s">
        <v>29</v>
      </c>
      <c r="C20" s="1"/>
      <c r="D20" s="1"/>
      <c r="E20" s="1"/>
      <c r="F20" s="1"/>
      <c r="G20" s="7">
        <v>0.4</v>
      </c>
      <c r="H20" s="1">
        <v>45</v>
      </c>
      <c r="I20" s="1" t="s">
        <v>27</v>
      </c>
      <c r="J20" s="1"/>
      <c r="K20" s="1">
        <v>80</v>
      </c>
      <c r="L20" s="1">
        <f t="shared" si="1"/>
        <v>-80</v>
      </c>
      <c r="M20" s="1"/>
      <c r="N20" s="1"/>
      <c r="O20" s="1">
        <v>220</v>
      </c>
      <c r="P20" s="1">
        <f t="shared" si="3"/>
        <v>0</v>
      </c>
      <c r="Q20" s="5"/>
      <c r="R20" s="15">
        <v>150</v>
      </c>
      <c r="S20" s="1" t="e">
        <f t="shared" si="5"/>
        <v>#DIV/0!</v>
      </c>
      <c r="T20" s="1" t="e">
        <f t="shared" si="6"/>
        <v>#DIV/0!</v>
      </c>
      <c r="U20" s="1">
        <v>0</v>
      </c>
      <c r="V20" s="1"/>
      <c r="W20" s="1">
        <f t="shared" si="2"/>
        <v>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1" t="s">
        <v>45</v>
      </c>
      <c r="B21" s="1" t="s">
        <v>26</v>
      </c>
      <c r="C21" s="1">
        <v>40.296999999999997</v>
      </c>
      <c r="D21" s="1">
        <v>136.51300000000001</v>
      </c>
      <c r="E21" s="1">
        <v>59.405000000000001</v>
      </c>
      <c r="F21" s="1">
        <v>101.24299999999999</v>
      </c>
      <c r="G21" s="7">
        <v>1</v>
      </c>
      <c r="H21" s="1">
        <v>60</v>
      </c>
      <c r="I21" s="1" t="s">
        <v>27</v>
      </c>
      <c r="J21" s="1"/>
      <c r="K21" s="1">
        <v>68.2</v>
      </c>
      <c r="L21" s="1">
        <f t="shared" si="1"/>
        <v>-8.7950000000000017</v>
      </c>
      <c r="M21" s="1"/>
      <c r="N21" s="1"/>
      <c r="O21" s="1">
        <v>100</v>
      </c>
      <c r="P21" s="1">
        <f t="shared" si="3"/>
        <v>11.881</v>
      </c>
      <c r="Q21" s="5"/>
      <c r="R21" s="15">
        <v>70</v>
      </c>
      <c r="S21" s="1">
        <f t="shared" si="5"/>
        <v>16.938220688494233</v>
      </c>
      <c r="T21" s="1">
        <f t="shared" si="6"/>
        <v>16.938220688494233</v>
      </c>
      <c r="U21" s="1">
        <v>0</v>
      </c>
      <c r="V21" s="1"/>
      <c r="W21" s="1">
        <f t="shared" si="2"/>
        <v>0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1" t="s">
        <v>46</v>
      </c>
      <c r="B22" s="1" t="s">
        <v>29</v>
      </c>
      <c r="C22" s="1">
        <v>224</v>
      </c>
      <c r="D22" s="1">
        <v>13</v>
      </c>
      <c r="E22" s="1">
        <v>144</v>
      </c>
      <c r="F22" s="1">
        <v>78</v>
      </c>
      <c r="G22" s="7">
        <v>0.22</v>
      </c>
      <c r="H22" s="1">
        <v>120</v>
      </c>
      <c r="I22" s="1" t="s">
        <v>27</v>
      </c>
      <c r="J22" s="1"/>
      <c r="K22" s="1">
        <v>186</v>
      </c>
      <c r="L22" s="1">
        <f t="shared" si="1"/>
        <v>-42</v>
      </c>
      <c r="M22" s="1"/>
      <c r="N22" s="1"/>
      <c r="O22" s="1">
        <v>0</v>
      </c>
      <c r="P22" s="1">
        <f t="shared" si="3"/>
        <v>28.8</v>
      </c>
      <c r="Q22" s="5">
        <f>13*P22-O22-F22</f>
        <v>296.40000000000003</v>
      </c>
      <c r="R22" s="15"/>
      <c r="S22" s="1">
        <f t="shared" si="5"/>
        <v>13</v>
      </c>
      <c r="T22" s="1">
        <f t="shared" si="6"/>
        <v>2.7083333333333335</v>
      </c>
      <c r="U22" s="1">
        <v>0</v>
      </c>
      <c r="V22" s="1"/>
      <c r="W22" s="1">
        <f t="shared" si="2"/>
        <v>65.208000000000013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1" t="s">
        <v>47</v>
      </c>
      <c r="B23" s="1" t="s">
        <v>26</v>
      </c>
      <c r="C23" s="1"/>
      <c r="D23" s="1"/>
      <c r="E23" s="1"/>
      <c r="F23" s="1"/>
      <c r="G23" s="7">
        <v>1</v>
      </c>
      <c r="H23" s="1">
        <v>40</v>
      </c>
      <c r="I23" s="1" t="s">
        <v>27</v>
      </c>
      <c r="J23" s="1"/>
      <c r="K23" s="1">
        <v>2.2999999999999998</v>
      </c>
      <c r="L23" s="1">
        <f t="shared" si="1"/>
        <v>-2.2999999999999998</v>
      </c>
      <c r="M23" s="1"/>
      <c r="N23" s="1"/>
      <c r="O23" s="1">
        <v>30</v>
      </c>
      <c r="P23" s="1">
        <f t="shared" si="3"/>
        <v>0</v>
      </c>
      <c r="Q23" s="5"/>
      <c r="R23" s="15">
        <v>50</v>
      </c>
      <c r="S23" s="1" t="e">
        <f t="shared" si="5"/>
        <v>#DIV/0!</v>
      </c>
      <c r="T23" s="1" t="e">
        <f t="shared" si="6"/>
        <v>#DIV/0!</v>
      </c>
      <c r="U23" s="1">
        <v>0</v>
      </c>
      <c r="V23" s="1"/>
      <c r="W23" s="1">
        <f t="shared" si="2"/>
        <v>0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1" t="s">
        <v>49</v>
      </c>
      <c r="B24" s="1" t="s">
        <v>26</v>
      </c>
      <c r="C24" s="1">
        <v>12.153</v>
      </c>
      <c r="D24" s="1">
        <v>80.881</v>
      </c>
      <c r="E24" s="1">
        <v>28.425000000000001</v>
      </c>
      <c r="F24" s="1">
        <v>56.57</v>
      </c>
      <c r="G24" s="7">
        <v>1</v>
      </c>
      <c r="H24" s="1">
        <v>60</v>
      </c>
      <c r="I24" s="1" t="s">
        <v>27</v>
      </c>
      <c r="J24" s="1"/>
      <c r="K24" s="1">
        <v>38.4</v>
      </c>
      <c r="L24" s="1">
        <f t="shared" si="1"/>
        <v>-9.9749999999999979</v>
      </c>
      <c r="M24" s="1"/>
      <c r="N24" s="1"/>
      <c r="O24" s="1">
        <v>50</v>
      </c>
      <c r="P24" s="1">
        <f t="shared" si="3"/>
        <v>5.6850000000000005</v>
      </c>
      <c r="Q24" s="5"/>
      <c r="R24" s="15">
        <v>50</v>
      </c>
      <c r="S24" s="1">
        <f t="shared" si="5"/>
        <v>18.745822339489884</v>
      </c>
      <c r="T24" s="1">
        <f t="shared" si="6"/>
        <v>18.745822339489884</v>
      </c>
      <c r="U24" s="1">
        <v>0</v>
      </c>
      <c r="V24" s="1"/>
      <c r="W24" s="1">
        <f t="shared" ref="W24:W31" si="7">G24*Q24</f>
        <v>0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1" t="s">
        <v>50</v>
      </c>
      <c r="B25" s="1" t="s">
        <v>29</v>
      </c>
      <c r="C25" s="1">
        <v>20</v>
      </c>
      <c r="D25" s="1">
        <v>1</v>
      </c>
      <c r="E25" s="1">
        <v>19</v>
      </c>
      <c r="F25" s="1">
        <v>1</v>
      </c>
      <c r="G25" s="7">
        <v>0.09</v>
      </c>
      <c r="H25" s="1">
        <v>60</v>
      </c>
      <c r="I25" s="1" t="s">
        <v>27</v>
      </c>
      <c r="J25" s="1"/>
      <c r="K25" s="1">
        <v>119</v>
      </c>
      <c r="L25" s="1">
        <f t="shared" si="1"/>
        <v>-100</v>
      </c>
      <c r="M25" s="1"/>
      <c r="N25" s="1"/>
      <c r="O25" s="1">
        <v>200</v>
      </c>
      <c r="P25" s="1">
        <f t="shared" si="3"/>
        <v>3.8</v>
      </c>
      <c r="Q25" s="5">
        <v>20</v>
      </c>
      <c r="R25" s="15">
        <v>100</v>
      </c>
      <c r="S25" s="1">
        <f t="shared" si="5"/>
        <v>58.15789473684211</v>
      </c>
      <c r="T25" s="1">
        <f t="shared" si="6"/>
        <v>52.894736842105267</v>
      </c>
      <c r="U25" s="1">
        <v>0</v>
      </c>
      <c r="V25" s="1"/>
      <c r="W25" s="1">
        <f t="shared" si="7"/>
        <v>1.7999999999999998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1" t="s">
        <v>51</v>
      </c>
      <c r="B26" s="1" t="s">
        <v>29</v>
      </c>
      <c r="C26" s="1"/>
      <c r="D26" s="1"/>
      <c r="E26" s="1"/>
      <c r="F26" s="1"/>
      <c r="G26" s="7">
        <v>0.09</v>
      </c>
      <c r="H26" s="1">
        <v>45</v>
      </c>
      <c r="I26" s="1" t="s">
        <v>27</v>
      </c>
      <c r="J26" s="1"/>
      <c r="K26" s="1">
        <v>60</v>
      </c>
      <c r="L26" s="1">
        <f t="shared" si="1"/>
        <v>-60</v>
      </c>
      <c r="M26" s="1"/>
      <c r="N26" s="1"/>
      <c r="O26" s="1">
        <v>50</v>
      </c>
      <c r="P26" s="1">
        <f t="shared" si="3"/>
        <v>0</v>
      </c>
      <c r="Q26" s="5">
        <v>60</v>
      </c>
      <c r="R26" s="15">
        <v>200</v>
      </c>
      <c r="S26" s="1" t="e">
        <f t="shared" si="5"/>
        <v>#DIV/0!</v>
      </c>
      <c r="T26" s="1" t="e">
        <f t="shared" si="6"/>
        <v>#DIV/0!</v>
      </c>
      <c r="U26" s="1">
        <v>0</v>
      </c>
      <c r="V26" s="1"/>
      <c r="W26" s="1">
        <f t="shared" si="7"/>
        <v>5.3999999999999995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1" t="s">
        <v>52</v>
      </c>
      <c r="B27" s="1" t="s">
        <v>29</v>
      </c>
      <c r="C27" s="1"/>
      <c r="D27" s="1"/>
      <c r="E27" s="1"/>
      <c r="F27" s="1"/>
      <c r="G27" s="7">
        <v>0.15</v>
      </c>
      <c r="H27" s="1">
        <v>45</v>
      </c>
      <c r="I27" s="1" t="s">
        <v>27</v>
      </c>
      <c r="J27" s="1"/>
      <c r="K27" s="1">
        <v>5</v>
      </c>
      <c r="L27" s="1">
        <f t="shared" si="1"/>
        <v>-5</v>
      </c>
      <c r="M27" s="1"/>
      <c r="N27" s="1"/>
      <c r="O27" s="1">
        <v>40</v>
      </c>
      <c r="P27" s="1">
        <f t="shared" si="3"/>
        <v>0</v>
      </c>
      <c r="Q27" s="5"/>
      <c r="R27" s="15">
        <v>50</v>
      </c>
      <c r="S27" s="1" t="e">
        <f t="shared" si="5"/>
        <v>#DIV/0!</v>
      </c>
      <c r="T27" s="1" t="e">
        <f t="shared" si="6"/>
        <v>#DIV/0!</v>
      </c>
      <c r="U27" s="1">
        <v>0</v>
      </c>
      <c r="V27" s="1"/>
      <c r="W27" s="1">
        <f t="shared" si="7"/>
        <v>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1" t="s">
        <v>53</v>
      </c>
      <c r="B28" s="1" t="s">
        <v>26</v>
      </c>
      <c r="C28" s="1">
        <v>115.601</v>
      </c>
      <c r="D28" s="1">
        <v>6.4459999999999997</v>
      </c>
      <c r="E28" s="1">
        <v>58.581000000000003</v>
      </c>
      <c r="F28" s="1">
        <v>57.02</v>
      </c>
      <c r="G28" s="7">
        <v>1</v>
      </c>
      <c r="H28" s="1">
        <v>45</v>
      </c>
      <c r="I28" s="1" t="s">
        <v>27</v>
      </c>
      <c r="J28" s="1"/>
      <c r="K28" s="1">
        <v>59.5</v>
      </c>
      <c r="L28" s="1">
        <f t="shared" si="1"/>
        <v>-0.91899999999999693</v>
      </c>
      <c r="M28" s="1"/>
      <c r="N28" s="1"/>
      <c r="O28" s="1">
        <v>150</v>
      </c>
      <c r="P28" s="1">
        <f t="shared" si="3"/>
        <v>11.716200000000001</v>
      </c>
      <c r="Q28" s="5"/>
      <c r="R28" s="15">
        <v>70</v>
      </c>
      <c r="S28" s="1">
        <f t="shared" si="5"/>
        <v>17.669551561086358</v>
      </c>
      <c r="T28" s="1">
        <f t="shared" si="6"/>
        <v>17.669551561086358</v>
      </c>
      <c r="U28" s="1">
        <v>0</v>
      </c>
      <c r="V28" s="1"/>
      <c r="W28" s="1">
        <f t="shared" si="7"/>
        <v>0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1" t="s">
        <v>54</v>
      </c>
      <c r="B29" s="1" t="s">
        <v>29</v>
      </c>
      <c r="C29" s="1"/>
      <c r="D29" s="1">
        <v>145</v>
      </c>
      <c r="E29" s="1">
        <v>33</v>
      </c>
      <c r="F29" s="1">
        <v>111</v>
      </c>
      <c r="G29" s="7">
        <v>0.4</v>
      </c>
      <c r="H29" s="1">
        <v>60</v>
      </c>
      <c r="I29" s="1" t="s">
        <v>27</v>
      </c>
      <c r="J29" s="1"/>
      <c r="K29" s="1">
        <v>60</v>
      </c>
      <c r="L29" s="1">
        <f t="shared" si="1"/>
        <v>-27</v>
      </c>
      <c r="M29" s="1"/>
      <c r="N29" s="1"/>
      <c r="O29" s="1">
        <v>50</v>
      </c>
      <c r="P29" s="1">
        <f t="shared" si="3"/>
        <v>6.6</v>
      </c>
      <c r="Q29" s="5"/>
      <c r="R29" s="15"/>
      <c r="S29" s="1">
        <f t="shared" si="5"/>
        <v>24.393939393939394</v>
      </c>
      <c r="T29" s="1">
        <f t="shared" si="6"/>
        <v>24.393939393939394</v>
      </c>
      <c r="U29" s="1">
        <v>0</v>
      </c>
      <c r="V29" s="1"/>
      <c r="W29" s="1">
        <f t="shared" si="7"/>
        <v>0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1" t="s">
        <v>55</v>
      </c>
      <c r="B30" s="1" t="s">
        <v>29</v>
      </c>
      <c r="C30" s="1">
        <v>168</v>
      </c>
      <c r="D30" s="1">
        <v>350</v>
      </c>
      <c r="E30" s="1">
        <v>210</v>
      </c>
      <c r="F30" s="1">
        <v>272</v>
      </c>
      <c r="G30" s="7">
        <v>0.4</v>
      </c>
      <c r="H30" s="1">
        <v>60</v>
      </c>
      <c r="I30" s="1" t="s">
        <v>27</v>
      </c>
      <c r="J30" s="1"/>
      <c r="K30" s="1">
        <v>254</v>
      </c>
      <c r="L30" s="1">
        <f t="shared" si="1"/>
        <v>-44</v>
      </c>
      <c r="M30" s="1"/>
      <c r="N30" s="1"/>
      <c r="O30" s="1">
        <v>150</v>
      </c>
      <c r="P30" s="1">
        <f t="shared" si="3"/>
        <v>42</v>
      </c>
      <c r="Q30" s="5">
        <f t="shared" si="4"/>
        <v>208</v>
      </c>
      <c r="R30" s="15">
        <v>300</v>
      </c>
      <c r="S30" s="1">
        <f t="shared" si="5"/>
        <v>15</v>
      </c>
      <c r="T30" s="1">
        <f t="shared" si="6"/>
        <v>10.047619047619047</v>
      </c>
      <c r="U30" s="1">
        <v>0</v>
      </c>
      <c r="V30" s="1"/>
      <c r="W30" s="1">
        <f t="shared" si="7"/>
        <v>83.2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1" t="s">
        <v>57</v>
      </c>
      <c r="B31" s="1" t="s">
        <v>29</v>
      </c>
      <c r="C31" s="1">
        <v>168</v>
      </c>
      <c r="D31" s="1">
        <v>264</v>
      </c>
      <c r="E31" s="1">
        <v>195</v>
      </c>
      <c r="F31" s="1">
        <v>206</v>
      </c>
      <c r="G31" s="7">
        <v>0.4</v>
      </c>
      <c r="H31" s="1">
        <v>60</v>
      </c>
      <c r="I31" s="1" t="s">
        <v>27</v>
      </c>
      <c r="J31" s="1"/>
      <c r="K31" s="1">
        <v>226</v>
      </c>
      <c r="L31" s="1">
        <f t="shared" si="1"/>
        <v>-31</v>
      </c>
      <c r="M31" s="1"/>
      <c r="N31" s="1"/>
      <c r="O31" s="1">
        <v>200</v>
      </c>
      <c r="P31" s="1">
        <f t="shared" si="3"/>
        <v>39</v>
      </c>
      <c r="Q31" s="5">
        <f t="shared" si="4"/>
        <v>179</v>
      </c>
      <c r="R31" s="15">
        <v>300</v>
      </c>
      <c r="S31" s="1">
        <f t="shared" si="5"/>
        <v>15</v>
      </c>
      <c r="T31" s="1">
        <f t="shared" si="6"/>
        <v>10.410256410256411</v>
      </c>
      <c r="U31" s="1">
        <v>0</v>
      </c>
      <c r="V31" s="1"/>
      <c r="W31" s="1">
        <f t="shared" si="7"/>
        <v>71.600000000000009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12" t="s">
        <v>59</v>
      </c>
      <c r="B32" s="9" t="s">
        <v>26</v>
      </c>
      <c r="C32" s="9"/>
      <c r="D32" s="9"/>
      <c r="E32" s="9">
        <v>14.827999999999999</v>
      </c>
      <c r="F32" s="9">
        <v>-14.827999999999999</v>
      </c>
      <c r="G32" s="10">
        <v>0</v>
      </c>
      <c r="H32" s="9">
        <v>45</v>
      </c>
      <c r="I32" s="9" t="s">
        <v>48</v>
      </c>
      <c r="J32" s="9"/>
      <c r="K32" s="9">
        <v>19.2</v>
      </c>
      <c r="L32" s="9">
        <f t="shared" si="1"/>
        <v>-4.3719999999999999</v>
      </c>
      <c r="M32" s="9"/>
      <c r="N32" s="9"/>
      <c r="O32" s="9">
        <v>0</v>
      </c>
      <c r="P32" s="9">
        <f t="shared" si="3"/>
        <v>2.9655999999999998</v>
      </c>
      <c r="Q32" s="11"/>
      <c r="R32" s="16"/>
      <c r="S32" s="9">
        <f t="shared" si="5"/>
        <v>-5</v>
      </c>
      <c r="T32" s="9">
        <f t="shared" si="6"/>
        <v>-5</v>
      </c>
      <c r="U32" s="9">
        <v>0</v>
      </c>
      <c r="V32" s="9"/>
      <c r="W32" s="9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9" t="s">
        <v>60</v>
      </c>
      <c r="B33" s="9" t="s">
        <v>29</v>
      </c>
      <c r="C33" s="9"/>
      <c r="D33" s="9"/>
      <c r="E33" s="9">
        <v>24</v>
      </c>
      <c r="F33" s="9">
        <v>-24</v>
      </c>
      <c r="G33" s="10">
        <v>0</v>
      </c>
      <c r="H33" s="9"/>
      <c r="I33" s="9" t="s">
        <v>48</v>
      </c>
      <c r="J33" s="9"/>
      <c r="K33" s="9">
        <v>76</v>
      </c>
      <c r="L33" s="9">
        <f t="shared" ref="L33:L62" si="8">E33-K33</f>
        <v>-52</v>
      </c>
      <c r="M33" s="9"/>
      <c r="N33" s="9"/>
      <c r="O33" s="9">
        <v>0</v>
      </c>
      <c r="P33" s="9">
        <f t="shared" si="3"/>
        <v>4.8</v>
      </c>
      <c r="Q33" s="11"/>
      <c r="R33" s="16"/>
      <c r="S33" s="9">
        <f t="shared" si="5"/>
        <v>-5</v>
      </c>
      <c r="T33" s="9">
        <f t="shared" si="6"/>
        <v>-5</v>
      </c>
      <c r="U33" s="9">
        <v>0</v>
      </c>
      <c r="V33" s="9"/>
      <c r="W33" s="9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1" t="s">
        <v>61</v>
      </c>
      <c r="B34" s="1" t="s">
        <v>29</v>
      </c>
      <c r="C34" s="1">
        <v>30</v>
      </c>
      <c r="D34" s="1">
        <v>1</v>
      </c>
      <c r="E34" s="1">
        <v>9</v>
      </c>
      <c r="F34" s="1">
        <v>20</v>
      </c>
      <c r="G34" s="7">
        <v>0.3</v>
      </c>
      <c r="H34" s="1">
        <v>45</v>
      </c>
      <c r="I34" s="1" t="s">
        <v>132</v>
      </c>
      <c r="J34" s="1"/>
      <c r="K34" s="1">
        <v>15</v>
      </c>
      <c r="L34" s="1">
        <f t="shared" si="8"/>
        <v>-6</v>
      </c>
      <c r="M34" s="1"/>
      <c r="N34" s="1"/>
      <c r="O34" s="1">
        <v>30</v>
      </c>
      <c r="P34" s="1">
        <f t="shared" si="3"/>
        <v>1.8</v>
      </c>
      <c r="Q34" s="5"/>
      <c r="R34" s="15">
        <v>150</v>
      </c>
      <c r="S34" s="1">
        <f t="shared" si="5"/>
        <v>27.777777777777779</v>
      </c>
      <c r="T34" s="1">
        <f t="shared" si="6"/>
        <v>27.777777777777779</v>
      </c>
      <c r="U34" s="1">
        <v>0</v>
      </c>
      <c r="V34" s="13" t="s">
        <v>34</v>
      </c>
      <c r="W34" s="1">
        <f t="shared" ref="W34:W44" si="9">G34*Q34</f>
        <v>0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1" t="s">
        <v>62</v>
      </c>
      <c r="B35" s="1" t="s">
        <v>26</v>
      </c>
      <c r="C35" s="1">
        <v>370.803</v>
      </c>
      <c r="D35" s="1">
        <v>3.077</v>
      </c>
      <c r="E35" s="1">
        <v>72.600999999999999</v>
      </c>
      <c r="F35" s="1">
        <v>292.80399999999997</v>
      </c>
      <c r="G35" s="7">
        <v>1</v>
      </c>
      <c r="H35" s="1">
        <v>60</v>
      </c>
      <c r="I35" s="1" t="s">
        <v>27</v>
      </c>
      <c r="J35" s="1"/>
      <c r="K35" s="1">
        <v>77</v>
      </c>
      <c r="L35" s="1">
        <f t="shared" si="8"/>
        <v>-4.3990000000000009</v>
      </c>
      <c r="M35" s="1"/>
      <c r="N35" s="1"/>
      <c r="O35" s="1">
        <v>0</v>
      </c>
      <c r="P35" s="1">
        <f t="shared" si="3"/>
        <v>14.520199999999999</v>
      </c>
      <c r="Q35" s="5"/>
      <c r="R35" s="15"/>
      <c r="S35" s="1">
        <f t="shared" si="5"/>
        <v>20.165286979518189</v>
      </c>
      <c r="T35" s="1">
        <f t="shared" si="6"/>
        <v>20.165286979518189</v>
      </c>
      <c r="U35" s="1">
        <v>0</v>
      </c>
      <c r="V35" s="13" t="s">
        <v>34</v>
      </c>
      <c r="W35" s="1">
        <f t="shared" si="9"/>
        <v>0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1" t="s">
        <v>63</v>
      </c>
      <c r="B36" s="1" t="s">
        <v>26</v>
      </c>
      <c r="C36" s="1">
        <v>6.34</v>
      </c>
      <c r="D36" s="1">
        <v>15.76</v>
      </c>
      <c r="E36" s="1"/>
      <c r="F36" s="1">
        <v>22.1</v>
      </c>
      <c r="G36" s="7">
        <v>1</v>
      </c>
      <c r="H36" s="1">
        <v>45</v>
      </c>
      <c r="I36" s="1" t="s">
        <v>27</v>
      </c>
      <c r="J36" s="1"/>
      <c r="K36" s="1"/>
      <c r="L36" s="1">
        <f t="shared" si="8"/>
        <v>0</v>
      </c>
      <c r="M36" s="1"/>
      <c r="N36" s="1"/>
      <c r="O36" s="1">
        <v>50</v>
      </c>
      <c r="P36" s="1">
        <f t="shared" si="3"/>
        <v>0</v>
      </c>
      <c r="Q36" s="5"/>
      <c r="R36" s="15"/>
      <c r="S36" s="1" t="e">
        <f t="shared" si="5"/>
        <v>#DIV/0!</v>
      </c>
      <c r="T36" s="1" t="e">
        <f t="shared" si="6"/>
        <v>#DIV/0!</v>
      </c>
      <c r="U36" s="1">
        <v>0</v>
      </c>
      <c r="V36" s="14" t="s">
        <v>30</v>
      </c>
      <c r="W36" s="1">
        <f t="shared" si="9"/>
        <v>0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1" t="s">
        <v>64</v>
      </c>
      <c r="B37" s="1" t="s">
        <v>26</v>
      </c>
      <c r="C37" s="1">
        <v>31.033999999999999</v>
      </c>
      <c r="D37" s="1">
        <v>1.044</v>
      </c>
      <c r="E37" s="1">
        <v>22.838999999999999</v>
      </c>
      <c r="F37" s="1">
        <v>6.14</v>
      </c>
      <c r="G37" s="7">
        <v>1</v>
      </c>
      <c r="H37" s="1">
        <v>45</v>
      </c>
      <c r="I37" s="1" t="s">
        <v>27</v>
      </c>
      <c r="J37" s="1"/>
      <c r="K37" s="1">
        <v>23</v>
      </c>
      <c r="L37" s="1">
        <f t="shared" si="8"/>
        <v>-0.16100000000000136</v>
      </c>
      <c r="M37" s="1"/>
      <c r="N37" s="1"/>
      <c r="O37" s="1">
        <v>20</v>
      </c>
      <c r="P37" s="1">
        <f t="shared" si="3"/>
        <v>4.5678000000000001</v>
      </c>
      <c r="Q37" s="5">
        <f t="shared" ref="Q37:Q46" si="10">15*P37-O37-F37</f>
        <v>42.376999999999995</v>
      </c>
      <c r="R37" s="15">
        <v>100</v>
      </c>
      <c r="S37" s="1">
        <f t="shared" si="5"/>
        <v>14.999999999999998</v>
      </c>
      <c r="T37" s="1">
        <f t="shared" si="6"/>
        <v>5.7226673672227335</v>
      </c>
      <c r="U37" s="1">
        <v>0</v>
      </c>
      <c r="V37" s="1"/>
      <c r="W37" s="1">
        <f t="shared" si="9"/>
        <v>42.376999999999995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1" t="s">
        <v>65</v>
      </c>
      <c r="B38" s="1" t="s">
        <v>26</v>
      </c>
      <c r="C38" s="1">
        <v>3.1379999999999999</v>
      </c>
      <c r="D38" s="1">
        <v>7.298</v>
      </c>
      <c r="E38" s="1">
        <v>4.1619999999999999</v>
      </c>
      <c r="F38" s="1">
        <v>4.22</v>
      </c>
      <c r="G38" s="7">
        <v>1</v>
      </c>
      <c r="H38" s="1">
        <v>45</v>
      </c>
      <c r="I38" s="1" t="s">
        <v>27</v>
      </c>
      <c r="J38" s="1"/>
      <c r="K38" s="1">
        <v>8</v>
      </c>
      <c r="L38" s="1">
        <f t="shared" si="8"/>
        <v>-3.8380000000000001</v>
      </c>
      <c r="M38" s="1"/>
      <c r="N38" s="1"/>
      <c r="O38" s="1">
        <v>40</v>
      </c>
      <c r="P38" s="1">
        <f t="shared" si="3"/>
        <v>0.83240000000000003</v>
      </c>
      <c r="Q38" s="5"/>
      <c r="R38" s="15">
        <v>40</v>
      </c>
      <c r="S38" s="1">
        <f t="shared" si="5"/>
        <v>53.12349831811629</v>
      </c>
      <c r="T38" s="1">
        <f t="shared" si="6"/>
        <v>53.12349831811629</v>
      </c>
      <c r="U38" s="1">
        <v>0</v>
      </c>
      <c r="V38" s="1"/>
      <c r="W38" s="1">
        <f t="shared" si="9"/>
        <v>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1" t="s">
        <v>66</v>
      </c>
      <c r="B39" s="1" t="s">
        <v>29</v>
      </c>
      <c r="C39" s="1"/>
      <c r="D39" s="1">
        <v>162</v>
      </c>
      <c r="E39" s="1">
        <v>54</v>
      </c>
      <c r="F39" s="1">
        <v>97</v>
      </c>
      <c r="G39" s="7">
        <v>0.3</v>
      </c>
      <c r="H39" s="1">
        <v>45</v>
      </c>
      <c r="I39" s="1" t="s">
        <v>27</v>
      </c>
      <c r="J39" s="1"/>
      <c r="K39" s="1">
        <v>109</v>
      </c>
      <c r="L39" s="1">
        <f t="shared" si="8"/>
        <v>-55</v>
      </c>
      <c r="M39" s="1"/>
      <c r="N39" s="1"/>
      <c r="O39" s="1">
        <v>150</v>
      </c>
      <c r="P39" s="1">
        <f t="shared" si="3"/>
        <v>10.8</v>
      </c>
      <c r="Q39" s="5"/>
      <c r="R39" s="15"/>
      <c r="S39" s="1">
        <f t="shared" si="5"/>
        <v>22.87037037037037</v>
      </c>
      <c r="T39" s="1">
        <f t="shared" si="6"/>
        <v>22.87037037037037</v>
      </c>
      <c r="U39" s="1">
        <v>0</v>
      </c>
      <c r="V39" s="1"/>
      <c r="W39" s="1">
        <f t="shared" si="9"/>
        <v>0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1" t="s">
        <v>67</v>
      </c>
      <c r="B40" s="1" t="s">
        <v>26</v>
      </c>
      <c r="C40" s="1"/>
      <c r="D40" s="1"/>
      <c r="E40" s="1"/>
      <c r="F40" s="1"/>
      <c r="G40" s="7">
        <v>1</v>
      </c>
      <c r="H40" s="1"/>
      <c r="I40" s="1" t="s">
        <v>27</v>
      </c>
      <c r="J40" s="1"/>
      <c r="K40" s="1">
        <v>0.5</v>
      </c>
      <c r="L40" s="1">
        <f t="shared" si="8"/>
        <v>-0.5</v>
      </c>
      <c r="M40" s="1"/>
      <c r="N40" s="1"/>
      <c r="O40" s="1">
        <v>30</v>
      </c>
      <c r="P40" s="1">
        <f t="shared" si="3"/>
        <v>0</v>
      </c>
      <c r="Q40" s="5"/>
      <c r="R40" s="15">
        <v>50</v>
      </c>
      <c r="S40" s="1" t="e">
        <f t="shared" si="5"/>
        <v>#DIV/0!</v>
      </c>
      <c r="T40" s="1" t="e">
        <f t="shared" si="6"/>
        <v>#DIV/0!</v>
      </c>
      <c r="U40" s="1">
        <v>0</v>
      </c>
      <c r="V40" s="1"/>
      <c r="W40" s="1">
        <f t="shared" si="9"/>
        <v>0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 t="s">
        <v>68</v>
      </c>
      <c r="B41" s="1" t="s">
        <v>26</v>
      </c>
      <c r="C41" s="1"/>
      <c r="D41" s="1"/>
      <c r="E41" s="1">
        <v>12.545</v>
      </c>
      <c r="F41" s="1">
        <v>-12.545</v>
      </c>
      <c r="G41" s="7">
        <v>1</v>
      </c>
      <c r="H41" s="1">
        <v>45</v>
      </c>
      <c r="I41" s="1" t="s">
        <v>27</v>
      </c>
      <c r="J41" s="1"/>
      <c r="K41" s="1">
        <v>12</v>
      </c>
      <c r="L41" s="1">
        <f t="shared" si="8"/>
        <v>0.54499999999999993</v>
      </c>
      <c r="M41" s="1"/>
      <c r="N41" s="1"/>
      <c r="O41" s="1">
        <v>80</v>
      </c>
      <c r="P41" s="1">
        <f t="shared" si="3"/>
        <v>2.5089999999999999</v>
      </c>
      <c r="Q41" s="5"/>
      <c r="R41" s="15"/>
      <c r="S41" s="1">
        <f t="shared" si="5"/>
        <v>26.88521323236349</v>
      </c>
      <c r="T41" s="1">
        <f t="shared" si="6"/>
        <v>26.88521323236349</v>
      </c>
      <c r="U41" s="1">
        <v>0</v>
      </c>
      <c r="V41" s="1"/>
      <c r="W41" s="1">
        <f t="shared" si="9"/>
        <v>0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1" t="s">
        <v>69</v>
      </c>
      <c r="B42" s="1" t="s">
        <v>29</v>
      </c>
      <c r="C42" s="1">
        <v>96</v>
      </c>
      <c r="D42" s="1">
        <v>679</v>
      </c>
      <c r="E42" s="1">
        <v>307</v>
      </c>
      <c r="F42" s="1">
        <v>415</v>
      </c>
      <c r="G42" s="7">
        <v>0.35</v>
      </c>
      <c r="H42" s="1">
        <v>45</v>
      </c>
      <c r="I42" s="1" t="s">
        <v>27</v>
      </c>
      <c r="J42" s="1"/>
      <c r="K42" s="1">
        <v>439</v>
      </c>
      <c r="L42" s="1">
        <f t="shared" si="8"/>
        <v>-132</v>
      </c>
      <c r="M42" s="1"/>
      <c r="N42" s="1"/>
      <c r="O42" s="1">
        <v>200</v>
      </c>
      <c r="P42" s="1">
        <f t="shared" si="3"/>
        <v>61.4</v>
      </c>
      <c r="Q42" s="5">
        <f t="shared" si="10"/>
        <v>306</v>
      </c>
      <c r="R42" s="15">
        <v>400</v>
      </c>
      <c r="S42" s="1">
        <f t="shared" si="5"/>
        <v>15</v>
      </c>
      <c r="T42" s="1">
        <f t="shared" si="6"/>
        <v>10.016286644951141</v>
      </c>
      <c r="U42" s="1">
        <v>0</v>
      </c>
      <c r="V42" s="1"/>
      <c r="W42" s="1">
        <f t="shared" si="9"/>
        <v>107.1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" t="s">
        <v>70</v>
      </c>
      <c r="B43" s="1" t="s">
        <v>29</v>
      </c>
      <c r="C43" s="1"/>
      <c r="D43" s="1"/>
      <c r="E43" s="1"/>
      <c r="F43" s="1"/>
      <c r="G43" s="7">
        <v>0.41</v>
      </c>
      <c r="H43" s="1">
        <v>45</v>
      </c>
      <c r="I43" s="1" t="s">
        <v>133</v>
      </c>
      <c r="J43" s="1"/>
      <c r="K43" s="1">
        <v>266</v>
      </c>
      <c r="L43" s="1">
        <f t="shared" si="8"/>
        <v>-266</v>
      </c>
      <c r="M43" s="1"/>
      <c r="N43" s="1"/>
      <c r="O43" s="1">
        <v>50</v>
      </c>
      <c r="P43" s="1">
        <f t="shared" si="3"/>
        <v>0</v>
      </c>
      <c r="Q43" s="5">
        <v>280</v>
      </c>
      <c r="R43" s="15">
        <v>350</v>
      </c>
      <c r="S43" s="1" t="e">
        <f t="shared" si="5"/>
        <v>#DIV/0!</v>
      </c>
      <c r="T43" s="1" t="e">
        <f t="shared" si="6"/>
        <v>#DIV/0!</v>
      </c>
      <c r="U43" s="1">
        <v>0</v>
      </c>
      <c r="V43" s="1"/>
      <c r="W43" s="1">
        <f t="shared" si="9"/>
        <v>114.8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" t="s">
        <v>71</v>
      </c>
      <c r="B44" s="1" t="s">
        <v>29</v>
      </c>
      <c r="C44" s="1">
        <v>160</v>
      </c>
      <c r="D44" s="1">
        <v>2</v>
      </c>
      <c r="E44" s="1">
        <v>104</v>
      </c>
      <c r="F44" s="1">
        <v>56</v>
      </c>
      <c r="G44" s="7">
        <v>0.41</v>
      </c>
      <c r="H44" s="1">
        <v>45</v>
      </c>
      <c r="I44" s="1" t="s">
        <v>27</v>
      </c>
      <c r="J44" s="1"/>
      <c r="K44" s="1">
        <v>107</v>
      </c>
      <c r="L44" s="1">
        <f t="shared" si="8"/>
        <v>-3</v>
      </c>
      <c r="M44" s="1"/>
      <c r="N44" s="1"/>
      <c r="O44" s="1">
        <v>200</v>
      </c>
      <c r="P44" s="1">
        <f t="shared" si="3"/>
        <v>20.8</v>
      </c>
      <c r="Q44" s="5">
        <f t="shared" si="10"/>
        <v>56</v>
      </c>
      <c r="R44" s="15">
        <v>100</v>
      </c>
      <c r="S44" s="1">
        <f t="shared" si="5"/>
        <v>15</v>
      </c>
      <c r="T44" s="1">
        <f t="shared" si="6"/>
        <v>12.307692307692307</v>
      </c>
      <c r="U44" s="1">
        <v>0</v>
      </c>
      <c r="V44" s="1"/>
      <c r="W44" s="1">
        <f t="shared" si="9"/>
        <v>22.959999999999997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1" t="s">
        <v>72</v>
      </c>
      <c r="B45" s="1" t="s">
        <v>29</v>
      </c>
      <c r="C45" s="1"/>
      <c r="D45" s="1">
        <v>18</v>
      </c>
      <c r="E45" s="1">
        <v>16</v>
      </c>
      <c r="F45" s="1">
        <v>2</v>
      </c>
      <c r="G45" s="7">
        <v>0.36</v>
      </c>
      <c r="H45" s="1">
        <v>45</v>
      </c>
      <c r="I45" s="1" t="s">
        <v>27</v>
      </c>
      <c r="J45" s="1"/>
      <c r="K45" s="1">
        <v>30</v>
      </c>
      <c r="L45" s="1">
        <f t="shared" si="8"/>
        <v>-14</v>
      </c>
      <c r="M45" s="1"/>
      <c r="N45" s="1"/>
      <c r="O45" s="1">
        <v>30</v>
      </c>
      <c r="P45" s="1">
        <f t="shared" si="3"/>
        <v>3.2</v>
      </c>
      <c r="Q45" s="5">
        <f t="shared" si="10"/>
        <v>16</v>
      </c>
      <c r="R45" s="15"/>
      <c r="S45" s="1">
        <f t="shared" si="5"/>
        <v>15</v>
      </c>
      <c r="T45" s="1">
        <f t="shared" si="6"/>
        <v>10</v>
      </c>
      <c r="U45" s="1">
        <v>0</v>
      </c>
      <c r="V45" s="1"/>
      <c r="W45" s="1">
        <f t="shared" ref="W45:W50" si="11">G45*Q45</f>
        <v>5.76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1" t="s">
        <v>73</v>
      </c>
      <c r="B46" s="1" t="s">
        <v>29</v>
      </c>
      <c r="C46" s="1"/>
      <c r="D46" s="1">
        <v>48</v>
      </c>
      <c r="E46" s="1">
        <v>24</v>
      </c>
      <c r="F46" s="1">
        <v>20</v>
      </c>
      <c r="G46" s="7">
        <v>0.33</v>
      </c>
      <c r="H46" s="1">
        <v>45</v>
      </c>
      <c r="I46" s="1" t="s">
        <v>27</v>
      </c>
      <c r="J46" s="1"/>
      <c r="K46" s="1">
        <v>35</v>
      </c>
      <c r="L46" s="1">
        <f t="shared" si="8"/>
        <v>-11</v>
      </c>
      <c r="M46" s="1"/>
      <c r="N46" s="1"/>
      <c r="O46" s="1">
        <v>40</v>
      </c>
      <c r="P46" s="1">
        <f t="shared" si="3"/>
        <v>4.8</v>
      </c>
      <c r="Q46" s="5">
        <f t="shared" si="10"/>
        <v>12</v>
      </c>
      <c r="R46" s="15">
        <v>40</v>
      </c>
      <c r="S46" s="1">
        <f t="shared" si="5"/>
        <v>15</v>
      </c>
      <c r="T46" s="1">
        <f t="shared" si="6"/>
        <v>12.5</v>
      </c>
      <c r="U46" s="1">
        <v>0</v>
      </c>
      <c r="V46" s="1"/>
      <c r="W46" s="1">
        <f t="shared" si="11"/>
        <v>3.96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1" t="s">
        <v>74</v>
      </c>
      <c r="B47" s="1" t="s">
        <v>29</v>
      </c>
      <c r="C47" s="1"/>
      <c r="D47" s="1">
        <v>156</v>
      </c>
      <c r="E47" s="1">
        <v>27</v>
      </c>
      <c r="F47" s="1">
        <v>124</v>
      </c>
      <c r="G47" s="7">
        <v>0.4</v>
      </c>
      <c r="H47" s="1">
        <v>60</v>
      </c>
      <c r="I47" s="1" t="s">
        <v>27</v>
      </c>
      <c r="J47" s="1"/>
      <c r="K47" s="1">
        <v>75</v>
      </c>
      <c r="L47" s="1">
        <f t="shared" si="8"/>
        <v>-48</v>
      </c>
      <c r="M47" s="1"/>
      <c r="N47" s="1"/>
      <c r="O47" s="1">
        <v>30</v>
      </c>
      <c r="P47" s="1">
        <f t="shared" si="3"/>
        <v>5.4</v>
      </c>
      <c r="Q47" s="5">
        <v>24</v>
      </c>
      <c r="R47" s="15"/>
      <c r="S47" s="1">
        <f t="shared" si="5"/>
        <v>32.962962962962962</v>
      </c>
      <c r="T47" s="1">
        <f t="shared" si="6"/>
        <v>28.518518518518515</v>
      </c>
      <c r="U47" s="1">
        <v>0</v>
      </c>
      <c r="V47" s="1"/>
      <c r="W47" s="1">
        <f t="shared" si="11"/>
        <v>9.6000000000000014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1" t="s">
        <v>75</v>
      </c>
      <c r="B48" s="1" t="s">
        <v>29</v>
      </c>
      <c r="C48" s="1"/>
      <c r="D48" s="1"/>
      <c r="E48" s="1"/>
      <c r="F48" s="1"/>
      <c r="G48" s="7">
        <v>0.33</v>
      </c>
      <c r="H48" s="1">
        <v>45</v>
      </c>
      <c r="I48" s="1" t="s">
        <v>27</v>
      </c>
      <c r="J48" s="1"/>
      <c r="K48" s="1"/>
      <c r="L48" s="1">
        <f t="shared" si="8"/>
        <v>0</v>
      </c>
      <c r="M48" s="1"/>
      <c r="N48" s="1"/>
      <c r="O48" s="1">
        <v>0</v>
      </c>
      <c r="P48" s="1">
        <f t="shared" si="3"/>
        <v>0</v>
      </c>
      <c r="Q48" s="5">
        <v>16</v>
      </c>
      <c r="R48" s="15"/>
      <c r="S48" s="1" t="e">
        <f t="shared" si="5"/>
        <v>#DIV/0!</v>
      </c>
      <c r="T48" s="1" t="e">
        <f t="shared" si="6"/>
        <v>#DIV/0!</v>
      </c>
      <c r="U48" s="1">
        <v>0</v>
      </c>
      <c r="V48" s="1"/>
      <c r="W48" s="1">
        <f t="shared" si="11"/>
        <v>5.28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1" t="s">
        <v>76</v>
      </c>
      <c r="B49" s="1" t="s">
        <v>26</v>
      </c>
      <c r="C49" s="1">
        <v>8.4250000000000007</v>
      </c>
      <c r="D49" s="1">
        <v>91.662000000000006</v>
      </c>
      <c r="E49" s="1">
        <v>21.199000000000002</v>
      </c>
      <c r="F49" s="1">
        <v>68.206000000000003</v>
      </c>
      <c r="G49" s="7">
        <v>1</v>
      </c>
      <c r="H49" s="1">
        <v>45</v>
      </c>
      <c r="I49" s="1" t="s">
        <v>27</v>
      </c>
      <c r="J49" s="1"/>
      <c r="K49" s="1">
        <v>36</v>
      </c>
      <c r="L49" s="1">
        <f t="shared" si="8"/>
        <v>-14.800999999999998</v>
      </c>
      <c r="M49" s="1"/>
      <c r="N49" s="1"/>
      <c r="O49" s="1">
        <v>0</v>
      </c>
      <c r="P49" s="1">
        <f t="shared" si="3"/>
        <v>4.2398000000000007</v>
      </c>
      <c r="Q49" s="5"/>
      <c r="R49" s="15"/>
      <c r="S49" s="1">
        <f t="shared" si="5"/>
        <v>16.087079579225435</v>
      </c>
      <c r="T49" s="1">
        <f t="shared" si="6"/>
        <v>16.087079579225435</v>
      </c>
      <c r="U49" s="1">
        <v>0</v>
      </c>
      <c r="V49" s="1"/>
      <c r="W49" s="1">
        <f t="shared" si="11"/>
        <v>0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1" t="s">
        <v>77</v>
      </c>
      <c r="B50" s="1" t="s">
        <v>29</v>
      </c>
      <c r="C50" s="1"/>
      <c r="D50" s="1"/>
      <c r="E50" s="1">
        <v>12</v>
      </c>
      <c r="F50" s="1">
        <v>-12</v>
      </c>
      <c r="G50" s="7">
        <v>0.4</v>
      </c>
      <c r="H50" s="1">
        <v>45</v>
      </c>
      <c r="I50" s="1" t="s">
        <v>27</v>
      </c>
      <c r="J50" s="1"/>
      <c r="K50" s="1">
        <v>31</v>
      </c>
      <c r="L50" s="1">
        <f t="shared" si="8"/>
        <v>-19</v>
      </c>
      <c r="M50" s="1"/>
      <c r="N50" s="1"/>
      <c r="O50" s="1">
        <v>150</v>
      </c>
      <c r="P50" s="1">
        <f t="shared" si="3"/>
        <v>2.4</v>
      </c>
      <c r="Q50" s="5"/>
      <c r="R50" s="15">
        <v>200</v>
      </c>
      <c r="S50" s="1">
        <f t="shared" si="5"/>
        <v>57.5</v>
      </c>
      <c r="T50" s="1">
        <f t="shared" si="6"/>
        <v>57.5</v>
      </c>
      <c r="U50" s="1">
        <v>0</v>
      </c>
      <c r="V50" s="1"/>
      <c r="W50" s="1">
        <f t="shared" si="11"/>
        <v>0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9" t="s">
        <v>78</v>
      </c>
      <c r="B51" s="9" t="s">
        <v>26</v>
      </c>
      <c r="C51" s="9"/>
      <c r="D51" s="9"/>
      <c r="E51" s="9"/>
      <c r="F51" s="9"/>
      <c r="G51" s="10">
        <v>0</v>
      </c>
      <c r="H51" s="9"/>
      <c r="I51" s="9" t="s">
        <v>27</v>
      </c>
      <c r="J51" s="9"/>
      <c r="K51" s="9"/>
      <c r="L51" s="9">
        <f t="shared" si="8"/>
        <v>0</v>
      </c>
      <c r="M51" s="9"/>
      <c r="N51" s="9"/>
      <c r="O51" s="9">
        <v>0</v>
      </c>
      <c r="P51" s="9">
        <f t="shared" si="3"/>
        <v>0</v>
      </c>
      <c r="Q51" s="11"/>
      <c r="R51" s="16"/>
      <c r="S51" s="9" t="e">
        <f t="shared" si="5"/>
        <v>#DIV/0!</v>
      </c>
      <c r="T51" s="9" t="e">
        <f t="shared" si="6"/>
        <v>#DIV/0!</v>
      </c>
      <c r="U51" s="9">
        <v>0</v>
      </c>
      <c r="V51" s="9" t="s">
        <v>79</v>
      </c>
      <c r="W51" s="9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1" t="s">
        <v>80</v>
      </c>
      <c r="B52" s="1" t="s">
        <v>26</v>
      </c>
      <c r="C52" s="1"/>
      <c r="D52" s="1"/>
      <c r="E52" s="1">
        <v>6.11</v>
      </c>
      <c r="F52" s="1">
        <v>-6.11</v>
      </c>
      <c r="G52" s="7">
        <v>1</v>
      </c>
      <c r="H52" s="1">
        <v>60</v>
      </c>
      <c r="I52" s="1" t="s">
        <v>27</v>
      </c>
      <c r="J52" s="1"/>
      <c r="K52" s="1">
        <v>12.5</v>
      </c>
      <c r="L52" s="1">
        <f t="shared" si="8"/>
        <v>-6.39</v>
      </c>
      <c r="M52" s="1"/>
      <c r="N52" s="1"/>
      <c r="O52" s="1">
        <v>40</v>
      </c>
      <c r="P52" s="1">
        <f t="shared" si="3"/>
        <v>1.222</v>
      </c>
      <c r="Q52" s="5"/>
      <c r="R52" s="15">
        <v>50</v>
      </c>
      <c r="S52" s="1">
        <f t="shared" si="5"/>
        <v>27.733224222585925</v>
      </c>
      <c r="T52" s="1">
        <f t="shared" si="6"/>
        <v>27.733224222585925</v>
      </c>
      <c r="U52" s="1">
        <v>0</v>
      </c>
      <c r="V52" s="1"/>
      <c r="W52" s="1">
        <f>G52*Q52</f>
        <v>0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1" t="s">
        <v>81</v>
      </c>
      <c r="B53" s="1" t="s">
        <v>26</v>
      </c>
      <c r="C53" s="1"/>
      <c r="D53" s="1"/>
      <c r="E53" s="1"/>
      <c r="F53" s="1"/>
      <c r="G53" s="7">
        <v>1</v>
      </c>
      <c r="H53" s="1">
        <v>45</v>
      </c>
      <c r="I53" s="1" t="s">
        <v>27</v>
      </c>
      <c r="J53" s="1"/>
      <c r="K53" s="1"/>
      <c r="L53" s="1">
        <f t="shared" si="8"/>
        <v>0</v>
      </c>
      <c r="M53" s="1"/>
      <c r="N53" s="1"/>
      <c r="O53" s="1">
        <v>70</v>
      </c>
      <c r="P53" s="1">
        <f t="shared" si="3"/>
        <v>0</v>
      </c>
      <c r="Q53" s="5"/>
      <c r="R53" s="15">
        <v>50</v>
      </c>
      <c r="S53" s="1" t="e">
        <f t="shared" si="5"/>
        <v>#DIV/0!</v>
      </c>
      <c r="T53" s="1" t="e">
        <f t="shared" si="6"/>
        <v>#DIV/0!</v>
      </c>
      <c r="U53" s="1">
        <v>0</v>
      </c>
      <c r="V53" s="1"/>
      <c r="W53" s="1">
        <f>G53*Q53</f>
        <v>0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9" t="s">
        <v>82</v>
      </c>
      <c r="B54" s="9" t="s">
        <v>29</v>
      </c>
      <c r="C54" s="9">
        <v>120</v>
      </c>
      <c r="D54" s="9"/>
      <c r="E54" s="9"/>
      <c r="F54" s="9">
        <v>120</v>
      </c>
      <c r="G54" s="10">
        <v>0</v>
      </c>
      <c r="H54" s="9"/>
      <c r="I54" s="9" t="s">
        <v>48</v>
      </c>
      <c r="J54" s="9"/>
      <c r="K54" s="9"/>
      <c r="L54" s="9">
        <f t="shared" si="8"/>
        <v>0</v>
      </c>
      <c r="M54" s="9"/>
      <c r="N54" s="9"/>
      <c r="O54" s="9">
        <v>0</v>
      </c>
      <c r="P54" s="9">
        <f t="shared" si="3"/>
        <v>0</v>
      </c>
      <c r="Q54" s="11"/>
      <c r="R54" s="16"/>
      <c r="S54" s="9" t="e">
        <f t="shared" si="5"/>
        <v>#DIV/0!</v>
      </c>
      <c r="T54" s="9" t="e">
        <f t="shared" si="6"/>
        <v>#DIV/0!</v>
      </c>
      <c r="U54" s="9">
        <v>0</v>
      </c>
      <c r="V54" s="9"/>
      <c r="W54" s="9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1" t="s">
        <v>83</v>
      </c>
      <c r="B55" s="1" t="s">
        <v>29</v>
      </c>
      <c r="C55" s="1">
        <v>64</v>
      </c>
      <c r="D55" s="1">
        <v>67</v>
      </c>
      <c r="E55" s="1">
        <v>62</v>
      </c>
      <c r="F55" s="1">
        <v>65</v>
      </c>
      <c r="G55" s="7">
        <v>0.25</v>
      </c>
      <c r="H55" s="1">
        <v>120</v>
      </c>
      <c r="I55" s="1" t="s">
        <v>27</v>
      </c>
      <c r="J55" s="1"/>
      <c r="K55" s="1">
        <v>67</v>
      </c>
      <c r="L55" s="1">
        <f t="shared" si="8"/>
        <v>-5</v>
      </c>
      <c r="M55" s="1"/>
      <c r="N55" s="1"/>
      <c r="O55" s="1">
        <v>70</v>
      </c>
      <c r="P55" s="1">
        <f t="shared" si="3"/>
        <v>12.4</v>
      </c>
      <c r="Q55" s="5">
        <f t="shared" ref="Q55:Q66" si="12">15*P55-O55-F55</f>
        <v>51</v>
      </c>
      <c r="R55" s="15">
        <v>100</v>
      </c>
      <c r="S55" s="1">
        <f t="shared" si="5"/>
        <v>15</v>
      </c>
      <c r="T55" s="1">
        <f t="shared" si="6"/>
        <v>10.887096774193548</v>
      </c>
      <c r="U55" s="1">
        <v>0</v>
      </c>
      <c r="V55" s="1"/>
      <c r="W55" s="1">
        <f t="shared" ref="W55:W67" si="13">G55*Q55</f>
        <v>12.75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1" t="s">
        <v>84</v>
      </c>
      <c r="B56" s="1" t="s">
        <v>26</v>
      </c>
      <c r="C56" s="1">
        <v>6.234</v>
      </c>
      <c r="D56" s="1"/>
      <c r="E56" s="1"/>
      <c r="F56" s="1">
        <v>6.234</v>
      </c>
      <c r="G56" s="7">
        <v>1</v>
      </c>
      <c r="H56" s="1">
        <v>45</v>
      </c>
      <c r="I56" s="1" t="s">
        <v>27</v>
      </c>
      <c r="J56" s="1"/>
      <c r="K56" s="1"/>
      <c r="L56" s="1">
        <f t="shared" si="8"/>
        <v>0</v>
      </c>
      <c r="M56" s="1"/>
      <c r="N56" s="1"/>
      <c r="O56" s="1">
        <v>40</v>
      </c>
      <c r="P56" s="1">
        <f t="shared" si="3"/>
        <v>0</v>
      </c>
      <c r="Q56" s="5"/>
      <c r="R56" s="15"/>
      <c r="S56" s="1" t="e">
        <f t="shared" si="5"/>
        <v>#DIV/0!</v>
      </c>
      <c r="T56" s="1" t="e">
        <f t="shared" si="6"/>
        <v>#DIV/0!</v>
      </c>
      <c r="U56" s="1">
        <v>0</v>
      </c>
      <c r="V56" s="1"/>
      <c r="W56" s="1">
        <f t="shared" si="13"/>
        <v>0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 t="s">
        <v>85</v>
      </c>
      <c r="B57" s="1" t="s">
        <v>29</v>
      </c>
      <c r="C57" s="1"/>
      <c r="D57" s="1"/>
      <c r="E57" s="1"/>
      <c r="F57" s="1"/>
      <c r="G57" s="7">
        <v>0.27</v>
      </c>
      <c r="H57" s="1"/>
      <c r="I57" s="1" t="s">
        <v>27</v>
      </c>
      <c r="J57" s="1"/>
      <c r="K57" s="1"/>
      <c r="L57" s="1">
        <f t="shared" si="8"/>
        <v>0</v>
      </c>
      <c r="M57" s="1"/>
      <c r="N57" s="1"/>
      <c r="O57" s="1">
        <v>50</v>
      </c>
      <c r="P57" s="1">
        <f t="shared" si="3"/>
        <v>0</v>
      </c>
      <c r="Q57" s="5"/>
      <c r="R57" s="15">
        <v>100</v>
      </c>
      <c r="S57" s="1" t="e">
        <f t="shared" si="5"/>
        <v>#DIV/0!</v>
      </c>
      <c r="T57" s="1" t="e">
        <f t="shared" si="6"/>
        <v>#DIV/0!</v>
      </c>
      <c r="U57" s="1">
        <v>0</v>
      </c>
      <c r="V57" s="1"/>
      <c r="W57" s="1">
        <f t="shared" si="13"/>
        <v>0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 t="s">
        <v>86</v>
      </c>
      <c r="B58" s="1" t="s">
        <v>29</v>
      </c>
      <c r="C58" s="1"/>
      <c r="D58" s="1">
        <v>80</v>
      </c>
      <c r="E58" s="1">
        <v>10</v>
      </c>
      <c r="F58" s="1">
        <v>70</v>
      </c>
      <c r="G58" s="7">
        <v>0.3</v>
      </c>
      <c r="H58" s="1">
        <v>60</v>
      </c>
      <c r="I58" s="1" t="s">
        <v>27</v>
      </c>
      <c r="J58" s="1"/>
      <c r="K58" s="1">
        <v>14</v>
      </c>
      <c r="L58" s="1">
        <f t="shared" si="8"/>
        <v>-4</v>
      </c>
      <c r="M58" s="1"/>
      <c r="N58" s="1"/>
      <c r="O58" s="1">
        <v>50</v>
      </c>
      <c r="P58" s="1">
        <f t="shared" si="3"/>
        <v>2</v>
      </c>
      <c r="Q58" s="5"/>
      <c r="R58" s="15"/>
      <c r="S58" s="1">
        <f t="shared" si="5"/>
        <v>60</v>
      </c>
      <c r="T58" s="1">
        <f t="shared" si="6"/>
        <v>60</v>
      </c>
      <c r="U58" s="1">
        <v>0</v>
      </c>
      <c r="V58" s="1"/>
      <c r="W58" s="1">
        <f t="shared" si="13"/>
        <v>0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 t="s">
        <v>87</v>
      </c>
      <c r="B59" s="1" t="s">
        <v>29</v>
      </c>
      <c r="C59" s="1">
        <v>440</v>
      </c>
      <c r="D59" s="1">
        <v>53</v>
      </c>
      <c r="E59" s="1">
        <v>462</v>
      </c>
      <c r="F59" s="1">
        <v>-25</v>
      </c>
      <c r="G59" s="7">
        <v>0.41</v>
      </c>
      <c r="H59" s="1">
        <v>50</v>
      </c>
      <c r="I59" s="1" t="s">
        <v>27</v>
      </c>
      <c r="J59" s="1"/>
      <c r="K59" s="1">
        <v>531</v>
      </c>
      <c r="L59" s="1">
        <f t="shared" si="8"/>
        <v>-69</v>
      </c>
      <c r="M59" s="1"/>
      <c r="N59" s="1"/>
      <c r="O59" s="1">
        <v>0</v>
      </c>
      <c r="P59" s="1">
        <f t="shared" si="3"/>
        <v>92.4</v>
      </c>
      <c r="Q59" s="5">
        <f>10*P59-O59-F59</f>
        <v>949</v>
      </c>
      <c r="R59" s="15"/>
      <c r="S59" s="1">
        <f t="shared" si="5"/>
        <v>10</v>
      </c>
      <c r="T59" s="1">
        <f t="shared" si="6"/>
        <v>-0.27056277056277056</v>
      </c>
      <c r="U59" s="1">
        <v>0</v>
      </c>
      <c r="V59" s="1"/>
      <c r="W59" s="1">
        <f t="shared" si="13"/>
        <v>389.09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 t="s">
        <v>88</v>
      </c>
      <c r="B60" s="1" t="s">
        <v>26</v>
      </c>
      <c r="C60" s="1">
        <v>191.774</v>
      </c>
      <c r="D60" s="1"/>
      <c r="E60" s="1">
        <v>54.545999999999999</v>
      </c>
      <c r="F60" s="1">
        <v>133.518</v>
      </c>
      <c r="G60" s="7">
        <v>1</v>
      </c>
      <c r="H60" s="1">
        <v>50</v>
      </c>
      <c r="I60" s="1" t="s">
        <v>27</v>
      </c>
      <c r="J60" s="1"/>
      <c r="K60" s="1">
        <v>71</v>
      </c>
      <c r="L60" s="1">
        <f t="shared" si="8"/>
        <v>-16.454000000000001</v>
      </c>
      <c r="M60" s="1"/>
      <c r="N60" s="1"/>
      <c r="O60" s="1">
        <v>0</v>
      </c>
      <c r="P60" s="1">
        <f t="shared" si="3"/>
        <v>10.9092</v>
      </c>
      <c r="Q60" s="5">
        <f t="shared" si="12"/>
        <v>30.120000000000005</v>
      </c>
      <c r="R60" s="15"/>
      <c r="S60" s="1">
        <f t="shared" si="5"/>
        <v>15</v>
      </c>
      <c r="T60" s="1">
        <f t="shared" si="6"/>
        <v>12.239027609723902</v>
      </c>
      <c r="U60" s="1">
        <v>0</v>
      </c>
      <c r="V60" s="1"/>
      <c r="W60" s="1">
        <f t="shared" si="13"/>
        <v>30.120000000000005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 t="s">
        <v>89</v>
      </c>
      <c r="B61" s="1" t="s">
        <v>29</v>
      </c>
      <c r="C61" s="1"/>
      <c r="D61" s="1">
        <v>214</v>
      </c>
      <c r="E61" s="1">
        <v>79</v>
      </c>
      <c r="F61" s="1">
        <v>114</v>
      </c>
      <c r="G61" s="7">
        <v>0.35</v>
      </c>
      <c r="H61" s="1">
        <v>50</v>
      </c>
      <c r="I61" s="1" t="s">
        <v>27</v>
      </c>
      <c r="J61" s="1"/>
      <c r="K61" s="1">
        <v>184</v>
      </c>
      <c r="L61" s="1">
        <f t="shared" si="8"/>
        <v>-105</v>
      </c>
      <c r="M61" s="1"/>
      <c r="N61" s="1"/>
      <c r="O61" s="1">
        <v>200</v>
      </c>
      <c r="P61" s="1">
        <f t="shared" si="3"/>
        <v>15.8</v>
      </c>
      <c r="Q61" s="5"/>
      <c r="R61" s="15"/>
      <c r="S61" s="1">
        <f t="shared" si="5"/>
        <v>19.873417721518987</v>
      </c>
      <c r="T61" s="1">
        <f t="shared" si="6"/>
        <v>19.873417721518987</v>
      </c>
      <c r="U61" s="1">
        <v>0</v>
      </c>
      <c r="V61" s="1"/>
      <c r="W61" s="1">
        <f t="shared" si="13"/>
        <v>0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 t="s">
        <v>90</v>
      </c>
      <c r="B62" s="1" t="s">
        <v>26</v>
      </c>
      <c r="C62" s="1"/>
      <c r="D62" s="1"/>
      <c r="E62" s="1"/>
      <c r="F62" s="1"/>
      <c r="G62" s="7">
        <v>1</v>
      </c>
      <c r="H62" s="1">
        <v>50</v>
      </c>
      <c r="I62" s="1" t="s">
        <v>27</v>
      </c>
      <c r="J62" s="1"/>
      <c r="K62" s="1"/>
      <c r="L62" s="1">
        <f t="shared" si="8"/>
        <v>0</v>
      </c>
      <c r="M62" s="1"/>
      <c r="N62" s="1"/>
      <c r="O62" s="1">
        <v>0</v>
      </c>
      <c r="P62" s="1">
        <f t="shared" si="3"/>
        <v>0</v>
      </c>
      <c r="Q62" s="5">
        <v>10</v>
      </c>
      <c r="R62" s="15"/>
      <c r="S62" s="1" t="e">
        <f t="shared" si="5"/>
        <v>#DIV/0!</v>
      </c>
      <c r="T62" s="1" t="e">
        <f t="shared" si="6"/>
        <v>#DIV/0!</v>
      </c>
      <c r="U62" s="1">
        <v>0</v>
      </c>
      <c r="V62" s="1"/>
      <c r="W62" s="1">
        <f t="shared" si="13"/>
        <v>10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 t="s">
        <v>91</v>
      </c>
      <c r="B63" s="1" t="s">
        <v>29</v>
      </c>
      <c r="C63" s="1">
        <v>240</v>
      </c>
      <c r="D63" s="1">
        <v>629</v>
      </c>
      <c r="E63" s="1">
        <v>289</v>
      </c>
      <c r="F63" s="1">
        <v>543</v>
      </c>
      <c r="G63" s="7">
        <v>0.41</v>
      </c>
      <c r="H63" s="1">
        <v>50</v>
      </c>
      <c r="I63" s="1" t="s">
        <v>27</v>
      </c>
      <c r="J63" s="1"/>
      <c r="K63" s="1">
        <v>320</v>
      </c>
      <c r="L63" s="1">
        <f t="shared" ref="L63:L89" si="14">E63-K63</f>
        <v>-31</v>
      </c>
      <c r="M63" s="1"/>
      <c r="N63" s="1"/>
      <c r="O63" s="1">
        <v>200</v>
      </c>
      <c r="P63" s="1">
        <f t="shared" si="3"/>
        <v>57.8</v>
      </c>
      <c r="Q63" s="5">
        <f t="shared" si="12"/>
        <v>124</v>
      </c>
      <c r="R63" s="15">
        <v>200</v>
      </c>
      <c r="S63" s="1">
        <f t="shared" si="5"/>
        <v>15</v>
      </c>
      <c r="T63" s="1">
        <f t="shared" si="6"/>
        <v>12.854671280276817</v>
      </c>
      <c r="U63" s="1">
        <v>0</v>
      </c>
      <c r="V63" s="1"/>
      <c r="W63" s="1">
        <f t="shared" si="13"/>
        <v>50.839999999999996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 t="s">
        <v>92</v>
      </c>
      <c r="B64" s="1" t="s">
        <v>26</v>
      </c>
      <c r="C64" s="1">
        <v>6.2969999999999997</v>
      </c>
      <c r="D64" s="1"/>
      <c r="E64" s="1">
        <v>1.5760000000000001</v>
      </c>
      <c r="F64" s="1">
        <v>4.7210000000000001</v>
      </c>
      <c r="G64" s="7">
        <v>1</v>
      </c>
      <c r="H64" s="1">
        <v>50</v>
      </c>
      <c r="I64" s="1" t="s">
        <v>27</v>
      </c>
      <c r="J64" s="1"/>
      <c r="K64" s="1">
        <v>1.5</v>
      </c>
      <c r="L64" s="1">
        <f t="shared" si="14"/>
        <v>7.6000000000000068E-2</v>
      </c>
      <c r="M64" s="1"/>
      <c r="N64" s="1"/>
      <c r="O64" s="1">
        <v>4</v>
      </c>
      <c r="P64" s="1">
        <f t="shared" si="3"/>
        <v>0.31520000000000004</v>
      </c>
      <c r="Q64" s="5"/>
      <c r="R64" s="15"/>
      <c r="S64" s="1">
        <f t="shared" si="5"/>
        <v>27.668147208121823</v>
      </c>
      <c r="T64" s="1">
        <f t="shared" si="6"/>
        <v>27.668147208121823</v>
      </c>
      <c r="U64" s="1">
        <v>0</v>
      </c>
      <c r="V64" s="13" t="s">
        <v>34</v>
      </c>
      <c r="W64" s="1">
        <f t="shared" si="13"/>
        <v>0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 t="s">
        <v>93</v>
      </c>
      <c r="B65" s="1" t="s">
        <v>29</v>
      </c>
      <c r="C65" s="1">
        <v>66</v>
      </c>
      <c r="D65" s="1">
        <v>4</v>
      </c>
      <c r="E65" s="1">
        <v>76</v>
      </c>
      <c r="F65" s="1">
        <v>-10</v>
      </c>
      <c r="G65" s="7">
        <v>0.3</v>
      </c>
      <c r="H65" s="1">
        <v>50</v>
      </c>
      <c r="I65" s="1" t="s">
        <v>27</v>
      </c>
      <c r="J65" s="1"/>
      <c r="K65" s="1">
        <v>84</v>
      </c>
      <c r="L65" s="1">
        <f t="shared" si="14"/>
        <v>-8</v>
      </c>
      <c r="M65" s="1"/>
      <c r="N65" s="1"/>
      <c r="O65" s="1">
        <v>130</v>
      </c>
      <c r="P65" s="1">
        <f t="shared" si="3"/>
        <v>15.2</v>
      </c>
      <c r="Q65" s="5">
        <f t="shared" si="12"/>
        <v>108</v>
      </c>
      <c r="R65" s="15">
        <v>200</v>
      </c>
      <c r="S65" s="1">
        <f t="shared" si="5"/>
        <v>15</v>
      </c>
      <c r="T65" s="1">
        <f t="shared" si="6"/>
        <v>7.8947368421052637</v>
      </c>
      <c r="U65" s="1">
        <v>0</v>
      </c>
      <c r="V65" s="1"/>
      <c r="W65" s="1">
        <f t="shared" si="13"/>
        <v>32.4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 t="s">
        <v>94</v>
      </c>
      <c r="B66" s="1" t="s">
        <v>29</v>
      </c>
      <c r="C66" s="1">
        <v>100</v>
      </c>
      <c r="D66" s="1">
        <v>3</v>
      </c>
      <c r="E66" s="1">
        <v>57</v>
      </c>
      <c r="F66" s="1">
        <v>37</v>
      </c>
      <c r="G66" s="7">
        <v>0.18</v>
      </c>
      <c r="H66" s="1">
        <v>50</v>
      </c>
      <c r="I66" s="1" t="s">
        <v>27</v>
      </c>
      <c r="J66" s="1"/>
      <c r="K66" s="1">
        <v>70</v>
      </c>
      <c r="L66" s="1">
        <f t="shared" si="14"/>
        <v>-13</v>
      </c>
      <c r="M66" s="1"/>
      <c r="N66" s="1"/>
      <c r="O66" s="1">
        <v>41</v>
      </c>
      <c r="P66" s="1">
        <f t="shared" si="3"/>
        <v>11.4</v>
      </c>
      <c r="Q66" s="5">
        <f t="shared" si="12"/>
        <v>93</v>
      </c>
      <c r="R66" s="15"/>
      <c r="S66" s="1">
        <f t="shared" si="5"/>
        <v>15</v>
      </c>
      <c r="T66" s="1">
        <f t="shared" si="6"/>
        <v>6.8421052631578947</v>
      </c>
      <c r="U66" s="1">
        <v>0</v>
      </c>
      <c r="V66" s="1"/>
      <c r="W66" s="1">
        <f t="shared" si="13"/>
        <v>16.739999999999998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 t="s">
        <v>95</v>
      </c>
      <c r="B67" s="1" t="s">
        <v>29</v>
      </c>
      <c r="C67" s="1"/>
      <c r="D67" s="1"/>
      <c r="E67" s="1"/>
      <c r="F67" s="1"/>
      <c r="G67" s="7">
        <v>0.22</v>
      </c>
      <c r="H67" s="1">
        <v>120</v>
      </c>
      <c r="I67" s="1" t="s">
        <v>27</v>
      </c>
      <c r="J67" s="1"/>
      <c r="K67" s="1"/>
      <c r="L67" s="1">
        <f t="shared" si="14"/>
        <v>0</v>
      </c>
      <c r="M67" s="1"/>
      <c r="N67" s="1"/>
      <c r="O67" s="1">
        <v>70</v>
      </c>
      <c r="P67" s="1">
        <f t="shared" si="3"/>
        <v>0</v>
      </c>
      <c r="Q67" s="5"/>
      <c r="R67" s="15"/>
      <c r="S67" s="1" t="e">
        <f t="shared" si="5"/>
        <v>#DIV/0!</v>
      </c>
      <c r="T67" s="1" t="e">
        <f t="shared" si="6"/>
        <v>#DIV/0!</v>
      </c>
      <c r="U67" s="1">
        <v>0</v>
      </c>
      <c r="V67" s="1"/>
      <c r="W67" s="1">
        <f t="shared" si="13"/>
        <v>0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9" t="s">
        <v>96</v>
      </c>
      <c r="B68" s="9" t="s">
        <v>26</v>
      </c>
      <c r="C68" s="9"/>
      <c r="D68" s="9"/>
      <c r="E68" s="9"/>
      <c r="F68" s="9"/>
      <c r="G68" s="10">
        <v>0</v>
      </c>
      <c r="H68" s="9"/>
      <c r="I68" s="9" t="s">
        <v>27</v>
      </c>
      <c r="J68" s="9"/>
      <c r="K68" s="9"/>
      <c r="L68" s="9">
        <f t="shared" si="14"/>
        <v>0</v>
      </c>
      <c r="M68" s="9"/>
      <c r="N68" s="9"/>
      <c r="O68" s="9">
        <v>0</v>
      </c>
      <c r="P68" s="9">
        <f t="shared" si="3"/>
        <v>0</v>
      </c>
      <c r="Q68" s="11"/>
      <c r="R68" s="16"/>
      <c r="S68" s="9" t="e">
        <f t="shared" si="5"/>
        <v>#DIV/0!</v>
      </c>
      <c r="T68" s="9" t="e">
        <f t="shared" si="6"/>
        <v>#DIV/0!</v>
      </c>
      <c r="U68" s="9">
        <v>0</v>
      </c>
      <c r="V68" s="9" t="s">
        <v>79</v>
      </c>
      <c r="W68" s="9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 t="s">
        <v>56</v>
      </c>
      <c r="B69" s="1" t="s">
        <v>29</v>
      </c>
      <c r="C69" s="1">
        <v>392</v>
      </c>
      <c r="D69" s="1">
        <v>277</v>
      </c>
      <c r="E69" s="1">
        <v>291</v>
      </c>
      <c r="F69" s="1">
        <v>331</v>
      </c>
      <c r="G69" s="7">
        <v>0.35</v>
      </c>
      <c r="H69" s="1">
        <v>50</v>
      </c>
      <c r="I69" s="1" t="s">
        <v>27</v>
      </c>
      <c r="J69" s="1"/>
      <c r="K69" s="1">
        <v>333</v>
      </c>
      <c r="L69" s="1">
        <f t="shared" si="14"/>
        <v>-42</v>
      </c>
      <c r="M69" s="1"/>
      <c r="N69" s="1"/>
      <c r="O69" s="1">
        <v>0</v>
      </c>
      <c r="P69" s="1">
        <f t="shared" si="3"/>
        <v>58.2</v>
      </c>
      <c r="Q69" s="5">
        <f>15*P69-O69-F69</f>
        <v>542</v>
      </c>
      <c r="R69" s="15"/>
      <c r="S69" s="1">
        <f t="shared" si="5"/>
        <v>15</v>
      </c>
      <c r="T69" s="1">
        <f t="shared" si="6"/>
        <v>5.6872852233676969</v>
      </c>
      <c r="U69" s="1">
        <v>0</v>
      </c>
      <c r="V69" s="1"/>
      <c r="W69" s="1">
        <f>G69*Q69</f>
        <v>189.7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2" t="s">
        <v>129</v>
      </c>
      <c r="B70" s="9" t="s">
        <v>29</v>
      </c>
      <c r="C70" s="9"/>
      <c r="D70" s="9"/>
      <c r="E70" s="9"/>
      <c r="F70" s="9"/>
      <c r="G70" s="10">
        <v>0</v>
      </c>
      <c r="H70" s="9"/>
      <c r="I70" s="9" t="s">
        <v>27</v>
      </c>
      <c r="J70" s="9"/>
      <c r="K70" s="9"/>
      <c r="L70" s="9">
        <f t="shared" si="14"/>
        <v>0</v>
      </c>
      <c r="M70" s="9"/>
      <c r="N70" s="9"/>
      <c r="O70" s="9">
        <v>0</v>
      </c>
      <c r="P70" s="9">
        <f t="shared" si="3"/>
        <v>0</v>
      </c>
      <c r="Q70" s="11"/>
      <c r="R70" s="16"/>
      <c r="S70" s="9" t="e">
        <f t="shared" si="5"/>
        <v>#DIV/0!</v>
      </c>
      <c r="T70" s="9" t="e">
        <f t="shared" si="6"/>
        <v>#DIV/0!</v>
      </c>
      <c r="U70" s="9">
        <v>0</v>
      </c>
      <c r="V70" s="9" t="s">
        <v>79</v>
      </c>
      <c r="W70" s="9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 t="s">
        <v>97</v>
      </c>
      <c r="B71" s="1" t="s">
        <v>26</v>
      </c>
      <c r="C71" s="1">
        <v>5.4180000000000001</v>
      </c>
      <c r="D71" s="1">
        <v>98.430999999999997</v>
      </c>
      <c r="E71" s="1">
        <v>30.64</v>
      </c>
      <c r="F71" s="1">
        <v>27.433</v>
      </c>
      <c r="G71" s="7">
        <v>1</v>
      </c>
      <c r="H71" s="1">
        <v>50</v>
      </c>
      <c r="I71" s="1" t="s">
        <v>27</v>
      </c>
      <c r="J71" s="1"/>
      <c r="K71" s="1">
        <v>92.8</v>
      </c>
      <c r="L71" s="1">
        <f t="shared" si="14"/>
        <v>-62.16</v>
      </c>
      <c r="M71" s="1"/>
      <c r="N71" s="1"/>
      <c r="O71" s="1">
        <v>100</v>
      </c>
      <c r="P71" s="1">
        <f t="shared" ref="P71:P103" si="15">E71/5</f>
        <v>6.1280000000000001</v>
      </c>
      <c r="Q71" s="5">
        <v>40</v>
      </c>
      <c r="R71" s="15"/>
      <c r="S71" s="1">
        <f t="shared" ref="S71:S103" si="16">(F71+O71+Q71)/P71</f>
        <v>27.322617493472585</v>
      </c>
      <c r="T71" s="1">
        <f t="shared" ref="T71:T103" si="17">(F71+O71)/P71</f>
        <v>20.795202349869449</v>
      </c>
      <c r="U71" s="1">
        <v>0</v>
      </c>
      <c r="V71" s="1"/>
      <c r="W71" s="1">
        <f t="shared" ref="W71:W80" si="18">G71*Q71</f>
        <v>40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 t="s">
        <v>98</v>
      </c>
      <c r="B72" s="1" t="s">
        <v>26</v>
      </c>
      <c r="C72" s="1"/>
      <c r="D72" s="1">
        <v>135.31200000000001</v>
      </c>
      <c r="E72" s="1">
        <v>69.876000000000005</v>
      </c>
      <c r="F72" s="1">
        <v>48.948</v>
      </c>
      <c r="G72" s="7">
        <v>1</v>
      </c>
      <c r="H72" s="1">
        <v>50</v>
      </c>
      <c r="I72" s="1" t="s">
        <v>27</v>
      </c>
      <c r="J72" s="1"/>
      <c r="K72" s="1">
        <v>110.3</v>
      </c>
      <c r="L72" s="1">
        <f t="shared" si="14"/>
        <v>-40.423999999999992</v>
      </c>
      <c r="M72" s="1"/>
      <c r="N72" s="1"/>
      <c r="O72" s="1">
        <v>250</v>
      </c>
      <c r="P72" s="1">
        <f t="shared" si="15"/>
        <v>13.975200000000001</v>
      </c>
      <c r="Q72" s="5"/>
      <c r="R72" s="15"/>
      <c r="S72" s="1">
        <f t="shared" si="16"/>
        <v>21.391321769992555</v>
      </c>
      <c r="T72" s="1">
        <f t="shared" si="17"/>
        <v>21.391321769992555</v>
      </c>
      <c r="U72" s="1">
        <v>0</v>
      </c>
      <c r="V72" s="1"/>
      <c r="W72" s="1">
        <f t="shared" si="18"/>
        <v>0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 t="s">
        <v>99</v>
      </c>
      <c r="B73" s="1" t="s">
        <v>29</v>
      </c>
      <c r="C73" s="1">
        <v>104</v>
      </c>
      <c r="D73" s="1">
        <v>160</v>
      </c>
      <c r="E73" s="1">
        <v>236</v>
      </c>
      <c r="F73" s="1">
        <v>-14</v>
      </c>
      <c r="G73" s="7">
        <v>0.35</v>
      </c>
      <c r="H73" s="1">
        <v>50</v>
      </c>
      <c r="I73" s="1" t="s">
        <v>27</v>
      </c>
      <c r="J73" s="1"/>
      <c r="K73" s="1">
        <v>298</v>
      </c>
      <c r="L73" s="1">
        <f t="shared" si="14"/>
        <v>-62</v>
      </c>
      <c r="M73" s="1"/>
      <c r="N73" s="1"/>
      <c r="O73" s="1">
        <v>70</v>
      </c>
      <c r="P73" s="1">
        <f t="shared" si="15"/>
        <v>47.2</v>
      </c>
      <c r="Q73" s="5">
        <f>11*P73-O73-F73</f>
        <v>463.20000000000005</v>
      </c>
      <c r="R73" s="15"/>
      <c r="S73" s="1">
        <f t="shared" si="16"/>
        <v>11</v>
      </c>
      <c r="T73" s="1">
        <f t="shared" si="17"/>
        <v>1.1864406779661016</v>
      </c>
      <c r="U73" s="1">
        <v>0</v>
      </c>
      <c r="V73" s="1"/>
      <c r="W73" s="1">
        <f t="shared" si="18"/>
        <v>162.12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 t="s">
        <v>100</v>
      </c>
      <c r="B74" s="1" t="s">
        <v>29</v>
      </c>
      <c r="C74" s="1"/>
      <c r="D74" s="1">
        <v>124</v>
      </c>
      <c r="E74" s="1">
        <v>22</v>
      </c>
      <c r="F74" s="1">
        <v>98</v>
      </c>
      <c r="G74" s="7">
        <v>0.3</v>
      </c>
      <c r="H74" s="1">
        <v>50</v>
      </c>
      <c r="I74" s="1" t="s">
        <v>27</v>
      </c>
      <c r="J74" s="1"/>
      <c r="K74" s="1">
        <v>81</v>
      </c>
      <c r="L74" s="1">
        <f t="shared" si="14"/>
        <v>-59</v>
      </c>
      <c r="M74" s="1"/>
      <c r="N74" s="1"/>
      <c r="O74" s="1">
        <v>100</v>
      </c>
      <c r="P74" s="1">
        <f t="shared" si="15"/>
        <v>4.4000000000000004</v>
      </c>
      <c r="Q74" s="5"/>
      <c r="R74" s="15"/>
      <c r="S74" s="1">
        <f t="shared" si="16"/>
        <v>44.999999999999993</v>
      </c>
      <c r="T74" s="1">
        <f t="shared" si="17"/>
        <v>44.999999999999993</v>
      </c>
      <c r="U74" s="1">
        <v>0</v>
      </c>
      <c r="V74" s="1"/>
      <c r="W74" s="1">
        <f t="shared" si="18"/>
        <v>0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 t="s">
        <v>101</v>
      </c>
      <c r="B75" s="1" t="s">
        <v>29</v>
      </c>
      <c r="C75" s="1"/>
      <c r="D75" s="1">
        <v>34</v>
      </c>
      <c r="E75" s="1">
        <v>5</v>
      </c>
      <c r="F75" s="1">
        <v>27</v>
      </c>
      <c r="G75" s="7">
        <v>0.3</v>
      </c>
      <c r="H75" s="1">
        <v>60</v>
      </c>
      <c r="I75" s="1" t="s">
        <v>27</v>
      </c>
      <c r="J75" s="1"/>
      <c r="K75" s="1">
        <v>11</v>
      </c>
      <c r="L75" s="1">
        <f t="shared" si="14"/>
        <v>-6</v>
      </c>
      <c r="M75" s="1"/>
      <c r="N75" s="1"/>
      <c r="O75" s="1">
        <v>80</v>
      </c>
      <c r="P75" s="1">
        <f t="shared" si="15"/>
        <v>1</v>
      </c>
      <c r="Q75" s="5"/>
      <c r="R75" s="15"/>
      <c r="S75" s="1">
        <f t="shared" si="16"/>
        <v>107</v>
      </c>
      <c r="T75" s="1">
        <f t="shared" si="17"/>
        <v>107</v>
      </c>
      <c r="U75" s="1">
        <v>0</v>
      </c>
      <c r="V75" s="1"/>
      <c r="W75" s="1">
        <f t="shared" si="18"/>
        <v>0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 t="s">
        <v>102</v>
      </c>
      <c r="B76" s="1" t="s">
        <v>29</v>
      </c>
      <c r="C76" s="1">
        <v>200</v>
      </c>
      <c r="D76" s="1">
        <v>233</v>
      </c>
      <c r="E76" s="1">
        <v>131</v>
      </c>
      <c r="F76" s="1">
        <v>283</v>
      </c>
      <c r="G76" s="7">
        <v>0.28000000000000003</v>
      </c>
      <c r="H76" s="1">
        <v>50</v>
      </c>
      <c r="I76" s="1" t="s">
        <v>27</v>
      </c>
      <c r="J76" s="1"/>
      <c r="K76" s="1">
        <v>144</v>
      </c>
      <c r="L76" s="1">
        <f t="shared" si="14"/>
        <v>-13</v>
      </c>
      <c r="M76" s="1"/>
      <c r="N76" s="1"/>
      <c r="O76" s="1">
        <v>0</v>
      </c>
      <c r="P76" s="1">
        <f t="shared" si="15"/>
        <v>26.2</v>
      </c>
      <c r="Q76" s="5">
        <f t="shared" ref="Q76:Q92" si="19">15*P76-O76-F76</f>
        <v>110</v>
      </c>
      <c r="R76" s="15"/>
      <c r="S76" s="1">
        <f t="shared" si="16"/>
        <v>15</v>
      </c>
      <c r="T76" s="1">
        <f t="shared" si="17"/>
        <v>10.801526717557252</v>
      </c>
      <c r="U76" s="1">
        <v>0</v>
      </c>
      <c r="V76" s="1"/>
      <c r="W76" s="1">
        <f t="shared" si="18"/>
        <v>30.800000000000004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 t="s">
        <v>103</v>
      </c>
      <c r="B77" s="1" t="s">
        <v>29</v>
      </c>
      <c r="C77" s="1">
        <v>200</v>
      </c>
      <c r="D77" s="1">
        <v>20</v>
      </c>
      <c r="E77" s="1">
        <v>230</v>
      </c>
      <c r="F77" s="1">
        <v>-40</v>
      </c>
      <c r="G77" s="7">
        <v>0.28000000000000003</v>
      </c>
      <c r="H77" s="1">
        <v>45</v>
      </c>
      <c r="I77" s="1" t="s">
        <v>27</v>
      </c>
      <c r="J77" s="1"/>
      <c r="K77" s="1">
        <v>257</v>
      </c>
      <c r="L77" s="1">
        <f t="shared" si="14"/>
        <v>-27</v>
      </c>
      <c r="M77" s="1"/>
      <c r="N77" s="1"/>
      <c r="O77" s="1">
        <v>150</v>
      </c>
      <c r="P77" s="1">
        <f t="shared" si="15"/>
        <v>46</v>
      </c>
      <c r="Q77" s="5">
        <f>12*P77-O77-F77</f>
        <v>442</v>
      </c>
      <c r="R77" s="15"/>
      <c r="S77" s="1">
        <f t="shared" si="16"/>
        <v>12</v>
      </c>
      <c r="T77" s="1">
        <f t="shared" si="17"/>
        <v>2.3913043478260869</v>
      </c>
      <c r="U77" s="1">
        <v>0</v>
      </c>
      <c r="V77" s="1"/>
      <c r="W77" s="1">
        <f t="shared" si="18"/>
        <v>123.76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 t="s">
        <v>104</v>
      </c>
      <c r="B78" s="1" t="s">
        <v>29</v>
      </c>
      <c r="C78" s="1">
        <v>72</v>
      </c>
      <c r="D78" s="1">
        <v>343</v>
      </c>
      <c r="E78" s="1">
        <v>119</v>
      </c>
      <c r="F78" s="1">
        <v>265</v>
      </c>
      <c r="G78" s="7">
        <v>0.28000000000000003</v>
      </c>
      <c r="H78" s="1">
        <v>45</v>
      </c>
      <c r="I78" s="1" t="s">
        <v>27</v>
      </c>
      <c r="J78" s="1"/>
      <c r="K78" s="1">
        <v>217</v>
      </c>
      <c r="L78" s="1">
        <f t="shared" si="14"/>
        <v>-98</v>
      </c>
      <c r="M78" s="1"/>
      <c r="N78" s="1"/>
      <c r="O78" s="1">
        <v>150</v>
      </c>
      <c r="P78" s="1">
        <f t="shared" si="15"/>
        <v>23.8</v>
      </c>
      <c r="Q78" s="5"/>
      <c r="R78" s="15"/>
      <c r="S78" s="1">
        <f t="shared" si="16"/>
        <v>17.436974789915965</v>
      </c>
      <c r="T78" s="1">
        <f t="shared" si="17"/>
        <v>17.436974789915965</v>
      </c>
      <c r="U78" s="1">
        <v>0</v>
      </c>
      <c r="V78" s="1"/>
      <c r="W78" s="1">
        <f t="shared" si="18"/>
        <v>0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 t="s">
        <v>105</v>
      </c>
      <c r="B79" s="1" t="s">
        <v>29</v>
      </c>
      <c r="C79" s="1">
        <v>528</v>
      </c>
      <c r="D79" s="1">
        <v>371</v>
      </c>
      <c r="E79" s="1">
        <v>212</v>
      </c>
      <c r="F79" s="1">
        <v>638</v>
      </c>
      <c r="G79" s="7">
        <v>0.4</v>
      </c>
      <c r="H79" s="1">
        <v>50</v>
      </c>
      <c r="I79" s="1" t="s">
        <v>27</v>
      </c>
      <c r="J79" s="1"/>
      <c r="K79" s="1">
        <v>253</v>
      </c>
      <c r="L79" s="1">
        <f t="shared" si="14"/>
        <v>-41</v>
      </c>
      <c r="M79" s="1"/>
      <c r="N79" s="1"/>
      <c r="O79" s="1">
        <v>46</v>
      </c>
      <c r="P79" s="1">
        <f t="shared" si="15"/>
        <v>42.4</v>
      </c>
      <c r="Q79" s="5"/>
      <c r="R79" s="15"/>
      <c r="S79" s="1">
        <f t="shared" si="16"/>
        <v>16.132075471698112</v>
      </c>
      <c r="T79" s="1">
        <f t="shared" si="17"/>
        <v>16.132075471698112</v>
      </c>
      <c r="U79" s="1">
        <v>0</v>
      </c>
      <c r="V79" s="1"/>
      <c r="W79" s="1">
        <f t="shared" si="18"/>
        <v>0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1" t="s">
        <v>107</v>
      </c>
      <c r="B80" s="1" t="s">
        <v>26</v>
      </c>
      <c r="C80" s="1"/>
      <c r="D80" s="1"/>
      <c r="E80" s="1"/>
      <c r="F80" s="1"/>
      <c r="G80" s="7">
        <v>1</v>
      </c>
      <c r="H80" s="1">
        <v>30</v>
      </c>
      <c r="I80" s="1" t="s">
        <v>27</v>
      </c>
      <c r="J80" s="1"/>
      <c r="K80" s="1">
        <v>14.3</v>
      </c>
      <c r="L80" s="1">
        <f t="shared" si="14"/>
        <v>-14.3</v>
      </c>
      <c r="M80" s="1"/>
      <c r="N80" s="1"/>
      <c r="O80" s="1">
        <v>120</v>
      </c>
      <c r="P80" s="1">
        <f t="shared" si="15"/>
        <v>0</v>
      </c>
      <c r="Q80" s="5"/>
      <c r="R80" s="15">
        <v>200</v>
      </c>
      <c r="S80" s="1" t="e">
        <f t="shared" si="16"/>
        <v>#DIV/0!</v>
      </c>
      <c r="T80" s="1" t="e">
        <f t="shared" si="17"/>
        <v>#DIV/0!</v>
      </c>
      <c r="U80" s="1">
        <v>0</v>
      </c>
      <c r="V80" s="1"/>
      <c r="W80" s="1">
        <f t="shared" si="18"/>
        <v>0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1" t="s">
        <v>108</v>
      </c>
      <c r="B81" s="1" t="s">
        <v>29</v>
      </c>
      <c r="C81" s="1"/>
      <c r="D81" s="1"/>
      <c r="E81" s="1"/>
      <c r="F81" s="1"/>
      <c r="G81" s="7">
        <v>0.33800000000000002</v>
      </c>
      <c r="H81" s="1" t="s">
        <v>109</v>
      </c>
      <c r="I81" s="1" t="s">
        <v>27</v>
      </c>
      <c r="J81" s="1"/>
      <c r="K81" s="1">
        <v>20</v>
      </c>
      <c r="L81" s="1">
        <f t="shared" si="14"/>
        <v>-20</v>
      </c>
      <c r="M81" s="1"/>
      <c r="N81" s="1"/>
      <c r="O81" s="1">
        <v>200</v>
      </c>
      <c r="P81" s="1">
        <f t="shared" si="15"/>
        <v>0</v>
      </c>
      <c r="Q81" s="5"/>
      <c r="R81" s="15">
        <v>100</v>
      </c>
      <c r="S81" s="1" t="e">
        <f t="shared" si="16"/>
        <v>#DIV/0!</v>
      </c>
      <c r="T81" s="1" t="e">
        <f t="shared" si="17"/>
        <v>#DIV/0!</v>
      </c>
      <c r="U81" s="1">
        <v>0</v>
      </c>
      <c r="V81" s="1"/>
      <c r="W81" s="1">
        <f t="shared" ref="W81:W95" si="20">G81*Q81</f>
        <v>0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1" t="s">
        <v>110</v>
      </c>
      <c r="B82" s="1" t="s">
        <v>29</v>
      </c>
      <c r="C82" s="1"/>
      <c r="D82" s="1"/>
      <c r="E82" s="1"/>
      <c r="F82" s="1"/>
      <c r="G82" s="7">
        <v>0.32500000000000001</v>
      </c>
      <c r="H82" s="1" t="s">
        <v>109</v>
      </c>
      <c r="I82" s="1" t="s">
        <v>27</v>
      </c>
      <c r="J82" s="1"/>
      <c r="K82" s="1">
        <v>60</v>
      </c>
      <c r="L82" s="1">
        <f t="shared" si="14"/>
        <v>-60</v>
      </c>
      <c r="M82" s="1"/>
      <c r="N82" s="1"/>
      <c r="O82" s="1">
        <v>200</v>
      </c>
      <c r="P82" s="1">
        <f t="shared" si="15"/>
        <v>0</v>
      </c>
      <c r="Q82" s="5"/>
      <c r="R82" s="15">
        <v>100</v>
      </c>
      <c r="S82" s="1" t="e">
        <f t="shared" si="16"/>
        <v>#DIV/0!</v>
      </c>
      <c r="T82" s="1" t="e">
        <f t="shared" si="17"/>
        <v>#DIV/0!</v>
      </c>
      <c r="U82" s="1">
        <v>0</v>
      </c>
      <c r="V82" s="1"/>
      <c r="W82" s="1">
        <f t="shared" si="20"/>
        <v>0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1" t="s">
        <v>111</v>
      </c>
      <c r="B83" s="1" t="s">
        <v>29</v>
      </c>
      <c r="C83" s="1">
        <v>32</v>
      </c>
      <c r="D83" s="1">
        <v>328</v>
      </c>
      <c r="E83" s="1">
        <v>81</v>
      </c>
      <c r="F83" s="1">
        <v>269</v>
      </c>
      <c r="G83" s="7">
        <v>0.12</v>
      </c>
      <c r="H83" s="1">
        <v>60</v>
      </c>
      <c r="I83" s="1" t="s">
        <v>27</v>
      </c>
      <c r="J83" s="1"/>
      <c r="K83" s="1">
        <v>119</v>
      </c>
      <c r="L83" s="1">
        <f t="shared" si="14"/>
        <v>-38</v>
      </c>
      <c r="M83" s="1"/>
      <c r="N83" s="1"/>
      <c r="O83" s="1">
        <v>70</v>
      </c>
      <c r="P83" s="1">
        <f t="shared" si="15"/>
        <v>16.2</v>
      </c>
      <c r="Q83" s="5"/>
      <c r="R83" s="15"/>
      <c r="S83" s="1">
        <f t="shared" si="16"/>
        <v>20.925925925925927</v>
      </c>
      <c r="T83" s="1">
        <f t="shared" si="17"/>
        <v>20.925925925925927</v>
      </c>
      <c r="U83" s="1">
        <v>0</v>
      </c>
      <c r="V83" s="1"/>
      <c r="W83" s="1">
        <f t="shared" si="20"/>
        <v>0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1" t="s">
        <v>112</v>
      </c>
      <c r="B84" s="1" t="s">
        <v>29</v>
      </c>
      <c r="C84" s="1"/>
      <c r="D84" s="1"/>
      <c r="E84" s="1"/>
      <c r="F84" s="1"/>
      <c r="G84" s="7">
        <v>0.15</v>
      </c>
      <c r="H84" s="1">
        <v>90</v>
      </c>
      <c r="I84" s="1" t="s">
        <v>27</v>
      </c>
      <c r="J84" s="1"/>
      <c r="K84" s="1">
        <v>31</v>
      </c>
      <c r="L84" s="1">
        <f t="shared" si="14"/>
        <v>-31</v>
      </c>
      <c r="M84" s="1"/>
      <c r="N84" s="1"/>
      <c r="O84" s="1">
        <v>200</v>
      </c>
      <c r="P84" s="1">
        <f t="shared" si="15"/>
        <v>0</v>
      </c>
      <c r="Q84" s="5"/>
      <c r="R84" s="15">
        <v>150</v>
      </c>
      <c r="S84" s="1" t="e">
        <f t="shared" si="16"/>
        <v>#DIV/0!</v>
      </c>
      <c r="T84" s="1" t="e">
        <f t="shared" si="17"/>
        <v>#DIV/0!</v>
      </c>
      <c r="U84" s="1">
        <v>0</v>
      </c>
      <c r="V84" s="1"/>
      <c r="W84" s="1">
        <f t="shared" si="20"/>
        <v>0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1" t="s">
        <v>113</v>
      </c>
      <c r="B85" s="1" t="s">
        <v>29</v>
      </c>
      <c r="C85" s="1"/>
      <c r="D85" s="1"/>
      <c r="E85" s="1"/>
      <c r="F85" s="1"/>
      <c r="G85" s="7">
        <v>0.15</v>
      </c>
      <c r="H85" s="1">
        <v>90</v>
      </c>
      <c r="I85" s="1" t="s">
        <v>27</v>
      </c>
      <c r="J85" s="1"/>
      <c r="K85" s="1">
        <v>37</v>
      </c>
      <c r="L85" s="1">
        <f t="shared" si="14"/>
        <v>-37</v>
      </c>
      <c r="M85" s="1"/>
      <c r="N85" s="1"/>
      <c r="O85" s="1">
        <v>70</v>
      </c>
      <c r="P85" s="1">
        <f t="shared" si="15"/>
        <v>0</v>
      </c>
      <c r="Q85" s="5"/>
      <c r="R85" s="15">
        <v>250</v>
      </c>
      <c r="S85" s="1" t="e">
        <f t="shared" si="16"/>
        <v>#DIV/0!</v>
      </c>
      <c r="T85" s="1" t="e">
        <f t="shared" si="17"/>
        <v>#DIV/0!</v>
      </c>
      <c r="U85" s="1">
        <v>0</v>
      </c>
      <c r="V85" s="1"/>
      <c r="W85" s="1">
        <f t="shared" si="20"/>
        <v>0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1" t="s">
        <v>106</v>
      </c>
      <c r="B86" s="1" t="s">
        <v>29</v>
      </c>
      <c r="C86" s="1">
        <v>72</v>
      </c>
      <c r="D86" s="1">
        <v>39</v>
      </c>
      <c r="E86" s="1">
        <v>32</v>
      </c>
      <c r="F86" s="1">
        <v>71</v>
      </c>
      <c r="G86" s="7">
        <v>0.33</v>
      </c>
      <c r="H86" s="1">
        <v>30</v>
      </c>
      <c r="I86" s="1" t="s">
        <v>27</v>
      </c>
      <c r="J86" s="1"/>
      <c r="K86" s="1">
        <v>52</v>
      </c>
      <c r="L86" s="1">
        <f t="shared" si="14"/>
        <v>-20</v>
      </c>
      <c r="M86" s="1"/>
      <c r="N86" s="1"/>
      <c r="O86" s="1">
        <v>77</v>
      </c>
      <c r="P86" s="1">
        <f t="shared" si="15"/>
        <v>6.4</v>
      </c>
      <c r="Q86" s="5"/>
      <c r="R86" s="15"/>
      <c r="S86" s="1">
        <f t="shared" si="16"/>
        <v>23.125</v>
      </c>
      <c r="T86" s="1">
        <f t="shared" si="17"/>
        <v>23.125</v>
      </c>
      <c r="U86" s="1">
        <v>0</v>
      </c>
      <c r="V86" s="13" t="s">
        <v>34</v>
      </c>
      <c r="W86" s="1">
        <f t="shared" si="20"/>
        <v>0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1" t="s">
        <v>114</v>
      </c>
      <c r="B87" s="1" t="s">
        <v>29</v>
      </c>
      <c r="C87" s="1"/>
      <c r="D87" s="1"/>
      <c r="E87" s="1"/>
      <c r="F87" s="1"/>
      <c r="G87" s="7">
        <v>0.15</v>
      </c>
      <c r="H87" s="1">
        <v>60</v>
      </c>
      <c r="I87" s="1" t="s">
        <v>27</v>
      </c>
      <c r="J87" s="1"/>
      <c r="K87" s="1">
        <v>43</v>
      </c>
      <c r="L87" s="1">
        <f t="shared" si="14"/>
        <v>-43</v>
      </c>
      <c r="M87" s="1"/>
      <c r="N87" s="1"/>
      <c r="O87" s="1">
        <v>200</v>
      </c>
      <c r="P87" s="1">
        <f t="shared" si="15"/>
        <v>0</v>
      </c>
      <c r="Q87" s="5"/>
      <c r="R87" s="15">
        <v>300</v>
      </c>
      <c r="S87" s="1" t="e">
        <f t="shared" si="16"/>
        <v>#DIV/0!</v>
      </c>
      <c r="T87" s="1" t="e">
        <f t="shared" si="17"/>
        <v>#DIV/0!</v>
      </c>
      <c r="U87" s="1">
        <v>0</v>
      </c>
      <c r="V87" s="1"/>
      <c r="W87" s="1">
        <f t="shared" si="20"/>
        <v>0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1" t="s">
        <v>115</v>
      </c>
      <c r="B88" s="1" t="s">
        <v>29</v>
      </c>
      <c r="C88" s="1"/>
      <c r="D88" s="1"/>
      <c r="E88" s="1"/>
      <c r="F88" s="1"/>
      <c r="G88" s="7">
        <v>0.26</v>
      </c>
      <c r="H88" s="1">
        <v>45</v>
      </c>
      <c r="I88" s="1" t="s">
        <v>27</v>
      </c>
      <c r="J88" s="1"/>
      <c r="K88" s="1">
        <v>63</v>
      </c>
      <c r="L88" s="1">
        <f t="shared" si="14"/>
        <v>-63</v>
      </c>
      <c r="M88" s="1"/>
      <c r="N88" s="1"/>
      <c r="O88" s="1">
        <v>200</v>
      </c>
      <c r="P88" s="1">
        <f t="shared" si="15"/>
        <v>0</v>
      </c>
      <c r="Q88" s="5"/>
      <c r="R88" s="15"/>
      <c r="S88" s="1" t="e">
        <f t="shared" si="16"/>
        <v>#DIV/0!</v>
      </c>
      <c r="T88" s="1" t="e">
        <f t="shared" si="17"/>
        <v>#DIV/0!</v>
      </c>
      <c r="U88" s="1">
        <v>0</v>
      </c>
      <c r="V88" s="1"/>
      <c r="W88" s="1">
        <f t="shared" si="20"/>
        <v>0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1" t="s">
        <v>116</v>
      </c>
      <c r="B89" s="1" t="s">
        <v>26</v>
      </c>
      <c r="C89" s="1"/>
      <c r="D89" s="1"/>
      <c r="E89" s="1"/>
      <c r="F89" s="1"/>
      <c r="G89" s="7">
        <v>1</v>
      </c>
      <c r="H89" s="1">
        <v>30</v>
      </c>
      <c r="I89" s="1" t="s">
        <v>27</v>
      </c>
      <c r="J89" s="1"/>
      <c r="K89" s="1"/>
      <c r="L89" s="1">
        <f t="shared" si="14"/>
        <v>0</v>
      </c>
      <c r="M89" s="1"/>
      <c r="N89" s="1"/>
      <c r="O89" s="1">
        <v>50</v>
      </c>
      <c r="P89" s="1">
        <f t="shared" si="15"/>
        <v>0</v>
      </c>
      <c r="Q89" s="5"/>
      <c r="R89" s="15">
        <v>50</v>
      </c>
      <c r="S89" s="1" t="e">
        <f t="shared" si="16"/>
        <v>#DIV/0!</v>
      </c>
      <c r="T89" s="1" t="e">
        <f t="shared" si="17"/>
        <v>#DIV/0!</v>
      </c>
      <c r="U89" s="1">
        <v>0</v>
      </c>
      <c r="V89" s="1"/>
      <c r="W89" s="1">
        <f t="shared" si="20"/>
        <v>0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1" t="s">
        <v>117</v>
      </c>
      <c r="B90" s="1" t="s">
        <v>29</v>
      </c>
      <c r="C90" s="1"/>
      <c r="D90" s="1"/>
      <c r="E90" s="1"/>
      <c r="F90" s="1"/>
      <c r="G90" s="7">
        <v>0.31</v>
      </c>
      <c r="H90" s="1">
        <v>45</v>
      </c>
      <c r="I90" s="1" t="s">
        <v>27</v>
      </c>
      <c r="J90" s="1"/>
      <c r="K90" s="1">
        <v>54</v>
      </c>
      <c r="L90" s="1">
        <f t="shared" ref="L90:L103" si="21">E90-K90</f>
        <v>-54</v>
      </c>
      <c r="M90" s="1"/>
      <c r="N90" s="1"/>
      <c r="O90" s="1">
        <v>115</v>
      </c>
      <c r="P90" s="1">
        <f t="shared" si="15"/>
        <v>0</v>
      </c>
      <c r="Q90" s="5"/>
      <c r="R90" s="15">
        <v>200</v>
      </c>
      <c r="S90" s="1" t="e">
        <f t="shared" si="16"/>
        <v>#DIV/0!</v>
      </c>
      <c r="T90" s="1" t="e">
        <f t="shared" si="17"/>
        <v>#DIV/0!</v>
      </c>
      <c r="U90" s="1">
        <v>0</v>
      </c>
      <c r="V90" s="1"/>
      <c r="W90" s="1">
        <f t="shared" si="20"/>
        <v>0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1" t="s">
        <v>118</v>
      </c>
      <c r="B91" s="1" t="s">
        <v>26</v>
      </c>
      <c r="C91" s="1"/>
      <c r="D91" s="1"/>
      <c r="E91" s="1"/>
      <c r="F91" s="1"/>
      <c r="G91" s="7">
        <v>1</v>
      </c>
      <c r="H91" s="1">
        <v>30</v>
      </c>
      <c r="I91" s="1" t="s">
        <v>27</v>
      </c>
      <c r="J91" s="1"/>
      <c r="K91" s="1"/>
      <c r="L91" s="1">
        <f t="shared" si="21"/>
        <v>0</v>
      </c>
      <c r="M91" s="1"/>
      <c r="N91" s="1"/>
      <c r="O91" s="1">
        <v>50</v>
      </c>
      <c r="P91" s="1">
        <f t="shared" si="15"/>
        <v>0</v>
      </c>
      <c r="Q91" s="5"/>
      <c r="R91" s="15">
        <v>50</v>
      </c>
      <c r="S91" s="1" t="e">
        <f t="shared" si="16"/>
        <v>#DIV/0!</v>
      </c>
      <c r="T91" s="1" t="e">
        <f t="shared" si="17"/>
        <v>#DIV/0!</v>
      </c>
      <c r="U91" s="1">
        <v>0</v>
      </c>
      <c r="V91" s="1"/>
      <c r="W91" s="1">
        <f t="shared" si="20"/>
        <v>0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1" t="s">
        <v>119</v>
      </c>
      <c r="B92" s="1" t="s">
        <v>29</v>
      </c>
      <c r="C92" s="1">
        <v>132</v>
      </c>
      <c r="D92" s="1">
        <v>47</v>
      </c>
      <c r="E92" s="1">
        <v>100</v>
      </c>
      <c r="F92" s="1">
        <v>66</v>
      </c>
      <c r="G92" s="7">
        <v>0.4</v>
      </c>
      <c r="H92" s="1">
        <v>60</v>
      </c>
      <c r="I92" s="1" t="s">
        <v>27</v>
      </c>
      <c r="J92" s="1"/>
      <c r="K92" s="1">
        <v>112</v>
      </c>
      <c r="L92" s="1">
        <f t="shared" si="21"/>
        <v>-12</v>
      </c>
      <c r="M92" s="1"/>
      <c r="N92" s="1"/>
      <c r="O92" s="1">
        <v>200</v>
      </c>
      <c r="P92" s="1">
        <f t="shared" si="15"/>
        <v>20</v>
      </c>
      <c r="Q92" s="5">
        <f t="shared" si="19"/>
        <v>34</v>
      </c>
      <c r="R92" s="15"/>
      <c r="S92" s="1">
        <f t="shared" si="16"/>
        <v>15</v>
      </c>
      <c r="T92" s="1">
        <f t="shared" si="17"/>
        <v>13.3</v>
      </c>
      <c r="U92" s="1">
        <v>0</v>
      </c>
      <c r="V92" s="1"/>
      <c r="W92" s="1">
        <f t="shared" si="20"/>
        <v>13.600000000000001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1" t="s">
        <v>120</v>
      </c>
      <c r="B93" s="1" t="s">
        <v>29</v>
      </c>
      <c r="C93" s="1"/>
      <c r="D93" s="1">
        <v>56</v>
      </c>
      <c r="E93" s="1">
        <v>35</v>
      </c>
      <c r="F93" s="1">
        <v>20</v>
      </c>
      <c r="G93" s="7">
        <v>0.35</v>
      </c>
      <c r="H93" s="1">
        <v>60</v>
      </c>
      <c r="I93" s="1" t="s">
        <v>27</v>
      </c>
      <c r="J93" s="1"/>
      <c r="K93" s="1">
        <v>39</v>
      </c>
      <c r="L93" s="1">
        <f t="shared" si="21"/>
        <v>-4</v>
      </c>
      <c r="M93" s="1"/>
      <c r="N93" s="1"/>
      <c r="O93" s="1">
        <v>0</v>
      </c>
      <c r="P93" s="1">
        <f t="shared" si="15"/>
        <v>7</v>
      </c>
      <c r="Q93" s="5">
        <f>13*P93-O93-F93</f>
        <v>71</v>
      </c>
      <c r="R93" s="15"/>
      <c r="S93" s="1">
        <f t="shared" si="16"/>
        <v>13</v>
      </c>
      <c r="T93" s="1">
        <f t="shared" si="17"/>
        <v>2.8571428571428572</v>
      </c>
      <c r="U93" s="1">
        <v>0</v>
      </c>
      <c r="V93" s="1"/>
      <c r="W93" s="1">
        <f t="shared" si="20"/>
        <v>24.849999999999998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1" t="s">
        <v>121</v>
      </c>
      <c r="B94" s="1" t="s">
        <v>26</v>
      </c>
      <c r="C94" s="1">
        <v>52.542000000000002</v>
      </c>
      <c r="D94" s="1">
        <v>0.314</v>
      </c>
      <c r="E94" s="1">
        <v>15.609</v>
      </c>
      <c r="F94" s="1">
        <v>33.783000000000001</v>
      </c>
      <c r="G94" s="7">
        <v>1</v>
      </c>
      <c r="H94" s="1">
        <v>45</v>
      </c>
      <c r="I94" s="1" t="s">
        <v>27</v>
      </c>
      <c r="J94" s="1"/>
      <c r="K94" s="1">
        <v>16</v>
      </c>
      <c r="L94" s="1">
        <f t="shared" si="21"/>
        <v>-0.39100000000000001</v>
      </c>
      <c r="M94" s="1"/>
      <c r="N94" s="1"/>
      <c r="O94" s="1">
        <v>100</v>
      </c>
      <c r="P94" s="1">
        <f t="shared" si="15"/>
        <v>3.1217999999999999</v>
      </c>
      <c r="Q94" s="5"/>
      <c r="R94" s="15"/>
      <c r="S94" s="1">
        <f t="shared" si="16"/>
        <v>42.854442949580374</v>
      </c>
      <c r="T94" s="1">
        <f t="shared" si="17"/>
        <v>42.854442949580374</v>
      </c>
      <c r="U94" s="1">
        <v>0</v>
      </c>
      <c r="V94" s="13" t="s">
        <v>34</v>
      </c>
      <c r="W94" s="1">
        <f t="shared" si="20"/>
        <v>0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1" t="s">
        <v>122</v>
      </c>
      <c r="B95" s="1" t="s">
        <v>26</v>
      </c>
      <c r="C95" s="1"/>
      <c r="D95" s="1"/>
      <c r="E95" s="1"/>
      <c r="F95" s="1"/>
      <c r="G95" s="7">
        <v>1</v>
      </c>
      <c r="H95" s="1">
        <v>45</v>
      </c>
      <c r="I95" s="1" t="s">
        <v>27</v>
      </c>
      <c r="J95" s="1"/>
      <c r="K95" s="1">
        <v>31.88</v>
      </c>
      <c r="L95" s="1">
        <f t="shared" si="21"/>
        <v>-31.88</v>
      </c>
      <c r="M95" s="1"/>
      <c r="N95" s="1"/>
      <c r="O95" s="1">
        <v>0</v>
      </c>
      <c r="P95" s="1">
        <f t="shared" si="15"/>
        <v>0</v>
      </c>
      <c r="Q95" s="5">
        <v>30</v>
      </c>
      <c r="R95" s="15"/>
      <c r="S95" s="1" t="e">
        <f t="shared" si="16"/>
        <v>#DIV/0!</v>
      </c>
      <c r="T95" s="1" t="e">
        <f t="shared" si="17"/>
        <v>#DIV/0!</v>
      </c>
      <c r="U95" s="1">
        <v>0</v>
      </c>
      <c r="V95" s="1"/>
      <c r="W95" s="1">
        <f t="shared" si="20"/>
        <v>30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1" t="s">
        <v>123</v>
      </c>
      <c r="B96" s="1" t="s">
        <v>29</v>
      </c>
      <c r="C96" s="1"/>
      <c r="D96" s="1"/>
      <c r="E96" s="1"/>
      <c r="F96" s="1"/>
      <c r="G96" s="7">
        <v>0.33</v>
      </c>
      <c r="H96" s="1">
        <v>45</v>
      </c>
      <c r="I96" s="1" t="s">
        <v>27</v>
      </c>
      <c r="J96" s="1"/>
      <c r="K96" s="1">
        <v>105</v>
      </c>
      <c r="L96" s="1">
        <f t="shared" si="21"/>
        <v>-105</v>
      </c>
      <c r="M96" s="1"/>
      <c r="N96" s="1"/>
      <c r="O96" s="1">
        <v>200</v>
      </c>
      <c r="P96" s="1">
        <f t="shared" si="15"/>
        <v>0</v>
      </c>
      <c r="Q96" s="5"/>
      <c r="R96" s="15"/>
      <c r="S96" s="1" t="e">
        <f t="shared" si="16"/>
        <v>#DIV/0!</v>
      </c>
      <c r="T96" s="1" t="e">
        <f t="shared" si="17"/>
        <v>#DIV/0!</v>
      </c>
      <c r="U96" s="1">
        <v>0</v>
      </c>
      <c r="V96" s="1"/>
      <c r="W96" s="1">
        <f t="shared" ref="W96:W102" si="22">G96*Q96</f>
        <v>0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1" t="s">
        <v>124</v>
      </c>
      <c r="B97" s="1" t="s">
        <v>29</v>
      </c>
      <c r="C97" s="1"/>
      <c r="D97" s="1">
        <v>1</v>
      </c>
      <c r="E97" s="1">
        <v>1</v>
      </c>
      <c r="F97" s="1">
        <v>-1</v>
      </c>
      <c r="G97" s="7">
        <v>0.1</v>
      </c>
      <c r="H97" s="1">
        <v>60</v>
      </c>
      <c r="I97" s="1" t="s">
        <v>27</v>
      </c>
      <c r="J97" s="1"/>
      <c r="K97" s="1">
        <v>127</v>
      </c>
      <c r="L97" s="1">
        <f t="shared" si="21"/>
        <v>-126</v>
      </c>
      <c r="M97" s="1"/>
      <c r="N97" s="1"/>
      <c r="O97" s="1">
        <v>150</v>
      </c>
      <c r="P97" s="1">
        <f t="shared" si="15"/>
        <v>0.2</v>
      </c>
      <c r="Q97" s="5"/>
      <c r="R97" s="15"/>
      <c r="S97" s="1">
        <f t="shared" si="16"/>
        <v>745</v>
      </c>
      <c r="T97" s="1">
        <f t="shared" si="17"/>
        <v>745</v>
      </c>
      <c r="U97" s="1">
        <v>0</v>
      </c>
      <c r="V97" s="1"/>
      <c r="W97" s="1">
        <f t="shared" si="22"/>
        <v>0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1" t="s">
        <v>58</v>
      </c>
      <c r="B98" s="1" t="s">
        <v>29</v>
      </c>
      <c r="C98" s="1"/>
      <c r="D98" s="1">
        <v>1</v>
      </c>
      <c r="E98" s="1">
        <v>1</v>
      </c>
      <c r="F98" s="1">
        <v>-1</v>
      </c>
      <c r="G98" s="7">
        <v>0.1</v>
      </c>
      <c r="H98" s="1">
        <v>60</v>
      </c>
      <c r="I98" s="1" t="s">
        <v>27</v>
      </c>
      <c r="J98" s="1"/>
      <c r="K98" s="1">
        <v>202</v>
      </c>
      <c r="L98" s="1">
        <f t="shared" si="21"/>
        <v>-201</v>
      </c>
      <c r="M98" s="1"/>
      <c r="N98" s="1"/>
      <c r="O98" s="1">
        <v>100</v>
      </c>
      <c r="P98" s="1">
        <f t="shared" si="15"/>
        <v>0.2</v>
      </c>
      <c r="Q98" s="5"/>
      <c r="R98" s="15"/>
      <c r="S98" s="1">
        <f t="shared" si="16"/>
        <v>495</v>
      </c>
      <c r="T98" s="1">
        <f t="shared" si="17"/>
        <v>495</v>
      </c>
      <c r="U98" s="1">
        <v>0</v>
      </c>
      <c r="V98" s="1"/>
      <c r="W98" s="1">
        <f t="shared" si="22"/>
        <v>0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1" t="s">
        <v>125</v>
      </c>
      <c r="B99" s="1" t="s">
        <v>29</v>
      </c>
      <c r="C99" s="1">
        <v>168</v>
      </c>
      <c r="D99" s="1">
        <v>174</v>
      </c>
      <c r="E99" s="1">
        <v>93</v>
      </c>
      <c r="F99" s="1">
        <v>229</v>
      </c>
      <c r="G99" s="7">
        <v>0.4</v>
      </c>
      <c r="H99" s="1">
        <v>60</v>
      </c>
      <c r="I99" s="1" t="s">
        <v>27</v>
      </c>
      <c r="J99" s="1"/>
      <c r="K99" s="1">
        <v>111</v>
      </c>
      <c r="L99" s="1">
        <f t="shared" si="21"/>
        <v>-18</v>
      </c>
      <c r="M99" s="1"/>
      <c r="N99" s="1"/>
      <c r="O99" s="1">
        <v>55</v>
      </c>
      <c r="P99" s="1">
        <f t="shared" si="15"/>
        <v>18.600000000000001</v>
      </c>
      <c r="Q99" s="5"/>
      <c r="R99" s="15"/>
      <c r="S99" s="1">
        <f t="shared" si="16"/>
        <v>15.268817204301074</v>
      </c>
      <c r="T99" s="1">
        <f t="shared" si="17"/>
        <v>15.268817204301074</v>
      </c>
      <c r="U99" s="1">
        <v>0</v>
      </c>
      <c r="V99" s="1"/>
      <c r="W99" s="1">
        <f t="shared" si="22"/>
        <v>0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1" t="s">
        <v>126</v>
      </c>
      <c r="B100" s="1" t="s">
        <v>29</v>
      </c>
      <c r="C100" s="1">
        <v>56</v>
      </c>
      <c r="D100" s="1"/>
      <c r="E100" s="1">
        <v>4</v>
      </c>
      <c r="F100" s="1">
        <v>52</v>
      </c>
      <c r="G100" s="7">
        <v>0.1</v>
      </c>
      <c r="H100" s="1"/>
      <c r="I100" s="1" t="s">
        <v>134</v>
      </c>
      <c r="J100" s="1"/>
      <c r="K100" s="1">
        <v>4</v>
      </c>
      <c r="L100" s="1">
        <f t="shared" si="21"/>
        <v>0</v>
      </c>
      <c r="M100" s="1"/>
      <c r="N100" s="1"/>
      <c r="O100" s="1">
        <v>0</v>
      </c>
      <c r="P100" s="1">
        <f t="shared" si="15"/>
        <v>0.8</v>
      </c>
      <c r="Q100" s="5"/>
      <c r="R100" s="15">
        <v>150</v>
      </c>
      <c r="S100" s="1">
        <f t="shared" si="16"/>
        <v>65</v>
      </c>
      <c r="T100" s="1">
        <f t="shared" si="17"/>
        <v>65</v>
      </c>
      <c r="U100" s="1">
        <v>0</v>
      </c>
      <c r="V100" s="14" t="s">
        <v>30</v>
      </c>
      <c r="W100" s="1">
        <f t="shared" si="22"/>
        <v>0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1" t="s">
        <v>127</v>
      </c>
      <c r="B101" s="1" t="s">
        <v>29</v>
      </c>
      <c r="C101" s="1">
        <v>56</v>
      </c>
      <c r="D101" s="1"/>
      <c r="E101" s="1">
        <v>4</v>
      </c>
      <c r="F101" s="1">
        <v>52</v>
      </c>
      <c r="G101" s="7">
        <v>0.1</v>
      </c>
      <c r="H101" s="1"/>
      <c r="I101" s="1" t="s">
        <v>135</v>
      </c>
      <c r="J101" s="1"/>
      <c r="K101" s="1">
        <v>4</v>
      </c>
      <c r="L101" s="1">
        <f t="shared" si="21"/>
        <v>0</v>
      </c>
      <c r="M101" s="1"/>
      <c r="N101" s="1"/>
      <c r="O101" s="1">
        <v>4</v>
      </c>
      <c r="P101" s="1">
        <f t="shared" si="15"/>
        <v>0.8</v>
      </c>
      <c r="Q101" s="5"/>
      <c r="R101" s="15">
        <v>150</v>
      </c>
      <c r="S101" s="1">
        <f t="shared" si="16"/>
        <v>70</v>
      </c>
      <c r="T101" s="1">
        <f t="shared" si="17"/>
        <v>70</v>
      </c>
      <c r="U101" s="1">
        <v>0</v>
      </c>
      <c r="V101" s="14" t="s">
        <v>30</v>
      </c>
      <c r="W101" s="1">
        <f t="shared" si="22"/>
        <v>0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1" t="s">
        <v>128</v>
      </c>
      <c r="B102" s="1" t="s">
        <v>29</v>
      </c>
      <c r="C102" s="1">
        <v>56</v>
      </c>
      <c r="D102" s="1">
        <v>4</v>
      </c>
      <c r="E102" s="1">
        <v>25</v>
      </c>
      <c r="F102" s="1">
        <v>31</v>
      </c>
      <c r="G102" s="7">
        <v>0.3</v>
      </c>
      <c r="H102" s="1">
        <v>45</v>
      </c>
      <c r="I102" s="1" t="s">
        <v>27</v>
      </c>
      <c r="J102" s="1"/>
      <c r="K102" s="1">
        <v>31</v>
      </c>
      <c r="L102" s="1">
        <f t="shared" si="21"/>
        <v>-6</v>
      </c>
      <c r="M102" s="1"/>
      <c r="N102" s="1"/>
      <c r="O102" s="1">
        <v>150</v>
      </c>
      <c r="P102" s="1">
        <f t="shared" si="15"/>
        <v>5</v>
      </c>
      <c r="Q102" s="5"/>
      <c r="R102" s="15">
        <v>150</v>
      </c>
      <c r="S102" s="1">
        <f t="shared" si="16"/>
        <v>36.200000000000003</v>
      </c>
      <c r="T102" s="1">
        <f t="shared" si="17"/>
        <v>36.200000000000003</v>
      </c>
      <c r="U102" s="1">
        <v>0</v>
      </c>
      <c r="V102" s="13" t="s">
        <v>34</v>
      </c>
      <c r="W102" s="1">
        <f t="shared" si="22"/>
        <v>0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12" t="s">
        <v>130</v>
      </c>
      <c r="B103" s="9" t="s">
        <v>26</v>
      </c>
      <c r="C103" s="9"/>
      <c r="D103" s="9"/>
      <c r="E103" s="9"/>
      <c r="F103" s="9"/>
      <c r="G103" s="10">
        <v>0</v>
      </c>
      <c r="H103" s="9"/>
      <c r="I103" s="9" t="s">
        <v>27</v>
      </c>
      <c r="J103" s="9"/>
      <c r="K103" s="9"/>
      <c r="L103" s="9">
        <f t="shared" si="21"/>
        <v>0</v>
      </c>
      <c r="M103" s="9"/>
      <c r="N103" s="9"/>
      <c r="O103" s="9">
        <v>0</v>
      </c>
      <c r="P103" s="9">
        <f t="shared" si="15"/>
        <v>0</v>
      </c>
      <c r="Q103" s="11"/>
      <c r="R103" s="16"/>
      <c r="S103" s="9" t="e">
        <f t="shared" si="16"/>
        <v>#DIV/0!</v>
      </c>
      <c r="T103" s="9" t="e">
        <f t="shared" si="17"/>
        <v>#DIV/0!</v>
      </c>
      <c r="U103" s="9">
        <v>0</v>
      </c>
      <c r="V103" s="9" t="s">
        <v>79</v>
      </c>
      <c r="W103" s="9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</sheetData>
  <autoFilter ref="A3:W103" xr:uid="{4B0267E4-6AF9-4427-9CA6-663384F84C0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2026-09-28T10:31:34Z</dcterms:created>
  <dcterms:modified xsi:type="dcterms:W3CDTF">2026-09-30T12:53:51Z</dcterms:modified>
</cp:coreProperties>
</file>