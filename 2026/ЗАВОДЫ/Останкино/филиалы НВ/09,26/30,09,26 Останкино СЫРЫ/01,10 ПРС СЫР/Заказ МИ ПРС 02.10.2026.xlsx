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720" yWindow="0" windowWidth="22320" windowHeight="9780"/>
  </bookViews>
  <sheets>
    <sheet name="заказ" sheetId="3" r:id="rId1"/>
  </sheet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6" i="3" l="1"/>
  <c r="E15" i="3"/>
  <c r="E14" i="3"/>
  <c r="E13" i="3"/>
  <c r="E12" i="3"/>
  <c r="E11" i="3"/>
  <c r="E10" i="3"/>
  <c r="E9" i="3"/>
  <c r="E8" i="3"/>
  <c r="E7" i="3"/>
  <c r="E6" i="3"/>
  <c r="E5" i="3"/>
  <c r="E4" i="3"/>
  <c r="E3" i="3"/>
</calcChain>
</file>

<file path=xl/sharedStrings.xml><?xml version="1.0" encoding="utf-8"?>
<sst xmlns="http://schemas.openxmlformats.org/spreadsheetml/2006/main" count="33" uniqueCount="33">
  <si>
    <t>Код ЦБ</t>
  </si>
  <si>
    <t>Штрих код</t>
  </si>
  <si>
    <t>Итого</t>
  </si>
  <si>
    <t>Товар.Период: 21.09.2026 - 01.10.2026</t>
  </si>
  <si>
    <t>Заказ утвержден</t>
  </si>
  <si>
    <t>кол-во</t>
  </si>
  <si>
    <t>Майонез провансаль классический 67% ТМ ПАПА МОЖЕТ 372г дой-пак с дозатором</t>
  </si>
  <si>
    <t>1-00380091</t>
  </si>
  <si>
    <t>Майонез провансаль классический оливковый 67%ТМ ПАПА МОЖЕТ 372г дой-пак с дозатором</t>
  </si>
  <si>
    <t>1-00380092</t>
  </si>
  <si>
    <t>Сыр ПАПА МОЖЕТ "Гауда Голд" 45 % 180 гр (10шт)</t>
  </si>
  <si>
    <t>1-00007473</t>
  </si>
  <si>
    <t>Сыр ПАПА МОЖЕТ "Голландский традиционный" 45% 180 гр (10шт)</t>
  </si>
  <si>
    <t>1-00007474</t>
  </si>
  <si>
    <t>Сыр ПАПА МОЖЕТ "Министерский" фас.мдж 45% 180 гр</t>
  </si>
  <si>
    <t>1-00381514</t>
  </si>
  <si>
    <t>Сыр плавленый "С ветчиной" 45% ТМ Папа может 180гр</t>
  </si>
  <si>
    <t>1-00016409</t>
  </si>
  <si>
    <t>Сыр плавленый "С грибами" 45% ТМ Папа может 180гр</t>
  </si>
  <si>
    <t>1-00016422</t>
  </si>
  <si>
    <t>Сыр плавленый "Сливочный" 45% ТМ Папа может 180гр</t>
  </si>
  <si>
    <t>1-00016408</t>
  </si>
  <si>
    <t>Сыр плавленый колбасный копченый 40% ТМ Папа Может 400г</t>
  </si>
  <si>
    <t>1-00015995</t>
  </si>
  <si>
    <t>Сыр Российский традиционный 45% ТМ Папа Может 180г</t>
  </si>
  <si>
    <t>1-00015893</t>
  </si>
  <si>
    <t>Сыр Творожный с Зеленью 60% ТМ Папа Может 140г</t>
  </si>
  <si>
    <t>1-00015940</t>
  </si>
  <si>
    <t>Сыр Творожный Сливочный 60% ТМ Папа может 140г</t>
  </si>
  <si>
    <t>1-00015913</t>
  </si>
  <si>
    <t>Сыр Тильзитер 45% ТМ Папа Может 180г</t>
  </si>
  <si>
    <t>1-00015994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</si>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</sst>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_ ;[Red]\-#,##0\ "/>
  </numFmts>
  <fonts count="8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sz val="10"/>
      <name val="Arial"/>
      <family val="2"/>
    </font>
    <font>
      <sz val="9"/>
      <color theme="1"/>
      <name val="Calibri"/>
      <family val="2"/>
      <charset val="204"/>
      <scheme val="minor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sz val="10"/>
      <name val="Calibri"/>
      <family val="2"/>
      <scheme val="minor"/>
    </font>
    <font>
      <b/>
      <sz val="11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4574A0"/>
        <bgColor auto="1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BDC7EB"/>
      </top>
      <bottom style="thin">
        <color rgb="FFBDC7EB"/>
      </bottom>
      <diagonal/>
    </border>
    <border>
      <left style="thin">
        <color rgb="FFBDC7EB"/>
      </left>
      <right style="thin">
        <color rgb="FFBDC7EB"/>
      </right>
      <top style="thin">
        <color rgb="FFBDC7EB"/>
      </top>
      <bottom/>
      <diagonal/>
    </border>
    <border>
      <left style="thin">
        <color rgb="FFCCC085"/>
      </left>
      <right/>
      <top/>
      <bottom style="thin">
        <color rgb="FFCCC085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/>
    </xf>
    <xf numFmtId="164" fontId="4" fillId="3" borderId="4" xfId="0" applyNumberFormat="1" applyFont="1" applyFill="1" applyBorder="1" applyAlignment="1">
      <alignment horizontal="center" vertical="top" wrapText="1"/>
    </xf>
    <xf numFmtId="164" fontId="5" fillId="3" borderId="5" xfId="0" applyNumberFormat="1" applyFont="1" applyFill="1" applyBorder="1" applyAlignment="1">
      <alignment horizontal="left" vertical="top" wrapText="1"/>
    </xf>
    <xf numFmtId="1" fontId="1" fillId="0" borderId="0" xfId="0" applyNumberFormat="1" applyFont="1" applyAlignment="1">
      <alignment horizontal="right" vertical="top" wrapText="1"/>
    </xf>
    <xf numFmtId="3" fontId="6" fillId="0" borderId="3" xfId="0" applyNumberFormat="1" applyFont="1" applyBorder="1"/>
    <xf numFmtId="1" fontId="0" fillId="0" borderId="0" xfId="0" applyNumberFormat="1" applyAlignment="1">
      <alignment horizontal="right" vertical="top" wrapText="1"/>
    </xf>
    <xf numFmtId="0" fontId="7" fillId="0" borderId="0" xfId="0" applyFont="1"/>
    <xf numFmtId="0" fontId="7" fillId="2" borderId="2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3" fontId="7" fillId="2" borderId="6" xfId="0" applyNumberFormat="1" applyFont="1" applyFill="1" applyBorder="1" applyAlignment="1">
      <alignment horizontal="right" vertical="top"/>
    </xf>
    <xf numFmtId="0" fontId="0" fillId="0" borderId="3" xfId="0" applyBorder="1"/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H17" sqref="H17"/>
    </sheetView>
  </sheetViews>
  <sheetFormatPr defaultColWidth="9" defaultRowHeight="14.4" x14ac:dyDescent="0.3"/>
  <cols>
    <col min="1" max="1" width="89.77734375" style="2" customWidth="1"/>
    <col min="2" max="2" width="14.109375" style="2" hidden="1" customWidth="1"/>
    <col min="3" max="3" width="13.33203125" style="2" customWidth="1"/>
  </cols>
  <sheetData>
    <row r="1" spans="1:5" ht="39.6" x14ac:dyDescent="0.3">
      <c r="A1" s="10" t="s">
        <v>3</v>
      </c>
      <c r="B1" s="12" t="s">
        <v>0</v>
      </c>
      <c r="C1" s="12" t="s">
        <v>1</v>
      </c>
      <c r="D1" s="3" t="s">
        <v>4</v>
      </c>
    </row>
    <row r="2" spans="1:5" x14ac:dyDescent="0.3">
      <c r="A2" s="11"/>
      <c r="B2" s="13"/>
      <c r="C2" s="13"/>
      <c r="D2" s="4" t="s">
        <v>5</v>
      </c>
      <c r="E2" s="4" t="s">
        <v>32</v>
      </c>
    </row>
    <row r="3" spans="1:5" x14ac:dyDescent="0.3">
      <c r="A3" t="s">
        <v>6</v>
      </c>
      <c r="B3" s="5" t="s">
        <v>7</v>
      </c>
      <c r="C3" s="1">
        <v>4607016948270</v>
      </c>
      <c r="D3" s="6">
        <v>300</v>
      </c>
      <c r="E3" s="15">
        <f>D3*0.372</f>
        <v>111.6</v>
      </c>
    </row>
    <row r="4" spans="1:5" x14ac:dyDescent="0.3">
      <c r="A4" t="s">
        <v>8</v>
      </c>
      <c r="B4" s="7" t="s">
        <v>9</v>
      </c>
      <c r="C4" s="1">
        <v>4607016948256</v>
      </c>
      <c r="D4" s="6">
        <v>180</v>
      </c>
      <c r="E4" s="15">
        <f>D4*0.372</f>
        <v>66.959999999999994</v>
      </c>
    </row>
    <row r="5" spans="1:5" x14ac:dyDescent="0.3">
      <c r="A5" t="s">
        <v>10</v>
      </c>
      <c r="B5" s="7" t="s">
        <v>11</v>
      </c>
      <c r="C5" s="1">
        <v>4811485038411</v>
      </c>
      <c r="D5" s="6">
        <v>540</v>
      </c>
      <c r="E5" s="15">
        <f>D5*0.18</f>
        <v>97.2</v>
      </c>
    </row>
    <row r="6" spans="1:5" x14ac:dyDescent="0.3">
      <c r="A6" t="s">
        <v>12</v>
      </c>
      <c r="B6" s="7" t="s">
        <v>13</v>
      </c>
      <c r="C6" s="1">
        <v>4811485038459</v>
      </c>
      <c r="D6" s="6">
        <v>540</v>
      </c>
      <c r="E6" s="15">
        <f>D6*0.18</f>
        <v>97.2</v>
      </c>
    </row>
    <row r="7" spans="1:5" x14ac:dyDescent="0.3">
      <c r="A7" t="s">
        <v>14</v>
      </c>
      <c r="B7" s="7" t="s">
        <v>15</v>
      </c>
      <c r="C7" s="1">
        <v>4811485038831</v>
      </c>
      <c r="D7" s="6">
        <v>360</v>
      </c>
      <c r="E7" s="15">
        <f>D7*0.18</f>
        <v>64.8</v>
      </c>
    </row>
    <row r="8" spans="1:5" x14ac:dyDescent="0.3">
      <c r="A8" t="s">
        <v>16</v>
      </c>
      <c r="B8" s="7" t="s">
        <v>17</v>
      </c>
      <c r="C8" s="1">
        <v>4607069988438</v>
      </c>
      <c r="D8" s="6">
        <v>120</v>
      </c>
      <c r="E8" s="15">
        <f>D8*0.18</f>
        <v>21.599999999999998</v>
      </c>
    </row>
    <row r="9" spans="1:5" x14ac:dyDescent="0.3">
      <c r="A9" t="s">
        <v>18</v>
      </c>
      <c r="B9" s="7" t="s">
        <v>19</v>
      </c>
      <c r="C9" s="1">
        <v>4607069988445</v>
      </c>
      <c r="D9" s="6">
        <v>180</v>
      </c>
      <c r="E9" s="15">
        <f>D9*0.18</f>
        <v>32.4</v>
      </c>
    </row>
    <row r="10" spans="1:5" x14ac:dyDescent="0.3">
      <c r="A10" t="s">
        <v>20</v>
      </c>
      <c r="B10" s="7" t="s">
        <v>21</v>
      </c>
      <c r="C10" s="1">
        <v>4607069988681</v>
      </c>
      <c r="D10" s="6">
        <v>300</v>
      </c>
      <c r="E10" s="15">
        <f>D10*0.18</f>
        <v>54</v>
      </c>
    </row>
    <row r="11" spans="1:5" x14ac:dyDescent="0.3">
      <c r="A11" t="s">
        <v>22</v>
      </c>
      <c r="B11" s="7" t="s">
        <v>23</v>
      </c>
      <c r="C11" s="1">
        <v>4607069988452</v>
      </c>
      <c r="D11" s="6">
        <v>360</v>
      </c>
      <c r="E11" s="15">
        <f>D11*0.4</f>
        <v>144</v>
      </c>
    </row>
    <row r="12" spans="1:5" x14ac:dyDescent="0.3">
      <c r="A12" t="s">
        <v>24</v>
      </c>
      <c r="B12" s="7" t="s">
        <v>25</v>
      </c>
      <c r="C12" s="1">
        <v>4811485038435</v>
      </c>
      <c r="D12" s="6">
        <v>600</v>
      </c>
      <c r="E12" s="15">
        <f>D12*0.18</f>
        <v>108</v>
      </c>
    </row>
    <row r="13" spans="1:5" x14ac:dyDescent="0.3">
      <c r="A13" t="s">
        <v>26</v>
      </c>
      <c r="B13" s="7" t="s">
        <v>27</v>
      </c>
      <c r="C13" s="1">
        <v>4607069988391</v>
      </c>
      <c r="D13" s="6">
        <v>120</v>
      </c>
      <c r="E13" s="15">
        <f>D13*0.14</f>
        <v>16.8</v>
      </c>
    </row>
    <row r="14" spans="1:5" x14ac:dyDescent="0.3">
      <c r="A14" t="s">
        <v>28</v>
      </c>
      <c r="B14" s="7" t="s">
        <v>29</v>
      </c>
      <c r="C14" s="1">
        <v>4607069988377</v>
      </c>
      <c r="D14" s="6">
        <v>120</v>
      </c>
      <c r="E14" s="15">
        <f>D14*0.14</f>
        <v>16.8</v>
      </c>
    </row>
    <row r="15" spans="1:5" x14ac:dyDescent="0.3">
      <c r="A15" t="s">
        <v>30</v>
      </c>
      <c r="B15" s="7" t="s">
        <v>31</v>
      </c>
      <c r="C15" s="1">
        <v>4811485038398</v>
      </c>
      <c r="D15" s="6">
        <v>360</v>
      </c>
      <c r="E15" s="15">
        <f>D15*0.18</f>
        <v>64.8</v>
      </c>
    </row>
    <row r="16" spans="1:5" s="8" customFormat="1" ht="13.8" x14ac:dyDescent="0.25">
      <c r="A16" s="9" t="s">
        <v>2</v>
      </c>
      <c r="B16" s="9"/>
      <c r="C16" s="9"/>
      <c r="D16" s="14">
        <v>4080</v>
      </c>
      <c r="E16" s="14">
        <f>SUM(E3:E15)</f>
        <v>896.15999999999985</v>
      </c>
    </row>
  </sheetData>
  <mergeCells count="4">
    <mergeCell ref="A16:C16"/>
    <mergeCell ref="A1:A2"/>
    <mergeCell ref="B1:B2"/>
    <mergeCell ref="C1:C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Амелина Ольга Н.</dc:creator>
  <cp:lastModifiedBy>User</cp:lastModifiedBy>
  <dcterms:created xsi:type="dcterms:W3CDTF">2015-06-05T18:19:34Z</dcterms:created>
  <dcterms:modified xsi:type="dcterms:W3CDTF">2026-10-02T06:59:52Z</dcterms:modified>
</cp:coreProperties>
</file>