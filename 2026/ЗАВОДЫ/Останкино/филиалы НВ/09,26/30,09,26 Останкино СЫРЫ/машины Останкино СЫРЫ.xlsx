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30,09,26 Останкино СЫРЫ\"/>
    </mc:Choice>
  </mc:AlternateContent>
  <xr:revisionPtr revIDLastSave="0" documentId="13_ncr:1_{E9970C6F-9399-46EC-878B-6BF3D12BE0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G9" i="1" l="1"/>
  <c r="G3" i="1" l="1"/>
  <c r="G4" i="1"/>
  <c r="G5" i="1"/>
  <c r="G6" i="1"/>
  <c r="G7" i="1"/>
  <c r="G8" i="1"/>
  <c r="G10" i="1"/>
  <c r="G11" i="1"/>
  <c r="G12" i="1"/>
  <c r="G2" i="1"/>
  <c r="E13" i="1" l="1"/>
  <c r="E16" i="1" s="1"/>
  <c r="C13" i="1" l="1"/>
  <c r="C16" i="1" s="1"/>
  <c r="D13" i="1"/>
  <c r="D16" i="1" s="1"/>
  <c r="F13" i="1"/>
  <c r="F16" i="1" s="1"/>
  <c r="B13" i="1"/>
  <c r="G13" i="1" l="1"/>
</calcChain>
</file>

<file path=xl/sharedStrings.xml><?xml version="1.0" encoding="utf-8"?>
<sst xmlns="http://schemas.openxmlformats.org/spreadsheetml/2006/main" count="20" uniqueCount="20">
  <si>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</si>
  <si>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</si>
  <si>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</si>
  <si>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</si>
  <si>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</si>
  <si>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</si>
  <si>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</si>
  <si>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</si>
  <si>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</si>
  <si>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</si>
  <si>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</si>
  <si>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</si>
  <si>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</si>
  <si>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</si>
  <si>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</si>
  <si>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</si>
  <si>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</si>
  <si>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</si>
  <si>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</si>
  <si>
    <t>Мариуполь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</si>
</sst>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M17" sqref="M1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x14ac:dyDescent="0.25">
      <c r="A3" s="2" t="s">
        <v>6</v>
      </c>
      <c r="B3" s="2"/>
      <c r="C3" s="2"/>
      <c r="D3" s="2"/>
      <c r="E3" s="2"/>
      <c r="F3" s="2"/>
      <c r="G3" s="2">
        <f t="shared" ref="G3:G12" si="0">B3-C3-D3-E3-F3</f>
        <v>0</v>
      </c>
    </row>
    <row r="4" spans="1:7" x14ac:dyDescent="0.25">
      <c r="A4" s="2" t="s">
        <v>5</v>
      </c>
      <c r="B4" s="2">
        <v>896</v>
      </c>
      <c r="C4" s="2"/>
      <c r="D4" s="2">
        <v>896</v>
      </c>
      <c r="E4" s="2"/>
      <c r="F4" s="2"/>
      <c r="G4" s="2">
        <f t="shared" si="0"/>
        <v>0</v>
      </c>
    </row>
    <row r="5" spans="1:7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1603</v>
      </c>
      <c r="C6" s="2">
        <v>1603</v>
      </c>
      <c r="D6" s="2"/>
      <c r="E6" s="2"/>
      <c r="F6" s="2"/>
      <c r="G6" s="2">
        <f t="shared" si="0"/>
        <v>0</v>
      </c>
    </row>
    <row r="7" spans="1:7" x14ac:dyDescent="0.25">
      <c r="A7" s="2" t="s">
        <v>2</v>
      </c>
      <c r="B7" s="2">
        <v>997</v>
      </c>
      <c r="C7" s="2"/>
      <c r="D7" s="2">
        <f>857+140</f>
        <v>997</v>
      </c>
      <c r="E7" s="2"/>
      <c r="F7" s="2"/>
      <c r="G7" s="2">
        <f t="shared" si="0"/>
        <v>0</v>
      </c>
    </row>
    <row r="8" spans="1:7" x14ac:dyDescent="0.25">
      <c r="A8" s="2" t="s">
        <v>3</v>
      </c>
      <c r="B8" s="2">
        <v>817</v>
      </c>
      <c r="C8" s="2"/>
      <c r="D8" s="2"/>
      <c r="E8" s="2">
        <v>817</v>
      </c>
      <c r="F8" s="2"/>
      <c r="G8" s="2">
        <f t="shared" si="0"/>
        <v>0</v>
      </c>
    </row>
    <row r="9" spans="1:7" x14ac:dyDescent="0.25">
      <c r="A9" s="2" t="s">
        <v>19</v>
      </c>
      <c r="B9" s="2">
        <v>636</v>
      </c>
      <c r="C9" s="2"/>
      <c r="D9" s="2">
        <v>636</v>
      </c>
      <c r="E9" s="2"/>
      <c r="F9" s="2"/>
      <c r="G9" s="2">
        <f t="shared" si="0"/>
        <v>0</v>
      </c>
    </row>
    <row r="10" spans="1:7" x14ac:dyDescent="0.25">
      <c r="A10" s="2" t="s">
        <v>4</v>
      </c>
      <c r="B10" s="2">
        <v>1020</v>
      </c>
      <c r="C10" s="2">
        <v>1020</v>
      </c>
      <c r="D10" s="2"/>
      <c r="E10" s="2"/>
      <c r="F10" s="2"/>
      <c r="G10" s="2">
        <f t="shared" si="0"/>
        <v>0</v>
      </c>
    </row>
    <row r="11" spans="1:7" x14ac:dyDescent="0.25">
      <c r="A11" s="2" t="s">
        <v>8</v>
      </c>
      <c r="B11" s="2"/>
      <c r="C11" s="2"/>
      <c r="D11" s="2"/>
      <c r="E11" s="2"/>
      <c r="F11" s="2"/>
      <c r="G11" s="2">
        <f t="shared" si="0"/>
        <v>0</v>
      </c>
    </row>
    <row r="12" spans="1:7" x14ac:dyDescent="0.25">
      <c r="A12" s="2" t="s">
        <v>7</v>
      </c>
      <c r="B12" s="2"/>
      <c r="C12" s="2"/>
      <c r="D12" s="2"/>
      <c r="E12" s="2"/>
      <c r="F12" s="2"/>
      <c r="G12" s="2">
        <f t="shared" si="0"/>
        <v>0</v>
      </c>
    </row>
    <row r="13" spans="1:7" s="1" customFormat="1" x14ac:dyDescent="0.25">
      <c r="A13" s="4" t="s">
        <v>16</v>
      </c>
      <c r="B13" s="4">
        <f t="shared" ref="B13:G13" si="1">SUM(B2:B12)</f>
        <v>5969</v>
      </c>
      <c r="C13" s="4">
        <f t="shared" si="1"/>
        <v>2623</v>
      </c>
      <c r="D13" s="4">
        <f t="shared" si="1"/>
        <v>2529</v>
      </c>
      <c r="E13" s="4">
        <f t="shared" si="1"/>
        <v>817</v>
      </c>
      <c r="F13" s="4">
        <f t="shared" si="1"/>
        <v>0</v>
      </c>
      <c r="G13" s="4">
        <f t="shared" si="1"/>
        <v>0</v>
      </c>
    </row>
    <row r="14" spans="1:7" ht="15.75" thickBot="1" x14ac:dyDescent="0.3"/>
    <row r="15" spans="1:7" ht="15.75" thickBot="1" x14ac:dyDescent="0.3">
      <c r="C15" s="6" t="s">
        <v>15</v>
      </c>
      <c r="D15" s="7"/>
      <c r="E15" s="8"/>
      <c r="F15" s="9"/>
    </row>
    <row r="16" spans="1:7" x14ac:dyDescent="0.25">
      <c r="C16" s="3">
        <f>IF(ROUNDUP(C13/500,0)&gt;32,32,ROUNDUP(C13/500,0))</f>
        <v>6</v>
      </c>
      <c r="D16" s="3">
        <f t="shared" ref="D16:F16" si="2">IF(ROUNDUP(D13/500,0)&gt;32,32,ROUNDUP(D13/500,0))</f>
        <v>6</v>
      </c>
      <c r="E16" s="3">
        <f t="shared" ref="E16" si="3">IF(ROUNDUP(E13/500,0)&gt;32,32,ROUNDUP(E13/500,0))</f>
        <v>2</v>
      </c>
      <c r="F16" s="3">
        <f t="shared" si="2"/>
        <v>0</v>
      </c>
    </row>
  </sheetData>
  <mergeCells count="1">
    <mergeCell ref="C15:F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2026-10-02T07:29:02Z</dcterms:modified>
</cp:coreProperties>
</file>