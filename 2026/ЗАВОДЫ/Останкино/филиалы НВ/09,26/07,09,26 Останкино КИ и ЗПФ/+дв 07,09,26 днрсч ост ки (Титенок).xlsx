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93A5ED8-2491-4623-9E73-8B27DDDC23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M7" i="1"/>
  <c r="Q7" i="1" s="1"/>
  <c r="M8" i="1"/>
  <c r="Q8" i="1" s="1"/>
  <c r="M9" i="1"/>
  <c r="Q9" i="1" s="1"/>
  <c r="M10" i="1"/>
  <c r="Q10" i="1" s="1"/>
  <c r="R10" i="1" s="1"/>
  <c r="AG10" i="1" s="1"/>
  <c r="M11" i="1"/>
  <c r="Q11" i="1" s="1"/>
  <c r="M12" i="1"/>
  <c r="Q12" i="1" s="1"/>
  <c r="R12" i="1" s="1"/>
  <c r="AG12" i="1" s="1"/>
  <c r="M13" i="1"/>
  <c r="Q13" i="1" s="1"/>
  <c r="M14" i="1"/>
  <c r="Q14" i="1" s="1"/>
  <c r="M15" i="1"/>
  <c r="Q15" i="1" s="1"/>
  <c r="M16" i="1"/>
  <c r="Q16" i="1" s="1"/>
  <c r="R16" i="1" s="1"/>
  <c r="AG16" i="1" s="1"/>
  <c r="M17" i="1"/>
  <c r="Q17" i="1" s="1"/>
  <c r="M18" i="1"/>
  <c r="Q18" i="1" s="1"/>
  <c r="R18" i="1" s="1"/>
  <c r="AG18" i="1" s="1"/>
  <c r="M19" i="1"/>
  <c r="Q19" i="1" s="1"/>
  <c r="M20" i="1"/>
  <c r="Q20" i="1" s="1"/>
  <c r="R20" i="1" s="1"/>
  <c r="AG20" i="1" s="1"/>
  <c r="M21" i="1"/>
  <c r="Q21" i="1" s="1"/>
  <c r="M22" i="1"/>
  <c r="Q22" i="1" s="1"/>
  <c r="M23" i="1"/>
  <c r="Q23" i="1" s="1"/>
  <c r="M24" i="1"/>
  <c r="Q24" i="1" s="1"/>
  <c r="M25" i="1"/>
  <c r="Q25" i="1" s="1"/>
  <c r="T25" i="1" s="1"/>
  <c r="M26" i="1"/>
  <c r="Q26" i="1" s="1"/>
  <c r="R26" i="1" s="1"/>
  <c r="AG26" i="1" s="1"/>
  <c r="M27" i="1"/>
  <c r="Q27" i="1" s="1"/>
  <c r="M28" i="1"/>
  <c r="Q28" i="1" s="1"/>
  <c r="R28" i="1" s="1"/>
  <c r="AG28" i="1" s="1"/>
  <c r="M29" i="1"/>
  <c r="Q29" i="1" s="1"/>
  <c r="M30" i="1"/>
  <c r="Q30" i="1" s="1"/>
  <c r="M31" i="1"/>
  <c r="Q31" i="1" s="1"/>
  <c r="M32" i="1"/>
  <c r="Q32" i="1" s="1"/>
  <c r="R32" i="1" s="1"/>
  <c r="AG32" i="1" s="1"/>
  <c r="M33" i="1"/>
  <c r="Q33" i="1" s="1"/>
  <c r="T33" i="1" s="1"/>
  <c r="M34" i="1"/>
  <c r="Q34" i="1" s="1"/>
  <c r="R34" i="1" s="1"/>
  <c r="AG34" i="1" s="1"/>
  <c r="M35" i="1"/>
  <c r="Q35" i="1" s="1"/>
  <c r="T35" i="1" s="1"/>
  <c r="M36" i="1"/>
  <c r="Q36" i="1" s="1"/>
  <c r="M37" i="1"/>
  <c r="Q37" i="1" s="1"/>
  <c r="T37" i="1" s="1"/>
  <c r="M38" i="1"/>
  <c r="Q38" i="1" s="1"/>
  <c r="M39" i="1"/>
  <c r="Q39" i="1" s="1"/>
  <c r="M40" i="1"/>
  <c r="Q40" i="1" s="1"/>
  <c r="M41" i="1"/>
  <c r="Q41" i="1" s="1"/>
  <c r="M42" i="1"/>
  <c r="Q42" i="1" s="1"/>
  <c r="R42" i="1" s="1"/>
  <c r="AG42" i="1" s="1"/>
  <c r="M43" i="1"/>
  <c r="Q43" i="1" s="1"/>
  <c r="T43" i="1" s="1"/>
  <c r="M44" i="1"/>
  <c r="Q44" i="1" s="1"/>
  <c r="R44" i="1" s="1"/>
  <c r="AG44" i="1" s="1"/>
  <c r="M45" i="1"/>
  <c r="Q45" i="1" s="1"/>
  <c r="M46" i="1"/>
  <c r="Q46" i="1" s="1"/>
  <c r="R46" i="1" s="1"/>
  <c r="AG46" i="1" s="1"/>
  <c r="M47" i="1"/>
  <c r="Q47" i="1" s="1"/>
  <c r="M48" i="1"/>
  <c r="Q48" i="1" s="1"/>
  <c r="M49" i="1"/>
  <c r="Q49" i="1" s="1"/>
  <c r="R49" i="1" s="1"/>
  <c r="M50" i="1"/>
  <c r="Q50" i="1" s="1"/>
  <c r="M51" i="1"/>
  <c r="Q51" i="1" s="1"/>
  <c r="R51" i="1" s="1"/>
  <c r="M52" i="1"/>
  <c r="Q52" i="1" s="1"/>
  <c r="T52" i="1" s="1"/>
  <c r="M53" i="1"/>
  <c r="Q53" i="1" s="1"/>
  <c r="R53" i="1" s="1"/>
  <c r="AG53" i="1" s="1"/>
  <c r="M54" i="1"/>
  <c r="Q54" i="1" s="1"/>
  <c r="T54" i="1" s="1"/>
  <c r="M55" i="1"/>
  <c r="Q55" i="1" s="1"/>
  <c r="M56" i="1"/>
  <c r="Q56" i="1" s="1"/>
  <c r="R56" i="1" s="1"/>
  <c r="M57" i="1"/>
  <c r="Q57" i="1" s="1"/>
  <c r="R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R63" i="1" s="1"/>
  <c r="AG63" i="1" s="1"/>
  <c r="M64" i="1"/>
  <c r="Q64" i="1" s="1"/>
  <c r="M65" i="1"/>
  <c r="Q65" i="1" s="1"/>
  <c r="R65" i="1" s="1"/>
  <c r="AG65" i="1" s="1"/>
  <c r="M66" i="1"/>
  <c r="Q66" i="1" s="1"/>
  <c r="M67" i="1"/>
  <c r="Q67" i="1" s="1"/>
  <c r="R67" i="1" s="1"/>
  <c r="AG67" i="1" s="1"/>
  <c r="M68" i="1"/>
  <c r="Q68" i="1" s="1"/>
  <c r="M69" i="1"/>
  <c r="Q69" i="1" s="1"/>
  <c r="R69" i="1" s="1"/>
  <c r="AG69" i="1" s="1"/>
  <c r="M70" i="1"/>
  <c r="Q70" i="1" s="1"/>
  <c r="T70" i="1" s="1"/>
  <c r="M71" i="1"/>
  <c r="Q71" i="1" s="1"/>
  <c r="R71" i="1" s="1"/>
  <c r="AG71" i="1" s="1"/>
  <c r="M72" i="1"/>
  <c r="Q72" i="1" s="1"/>
  <c r="M73" i="1"/>
  <c r="Q73" i="1" s="1"/>
  <c r="R73" i="1" s="1"/>
  <c r="AG73" i="1" s="1"/>
  <c r="M74" i="1"/>
  <c r="Q74" i="1" s="1"/>
  <c r="M75" i="1"/>
  <c r="Q75" i="1" s="1"/>
  <c r="M76" i="1"/>
  <c r="Q76" i="1" s="1"/>
  <c r="M77" i="1"/>
  <c r="Q77" i="1" s="1"/>
  <c r="M78" i="1"/>
  <c r="Q78" i="1" s="1"/>
  <c r="T78" i="1" s="1"/>
  <c r="M79" i="1"/>
  <c r="Q79" i="1" s="1"/>
  <c r="R79" i="1" s="1"/>
  <c r="AG79" i="1" s="1"/>
  <c r="M80" i="1"/>
  <c r="Q80" i="1" s="1"/>
  <c r="M81" i="1"/>
  <c r="Q81" i="1" s="1"/>
  <c r="AG81" i="1" s="1"/>
  <c r="M82" i="1"/>
  <c r="Q82" i="1" s="1"/>
  <c r="T82" i="1" s="1"/>
  <c r="M83" i="1"/>
  <c r="Q83" i="1" s="1"/>
  <c r="R83" i="1" s="1"/>
  <c r="M84" i="1"/>
  <c r="Q84" i="1" s="1"/>
  <c r="M85" i="1"/>
  <c r="Q85" i="1" s="1"/>
  <c r="R85" i="1" s="1"/>
  <c r="AG85" i="1" s="1"/>
  <c r="M86" i="1"/>
  <c r="Q86" i="1" s="1"/>
  <c r="M87" i="1"/>
  <c r="Q87" i="1" s="1"/>
  <c r="R87" i="1" s="1"/>
  <c r="AG87" i="1" s="1"/>
  <c r="M88" i="1"/>
  <c r="Q88" i="1" s="1"/>
  <c r="M89" i="1"/>
  <c r="Q89" i="1" s="1"/>
  <c r="R89" i="1" s="1"/>
  <c r="AG89" i="1" s="1"/>
  <c r="M90" i="1"/>
  <c r="Q90" i="1" s="1"/>
  <c r="M91" i="1"/>
  <c r="Q91" i="1" s="1"/>
  <c r="M92" i="1"/>
  <c r="Q92" i="1" s="1"/>
  <c r="T92" i="1" s="1"/>
  <c r="M93" i="1"/>
  <c r="Q93" i="1" s="1"/>
  <c r="R93" i="1" s="1"/>
  <c r="M94" i="1"/>
  <c r="Q94" i="1" s="1"/>
  <c r="T94" i="1" s="1"/>
  <c r="M95" i="1"/>
  <c r="Q95" i="1" s="1"/>
  <c r="M96" i="1"/>
  <c r="Q96" i="1" s="1"/>
  <c r="T96" i="1" s="1"/>
  <c r="M97" i="1"/>
  <c r="Q97" i="1" s="1"/>
  <c r="AG97" i="1" s="1"/>
  <c r="M98" i="1"/>
  <c r="Q98" i="1" s="1"/>
  <c r="M99" i="1"/>
  <c r="Q99" i="1" s="1"/>
  <c r="M100" i="1"/>
  <c r="Q100" i="1" s="1"/>
  <c r="M101" i="1"/>
  <c r="Q101" i="1" s="1"/>
  <c r="T101" i="1" s="1"/>
  <c r="M102" i="1"/>
  <c r="Q102" i="1" s="1"/>
  <c r="M103" i="1"/>
  <c r="Q103" i="1" s="1"/>
  <c r="M104" i="1"/>
  <c r="Q104" i="1" s="1"/>
  <c r="R104" i="1" s="1"/>
  <c r="M105" i="1"/>
  <c r="Q105" i="1" s="1"/>
  <c r="R105" i="1" s="1"/>
  <c r="M106" i="1"/>
  <c r="Q106" i="1" s="1"/>
  <c r="T106" i="1" s="1"/>
  <c r="M107" i="1"/>
  <c r="Q107" i="1" s="1"/>
  <c r="M108" i="1"/>
  <c r="Q108" i="1" s="1"/>
  <c r="M109" i="1"/>
  <c r="Q109" i="1" s="1"/>
  <c r="R109" i="1" s="1"/>
  <c r="M110" i="1"/>
  <c r="Q110" i="1" s="1"/>
  <c r="M111" i="1"/>
  <c r="Q111" i="1" s="1"/>
  <c r="M112" i="1"/>
  <c r="Q112" i="1" s="1"/>
  <c r="T112" i="1" s="1"/>
  <c r="M113" i="1"/>
  <c r="Q113" i="1" s="1"/>
  <c r="R113" i="1" s="1"/>
  <c r="M114" i="1"/>
  <c r="Q114" i="1" s="1"/>
  <c r="M115" i="1"/>
  <c r="Q115" i="1" s="1"/>
  <c r="M116" i="1"/>
  <c r="Q116" i="1" s="1"/>
  <c r="M117" i="1"/>
  <c r="Q117" i="1" s="1"/>
  <c r="T117" i="1" s="1"/>
  <c r="M118" i="1"/>
  <c r="Q118" i="1" s="1"/>
  <c r="M119" i="1"/>
  <c r="Q119" i="1" s="1"/>
  <c r="M120" i="1"/>
  <c r="Q120" i="1" s="1"/>
  <c r="T120" i="1" s="1"/>
  <c r="M121" i="1"/>
  <c r="Q121" i="1" s="1"/>
  <c r="M122" i="1"/>
  <c r="Q122" i="1" s="1"/>
  <c r="M123" i="1"/>
  <c r="Q123" i="1" s="1"/>
  <c r="M124" i="1"/>
  <c r="Q124" i="1" s="1"/>
  <c r="M125" i="1"/>
  <c r="Q125" i="1" s="1"/>
  <c r="T125" i="1" s="1"/>
  <c r="M6" i="1"/>
  <c r="Q6" i="1" s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AG93" i="1"/>
  <c r="L93" i="1"/>
  <c r="L92" i="1"/>
  <c r="L91" i="1"/>
  <c r="L90" i="1"/>
  <c r="L89" i="1"/>
  <c r="L88" i="1"/>
  <c r="L87" i="1"/>
  <c r="L86" i="1"/>
  <c r="L85" i="1"/>
  <c r="L84" i="1"/>
  <c r="AG83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AG57" i="1"/>
  <c r="L57" i="1"/>
  <c r="L56" i="1"/>
  <c r="AG55" i="1"/>
  <c r="L55" i="1"/>
  <c r="L54" i="1"/>
  <c r="L53" i="1"/>
  <c r="L52" i="1"/>
  <c r="AG51" i="1"/>
  <c r="L51" i="1"/>
  <c r="L50" i="1"/>
  <c r="L49" i="1"/>
  <c r="AG48" i="1"/>
  <c r="L48" i="1"/>
  <c r="L47" i="1"/>
  <c r="L46" i="1"/>
  <c r="L45" i="1"/>
  <c r="L44" i="1"/>
  <c r="L43" i="1"/>
  <c r="L42" i="1"/>
  <c r="L41" i="1"/>
  <c r="L40" i="1"/>
  <c r="L39" i="1"/>
  <c r="AG38" i="1"/>
  <c r="L38" i="1"/>
  <c r="L37" i="1"/>
  <c r="L36" i="1"/>
  <c r="L35" i="1"/>
  <c r="L34" i="1"/>
  <c r="L33" i="1"/>
  <c r="L32" i="1"/>
  <c r="L31" i="1"/>
  <c r="AG30" i="1"/>
  <c r="L30" i="1"/>
  <c r="L29" i="1"/>
  <c r="L28" i="1"/>
  <c r="L27" i="1"/>
  <c r="L26" i="1"/>
  <c r="L25" i="1"/>
  <c r="L24" i="1"/>
  <c r="L23" i="1"/>
  <c r="AG22" i="1"/>
  <c r="L22" i="1"/>
  <c r="L21" i="1"/>
  <c r="L20" i="1"/>
  <c r="L19" i="1"/>
  <c r="L18" i="1"/>
  <c r="L17" i="1"/>
  <c r="L16" i="1"/>
  <c r="L15" i="1"/>
  <c r="AG14" i="1"/>
  <c r="L14" i="1"/>
  <c r="L13" i="1"/>
  <c r="L12" i="1"/>
  <c r="L11" i="1"/>
  <c r="L10" i="1"/>
  <c r="L9" i="1"/>
  <c r="AG8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K5" i="1"/>
  <c r="F5" i="1"/>
  <c r="E5" i="1"/>
  <c r="R59" i="1" l="1"/>
  <c r="AG59" i="1" s="1"/>
  <c r="R40" i="1"/>
  <c r="AG40" i="1" s="1"/>
  <c r="T123" i="1"/>
  <c r="AG123" i="1"/>
  <c r="R121" i="1"/>
  <c r="AG121" i="1" s="1"/>
  <c r="R119" i="1"/>
  <c r="AG119" i="1" s="1"/>
  <c r="R115" i="1"/>
  <c r="AG115" i="1" s="1"/>
  <c r="AG113" i="1"/>
  <c r="R111" i="1"/>
  <c r="AG111" i="1" s="1"/>
  <c r="AG109" i="1"/>
  <c r="T107" i="1"/>
  <c r="AG107" i="1"/>
  <c r="AG105" i="1"/>
  <c r="T103" i="1"/>
  <c r="AG103" i="1"/>
  <c r="AG49" i="1"/>
  <c r="R47" i="1"/>
  <c r="AG47" i="1" s="1"/>
  <c r="T45" i="1"/>
  <c r="AG45" i="1"/>
  <c r="T41" i="1"/>
  <c r="AG41" i="1"/>
  <c r="R39" i="1"/>
  <c r="AG39" i="1" s="1"/>
  <c r="R31" i="1"/>
  <c r="AG31" i="1" s="1"/>
  <c r="R29" i="1"/>
  <c r="AG29" i="1" s="1"/>
  <c r="R27" i="1"/>
  <c r="AG27" i="1" s="1"/>
  <c r="R23" i="1"/>
  <c r="AG23" i="1" s="1"/>
  <c r="R21" i="1"/>
  <c r="AG21" i="1" s="1"/>
  <c r="R19" i="1"/>
  <c r="AG19" i="1" s="1"/>
  <c r="T17" i="1"/>
  <c r="AG17" i="1"/>
  <c r="R15" i="1"/>
  <c r="AG15" i="1" s="1"/>
  <c r="R13" i="1"/>
  <c r="AG13" i="1" s="1"/>
  <c r="T11" i="1"/>
  <c r="AG11" i="1"/>
  <c r="R9" i="1"/>
  <c r="AG9" i="1" s="1"/>
  <c r="R7" i="1"/>
  <c r="AG7" i="1" s="1"/>
  <c r="U6" i="1"/>
  <c r="R6" i="1"/>
  <c r="T6" i="1" s="1"/>
  <c r="T124" i="1"/>
  <c r="AG124" i="1"/>
  <c r="T122" i="1"/>
  <c r="AG122" i="1"/>
  <c r="R118" i="1"/>
  <c r="AG118" i="1" s="1"/>
  <c r="R116" i="1"/>
  <c r="AG116" i="1" s="1"/>
  <c r="R114" i="1"/>
  <c r="AG114" i="1" s="1"/>
  <c r="T110" i="1"/>
  <c r="AG110" i="1"/>
  <c r="T108" i="1"/>
  <c r="AG108" i="1"/>
  <c r="AG104" i="1"/>
  <c r="T102" i="1"/>
  <c r="AG102" i="1"/>
  <c r="R100" i="1"/>
  <c r="AG100" i="1" s="1"/>
  <c r="T98" i="1"/>
  <c r="AG98" i="1"/>
  <c r="R90" i="1"/>
  <c r="AG90" i="1" s="1"/>
  <c r="R88" i="1"/>
  <c r="AG88" i="1" s="1"/>
  <c r="R86" i="1"/>
  <c r="AG86" i="1" s="1"/>
  <c r="T84" i="1"/>
  <c r="AG84" i="1"/>
  <c r="T80" i="1"/>
  <c r="AG80" i="1"/>
  <c r="T76" i="1"/>
  <c r="AG76" i="1"/>
  <c r="R74" i="1"/>
  <c r="AG74" i="1" s="1"/>
  <c r="R72" i="1"/>
  <c r="AG72" i="1" s="1"/>
  <c r="T68" i="1"/>
  <c r="AG68" i="1"/>
  <c r="T66" i="1"/>
  <c r="AG66" i="1"/>
  <c r="R64" i="1"/>
  <c r="AG64" i="1" s="1"/>
  <c r="T62" i="1"/>
  <c r="AG62" i="1"/>
  <c r="R60" i="1"/>
  <c r="AG60" i="1" s="1"/>
  <c r="R58" i="1"/>
  <c r="AG58" i="1" s="1"/>
  <c r="AG56" i="1"/>
  <c r="U122" i="1"/>
  <c r="U108" i="1"/>
  <c r="U100" i="1"/>
  <c r="U92" i="1"/>
  <c r="U84" i="1"/>
  <c r="U76" i="1"/>
  <c r="U68" i="1"/>
  <c r="U60" i="1"/>
  <c r="U52" i="1"/>
  <c r="U45" i="1"/>
  <c r="U37" i="1"/>
  <c r="U29" i="1"/>
  <c r="U21" i="1"/>
  <c r="U13" i="1"/>
  <c r="U118" i="1"/>
  <c r="U112" i="1"/>
  <c r="U104" i="1"/>
  <c r="U96" i="1"/>
  <c r="U88" i="1"/>
  <c r="U80" i="1"/>
  <c r="U72" i="1"/>
  <c r="U64" i="1"/>
  <c r="U56" i="1"/>
  <c r="U49" i="1"/>
  <c r="U41" i="1"/>
  <c r="U33" i="1"/>
  <c r="U25" i="1"/>
  <c r="U17" i="1"/>
  <c r="U9" i="1"/>
  <c r="U124" i="1"/>
  <c r="U120" i="1"/>
  <c r="U114" i="1"/>
  <c r="U110" i="1"/>
  <c r="U106" i="1"/>
  <c r="U102" i="1"/>
  <c r="U98" i="1"/>
  <c r="U94" i="1"/>
  <c r="U90" i="1"/>
  <c r="U86" i="1"/>
  <c r="U82" i="1"/>
  <c r="U78" i="1"/>
  <c r="U74" i="1"/>
  <c r="U70" i="1"/>
  <c r="U66" i="1"/>
  <c r="U62" i="1"/>
  <c r="U58" i="1"/>
  <c r="U54" i="1"/>
  <c r="U47" i="1"/>
  <c r="U43" i="1"/>
  <c r="U39" i="1"/>
  <c r="U35" i="1"/>
  <c r="U31" i="1"/>
  <c r="U27" i="1"/>
  <c r="U23" i="1"/>
  <c r="U19" i="1"/>
  <c r="U15" i="1"/>
  <c r="U11" i="1"/>
  <c r="U7" i="1"/>
  <c r="T99" i="1"/>
  <c r="U99" i="1"/>
  <c r="T97" i="1"/>
  <c r="U97" i="1"/>
  <c r="T95" i="1"/>
  <c r="U95" i="1"/>
  <c r="T93" i="1"/>
  <c r="U93" i="1"/>
  <c r="T91" i="1"/>
  <c r="U91" i="1"/>
  <c r="T89" i="1"/>
  <c r="U89" i="1"/>
  <c r="T87" i="1"/>
  <c r="U87" i="1"/>
  <c r="T85" i="1"/>
  <c r="U85" i="1"/>
  <c r="T83" i="1"/>
  <c r="U83" i="1"/>
  <c r="T81" i="1"/>
  <c r="U81" i="1"/>
  <c r="T79" i="1"/>
  <c r="U79" i="1"/>
  <c r="T77" i="1"/>
  <c r="U77" i="1"/>
  <c r="T75" i="1"/>
  <c r="U75" i="1"/>
  <c r="T73" i="1"/>
  <c r="U73" i="1"/>
  <c r="T71" i="1"/>
  <c r="U71" i="1"/>
  <c r="T69" i="1"/>
  <c r="U69" i="1"/>
  <c r="T67" i="1"/>
  <c r="U67" i="1"/>
  <c r="T65" i="1"/>
  <c r="U65" i="1"/>
  <c r="T63" i="1"/>
  <c r="U63" i="1"/>
  <c r="T61" i="1"/>
  <c r="U61" i="1"/>
  <c r="U59" i="1"/>
  <c r="T57" i="1"/>
  <c r="U57" i="1"/>
  <c r="T55" i="1"/>
  <c r="U55" i="1"/>
  <c r="T53" i="1"/>
  <c r="U53" i="1"/>
  <c r="T51" i="1"/>
  <c r="U51" i="1"/>
  <c r="T50" i="1"/>
  <c r="U50" i="1"/>
  <c r="T48" i="1"/>
  <c r="U48" i="1"/>
  <c r="T46" i="1"/>
  <c r="U46" i="1"/>
  <c r="T44" i="1"/>
  <c r="U44" i="1"/>
  <c r="T42" i="1"/>
  <c r="U42" i="1"/>
  <c r="U40" i="1"/>
  <c r="T38" i="1"/>
  <c r="U38" i="1"/>
  <c r="T36" i="1"/>
  <c r="U36" i="1"/>
  <c r="T34" i="1"/>
  <c r="U34" i="1"/>
  <c r="T32" i="1"/>
  <c r="U32" i="1"/>
  <c r="T30" i="1"/>
  <c r="U30" i="1"/>
  <c r="T28" i="1"/>
  <c r="U28" i="1"/>
  <c r="T26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12" i="1"/>
  <c r="U12" i="1"/>
  <c r="T10" i="1"/>
  <c r="U10" i="1"/>
  <c r="T8" i="1"/>
  <c r="U8" i="1"/>
  <c r="U125" i="1"/>
  <c r="U123" i="1"/>
  <c r="U121" i="1"/>
  <c r="U119" i="1"/>
  <c r="U117" i="1"/>
  <c r="U116" i="1"/>
  <c r="U115" i="1"/>
  <c r="U113" i="1"/>
  <c r="U111" i="1"/>
  <c r="U109" i="1"/>
  <c r="U107" i="1"/>
  <c r="U105" i="1"/>
  <c r="U103" i="1"/>
  <c r="U101" i="1"/>
  <c r="L5" i="1"/>
  <c r="M5" i="1"/>
  <c r="Q5" i="1"/>
  <c r="T40" i="1" l="1"/>
  <c r="T59" i="1"/>
  <c r="T56" i="1"/>
  <c r="T58" i="1"/>
  <c r="T60" i="1"/>
  <c r="T64" i="1"/>
  <c r="T72" i="1"/>
  <c r="T74" i="1"/>
  <c r="T86" i="1"/>
  <c r="T88" i="1"/>
  <c r="T90" i="1"/>
  <c r="T100" i="1"/>
  <c r="T104" i="1"/>
  <c r="T114" i="1"/>
  <c r="T116" i="1"/>
  <c r="T118" i="1"/>
  <c r="T7" i="1"/>
  <c r="T9" i="1"/>
  <c r="T13" i="1"/>
  <c r="T15" i="1"/>
  <c r="T19" i="1"/>
  <c r="T21" i="1"/>
  <c r="T23" i="1"/>
  <c r="T27" i="1"/>
  <c r="T29" i="1"/>
  <c r="T31" i="1"/>
  <c r="T39" i="1"/>
  <c r="T47" i="1"/>
  <c r="T49" i="1"/>
  <c r="T105" i="1"/>
  <c r="T109" i="1"/>
  <c r="T111" i="1"/>
  <c r="T113" i="1"/>
  <c r="T115" i="1"/>
  <c r="T119" i="1"/>
  <c r="T121" i="1"/>
  <c r="AG6" i="1"/>
  <c r="AG5" i="1" s="1"/>
  <c r="R5" i="1"/>
</calcChain>
</file>

<file path=xl/sharedStrings.xml><?xml version="1.0" encoding="utf-8"?>
<sst xmlns="http://schemas.openxmlformats.org/spreadsheetml/2006/main" count="462" uniqueCount="187">
  <si>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</si>
  <si>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</si>
  <si>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</si>
  <si>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</si>
  <si>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</si>
  <si>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</si>
  <si>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</si>
  <si>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</si>
  <si>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</si>
  <si>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</si>
  <si>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</si>
  <si>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</si>
  <si>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</si>
  <si>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</si>
  <si>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</si>
  <si>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</si>
  <si>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</si>
  <si>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</si>
  <si>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</si>
  <si>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</si>
  <si>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</si>
  <si>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</si>
  <si>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</si>
  <si>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06,09,</t>
  </si>
  <si>
    <t>07,09,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</si>
  <si>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</si>
  <si>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</si>
  <si>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</si>
  <si>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</si>
  <si>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</si>
  <si>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</si>
  <si>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</si>
  <si>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</si>
  <si>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</si>
  <si>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</si>
  <si>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</si>
  <si>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</si>
  <si>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</si>
  <si>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</si>
  <si>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</si>
  <si>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</si>
  <si>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</si>
  <si>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</si>
  <si>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</si>
  <si>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</si>
  <si>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</si>
  <si>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</si>
  <si>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</si>
  <si>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</si>
  <si>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</si>
  <si>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</si>
  <si>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</si>
  <si>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</si>
  <si>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</si>
  <si>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</si>
  <si>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</si>
  <si>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</si>
  <si>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</si>
  <si>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</si>
  <si>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</si>
  <si>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</si>
  <si>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</si>
  <si>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</si>
  <si>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</si>
  <si>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</si>
  <si>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</si>
  <si>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</si>
  <si>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</si>
  <si>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</si>
  <si>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</si>
  <si>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</si>
  <si>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</si>
  <si>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</si>
  <si>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</si>
  <si>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</si>
  <si>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</si>
  <si>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</si>
  <si>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</si>
  <si>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</si>
  <si>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</si>
  <si>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</si>
  <si>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</si>
  <si>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</si>
  <si>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</si>
  <si>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</si>
  <si>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</si>
  <si>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</si>
  <si>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</si>
  <si>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</si>
  <si>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</si>
  <si>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</si>
  <si>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</si>
  <si>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</si>
  <si>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</si>
  <si>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</si>
  <si>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</si>
  <si>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</si>
  <si>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</si>
  <si>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</si>
  <si>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</si>
  <si>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дубль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</si>
  <si>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</si>
  <si>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</si>
  <si>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</si>
  <si>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нужно увеличить продажи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</si>
  <si>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</si>
  <si>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</si>
  <si>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</si>
  <si>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</si>
  <si>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</si>
  <si>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</si>
  <si>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</si>
  <si>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</si>
  <si>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</si>
  <si>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</si>
  <si>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</si>
  <si>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</si>
  <si>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</si>
  <si>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</si>
  <si>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</si>
  <si>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</si>
  <si>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</si>
  <si>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</si>
  <si>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</si>
  <si>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</si>
  <si>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</si>
  <si>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</si>
  <si>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</si>
  <si>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</si>
  <si>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</si>
  <si>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</si>
  <si>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</si>
  <si>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</si>
  <si>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</si>
  <si>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</si>
  <si>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</si>
  <si>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</si>
  <si>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</si>
  <si>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</si>
  <si>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</si>
  <si>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</si>
  <si>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</si>
  <si>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</si>
  <si>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</si>
  <si>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</si>
  <si>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</si>
  <si>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</si>
  <si>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</si>
  <si>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</si>
  <si>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</si>
  <si>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</si>
  <si>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</si>
  <si>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</si>
  <si>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</si>
  <si>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</si>
  <si>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</si>
  <si>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</si>
  <si>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</si>
  <si>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</si>
  <si>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</si>
  <si>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</si>
  <si>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</si>
  <si>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</si>
  <si>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</si>
  <si>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</si>
  <si>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</si>
  <si>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</si>
  <si>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</si>
  <si>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</si>
  <si>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</si>
  <si>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</si>
  <si>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</si>
  <si>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</si>
  <si>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</si>
  <si>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</si>
  <si>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</si>
  <si>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</si>
  <si>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</si>
  <si>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</si>
  <si>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</si>
  <si>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</si>
  <si>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</si>
  <si>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</si>
  <si>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</si>
  <si>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</si>
  <si>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</si>
  <si>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плюс 300шт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</si>
</sst>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0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93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13.7109375" customWidth="1"/>
    <col min="20" max="20" width="13" customWidth="1"/>
    <col min="21" max="21" width="5" customWidth="1"/>
    <col min="22" max="31" width="6" customWidth="1"/>
    <col min="32" max="32" width="36.710937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/>
      <c r="U4" s="1"/>
      <c r="V4" s="1" t="s">
        <v>22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20997.942999999999</v>
      </c>
      <c r="F5" s="4">
        <f>SUM(F6:F497)</f>
        <v>17474.888999999999</v>
      </c>
      <c r="G5" s="7"/>
      <c r="H5" s="1"/>
      <c r="I5" s="1"/>
      <c r="J5" s="1"/>
      <c r="K5" s="4">
        <f t="shared" ref="K5:S5" si="0">SUM(K6:K497)</f>
        <v>24940.264000000003</v>
      </c>
      <c r="L5" s="4">
        <f t="shared" si="0"/>
        <v>-3942.3209999999995</v>
      </c>
      <c r="M5" s="4">
        <f t="shared" si="0"/>
        <v>19073.042999999998</v>
      </c>
      <c r="N5" s="4">
        <f t="shared" si="0"/>
        <v>1924.9</v>
      </c>
      <c r="O5" s="4">
        <f t="shared" si="0"/>
        <v>11164</v>
      </c>
      <c r="P5" s="4">
        <f t="shared" si="0"/>
        <v>10833</v>
      </c>
      <c r="Q5" s="4">
        <f t="shared" si="0"/>
        <v>3814.6086</v>
      </c>
      <c r="R5" s="4">
        <f t="shared" si="0"/>
        <v>16287.962599999999</v>
      </c>
      <c r="S5" s="4">
        <f t="shared" si="0"/>
        <v>4318</v>
      </c>
      <c r="T5" s="1"/>
      <c r="U5" s="1"/>
      <c r="V5" s="4">
        <f t="shared" ref="V5:AE5" si="1">SUM(V6:V497)</f>
        <v>4103.6987999999983</v>
      </c>
      <c r="W5" s="4">
        <f t="shared" si="1"/>
        <v>3702.8408000000009</v>
      </c>
      <c r="X5" s="4">
        <f t="shared" si="1"/>
        <v>3918.0130000000008</v>
      </c>
      <c r="Y5" s="4">
        <f t="shared" si="1"/>
        <v>2980.3865999999989</v>
      </c>
      <c r="Z5" s="4">
        <f t="shared" si="1"/>
        <v>3758.5068000000015</v>
      </c>
      <c r="AA5" s="4">
        <f t="shared" si="1"/>
        <v>3450.5079999999998</v>
      </c>
      <c r="AB5" s="4">
        <f t="shared" si="1"/>
        <v>2884.9969999999994</v>
      </c>
      <c r="AC5" s="4">
        <f t="shared" si="1"/>
        <v>3367.2977999999994</v>
      </c>
      <c r="AD5" s="4">
        <f t="shared" si="1"/>
        <v>3323.5889999999999</v>
      </c>
      <c r="AE5" s="4">
        <f t="shared" si="1"/>
        <v>3634.4250000000011</v>
      </c>
      <c r="AF5" s="1"/>
      <c r="AG5" s="4">
        <f>SUM(AG6:AG497)</f>
        <v>9094.5856399999993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17.001000000000001</v>
      </c>
      <c r="D6" s="1">
        <v>2.1869999999999998</v>
      </c>
      <c r="E6" s="1">
        <v>8.7349999999999994</v>
      </c>
      <c r="F6" s="1">
        <v>6.0819999999999999</v>
      </c>
      <c r="G6" s="7">
        <v>1</v>
      </c>
      <c r="H6" s="1">
        <v>120</v>
      </c>
      <c r="I6" s="1" t="s">
        <v>36</v>
      </c>
      <c r="J6" s="1"/>
      <c r="K6" s="1">
        <v>10.85</v>
      </c>
      <c r="L6" s="1">
        <f t="shared" ref="L6:L37" si="2">E6-K6</f>
        <v>-2.1150000000000002</v>
      </c>
      <c r="M6" s="1">
        <f>E6-N6</f>
        <v>8.7349999999999994</v>
      </c>
      <c r="N6" s="1"/>
      <c r="O6" s="1">
        <v>12</v>
      </c>
      <c r="P6" s="1"/>
      <c r="Q6" s="1">
        <f>M6/5</f>
        <v>1.7469999999999999</v>
      </c>
      <c r="R6" s="5">
        <f>14*Q6-P6-O6-F6</f>
        <v>6.3759999999999986</v>
      </c>
      <c r="S6" s="22">
        <v>12</v>
      </c>
      <c r="T6" s="1">
        <f t="shared" ref="T6:T37" si="3">(F6+O6+P6+R6)/Q6</f>
        <v>14</v>
      </c>
      <c r="U6" s="1">
        <f>(F6+O6+P6)/Q6</f>
        <v>10.350314825414998</v>
      </c>
      <c r="V6" s="1">
        <v>1.9588000000000001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37</v>
      </c>
      <c r="AG6" s="1">
        <f t="shared" ref="AG6:AG23" si="4">G6*R6</f>
        <v>6.3759999999999986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325</v>
      </c>
      <c r="D7" s="1">
        <v>204</v>
      </c>
      <c r="E7" s="1">
        <v>282</v>
      </c>
      <c r="F7" s="1">
        <v>241</v>
      </c>
      <c r="G7" s="7">
        <v>0.4</v>
      </c>
      <c r="H7" s="1">
        <v>60</v>
      </c>
      <c r="I7" s="1" t="s">
        <v>36</v>
      </c>
      <c r="J7" s="1"/>
      <c r="K7" s="1">
        <v>293</v>
      </c>
      <c r="L7" s="1">
        <f t="shared" si="2"/>
        <v>-11</v>
      </c>
      <c r="M7" s="1">
        <f t="shared" ref="M7:M69" si="5">E7-N7</f>
        <v>266</v>
      </c>
      <c r="N7" s="1">
        <v>16</v>
      </c>
      <c r="O7" s="1">
        <v>198</v>
      </c>
      <c r="P7" s="1">
        <v>215</v>
      </c>
      <c r="Q7" s="1">
        <f t="shared" ref="Q7:Q69" si="6">M7/5</f>
        <v>53.2</v>
      </c>
      <c r="R7" s="5">
        <f t="shared" ref="R7:R23" si="7">14*Q7-P7-O7-F7</f>
        <v>90.800000000000068</v>
      </c>
      <c r="S7" s="22">
        <v>145</v>
      </c>
      <c r="T7" s="1">
        <f t="shared" si="3"/>
        <v>14</v>
      </c>
      <c r="U7" s="1">
        <f t="shared" ref="U7:U69" si="8">(F7+O7+P7)/Q7</f>
        <v>12.293233082706767</v>
      </c>
      <c r="V7" s="1">
        <v>61.8</v>
      </c>
      <c r="W7" s="1">
        <v>50.6</v>
      </c>
      <c r="X7" s="1">
        <v>53.6</v>
      </c>
      <c r="Y7" s="1">
        <v>52.4</v>
      </c>
      <c r="Z7" s="1">
        <v>61.6</v>
      </c>
      <c r="AA7" s="1">
        <v>64.599999999999994</v>
      </c>
      <c r="AB7" s="1">
        <v>54.6</v>
      </c>
      <c r="AC7" s="1">
        <v>62.6</v>
      </c>
      <c r="AD7" s="1">
        <v>77.400000000000006</v>
      </c>
      <c r="AE7" s="1">
        <v>50</v>
      </c>
      <c r="AF7" s="1"/>
      <c r="AG7" s="1">
        <f t="shared" si="4"/>
        <v>36.320000000000029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35</v>
      </c>
      <c r="C8" s="1">
        <v>21.556000000000001</v>
      </c>
      <c r="D8" s="1"/>
      <c r="E8" s="1">
        <v>6.585</v>
      </c>
      <c r="F8" s="1">
        <v>14.487</v>
      </c>
      <c r="G8" s="7">
        <v>1</v>
      </c>
      <c r="H8" s="1">
        <v>120</v>
      </c>
      <c r="I8" s="1" t="s">
        <v>36</v>
      </c>
      <c r="J8" s="1"/>
      <c r="K8" s="1">
        <v>7</v>
      </c>
      <c r="L8" s="1">
        <f t="shared" si="2"/>
        <v>-0.41500000000000004</v>
      </c>
      <c r="M8" s="1">
        <f t="shared" si="5"/>
        <v>6.585</v>
      </c>
      <c r="N8" s="1"/>
      <c r="O8" s="1">
        <v>8</v>
      </c>
      <c r="P8" s="1"/>
      <c r="Q8" s="1">
        <f t="shared" si="6"/>
        <v>1.3169999999999999</v>
      </c>
      <c r="R8" s="5"/>
      <c r="S8" s="22"/>
      <c r="T8" s="1">
        <f t="shared" si="3"/>
        <v>17.074411541381931</v>
      </c>
      <c r="U8" s="1">
        <f t="shared" si="8"/>
        <v>17.074411541381931</v>
      </c>
      <c r="V8" s="1">
        <v>2.0024000000000002</v>
      </c>
      <c r="W8" s="1">
        <v>1.6033999999999999</v>
      </c>
      <c r="X8" s="1">
        <v>3.3054000000000001</v>
      </c>
      <c r="Y8" s="1">
        <v>2.7782</v>
      </c>
      <c r="Z8" s="1">
        <v>1.0962000000000001</v>
      </c>
      <c r="AA8" s="1">
        <v>3.3123999999999998</v>
      </c>
      <c r="AB8" s="1">
        <v>2.1114000000000002</v>
      </c>
      <c r="AC8" s="1">
        <v>1.4079999999999999</v>
      </c>
      <c r="AD8" s="1">
        <v>0.70300000000000007</v>
      </c>
      <c r="AE8" s="1">
        <v>1.204</v>
      </c>
      <c r="AF8" s="1" t="s">
        <v>41</v>
      </c>
      <c r="AG8" s="1">
        <f t="shared" si="4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39</v>
      </c>
      <c r="C9" s="1">
        <v>176</v>
      </c>
      <c r="D9" s="1">
        <v>249</v>
      </c>
      <c r="E9" s="1">
        <v>227</v>
      </c>
      <c r="F9" s="1">
        <v>187</v>
      </c>
      <c r="G9" s="7">
        <v>0.25</v>
      </c>
      <c r="H9" s="1">
        <v>120</v>
      </c>
      <c r="I9" s="1" t="s">
        <v>36</v>
      </c>
      <c r="J9" s="1"/>
      <c r="K9" s="1">
        <v>240</v>
      </c>
      <c r="L9" s="1">
        <f t="shared" si="2"/>
        <v>-13</v>
      </c>
      <c r="M9" s="1">
        <f t="shared" si="5"/>
        <v>227</v>
      </c>
      <c r="N9" s="1"/>
      <c r="O9" s="1">
        <v>102</v>
      </c>
      <c r="P9" s="1">
        <v>110</v>
      </c>
      <c r="Q9" s="1">
        <f t="shared" si="6"/>
        <v>45.4</v>
      </c>
      <c r="R9" s="5">
        <f t="shared" si="7"/>
        <v>236.60000000000002</v>
      </c>
      <c r="S9" s="22"/>
      <c r="T9" s="1">
        <f t="shared" si="3"/>
        <v>14.000000000000002</v>
      </c>
      <c r="U9" s="1">
        <f t="shared" si="8"/>
        <v>8.7885462555066081</v>
      </c>
      <c r="V9" s="1">
        <v>42.8</v>
      </c>
      <c r="W9" s="1">
        <v>42</v>
      </c>
      <c r="X9" s="1">
        <v>36.200000000000003</v>
      </c>
      <c r="Y9" s="1">
        <v>28.4</v>
      </c>
      <c r="Z9" s="1">
        <v>46.4</v>
      </c>
      <c r="AA9" s="1">
        <v>58.6</v>
      </c>
      <c r="AB9" s="1">
        <v>37</v>
      </c>
      <c r="AC9" s="1">
        <v>32</v>
      </c>
      <c r="AD9" s="1">
        <v>56.8</v>
      </c>
      <c r="AE9" s="1">
        <v>27</v>
      </c>
      <c r="AF9" s="1" t="s">
        <v>41</v>
      </c>
      <c r="AG9" s="1">
        <f t="shared" si="4"/>
        <v>59.150000000000006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35</v>
      </c>
      <c r="C10" s="1">
        <v>1824.15</v>
      </c>
      <c r="D10" s="1">
        <v>1017.955</v>
      </c>
      <c r="E10" s="1">
        <v>1301.9490000000001</v>
      </c>
      <c r="F10" s="1">
        <v>1485.393</v>
      </c>
      <c r="G10" s="7">
        <v>1</v>
      </c>
      <c r="H10" s="1">
        <v>60</v>
      </c>
      <c r="I10" s="1" t="s">
        <v>36</v>
      </c>
      <c r="J10" s="1"/>
      <c r="K10" s="1">
        <v>1353.95</v>
      </c>
      <c r="L10" s="1">
        <f t="shared" si="2"/>
        <v>-52.000999999999976</v>
      </c>
      <c r="M10" s="1">
        <f t="shared" si="5"/>
        <v>1128.999</v>
      </c>
      <c r="N10" s="1">
        <v>172.95</v>
      </c>
      <c r="O10" s="1">
        <v>0</v>
      </c>
      <c r="P10" s="1"/>
      <c r="Q10" s="1">
        <f t="shared" si="6"/>
        <v>225.7998</v>
      </c>
      <c r="R10" s="5">
        <f t="shared" si="7"/>
        <v>1675.8042</v>
      </c>
      <c r="S10" s="22"/>
      <c r="T10" s="1">
        <f t="shared" si="3"/>
        <v>14</v>
      </c>
      <c r="U10" s="1">
        <f t="shared" si="8"/>
        <v>6.5783627797721698</v>
      </c>
      <c r="V10" s="1">
        <v>174.0976</v>
      </c>
      <c r="W10" s="1">
        <v>215.34819999999999</v>
      </c>
      <c r="X10" s="1">
        <v>230.37479999999999</v>
      </c>
      <c r="Y10" s="1">
        <v>177.86240000000001</v>
      </c>
      <c r="Z10" s="1">
        <v>189.81739999999999</v>
      </c>
      <c r="AA10" s="1">
        <v>205.5994</v>
      </c>
      <c r="AB10" s="1">
        <v>216.34460000000001</v>
      </c>
      <c r="AC10" s="1">
        <v>179.56120000000001</v>
      </c>
      <c r="AD10" s="1">
        <v>188.56039999999999</v>
      </c>
      <c r="AE10" s="1">
        <v>210.9682</v>
      </c>
      <c r="AF10" s="1"/>
      <c r="AG10" s="1">
        <f t="shared" si="4"/>
        <v>1675.8042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113.268</v>
      </c>
      <c r="D11" s="1">
        <v>1.4870000000000001</v>
      </c>
      <c r="E11" s="1">
        <v>16.396999999999998</v>
      </c>
      <c r="F11" s="1">
        <v>96.870999999999995</v>
      </c>
      <c r="G11" s="7">
        <v>1</v>
      </c>
      <c r="H11" s="1">
        <v>120</v>
      </c>
      <c r="I11" s="1" t="s">
        <v>36</v>
      </c>
      <c r="J11" s="1"/>
      <c r="K11" s="1">
        <v>18.100000000000001</v>
      </c>
      <c r="L11" s="1">
        <f t="shared" si="2"/>
        <v>-1.703000000000003</v>
      </c>
      <c r="M11" s="1">
        <f t="shared" si="5"/>
        <v>16.396999999999998</v>
      </c>
      <c r="N11" s="1"/>
      <c r="O11" s="1">
        <v>0</v>
      </c>
      <c r="P11" s="1"/>
      <c r="Q11" s="1">
        <f t="shared" si="6"/>
        <v>3.2793999999999999</v>
      </c>
      <c r="R11" s="5"/>
      <c r="S11" s="22"/>
      <c r="T11" s="1">
        <f t="shared" si="3"/>
        <v>29.539244983838508</v>
      </c>
      <c r="U11" s="1">
        <f t="shared" si="8"/>
        <v>29.539244983838508</v>
      </c>
      <c r="V11" s="1">
        <v>2.0808</v>
      </c>
      <c r="W11" s="1">
        <v>1.0946</v>
      </c>
      <c r="X11" s="1">
        <v>4.2603999999999997</v>
      </c>
      <c r="Y11" s="1">
        <v>2.5825999999999998</v>
      </c>
      <c r="Z11" s="1">
        <v>1.2851999999999999</v>
      </c>
      <c r="AA11" s="1">
        <v>7.2028000000000008</v>
      </c>
      <c r="AB11" s="1">
        <v>7.5352000000000006</v>
      </c>
      <c r="AC11" s="1">
        <v>4.4573999999999998</v>
      </c>
      <c r="AD11" s="1">
        <v>2.1379999999999999</v>
      </c>
      <c r="AE11" s="1">
        <v>1.2092000000000001</v>
      </c>
      <c r="AF11" s="20" t="s">
        <v>185</v>
      </c>
      <c r="AG11" s="1">
        <f t="shared" si="4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35</v>
      </c>
      <c r="C12" s="1">
        <v>4.08</v>
      </c>
      <c r="D12" s="1">
        <v>306.11</v>
      </c>
      <c r="E12" s="1">
        <v>128.47399999999999</v>
      </c>
      <c r="F12" s="1">
        <v>165.43799999999999</v>
      </c>
      <c r="G12" s="7">
        <v>1</v>
      </c>
      <c r="H12" s="1">
        <v>60</v>
      </c>
      <c r="I12" s="1" t="s">
        <v>36</v>
      </c>
      <c r="J12" s="1"/>
      <c r="K12" s="1">
        <v>172.1</v>
      </c>
      <c r="L12" s="1">
        <f t="shared" si="2"/>
        <v>-43.626000000000005</v>
      </c>
      <c r="M12" s="1">
        <f t="shared" si="5"/>
        <v>128.47399999999999</v>
      </c>
      <c r="N12" s="1"/>
      <c r="O12" s="1">
        <v>5</v>
      </c>
      <c r="P12" s="1"/>
      <c r="Q12" s="1">
        <f t="shared" si="6"/>
        <v>25.694799999999997</v>
      </c>
      <c r="R12" s="5">
        <f t="shared" si="7"/>
        <v>189.28919999999999</v>
      </c>
      <c r="S12" s="22"/>
      <c r="T12" s="1">
        <f t="shared" si="3"/>
        <v>14</v>
      </c>
      <c r="U12" s="1">
        <f t="shared" si="8"/>
        <v>6.633170913959245</v>
      </c>
      <c r="V12" s="1">
        <v>20.074200000000001</v>
      </c>
      <c r="W12" s="1">
        <v>38.593400000000003</v>
      </c>
      <c r="X12" s="1">
        <v>13.6388</v>
      </c>
      <c r="Y12" s="1">
        <v>20.777999999999999</v>
      </c>
      <c r="Z12" s="1">
        <v>25.1952</v>
      </c>
      <c r="AA12" s="1">
        <v>19.961600000000001</v>
      </c>
      <c r="AB12" s="1">
        <v>12.8834</v>
      </c>
      <c r="AC12" s="1">
        <v>22.982600000000001</v>
      </c>
      <c r="AD12" s="1">
        <v>20.1874</v>
      </c>
      <c r="AE12" s="1">
        <v>35.412799999999997</v>
      </c>
      <c r="AF12" s="1"/>
      <c r="AG12" s="1">
        <f t="shared" si="4"/>
        <v>189.28919999999999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825.71799999999996</v>
      </c>
      <c r="D13" s="1">
        <v>333.22399999999999</v>
      </c>
      <c r="E13" s="1">
        <v>511.06799999999998</v>
      </c>
      <c r="F13" s="1">
        <v>621.62599999999998</v>
      </c>
      <c r="G13" s="7">
        <v>1</v>
      </c>
      <c r="H13" s="1">
        <v>60</v>
      </c>
      <c r="I13" s="1" t="s">
        <v>36</v>
      </c>
      <c r="J13" s="1"/>
      <c r="K13" s="1">
        <v>548.69500000000005</v>
      </c>
      <c r="L13" s="1">
        <f t="shared" si="2"/>
        <v>-37.627000000000066</v>
      </c>
      <c r="M13" s="1">
        <f t="shared" si="5"/>
        <v>482.57299999999998</v>
      </c>
      <c r="N13" s="1">
        <v>28.495000000000001</v>
      </c>
      <c r="O13" s="1">
        <v>67</v>
      </c>
      <c r="P13" s="1">
        <v>73</v>
      </c>
      <c r="Q13" s="1">
        <f t="shared" si="6"/>
        <v>96.514600000000002</v>
      </c>
      <c r="R13" s="5">
        <f t="shared" si="7"/>
        <v>589.5784000000001</v>
      </c>
      <c r="S13" s="22"/>
      <c r="T13" s="1">
        <f t="shared" si="3"/>
        <v>14</v>
      </c>
      <c r="U13" s="1">
        <f t="shared" si="8"/>
        <v>7.8913034919069238</v>
      </c>
      <c r="V13" s="1">
        <v>81.86760000000001</v>
      </c>
      <c r="W13" s="1">
        <v>92.710000000000008</v>
      </c>
      <c r="X13" s="1">
        <v>102.6878</v>
      </c>
      <c r="Y13" s="1">
        <v>70.695400000000006</v>
      </c>
      <c r="Z13" s="1">
        <v>93.634</v>
      </c>
      <c r="AA13" s="1">
        <v>104.53</v>
      </c>
      <c r="AB13" s="1">
        <v>78.040800000000004</v>
      </c>
      <c r="AC13" s="1">
        <v>85.428200000000004</v>
      </c>
      <c r="AD13" s="1">
        <v>98.685399999999987</v>
      </c>
      <c r="AE13" s="1">
        <v>97.275999999999996</v>
      </c>
      <c r="AF13" s="1"/>
      <c r="AG13" s="1">
        <f t="shared" si="4"/>
        <v>589.5784000000001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39</v>
      </c>
      <c r="C14" s="1">
        <v>147</v>
      </c>
      <c r="D14" s="1">
        <v>1</v>
      </c>
      <c r="E14" s="1">
        <v>29</v>
      </c>
      <c r="F14" s="1">
        <v>116</v>
      </c>
      <c r="G14" s="7">
        <v>0.25</v>
      </c>
      <c r="H14" s="1">
        <v>120</v>
      </c>
      <c r="I14" s="1" t="s">
        <v>36</v>
      </c>
      <c r="J14" s="1"/>
      <c r="K14" s="1">
        <v>57</v>
      </c>
      <c r="L14" s="1">
        <f t="shared" si="2"/>
        <v>-28</v>
      </c>
      <c r="M14" s="1">
        <f t="shared" si="5"/>
        <v>29</v>
      </c>
      <c r="N14" s="1"/>
      <c r="O14" s="1">
        <v>0</v>
      </c>
      <c r="P14" s="1"/>
      <c r="Q14" s="1">
        <f t="shared" si="6"/>
        <v>5.8</v>
      </c>
      <c r="R14" s="5"/>
      <c r="S14" s="22"/>
      <c r="T14" s="1">
        <f t="shared" si="3"/>
        <v>20</v>
      </c>
      <c r="U14" s="1">
        <f t="shared" si="8"/>
        <v>20</v>
      </c>
      <c r="V14" s="1">
        <v>6.4</v>
      </c>
      <c r="W14" s="1">
        <v>8.1999999999999993</v>
      </c>
      <c r="X14" s="1">
        <v>12.2</v>
      </c>
      <c r="Y14" s="1">
        <v>7</v>
      </c>
      <c r="Z14" s="1">
        <v>15</v>
      </c>
      <c r="AA14" s="1">
        <v>19.8</v>
      </c>
      <c r="AB14" s="1">
        <v>12.4</v>
      </c>
      <c r="AC14" s="1">
        <v>8.4</v>
      </c>
      <c r="AD14" s="1">
        <v>8.4</v>
      </c>
      <c r="AE14" s="1">
        <v>17.399999999999999</v>
      </c>
      <c r="AF14" s="1" t="s">
        <v>41</v>
      </c>
      <c r="AG14" s="1">
        <f t="shared" si="4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105.075</v>
      </c>
      <c r="D15" s="1">
        <v>125.02</v>
      </c>
      <c r="E15" s="1">
        <v>71.006</v>
      </c>
      <c r="F15" s="1">
        <v>149.54900000000001</v>
      </c>
      <c r="G15" s="7">
        <v>1</v>
      </c>
      <c r="H15" s="1">
        <v>60</v>
      </c>
      <c r="I15" s="1" t="s">
        <v>36</v>
      </c>
      <c r="J15" s="1"/>
      <c r="K15" s="1">
        <v>81</v>
      </c>
      <c r="L15" s="1">
        <f t="shared" si="2"/>
        <v>-9.9939999999999998</v>
      </c>
      <c r="M15" s="1">
        <f t="shared" si="5"/>
        <v>71.006</v>
      </c>
      <c r="N15" s="1"/>
      <c r="O15" s="1">
        <v>28</v>
      </c>
      <c r="P15" s="1"/>
      <c r="Q15" s="1">
        <f t="shared" si="6"/>
        <v>14.2012</v>
      </c>
      <c r="R15" s="5">
        <f t="shared" si="7"/>
        <v>21.267799999999994</v>
      </c>
      <c r="S15" s="22">
        <v>40</v>
      </c>
      <c r="T15" s="1">
        <f t="shared" si="3"/>
        <v>14</v>
      </c>
      <c r="U15" s="1">
        <f t="shared" si="8"/>
        <v>12.502394163873475</v>
      </c>
      <c r="V15" s="1">
        <v>16.54</v>
      </c>
      <c r="W15" s="1">
        <v>18.708400000000001</v>
      </c>
      <c r="X15" s="1">
        <v>17.046800000000001</v>
      </c>
      <c r="Y15" s="1">
        <v>10.5136</v>
      </c>
      <c r="Z15" s="1">
        <v>19.4328</v>
      </c>
      <c r="AA15" s="1">
        <v>11.792199999999999</v>
      </c>
      <c r="AB15" s="1">
        <v>12.676</v>
      </c>
      <c r="AC15" s="1">
        <v>10.680199999999999</v>
      </c>
      <c r="AD15" s="1">
        <v>23.291399999999999</v>
      </c>
      <c r="AE15" s="1">
        <v>15.771800000000001</v>
      </c>
      <c r="AF15" s="1"/>
      <c r="AG15" s="1">
        <f t="shared" si="4"/>
        <v>21.267799999999994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39</v>
      </c>
      <c r="C16" s="1">
        <v>106</v>
      </c>
      <c r="D16" s="1">
        <v>49</v>
      </c>
      <c r="E16" s="1">
        <v>89</v>
      </c>
      <c r="F16" s="1">
        <v>56</v>
      </c>
      <c r="G16" s="7">
        <v>0.25</v>
      </c>
      <c r="H16" s="1">
        <v>120</v>
      </c>
      <c r="I16" s="1" t="s">
        <v>36</v>
      </c>
      <c r="J16" s="1"/>
      <c r="K16" s="1">
        <v>100</v>
      </c>
      <c r="L16" s="1">
        <f t="shared" si="2"/>
        <v>-11</v>
      </c>
      <c r="M16" s="1">
        <f t="shared" si="5"/>
        <v>89</v>
      </c>
      <c r="N16" s="1"/>
      <c r="O16" s="1">
        <v>68</v>
      </c>
      <c r="P16" s="1">
        <v>74</v>
      </c>
      <c r="Q16" s="1">
        <f t="shared" si="6"/>
        <v>17.8</v>
      </c>
      <c r="R16" s="5">
        <f t="shared" si="7"/>
        <v>51.200000000000017</v>
      </c>
      <c r="S16" s="22"/>
      <c r="T16" s="1">
        <f t="shared" si="3"/>
        <v>14</v>
      </c>
      <c r="U16" s="1">
        <f t="shared" si="8"/>
        <v>11.123595505617978</v>
      </c>
      <c r="V16" s="1">
        <v>19.2</v>
      </c>
      <c r="W16" s="1">
        <v>13.2</v>
      </c>
      <c r="X16" s="1">
        <v>14.4</v>
      </c>
      <c r="Y16" s="1">
        <v>7.6</v>
      </c>
      <c r="Z16" s="1">
        <v>31</v>
      </c>
      <c r="AA16" s="1">
        <v>9.4</v>
      </c>
      <c r="AB16" s="1">
        <v>11.4</v>
      </c>
      <c r="AC16" s="1">
        <v>10</v>
      </c>
      <c r="AD16" s="1">
        <v>10.4</v>
      </c>
      <c r="AE16" s="1">
        <v>14</v>
      </c>
      <c r="AF16" s="1" t="s">
        <v>41</v>
      </c>
      <c r="AG16" s="1">
        <f t="shared" si="4"/>
        <v>12.800000000000004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39</v>
      </c>
      <c r="C17" s="1">
        <v>542</v>
      </c>
      <c r="D17" s="1">
        <v>334</v>
      </c>
      <c r="E17" s="1">
        <v>328</v>
      </c>
      <c r="F17" s="1">
        <v>513</v>
      </c>
      <c r="G17" s="7">
        <v>0.4</v>
      </c>
      <c r="H17" s="1">
        <v>60</v>
      </c>
      <c r="I17" s="10" t="s">
        <v>51</v>
      </c>
      <c r="J17" s="1"/>
      <c r="K17" s="1">
        <v>378</v>
      </c>
      <c r="L17" s="1">
        <f t="shared" si="2"/>
        <v>-50</v>
      </c>
      <c r="M17" s="1">
        <f t="shared" si="5"/>
        <v>268</v>
      </c>
      <c r="N17" s="1">
        <v>60</v>
      </c>
      <c r="O17" s="1">
        <v>432</v>
      </c>
      <c r="P17" s="1">
        <v>468</v>
      </c>
      <c r="Q17" s="1">
        <f t="shared" si="6"/>
        <v>53.6</v>
      </c>
      <c r="R17" s="5">
        <v>150</v>
      </c>
      <c r="S17" s="22" t="s">
        <v>186</v>
      </c>
      <c r="T17" s="1">
        <f t="shared" si="3"/>
        <v>29.160447761194028</v>
      </c>
      <c r="U17" s="1">
        <f t="shared" si="8"/>
        <v>26.361940298507463</v>
      </c>
      <c r="V17" s="1">
        <v>60.2</v>
      </c>
      <c r="W17" s="1">
        <v>72.400000000000006</v>
      </c>
      <c r="X17" s="1">
        <v>75.599999999999994</v>
      </c>
      <c r="Y17" s="1">
        <v>61</v>
      </c>
      <c r="Z17" s="1">
        <v>63.2</v>
      </c>
      <c r="AA17" s="1">
        <v>82.8</v>
      </c>
      <c r="AB17" s="1">
        <v>92</v>
      </c>
      <c r="AC17" s="1">
        <v>271.2</v>
      </c>
      <c r="AD17" s="1">
        <v>117.8</v>
      </c>
      <c r="AE17" s="1">
        <v>83.6</v>
      </c>
      <c r="AF17" s="1" t="s">
        <v>52</v>
      </c>
      <c r="AG17" s="1">
        <f t="shared" si="4"/>
        <v>60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35</v>
      </c>
      <c r="C18" s="1">
        <v>111.25700000000001</v>
      </c>
      <c r="D18" s="1">
        <v>407.75200000000001</v>
      </c>
      <c r="E18" s="1">
        <v>349.57100000000003</v>
      </c>
      <c r="F18" s="1">
        <v>147.33699999999999</v>
      </c>
      <c r="G18" s="7">
        <v>1</v>
      </c>
      <c r="H18" s="1">
        <v>45</v>
      </c>
      <c r="I18" s="1" t="s">
        <v>36</v>
      </c>
      <c r="J18" s="1"/>
      <c r="K18" s="1">
        <v>358.28399999999999</v>
      </c>
      <c r="L18" s="1">
        <f t="shared" si="2"/>
        <v>-8.7129999999999654</v>
      </c>
      <c r="M18" s="1">
        <f t="shared" si="5"/>
        <v>329.18700000000001</v>
      </c>
      <c r="N18" s="1">
        <v>20.384</v>
      </c>
      <c r="O18" s="1">
        <v>144</v>
      </c>
      <c r="P18" s="1">
        <v>155</v>
      </c>
      <c r="Q18" s="1">
        <f t="shared" si="6"/>
        <v>65.837400000000002</v>
      </c>
      <c r="R18" s="5">
        <f t="shared" si="7"/>
        <v>475.38660000000004</v>
      </c>
      <c r="S18" s="22"/>
      <c r="T18" s="1">
        <f t="shared" si="3"/>
        <v>14</v>
      </c>
      <c r="U18" s="1">
        <f t="shared" si="8"/>
        <v>6.7793837545225051</v>
      </c>
      <c r="V18" s="1">
        <v>51.108999999999988</v>
      </c>
      <c r="W18" s="1">
        <v>43.211599999999997</v>
      </c>
      <c r="X18" s="1">
        <v>32.240600000000001</v>
      </c>
      <c r="Y18" s="1">
        <v>32.985400000000013</v>
      </c>
      <c r="Z18" s="1">
        <v>53.372999999999998</v>
      </c>
      <c r="AA18" s="1">
        <v>45.478000000000002</v>
      </c>
      <c r="AB18" s="1">
        <v>63.830599999999997</v>
      </c>
      <c r="AC18" s="1">
        <v>58.777599999999993</v>
      </c>
      <c r="AD18" s="1">
        <v>55.939200000000007</v>
      </c>
      <c r="AE18" s="1">
        <v>60.511800000000008</v>
      </c>
      <c r="AF18" s="1"/>
      <c r="AG18" s="1">
        <f t="shared" si="4"/>
        <v>475.38660000000004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35</v>
      </c>
      <c r="C19" s="1">
        <v>63.573999999999998</v>
      </c>
      <c r="D19" s="1"/>
      <c r="E19" s="1">
        <v>20.548999999999999</v>
      </c>
      <c r="F19" s="1">
        <v>43.024999999999999</v>
      </c>
      <c r="G19" s="7">
        <v>1</v>
      </c>
      <c r="H19" s="1">
        <v>120</v>
      </c>
      <c r="I19" s="1" t="s">
        <v>36</v>
      </c>
      <c r="J19" s="1"/>
      <c r="K19" s="1">
        <v>20.7</v>
      </c>
      <c r="L19" s="1">
        <f t="shared" si="2"/>
        <v>-0.1509999999999998</v>
      </c>
      <c r="M19" s="1">
        <f t="shared" si="5"/>
        <v>20.548999999999999</v>
      </c>
      <c r="N19" s="1"/>
      <c r="O19" s="1">
        <v>0</v>
      </c>
      <c r="P19" s="1"/>
      <c r="Q19" s="1">
        <f t="shared" si="6"/>
        <v>4.1097999999999999</v>
      </c>
      <c r="R19" s="5">
        <f t="shared" si="7"/>
        <v>14.5122</v>
      </c>
      <c r="S19" s="22"/>
      <c r="T19" s="1">
        <f t="shared" si="3"/>
        <v>14</v>
      </c>
      <c r="U19" s="1">
        <f t="shared" si="8"/>
        <v>10.468879264197771</v>
      </c>
      <c r="V19" s="1">
        <v>3.9178000000000002</v>
      </c>
      <c r="W19" s="1">
        <v>1.0058</v>
      </c>
      <c r="X19" s="1">
        <v>5.9120000000000008</v>
      </c>
      <c r="Y19" s="1">
        <v>4.2256</v>
      </c>
      <c r="Z19" s="1">
        <v>1.1032</v>
      </c>
      <c r="AA19" s="1">
        <v>0</v>
      </c>
      <c r="AB19" s="1">
        <v>4.2124000000000006</v>
      </c>
      <c r="AC19" s="1">
        <v>0.98399999999999999</v>
      </c>
      <c r="AD19" s="1">
        <v>2.4192</v>
      </c>
      <c r="AE19" s="1">
        <v>2.4304000000000001</v>
      </c>
      <c r="AF19" s="1" t="s">
        <v>41</v>
      </c>
      <c r="AG19" s="1">
        <f t="shared" si="4"/>
        <v>14.5122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39</v>
      </c>
      <c r="C20" s="1">
        <v>354</v>
      </c>
      <c r="D20" s="1">
        <v>169</v>
      </c>
      <c r="E20" s="1">
        <v>378</v>
      </c>
      <c r="F20" s="1">
        <v>139</v>
      </c>
      <c r="G20" s="7">
        <v>0.4</v>
      </c>
      <c r="H20" s="1">
        <v>45</v>
      </c>
      <c r="I20" s="1" t="s">
        <v>36</v>
      </c>
      <c r="J20" s="1"/>
      <c r="K20" s="1">
        <v>386</v>
      </c>
      <c r="L20" s="1">
        <f t="shared" si="2"/>
        <v>-8</v>
      </c>
      <c r="M20" s="1">
        <f t="shared" si="5"/>
        <v>378</v>
      </c>
      <c r="N20" s="1"/>
      <c r="O20" s="1">
        <v>310</v>
      </c>
      <c r="P20" s="1">
        <v>335</v>
      </c>
      <c r="Q20" s="1">
        <f t="shared" si="6"/>
        <v>75.599999999999994</v>
      </c>
      <c r="R20" s="5">
        <f t="shared" si="7"/>
        <v>274.39999999999986</v>
      </c>
      <c r="S20" s="22"/>
      <c r="T20" s="1">
        <f t="shared" si="3"/>
        <v>14</v>
      </c>
      <c r="U20" s="1">
        <f t="shared" si="8"/>
        <v>10.370370370370372</v>
      </c>
      <c r="V20" s="1">
        <v>83</v>
      </c>
      <c r="W20" s="1">
        <v>62.4</v>
      </c>
      <c r="X20" s="1">
        <v>72.2</v>
      </c>
      <c r="Y20" s="1">
        <v>78.2</v>
      </c>
      <c r="Z20" s="1">
        <v>26.4</v>
      </c>
      <c r="AA20" s="1">
        <v>82.6</v>
      </c>
      <c r="AB20" s="1">
        <v>45</v>
      </c>
      <c r="AC20" s="1">
        <v>56.6</v>
      </c>
      <c r="AD20" s="1">
        <v>68.2</v>
      </c>
      <c r="AE20" s="1">
        <v>54.6</v>
      </c>
      <c r="AF20" s="1"/>
      <c r="AG20" s="1">
        <f t="shared" si="4"/>
        <v>109.75999999999995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35</v>
      </c>
      <c r="C21" s="1">
        <v>351.93700000000001</v>
      </c>
      <c r="D21" s="1">
        <v>457.755</v>
      </c>
      <c r="E21" s="1">
        <v>289.30399999999997</v>
      </c>
      <c r="F21" s="1">
        <v>508.02699999999999</v>
      </c>
      <c r="G21" s="7">
        <v>1</v>
      </c>
      <c r="H21" s="1">
        <v>60</v>
      </c>
      <c r="I21" s="1" t="s">
        <v>36</v>
      </c>
      <c r="J21" s="1"/>
      <c r="K21" s="1">
        <v>298.28800000000001</v>
      </c>
      <c r="L21" s="1">
        <f t="shared" si="2"/>
        <v>-8.9840000000000373</v>
      </c>
      <c r="M21" s="1">
        <f t="shared" si="5"/>
        <v>269.01599999999996</v>
      </c>
      <c r="N21" s="1">
        <v>20.288</v>
      </c>
      <c r="O21" s="1">
        <v>0</v>
      </c>
      <c r="P21" s="1"/>
      <c r="Q21" s="1">
        <f t="shared" si="6"/>
        <v>53.80319999999999</v>
      </c>
      <c r="R21" s="5">
        <f t="shared" si="7"/>
        <v>245.21779999999984</v>
      </c>
      <c r="S21" s="22"/>
      <c r="T21" s="1">
        <f t="shared" si="3"/>
        <v>14</v>
      </c>
      <c r="U21" s="1">
        <f t="shared" si="8"/>
        <v>9.442319415945521</v>
      </c>
      <c r="V21" s="1">
        <v>48.093400000000003</v>
      </c>
      <c r="W21" s="1">
        <v>64.241</v>
      </c>
      <c r="X21" s="1">
        <v>46.517200000000003</v>
      </c>
      <c r="Y21" s="1">
        <v>34.347799999999999</v>
      </c>
      <c r="Z21" s="1">
        <v>52.350999999999999</v>
      </c>
      <c r="AA21" s="1">
        <v>58.570799999999998</v>
      </c>
      <c r="AB21" s="1">
        <v>43.5886</v>
      </c>
      <c r="AC21" s="1">
        <v>30.848199999999999</v>
      </c>
      <c r="AD21" s="1">
        <v>57.430399999999999</v>
      </c>
      <c r="AE21" s="1">
        <v>43.7378</v>
      </c>
      <c r="AF21" s="1"/>
      <c r="AG21" s="1">
        <f t="shared" si="4"/>
        <v>245.21779999999984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39</v>
      </c>
      <c r="C22" s="1">
        <v>12</v>
      </c>
      <c r="D22" s="1">
        <v>443</v>
      </c>
      <c r="E22" s="1">
        <v>316</v>
      </c>
      <c r="F22" s="1">
        <v>126</v>
      </c>
      <c r="G22" s="7">
        <v>0.22</v>
      </c>
      <c r="H22" s="1">
        <v>120</v>
      </c>
      <c r="I22" s="10" t="s">
        <v>51</v>
      </c>
      <c r="J22" s="1"/>
      <c r="K22" s="1">
        <v>583</v>
      </c>
      <c r="L22" s="1">
        <f t="shared" si="2"/>
        <v>-267</v>
      </c>
      <c r="M22" s="1">
        <f t="shared" si="5"/>
        <v>284</v>
      </c>
      <c r="N22" s="1">
        <v>32</v>
      </c>
      <c r="O22" s="1">
        <v>384</v>
      </c>
      <c r="P22" s="1">
        <v>416</v>
      </c>
      <c r="Q22" s="1">
        <f t="shared" si="6"/>
        <v>56.8</v>
      </c>
      <c r="R22" s="5">
        <v>150</v>
      </c>
      <c r="S22" s="22"/>
      <c r="T22" s="1">
        <f t="shared" si="3"/>
        <v>18.943661971830988</v>
      </c>
      <c r="U22" s="1">
        <f t="shared" si="8"/>
        <v>16.302816901408452</v>
      </c>
      <c r="V22" s="1">
        <v>145.4</v>
      </c>
      <c r="W22" s="1">
        <v>43.4</v>
      </c>
      <c r="X22" s="1">
        <v>27.8</v>
      </c>
      <c r="Y22" s="1">
        <v>20.399999999999999</v>
      </c>
      <c r="Z22" s="1">
        <v>30.4</v>
      </c>
      <c r="AA22" s="1">
        <v>40.799999999999997</v>
      </c>
      <c r="AB22" s="1">
        <v>29.4</v>
      </c>
      <c r="AC22" s="1">
        <v>36</v>
      </c>
      <c r="AD22" s="1">
        <v>41.8</v>
      </c>
      <c r="AE22" s="1">
        <v>34.799999999999997</v>
      </c>
      <c r="AF22" s="1" t="s">
        <v>58</v>
      </c>
      <c r="AG22" s="1">
        <f t="shared" si="4"/>
        <v>33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35</v>
      </c>
      <c r="C23" s="1">
        <v>8.6920000000000002</v>
      </c>
      <c r="D23" s="1">
        <v>29.521999999999998</v>
      </c>
      <c r="E23" s="1">
        <v>12.311999999999999</v>
      </c>
      <c r="F23" s="1">
        <v>20.678000000000001</v>
      </c>
      <c r="G23" s="7">
        <v>1</v>
      </c>
      <c r="H23" s="1">
        <v>40</v>
      </c>
      <c r="I23" s="1" t="s">
        <v>36</v>
      </c>
      <c r="J23" s="1"/>
      <c r="K23" s="1">
        <v>14.834</v>
      </c>
      <c r="L23" s="1">
        <f t="shared" si="2"/>
        <v>-2.5220000000000002</v>
      </c>
      <c r="M23" s="1">
        <f t="shared" si="5"/>
        <v>12.311999999999999</v>
      </c>
      <c r="N23" s="1"/>
      <c r="O23" s="1">
        <v>0</v>
      </c>
      <c r="P23" s="1"/>
      <c r="Q23" s="1">
        <f t="shared" si="6"/>
        <v>2.4623999999999997</v>
      </c>
      <c r="R23" s="5">
        <f t="shared" si="7"/>
        <v>13.795599999999997</v>
      </c>
      <c r="S23" s="22"/>
      <c r="T23" s="1">
        <f t="shared" si="3"/>
        <v>14</v>
      </c>
      <c r="U23" s="1">
        <f t="shared" si="8"/>
        <v>8.3974983755685528</v>
      </c>
      <c r="V23" s="1">
        <v>1.75</v>
      </c>
      <c r="W23" s="1">
        <v>3.7240000000000002</v>
      </c>
      <c r="X23" s="1">
        <v>2.7128000000000001</v>
      </c>
      <c r="Y23" s="1">
        <v>2.968</v>
      </c>
      <c r="Z23" s="1">
        <v>3.1092</v>
      </c>
      <c r="AA23" s="1">
        <v>3.777600000000001</v>
      </c>
      <c r="AB23" s="1">
        <v>3.5044</v>
      </c>
      <c r="AC23" s="1">
        <v>4.4631999999999996</v>
      </c>
      <c r="AD23" s="1">
        <v>9.3635999999999999</v>
      </c>
      <c r="AE23" s="1">
        <v>8.4480000000000004</v>
      </c>
      <c r="AF23" s="1"/>
      <c r="AG23" s="1">
        <f t="shared" si="4"/>
        <v>13.795599999999997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1" t="s">
        <v>60</v>
      </c>
      <c r="B24" s="11" t="s">
        <v>35</v>
      </c>
      <c r="C24" s="11"/>
      <c r="D24" s="11">
        <v>18.05</v>
      </c>
      <c r="E24" s="11">
        <v>18.05</v>
      </c>
      <c r="F24" s="11"/>
      <c r="G24" s="12">
        <v>0</v>
      </c>
      <c r="H24" s="11"/>
      <c r="I24" s="11" t="s">
        <v>62</v>
      </c>
      <c r="J24" s="11"/>
      <c r="K24" s="11">
        <v>18.05</v>
      </c>
      <c r="L24" s="11">
        <f t="shared" si="2"/>
        <v>0</v>
      </c>
      <c r="M24" s="11">
        <f t="shared" si="5"/>
        <v>0</v>
      </c>
      <c r="N24" s="11">
        <v>18.05</v>
      </c>
      <c r="O24" s="11"/>
      <c r="P24" s="11"/>
      <c r="Q24" s="11">
        <f t="shared" si="6"/>
        <v>0</v>
      </c>
      <c r="R24" s="13"/>
      <c r="S24" s="23"/>
      <c r="T24" s="11" t="e">
        <f t="shared" si="3"/>
        <v>#DIV/0!</v>
      </c>
      <c r="U24" s="11" t="e">
        <f t="shared" si="8"/>
        <v>#DIV/0!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/>
      <c r="AG24" s="1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1" t="s">
        <v>61</v>
      </c>
      <c r="B25" s="11" t="s">
        <v>39</v>
      </c>
      <c r="C25" s="11"/>
      <c r="D25" s="11">
        <v>20</v>
      </c>
      <c r="E25" s="11">
        <v>18</v>
      </c>
      <c r="F25" s="11"/>
      <c r="G25" s="12">
        <v>0</v>
      </c>
      <c r="H25" s="11">
        <v>45</v>
      </c>
      <c r="I25" s="11" t="s">
        <v>62</v>
      </c>
      <c r="J25" s="11"/>
      <c r="K25" s="11">
        <v>64</v>
      </c>
      <c r="L25" s="11">
        <f t="shared" si="2"/>
        <v>-46</v>
      </c>
      <c r="M25" s="11">
        <f t="shared" si="5"/>
        <v>-2</v>
      </c>
      <c r="N25" s="11">
        <v>20</v>
      </c>
      <c r="O25" s="11">
        <v>0</v>
      </c>
      <c r="P25" s="11"/>
      <c r="Q25" s="11">
        <f t="shared" si="6"/>
        <v>-0.4</v>
      </c>
      <c r="R25" s="13"/>
      <c r="S25" s="23"/>
      <c r="T25" s="11">
        <f t="shared" si="3"/>
        <v>0</v>
      </c>
      <c r="U25" s="11">
        <f t="shared" si="8"/>
        <v>0</v>
      </c>
      <c r="V25" s="11">
        <v>0.4</v>
      </c>
      <c r="W25" s="11">
        <v>0</v>
      </c>
      <c r="X25" s="11">
        <v>0.2</v>
      </c>
      <c r="Y25" s="11">
        <v>1</v>
      </c>
      <c r="Z25" s="11">
        <v>4</v>
      </c>
      <c r="AA25" s="11">
        <v>2</v>
      </c>
      <c r="AB25" s="11">
        <v>1</v>
      </c>
      <c r="AC25" s="11">
        <v>5.6</v>
      </c>
      <c r="AD25" s="11">
        <v>0.8</v>
      </c>
      <c r="AE25" s="11">
        <v>3.8</v>
      </c>
      <c r="AF25" s="11"/>
      <c r="AG25" s="1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35</v>
      </c>
      <c r="C26" s="1">
        <v>650.65200000000004</v>
      </c>
      <c r="D26" s="1">
        <v>187.648</v>
      </c>
      <c r="E26" s="1">
        <v>404.84899999999999</v>
      </c>
      <c r="F26" s="1">
        <v>423.38799999999998</v>
      </c>
      <c r="G26" s="7">
        <v>1</v>
      </c>
      <c r="H26" s="1">
        <v>60</v>
      </c>
      <c r="I26" s="1" t="s">
        <v>36</v>
      </c>
      <c r="J26" s="1"/>
      <c r="K26" s="1">
        <v>414.50700000000001</v>
      </c>
      <c r="L26" s="1">
        <f t="shared" si="2"/>
        <v>-9.6580000000000155</v>
      </c>
      <c r="M26" s="1">
        <f t="shared" si="5"/>
        <v>384.34199999999998</v>
      </c>
      <c r="N26" s="1">
        <v>20.507000000000001</v>
      </c>
      <c r="O26" s="1">
        <v>76</v>
      </c>
      <c r="P26" s="1">
        <v>83</v>
      </c>
      <c r="Q26" s="1">
        <f t="shared" si="6"/>
        <v>76.868399999999994</v>
      </c>
      <c r="R26" s="5">
        <f t="shared" ref="R26:R32" si="9">14*Q26-P26-O26-F26</f>
        <v>493.76960000000003</v>
      </c>
      <c r="S26" s="22"/>
      <c r="T26" s="1">
        <f t="shared" si="3"/>
        <v>14.000000000000002</v>
      </c>
      <c r="U26" s="1">
        <f t="shared" si="8"/>
        <v>7.5764293259648952</v>
      </c>
      <c r="V26" s="1">
        <v>64.695399999999992</v>
      </c>
      <c r="W26" s="1">
        <v>70.25139999999999</v>
      </c>
      <c r="X26" s="1">
        <v>82.190599999999989</v>
      </c>
      <c r="Y26" s="1">
        <v>43.906599999999997</v>
      </c>
      <c r="Z26" s="1">
        <v>67.56280000000001</v>
      </c>
      <c r="AA26" s="1">
        <v>53.627400000000002</v>
      </c>
      <c r="AB26" s="1">
        <v>57.724600000000002</v>
      </c>
      <c r="AC26" s="1">
        <v>46.6706</v>
      </c>
      <c r="AD26" s="1">
        <v>41.666800000000002</v>
      </c>
      <c r="AE26" s="1">
        <v>53.355600000000003</v>
      </c>
      <c r="AF26" s="1"/>
      <c r="AG26" s="1">
        <f t="shared" ref="AG26:AG32" si="10">G26*R26</f>
        <v>493.76960000000003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39</v>
      </c>
      <c r="C27" s="1">
        <v>326</v>
      </c>
      <c r="D27" s="1">
        <v>551</v>
      </c>
      <c r="E27" s="1">
        <v>465</v>
      </c>
      <c r="F27" s="1">
        <v>385</v>
      </c>
      <c r="G27" s="7">
        <v>0.09</v>
      </c>
      <c r="H27" s="1">
        <v>60</v>
      </c>
      <c r="I27" s="1" t="s">
        <v>36</v>
      </c>
      <c r="J27" s="1"/>
      <c r="K27" s="1">
        <v>501</v>
      </c>
      <c r="L27" s="1">
        <f t="shared" si="2"/>
        <v>-36</v>
      </c>
      <c r="M27" s="1">
        <f t="shared" si="5"/>
        <v>435</v>
      </c>
      <c r="N27" s="1">
        <v>30</v>
      </c>
      <c r="O27" s="1">
        <v>155</v>
      </c>
      <c r="P27" s="1">
        <v>168</v>
      </c>
      <c r="Q27" s="1">
        <f t="shared" si="6"/>
        <v>87</v>
      </c>
      <c r="R27" s="5">
        <f t="shared" si="9"/>
        <v>510</v>
      </c>
      <c r="S27" s="22"/>
      <c r="T27" s="1">
        <f t="shared" si="3"/>
        <v>14</v>
      </c>
      <c r="U27" s="1">
        <f t="shared" si="8"/>
        <v>8.137931034482758</v>
      </c>
      <c r="V27" s="1">
        <v>77.400000000000006</v>
      </c>
      <c r="W27" s="1">
        <v>82</v>
      </c>
      <c r="X27" s="1">
        <v>75</v>
      </c>
      <c r="Y27" s="1">
        <v>93.2</v>
      </c>
      <c r="Z27" s="1">
        <v>85.8</v>
      </c>
      <c r="AA27" s="1">
        <v>84.6</v>
      </c>
      <c r="AB27" s="1">
        <v>59</v>
      </c>
      <c r="AC27" s="1">
        <v>53.4</v>
      </c>
      <c r="AD27" s="1">
        <v>74.400000000000006</v>
      </c>
      <c r="AE27" s="1">
        <v>83</v>
      </c>
      <c r="AF27" s="1"/>
      <c r="AG27" s="1">
        <f t="shared" si="10"/>
        <v>45.9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39</v>
      </c>
      <c r="C28" s="1">
        <v>8</v>
      </c>
      <c r="D28" s="1">
        <v>112</v>
      </c>
      <c r="E28" s="1">
        <v>114</v>
      </c>
      <c r="F28" s="1">
        <v>-2</v>
      </c>
      <c r="G28" s="7">
        <v>0.09</v>
      </c>
      <c r="H28" s="1">
        <v>45</v>
      </c>
      <c r="I28" s="1" t="s">
        <v>36</v>
      </c>
      <c r="J28" s="1"/>
      <c r="K28" s="1">
        <v>267</v>
      </c>
      <c r="L28" s="1">
        <f t="shared" si="2"/>
        <v>-153</v>
      </c>
      <c r="M28" s="1">
        <f t="shared" si="5"/>
        <v>84</v>
      </c>
      <c r="N28" s="1">
        <v>30</v>
      </c>
      <c r="O28" s="1">
        <v>48</v>
      </c>
      <c r="P28" s="1">
        <v>52</v>
      </c>
      <c r="Q28" s="1">
        <f t="shared" si="6"/>
        <v>16.8</v>
      </c>
      <c r="R28" s="5">
        <f t="shared" si="9"/>
        <v>137.20000000000002</v>
      </c>
      <c r="S28" s="22"/>
      <c r="T28" s="1">
        <f t="shared" si="3"/>
        <v>14</v>
      </c>
      <c r="U28" s="1">
        <f t="shared" si="8"/>
        <v>5.833333333333333</v>
      </c>
      <c r="V28" s="1">
        <v>10.4</v>
      </c>
      <c r="W28" s="1">
        <v>-0.6</v>
      </c>
      <c r="X28" s="1">
        <v>13</v>
      </c>
      <c r="Y28" s="1">
        <v>4.5999999999999996</v>
      </c>
      <c r="Z28" s="1">
        <v>15</v>
      </c>
      <c r="AA28" s="1">
        <v>4.5999999999999996</v>
      </c>
      <c r="AB28" s="1">
        <v>18.399999999999999</v>
      </c>
      <c r="AC28" s="1">
        <v>16</v>
      </c>
      <c r="AD28" s="1">
        <v>20.399999999999999</v>
      </c>
      <c r="AE28" s="1">
        <v>10</v>
      </c>
      <c r="AF28" s="1"/>
      <c r="AG28" s="1">
        <f t="shared" si="10"/>
        <v>12.348000000000001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39</v>
      </c>
      <c r="C29" s="1">
        <v>33</v>
      </c>
      <c r="D29" s="1">
        <v>32</v>
      </c>
      <c r="E29" s="1">
        <v>61</v>
      </c>
      <c r="F29" s="1">
        <v>1</v>
      </c>
      <c r="G29" s="7">
        <v>0.15</v>
      </c>
      <c r="H29" s="1">
        <v>45</v>
      </c>
      <c r="I29" s="1" t="s">
        <v>36</v>
      </c>
      <c r="J29" s="1"/>
      <c r="K29" s="1">
        <v>117</v>
      </c>
      <c r="L29" s="1">
        <f t="shared" si="2"/>
        <v>-56</v>
      </c>
      <c r="M29" s="1">
        <f t="shared" si="5"/>
        <v>45</v>
      </c>
      <c r="N29" s="1">
        <v>16</v>
      </c>
      <c r="O29" s="1">
        <v>54</v>
      </c>
      <c r="P29" s="1">
        <v>58</v>
      </c>
      <c r="Q29" s="1">
        <f t="shared" si="6"/>
        <v>9</v>
      </c>
      <c r="R29" s="5">
        <f t="shared" si="9"/>
        <v>13</v>
      </c>
      <c r="S29" s="22">
        <v>50</v>
      </c>
      <c r="T29" s="1">
        <f t="shared" si="3"/>
        <v>14</v>
      </c>
      <c r="U29" s="1">
        <f t="shared" si="8"/>
        <v>12.555555555555555</v>
      </c>
      <c r="V29" s="1">
        <v>14</v>
      </c>
      <c r="W29" s="1">
        <v>7.2</v>
      </c>
      <c r="X29" s="1">
        <v>9.1999999999999993</v>
      </c>
      <c r="Y29" s="1">
        <v>4.4000000000000004</v>
      </c>
      <c r="Z29" s="1">
        <v>0</v>
      </c>
      <c r="AA29" s="1">
        <v>1.6</v>
      </c>
      <c r="AB29" s="1">
        <v>1.8</v>
      </c>
      <c r="AC29" s="1">
        <v>3.8</v>
      </c>
      <c r="AD29" s="1">
        <v>6</v>
      </c>
      <c r="AE29" s="1">
        <v>13.6</v>
      </c>
      <c r="AF29" s="1" t="s">
        <v>67</v>
      </c>
      <c r="AG29" s="1">
        <f t="shared" si="10"/>
        <v>1.95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68</v>
      </c>
      <c r="B30" s="1" t="s">
        <v>35</v>
      </c>
      <c r="C30" s="1">
        <v>582.04899999999998</v>
      </c>
      <c r="D30" s="1">
        <v>133.39699999999999</v>
      </c>
      <c r="E30" s="1">
        <v>325.49299999999999</v>
      </c>
      <c r="F30" s="1">
        <v>372.74299999999999</v>
      </c>
      <c r="G30" s="7">
        <v>1</v>
      </c>
      <c r="H30" s="1">
        <v>45</v>
      </c>
      <c r="I30" s="1" t="s">
        <v>36</v>
      </c>
      <c r="J30" s="1"/>
      <c r="K30" s="1">
        <v>326.98</v>
      </c>
      <c r="L30" s="1">
        <f t="shared" si="2"/>
        <v>-1.4870000000000232</v>
      </c>
      <c r="M30" s="1">
        <f t="shared" si="5"/>
        <v>264.31299999999999</v>
      </c>
      <c r="N30" s="1">
        <v>61.18</v>
      </c>
      <c r="O30" s="1">
        <v>350</v>
      </c>
      <c r="P30" s="1">
        <v>380</v>
      </c>
      <c r="Q30" s="1">
        <f t="shared" si="6"/>
        <v>52.8626</v>
      </c>
      <c r="R30" s="5"/>
      <c r="S30" s="22">
        <v>45</v>
      </c>
      <c r="T30" s="1">
        <f t="shared" si="3"/>
        <v>20.860551694392633</v>
      </c>
      <c r="U30" s="1">
        <f t="shared" si="8"/>
        <v>20.860551694392633</v>
      </c>
      <c r="V30" s="1">
        <v>90.820000000000007</v>
      </c>
      <c r="W30" s="1">
        <v>51.096400000000003</v>
      </c>
      <c r="X30" s="1">
        <v>66.051999999999992</v>
      </c>
      <c r="Y30" s="1">
        <v>52.612400000000001</v>
      </c>
      <c r="Z30" s="1">
        <v>56.536999999999999</v>
      </c>
      <c r="AA30" s="1">
        <v>48.489400000000003</v>
      </c>
      <c r="AB30" s="1">
        <v>48.859400000000001</v>
      </c>
      <c r="AC30" s="1">
        <v>40.973200000000013</v>
      </c>
      <c r="AD30" s="1">
        <v>46.067999999999998</v>
      </c>
      <c r="AE30" s="1">
        <v>42.266199999999998</v>
      </c>
      <c r="AF30" s="19" t="s">
        <v>104</v>
      </c>
      <c r="AG30" s="1">
        <f t="shared" si="10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39</v>
      </c>
      <c r="C31" s="1">
        <v>104</v>
      </c>
      <c r="D31" s="1">
        <v>125</v>
      </c>
      <c r="E31" s="1">
        <v>106</v>
      </c>
      <c r="F31" s="1">
        <v>119</v>
      </c>
      <c r="G31" s="7">
        <v>0.4</v>
      </c>
      <c r="H31" s="1">
        <v>60</v>
      </c>
      <c r="I31" s="1" t="s">
        <v>36</v>
      </c>
      <c r="J31" s="1"/>
      <c r="K31" s="1">
        <v>112</v>
      </c>
      <c r="L31" s="1">
        <f t="shared" si="2"/>
        <v>-6</v>
      </c>
      <c r="M31" s="1">
        <f t="shared" si="5"/>
        <v>90</v>
      </c>
      <c r="N31" s="1">
        <v>16</v>
      </c>
      <c r="O31" s="1">
        <v>47</v>
      </c>
      <c r="P31" s="1">
        <v>50</v>
      </c>
      <c r="Q31" s="1">
        <f t="shared" si="6"/>
        <v>18</v>
      </c>
      <c r="R31" s="5">
        <f t="shared" si="9"/>
        <v>36</v>
      </c>
      <c r="S31" s="22">
        <v>60</v>
      </c>
      <c r="T31" s="1">
        <f t="shared" si="3"/>
        <v>14</v>
      </c>
      <c r="U31" s="1">
        <f t="shared" si="8"/>
        <v>12</v>
      </c>
      <c r="V31" s="1">
        <v>20.399999999999999</v>
      </c>
      <c r="W31" s="1">
        <v>18.600000000000001</v>
      </c>
      <c r="X31" s="1">
        <v>9</v>
      </c>
      <c r="Y31" s="1">
        <v>22.4</v>
      </c>
      <c r="Z31" s="1">
        <v>12.8</v>
      </c>
      <c r="AA31" s="1">
        <v>10.199999999999999</v>
      </c>
      <c r="AB31" s="1">
        <v>15.8</v>
      </c>
      <c r="AC31" s="1">
        <v>14.4</v>
      </c>
      <c r="AD31" s="1">
        <v>10.8</v>
      </c>
      <c r="AE31" s="1">
        <v>7</v>
      </c>
      <c r="AF31" s="1"/>
      <c r="AG31" s="1">
        <f t="shared" si="10"/>
        <v>14.4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39</v>
      </c>
      <c r="C32" s="1">
        <v>584</v>
      </c>
      <c r="D32" s="1">
        <v>784</v>
      </c>
      <c r="E32" s="1">
        <v>726</v>
      </c>
      <c r="F32" s="1">
        <v>591</v>
      </c>
      <c r="G32" s="7">
        <v>0.4</v>
      </c>
      <c r="H32" s="1">
        <v>60</v>
      </c>
      <c r="I32" s="9" t="s">
        <v>36</v>
      </c>
      <c r="J32" s="1"/>
      <c r="K32" s="1">
        <v>797</v>
      </c>
      <c r="L32" s="1">
        <f t="shared" si="2"/>
        <v>-71</v>
      </c>
      <c r="M32" s="1">
        <f t="shared" si="5"/>
        <v>726</v>
      </c>
      <c r="N32" s="1"/>
      <c r="O32" s="1">
        <v>313</v>
      </c>
      <c r="P32" s="1">
        <v>339</v>
      </c>
      <c r="Q32" s="1">
        <f t="shared" si="6"/>
        <v>145.19999999999999</v>
      </c>
      <c r="R32" s="5">
        <f t="shared" si="9"/>
        <v>789.79999999999973</v>
      </c>
      <c r="S32" s="22"/>
      <c r="T32" s="1">
        <f t="shared" si="3"/>
        <v>14</v>
      </c>
      <c r="U32" s="1">
        <f t="shared" si="8"/>
        <v>8.5606060606060606</v>
      </c>
      <c r="V32" s="1">
        <v>131.80000000000001</v>
      </c>
      <c r="W32" s="1">
        <v>132.76</v>
      </c>
      <c r="X32" s="1">
        <v>248</v>
      </c>
      <c r="Y32" s="1">
        <v>160</v>
      </c>
      <c r="Z32" s="1">
        <v>318.2</v>
      </c>
      <c r="AA32" s="1">
        <v>139.80000000000001</v>
      </c>
      <c r="AB32" s="1">
        <v>69.2</v>
      </c>
      <c r="AC32" s="1">
        <v>126.4</v>
      </c>
      <c r="AD32" s="1">
        <v>97</v>
      </c>
      <c r="AE32" s="1">
        <v>134.6</v>
      </c>
      <c r="AF32" s="1"/>
      <c r="AG32" s="1">
        <f t="shared" si="10"/>
        <v>315.9199999999999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1" t="s">
        <v>71</v>
      </c>
      <c r="B33" s="11" t="s">
        <v>39</v>
      </c>
      <c r="C33" s="11">
        <v>-1</v>
      </c>
      <c r="D33" s="11">
        <v>1</v>
      </c>
      <c r="E33" s="11"/>
      <c r="F33" s="11"/>
      <c r="G33" s="12">
        <v>0</v>
      </c>
      <c r="H33" s="11">
        <v>60</v>
      </c>
      <c r="I33" s="11" t="s">
        <v>62</v>
      </c>
      <c r="J33" s="11" t="s">
        <v>72</v>
      </c>
      <c r="K33" s="11">
        <v>3</v>
      </c>
      <c r="L33" s="11">
        <f t="shared" si="2"/>
        <v>-3</v>
      </c>
      <c r="M33" s="11">
        <f t="shared" si="5"/>
        <v>0</v>
      </c>
      <c r="N33" s="11"/>
      <c r="O33" s="11">
        <v>0</v>
      </c>
      <c r="P33" s="11"/>
      <c r="Q33" s="11">
        <f t="shared" si="6"/>
        <v>0</v>
      </c>
      <c r="R33" s="13"/>
      <c r="S33" s="23"/>
      <c r="T33" s="11" t="e">
        <f t="shared" si="3"/>
        <v>#DIV/0!</v>
      </c>
      <c r="U33" s="11" t="e">
        <f t="shared" si="8"/>
        <v>#DIV/0!</v>
      </c>
      <c r="V33" s="11">
        <v>-0.2</v>
      </c>
      <c r="W33" s="11">
        <v>0</v>
      </c>
      <c r="X33" s="11">
        <v>-0.6</v>
      </c>
      <c r="Y33" s="11">
        <v>0</v>
      </c>
      <c r="Z33" s="11">
        <v>-0.2</v>
      </c>
      <c r="AA33" s="11">
        <v>0</v>
      </c>
      <c r="AB33" s="11">
        <v>1.2</v>
      </c>
      <c r="AC33" s="11">
        <v>1</v>
      </c>
      <c r="AD33" s="11">
        <v>0</v>
      </c>
      <c r="AE33" s="11">
        <v>57.4</v>
      </c>
      <c r="AF33" s="11" t="s">
        <v>73</v>
      </c>
      <c r="AG33" s="1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39</v>
      </c>
      <c r="C34" s="1">
        <v>750</v>
      </c>
      <c r="D34" s="1">
        <v>769</v>
      </c>
      <c r="E34" s="1">
        <v>709.33199999999999</v>
      </c>
      <c r="F34" s="1">
        <v>782.66800000000001</v>
      </c>
      <c r="G34" s="7">
        <v>0.4</v>
      </c>
      <c r="H34" s="1">
        <v>60</v>
      </c>
      <c r="I34" s="10" t="s">
        <v>51</v>
      </c>
      <c r="J34" s="1"/>
      <c r="K34" s="1">
        <v>760.3</v>
      </c>
      <c r="L34" s="1">
        <f t="shared" si="2"/>
        <v>-50.967999999999961</v>
      </c>
      <c r="M34" s="1">
        <f t="shared" si="5"/>
        <v>685.33199999999999</v>
      </c>
      <c r="N34" s="1">
        <v>24</v>
      </c>
      <c r="O34" s="1">
        <v>240</v>
      </c>
      <c r="P34" s="1">
        <v>260</v>
      </c>
      <c r="Q34" s="1">
        <f t="shared" si="6"/>
        <v>137.06639999999999</v>
      </c>
      <c r="R34" s="5">
        <f>14*Q34-P34-O34-F34</f>
        <v>636.26159999999993</v>
      </c>
      <c r="S34" s="22">
        <v>660</v>
      </c>
      <c r="T34" s="1">
        <f t="shared" si="3"/>
        <v>14</v>
      </c>
      <c r="U34" s="1">
        <f t="shared" si="8"/>
        <v>9.3580045875575646</v>
      </c>
      <c r="V34" s="1">
        <v>230</v>
      </c>
      <c r="W34" s="1">
        <v>186.12</v>
      </c>
      <c r="X34" s="1">
        <v>301.39999999999998</v>
      </c>
      <c r="Y34" s="1">
        <v>140</v>
      </c>
      <c r="Z34" s="1">
        <v>155</v>
      </c>
      <c r="AA34" s="1">
        <v>162.80000000000001</v>
      </c>
      <c r="AB34" s="1">
        <v>91.8</v>
      </c>
      <c r="AC34" s="1">
        <v>147.6</v>
      </c>
      <c r="AD34" s="1">
        <v>152.4</v>
      </c>
      <c r="AE34" s="1">
        <v>133.94</v>
      </c>
      <c r="AF34" s="1" t="s">
        <v>75</v>
      </c>
      <c r="AG34" s="1">
        <f>G34*R34</f>
        <v>254.50463999999999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1" t="s">
        <v>76</v>
      </c>
      <c r="B35" s="11" t="s">
        <v>39</v>
      </c>
      <c r="C35" s="11">
        <v>82</v>
      </c>
      <c r="D35" s="11">
        <v>2</v>
      </c>
      <c r="E35" s="11">
        <v>5</v>
      </c>
      <c r="F35" s="11">
        <v>76</v>
      </c>
      <c r="G35" s="12">
        <v>0</v>
      </c>
      <c r="H35" s="11">
        <v>45</v>
      </c>
      <c r="I35" s="11" t="s">
        <v>77</v>
      </c>
      <c r="J35" s="11"/>
      <c r="K35" s="11">
        <v>9</v>
      </c>
      <c r="L35" s="11">
        <f t="shared" si="2"/>
        <v>-4</v>
      </c>
      <c r="M35" s="11">
        <f t="shared" si="5"/>
        <v>5</v>
      </c>
      <c r="N35" s="11"/>
      <c r="O35" s="11">
        <v>0</v>
      </c>
      <c r="P35" s="11"/>
      <c r="Q35" s="11">
        <f t="shared" si="6"/>
        <v>1</v>
      </c>
      <c r="R35" s="13"/>
      <c r="S35" s="23"/>
      <c r="T35" s="11">
        <f t="shared" si="3"/>
        <v>76</v>
      </c>
      <c r="U35" s="11">
        <f t="shared" si="8"/>
        <v>76</v>
      </c>
      <c r="V35" s="11">
        <v>1.2</v>
      </c>
      <c r="W35" s="11">
        <v>3.2</v>
      </c>
      <c r="X35" s="11">
        <v>7.2</v>
      </c>
      <c r="Y35" s="11">
        <v>0.8</v>
      </c>
      <c r="Z35" s="11">
        <v>1.4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4" t="s">
        <v>78</v>
      </c>
      <c r="AG35" s="1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1" t="s">
        <v>79</v>
      </c>
      <c r="B36" s="11" t="s">
        <v>39</v>
      </c>
      <c r="C36" s="11"/>
      <c r="D36" s="11">
        <v>30</v>
      </c>
      <c r="E36" s="11">
        <v>30</v>
      </c>
      <c r="F36" s="11"/>
      <c r="G36" s="12">
        <v>0</v>
      </c>
      <c r="H36" s="11"/>
      <c r="I36" s="11" t="s">
        <v>62</v>
      </c>
      <c r="J36" s="11"/>
      <c r="K36" s="11">
        <v>30</v>
      </c>
      <c r="L36" s="11">
        <f t="shared" si="2"/>
        <v>0</v>
      </c>
      <c r="M36" s="11">
        <f t="shared" si="5"/>
        <v>0</v>
      </c>
      <c r="N36" s="11">
        <v>30</v>
      </c>
      <c r="O36" s="11"/>
      <c r="P36" s="11"/>
      <c r="Q36" s="11">
        <f t="shared" si="6"/>
        <v>0</v>
      </c>
      <c r="R36" s="13"/>
      <c r="S36" s="23"/>
      <c r="T36" s="11" t="e">
        <f t="shared" si="3"/>
        <v>#DIV/0!</v>
      </c>
      <c r="U36" s="11" t="e">
        <f t="shared" si="8"/>
        <v>#DIV/0!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/>
      <c r="AG36" s="1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1" t="s">
        <v>80</v>
      </c>
      <c r="B37" s="11" t="s">
        <v>39</v>
      </c>
      <c r="C37" s="11"/>
      <c r="D37" s="11">
        <v>36</v>
      </c>
      <c r="E37" s="11">
        <v>36</v>
      </c>
      <c r="F37" s="11"/>
      <c r="G37" s="12">
        <v>0</v>
      </c>
      <c r="H37" s="11">
        <v>45</v>
      </c>
      <c r="I37" s="11" t="s">
        <v>62</v>
      </c>
      <c r="J37" s="11"/>
      <c r="K37" s="11">
        <v>109</v>
      </c>
      <c r="L37" s="11">
        <f t="shared" si="2"/>
        <v>-73</v>
      </c>
      <c r="M37" s="11">
        <f t="shared" si="5"/>
        <v>0</v>
      </c>
      <c r="N37" s="11">
        <v>36</v>
      </c>
      <c r="O37" s="11">
        <v>0</v>
      </c>
      <c r="P37" s="11"/>
      <c r="Q37" s="11">
        <f t="shared" si="6"/>
        <v>0</v>
      </c>
      <c r="R37" s="13"/>
      <c r="S37" s="23"/>
      <c r="T37" s="11" t="e">
        <f t="shared" si="3"/>
        <v>#DIV/0!</v>
      </c>
      <c r="U37" s="11" t="e">
        <f t="shared" si="8"/>
        <v>#DIV/0!</v>
      </c>
      <c r="V37" s="11">
        <v>0</v>
      </c>
      <c r="W37" s="11">
        <v>-0.4</v>
      </c>
      <c r="X37" s="11">
        <v>-0.2</v>
      </c>
      <c r="Y37" s="11">
        <v>3</v>
      </c>
      <c r="Z37" s="11">
        <v>9.8000000000000007</v>
      </c>
      <c r="AA37" s="11">
        <v>10</v>
      </c>
      <c r="AB37" s="11">
        <v>5.4</v>
      </c>
      <c r="AC37" s="11">
        <v>13</v>
      </c>
      <c r="AD37" s="11">
        <v>1.2</v>
      </c>
      <c r="AE37" s="11">
        <v>10.6</v>
      </c>
      <c r="AF37" s="11" t="s">
        <v>77</v>
      </c>
      <c r="AG37" s="1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39</v>
      </c>
      <c r="C38" s="1">
        <v>212</v>
      </c>
      <c r="D38" s="1">
        <v>123</v>
      </c>
      <c r="E38" s="1">
        <v>128</v>
      </c>
      <c r="F38" s="1">
        <v>190</v>
      </c>
      <c r="G38" s="7">
        <v>0.3</v>
      </c>
      <c r="H38" s="1">
        <v>45</v>
      </c>
      <c r="I38" s="1" t="s">
        <v>36</v>
      </c>
      <c r="J38" s="1"/>
      <c r="K38" s="1">
        <v>145</v>
      </c>
      <c r="L38" s="1">
        <f t="shared" ref="L38:L68" si="11">E38-K38</f>
        <v>-17</v>
      </c>
      <c r="M38" s="1">
        <f t="shared" si="5"/>
        <v>128</v>
      </c>
      <c r="N38" s="1"/>
      <c r="O38" s="1">
        <v>110</v>
      </c>
      <c r="P38" s="1">
        <v>120</v>
      </c>
      <c r="Q38" s="1">
        <f t="shared" si="6"/>
        <v>25.6</v>
      </c>
      <c r="R38" s="5"/>
      <c r="S38" s="22"/>
      <c r="T38" s="1">
        <f t="shared" ref="T38:T69" si="12">(F38+O38+P38+R38)/Q38</f>
        <v>16.40625</v>
      </c>
      <c r="U38" s="1">
        <f t="shared" si="8"/>
        <v>16.40625</v>
      </c>
      <c r="V38" s="1">
        <v>31.4</v>
      </c>
      <c r="W38" s="1">
        <v>5</v>
      </c>
      <c r="X38" s="1">
        <v>40.4</v>
      </c>
      <c r="Y38" s="1">
        <v>16.8</v>
      </c>
      <c r="Z38" s="1">
        <v>20.6</v>
      </c>
      <c r="AA38" s="1">
        <v>16.2</v>
      </c>
      <c r="AB38" s="1">
        <v>23</v>
      </c>
      <c r="AC38" s="1">
        <v>29.6</v>
      </c>
      <c r="AD38" s="1">
        <v>17.600000000000001</v>
      </c>
      <c r="AE38" s="1">
        <v>29.2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35</v>
      </c>
      <c r="C39" s="1">
        <v>364.84500000000003</v>
      </c>
      <c r="D39" s="1"/>
      <c r="E39" s="1">
        <v>116.95099999999999</v>
      </c>
      <c r="F39" s="1">
        <v>247.89400000000001</v>
      </c>
      <c r="G39" s="7">
        <v>1</v>
      </c>
      <c r="H39" s="1">
        <v>60</v>
      </c>
      <c r="I39" s="1" t="s">
        <v>36</v>
      </c>
      <c r="J39" s="1"/>
      <c r="K39" s="1">
        <v>119.7</v>
      </c>
      <c r="L39" s="1">
        <f t="shared" si="11"/>
        <v>-2.7490000000000094</v>
      </c>
      <c r="M39" s="1">
        <f t="shared" si="5"/>
        <v>116.95099999999999</v>
      </c>
      <c r="N39" s="1"/>
      <c r="O39" s="1">
        <v>0</v>
      </c>
      <c r="P39" s="1"/>
      <c r="Q39" s="1">
        <f t="shared" si="6"/>
        <v>23.3902</v>
      </c>
      <c r="R39" s="5">
        <f t="shared" ref="R39:R42" si="13">14*Q39-P39-O39-F39</f>
        <v>79.56880000000001</v>
      </c>
      <c r="S39" s="22">
        <v>100</v>
      </c>
      <c r="T39" s="1">
        <f t="shared" si="12"/>
        <v>14</v>
      </c>
      <c r="U39" s="1">
        <f t="shared" si="8"/>
        <v>10.598199245838</v>
      </c>
      <c r="V39" s="1">
        <v>23.227</v>
      </c>
      <c r="W39" s="1">
        <v>29.584199999999999</v>
      </c>
      <c r="X39" s="1">
        <v>27.789000000000001</v>
      </c>
      <c r="Y39" s="1">
        <v>19.216000000000001</v>
      </c>
      <c r="Z39" s="1">
        <v>22.330400000000001</v>
      </c>
      <c r="AA39" s="1">
        <v>28.0184</v>
      </c>
      <c r="AB39" s="1">
        <v>23.045400000000001</v>
      </c>
      <c r="AC39" s="1">
        <v>18.9406</v>
      </c>
      <c r="AD39" s="1">
        <v>26.659800000000001</v>
      </c>
      <c r="AE39" s="1">
        <v>21.777200000000001</v>
      </c>
      <c r="AF39" s="1"/>
      <c r="AG39" s="1">
        <f>G39*R39</f>
        <v>79.56880000000001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35</v>
      </c>
      <c r="C40" s="1">
        <v>67.677000000000007</v>
      </c>
      <c r="D40" s="1">
        <v>90.989000000000004</v>
      </c>
      <c r="E40" s="1">
        <v>67.55</v>
      </c>
      <c r="F40" s="1">
        <v>85.635000000000005</v>
      </c>
      <c r="G40" s="7">
        <v>1</v>
      </c>
      <c r="H40" s="1">
        <v>45</v>
      </c>
      <c r="I40" s="1" t="s">
        <v>36</v>
      </c>
      <c r="J40" s="1"/>
      <c r="K40" s="1">
        <v>77.8</v>
      </c>
      <c r="L40" s="1">
        <f t="shared" si="11"/>
        <v>-10.25</v>
      </c>
      <c r="M40" s="1">
        <f t="shared" si="5"/>
        <v>67.55</v>
      </c>
      <c r="N40" s="1"/>
      <c r="O40" s="1">
        <v>0</v>
      </c>
      <c r="P40" s="1"/>
      <c r="Q40" s="1">
        <f t="shared" si="6"/>
        <v>13.51</v>
      </c>
      <c r="R40" s="5">
        <f>14*Q40-P40-O40-F40</f>
        <v>103.50499999999998</v>
      </c>
      <c r="S40" s="22">
        <v>120</v>
      </c>
      <c r="T40" s="1">
        <f t="shared" si="12"/>
        <v>14</v>
      </c>
      <c r="U40" s="1">
        <f t="shared" si="8"/>
        <v>6.3386380458919325</v>
      </c>
      <c r="V40" s="1">
        <v>8.6110000000000007</v>
      </c>
      <c r="W40" s="1">
        <v>12.738200000000001</v>
      </c>
      <c r="X40" s="1">
        <v>10.3902</v>
      </c>
      <c r="Y40" s="1">
        <v>10.955399999999999</v>
      </c>
      <c r="Z40" s="1">
        <v>12.7638</v>
      </c>
      <c r="AA40" s="1">
        <v>13.176600000000001</v>
      </c>
      <c r="AB40" s="1">
        <v>11.030799999999999</v>
      </c>
      <c r="AC40" s="1">
        <v>15.082599999999999</v>
      </c>
      <c r="AD40" s="1">
        <v>11.778600000000001</v>
      </c>
      <c r="AE40" s="1">
        <v>11.2448</v>
      </c>
      <c r="AF40" s="1"/>
      <c r="AG40" s="1">
        <f>G40*R40</f>
        <v>103.50499999999998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84</v>
      </c>
      <c r="B41" s="1" t="s">
        <v>35</v>
      </c>
      <c r="C41" s="1">
        <v>52.634</v>
      </c>
      <c r="D41" s="1">
        <v>242.34700000000001</v>
      </c>
      <c r="E41" s="1">
        <v>105.95</v>
      </c>
      <c r="F41" s="1">
        <v>176.578</v>
      </c>
      <c r="G41" s="7">
        <v>1</v>
      </c>
      <c r="H41" s="1">
        <v>45</v>
      </c>
      <c r="I41" s="1" t="s">
        <v>36</v>
      </c>
      <c r="J41" s="1"/>
      <c r="K41" s="1">
        <v>120.045</v>
      </c>
      <c r="L41" s="1">
        <f t="shared" si="11"/>
        <v>-14.094999999999999</v>
      </c>
      <c r="M41" s="1">
        <f t="shared" si="5"/>
        <v>87.204999999999998</v>
      </c>
      <c r="N41" s="1">
        <v>18.745000000000001</v>
      </c>
      <c r="O41" s="1">
        <v>79</v>
      </c>
      <c r="P41" s="1"/>
      <c r="Q41" s="1">
        <f t="shared" si="6"/>
        <v>17.440999999999999</v>
      </c>
      <c r="R41" s="5"/>
      <c r="S41" s="22">
        <v>50</v>
      </c>
      <c r="T41" s="1">
        <f t="shared" si="12"/>
        <v>14.653861590505132</v>
      </c>
      <c r="U41" s="1">
        <f t="shared" si="8"/>
        <v>14.653861590505132</v>
      </c>
      <c r="V41" s="1">
        <v>22.718399999999999</v>
      </c>
      <c r="W41" s="1">
        <v>27.189</v>
      </c>
      <c r="X41" s="1">
        <v>11.9834</v>
      </c>
      <c r="Y41" s="1">
        <v>13.699400000000001</v>
      </c>
      <c r="Z41" s="1">
        <v>35.602999999999987</v>
      </c>
      <c r="AA41" s="1">
        <v>14.5686</v>
      </c>
      <c r="AB41" s="1">
        <v>20.5672</v>
      </c>
      <c r="AC41" s="1">
        <v>17.590800000000002</v>
      </c>
      <c r="AD41" s="1">
        <v>22.394200000000001</v>
      </c>
      <c r="AE41" s="1">
        <v>22.173999999999999</v>
      </c>
      <c r="AF41" s="1"/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85</v>
      </c>
      <c r="B42" s="1" t="s">
        <v>35</v>
      </c>
      <c r="C42" s="1">
        <v>304.29399999999998</v>
      </c>
      <c r="D42" s="1">
        <v>93.102999999999994</v>
      </c>
      <c r="E42" s="1">
        <v>197.19900000000001</v>
      </c>
      <c r="F42" s="1">
        <v>187.96899999999999</v>
      </c>
      <c r="G42" s="7">
        <v>1</v>
      </c>
      <c r="H42" s="1">
        <v>45</v>
      </c>
      <c r="I42" s="1" t="s">
        <v>36</v>
      </c>
      <c r="J42" s="1"/>
      <c r="K42" s="1">
        <v>210.876</v>
      </c>
      <c r="L42" s="1">
        <f t="shared" si="11"/>
        <v>-13.676999999999992</v>
      </c>
      <c r="M42" s="1">
        <f t="shared" si="5"/>
        <v>165.923</v>
      </c>
      <c r="N42" s="1">
        <v>31.276</v>
      </c>
      <c r="O42" s="1">
        <v>47</v>
      </c>
      <c r="P42" s="1"/>
      <c r="Q42" s="1">
        <f t="shared" si="6"/>
        <v>33.184600000000003</v>
      </c>
      <c r="R42" s="5">
        <f t="shared" si="13"/>
        <v>229.61540000000008</v>
      </c>
      <c r="S42" s="22"/>
      <c r="T42" s="1">
        <f t="shared" si="12"/>
        <v>14</v>
      </c>
      <c r="U42" s="1">
        <f t="shared" si="8"/>
        <v>7.0806639224218451</v>
      </c>
      <c r="V42" s="1">
        <v>27.101600000000001</v>
      </c>
      <c r="W42" s="1">
        <v>30.218599999999999</v>
      </c>
      <c r="X42" s="1">
        <v>37.081000000000003</v>
      </c>
      <c r="Y42" s="1">
        <v>15.3294</v>
      </c>
      <c r="Z42" s="1">
        <v>39.705199999999998</v>
      </c>
      <c r="AA42" s="1">
        <v>34.675600000000003</v>
      </c>
      <c r="AB42" s="1">
        <v>24.506</v>
      </c>
      <c r="AC42" s="1">
        <v>27.321200000000001</v>
      </c>
      <c r="AD42" s="1">
        <v>24.925999999999998</v>
      </c>
      <c r="AE42" s="1">
        <v>38.509399999999999</v>
      </c>
      <c r="AF42" s="1"/>
      <c r="AG42" s="1">
        <f>G42*R42</f>
        <v>229.61540000000008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1" t="s">
        <v>86</v>
      </c>
      <c r="B43" s="11" t="s">
        <v>39</v>
      </c>
      <c r="C43" s="11"/>
      <c r="D43" s="11">
        <v>24</v>
      </c>
      <c r="E43" s="11">
        <v>24</v>
      </c>
      <c r="F43" s="11"/>
      <c r="G43" s="12">
        <v>0</v>
      </c>
      <c r="H43" s="11"/>
      <c r="I43" s="11" t="s">
        <v>62</v>
      </c>
      <c r="J43" s="11"/>
      <c r="K43" s="11">
        <v>54</v>
      </c>
      <c r="L43" s="11">
        <f t="shared" si="11"/>
        <v>-30</v>
      </c>
      <c r="M43" s="11">
        <f t="shared" si="5"/>
        <v>0</v>
      </c>
      <c r="N43" s="11">
        <v>24</v>
      </c>
      <c r="O43" s="11"/>
      <c r="P43" s="11"/>
      <c r="Q43" s="11">
        <f t="shared" si="6"/>
        <v>0</v>
      </c>
      <c r="R43" s="13"/>
      <c r="S43" s="23"/>
      <c r="T43" s="11" t="e">
        <f t="shared" si="12"/>
        <v>#DIV/0!</v>
      </c>
      <c r="U43" s="11" t="e">
        <f t="shared" si="8"/>
        <v>#DIV/0!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/>
      <c r="AG43" s="1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87</v>
      </c>
      <c r="B44" s="1" t="s">
        <v>39</v>
      </c>
      <c r="C44" s="1">
        <v>20</v>
      </c>
      <c r="D44" s="1">
        <v>326</v>
      </c>
      <c r="E44" s="1">
        <v>275</v>
      </c>
      <c r="F44" s="1">
        <v>51</v>
      </c>
      <c r="G44" s="7">
        <v>0.3</v>
      </c>
      <c r="H44" s="1">
        <v>45</v>
      </c>
      <c r="I44" s="1" t="s">
        <v>36</v>
      </c>
      <c r="J44" s="1"/>
      <c r="K44" s="1">
        <v>424</v>
      </c>
      <c r="L44" s="1">
        <f t="shared" si="11"/>
        <v>-149</v>
      </c>
      <c r="M44" s="1">
        <f t="shared" si="5"/>
        <v>235</v>
      </c>
      <c r="N44" s="1">
        <v>40</v>
      </c>
      <c r="O44" s="1">
        <v>150</v>
      </c>
      <c r="P44" s="1">
        <v>163</v>
      </c>
      <c r="Q44" s="1">
        <f t="shared" si="6"/>
        <v>47</v>
      </c>
      <c r="R44" s="5">
        <f t="shared" ref="R44:R47" si="14">14*Q44-P44-O44-F44</f>
        <v>294</v>
      </c>
      <c r="S44" s="22">
        <v>350</v>
      </c>
      <c r="T44" s="1">
        <f t="shared" si="12"/>
        <v>14</v>
      </c>
      <c r="U44" s="1">
        <f t="shared" si="8"/>
        <v>7.7446808510638299</v>
      </c>
      <c r="V44" s="1">
        <v>40.4</v>
      </c>
      <c r="W44" s="1">
        <v>35.799999999999997</v>
      </c>
      <c r="X44" s="1">
        <v>-5.2</v>
      </c>
      <c r="Y44" s="1">
        <v>18</v>
      </c>
      <c r="Z44" s="1">
        <v>45.2</v>
      </c>
      <c r="AA44" s="1">
        <v>46</v>
      </c>
      <c r="AB44" s="1">
        <v>45.4</v>
      </c>
      <c r="AC44" s="1">
        <v>55.4</v>
      </c>
      <c r="AD44" s="1">
        <v>70.8</v>
      </c>
      <c r="AE44" s="1">
        <v>472.6</v>
      </c>
      <c r="AF44" s="1" t="s">
        <v>88</v>
      </c>
      <c r="AG44" s="1">
        <f t="shared" ref="AG44:AG49" si="15">G44*R44</f>
        <v>88.2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89</v>
      </c>
      <c r="B45" s="1" t="s">
        <v>35</v>
      </c>
      <c r="C45" s="1">
        <v>3.15</v>
      </c>
      <c r="D45" s="1">
        <v>21.341999999999999</v>
      </c>
      <c r="E45" s="1">
        <v>22.486000000000001</v>
      </c>
      <c r="F45" s="1"/>
      <c r="G45" s="7">
        <v>1</v>
      </c>
      <c r="H45" s="1"/>
      <c r="I45" s="1" t="s">
        <v>36</v>
      </c>
      <c r="J45" s="1"/>
      <c r="K45" s="1">
        <v>64.385999999999996</v>
      </c>
      <c r="L45" s="1">
        <f t="shared" si="11"/>
        <v>-41.899999999999991</v>
      </c>
      <c r="M45" s="1">
        <f t="shared" si="5"/>
        <v>1.1440000000000019</v>
      </c>
      <c r="N45" s="1">
        <v>21.341999999999999</v>
      </c>
      <c r="O45" s="1">
        <v>48</v>
      </c>
      <c r="P45" s="1">
        <v>52</v>
      </c>
      <c r="Q45" s="1">
        <f t="shared" si="6"/>
        <v>0.22880000000000039</v>
      </c>
      <c r="R45" s="5">
        <v>30</v>
      </c>
      <c r="S45" s="22">
        <v>50</v>
      </c>
      <c r="T45" s="1">
        <f t="shared" si="12"/>
        <v>568.18181818181722</v>
      </c>
      <c r="U45" s="1">
        <f t="shared" si="8"/>
        <v>437.06293706293633</v>
      </c>
      <c r="V45" s="1">
        <v>10.464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 t="s">
        <v>90</v>
      </c>
      <c r="AG45" s="1">
        <f t="shared" si="15"/>
        <v>30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91</v>
      </c>
      <c r="B46" s="1" t="s">
        <v>35</v>
      </c>
      <c r="C46" s="1"/>
      <c r="D46" s="1">
        <v>12.185</v>
      </c>
      <c r="E46" s="1">
        <v>7.1959999999999997</v>
      </c>
      <c r="F46" s="1">
        <v>4.5540000000000003</v>
      </c>
      <c r="G46" s="7">
        <v>1</v>
      </c>
      <c r="H46" s="1">
        <v>45</v>
      </c>
      <c r="I46" s="1" t="s">
        <v>36</v>
      </c>
      <c r="J46" s="1"/>
      <c r="K46" s="1">
        <v>7.6</v>
      </c>
      <c r="L46" s="1">
        <f t="shared" si="11"/>
        <v>-0.40399999999999991</v>
      </c>
      <c r="M46" s="1">
        <f t="shared" si="5"/>
        <v>7.1959999999999997</v>
      </c>
      <c r="N46" s="1"/>
      <c r="O46" s="1">
        <v>0</v>
      </c>
      <c r="P46" s="1"/>
      <c r="Q46" s="1">
        <f t="shared" si="6"/>
        <v>1.4392</v>
      </c>
      <c r="R46" s="5">
        <f>12*Q46-P46-O46-F46</f>
        <v>12.716400000000002</v>
      </c>
      <c r="S46" s="22"/>
      <c r="T46" s="1">
        <f t="shared" si="12"/>
        <v>12.000000000000002</v>
      </c>
      <c r="U46" s="1">
        <f t="shared" si="8"/>
        <v>3.1642579210672599</v>
      </c>
      <c r="V46" s="1">
        <v>0</v>
      </c>
      <c r="W46" s="1">
        <v>0</v>
      </c>
      <c r="X46" s="1">
        <v>-0.1052</v>
      </c>
      <c r="Y46" s="1">
        <v>0.93140000000000001</v>
      </c>
      <c r="Z46" s="1">
        <v>0.25059999999999999</v>
      </c>
      <c r="AA46" s="1">
        <v>1.5486</v>
      </c>
      <c r="AB46" s="1">
        <v>0</v>
      </c>
      <c r="AC46" s="1">
        <v>2.1534</v>
      </c>
      <c r="AD46" s="1">
        <v>0.62980000000000003</v>
      </c>
      <c r="AE46" s="1">
        <v>2.1646000000000001</v>
      </c>
      <c r="AF46" s="1"/>
      <c r="AG46" s="1">
        <f t="shared" si="15"/>
        <v>12.716400000000002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39</v>
      </c>
      <c r="C47" s="1">
        <v>1083</v>
      </c>
      <c r="D47" s="1">
        <v>877</v>
      </c>
      <c r="E47" s="1">
        <v>997</v>
      </c>
      <c r="F47" s="1">
        <v>889</v>
      </c>
      <c r="G47" s="7">
        <v>0.35</v>
      </c>
      <c r="H47" s="1">
        <v>45</v>
      </c>
      <c r="I47" s="9" t="s">
        <v>36</v>
      </c>
      <c r="J47" s="1"/>
      <c r="K47" s="1">
        <v>1098.0999999999999</v>
      </c>
      <c r="L47" s="1">
        <f t="shared" si="11"/>
        <v>-101.09999999999991</v>
      </c>
      <c r="M47" s="1">
        <f t="shared" si="5"/>
        <v>933</v>
      </c>
      <c r="N47" s="1">
        <v>64</v>
      </c>
      <c r="O47" s="1">
        <v>480</v>
      </c>
      <c r="P47" s="1">
        <v>520</v>
      </c>
      <c r="Q47" s="1">
        <f t="shared" si="6"/>
        <v>186.6</v>
      </c>
      <c r="R47" s="5">
        <f t="shared" si="14"/>
        <v>723.40000000000009</v>
      </c>
      <c r="S47" s="22"/>
      <c r="T47" s="1">
        <f t="shared" si="12"/>
        <v>14.000000000000002</v>
      </c>
      <c r="U47" s="1">
        <f t="shared" si="8"/>
        <v>10.12325830653805</v>
      </c>
      <c r="V47" s="1">
        <v>205.4</v>
      </c>
      <c r="W47" s="1">
        <v>193.4</v>
      </c>
      <c r="X47" s="1">
        <v>235.3424</v>
      </c>
      <c r="Y47" s="1">
        <v>191.6</v>
      </c>
      <c r="Z47" s="1">
        <v>300.8</v>
      </c>
      <c r="AA47" s="1">
        <v>181</v>
      </c>
      <c r="AB47" s="1">
        <v>160.6</v>
      </c>
      <c r="AC47" s="1">
        <v>152.19999999999999</v>
      </c>
      <c r="AD47" s="1">
        <v>238</v>
      </c>
      <c r="AE47" s="1">
        <v>215.8</v>
      </c>
      <c r="AF47" s="1"/>
      <c r="AG47" s="1">
        <f t="shared" si="15"/>
        <v>253.19000000000003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93</v>
      </c>
      <c r="B48" s="1" t="s">
        <v>39</v>
      </c>
      <c r="C48" s="1">
        <v>-5</v>
      </c>
      <c r="D48" s="1">
        <v>286</v>
      </c>
      <c r="E48" s="1">
        <v>202</v>
      </c>
      <c r="F48" s="1">
        <v>45</v>
      </c>
      <c r="G48" s="7">
        <v>0.41</v>
      </c>
      <c r="H48" s="1">
        <v>45</v>
      </c>
      <c r="I48" s="1" t="s">
        <v>36</v>
      </c>
      <c r="J48" s="1"/>
      <c r="K48" s="1">
        <v>328</v>
      </c>
      <c r="L48" s="1">
        <f t="shared" si="11"/>
        <v>-126</v>
      </c>
      <c r="M48" s="1">
        <f t="shared" si="5"/>
        <v>186</v>
      </c>
      <c r="N48" s="1">
        <v>16</v>
      </c>
      <c r="O48" s="1">
        <v>299</v>
      </c>
      <c r="P48" s="1">
        <v>323</v>
      </c>
      <c r="Q48" s="1">
        <f t="shared" si="6"/>
        <v>37.200000000000003</v>
      </c>
      <c r="R48" s="5"/>
      <c r="S48" s="22"/>
      <c r="T48" s="1">
        <f t="shared" si="12"/>
        <v>17.93010752688172</v>
      </c>
      <c r="U48" s="1">
        <f t="shared" si="8"/>
        <v>17.93010752688172</v>
      </c>
      <c r="V48" s="1">
        <v>74</v>
      </c>
      <c r="W48" s="1">
        <v>44.58</v>
      </c>
      <c r="X48" s="1">
        <v>45.2</v>
      </c>
      <c r="Y48" s="1">
        <v>67.599999999999994</v>
      </c>
      <c r="Z48" s="1">
        <v>26.2</v>
      </c>
      <c r="AA48" s="1">
        <v>72</v>
      </c>
      <c r="AB48" s="1">
        <v>37.200000000000003</v>
      </c>
      <c r="AC48" s="1">
        <v>47.2</v>
      </c>
      <c r="AD48" s="1">
        <v>73.8</v>
      </c>
      <c r="AE48" s="1">
        <v>85.4</v>
      </c>
      <c r="AF48" s="1"/>
      <c r="AG48" s="1">
        <f t="shared" si="15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94</v>
      </c>
      <c r="B49" s="1" t="s">
        <v>39</v>
      </c>
      <c r="C49" s="1">
        <v>5</v>
      </c>
      <c r="D49" s="1">
        <v>202</v>
      </c>
      <c r="E49" s="1">
        <v>95</v>
      </c>
      <c r="F49" s="1">
        <v>99</v>
      </c>
      <c r="G49" s="7">
        <v>0.41</v>
      </c>
      <c r="H49" s="1">
        <v>45</v>
      </c>
      <c r="I49" s="1" t="s">
        <v>36</v>
      </c>
      <c r="J49" s="1"/>
      <c r="K49" s="1">
        <v>137</v>
      </c>
      <c r="L49" s="1">
        <f t="shared" si="11"/>
        <v>-42</v>
      </c>
      <c r="M49" s="1">
        <f t="shared" si="5"/>
        <v>95</v>
      </c>
      <c r="N49" s="1"/>
      <c r="O49" s="1">
        <v>0</v>
      </c>
      <c r="P49" s="1"/>
      <c r="Q49" s="1">
        <f t="shared" si="6"/>
        <v>19</v>
      </c>
      <c r="R49" s="5">
        <f>13*Q49-P49-O49-F49</f>
        <v>148</v>
      </c>
      <c r="S49" s="22">
        <v>188</v>
      </c>
      <c r="T49" s="1">
        <f t="shared" si="12"/>
        <v>13</v>
      </c>
      <c r="U49" s="1">
        <f t="shared" si="8"/>
        <v>5.2105263157894735</v>
      </c>
      <c r="V49" s="1">
        <v>8.6</v>
      </c>
      <c r="W49" s="1">
        <v>30</v>
      </c>
      <c r="X49" s="1">
        <v>8.1999999999999993</v>
      </c>
      <c r="Y49" s="1">
        <v>7.6</v>
      </c>
      <c r="Z49" s="1">
        <v>19</v>
      </c>
      <c r="AA49" s="1">
        <v>10.199999999999999</v>
      </c>
      <c r="AB49" s="1">
        <v>7.6</v>
      </c>
      <c r="AC49" s="1">
        <v>13.8</v>
      </c>
      <c r="AD49" s="1">
        <v>14</v>
      </c>
      <c r="AE49" s="1">
        <v>12.6</v>
      </c>
      <c r="AF49" s="1"/>
      <c r="AG49" s="1">
        <f t="shared" si="15"/>
        <v>60.68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1" t="s">
        <v>95</v>
      </c>
      <c r="B50" s="11" t="s">
        <v>39</v>
      </c>
      <c r="C50" s="11"/>
      <c r="D50" s="11">
        <v>40</v>
      </c>
      <c r="E50" s="11">
        <v>40</v>
      </c>
      <c r="F50" s="11"/>
      <c r="G50" s="12">
        <v>0</v>
      </c>
      <c r="H50" s="11"/>
      <c r="I50" s="11" t="s">
        <v>62</v>
      </c>
      <c r="J50" s="11"/>
      <c r="K50" s="11">
        <v>40</v>
      </c>
      <c r="L50" s="11">
        <f t="shared" si="11"/>
        <v>0</v>
      </c>
      <c r="M50" s="11">
        <f t="shared" si="5"/>
        <v>0</v>
      </c>
      <c r="N50" s="11">
        <v>40</v>
      </c>
      <c r="O50" s="11"/>
      <c r="P50" s="11"/>
      <c r="Q50" s="11">
        <f t="shared" si="6"/>
        <v>0</v>
      </c>
      <c r="R50" s="13"/>
      <c r="S50" s="23"/>
      <c r="T50" s="11" t="e">
        <f t="shared" si="12"/>
        <v>#DIV/0!</v>
      </c>
      <c r="U50" s="11" t="e">
        <f t="shared" si="8"/>
        <v>#DIV/0!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/>
      <c r="AG50" s="1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96</v>
      </c>
      <c r="B51" s="1" t="s">
        <v>39</v>
      </c>
      <c r="C51" s="1">
        <v>235</v>
      </c>
      <c r="D51" s="1">
        <v>54</v>
      </c>
      <c r="E51" s="1">
        <v>239</v>
      </c>
      <c r="F51" s="1">
        <v>40</v>
      </c>
      <c r="G51" s="7">
        <v>0.36</v>
      </c>
      <c r="H51" s="1">
        <v>45</v>
      </c>
      <c r="I51" s="1" t="s">
        <v>36</v>
      </c>
      <c r="J51" s="1"/>
      <c r="K51" s="1">
        <v>251</v>
      </c>
      <c r="L51" s="1">
        <f t="shared" si="11"/>
        <v>-12</v>
      </c>
      <c r="M51" s="1">
        <f t="shared" si="5"/>
        <v>239</v>
      </c>
      <c r="N51" s="1"/>
      <c r="O51" s="1">
        <v>237</v>
      </c>
      <c r="P51" s="1">
        <v>256</v>
      </c>
      <c r="Q51" s="1">
        <f t="shared" si="6"/>
        <v>47.8</v>
      </c>
      <c r="R51" s="5">
        <f>14*Q51-P51-O51-F51</f>
        <v>136.19999999999993</v>
      </c>
      <c r="S51" s="22">
        <v>175</v>
      </c>
      <c r="T51" s="1">
        <f t="shared" si="12"/>
        <v>14</v>
      </c>
      <c r="U51" s="1">
        <f t="shared" si="8"/>
        <v>11.150627615062762</v>
      </c>
      <c r="V51" s="1">
        <v>64.8</v>
      </c>
      <c r="W51" s="1">
        <v>26.2</v>
      </c>
      <c r="X51" s="1">
        <v>56.2</v>
      </c>
      <c r="Y51" s="1">
        <v>19.600000000000001</v>
      </c>
      <c r="Z51" s="1">
        <v>40.4</v>
      </c>
      <c r="AA51" s="1">
        <v>28</v>
      </c>
      <c r="AB51" s="1">
        <v>36.799999999999997</v>
      </c>
      <c r="AC51" s="1">
        <v>35.6</v>
      </c>
      <c r="AD51" s="1">
        <v>58.4</v>
      </c>
      <c r="AE51" s="1">
        <v>42.6</v>
      </c>
      <c r="AF51" s="1"/>
      <c r="AG51" s="1">
        <f>G51*R51</f>
        <v>49.031999999999975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1" t="s">
        <v>97</v>
      </c>
      <c r="B52" s="11" t="s">
        <v>35</v>
      </c>
      <c r="C52" s="11"/>
      <c r="D52" s="11">
        <v>16.98</v>
      </c>
      <c r="E52" s="11">
        <v>16.98</v>
      </c>
      <c r="F52" s="11"/>
      <c r="G52" s="12">
        <v>0</v>
      </c>
      <c r="H52" s="11"/>
      <c r="I52" s="11" t="s">
        <v>62</v>
      </c>
      <c r="J52" s="11"/>
      <c r="K52" s="11">
        <v>16.98</v>
      </c>
      <c r="L52" s="11">
        <f t="shared" si="11"/>
        <v>0</v>
      </c>
      <c r="M52" s="11">
        <f t="shared" si="5"/>
        <v>0</v>
      </c>
      <c r="N52" s="11">
        <v>16.98</v>
      </c>
      <c r="O52" s="11"/>
      <c r="P52" s="11"/>
      <c r="Q52" s="11">
        <f t="shared" si="6"/>
        <v>0</v>
      </c>
      <c r="R52" s="13"/>
      <c r="S52" s="23"/>
      <c r="T52" s="11" t="e">
        <f t="shared" si="12"/>
        <v>#DIV/0!</v>
      </c>
      <c r="U52" s="11" t="e">
        <f t="shared" si="8"/>
        <v>#DIV/0!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/>
      <c r="AG52" s="1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98</v>
      </c>
      <c r="B53" s="1" t="s">
        <v>39</v>
      </c>
      <c r="C53" s="1">
        <v>187</v>
      </c>
      <c r="D53" s="1">
        <v>281</v>
      </c>
      <c r="E53" s="1">
        <v>238</v>
      </c>
      <c r="F53" s="1">
        <v>216</v>
      </c>
      <c r="G53" s="7">
        <v>0.33</v>
      </c>
      <c r="H53" s="1">
        <v>45</v>
      </c>
      <c r="I53" s="1" t="s">
        <v>36</v>
      </c>
      <c r="J53" s="1"/>
      <c r="K53" s="1">
        <v>359</v>
      </c>
      <c r="L53" s="1">
        <f t="shared" si="11"/>
        <v>-121</v>
      </c>
      <c r="M53" s="1">
        <f t="shared" si="5"/>
        <v>238</v>
      </c>
      <c r="N53" s="1"/>
      <c r="O53" s="1">
        <v>47</v>
      </c>
      <c r="P53" s="1">
        <v>50</v>
      </c>
      <c r="Q53" s="1">
        <f t="shared" si="6"/>
        <v>47.6</v>
      </c>
      <c r="R53" s="5">
        <f>14*Q53-P53-O53-F53</f>
        <v>353.4</v>
      </c>
      <c r="S53" s="22"/>
      <c r="T53" s="1">
        <f t="shared" si="12"/>
        <v>13.999999999999998</v>
      </c>
      <c r="U53" s="1">
        <f t="shared" si="8"/>
        <v>6.5756302521008401</v>
      </c>
      <c r="V53" s="1">
        <v>37.799999999999997</v>
      </c>
      <c r="W53" s="1">
        <v>60.8</v>
      </c>
      <c r="X53" s="1">
        <v>13.8</v>
      </c>
      <c r="Y53" s="1">
        <v>81.2</v>
      </c>
      <c r="Z53" s="1">
        <v>11.4</v>
      </c>
      <c r="AA53" s="1">
        <v>46.8</v>
      </c>
      <c r="AB53" s="1">
        <v>26.4</v>
      </c>
      <c r="AC53" s="1">
        <v>39.4</v>
      </c>
      <c r="AD53" s="1">
        <v>53.2</v>
      </c>
      <c r="AE53" s="1">
        <v>56.4</v>
      </c>
      <c r="AF53" s="1"/>
      <c r="AG53" s="1">
        <f>G53*R53</f>
        <v>116.622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1" t="s">
        <v>99</v>
      </c>
      <c r="B54" s="11" t="s">
        <v>39</v>
      </c>
      <c r="C54" s="11">
        <v>-1</v>
      </c>
      <c r="D54" s="11">
        <v>1</v>
      </c>
      <c r="E54" s="11"/>
      <c r="F54" s="11"/>
      <c r="G54" s="12">
        <v>0</v>
      </c>
      <c r="H54" s="11"/>
      <c r="I54" s="11" t="s">
        <v>100</v>
      </c>
      <c r="J54" s="11" t="s">
        <v>101</v>
      </c>
      <c r="K54" s="11"/>
      <c r="L54" s="11">
        <f t="shared" si="11"/>
        <v>0</v>
      </c>
      <c r="M54" s="11">
        <f t="shared" si="5"/>
        <v>0</v>
      </c>
      <c r="N54" s="11"/>
      <c r="O54" s="11">
        <v>0</v>
      </c>
      <c r="P54" s="11"/>
      <c r="Q54" s="11">
        <f t="shared" si="6"/>
        <v>0</v>
      </c>
      <c r="R54" s="13"/>
      <c r="S54" s="23"/>
      <c r="T54" s="11" t="e">
        <f t="shared" si="12"/>
        <v>#DIV/0!</v>
      </c>
      <c r="U54" s="11" t="e">
        <f t="shared" si="8"/>
        <v>#DIV/0!</v>
      </c>
      <c r="V54" s="11">
        <v>0.2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/>
      <c r="AG54" s="1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102</v>
      </c>
      <c r="B55" s="1" t="s">
        <v>39</v>
      </c>
      <c r="C55" s="1">
        <v>282</v>
      </c>
      <c r="D55" s="1">
        <v>7</v>
      </c>
      <c r="E55" s="1">
        <v>52</v>
      </c>
      <c r="F55" s="1">
        <v>228</v>
      </c>
      <c r="G55" s="7">
        <v>0.4</v>
      </c>
      <c r="H55" s="1">
        <v>60</v>
      </c>
      <c r="I55" s="1" t="s">
        <v>36</v>
      </c>
      <c r="J55" s="1"/>
      <c r="K55" s="1">
        <v>120</v>
      </c>
      <c r="L55" s="1">
        <f t="shared" si="11"/>
        <v>-68</v>
      </c>
      <c r="M55" s="1">
        <f t="shared" si="5"/>
        <v>52</v>
      </c>
      <c r="N55" s="1"/>
      <c r="O55" s="1">
        <v>36</v>
      </c>
      <c r="P55" s="1"/>
      <c r="Q55" s="1">
        <f t="shared" si="6"/>
        <v>10.4</v>
      </c>
      <c r="R55" s="5"/>
      <c r="S55" s="22"/>
      <c r="T55" s="1">
        <f t="shared" si="12"/>
        <v>25.384615384615383</v>
      </c>
      <c r="U55" s="1">
        <f t="shared" si="8"/>
        <v>25.384615384615383</v>
      </c>
      <c r="V55" s="1">
        <v>21.2</v>
      </c>
      <c r="W55" s="1">
        <v>18</v>
      </c>
      <c r="X55" s="1">
        <v>27.2</v>
      </c>
      <c r="Y55" s="1">
        <v>39.6</v>
      </c>
      <c r="Z55" s="1">
        <v>24.4</v>
      </c>
      <c r="AA55" s="1">
        <v>28.2</v>
      </c>
      <c r="AB55" s="1">
        <v>23.8</v>
      </c>
      <c r="AC55" s="1">
        <v>33.200000000000003</v>
      </c>
      <c r="AD55" s="1">
        <v>20.8</v>
      </c>
      <c r="AE55" s="1">
        <v>38.799999999999997</v>
      </c>
      <c r="AF55" s="14" t="s">
        <v>132</v>
      </c>
      <c r="AG55" s="1">
        <f t="shared" ref="AG55:AG60" si="16"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103</v>
      </c>
      <c r="B56" s="1" t="s">
        <v>39</v>
      </c>
      <c r="C56" s="1">
        <v>38</v>
      </c>
      <c r="D56" s="1">
        <v>2</v>
      </c>
      <c r="E56" s="1">
        <v>30</v>
      </c>
      <c r="F56" s="1">
        <v>8</v>
      </c>
      <c r="G56" s="7">
        <v>0.33</v>
      </c>
      <c r="H56" s="1">
        <v>45</v>
      </c>
      <c r="I56" s="1" t="s">
        <v>36</v>
      </c>
      <c r="J56" s="1"/>
      <c r="K56" s="1">
        <v>35</v>
      </c>
      <c r="L56" s="1">
        <f t="shared" si="11"/>
        <v>-5</v>
      </c>
      <c r="M56" s="1">
        <f t="shared" si="5"/>
        <v>30</v>
      </c>
      <c r="N56" s="1"/>
      <c r="O56" s="1">
        <v>0</v>
      </c>
      <c r="P56" s="1"/>
      <c r="Q56" s="1">
        <f t="shared" si="6"/>
        <v>6</v>
      </c>
      <c r="R56" s="5">
        <f>9*Q56-P56-O56-F56</f>
        <v>46</v>
      </c>
      <c r="S56" s="22"/>
      <c r="T56" s="1">
        <f t="shared" si="12"/>
        <v>9</v>
      </c>
      <c r="U56" s="1">
        <f t="shared" si="8"/>
        <v>1.3333333333333333</v>
      </c>
      <c r="V56" s="1">
        <v>1.8</v>
      </c>
      <c r="W56" s="1">
        <v>1.2</v>
      </c>
      <c r="X56" s="1">
        <v>2.8</v>
      </c>
      <c r="Y56" s="1">
        <v>4.8</v>
      </c>
      <c r="Z56" s="1">
        <v>4</v>
      </c>
      <c r="AA56" s="1">
        <v>4.2</v>
      </c>
      <c r="AB56" s="1">
        <v>3.6</v>
      </c>
      <c r="AC56" s="1">
        <v>3.6</v>
      </c>
      <c r="AD56" s="1">
        <v>4.5999999999999996</v>
      </c>
      <c r="AE56" s="1">
        <v>5.6</v>
      </c>
      <c r="AF56" s="1"/>
      <c r="AG56" s="1">
        <f t="shared" si="16"/>
        <v>15.180000000000001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105</v>
      </c>
      <c r="B57" s="1" t="s">
        <v>35</v>
      </c>
      <c r="C57" s="1">
        <v>769.10400000000004</v>
      </c>
      <c r="D57" s="1">
        <v>170.38399999999999</v>
      </c>
      <c r="E57" s="1">
        <v>568.63300000000004</v>
      </c>
      <c r="F57" s="1">
        <v>356.755</v>
      </c>
      <c r="G57" s="7">
        <v>1</v>
      </c>
      <c r="H57" s="1">
        <v>45</v>
      </c>
      <c r="I57" s="1" t="s">
        <v>36</v>
      </c>
      <c r="J57" s="1"/>
      <c r="K57" s="1">
        <v>563.91899999999998</v>
      </c>
      <c r="L57" s="1">
        <f t="shared" si="11"/>
        <v>4.7140000000000555</v>
      </c>
      <c r="M57" s="1">
        <f t="shared" si="5"/>
        <v>509.01400000000001</v>
      </c>
      <c r="N57" s="1">
        <v>59.619</v>
      </c>
      <c r="O57" s="1">
        <v>209</v>
      </c>
      <c r="P57" s="1">
        <v>226</v>
      </c>
      <c r="Q57" s="1">
        <f t="shared" si="6"/>
        <v>101.8028</v>
      </c>
      <c r="R57" s="5">
        <f t="shared" ref="R57:R60" si="17">14*Q57-P57-O57-F57</f>
        <v>633.48419999999999</v>
      </c>
      <c r="S57" s="22"/>
      <c r="T57" s="1">
        <f t="shared" si="12"/>
        <v>14</v>
      </c>
      <c r="U57" s="1">
        <f t="shared" si="8"/>
        <v>7.777340112452702</v>
      </c>
      <c r="V57" s="1">
        <v>86.9572</v>
      </c>
      <c r="W57" s="1">
        <v>72.214799999999997</v>
      </c>
      <c r="X57" s="1">
        <v>115.35380000000001</v>
      </c>
      <c r="Y57" s="1">
        <v>57.2836</v>
      </c>
      <c r="Z57" s="1">
        <v>83.705999999999989</v>
      </c>
      <c r="AA57" s="1">
        <v>83.758600000000001</v>
      </c>
      <c r="AB57" s="1">
        <v>66.909199999999998</v>
      </c>
      <c r="AC57" s="1">
        <v>79.169799999999995</v>
      </c>
      <c r="AD57" s="1">
        <v>59.140799999999999</v>
      </c>
      <c r="AE57" s="1">
        <v>88.197000000000003</v>
      </c>
      <c r="AF57" s="1"/>
      <c r="AG57" s="1">
        <f t="shared" si="16"/>
        <v>633.48419999999999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106</v>
      </c>
      <c r="B58" s="1" t="s">
        <v>39</v>
      </c>
      <c r="C58" s="1">
        <v>35</v>
      </c>
      <c r="D58" s="1">
        <v>4</v>
      </c>
      <c r="E58" s="1">
        <v>29</v>
      </c>
      <c r="F58" s="1">
        <v>1</v>
      </c>
      <c r="G58" s="7">
        <v>0.4</v>
      </c>
      <c r="H58" s="1">
        <v>45</v>
      </c>
      <c r="I58" s="1" t="s">
        <v>36</v>
      </c>
      <c r="J58" s="1"/>
      <c r="K58" s="1">
        <v>66</v>
      </c>
      <c r="L58" s="1">
        <f t="shared" si="11"/>
        <v>-37</v>
      </c>
      <c r="M58" s="1">
        <f t="shared" si="5"/>
        <v>29</v>
      </c>
      <c r="N58" s="1"/>
      <c r="O58" s="1">
        <v>43</v>
      </c>
      <c r="P58" s="1"/>
      <c r="Q58" s="1">
        <f t="shared" si="6"/>
        <v>5.8</v>
      </c>
      <c r="R58" s="5">
        <f t="shared" si="17"/>
        <v>37.200000000000003</v>
      </c>
      <c r="S58" s="22"/>
      <c r="T58" s="1">
        <f t="shared" si="12"/>
        <v>14.000000000000002</v>
      </c>
      <c r="U58" s="1">
        <f t="shared" si="8"/>
        <v>7.5862068965517242</v>
      </c>
      <c r="V58" s="1">
        <v>5.6</v>
      </c>
      <c r="W58" s="1">
        <v>0.4</v>
      </c>
      <c r="X58" s="1">
        <v>8.6</v>
      </c>
      <c r="Y58" s="1">
        <v>2.2000000000000002</v>
      </c>
      <c r="Z58" s="1">
        <v>3.2</v>
      </c>
      <c r="AA58" s="1">
        <v>4.8</v>
      </c>
      <c r="AB58" s="1">
        <v>2.8</v>
      </c>
      <c r="AC58" s="1">
        <v>3.4</v>
      </c>
      <c r="AD58" s="1">
        <v>1.6</v>
      </c>
      <c r="AE58" s="1">
        <v>4.2</v>
      </c>
      <c r="AF58" s="1"/>
      <c r="AG58" s="1">
        <f t="shared" si="16"/>
        <v>14.880000000000003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107</v>
      </c>
      <c r="B59" s="1" t="s">
        <v>35</v>
      </c>
      <c r="C59" s="1">
        <v>33.183999999999997</v>
      </c>
      <c r="D59" s="1">
        <v>11.773999999999999</v>
      </c>
      <c r="E59" s="1">
        <v>25.405999999999999</v>
      </c>
      <c r="F59" s="1">
        <v>19.552</v>
      </c>
      <c r="G59" s="7">
        <v>1</v>
      </c>
      <c r="H59" s="1">
        <v>60</v>
      </c>
      <c r="I59" s="1" t="s">
        <v>36</v>
      </c>
      <c r="J59" s="1"/>
      <c r="K59" s="1">
        <v>25</v>
      </c>
      <c r="L59" s="1">
        <f t="shared" si="11"/>
        <v>0.40599999999999881</v>
      </c>
      <c r="M59" s="1">
        <f t="shared" si="5"/>
        <v>25.405999999999999</v>
      </c>
      <c r="N59" s="1"/>
      <c r="O59" s="1">
        <v>0</v>
      </c>
      <c r="P59" s="1"/>
      <c r="Q59" s="1">
        <f t="shared" si="6"/>
        <v>5.0811999999999999</v>
      </c>
      <c r="R59" s="5">
        <f>12*Q59-P59-O59-F59</f>
        <v>41.422400000000003</v>
      </c>
      <c r="S59" s="22"/>
      <c r="T59" s="1">
        <f t="shared" si="12"/>
        <v>12</v>
      </c>
      <c r="U59" s="1">
        <f t="shared" si="8"/>
        <v>3.8479099425332599</v>
      </c>
      <c r="V59" s="1">
        <v>1.054</v>
      </c>
      <c r="W59" s="1">
        <v>2.3641999999999999</v>
      </c>
      <c r="X59" s="1">
        <v>4.2598000000000003</v>
      </c>
      <c r="Y59" s="1">
        <v>2.7410000000000001</v>
      </c>
      <c r="Z59" s="1">
        <v>2.54</v>
      </c>
      <c r="AA59" s="1">
        <v>3.1259999999999999</v>
      </c>
      <c r="AB59" s="1">
        <v>3.1627999999999998</v>
      </c>
      <c r="AC59" s="1">
        <v>2.3344</v>
      </c>
      <c r="AD59" s="1">
        <v>0.3916</v>
      </c>
      <c r="AE59" s="1">
        <v>2.6023999999999998</v>
      </c>
      <c r="AF59" s="1"/>
      <c r="AG59" s="1">
        <f t="shared" si="16"/>
        <v>41.422400000000003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108</v>
      </c>
      <c r="B60" s="1" t="s">
        <v>35</v>
      </c>
      <c r="C60" s="1">
        <v>6.0250000000000004</v>
      </c>
      <c r="D60" s="1">
        <v>44.156999999999996</v>
      </c>
      <c r="E60" s="1">
        <v>17.719000000000001</v>
      </c>
      <c r="F60" s="1">
        <v>30.518000000000001</v>
      </c>
      <c r="G60" s="7">
        <v>1</v>
      </c>
      <c r="H60" s="1">
        <v>60</v>
      </c>
      <c r="I60" s="1" t="s">
        <v>36</v>
      </c>
      <c r="J60" s="1"/>
      <c r="K60" s="1">
        <v>21.5</v>
      </c>
      <c r="L60" s="1">
        <f t="shared" si="11"/>
        <v>-3.7809999999999988</v>
      </c>
      <c r="M60" s="1">
        <f t="shared" si="5"/>
        <v>17.719000000000001</v>
      </c>
      <c r="N60" s="1"/>
      <c r="O60" s="1">
        <v>0</v>
      </c>
      <c r="P60" s="1"/>
      <c r="Q60" s="1">
        <f t="shared" si="6"/>
        <v>3.5438000000000001</v>
      </c>
      <c r="R60" s="5">
        <f t="shared" si="17"/>
        <v>19.095199999999998</v>
      </c>
      <c r="S60" s="22"/>
      <c r="T60" s="1">
        <f t="shared" si="12"/>
        <v>14</v>
      </c>
      <c r="U60" s="1">
        <f t="shared" si="8"/>
        <v>8.6116598002144595</v>
      </c>
      <c r="V60" s="1">
        <v>1.7490000000000001</v>
      </c>
      <c r="W60" s="1">
        <v>5.1369999999999996</v>
      </c>
      <c r="X60" s="1">
        <v>3.0150000000000001</v>
      </c>
      <c r="Y60" s="1">
        <v>3.6160000000000001</v>
      </c>
      <c r="Z60" s="1">
        <v>2.7080000000000002</v>
      </c>
      <c r="AA60" s="1">
        <v>3.3220000000000001</v>
      </c>
      <c r="AB60" s="1">
        <v>2.1120000000000001</v>
      </c>
      <c r="AC60" s="1">
        <v>4.5110000000000001</v>
      </c>
      <c r="AD60" s="1">
        <v>3.62</v>
      </c>
      <c r="AE60" s="1">
        <v>2.024</v>
      </c>
      <c r="AF60" s="1"/>
      <c r="AG60" s="1">
        <f t="shared" si="16"/>
        <v>19.095199999999998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1" t="s">
        <v>109</v>
      </c>
      <c r="B61" s="11" t="s">
        <v>39</v>
      </c>
      <c r="C61" s="11">
        <v>11</v>
      </c>
      <c r="D61" s="11"/>
      <c r="E61" s="11">
        <v>7</v>
      </c>
      <c r="F61" s="11">
        <v>3</v>
      </c>
      <c r="G61" s="12">
        <v>0</v>
      </c>
      <c r="H61" s="11">
        <v>45</v>
      </c>
      <c r="I61" s="11" t="s">
        <v>77</v>
      </c>
      <c r="J61" s="11"/>
      <c r="K61" s="11">
        <v>19</v>
      </c>
      <c r="L61" s="11">
        <f t="shared" si="11"/>
        <v>-12</v>
      </c>
      <c r="M61" s="11">
        <f t="shared" si="5"/>
        <v>7</v>
      </c>
      <c r="N61" s="11"/>
      <c r="O61" s="11">
        <v>0</v>
      </c>
      <c r="P61" s="11"/>
      <c r="Q61" s="11">
        <f t="shared" si="6"/>
        <v>1.4</v>
      </c>
      <c r="R61" s="13"/>
      <c r="S61" s="23"/>
      <c r="T61" s="11">
        <f t="shared" si="12"/>
        <v>2.1428571428571428</v>
      </c>
      <c r="U61" s="11">
        <f t="shared" si="8"/>
        <v>2.1428571428571428</v>
      </c>
      <c r="V61" s="11">
        <v>3.2</v>
      </c>
      <c r="W61" s="11">
        <v>0.4</v>
      </c>
      <c r="X61" s="11">
        <v>2</v>
      </c>
      <c r="Y61" s="11">
        <v>3.2</v>
      </c>
      <c r="Z61" s="11">
        <v>2.8</v>
      </c>
      <c r="AA61" s="11">
        <v>3.8</v>
      </c>
      <c r="AB61" s="11">
        <v>4.8</v>
      </c>
      <c r="AC61" s="11">
        <v>4</v>
      </c>
      <c r="AD61" s="11">
        <v>-0.2</v>
      </c>
      <c r="AE61" s="11">
        <v>0.8</v>
      </c>
      <c r="AF61" s="11"/>
      <c r="AG61" s="1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110</v>
      </c>
      <c r="B62" s="1" t="s">
        <v>35</v>
      </c>
      <c r="C62" s="1">
        <v>8.2590000000000003</v>
      </c>
      <c r="D62" s="1">
        <v>1.0840000000000001</v>
      </c>
      <c r="E62" s="1">
        <v>6.6980000000000004</v>
      </c>
      <c r="F62" s="1">
        <v>-2.2650000000000001</v>
      </c>
      <c r="G62" s="7">
        <v>1</v>
      </c>
      <c r="H62" s="1">
        <v>45</v>
      </c>
      <c r="I62" s="1" t="s">
        <v>36</v>
      </c>
      <c r="J62" s="1"/>
      <c r="K62" s="1">
        <v>28.564</v>
      </c>
      <c r="L62" s="1">
        <f t="shared" si="11"/>
        <v>-21.866</v>
      </c>
      <c r="M62" s="1">
        <f t="shared" si="5"/>
        <v>6.6980000000000004</v>
      </c>
      <c r="N62" s="1"/>
      <c r="O62" s="1">
        <v>70</v>
      </c>
      <c r="P62" s="1"/>
      <c r="Q62" s="1">
        <f t="shared" si="6"/>
        <v>1.3396000000000001</v>
      </c>
      <c r="R62" s="5"/>
      <c r="S62" s="22">
        <v>60</v>
      </c>
      <c r="T62" s="1">
        <f t="shared" si="12"/>
        <v>50.563601074947741</v>
      </c>
      <c r="U62" s="1">
        <f t="shared" si="8"/>
        <v>50.563601074947741</v>
      </c>
      <c r="V62" s="1">
        <v>2.7850000000000001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 t="s">
        <v>37</v>
      </c>
      <c r="AG62" s="1">
        <f t="shared" ref="AG62:AG69" si="18">G62*R62</f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111</v>
      </c>
      <c r="B63" s="1" t="s">
        <v>39</v>
      </c>
      <c r="C63" s="1">
        <v>114</v>
      </c>
      <c r="D63" s="1">
        <v>36</v>
      </c>
      <c r="E63" s="1">
        <v>85</v>
      </c>
      <c r="F63" s="1">
        <v>58</v>
      </c>
      <c r="G63" s="7">
        <v>0.25</v>
      </c>
      <c r="H63" s="1">
        <v>120</v>
      </c>
      <c r="I63" s="1" t="s">
        <v>36</v>
      </c>
      <c r="J63" s="1"/>
      <c r="K63" s="1">
        <v>93</v>
      </c>
      <c r="L63" s="1">
        <f t="shared" si="11"/>
        <v>-8</v>
      </c>
      <c r="M63" s="1">
        <f t="shared" si="5"/>
        <v>61</v>
      </c>
      <c r="N63" s="1">
        <v>24</v>
      </c>
      <c r="O63" s="1">
        <v>39</v>
      </c>
      <c r="P63" s="1">
        <v>43</v>
      </c>
      <c r="Q63" s="1">
        <f t="shared" si="6"/>
        <v>12.2</v>
      </c>
      <c r="R63" s="5">
        <f t="shared" ref="R63:R69" si="19">14*Q63-P63-O63-F63</f>
        <v>30.799999999999983</v>
      </c>
      <c r="S63" s="22"/>
      <c r="T63" s="1">
        <f t="shared" si="12"/>
        <v>14</v>
      </c>
      <c r="U63" s="1">
        <f t="shared" si="8"/>
        <v>11.475409836065575</v>
      </c>
      <c r="V63" s="1">
        <v>13.6</v>
      </c>
      <c r="W63" s="1">
        <v>12.6</v>
      </c>
      <c r="X63" s="1">
        <v>10.8</v>
      </c>
      <c r="Y63" s="1">
        <v>17.2</v>
      </c>
      <c r="Z63" s="1">
        <v>8.6</v>
      </c>
      <c r="AA63" s="1">
        <v>12.4</v>
      </c>
      <c r="AB63" s="1">
        <v>10</v>
      </c>
      <c r="AC63" s="1">
        <v>7.6</v>
      </c>
      <c r="AD63" s="1">
        <v>10</v>
      </c>
      <c r="AE63" s="1">
        <v>11.4</v>
      </c>
      <c r="AF63" s="1" t="s">
        <v>41</v>
      </c>
      <c r="AG63" s="1">
        <f t="shared" si="18"/>
        <v>7.6999999999999957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112</v>
      </c>
      <c r="B64" s="1" t="s">
        <v>35</v>
      </c>
      <c r="C64" s="1">
        <v>30.300999999999998</v>
      </c>
      <c r="D64" s="1">
        <v>8.4309999999999992</v>
      </c>
      <c r="E64" s="1">
        <v>18.835000000000001</v>
      </c>
      <c r="F64" s="1">
        <v>17.806000000000001</v>
      </c>
      <c r="G64" s="7">
        <v>1</v>
      </c>
      <c r="H64" s="1">
        <v>45</v>
      </c>
      <c r="I64" s="1" t="s">
        <v>36</v>
      </c>
      <c r="J64" s="1"/>
      <c r="K64" s="1">
        <v>22</v>
      </c>
      <c r="L64" s="1">
        <f t="shared" si="11"/>
        <v>-3.1649999999999991</v>
      </c>
      <c r="M64" s="1">
        <f t="shared" si="5"/>
        <v>18.835000000000001</v>
      </c>
      <c r="N64" s="1"/>
      <c r="O64" s="1">
        <v>14</v>
      </c>
      <c r="P64" s="1"/>
      <c r="Q64" s="1">
        <f t="shared" si="6"/>
        <v>3.7670000000000003</v>
      </c>
      <c r="R64" s="5">
        <f t="shared" si="19"/>
        <v>20.932000000000006</v>
      </c>
      <c r="S64" s="22"/>
      <c r="T64" s="1">
        <f t="shared" si="12"/>
        <v>14</v>
      </c>
      <c r="U64" s="1">
        <f t="shared" si="8"/>
        <v>8.4433235996814435</v>
      </c>
      <c r="V64" s="1">
        <v>3.3374000000000001</v>
      </c>
      <c r="W64" s="1">
        <v>2.7829999999999999</v>
      </c>
      <c r="X64" s="1">
        <v>3.653</v>
      </c>
      <c r="Y64" s="1">
        <v>6.1457999999999986</v>
      </c>
      <c r="Z64" s="1">
        <v>1.8888</v>
      </c>
      <c r="AA64" s="1">
        <v>4.4606000000000003</v>
      </c>
      <c r="AB64" s="1">
        <v>1.9952000000000001</v>
      </c>
      <c r="AC64" s="1">
        <v>2.8637999999999999</v>
      </c>
      <c r="AD64" s="1">
        <v>2.9007999999999998</v>
      </c>
      <c r="AE64" s="1">
        <v>3.1057999999999999</v>
      </c>
      <c r="AF64" s="1"/>
      <c r="AG64" s="1">
        <f t="shared" si="18"/>
        <v>20.932000000000006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113</v>
      </c>
      <c r="B65" s="1" t="s">
        <v>39</v>
      </c>
      <c r="C65" s="1">
        <v>83</v>
      </c>
      <c r="D65" s="1">
        <v>51</v>
      </c>
      <c r="E65" s="1">
        <v>63</v>
      </c>
      <c r="F65" s="1">
        <v>62</v>
      </c>
      <c r="G65" s="7">
        <v>0.27</v>
      </c>
      <c r="H65" s="1"/>
      <c r="I65" s="1" t="s">
        <v>36</v>
      </c>
      <c r="J65" s="1"/>
      <c r="K65" s="1">
        <v>78</v>
      </c>
      <c r="L65" s="1">
        <f t="shared" si="11"/>
        <v>-15</v>
      </c>
      <c r="M65" s="1">
        <f t="shared" si="5"/>
        <v>39</v>
      </c>
      <c r="N65" s="1">
        <v>24</v>
      </c>
      <c r="O65" s="1">
        <v>16</v>
      </c>
      <c r="P65" s="1"/>
      <c r="Q65" s="1">
        <f t="shared" si="6"/>
        <v>7.8</v>
      </c>
      <c r="R65" s="5">
        <f t="shared" si="19"/>
        <v>31.200000000000003</v>
      </c>
      <c r="S65" s="22"/>
      <c r="T65" s="1">
        <f t="shared" si="12"/>
        <v>14</v>
      </c>
      <c r="U65" s="1">
        <f t="shared" si="8"/>
        <v>10</v>
      </c>
      <c r="V65" s="1">
        <v>8.6</v>
      </c>
      <c r="W65" s="1">
        <v>10.6</v>
      </c>
      <c r="X65" s="1">
        <v>11.2</v>
      </c>
      <c r="Y65" s="1">
        <v>9.4</v>
      </c>
      <c r="Z65" s="1">
        <v>10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37</v>
      </c>
      <c r="AG65" s="1">
        <f t="shared" si="18"/>
        <v>8.4240000000000013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114</v>
      </c>
      <c r="B66" s="1" t="s">
        <v>39</v>
      </c>
      <c r="C66" s="1">
        <v>128</v>
      </c>
      <c r="D66" s="1">
        <v>8</v>
      </c>
      <c r="E66" s="1">
        <v>75</v>
      </c>
      <c r="F66" s="1">
        <v>61</v>
      </c>
      <c r="G66" s="7">
        <v>0.3</v>
      </c>
      <c r="H66" s="1">
        <v>60</v>
      </c>
      <c r="I66" s="1" t="s">
        <v>36</v>
      </c>
      <c r="J66" s="1"/>
      <c r="K66" s="1">
        <v>75</v>
      </c>
      <c r="L66" s="1">
        <f t="shared" si="11"/>
        <v>0</v>
      </c>
      <c r="M66" s="1">
        <f t="shared" si="5"/>
        <v>75</v>
      </c>
      <c r="N66" s="1"/>
      <c r="O66" s="1">
        <v>84</v>
      </c>
      <c r="P66" s="1">
        <v>91</v>
      </c>
      <c r="Q66" s="1">
        <f t="shared" si="6"/>
        <v>15</v>
      </c>
      <c r="R66" s="5"/>
      <c r="S66" s="22">
        <v>50</v>
      </c>
      <c r="T66" s="1">
        <f t="shared" si="12"/>
        <v>15.733333333333333</v>
      </c>
      <c r="U66" s="1">
        <f t="shared" si="8"/>
        <v>15.733333333333333</v>
      </c>
      <c r="V66" s="1">
        <v>22.2</v>
      </c>
      <c r="W66" s="1">
        <v>12.8</v>
      </c>
      <c r="X66" s="1">
        <v>24.8</v>
      </c>
      <c r="Y66" s="1">
        <v>22</v>
      </c>
      <c r="Z66" s="1">
        <v>6</v>
      </c>
      <c r="AA66" s="1">
        <v>25</v>
      </c>
      <c r="AB66" s="1">
        <v>15.8</v>
      </c>
      <c r="AC66" s="1">
        <v>24.4</v>
      </c>
      <c r="AD66" s="1">
        <v>27.4</v>
      </c>
      <c r="AE66" s="1">
        <v>18.399999999999999</v>
      </c>
      <c r="AF66" s="1"/>
      <c r="AG66" s="1">
        <f t="shared" si="18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115</v>
      </c>
      <c r="B67" s="1" t="s">
        <v>39</v>
      </c>
      <c r="C67" s="1">
        <v>1059</v>
      </c>
      <c r="D67" s="1">
        <v>1686</v>
      </c>
      <c r="E67" s="1">
        <v>1447</v>
      </c>
      <c r="F67" s="1">
        <v>1180</v>
      </c>
      <c r="G67" s="7">
        <v>0.41</v>
      </c>
      <c r="H67" s="1">
        <v>50</v>
      </c>
      <c r="I67" s="1" t="s">
        <v>36</v>
      </c>
      <c r="J67" s="1"/>
      <c r="K67" s="1">
        <v>1597</v>
      </c>
      <c r="L67" s="1">
        <f t="shared" si="11"/>
        <v>-150</v>
      </c>
      <c r="M67" s="1">
        <f t="shared" si="5"/>
        <v>1417</v>
      </c>
      <c r="N67" s="1">
        <v>30</v>
      </c>
      <c r="O67" s="1">
        <v>975</v>
      </c>
      <c r="P67" s="1">
        <v>1056</v>
      </c>
      <c r="Q67" s="1">
        <f t="shared" si="6"/>
        <v>283.39999999999998</v>
      </c>
      <c r="R67" s="5">
        <f t="shared" si="19"/>
        <v>756.59999999999945</v>
      </c>
      <c r="S67" s="22"/>
      <c r="T67" s="1">
        <f t="shared" si="12"/>
        <v>14</v>
      </c>
      <c r="U67" s="1">
        <f t="shared" si="8"/>
        <v>11.330275229357799</v>
      </c>
      <c r="V67" s="1">
        <v>309</v>
      </c>
      <c r="W67" s="1">
        <v>270.60000000000002</v>
      </c>
      <c r="X67" s="1">
        <v>254.6</v>
      </c>
      <c r="Y67" s="1">
        <v>162</v>
      </c>
      <c r="Z67" s="1">
        <v>255.8</v>
      </c>
      <c r="AA67" s="1">
        <v>295.60000000000002</v>
      </c>
      <c r="AB67" s="1">
        <v>177.8</v>
      </c>
      <c r="AC67" s="1">
        <v>224.2</v>
      </c>
      <c r="AD67" s="1">
        <v>325.39999999999998</v>
      </c>
      <c r="AE67" s="1">
        <v>226.4</v>
      </c>
      <c r="AF67" s="1"/>
      <c r="AG67" s="1">
        <f t="shared" si="18"/>
        <v>310.20599999999973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116</v>
      </c>
      <c r="B68" s="1" t="s">
        <v>35</v>
      </c>
      <c r="C68" s="1">
        <v>224.94</v>
      </c>
      <c r="D68" s="1">
        <v>673.69799999999998</v>
      </c>
      <c r="E68" s="1">
        <v>565.98</v>
      </c>
      <c r="F68" s="1">
        <v>301.09100000000001</v>
      </c>
      <c r="G68" s="7">
        <v>1</v>
      </c>
      <c r="H68" s="1">
        <v>50</v>
      </c>
      <c r="I68" s="1" t="s">
        <v>36</v>
      </c>
      <c r="J68" s="1"/>
      <c r="K68" s="1">
        <v>594.18799999999999</v>
      </c>
      <c r="L68" s="1">
        <f t="shared" si="11"/>
        <v>-28.20799999999997</v>
      </c>
      <c r="M68" s="1">
        <f t="shared" si="5"/>
        <v>412.38400000000001</v>
      </c>
      <c r="N68" s="1">
        <v>153.596</v>
      </c>
      <c r="O68" s="1">
        <v>439</v>
      </c>
      <c r="P68" s="1">
        <v>476</v>
      </c>
      <c r="Q68" s="1">
        <f t="shared" si="6"/>
        <v>82.476799999999997</v>
      </c>
      <c r="R68" s="5"/>
      <c r="S68" s="22"/>
      <c r="T68" s="1">
        <f t="shared" si="12"/>
        <v>14.744643342127725</v>
      </c>
      <c r="U68" s="1">
        <f t="shared" si="8"/>
        <v>14.744643342127725</v>
      </c>
      <c r="V68" s="1">
        <v>116.29600000000001</v>
      </c>
      <c r="W68" s="1">
        <v>67.666399999999996</v>
      </c>
      <c r="X68" s="1">
        <v>54.068199999999997</v>
      </c>
      <c r="Y68" s="1">
        <v>90.557999999999993</v>
      </c>
      <c r="Z68" s="1">
        <v>58.315199999999997</v>
      </c>
      <c r="AA68" s="1">
        <v>77.043800000000005</v>
      </c>
      <c r="AB68" s="1">
        <v>68.825599999999994</v>
      </c>
      <c r="AC68" s="1">
        <v>62.052600000000012</v>
      </c>
      <c r="AD68" s="1">
        <v>67.328400000000002</v>
      </c>
      <c r="AE68" s="1">
        <v>75.135400000000004</v>
      </c>
      <c r="AF68" s="1"/>
      <c r="AG68" s="1">
        <f t="shared" si="18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117</v>
      </c>
      <c r="B69" s="1" t="s">
        <v>39</v>
      </c>
      <c r="C69" s="1">
        <v>7</v>
      </c>
      <c r="D69" s="1">
        <v>48</v>
      </c>
      <c r="E69" s="1">
        <v>55</v>
      </c>
      <c r="F69" s="1"/>
      <c r="G69" s="7">
        <v>0.35</v>
      </c>
      <c r="H69" s="1">
        <v>50</v>
      </c>
      <c r="I69" s="1" t="s">
        <v>36</v>
      </c>
      <c r="J69" s="1"/>
      <c r="K69" s="1">
        <v>59</v>
      </c>
      <c r="L69" s="1">
        <f t="shared" ref="L69:L100" si="20">E69-K69</f>
        <v>-4</v>
      </c>
      <c r="M69" s="1">
        <f t="shared" si="5"/>
        <v>55</v>
      </c>
      <c r="N69" s="1"/>
      <c r="O69" s="1">
        <v>58</v>
      </c>
      <c r="P69" s="1">
        <v>62</v>
      </c>
      <c r="Q69" s="1">
        <f t="shared" si="6"/>
        <v>11</v>
      </c>
      <c r="R69" s="5">
        <f t="shared" si="19"/>
        <v>34</v>
      </c>
      <c r="S69" s="22">
        <v>50</v>
      </c>
      <c r="T69" s="1">
        <f t="shared" si="12"/>
        <v>14</v>
      </c>
      <c r="U69" s="1">
        <f t="shared" si="8"/>
        <v>10.909090909090908</v>
      </c>
      <c r="V69" s="1">
        <v>14.8</v>
      </c>
      <c r="W69" s="1">
        <v>9.4</v>
      </c>
      <c r="X69" s="1">
        <v>10.4</v>
      </c>
      <c r="Y69" s="1">
        <v>9.8000000000000007</v>
      </c>
      <c r="Z69" s="1">
        <v>6.8</v>
      </c>
      <c r="AA69" s="1">
        <v>8.4</v>
      </c>
      <c r="AB69" s="1">
        <v>9.4</v>
      </c>
      <c r="AC69" s="1">
        <v>8</v>
      </c>
      <c r="AD69" s="1">
        <v>9.8000000000000007</v>
      </c>
      <c r="AE69" s="1">
        <v>10</v>
      </c>
      <c r="AF69" s="1"/>
      <c r="AG69" s="1">
        <f t="shared" si="18"/>
        <v>11.899999999999999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1" t="s">
        <v>118</v>
      </c>
      <c r="B70" s="11" t="s">
        <v>35</v>
      </c>
      <c r="C70" s="11"/>
      <c r="D70" s="11"/>
      <c r="E70" s="11"/>
      <c r="F70" s="11"/>
      <c r="G70" s="12">
        <v>0</v>
      </c>
      <c r="H70" s="11"/>
      <c r="I70" s="11" t="s">
        <v>36</v>
      </c>
      <c r="J70" s="11"/>
      <c r="K70" s="11">
        <v>3</v>
      </c>
      <c r="L70" s="11">
        <f t="shared" si="20"/>
        <v>-3</v>
      </c>
      <c r="M70" s="11">
        <f t="shared" ref="M70:M125" si="21">E70-N70</f>
        <v>0</v>
      </c>
      <c r="N70" s="11"/>
      <c r="O70" s="11">
        <v>0</v>
      </c>
      <c r="P70" s="11"/>
      <c r="Q70" s="11">
        <f t="shared" ref="Q70:Q125" si="22">M70/5</f>
        <v>0</v>
      </c>
      <c r="R70" s="13"/>
      <c r="S70" s="23"/>
      <c r="T70" s="11" t="e">
        <f t="shared" ref="T70:T101" si="23">(F70+O70+P70+R70)/Q70</f>
        <v>#DIV/0!</v>
      </c>
      <c r="U70" s="11" t="e">
        <f t="shared" ref="U70:U125" si="24">(F70+O70+P70)/Q70</f>
        <v>#DIV/0!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 t="s">
        <v>119</v>
      </c>
      <c r="AG70" s="1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120</v>
      </c>
      <c r="B71" s="1" t="s">
        <v>39</v>
      </c>
      <c r="C71" s="1">
        <v>36</v>
      </c>
      <c r="D71" s="1">
        <v>433</v>
      </c>
      <c r="E71" s="1">
        <v>354</v>
      </c>
      <c r="F71" s="1">
        <v>81</v>
      </c>
      <c r="G71" s="7">
        <v>0.41</v>
      </c>
      <c r="H71" s="1">
        <v>50</v>
      </c>
      <c r="I71" s="9" t="s">
        <v>36</v>
      </c>
      <c r="J71" s="1"/>
      <c r="K71" s="1">
        <v>993</v>
      </c>
      <c r="L71" s="1">
        <f t="shared" si="20"/>
        <v>-639</v>
      </c>
      <c r="M71" s="1">
        <f t="shared" si="21"/>
        <v>354</v>
      </c>
      <c r="N71" s="1"/>
      <c r="O71" s="1">
        <v>339</v>
      </c>
      <c r="P71" s="1">
        <v>368</v>
      </c>
      <c r="Q71" s="1">
        <f t="shared" si="22"/>
        <v>70.8</v>
      </c>
      <c r="R71" s="5">
        <f t="shared" ref="R71:R74" si="25">14*Q71-P71-O71-F71</f>
        <v>203.19999999999993</v>
      </c>
      <c r="S71" s="22">
        <v>250</v>
      </c>
      <c r="T71" s="1">
        <f t="shared" si="23"/>
        <v>14</v>
      </c>
      <c r="U71" s="1">
        <f t="shared" si="24"/>
        <v>11.12994350282486</v>
      </c>
      <c r="V71" s="1">
        <v>77.2</v>
      </c>
      <c r="W71" s="1">
        <v>122.4</v>
      </c>
      <c r="X71" s="1">
        <v>168.2</v>
      </c>
      <c r="Y71" s="1">
        <v>97.6</v>
      </c>
      <c r="Z71" s="1">
        <v>131.19999999999999</v>
      </c>
      <c r="AA71" s="1">
        <v>115.8</v>
      </c>
      <c r="AB71" s="1">
        <v>51.4</v>
      </c>
      <c r="AC71" s="1">
        <v>131.80000000000001</v>
      </c>
      <c r="AD71" s="1">
        <v>48</v>
      </c>
      <c r="AE71" s="1">
        <v>131.4</v>
      </c>
      <c r="AF71" s="1"/>
      <c r="AG71" s="1">
        <f>G71*R71</f>
        <v>83.311999999999969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121</v>
      </c>
      <c r="B72" s="1" t="s">
        <v>35</v>
      </c>
      <c r="C72" s="1">
        <v>117.931</v>
      </c>
      <c r="D72" s="1">
        <v>189.857</v>
      </c>
      <c r="E72" s="1">
        <v>144.422</v>
      </c>
      <c r="F72" s="1">
        <v>160.24299999999999</v>
      </c>
      <c r="G72" s="7">
        <v>1</v>
      </c>
      <c r="H72" s="1">
        <v>50</v>
      </c>
      <c r="I72" s="1" t="s">
        <v>36</v>
      </c>
      <c r="J72" s="1"/>
      <c r="K72" s="1">
        <v>145.9</v>
      </c>
      <c r="L72" s="1">
        <f t="shared" si="20"/>
        <v>-1.4780000000000086</v>
      </c>
      <c r="M72" s="1">
        <f t="shared" si="21"/>
        <v>144.422</v>
      </c>
      <c r="N72" s="1"/>
      <c r="O72" s="1">
        <v>71</v>
      </c>
      <c r="P72" s="1"/>
      <c r="Q72" s="1">
        <f t="shared" si="22"/>
        <v>28.884399999999999</v>
      </c>
      <c r="R72" s="5">
        <f t="shared" si="25"/>
        <v>173.1386</v>
      </c>
      <c r="S72" s="22">
        <v>193</v>
      </c>
      <c r="T72" s="1">
        <f t="shared" si="23"/>
        <v>14</v>
      </c>
      <c r="U72" s="1">
        <f t="shared" si="24"/>
        <v>8.0058093642242873</v>
      </c>
      <c r="V72" s="1">
        <v>24.8414</v>
      </c>
      <c r="W72" s="1">
        <v>25.869399999999999</v>
      </c>
      <c r="X72" s="1">
        <v>22.477799999999991</v>
      </c>
      <c r="Y72" s="1">
        <v>10.4636</v>
      </c>
      <c r="Z72" s="1">
        <v>20.153400000000001</v>
      </c>
      <c r="AA72" s="1">
        <v>17.823599999999999</v>
      </c>
      <c r="AB72" s="1">
        <v>10.4872</v>
      </c>
      <c r="AC72" s="1">
        <v>19.265799999999999</v>
      </c>
      <c r="AD72" s="1">
        <v>18.461200000000002</v>
      </c>
      <c r="AE72" s="1">
        <v>25.2182</v>
      </c>
      <c r="AF72" s="1"/>
      <c r="AG72" s="1">
        <f>G72*R72</f>
        <v>173.1386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122</v>
      </c>
      <c r="B73" s="1" t="s">
        <v>39</v>
      </c>
      <c r="C73" s="1">
        <v>44</v>
      </c>
      <c r="D73" s="1">
        <v>267</v>
      </c>
      <c r="E73" s="1">
        <v>177</v>
      </c>
      <c r="F73" s="1">
        <v>129</v>
      </c>
      <c r="G73" s="7">
        <v>0.3</v>
      </c>
      <c r="H73" s="1">
        <v>50</v>
      </c>
      <c r="I73" s="1" t="s">
        <v>36</v>
      </c>
      <c r="J73" s="1"/>
      <c r="K73" s="1">
        <v>184</v>
      </c>
      <c r="L73" s="1">
        <f t="shared" si="20"/>
        <v>-7</v>
      </c>
      <c r="M73" s="1">
        <f t="shared" si="21"/>
        <v>129</v>
      </c>
      <c r="N73" s="1">
        <v>48</v>
      </c>
      <c r="O73" s="1">
        <v>80</v>
      </c>
      <c r="P73" s="1"/>
      <c r="Q73" s="1">
        <f t="shared" si="22"/>
        <v>25.8</v>
      </c>
      <c r="R73" s="5">
        <f t="shared" si="25"/>
        <v>152.19999999999999</v>
      </c>
      <c r="S73" s="22"/>
      <c r="T73" s="1">
        <f t="shared" si="23"/>
        <v>14</v>
      </c>
      <c r="U73" s="1">
        <f t="shared" si="24"/>
        <v>8.1007751937984498</v>
      </c>
      <c r="V73" s="1">
        <v>20.2</v>
      </c>
      <c r="W73" s="1">
        <v>25.8</v>
      </c>
      <c r="X73" s="1">
        <v>17.399999999999999</v>
      </c>
      <c r="Y73" s="1">
        <v>15.2</v>
      </c>
      <c r="Z73" s="1">
        <v>25.8</v>
      </c>
      <c r="AA73" s="1">
        <v>3.6</v>
      </c>
      <c r="AB73" s="1">
        <v>8.6</v>
      </c>
      <c r="AC73" s="1">
        <v>4.4000000000000004</v>
      </c>
      <c r="AD73" s="1">
        <v>-0.6</v>
      </c>
      <c r="AE73" s="1">
        <v>3</v>
      </c>
      <c r="AF73" s="1"/>
      <c r="AG73" s="1">
        <f>G73*R73</f>
        <v>45.66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123</v>
      </c>
      <c r="B74" s="1" t="s">
        <v>39</v>
      </c>
      <c r="C74" s="1">
        <v>434</v>
      </c>
      <c r="D74" s="1">
        <v>36</v>
      </c>
      <c r="E74" s="1">
        <v>192</v>
      </c>
      <c r="F74" s="1">
        <v>270</v>
      </c>
      <c r="G74" s="7">
        <v>0.18</v>
      </c>
      <c r="H74" s="1">
        <v>50</v>
      </c>
      <c r="I74" s="1" t="s">
        <v>36</v>
      </c>
      <c r="J74" s="1"/>
      <c r="K74" s="1">
        <v>209</v>
      </c>
      <c r="L74" s="1">
        <f t="shared" si="20"/>
        <v>-17</v>
      </c>
      <c r="M74" s="1">
        <f t="shared" si="21"/>
        <v>162</v>
      </c>
      <c r="N74" s="1">
        <v>30</v>
      </c>
      <c r="O74" s="1">
        <v>48</v>
      </c>
      <c r="P74" s="1">
        <v>52</v>
      </c>
      <c r="Q74" s="1">
        <f t="shared" si="22"/>
        <v>32.4</v>
      </c>
      <c r="R74" s="5">
        <f t="shared" si="25"/>
        <v>83.599999999999966</v>
      </c>
      <c r="S74" s="22"/>
      <c r="T74" s="1">
        <f t="shared" si="23"/>
        <v>14</v>
      </c>
      <c r="U74" s="1">
        <f t="shared" si="24"/>
        <v>11.419753086419753</v>
      </c>
      <c r="V74" s="1">
        <v>35.6</v>
      </c>
      <c r="W74" s="1">
        <v>35.799999999999997</v>
      </c>
      <c r="X74" s="1">
        <v>55.6</v>
      </c>
      <c r="Y74" s="1">
        <v>30.2</v>
      </c>
      <c r="Z74" s="1">
        <v>48.2</v>
      </c>
      <c r="AA74" s="1">
        <v>38.4</v>
      </c>
      <c r="AB74" s="1">
        <v>66</v>
      </c>
      <c r="AC74" s="1">
        <v>52.6</v>
      </c>
      <c r="AD74" s="1">
        <v>48.4</v>
      </c>
      <c r="AE74" s="1">
        <v>41.2</v>
      </c>
      <c r="AF74" s="1"/>
      <c r="AG74" s="1">
        <f>G74*R74</f>
        <v>15.047999999999993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1" t="s">
        <v>124</v>
      </c>
      <c r="B75" s="11" t="s">
        <v>39</v>
      </c>
      <c r="C75" s="11"/>
      <c r="D75" s="11">
        <v>30</v>
      </c>
      <c r="E75" s="11">
        <v>30</v>
      </c>
      <c r="F75" s="11"/>
      <c r="G75" s="12">
        <v>0</v>
      </c>
      <c r="H75" s="11"/>
      <c r="I75" s="11" t="s">
        <v>62</v>
      </c>
      <c r="J75" s="11"/>
      <c r="K75" s="11">
        <v>30</v>
      </c>
      <c r="L75" s="11">
        <f t="shared" si="20"/>
        <v>0</v>
      </c>
      <c r="M75" s="11">
        <f t="shared" si="21"/>
        <v>0</v>
      </c>
      <c r="N75" s="11">
        <v>30</v>
      </c>
      <c r="O75" s="11"/>
      <c r="P75" s="11"/>
      <c r="Q75" s="11">
        <f t="shared" si="22"/>
        <v>0</v>
      </c>
      <c r="R75" s="13"/>
      <c r="S75" s="23"/>
      <c r="T75" s="11" t="e">
        <f t="shared" si="23"/>
        <v>#DIV/0!</v>
      </c>
      <c r="U75" s="11" t="e">
        <f t="shared" si="24"/>
        <v>#DIV/0!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/>
      <c r="AG75" s="1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5" t="s">
        <v>125</v>
      </c>
      <c r="B76" s="1" t="s">
        <v>39</v>
      </c>
      <c r="C76" s="1"/>
      <c r="D76" s="1"/>
      <c r="E76" s="1"/>
      <c r="F76" s="1"/>
      <c r="G76" s="7">
        <v>0.22</v>
      </c>
      <c r="H76" s="1">
        <v>120</v>
      </c>
      <c r="I76" s="1" t="s">
        <v>36</v>
      </c>
      <c r="J76" s="1"/>
      <c r="K76" s="1"/>
      <c r="L76" s="1">
        <f t="shared" si="20"/>
        <v>0</v>
      </c>
      <c r="M76" s="1">
        <f t="shared" si="21"/>
        <v>0</v>
      </c>
      <c r="N76" s="1"/>
      <c r="O76" s="1">
        <v>40</v>
      </c>
      <c r="P76" s="1"/>
      <c r="Q76" s="1">
        <f t="shared" si="22"/>
        <v>0</v>
      </c>
      <c r="R76" s="5"/>
      <c r="S76" s="22"/>
      <c r="T76" s="1" t="e">
        <f t="shared" si="23"/>
        <v>#DIV/0!</v>
      </c>
      <c r="U76" s="1" t="e">
        <f t="shared" si="24"/>
        <v>#DIV/0!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 t="s">
        <v>37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1" t="s">
        <v>126</v>
      </c>
      <c r="B77" s="11" t="s">
        <v>39</v>
      </c>
      <c r="C77" s="11"/>
      <c r="D77" s="11">
        <v>24</v>
      </c>
      <c r="E77" s="11">
        <v>22</v>
      </c>
      <c r="F77" s="11"/>
      <c r="G77" s="12">
        <v>0</v>
      </c>
      <c r="H77" s="11"/>
      <c r="I77" s="11" t="s">
        <v>62</v>
      </c>
      <c r="J77" s="11"/>
      <c r="K77" s="11">
        <v>24</v>
      </c>
      <c r="L77" s="11">
        <f t="shared" si="20"/>
        <v>-2</v>
      </c>
      <c r="M77" s="11">
        <f t="shared" si="21"/>
        <v>-2</v>
      </c>
      <c r="N77" s="11">
        <v>24</v>
      </c>
      <c r="O77" s="11"/>
      <c r="P77" s="11"/>
      <c r="Q77" s="11">
        <f t="shared" si="22"/>
        <v>-0.4</v>
      </c>
      <c r="R77" s="13"/>
      <c r="S77" s="23"/>
      <c r="T77" s="11">
        <f t="shared" si="23"/>
        <v>0</v>
      </c>
      <c r="U77" s="11">
        <f t="shared" si="24"/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/>
      <c r="AG77" s="1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1" t="s">
        <v>127</v>
      </c>
      <c r="B78" s="11" t="s">
        <v>35</v>
      </c>
      <c r="C78" s="11"/>
      <c r="D78" s="11">
        <v>6</v>
      </c>
      <c r="E78" s="11">
        <v>6</v>
      </c>
      <c r="F78" s="11"/>
      <c r="G78" s="12">
        <v>0</v>
      </c>
      <c r="H78" s="11"/>
      <c r="I78" s="11" t="s">
        <v>36</v>
      </c>
      <c r="J78" s="11"/>
      <c r="K78" s="11">
        <v>7</v>
      </c>
      <c r="L78" s="11">
        <f t="shared" si="20"/>
        <v>-1</v>
      </c>
      <c r="M78" s="11">
        <f t="shared" si="21"/>
        <v>0</v>
      </c>
      <c r="N78" s="11">
        <v>6</v>
      </c>
      <c r="O78" s="11">
        <v>0</v>
      </c>
      <c r="P78" s="11"/>
      <c r="Q78" s="11">
        <f t="shared" si="22"/>
        <v>0</v>
      </c>
      <c r="R78" s="13"/>
      <c r="S78" s="23"/>
      <c r="T78" s="11" t="e">
        <f t="shared" si="23"/>
        <v>#DIV/0!</v>
      </c>
      <c r="U78" s="11" t="e">
        <f t="shared" si="24"/>
        <v>#DIV/0!</v>
      </c>
      <c r="V78" s="11">
        <v>6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 t="s">
        <v>119</v>
      </c>
      <c r="AG78" s="1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128</v>
      </c>
      <c r="B79" s="1" t="s">
        <v>39</v>
      </c>
      <c r="C79" s="1">
        <v>523</v>
      </c>
      <c r="D79" s="1">
        <v>1179</v>
      </c>
      <c r="E79" s="1">
        <v>903</v>
      </c>
      <c r="F79" s="1">
        <v>742</v>
      </c>
      <c r="G79" s="7">
        <v>0.35</v>
      </c>
      <c r="H79" s="1">
        <v>50</v>
      </c>
      <c r="I79" s="1" t="s">
        <v>36</v>
      </c>
      <c r="J79" s="1"/>
      <c r="K79" s="1">
        <v>983</v>
      </c>
      <c r="L79" s="1">
        <f t="shared" si="20"/>
        <v>-80</v>
      </c>
      <c r="M79" s="1">
        <f t="shared" si="21"/>
        <v>847</v>
      </c>
      <c r="N79" s="1">
        <v>56</v>
      </c>
      <c r="O79" s="1">
        <v>592</v>
      </c>
      <c r="P79" s="1">
        <v>641</v>
      </c>
      <c r="Q79" s="1">
        <f t="shared" si="22"/>
        <v>169.4</v>
      </c>
      <c r="R79" s="5">
        <f t="shared" ref="R79" si="26">14*Q79-P79-O79-F79</f>
        <v>396.59999999999991</v>
      </c>
      <c r="S79" s="22"/>
      <c r="T79" s="1">
        <f t="shared" si="23"/>
        <v>13.999999999999998</v>
      </c>
      <c r="U79" s="1">
        <f t="shared" si="24"/>
        <v>11.65879574970484</v>
      </c>
      <c r="V79" s="1">
        <v>188.8</v>
      </c>
      <c r="W79" s="1">
        <v>165.4</v>
      </c>
      <c r="X79" s="1">
        <v>142.6</v>
      </c>
      <c r="Y79" s="1">
        <v>114.6</v>
      </c>
      <c r="Z79" s="1">
        <v>173.6</v>
      </c>
      <c r="AA79" s="1">
        <v>169</v>
      </c>
      <c r="AB79" s="1">
        <v>124</v>
      </c>
      <c r="AC79" s="1">
        <v>132.19999999999999</v>
      </c>
      <c r="AD79" s="1">
        <v>175.6</v>
      </c>
      <c r="AE79" s="1">
        <v>149.80000000000001</v>
      </c>
      <c r="AF79" s="1"/>
      <c r="AG79" s="1">
        <f>G79*R79</f>
        <v>138.80999999999995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129</v>
      </c>
      <c r="B80" s="1" t="s">
        <v>39</v>
      </c>
      <c r="C80" s="1">
        <v>3</v>
      </c>
      <c r="D80" s="1"/>
      <c r="E80" s="1">
        <v>3</v>
      </c>
      <c r="F80" s="1"/>
      <c r="G80" s="7">
        <v>0.35</v>
      </c>
      <c r="H80" s="1"/>
      <c r="I80" s="1" t="s">
        <v>36</v>
      </c>
      <c r="J80" s="1"/>
      <c r="K80" s="1">
        <v>106</v>
      </c>
      <c r="L80" s="1">
        <f t="shared" si="20"/>
        <v>-103</v>
      </c>
      <c r="M80" s="1">
        <f t="shared" si="21"/>
        <v>3</v>
      </c>
      <c r="N80" s="1"/>
      <c r="O80" s="1">
        <v>46</v>
      </c>
      <c r="P80" s="1">
        <v>49</v>
      </c>
      <c r="Q80" s="1">
        <f t="shared" si="22"/>
        <v>0.6</v>
      </c>
      <c r="R80" s="5">
        <v>80</v>
      </c>
      <c r="S80" s="22">
        <v>120</v>
      </c>
      <c r="T80" s="1">
        <f t="shared" si="23"/>
        <v>291.66666666666669</v>
      </c>
      <c r="U80" s="1">
        <f t="shared" si="24"/>
        <v>158.33333333333334</v>
      </c>
      <c r="V80" s="1">
        <v>12.2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 t="s">
        <v>90</v>
      </c>
      <c r="AG80" s="1">
        <f>G80*R80</f>
        <v>28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130</v>
      </c>
      <c r="B81" s="1" t="s">
        <v>35</v>
      </c>
      <c r="C81" s="1">
        <v>-1.002</v>
      </c>
      <c r="D81" s="1">
        <v>464.02699999999999</v>
      </c>
      <c r="E81" s="1">
        <v>193.107</v>
      </c>
      <c r="F81" s="1">
        <v>267.214</v>
      </c>
      <c r="G81" s="7">
        <v>1</v>
      </c>
      <c r="H81" s="1">
        <v>50</v>
      </c>
      <c r="I81" s="1" t="s">
        <v>36</v>
      </c>
      <c r="J81" s="1"/>
      <c r="K81" s="1">
        <v>186.6</v>
      </c>
      <c r="L81" s="1">
        <f t="shared" si="20"/>
        <v>6.507000000000005</v>
      </c>
      <c r="M81" s="1">
        <f t="shared" si="21"/>
        <v>193.107</v>
      </c>
      <c r="N81" s="1"/>
      <c r="O81" s="1">
        <v>132</v>
      </c>
      <c r="P81" s="1">
        <v>142</v>
      </c>
      <c r="Q81" s="1">
        <f t="shared" si="22"/>
        <v>38.621400000000001</v>
      </c>
      <c r="R81" s="5"/>
      <c r="S81" s="22"/>
      <c r="T81" s="1">
        <f t="shared" si="23"/>
        <v>14.01331904073907</v>
      </c>
      <c r="U81" s="1">
        <f t="shared" si="24"/>
        <v>14.01331904073907</v>
      </c>
      <c r="V81" s="1">
        <v>46.474800000000002</v>
      </c>
      <c r="W81" s="1">
        <v>53.191999999999993</v>
      </c>
      <c r="X81" s="1">
        <v>30.695799999999998</v>
      </c>
      <c r="Y81" s="1">
        <v>40.856200000000001</v>
      </c>
      <c r="Z81" s="1">
        <v>36.972200000000001</v>
      </c>
      <c r="AA81" s="1">
        <v>32.253599999999999</v>
      </c>
      <c r="AB81" s="1">
        <v>29.294</v>
      </c>
      <c r="AC81" s="1">
        <v>20.121400000000001</v>
      </c>
      <c r="AD81" s="1">
        <v>21.1388</v>
      </c>
      <c r="AE81" s="1">
        <v>21.977599999999999</v>
      </c>
      <c r="AF81" s="1"/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1" t="s">
        <v>131</v>
      </c>
      <c r="B82" s="11" t="s">
        <v>39</v>
      </c>
      <c r="C82" s="11">
        <v>14</v>
      </c>
      <c r="D82" s="11"/>
      <c r="E82" s="11"/>
      <c r="F82" s="11">
        <v>14</v>
      </c>
      <c r="G82" s="12">
        <v>0</v>
      </c>
      <c r="H82" s="11">
        <v>50</v>
      </c>
      <c r="I82" s="11" t="s">
        <v>62</v>
      </c>
      <c r="J82" s="11"/>
      <c r="K82" s="11">
        <v>1</v>
      </c>
      <c r="L82" s="11">
        <f t="shared" si="20"/>
        <v>-1</v>
      </c>
      <c r="M82" s="11">
        <f t="shared" si="21"/>
        <v>0</v>
      </c>
      <c r="N82" s="11"/>
      <c r="O82" s="11">
        <v>0</v>
      </c>
      <c r="P82" s="11"/>
      <c r="Q82" s="11">
        <f t="shared" si="22"/>
        <v>0</v>
      </c>
      <c r="R82" s="13"/>
      <c r="S82" s="23"/>
      <c r="T82" s="11" t="e">
        <f t="shared" si="23"/>
        <v>#DIV/0!</v>
      </c>
      <c r="U82" s="11" t="e">
        <f t="shared" si="24"/>
        <v>#DIV/0!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4" t="s">
        <v>132</v>
      </c>
      <c r="AG82" s="1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133</v>
      </c>
      <c r="B83" s="1" t="s">
        <v>35</v>
      </c>
      <c r="C83" s="1">
        <v>60.49</v>
      </c>
      <c r="D83" s="1">
        <v>617.26800000000003</v>
      </c>
      <c r="E83" s="1">
        <v>370.55099999999999</v>
      </c>
      <c r="F83" s="1">
        <v>283.49700000000001</v>
      </c>
      <c r="G83" s="7">
        <v>1</v>
      </c>
      <c r="H83" s="1">
        <v>50</v>
      </c>
      <c r="I83" s="1" t="s">
        <v>36</v>
      </c>
      <c r="J83" s="1"/>
      <c r="K83" s="1">
        <v>373.8</v>
      </c>
      <c r="L83" s="1">
        <f t="shared" si="20"/>
        <v>-3.2490000000000236</v>
      </c>
      <c r="M83" s="1">
        <f t="shared" si="21"/>
        <v>370.55099999999999</v>
      </c>
      <c r="N83" s="1"/>
      <c r="O83" s="1">
        <v>168</v>
      </c>
      <c r="P83" s="1">
        <v>182</v>
      </c>
      <c r="Q83" s="1">
        <f t="shared" si="22"/>
        <v>74.110199999999992</v>
      </c>
      <c r="R83" s="5">
        <f t="shared" ref="R83:R90" si="27">14*Q83-P83-O83-F83</f>
        <v>404.04579999999993</v>
      </c>
      <c r="S83" s="22"/>
      <c r="T83" s="1">
        <f t="shared" si="23"/>
        <v>14</v>
      </c>
      <c r="U83" s="1">
        <f t="shared" si="24"/>
        <v>8.5480406205893402</v>
      </c>
      <c r="V83" s="1">
        <v>63.377800000000001</v>
      </c>
      <c r="W83" s="1">
        <v>72.193399999999997</v>
      </c>
      <c r="X83" s="1">
        <v>44.104400000000012</v>
      </c>
      <c r="Y83" s="1">
        <v>53.6798</v>
      </c>
      <c r="Z83" s="1">
        <v>74.640200000000007</v>
      </c>
      <c r="AA83" s="1">
        <v>63.796799999999998</v>
      </c>
      <c r="AB83" s="1">
        <v>56.350199999999987</v>
      </c>
      <c r="AC83" s="1">
        <v>53.830199999999998</v>
      </c>
      <c r="AD83" s="1">
        <v>48.284999999999989</v>
      </c>
      <c r="AE83" s="1">
        <v>52.988399999999999</v>
      </c>
      <c r="AF83" s="1"/>
      <c r="AG83" s="1">
        <f t="shared" ref="AG83:AG90" si="28">G83*R83</f>
        <v>404.04579999999993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134</v>
      </c>
      <c r="B84" s="1" t="s">
        <v>39</v>
      </c>
      <c r="C84" s="1">
        <v>424</v>
      </c>
      <c r="D84" s="1">
        <v>1562</v>
      </c>
      <c r="E84" s="1">
        <v>845</v>
      </c>
      <c r="F84" s="1">
        <v>1054</v>
      </c>
      <c r="G84" s="7">
        <v>0.35</v>
      </c>
      <c r="H84" s="1">
        <v>50</v>
      </c>
      <c r="I84" s="10" t="s">
        <v>51</v>
      </c>
      <c r="J84" s="1"/>
      <c r="K84" s="1">
        <v>944</v>
      </c>
      <c r="L84" s="1">
        <f t="shared" si="20"/>
        <v>-99</v>
      </c>
      <c r="M84" s="1">
        <f t="shared" si="21"/>
        <v>845</v>
      </c>
      <c r="N84" s="1"/>
      <c r="O84" s="1">
        <v>672</v>
      </c>
      <c r="P84" s="1">
        <v>728</v>
      </c>
      <c r="Q84" s="1">
        <f t="shared" si="22"/>
        <v>169</v>
      </c>
      <c r="R84" s="5"/>
      <c r="S84" s="22" t="s">
        <v>186</v>
      </c>
      <c r="T84" s="1">
        <f t="shared" si="23"/>
        <v>14.520710059171599</v>
      </c>
      <c r="U84" s="1">
        <f t="shared" si="24"/>
        <v>14.520710059171599</v>
      </c>
      <c r="V84" s="1">
        <v>170.8</v>
      </c>
      <c r="W84" s="1">
        <v>183.6</v>
      </c>
      <c r="X84" s="1">
        <v>140.19999999999999</v>
      </c>
      <c r="Y84" s="1">
        <v>114.6</v>
      </c>
      <c r="Z84" s="1">
        <v>206.2</v>
      </c>
      <c r="AA84" s="1">
        <v>182</v>
      </c>
      <c r="AB84" s="1">
        <v>132.6</v>
      </c>
      <c r="AC84" s="1">
        <v>161.6</v>
      </c>
      <c r="AD84" s="1">
        <v>172.8</v>
      </c>
      <c r="AE84" s="1">
        <v>140.2818</v>
      </c>
      <c r="AF84" s="1" t="s">
        <v>52</v>
      </c>
      <c r="AG84" s="1">
        <f t="shared" si="28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135</v>
      </c>
      <c r="B85" s="1" t="s">
        <v>39</v>
      </c>
      <c r="C85" s="1">
        <v>119</v>
      </c>
      <c r="D85" s="1">
        <v>252</v>
      </c>
      <c r="E85" s="1">
        <v>212</v>
      </c>
      <c r="F85" s="1">
        <v>147</v>
      </c>
      <c r="G85" s="7">
        <v>0.3</v>
      </c>
      <c r="H85" s="1">
        <v>50</v>
      </c>
      <c r="I85" s="1" t="s">
        <v>36</v>
      </c>
      <c r="J85" s="1"/>
      <c r="K85" s="1">
        <v>231</v>
      </c>
      <c r="L85" s="1">
        <f t="shared" si="20"/>
        <v>-19</v>
      </c>
      <c r="M85" s="1">
        <f t="shared" si="21"/>
        <v>152</v>
      </c>
      <c r="N85" s="1">
        <v>60</v>
      </c>
      <c r="O85" s="1">
        <v>30</v>
      </c>
      <c r="P85" s="1"/>
      <c r="Q85" s="1">
        <f t="shared" si="22"/>
        <v>30.4</v>
      </c>
      <c r="R85" s="5">
        <f t="shared" si="27"/>
        <v>248.59999999999997</v>
      </c>
      <c r="S85" s="22"/>
      <c r="T85" s="1">
        <f t="shared" si="23"/>
        <v>14</v>
      </c>
      <c r="U85" s="1">
        <f t="shared" si="24"/>
        <v>5.8223684210526319</v>
      </c>
      <c r="V85" s="1">
        <v>13.6</v>
      </c>
      <c r="W85" s="1">
        <v>25</v>
      </c>
      <c r="X85" s="1">
        <v>20.2</v>
      </c>
      <c r="Y85" s="1">
        <v>18.600000000000001</v>
      </c>
      <c r="Z85" s="1">
        <v>22.2</v>
      </c>
      <c r="AA85" s="1">
        <v>19</v>
      </c>
      <c r="AB85" s="1">
        <v>16.2</v>
      </c>
      <c r="AC85" s="1">
        <v>17</v>
      </c>
      <c r="AD85" s="1">
        <v>22</v>
      </c>
      <c r="AE85" s="1">
        <v>20.6</v>
      </c>
      <c r="AF85" s="1"/>
      <c r="AG85" s="1">
        <f t="shared" si="28"/>
        <v>74.579999999999984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136</v>
      </c>
      <c r="B86" s="1" t="s">
        <v>39</v>
      </c>
      <c r="C86" s="1">
        <v>82</v>
      </c>
      <c r="D86" s="1">
        <v>59</v>
      </c>
      <c r="E86" s="1">
        <v>48</v>
      </c>
      <c r="F86" s="1">
        <v>90</v>
      </c>
      <c r="G86" s="7">
        <v>0.3</v>
      </c>
      <c r="H86" s="1">
        <v>60</v>
      </c>
      <c r="I86" s="1" t="s">
        <v>36</v>
      </c>
      <c r="J86" s="1"/>
      <c r="K86" s="1">
        <v>58</v>
      </c>
      <c r="L86" s="1">
        <f t="shared" si="20"/>
        <v>-10</v>
      </c>
      <c r="M86" s="1">
        <f t="shared" si="21"/>
        <v>48</v>
      </c>
      <c r="N86" s="1"/>
      <c r="O86" s="1">
        <v>15</v>
      </c>
      <c r="P86" s="1"/>
      <c r="Q86" s="1">
        <f t="shared" si="22"/>
        <v>9.6</v>
      </c>
      <c r="R86" s="5">
        <f t="shared" si="27"/>
        <v>29.400000000000006</v>
      </c>
      <c r="S86" s="22"/>
      <c r="T86" s="1">
        <f t="shared" si="23"/>
        <v>14.000000000000002</v>
      </c>
      <c r="U86" s="1">
        <f t="shared" si="24"/>
        <v>10.9375</v>
      </c>
      <c r="V86" s="1">
        <v>10.4</v>
      </c>
      <c r="W86" s="1">
        <v>9.8000000000000007</v>
      </c>
      <c r="X86" s="1">
        <v>9.8000000000000007</v>
      </c>
      <c r="Y86" s="1">
        <v>18.600000000000001</v>
      </c>
      <c r="Z86" s="1">
        <v>8</v>
      </c>
      <c r="AA86" s="1">
        <v>9.1999999999999993</v>
      </c>
      <c r="AB86" s="1">
        <v>7.8</v>
      </c>
      <c r="AC86" s="1">
        <v>11</v>
      </c>
      <c r="AD86" s="1">
        <v>10.8</v>
      </c>
      <c r="AE86" s="1">
        <v>14.2</v>
      </c>
      <c r="AF86" s="1"/>
      <c r="AG86" s="1">
        <f t="shared" si="28"/>
        <v>8.8200000000000021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137</v>
      </c>
      <c r="B87" s="1" t="s">
        <v>39</v>
      </c>
      <c r="C87" s="1">
        <v>123</v>
      </c>
      <c r="D87" s="1">
        <v>117</v>
      </c>
      <c r="E87" s="1">
        <v>132</v>
      </c>
      <c r="F87" s="1">
        <v>81</v>
      </c>
      <c r="G87" s="7">
        <v>0.28000000000000003</v>
      </c>
      <c r="H87" s="1">
        <v>50</v>
      </c>
      <c r="I87" s="1" t="s">
        <v>36</v>
      </c>
      <c r="J87" s="1"/>
      <c r="K87" s="1">
        <v>173</v>
      </c>
      <c r="L87" s="1">
        <f t="shared" si="20"/>
        <v>-41</v>
      </c>
      <c r="M87" s="1">
        <f t="shared" si="21"/>
        <v>108</v>
      </c>
      <c r="N87" s="1">
        <v>24</v>
      </c>
      <c r="O87" s="1">
        <v>61</v>
      </c>
      <c r="P87" s="1">
        <v>67</v>
      </c>
      <c r="Q87" s="1">
        <f t="shared" si="22"/>
        <v>21.6</v>
      </c>
      <c r="R87" s="5">
        <f t="shared" si="27"/>
        <v>93.400000000000034</v>
      </c>
      <c r="S87" s="22"/>
      <c r="T87" s="1">
        <f t="shared" si="23"/>
        <v>14</v>
      </c>
      <c r="U87" s="1">
        <f t="shared" si="24"/>
        <v>9.6759259259259256</v>
      </c>
      <c r="V87" s="1">
        <v>21.8</v>
      </c>
      <c r="W87" s="1">
        <v>19.8</v>
      </c>
      <c r="X87" s="1">
        <v>18.600000000000001</v>
      </c>
      <c r="Y87" s="1">
        <v>24.4</v>
      </c>
      <c r="Z87" s="1">
        <v>18.399999999999999</v>
      </c>
      <c r="AA87" s="1">
        <v>31</v>
      </c>
      <c r="AB87" s="1">
        <v>29.2</v>
      </c>
      <c r="AC87" s="1">
        <v>23</v>
      </c>
      <c r="AD87" s="1">
        <v>27.2</v>
      </c>
      <c r="AE87" s="1">
        <v>25.2</v>
      </c>
      <c r="AF87" s="1"/>
      <c r="AG87" s="1">
        <f t="shared" si="28"/>
        <v>26.152000000000012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138</v>
      </c>
      <c r="B88" s="1" t="s">
        <v>39</v>
      </c>
      <c r="C88" s="1">
        <v>249</v>
      </c>
      <c r="D88" s="1">
        <v>93</v>
      </c>
      <c r="E88" s="1">
        <v>300</v>
      </c>
      <c r="F88" s="1">
        <v>19</v>
      </c>
      <c r="G88" s="7">
        <v>0.28000000000000003</v>
      </c>
      <c r="H88" s="1">
        <v>45</v>
      </c>
      <c r="I88" s="10" t="s">
        <v>51</v>
      </c>
      <c r="J88" s="1"/>
      <c r="K88" s="1">
        <v>348</v>
      </c>
      <c r="L88" s="1">
        <f t="shared" si="20"/>
        <v>-48</v>
      </c>
      <c r="M88" s="1">
        <f t="shared" si="21"/>
        <v>276</v>
      </c>
      <c r="N88" s="1">
        <v>24</v>
      </c>
      <c r="O88" s="1">
        <v>336</v>
      </c>
      <c r="P88" s="1">
        <v>364</v>
      </c>
      <c r="Q88" s="1">
        <f t="shared" si="22"/>
        <v>55.2</v>
      </c>
      <c r="R88" s="5">
        <f t="shared" si="27"/>
        <v>53.800000000000068</v>
      </c>
      <c r="S88" s="22"/>
      <c r="T88" s="1">
        <f t="shared" si="23"/>
        <v>14</v>
      </c>
      <c r="U88" s="1">
        <f t="shared" si="24"/>
        <v>13.025362318840578</v>
      </c>
      <c r="V88" s="1">
        <v>159.80000000000001</v>
      </c>
      <c r="W88" s="1">
        <v>76</v>
      </c>
      <c r="X88" s="1">
        <v>223.4</v>
      </c>
      <c r="Y88" s="1">
        <v>39.4</v>
      </c>
      <c r="Z88" s="1">
        <v>53.8</v>
      </c>
      <c r="AA88" s="1">
        <v>51.2</v>
      </c>
      <c r="AB88" s="1">
        <v>57.2</v>
      </c>
      <c r="AC88" s="1">
        <v>46.6</v>
      </c>
      <c r="AD88" s="1">
        <v>39</v>
      </c>
      <c r="AE88" s="1">
        <v>8.4</v>
      </c>
      <c r="AF88" s="1" t="s">
        <v>139</v>
      </c>
      <c r="AG88" s="1">
        <f t="shared" si="28"/>
        <v>15.064000000000021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140</v>
      </c>
      <c r="B89" s="1" t="s">
        <v>39</v>
      </c>
      <c r="C89" s="1">
        <v>129</v>
      </c>
      <c r="D89" s="1">
        <v>297</v>
      </c>
      <c r="E89" s="1">
        <v>278</v>
      </c>
      <c r="F89" s="1">
        <v>122</v>
      </c>
      <c r="G89" s="7">
        <v>0.28000000000000003</v>
      </c>
      <c r="H89" s="1">
        <v>45</v>
      </c>
      <c r="I89" s="1" t="s">
        <v>36</v>
      </c>
      <c r="J89" s="1"/>
      <c r="K89" s="1">
        <v>331</v>
      </c>
      <c r="L89" s="1">
        <f t="shared" si="20"/>
        <v>-53</v>
      </c>
      <c r="M89" s="1">
        <f t="shared" si="21"/>
        <v>278</v>
      </c>
      <c r="N89" s="1"/>
      <c r="O89" s="1">
        <v>254</v>
      </c>
      <c r="P89" s="1">
        <v>276</v>
      </c>
      <c r="Q89" s="1">
        <f t="shared" si="22"/>
        <v>55.6</v>
      </c>
      <c r="R89" s="5">
        <f t="shared" si="27"/>
        <v>126.39999999999998</v>
      </c>
      <c r="S89" s="22"/>
      <c r="T89" s="1">
        <f t="shared" si="23"/>
        <v>14</v>
      </c>
      <c r="U89" s="1">
        <f t="shared" si="24"/>
        <v>11.726618705035971</v>
      </c>
      <c r="V89" s="1">
        <v>62.6</v>
      </c>
      <c r="W89" s="1">
        <v>42.2</v>
      </c>
      <c r="X89" s="1">
        <v>37</v>
      </c>
      <c r="Y89" s="1">
        <v>36</v>
      </c>
      <c r="Z89" s="1">
        <v>47.4</v>
      </c>
      <c r="AA89" s="1">
        <v>36.6</v>
      </c>
      <c r="AB89" s="1">
        <v>41.2</v>
      </c>
      <c r="AC89" s="1">
        <v>34</v>
      </c>
      <c r="AD89" s="1">
        <v>45.8</v>
      </c>
      <c r="AE89" s="1">
        <v>23.4</v>
      </c>
      <c r="AF89" s="1"/>
      <c r="AG89" s="1">
        <f t="shared" si="28"/>
        <v>35.391999999999996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141</v>
      </c>
      <c r="B90" s="1" t="s">
        <v>39</v>
      </c>
      <c r="C90" s="1">
        <v>215</v>
      </c>
      <c r="D90" s="1">
        <v>534</v>
      </c>
      <c r="E90" s="1">
        <v>449</v>
      </c>
      <c r="F90" s="1">
        <v>280</v>
      </c>
      <c r="G90" s="7">
        <v>0.4</v>
      </c>
      <c r="H90" s="1">
        <v>50</v>
      </c>
      <c r="I90" s="1" t="s">
        <v>36</v>
      </c>
      <c r="J90" s="1"/>
      <c r="K90" s="1">
        <v>484</v>
      </c>
      <c r="L90" s="1">
        <f t="shared" si="20"/>
        <v>-35</v>
      </c>
      <c r="M90" s="1">
        <f t="shared" si="21"/>
        <v>449</v>
      </c>
      <c r="N90" s="1"/>
      <c r="O90" s="1">
        <v>215</v>
      </c>
      <c r="P90" s="1">
        <v>233</v>
      </c>
      <c r="Q90" s="1">
        <f t="shared" si="22"/>
        <v>89.8</v>
      </c>
      <c r="R90" s="5">
        <f t="shared" si="27"/>
        <v>529.20000000000005</v>
      </c>
      <c r="S90" s="22"/>
      <c r="T90" s="1">
        <f t="shared" si="23"/>
        <v>14.000000000000002</v>
      </c>
      <c r="U90" s="1">
        <f t="shared" si="24"/>
        <v>8.1069042316258351</v>
      </c>
      <c r="V90" s="1">
        <v>79</v>
      </c>
      <c r="W90" s="1">
        <v>72</v>
      </c>
      <c r="X90" s="1">
        <v>63</v>
      </c>
      <c r="Y90" s="1">
        <v>36.4</v>
      </c>
      <c r="Z90" s="1">
        <v>70.400000000000006</v>
      </c>
      <c r="AA90" s="1">
        <v>24.8</v>
      </c>
      <c r="AB90" s="1">
        <v>68</v>
      </c>
      <c r="AC90" s="1">
        <v>57.4</v>
      </c>
      <c r="AD90" s="1">
        <v>43.4</v>
      </c>
      <c r="AE90" s="1">
        <v>68.400000000000006</v>
      </c>
      <c r="AF90" s="1"/>
      <c r="AG90" s="1">
        <f t="shared" si="28"/>
        <v>211.68000000000004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1" t="s">
        <v>142</v>
      </c>
      <c r="B91" s="11" t="s">
        <v>35</v>
      </c>
      <c r="C91" s="11"/>
      <c r="D91" s="11">
        <v>18.488</v>
      </c>
      <c r="E91" s="11">
        <v>18.488</v>
      </c>
      <c r="F91" s="11"/>
      <c r="G91" s="12">
        <v>0</v>
      </c>
      <c r="H91" s="11"/>
      <c r="I91" s="11" t="s">
        <v>62</v>
      </c>
      <c r="J91" s="11"/>
      <c r="K91" s="11">
        <v>18.488</v>
      </c>
      <c r="L91" s="11">
        <f t="shared" si="20"/>
        <v>0</v>
      </c>
      <c r="M91" s="11">
        <f t="shared" si="21"/>
        <v>0</v>
      </c>
      <c r="N91" s="11">
        <v>18.488</v>
      </c>
      <c r="O91" s="11">
        <v>0</v>
      </c>
      <c r="P91" s="11"/>
      <c r="Q91" s="11">
        <f t="shared" si="22"/>
        <v>0</v>
      </c>
      <c r="R91" s="13"/>
      <c r="S91" s="23"/>
      <c r="T91" s="11" t="e">
        <f t="shared" si="23"/>
        <v>#DIV/0!</v>
      </c>
      <c r="U91" s="11" t="e">
        <f t="shared" si="24"/>
        <v>#DIV/0!</v>
      </c>
      <c r="V91" s="11">
        <v>9.9572000000000003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/>
      <c r="AG91" s="1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1" t="s">
        <v>143</v>
      </c>
      <c r="B92" s="11" t="s">
        <v>39</v>
      </c>
      <c r="C92" s="11">
        <v>-4</v>
      </c>
      <c r="D92" s="11"/>
      <c r="E92" s="11">
        <v>-1</v>
      </c>
      <c r="F92" s="11">
        <v>-4</v>
      </c>
      <c r="G92" s="12">
        <v>0</v>
      </c>
      <c r="H92" s="11">
        <v>30</v>
      </c>
      <c r="I92" s="11" t="s">
        <v>62</v>
      </c>
      <c r="J92" s="11"/>
      <c r="K92" s="11">
        <v>19</v>
      </c>
      <c r="L92" s="11">
        <f t="shared" si="20"/>
        <v>-20</v>
      </c>
      <c r="M92" s="11">
        <f t="shared" si="21"/>
        <v>-1</v>
      </c>
      <c r="N92" s="11"/>
      <c r="O92" s="11">
        <v>0</v>
      </c>
      <c r="P92" s="11"/>
      <c r="Q92" s="11">
        <f t="shared" si="22"/>
        <v>-0.2</v>
      </c>
      <c r="R92" s="13"/>
      <c r="S92" s="23"/>
      <c r="T92" s="11">
        <f t="shared" si="23"/>
        <v>20</v>
      </c>
      <c r="U92" s="11">
        <f t="shared" si="24"/>
        <v>20</v>
      </c>
      <c r="V92" s="11">
        <v>0.6</v>
      </c>
      <c r="W92" s="11">
        <v>0.4</v>
      </c>
      <c r="X92" s="11">
        <v>0.4</v>
      </c>
      <c r="Y92" s="11">
        <v>0.8</v>
      </c>
      <c r="Z92" s="11">
        <v>0</v>
      </c>
      <c r="AA92" s="11">
        <v>0</v>
      </c>
      <c r="AB92" s="11">
        <v>2.4</v>
      </c>
      <c r="AC92" s="11">
        <v>4</v>
      </c>
      <c r="AD92" s="11">
        <v>1.6</v>
      </c>
      <c r="AE92" s="11">
        <v>3.4</v>
      </c>
      <c r="AF92" s="11" t="s">
        <v>77</v>
      </c>
      <c r="AG92" s="1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144</v>
      </c>
      <c r="B93" s="1" t="s">
        <v>35</v>
      </c>
      <c r="C93" s="1">
        <v>63.869</v>
      </c>
      <c r="D93" s="1">
        <v>118.51600000000001</v>
      </c>
      <c r="E93" s="1">
        <v>164.923</v>
      </c>
      <c r="F93" s="1">
        <v>13.407</v>
      </c>
      <c r="G93" s="7">
        <v>1</v>
      </c>
      <c r="H93" s="1">
        <v>30</v>
      </c>
      <c r="I93" s="1" t="s">
        <v>36</v>
      </c>
      <c r="J93" s="1"/>
      <c r="K93" s="1">
        <v>161.22</v>
      </c>
      <c r="L93" s="1">
        <f t="shared" si="20"/>
        <v>3.703000000000003</v>
      </c>
      <c r="M93" s="1">
        <f t="shared" si="21"/>
        <v>164.923</v>
      </c>
      <c r="N93" s="1"/>
      <c r="O93" s="1">
        <v>123</v>
      </c>
      <c r="P93" s="1">
        <v>133</v>
      </c>
      <c r="Q93" s="1">
        <f t="shared" si="22"/>
        <v>32.9846</v>
      </c>
      <c r="R93" s="5">
        <f>14*Q93-P93-O93-F93</f>
        <v>192.37739999999999</v>
      </c>
      <c r="S93" s="22">
        <v>220</v>
      </c>
      <c r="T93" s="1">
        <f t="shared" si="23"/>
        <v>14</v>
      </c>
      <c r="U93" s="1">
        <f t="shared" si="24"/>
        <v>8.1676600595429392</v>
      </c>
      <c r="V93" s="1">
        <v>33.498600000000003</v>
      </c>
      <c r="W93" s="1">
        <v>29.745799999999999</v>
      </c>
      <c r="X93" s="1">
        <v>10.490600000000001</v>
      </c>
      <c r="Y93" s="1">
        <v>31.147200000000002</v>
      </c>
      <c r="Z93" s="1">
        <v>0</v>
      </c>
      <c r="AA93" s="1">
        <v>9.9475999999999996</v>
      </c>
      <c r="AB93" s="1">
        <v>0</v>
      </c>
      <c r="AC93" s="1">
        <v>0</v>
      </c>
      <c r="AD93" s="1">
        <v>0</v>
      </c>
      <c r="AE93" s="1">
        <v>0</v>
      </c>
      <c r="AF93" s="1" t="s">
        <v>37</v>
      </c>
      <c r="AG93" s="1">
        <f>G93*R93</f>
        <v>192.37739999999999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1" t="s">
        <v>145</v>
      </c>
      <c r="B94" s="11" t="s">
        <v>39</v>
      </c>
      <c r="C94" s="11"/>
      <c r="D94" s="11">
        <v>21</v>
      </c>
      <c r="E94" s="11">
        <v>21</v>
      </c>
      <c r="F94" s="11"/>
      <c r="G94" s="12">
        <v>0</v>
      </c>
      <c r="H94" s="11"/>
      <c r="I94" s="11" t="s">
        <v>62</v>
      </c>
      <c r="J94" s="11"/>
      <c r="K94" s="11">
        <v>21</v>
      </c>
      <c r="L94" s="11">
        <f t="shared" si="20"/>
        <v>0</v>
      </c>
      <c r="M94" s="11">
        <f t="shared" si="21"/>
        <v>0</v>
      </c>
      <c r="N94" s="11">
        <v>21</v>
      </c>
      <c r="O94" s="11"/>
      <c r="P94" s="11"/>
      <c r="Q94" s="11">
        <f t="shared" si="22"/>
        <v>0</v>
      </c>
      <c r="R94" s="13"/>
      <c r="S94" s="23"/>
      <c r="T94" s="11" t="e">
        <f t="shared" si="23"/>
        <v>#DIV/0!</v>
      </c>
      <c r="U94" s="11" t="e">
        <f t="shared" si="24"/>
        <v>#DIV/0!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/>
      <c r="AG94" s="1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1" t="s">
        <v>146</v>
      </c>
      <c r="B95" s="11" t="s">
        <v>39</v>
      </c>
      <c r="C95" s="11">
        <v>-4</v>
      </c>
      <c r="D95" s="11">
        <v>29</v>
      </c>
      <c r="E95" s="11">
        <v>19</v>
      </c>
      <c r="F95" s="11"/>
      <c r="G95" s="12">
        <v>0</v>
      </c>
      <c r="H95" s="11">
        <v>50</v>
      </c>
      <c r="I95" s="11" t="s">
        <v>77</v>
      </c>
      <c r="J95" s="11"/>
      <c r="K95" s="11">
        <v>27</v>
      </c>
      <c r="L95" s="11">
        <f t="shared" si="20"/>
        <v>-8</v>
      </c>
      <c r="M95" s="11">
        <f t="shared" si="21"/>
        <v>19</v>
      </c>
      <c r="N95" s="11"/>
      <c r="O95" s="11">
        <v>0</v>
      </c>
      <c r="P95" s="11"/>
      <c r="Q95" s="11">
        <f t="shared" si="22"/>
        <v>3.8</v>
      </c>
      <c r="R95" s="13"/>
      <c r="S95" s="23"/>
      <c r="T95" s="11">
        <f t="shared" si="23"/>
        <v>0</v>
      </c>
      <c r="U95" s="11">
        <f t="shared" si="24"/>
        <v>0</v>
      </c>
      <c r="V95" s="11">
        <v>0.2</v>
      </c>
      <c r="W95" s="11">
        <v>3.4</v>
      </c>
      <c r="X95" s="11">
        <v>2.6</v>
      </c>
      <c r="Y95" s="11">
        <v>4</v>
      </c>
      <c r="Z95" s="11">
        <v>2.4</v>
      </c>
      <c r="AA95" s="11">
        <v>2.4</v>
      </c>
      <c r="AB95" s="11">
        <v>1.2</v>
      </c>
      <c r="AC95" s="11">
        <v>3.6</v>
      </c>
      <c r="AD95" s="11">
        <v>3.8</v>
      </c>
      <c r="AE95" s="11">
        <v>2.8</v>
      </c>
      <c r="AF95" s="11"/>
      <c r="AG95" s="1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1" t="s">
        <v>147</v>
      </c>
      <c r="B96" s="11" t="s">
        <v>39</v>
      </c>
      <c r="C96" s="11">
        <v>-1</v>
      </c>
      <c r="D96" s="11">
        <v>32</v>
      </c>
      <c r="E96" s="11">
        <v>32</v>
      </c>
      <c r="F96" s="11">
        <v>-1</v>
      </c>
      <c r="G96" s="12">
        <v>0</v>
      </c>
      <c r="H96" s="11">
        <v>50</v>
      </c>
      <c r="I96" s="11" t="s">
        <v>62</v>
      </c>
      <c r="J96" s="11"/>
      <c r="K96" s="11">
        <v>32</v>
      </c>
      <c r="L96" s="11">
        <f t="shared" si="20"/>
        <v>0</v>
      </c>
      <c r="M96" s="11">
        <f t="shared" si="21"/>
        <v>0</v>
      </c>
      <c r="N96" s="11">
        <v>32</v>
      </c>
      <c r="O96" s="11">
        <v>0</v>
      </c>
      <c r="P96" s="11"/>
      <c r="Q96" s="11">
        <f t="shared" si="22"/>
        <v>0</v>
      </c>
      <c r="R96" s="13"/>
      <c r="S96" s="23"/>
      <c r="T96" s="11" t="e">
        <f t="shared" si="23"/>
        <v>#DIV/0!</v>
      </c>
      <c r="U96" s="11" t="e">
        <f t="shared" si="24"/>
        <v>#DIV/0!</v>
      </c>
      <c r="V96" s="11">
        <v>11.2</v>
      </c>
      <c r="W96" s="11">
        <v>0</v>
      </c>
      <c r="X96" s="11">
        <v>0</v>
      </c>
      <c r="Y96" s="11">
        <v>0</v>
      </c>
      <c r="Z96" s="11">
        <v>1</v>
      </c>
      <c r="AA96" s="11">
        <v>6</v>
      </c>
      <c r="AB96" s="11">
        <v>3.4</v>
      </c>
      <c r="AC96" s="11">
        <v>0.2</v>
      </c>
      <c r="AD96" s="11">
        <v>1.4</v>
      </c>
      <c r="AE96" s="11">
        <v>3</v>
      </c>
      <c r="AF96" s="11"/>
      <c r="AG96" s="1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s="18" customFormat="1" x14ac:dyDescent="0.25">
      <c r="A97" s="15" t="s">
        <v>148</v>
      </c>
      <c r="B97" s="15" t="s">
        <v>39</v>
      </c>
      <c r="C97" s="15"/>
      <c r="D97" s="15"/>
      <c r="E97" s="15"/>
      <c r="F97" s="15"/>
      <c r="G97" s="16">
        <v>0.33800000000000002</v>
      </c>
      <c r="H97" s="15" t="s">
        <v>149</v>
      </c>
      <c r="I97" s="15" t="s">
        <v>36</v>
      </c>
      <c r="J97" s="15"/>
      <c r="K97" s="15"/>
      <c r="L97" s="15">
        <f t="shared" si="20"/>
        <v>0</v>
      </c>
      <c r="M97" s="15">
        <f t="shared" si="21"/>
        <v>0</v>
      </c>
      <c r="N97" s="15"/>
      <c r="O97" s="15">
        <v>50</v>
      </c>
      <c r="P97" s="15"/>
      <c r="Q97" s="15">
        <f t="shared" si="22"/>
        <v>0</v>
      </c>
      <c r="R97" s="17"/>
      <c r="S97" s="24">
        <v>50</v>
      </c>
      <c r="T97" s="15" t="e">
        <f t="shared" si="23"/>
        <v>#DIV/0!</v>
      </c>
      <c r="U97" s="15" t="e">
        <f t="shared" si="24"/>
        <v>#DIV/0!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 t="s">
        <v>37</v>
      </c>
      <c r="AG97" s="15">
        <f>G97*R97</f>
        <v>0</v>
      </c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</row>
    <row r="98" spans="1:48" s="18" customFormat="1" x14ac:dyDescent="0.25">
      <c r="A98" s="15" t="s">
        <v>150</v>
      </c>
      <c r="B98" s="15" t="s">
        <v>39</v>
      </c>
      <c r="C98" s="15"/>
      <c r="D98" s="15"/>
      <c r="E98" s="15"/>
      <c r="F98" s="15"/>
      <c r="G98" s="16">
        <v>0.32500000000000001</v>
      </c>
      <c r="H98" s="15" t="s">
        <v>149</v>
      </c>
      <c r="I98" s="15" t="s">
        <v>36</v>
      </c>
      <c r="J98" s="15"/>
      <c r="K98" s="15"/>
      <c r="L98" s="15">
        <f t="shared" si="20"/>
        <v>0</v>
      </c>
      <c r="M98" s="15">
        <f t="shared" si="21"/>
        <v>0</v>
      </c>
      <c r="N98" s="15"/>
      <c r="O98" s="15">
        <v>50</v>
      </c>
      <c r="P98" s="15"/>
      <c r="Q98" s="15">
        <f t="shared" si="22"/>
        <v>0</v>
      </c>
      <c r="R98" s="17"/>
      <c r="S98" s="24">
        <v>50</v>
      </c>
      <c r="T98" s="15" t="e">
        <f t="shared" si="23"/>
        <v>#DIV/0!</v>
      </c>
      <c r="U98" s="15" t="e">
        <f t="shared" si="24"/>
        <v>#DIV/0!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 t="s">
        <v>37</v>
      </c>
      <c r="AG98" s="15">
        <f>G98*R98</f>
        <v>0</v>
      </c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</row>
    <row r="99" spans="1:48" x14ac:dyDescent="0.25">
      <c r="A99" s="11" t="s">
        <v>151</v>
      </c>
      <c r="B99" s="11" t="s">
        <v>39</v>
      </c>
      <c r="C99" s="11"/>
      <c r="D99" s="11">
        <v>40</v>
      </c>
      <c r="E99" s="11">
        <v>40</v>
      </c>
      <c r="F99" s="11"/>
      <c r="G99" s="12">
        <v>0</v>
      </c>
      <c r="H99" s="11"/>
      <c r="I99" s="11" t="s">
        <v>62</v>
      </c>
      <c r="J99" s="11"/>
      <c r="K99" s="11">
        <v>40</v>
      </c>
      <c r="L99" s="11">
        <f t="shared" si="20"/>
        <v>0</v>
      </c>
      <c r="M99" s="11">
        <f t="shared" si="21"/>
        <v>0</v>
      </c>
      <c r="N99" s="11">
        <v>40</v>
      </c>
      <c r="O99" s="11"/>
      <c r="P99" s="11"/>
      <c r="Q99" s="11">
        <f t="shared" si="22"/>
        <v>0</v>
      </c>
      <c r="R99" s="13"/>
      <c r="S99" s="23"/>
      <c r="T99" s="11" t="e">
        <f t="shared" si="23"/>
        <v>#DIV/0!</v>
      </c>
      <c r="U99" s="11" t="e">
        <f t="shared" si="24"/>
        <v>#DIV/0!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/>
      <c r="AG99" s="1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152</v>
      </c>
      <c r="B100" s="1" t="s">
        <v>39</v>
      </c>
      <c r="C100" s="1">
        <v>202</v>
      </c>
      <c r="D100" s="1">
        <v>200</v>
      </c>
      <c r="E100" s="1">
        <v>222</v>
      </c>
      <c r="F100" s="1">
        <v>171</v>
      </c>
      <c r="G100" s="7">
        <v>0.12</v>
      </c>
      <c r="H100" s="1">
        <v>60</v>
      </c>
      <c r="I100" s="1" t="s">
        <v>36</v>
      </c>
      <c r="J100" s="1"/>
      <c r="K100" s="1">
        <v>239</v>
      </c>
      <c r="L100" s="1">
        <f t="shared" si="20"/>
        <v>-17</v>
      </c>
      <c r="M100" s="1">
        <f t="shared" si="21"/>
        <v>222</v>
      </c>
      <c r="N100" s="1"/>
      <c r="O100" s="1">
        <v>44</v>
      </c>
      <c r="P100" s="1">
        <v>47</v>
      </c>
      <c r="Q100" s="1">
        <f t="shared" si="22"/>
        <v>44.4</v>
      </c>
      <c r="R100" s="5">
        <f>14*Q100-P100-O100-F100</f>
        <v>359.6</v>
      </c>
      <c r="S100" s="22"/>
      <c r="T100" s="1">
        <f t="shared" si="23"/>
        <v>14.000000000000002</v>
      </c>
      <c r="U100" s="1">
        <f t="shared" si="24"/>
        <v>5.9009009009009015</v>
      </c>
      <c r="V100" s="1">
        <v>33</v>
      </c>
      <c r="W100" s="1">
        <v>36.799999999999997</v>
      </c>
      <c r="X100" s="1">
        <v>33.799999999999997</v>
      </c>
      <c r="Y100" s="1">
        <v>32.200000000000003</v>
      </c>
      <c r="Z100" s="1">
        <v>48.4</v>
      </c>
      <c r="AA100" s="1">
        <v>25</v>
      </c>
      <c r="AB100" s="1">
        <v>67</v>
      </c>
      <c r="AC100" s="1">
        <v>112.6</v>
      </c>
      <c r="AD100" s="1">
        <v>98</v>
      </c>
      <c r="AE100" s="1">
        <v>31</v>
      </c>
      <c r="AF100" s="1"/>
      <c r="AG100" s="1">
        <f>G100*R100</f>
        <v>43.152000000000001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1" t="s">
        <v>153</v>
      </c>
      <c r="B101" s="11" t="s">
        <v>39</v>
      </c>
      <c r="C101" s="11"/>
      <c r="D101" s="11">
        <v>48</v>
      </c>
      <c r="E101" s="11">
        <v>48</v>
      </c>
      <c r="F101" s="11"/>
      <c r="G101" s="12">
        <v>0</v>
      </c>
      <c r="H101" s="11"/>
      <c r="I101" s="11" t="s">
        <v>62</v>
      </c>
      <c r="J101" s="11"/>
      <c r="K101" s="11">
        <v>48</v>
      </c>
      <c r="L101" s="11">
        <f t="shared" ref="L101:L125" si="29">E101-K101</f>
        <v>0</v>
      </c>
      <c r="M101" s="11">
        <f t="shared" si="21"/>
        <v>0</v>
      </c>
      <c r="N101" s="11">
        <v>48</v>
      </c>
      <c r="O101" s="11"/>
      <c r="P101" s="11"/>
      <c r="Q101" s="11">
        <f t="shared" si="22"/>
        <v>0</v>
      </c>
      <c r="R101" s="13"/>
      <c r="S101" s="23"/>
      <c r="T101" s="11" t="e">
        <f t="shared" si="23"/>
        <v>#DIV/0!</v>
      </c>
      <c r="U101" s="11" t="e">
        <f t="shared" si="24"/>
        <v>#DIV/0!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/>
      <c r="AG101" s="1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s="18" customFormat="1" x14ac:dyDescent="0.25">
      <c r="A102" s="15" t="s">
        <v>154</v>
      </c>
      <c r="B102" s="15" t="s">
        <v>39</v>
      </c>
      <c r="C102" s="15"/>
      <c r="D102" s="15"/>
      <c r="E102" s="15"/>
      <c r="F102" s="15"/>
      <c r="G102" s="16">
        <v>0.15</v>
      </c>
      <c r="H102" s="15">
        <v>90</v>
      </c>
      <c r="I102" s="15" t="s">
        <v>36</v>
      </c>
      <c r="J102" s="15"/>
      <c r="K102" s="15"/>
      <c r="L102" s="15">
        <f t="shared" si="29"/>
        <v>0</v>
      </c>
      <c r="M102" s="15">
        <f t="shared" si="21"/>
        <v>0</v>
      </c>
      <c r="N102" s="15"/>
      <c r="O102" s="15">
        <v>40</v>
      </c>
      <c r="P102" s="15"/>
      <c r="Q102" s="15">
        <f t="shared" si="22"/>
        <v>0</v>
      </c>
      <c r="R102" s="17"/>
      <c r="S102" s="24">
        <v>30</v>
      </c>
      <c r="T102" s="15" t="e">
        <f t="shared" ref="T102:T125" si="30">(F102+O102+P102+R102)/Q102</f>
        <v>#DIV/0!</v>
      </c>
      <c r="U102" s="15" t="e">
        <f t="shared" si="24"/>
        <v>#DIV/0!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 t="s">
        <v>37</v>
      </c>
      <c r="AG102" s="15">
        <f>G102*R102</f>
        <v>0</v>
      </c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</row>
    <row r="103" spans="1:48" s="18" customFormat="1" x14ac:dyDescent="0.25">
      <c r="A103" s="15" t="s">
        <v>155</v>
      </c>
      <c r="B103" s="15" t="s">
        <v>39</v>
      </c>
      <c r="C103" s="15"/>
      <c r="D103" s="15"/>
      <c r="E103" s="15"/>
      <c r="F103" s="15"/>
      <c r="G103" s="16">
        <v>0.15</v>
      </c>
      <c r="H103" s="15">
        <v>90</v>
      </c>
      <c r="I103" s="15" t="s">
        <v>36</v>
      </c>
      <c r="J103" s="15"/>
      <c r="K103" s="15"/>
      <c r="L103" s="15">
        <f t="shared" si="29"/>
        <v>0</v>
      </c>
      <c r="M103" s="15">
        <f t="shared" si="21"/>
        <v>0</v>
      </c>
      <c r="N103" s="15"/>
      <c r="O103" s="15">
        <v>40</v>
      </c>
      <c r="P103" s="15"/>
      <c r="Q103" s="15">
        <f t="shared" si="22"/>
        <v>0</v>
      </c>
      <c r="R103" s="17"/>
      <c r="S103" s="24">
        <v>30</v>
      </c>
      <c r="T103" s="15" t="e">
        <f t="shared" si="30"/>
        <v>#DIV/0!</v>
      </c>
      <c r="U103" s="15" t="e">
        <f t="shared" si="24"/>
        <v>#DIV/0!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 t="s">
        <v>37</v>
      </c>
      <c r="AG103" s="15">
        <f>G103*R103</f>
        <v>0</v>
      </c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48" x14ac:dyDescent="0.25">
      <c r="A104" s="1" t="s">
        <v>156</v>
      </c>
      <c r="B104" s="1" t="s">
        <v>39</v>
      </c>
      <c r="C104" s="1">
        <v>146</v>
      </c>
      <c r="D104" s="1">
        <v>363</v>
      </c>
      <c r="E104" s="1">
        <v>368</v>
      </c>
      <c r="F104" s="1">
        <v>103</v>
      </c>
      <c r="G104" s="7">
        <v>0.33</v>
      </c>
      <c r="H104" s="1">
        <v>30</v>
      </c>
      <c r="I104" s="1" t="s">
        <v>36</v>
      </c>
      <c r="J104" s="1"/>
      <c r="K104" s="1">
        <v>461</v>
      </c>
      <c r="L104" s="1">
        <f t="shared" si="29"/>
        <v>-93</v>
      </c>
      <c r="M104" s="1">
        <f t="shared" si="21"/>
        <v>308</v>
      </c>
      <c r="N104" s="1">
        <v>60</v>
      </c>
      <c r="O104" s="1">
        <v>102</v>
      </c>
      <c r="P104" s="1">
        <v>111</v>
      </c>
      <c r="Q104" s="1">
        <f t="shared" si="22"/>
        <v>61.6</v>
      </c>
      <c r="R104" s="5">
        <f>13*Q104-P104-O104-F104</f>
        <v>484.80000000000007</v>
      </c>
      <c r="S104" s="22"/>
      <c r="T104" s="1">
        <f t="shared" si="30"/>
        <v>13</v>
      </c>
      <c r="U104" s="1">
        <f t="shared" si="24"/>
        <v>5.1298701298701301</v>
      </c>
      <c r="V104" s="1">
        <v>47.8</v>
      </c>
      <c r="W104" s="1">
        <v>47.8</v>
      </c>
      <c r="X104" s="1">
        <v>38</v>
      </c>
      <c r="Y104" s="1">
        <v>34.799999999999997</v>
      </c>
      <c r="Z104" s="1">
        <v>24.4</v>
      </c>
      <c r="AA104" s="1">
        <v>46.2</v>
      </c>
      <c r="AB104" s="1">
        <v>28</v>
      </c>
      <c r="AC104" s="1">
        <v>24</v>
      </c>
      <c r="AD104" s="1">
        <v>41.2</v>
      </c>
      <c r="AE104" s="1">
        <v>37.200000000000003</v>
      </c>
      <c r="AF104" s="1"/>
      <c r="AG104" s="1">
        <f>G104*R104</f>
        <v>159.98400000000004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157</v>
      </c>
      <c r="B105" s="1" t="s">
        <v>39</v>
      </c>
      <c r="C105" s="1"/>
      <c r="D105" s="1">
        <v>379</v>
      </c>
      <c r="E105" s="1">
        <v>242</v>
      </c>
      <c r="F105" s="1">
        <v>118</v>
      </c>
      <c r="G105" s="7">
        <v>0.15</v>
      </c>
      <c r="H105" s="1">
        <v>60</v>
      </c>
      <c r="I105" s="1" t="s">
        <v>36</v>
      </c>
      <c r="J105" s="1"/>
      <c r="K105" s="1">
        <v>311</v>
      </c>
      <c r="L105" s="1">
        <f t="shared" si="29"/>
        <v>-69</v>
      </c>
      <c r="M105" s="1">
        <f t="shared" si="21"/>
        <v>242</v>
      </c>
      <c r="N105" s="1"/>
      <c r="O105" s="1">
        <v>60</v>
      </c>
      <c r="P105" s="1"/>
      <c r="Q105" s="1">
        <f t="shared" si="22"/>
        <v>48.4</v>
      </c>
      <c r="R105" s="5">
        <f>12*Q105-P105-O105-F105</f>
        <v>402.79999999999995</v>
      </c>
      <c r="S105" s="22"/>
      <c r="T105" s="1">
        <f t="shared" si="30"/>
        <v>12</v>
      </c>
      <c r="U105" s="1">
        <f t="shared" si="24"/>
        <v>3.6776859504132231</v>
      </c>
      <c r="V105" s="1">
        <v>24.8</v>
      </c>
      <c r="W105" s="1">
        <v>23</v>
      </c>
      <c r="X105" s="1">
        <v>9.8000000000000007</v>
      </c>
      <c r="Y105" s="1">
        <v>7.8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 t="s">
        <v>37</v>
      </c>
      <c r="AG105" s="1">
        <f>G105*R105</f>
        <v>60.419999999999987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1" t="s">
        <v>158</v>
      </c>
      <c r="B106" s="11" t="s">
        <v>39</v>
      </c>
      <c r="C106" s="11"/>
      <c r="D106" s="11">
        <v>32</v>
      </c>
      <c r="E106" s="11">
        <v>28</v>
      </c>
      <c r="F106" s="11"/>
      <c r="G106" s="12">
        <v>0</v>
      </c>
      <c r="H106" s="11"/>
      <c r="I106" s="11" t="s">
        <v>62</v>
      </c>
      <c r="J106" s="11"/>
      <c r="K106" s="11">
        <v>39</v>
      </c>
      <c r="L106" s="11">
        <f t="shared" si="29"/>
        <v>-11</v>
      </c>
      <c r="M106" s="11">
        <f t="shared" si="21"/>
        <v>-4</v>
      </c>
      <c r="N106" s="11">
        <v>32</v>
      </c>
      <c r="O106" s="11"/>
      <c r="P106" s="11"/>
      <c r="Q106" s="11">
        <f t="shared" si="22"/>
        <v>-0.8</v>
      </c>
      <c r="R106" s="13"/>
      <c r="S106" s="23"/>
      <c r="T106" s="11">
        <f t="shared" si="30"/>
        <v>0</v>
      </c>
      <c r="U106" s="11">
        <f t="shared" si="24"/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/>
      <c r="AG106" s="1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159</v>
      </c>
      <c r="B107" s="1" t="s">
        <v>39</v>
      </c>
      <c r="C107" s="1">
        <v>-1</v>
      </c>
      <c r="D107" s="1"/>
      <c r="E107" s="1"/>
      <c r="F107" s="1">
        <v>-1</v>
      </c>
      <c r="G107" s="7">
        <v>0.26</v>
      </c>
      <c r="H107" s="1">
        <v>45</v>
      </c>
      <c r="I107" s="1" t="s">
        <v>36</v>
      </c>
      <c r="J107" s="1"/>
      <c r="K107" s="1">
        <v>122</v>
      </c>
      <c r="L107" s="1">
        <f t="shared" si="29"/>
        <v>-122</v>
      </c>
      <c r="M107" s="1">
        <f t="shared" si="21"/>
        <v>0</v>
      </c>
      <c r="N107" s="1"/>
      <c r="O107" s="1">
        <v>60</v>
      </c>
      <c r="P107" s="1"/>
      <c r="Q107" s="1">
        <f t="shared" si="22"/>
        <v>0</v>
      </c>
      <c r="R107" s="5"/>
      <c r="S107" s="22">
        <v>100</v>
      </c>
      <c r="T107" s="1" t="e">
        <f t="shared" si="30"/>
        <v>#DIV/0!</v>
      </c>
      <c r="U107" s="1" t="e">
        <f t="shared" si="24"/>
        <v>#DIV/0!</v>
      </c>
      <c r="V107" s="1">
        <v>10.199999999999999</v>
      </c>
      <c r="W107" s="1">
        <v>8.6</v>
      </c>
      <c r="X107" s="1">
        <v>4.2</v>
      </c>
      <c r="Y107" s="1">
        <v>0.6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 t="s">
        <v>37</v>
      </c>
      <c r="AG107" s="1">
        <f>G107*R107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160</v>
      </c>
      <c r="B108" s="1" t="s">
        <v>35</v>
      </c>
      <c r="C108" s="1">
        <v>11.741</v>
      </c>
      <c r="D108" s="1">
        <v>1.671</v>
      </c>
      <c r="E108" s="1">
        <v>6.6970000000000001</v>
      </c>
      <c r="F108" s="1">
        <v>-1.659</v>
      </c>
      <c r="G108" s="7">
        <v>1</v>
      </c>
      <c r="H108" s="1">
        <v>30</v>
      </c>
      <c r="I108" s="1" t="s">
        <v>36</v>
      </c>
      <c r="J108" s="1"/>
      <c r="K108" s="1">
        <v>73.099999999999994</v>
      </c>
      <c r="L108" s="1">
        <f t="shared" si="29"/>
        <v>-66.402999999999992</v>
      </c>
      <c r="M108" s="1">
        <f t="shared" si="21"/>
        <v>6.6970000000000001</v>
      </c>
      <c r="N108" s="1"/>
      <c r="O108" s="1">
        <v>50</v>
      </c>
      <c r="P108" s="1"/>
      <c r="Q108" s="1">
        <f t="shared" si="22"/>
        <v>1.3393999999999999</v>
      </c>
      <c r="R108" s="5">
        <v>40</v>
      </c>
      <c r="S108" s="22">
        <v>80</v>
      </c>
      <c r="T108" s="1">
        <f t="shared" si="30"/>
        <v>65.955651784381075</v>
      </c>
      <c r="U108" s="1">
        <f t="shared" si="24"/>
        <v>36.091533522472751</v>
      </c>
      <c r="V108" s="1">
        <v>1.6718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 t="s">
        <v>37</v>
      </c>
      <c r="AG108" s="1">
        <f>G108*R108</f>
        <v>40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161</v>
      </c>
      <c r="B109" s="1" t="s">
        <v>39</v>
      </c>
      <c r="C109" s="1">
        <v>48</v>
      </c>
      <c r="D109" s="1">
        <v>95</v>
      </c>
      <c r="E109" s="1">
        <v>96</v>
      </c>
      <c r="F109" s="1">
        <v>35</v>
      </c>
      <c r="G109" s="7">
        <v>0.31</v>
      </c>
      <c r="H109" s="1">
        <v>45</v>
      </c>
      <c r="I109" s="1" t="s">
        <v>36</v>
      </c>
      <c r="J109" s="1"/>
      <c r="K109" s="1">
        <v>102</v>
      </c>
      <c r="L109" s="1">
        <f t="shared" si="29"/>
        <v>-6</v>
      </c>
      <c r="M109" s="1">
        <f t="shared" si="21"/>
        <v>96</v>
      </c>
      <c r="N109" s="1"/>
      <c r="O109" s="1">
        <v>0</v>
      </c>
      <c r="P109" s="1"/>
      <c r="Q109" s="1">
        <f t="shared" si="22"/>
        <v>19.2</v>
      </c>
      <c r="R109" s="5">
        <f>8*Q109-P109-O109-F109</f>
        <v>118.6</v>
      </c>
      <c r="S109" s="22"/>
      <c r="T109" s="1">
        <f t="shared" si="30"/>
        <v>8</v>
      </c>
      <c r="U109" s="1">
        <f t="shared" si="24"/>
        <v>1.8229166666666667</v>
      </c>
      <c r="V109" s="1">
        <v>5</v>
      </c>
      <c r="W109" s="1">
        <v>7.6</v>
      </c>
      <c r="X109" s="1">
        <v>4.4000000000000004</v>
      </c>
      <c r="Y109" s="1">
        <v>0.2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9" t="s">
        <v>37</v>
      </c>
      <c r="AG109" s="1">
        <f>G109*R109</f>
        <v>36.765999999999998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162</v>
      </c>
      <c r="B110" s="1" t="s">
        <v>35</v>
      </c>
      <c r="C110" s="1">
        <v>-0.30399999999999999</v>
      </c>
      <c r="D110" s="1"/>
      <c r="E110" s="1"/>
      <c r="F110" s="1">
        <v>-0.30399999999999999</v>
      </c>
      <c r="G110" s="7">
        <v>1</v>
      </c>
      <c r="H110" s="1">
        <v>30</v>
      </c>
      <c r="I110" s="1" t="s">
        <v>36</v>
      </c>
      <c r="J110" s="1"/>
      <c r="K110" s="1">
        <v>9.9</v>
      </c>
      <c r="L110" s="1">
        <f t="shared" si="29"/>
        <v>-9.9</v>
      </c>
      <c r="M110" s="1">
        <f t="shared" si="21"/>
        <v>0</v>
      </c>
      <c r="N110" s="1"/>
      <c r="O110" s="1">
        <v>48</v>
      </c>
      <c r="P110" s="1"/>
      <c r="Q110" s="1">
        <f t="shared" si="22"/>
        <v>0</v>
      </c>
      <c r="R110" s="5"/>
      <c r="S110" s="22">
        <v>50</v>
      </c>
      <c r="T110" s="1" t="e">
        <f t="shared" si="30"/>
        <v>#DIV/0!</v>
      </c>
      <c r="U110" s="1" t="e">
        <f t="shared" si="24"/>
        <v>#DIV/0!</v>
      </c>
      <c r="V110" s="1">
        <v>1.6912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 t="s">
        <v>37</v>
      </c>
      <c r="AG110" s="1">
        <f>G110*R110</f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163</v>
      </c>
      <c r="B111" s="1" t="s">
        <v>39</v>
      </c>
      <c r="C111" s="1">
        <v>67</v>
      </c>
      <c r="D111" s="1">
        <v>397</v>
      </c>
      <c r="E111" s="1">
        <v>167</v>
      </c>
      <c r="F111" s="1">
        <v>282</v>
      </c>
      <c r="G111" s="7">
        <v>0.4</v>
      </c>
      <c r="H111" s="1">
        <v>60</v>
      </c>
      <c r="I111" s="1" t="s">
        <v>36</v>
      </c>
      <c r="J111" s="1"/>
      <c r="K111" s="1">
        <v>187</v>
      </c>
      <c r="L111" s="1">
        <f t="shared" si="29"/>
        <v>-20</v>
      </c>
      <c r="M111" s="1">
        <f t="shared" si="21"/>
        <v>167</v>
      </c>
      <c r="N111" s="1"/>
      <c r="O111" s="1">
        <v>60</v>
      </c>
      <c r="P111" s="1"/>
      <c r="Q111" s="1">
        <f t="shared" si="22"/>
        <v>33.4</v>
      </c>
      <c r="R111" s="5">
        <f t="shared" ref="R111" si="31">14*Q111-P111-O111-F111</f>
        <v>125.59999999999997</v>
      </c>
      <c r="S111" s="22"/>
      <c r="T111" s="1">
        <f t="shared" si="30"/>
        <v>14</v>
      </c>
      <c r="U111" s="1">
        <f t="shared" si="24"/>
        <v>10.239520958083833</v>
      </c>
      <c r="V111" s="1">
        <v>26.8</v>
      </c>
      <c r="W111" s="1">
        <v>42.8</v>
      </c>
      <c r="X111" s="1">
        <v>21.6</v>
      </c>
      <c r="Y111" s="1">
        <v>25.6</v>
      </c>
      <c r="Z111" s="1">
        <v>34.799999999999997</v>
      </c>
      <c r="AA111" s="1">
        <v>20.2</v>
      </c>
      <c r="AB111" s="1">
        <v>25.8</v>
      </c>
      <c r="AC111" s="1">
        <v>39.4</v>
      </c>
      <c r="AD111" s="1">
        <v>20.399999999999999</v>
      </c>
      <c r="AE111" s="1">
        <v>9.4</v>
      </c>
      <c r="AF111" s="1"/>
      <c r="AG111" s="1">
        <f>G111*R111</f>
        <v>50.239999999999988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1" t="s">
        <v>164</v>
      </c>
      <c r="B112" s="11" t="s">
        <v>35</v>
      </c>
      <c r="C112" s="11">
        <v>4.077</v>
      </c>
      <c r="D112" s="11">
        <v>1.361</v>
      </c>
      <c r="E112" s="11">
        <v>5.415</v>
      </c>
      <c r="F112" s="11">
        <v>-1.3380000000000001</v>
      </c>
      <c r="G112" s="12">
        <v>0</v>
      </c>
      <c r="H112" s="11"/>
      <c r="I112" s="21" t="s">
        <v>165</v>
      </c>
      <c r="J112" s="11"/>
      <c r="K112" s="11">
        <v>12.2</v>
      </c>
      <c r="L112" s="11">
        <f t="shared" si="29"/>
        <v>-6.7849999999999993</v>
      </c>
      <c r="M112" s="11">
        <f t="shared" si="21"/>
        <v>5.415</v>
      </c>
      <c r="N112" s="11"/>
      <c r="O112" s="11">
        <v>0</v>
      </c>
      <c r="P112" s="11"/>
      <c r="Q112" s="11">
        <f t="shared" si="22"/>
        <v>1.083</v>
      </c>
      <c r="R112" s="13"/>
      <c r="S112" s="23"/>
      <c r="T112" s="11">
        <f t="shared" si="30"/>
        <v>-1.2354570637119116</v>
      </c>
      <c r="U112" s="11">
        <f t="shared" si="24"/>
        <v>-1.2354570637119116</v>
      </c>
      <c r="V112" s="11">
        <v>3.238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1001010017536</v>
      </c>
      <c r="AG112" s="1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166</v>
      </c>
      <c r="B113" s="1" t="s">
        <v>39</v>
      </c>
      <c r="C113" s="1">
        <v>-36</v>
      </c>
      <c r="D113" s="1">
        <v>233</v>
      </c>
      <c r="E113" s="1">
        <v>228</v>
      </c>
      <c r="F113" s="1">
        <v>-40</v>
      </c>
      <c r="G113" s="7">
        <v>0.35</v>
      </c>
      <c r="H113" s="1">
        <v>60</v>
      </c>
      <c r="I113" s="1" t="s">
        <v>36</v>
      </c>
      <c r="J113" s="1"/>
      <c r="K113" s="1">
        <v>276</v>
      </c>
      <c r="L113" s="1">
        <f t="shared" si="29"/>
        <v>-48</v>
      </c>
      <c r="M113" s="1">
        <f t="shared" si="21"/>
        <v>180</v>
      </c>
      <c r="N113" s="1">
        <v>48</v>
      </c>
      <c r="O113" s="1">
        <v>66</v>
      </c>
      <c r="P113" s="1"/>
      <c r="Q113" s="1">
        <f t="shared" si="22"/>
        <v>36</v>
      </c>
      <c r="R113" s="5">
        <f>7*Q113-P113-O113-F113</f>
        <v>226</v>
      </c>
      <c r="S113" s="22">
        <v>250</v>
      </c>
      <c r="T113" s="1">
        <f t="shared" si="30"/>
        <v>7</v>
      </c>
      <c r="U113" s="1">
        <f t="shared" si="24"/>
        <v>0.72222222222222221</v>
      </c>
      <c r="V113" s="1">
        <v>14</v>
      </c>
      <c r="W113" s="1">
        <v>26</v>
      </c>
      <c r="X113" s="1">
        <v>4.8</v>
      </c>
      <c r="Y113" s="1">
        <v>16.2</v>
      </c>
      <c r="Z113" s="1">
        <v>6.2</v>
      </c>
      <c r="AA113" s="1">
        <v>7</v>
      </c>
      <c r="AB113" s="1">
        <v>4.4000000000000004</v>
      </c>
      <c r="AC113" s="1">
        <v>1.4</v>
      </c>
      <c r="AD113" s="1">
        <v>0</v>
      </c>
      <c r="AE113" s="1">
        <v>0</v>
      </c>
      <c r="AF113" s="1" t="s">
        <v>167</v>
      </c>
      <c r="AG113" s="1">
        <f>G113*R113</f>
        <v>79.099999999999994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168</v>
      </c>
      <c r="B114" s="1" t="s">
        <v>35</v>
      </c>
      <c r="C114" s="1">
        <v>1.9E-2</v>
      </c>
      <c r="D114" s="1">
        <v>179.84100000000001</v>
      </c>
      <c r="E114" s="1">
        <v>71.286000000000001</v>
      </c>
      <c r="F114" s="1">
        <v>106.069</v>
      </c>
      <c r="G114" s="7">
        <v>1</v>
      </c>
      <c r="H114" s="1">
        <v>45</v>
      </c>
      <c r="I114" s="1" t="s">
        <v>36</v>
      </c>
      <c r="J114" s="1"/>
      <c r="K114" s="1">
        <v>72.56</v>
      </c>
      <c r="L114" s="1">
        <f t="shared" si="29"/>
        <v>-1.2740000000000009</v>
      </c>
      <c r="M114" s="1">
        <f t="shared" si="21"/>
        <v>71.286000000000001</v>
      </c>
      <c r="N114" s="1"/>
      <c r="O114" s="1">
        <v>40</v>
      </c>
      <c r="P114" s="1"/>
      <c r="Q114" s="1">
        <f t="shared" si="22"/>
        <v>14.257200000000001</v>
      </c>
      <c r="R114" s="5">
        <f t="shared" ref="R114:R116" si="32">14*Q114-P114-O114-F114</f>
        <v>53.531800000000018</v>
      </c>
      <c r="S114" s="22"/>
      <c r="T114" s="1">
        <f t="shared" si="30"/>
        <v>14.000000000000002</v>
      </c>
      <c r="U114" s="1">
        <f t="shared" si="24"/>
        <v>10.245279578037763</v>
      </c>
      <c r="V114" s="1">
        <v>6.1836000000000002</v>
      </c>
      <c r="W114" s="1">
        <v>25.6722</v>
      </c>
      <c r="X114" s="1">
        <v>0</v>
      </c>
      <c r="Y114" s="1">
        <v>1.7081999999999999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 t="s">
        <v>37</v>
      </c>
      <c r="AG114" s="1">
        <f>G114*R114</f>
        <v>53.531800000000018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169</v>
      </c>
      <c r="B115" s="1" t="s">
        <v>35</v>
      </c>
      <c r="C115" s="1">
        <v>16.071000000000002</v>
      </c>
      <c r="D115" s="1">
        <v>10.087</v>
      </c>
      <c r="E115" s="1">
        <v>11.797000000000001</v>
      </c>
      <c r="F115" s="1">
        <v>14.361000000000001</v>
      </c>
      <c r="G115" s="7">
        <v>1</v>
      </c>
      <c r="H115" s="1">
        <v>45</v>
      </c>
      <c r="I115" s="1" t="s">
        <v>36</v>
      </c>
      <c r="J115" s="1"/>
      <c r="K115" s="1">
        <v>10.199999999999999</v>
      </c>
      <c r="L115" s="1">
        <f t="shared" si="29"/>
        <v>1.5970000000000013</v>
      </c>
      <c r="M115" s="1">
        <f t="shared" si="21"/>
        <v>11.797000000000001</v>
      </c>
      <c r="N115" s="1"/>
      <c r="O115" s="1">
        <v>5</v>
      </c>
      <c r="P115" s="1"/>
      <c r="Q115" s="1">
        <f t="shared" si="22"/>
        <v>2.3593999999999999</v>
      </c>
      <c r="R115" s="5">
        <f t="shared" si="32"/>
        <v>13.670599999999997</v>
      </c>
      <c r="S115" s="22"/>
      <c r="T115" s="1">
        <f t="shared" si="30"/>
        <v>14</v>
      </c>
      <c r="U115" s="1">
        <f t="shared" si="24"/>
        <v>8.2058998050351786</v>
      </c>
      <c r="V115" s="1">
        <v>1.8568</v>
      </c>
      <c r="W115" s="1">
        <v>3.0244</v>
      </c>
      <c r="X115" s="1">
        <v>3.8746</v>
      </c>
      <c r="Y115" s="1">
        <v>1.1996</v>
      </c>
      <c r="Z115" s="1">
        <v>3.2330000000000001</v>
      </c>
      <c r="AA115" s="1">
        <v>0.84600000000000009</v>
      </c>
      <c r="AB115" s="1">
        <v>0</v>
      </c>
      <c r="AC115" s="1">
        <v>2.0257999999999998</v>
      </c>
      <c r="AD115" s="1">
        <v>0.68120000000000003</v>
      </c>
      <c r="AE115" s="1">
        <v>1.6926000000000001</v>
      </c>
      <c r="AF115" s="1" t="s">
        <v>170</v>
      </c>
      <c r="AG115" s="1">
        <f>G115*R115</f>
        <v>13.670599999999997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101</v>
      </c>
      <c r="B116" s="1" t="s">
        <v>39</v>
      </c>
      <c r="C116" s="1">
        <v>1</v>
      </c>
      <c r="D116" s="1">
        <v>279</v>
      </c>
      <c r="E116" s="1">
        <v>144</v>
      </c>
      <c r="F116" s="1">
        <v>96</v>
      </c>
      <c r="G116" s="7">
        <v>0.33</v>
      </c>
      <c r="H116" s="1">
        <v>45</v>
      </c>
      <c r="I116" s="1" t="s">
        <v>36</v>
      </c>
      <c r="J116" s="1"/>
      <c r="K116" s="1">
        <v>211</v>
      </c>
      <c r="L116" s="1">
        <f t="shared" si="29"/>
        <v>-67</v>
      </c>
      <c r="M116" s="1">
        <f t="shared" si="21"/>
        <v>112</v>
      </c>
      <c r="N116" s="1">
        <v>32</v>
      </c>
      <c r="O116" s="1">
        <v>53</v>
      </c>
      <c r="P116" s="1">
        <v>58</v>
      </c>
      <c r="Q116" s="1">
        <f t="shared" si="22"/>
        <v>22.4</v>
      </c>
      <c r="R116" s="5">
        <f t="shared" si="32"/>
        <v>106.59999999999997</v>
      </c>
      <c r="S116" s="22">
        <v>130</v>
      </c>
      <c r="T116" s="1">
        <f t="shared" si="30"/>
        <v>14</v>
      </c>
      <c r="U116" s="1">
        <f t="shared" si="24"/>
        <v>9.2410714285714288</v>
      </c>
      <c r="V116" s="1">
        <v>21.6</v>
      </c>
      <c r="W116" s="1">
        <v>22.6</v>
      </c>
      <c r="X116" s="1">
        <v>15.6</v>
      </c>
      <c r="Y116" s="1">
        <v>12.8</v>
      </c>
      <c r="Z116" s="1">
        <v>28.4</v>
      </c>
      <c r="AA116" s="1">
        <v>26.2</v>
      </c>
      <c r="AB116" s="1">
        <v>15</v>
      </c>
      <c r="AC116" s="1">
        <v>24.6</v>
      </c>
      <c r="AD116" s="1">
        <v>1</v>
      </c>
      <c r="AE116" s="1">
        <v>14.8</v>
      </c>
      <c r="AF116" s="1" t="s">
        <v>171</v>
      </c>
      <c r="AG116" s="1">
        <f>G116*R116</f>
        <v>35.17799999999999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1" t="s">
        <v>172</v>
      </c>
      <c r="B117" s="11" t="s">
        <v>39</v>
      </c>
      <c r="C117" s="11">
        <v>-2</v>
      </c>
      <c r="D117" s="11">
        <v>70</v>
      </c>
      <c r="E117" s="11">
        <v>59</v>
      </c>
      <c r="F117" s="11">
        <v>8</v>
      </c>
      <c r="G117" s="12">
        <v>0</v>
      </c>
      <c r="H117" s="11">
        <v>60</v>
      </c>
      <c r="I117" s="11" t="s">
        <v>77</v>
      </c>
      <c r="J117" s="11"/>
      <c r="K117" s="11">
        <v>70</v>
      </c>
      <c r="L117" s="11">
        <f t="shared" si="29"/>
        <v>-11</v>
      </c>
      <c r="M117" s="11">
        <f t="shared" si="21"/>
        <v>49</v>
      </c>
      <c r="N117" s="11">
        <v>10</v>
      </c>
      <c r="O117" s="11">
        <v>0</v>
      </c>
      <c r="P117" s="11"/>
      <c r="Q117" s="11">
        <f t="shared" si="22"/>
        <v>9.8000000000000007</v>
      </c>
      <c r="R117" s="13"/>
      <c r="S117" s="23"/>
      <c r="T117" s="11">
        <f t="shared" si="30"/>
        <v>0.81632653061224481</v>
      </c>
      <c r="U117" s="11">
        <f t="shared" si="24"/>
        <v>0.81632653061224481</v>
      </c>
      <c r="V117" s="11">
        <v>11.2</v>
      </c>
      <c r="W117" s="11">
        <v>8.1999999999999993</v>
      </c>
      <c r="X117" s="11">
        <v>2.4</v>
      </c>
      <c r="Y117" s="11">
        <v>3.6</v>
      </c>
      <c r="Z117" s="11">
        <v>7</v>
      </c>
      <c r="AA117" s="11">
        <v>5.2</v>
      </c>
      <c r="AB117" s="11">
        <v>9.6</v>
      </c>
      <c r="AC117" s="11">
        <v>5.6</v>
      </c>
      <c r="AD117" s="11">
        <v>0</v>
      </c>
      <c r="AE117" s="11">
        <v>0</v>
      </c>
      <c r="AF117" s="11" t="s">
        <v>173</v>
      </c>
      <c r="AG117" s="1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174</v>
      </c>
      <c r="B118" s="1" t="s">
        <v>39</v>
      </c>
      <c r="C118" s="1">
        <v>115</v>
      </c>
      <c r="D118" s="1">
        <v>86</v>
      </c>
      <c r="E118" s="1">
        <v>199</v>
      </c>
      <c r="F118" s="1">
        <v>-5</v>
      </c>
      <c r="G118" s="7">
        <v>0.1</v>
      </c>
      <c r="H118" s="1">
        <v>60</v>
      </c>
      <c r="I118" s="1" t="s">
        <v>36</v>
      </c>
      <c r="J118" s="1"/>
      <c r="K118" s="1">
        <v>250</v>
      </c>
      <c r="L118" s="1">
        <f t="shared" si="29"/>
        <v>-51</v>
      </c>
      <c r="M118" s="1">
        <f t="shared" si="21"/>
        <v>189</v>
      </c>
      <c r="N118" s="1">
        <v>10</v>
      </c>
      <c r="O118" s="1">
        <v>160</v>
      </c>
      <c r="P118" s="1">
        <v>174</v>
      </c>
      <c r="Q118" s="1">
        <f t="shared" si="22"/>
        <v>37.799999999999997</v>
      </c>
      <c r="R118" s="5">
        <f t="shared" ref="R118:R119" si="33">14*Q118-P118-O118-F118</f>
        <v>200.19999999999993</v>
      </c>
      <c r="S118" s="22">
        <v>240</v>
      </c>
      <c r="T118" s="1">
        <f t="shared" si="30"/>
        <v>14</v>
      </c>
      <c r="U118" s="1">
        <f t="shared" si="24"/>
        <v>8.7037037037037042</v>
      </c>
      <c r="V118" s="1">
        <v>40.4</v>
      </c>
      <c r="W118" s="1">
        <v>25.2</v>
      </c>
      <c r="X118" s="1">
        <v>31</v>
      </c>
      <c r="Y118" s="1">
        <v>42.2</v>
      </c>
      <c r="Z118" s="1">
        <v>1.8</v>
      </c>
      <c r="AA118" s="1">
        <v>6</v>
      </c>
      <c r="AB118" s="1">
        <v>38.799999999999997</v>
      </c>
      <c r="AC118" s="1">
        <v>0</v>
      </c>
      <c r="AD118" s="1">
        <v>0</v>
      </c>
      <c r="AE118" s="1">
        <v>0</v>
      </c>
      <c r="AF118" s="1" t="s">
        <v>175</v>
      </c>
      <c r="AG118" s="1">
        <f>G118*R118</f>
        <v>20.019999999999996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176</v>
      </c>
      <c r="B119" s="1" t="s">
        <v>39</v>
      </c>
      <c r="C119" s="1">
        <v>445</v>
      </c>
      <c r="D119" s="1">
        <v>24</v>
      </c>
      <c r="E119" s="1">
        <v>336</v>
      </c>
      <c r="F119" s="1">
        <v>118</v>
      </c>
      <c r="G119" s="7">
        <v>0.1</v>
      </c>
      <c r="H119" s="1">
        <v>60</v>
      </c>
      <c r="I119" s="1" t="s">
        <v>36</v>
      </c>
      <c r="J119" s="1"/>
      <c r="K119" s="1">
        <v>352</v>
      </c>
      <c r="L119" s="1">
        <f t="shared" si="29"/>
        <v>-16</v>
      </c>
      <c r="M119" s="1">
        <f t="shared" si="21"/>
        <v>326</v>
      </c>
      <c r="N119" s="1">
        <v>10</v>
      </c>
      <c r="O119" s="1">
        <v>272</v>
      </c>
      <c r="P119" s="1">
        <v>294</v>
      </c>
      <c r="Q119" s="1">
        <f t="shared" si="22"/>
        <v>65.2</v>
      </c>
      <c r="R119" s="5">
        <f t="shared" si="33"/>
        <v>228.80000000000007</v>
      </c>
      <c r="S119" s="22">
        <v>250</v>
      </c>
      <c r="T119" s="1">
        <f t="shared" si="30"/>
        <v>14</v>
      </c>
      <c r="U119" s="1">
        <f t="shared" si="24"/>
        <v>10.490797546012269</v>
      </c>
      <c r="V119" s="1">
        <v>67.400000000000006</v>
      </c>
      <c r="W119" s="1">
        <v>41.6</v>
      </c>
      <c r="X119" s="1">
        <v>65.400000000000006</v>
      </c>
      <c r="Y119" s="1">
        <v>15</v>
      </c>
      <c r="Z119" s="1">
        <v>98</v>
      </c>
      <c r="AA119" s="1">
        <v>37.200000000000003</v>
      </c>
      <c r="AB119" s="1">
        <v>28.6</v>
      </c>
      <c r="AC119" s="1">
        <v>54.8</v>
      </c>
      <c r="AD119" s="1">
        <v>0</v>
      </c>
      <c r="AE119" s="1">
        <v>0</v>
      </c>
      <c r="AF119" s="1" t="s">
        <v>177</v>
      </c>
      <c r="AG119" s="1">
        <f>G119*R119</f>
        <v>22.88000000000001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1" t="s">
        <v>178</v>
      </c>
      <c r="B120" s="11" t="s">
        <v>39</v>
      </c>
      <c r="C120" s="11">
        <v>30</v>
      </c>
      <c r="D120" s="11">
        <v>32</v>
      </c>
      <c r="E120" s="11">
        <v>58</v>
      </c>
      <c r="F120" s="11">
        <v>2</v>
      </c>
      <c r="G120" s="12">
        <v>0</v>
      </c>
      <c r="H120" s="11"/>
      <c r="I120" s="21" t="s">
        <v>165</v>
      </c>
      <c r="J120" s="11"/>
      <c r="K120" s="11">
        <v>77</v>
      </c>
      <c r="L120" s="11">
        <f t="shared" si="29"/>
        <v>-19</v>
      </c>
      <c r="M120" s="11">
        <f t="shared" si="21"/>
        <v>28</v>
      </c>
      <c r="N120" s="11">
        <v>30</v>
      </c>
      <c r="O120" s="11">
        <v>0</v>
      </c>
      <c r="P120" s="11"/>
      <c r="Q120" s="11">
        <f t="shared" si="22"/>
        <v>5.6</v>
      </c>
      <c r="R120" s="13"/>
      <c r="S120" s="23"/>
      <c r="T120" s="11">
        <f t="shared" si="30"/>
        <v>0.35714285714285715</v>
      </c>
      <c r="U120" s="11">
        <f t="shared" si="24"/>
        <v>0.35714285714285715</v>
      </c>
      <c r="V120" s="11">
        <v>4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1001066607626</v>
      </c>
      <c r="AG120" s="1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72</v>
      </c>
      <c r="B121" s="1" t="s">
        <v>39</v>
      </c>
      <c r="C121" s="1">
        <v>304</v>
      </c>
      <c r="D121" s="1">
        <v>1037</v>
      </c>
      <c r="E121" s="1">
        <v>524</v>
      </c>
      <c r="F121" s="1">
        <v>451</v>
      </c>
      <c r="G121" s="7">
        <v>0.4</v>
      </c>
      <c r="H121" s="1">
        <v>60</v>
      </c>
      <c r="I121" s="1" t="s">
        <v>36</v>
      </c>
      <c r="J121" s="1"/>
      <c r="K121" s="1">
        <v>549</v>
      </c>
      <c r="L121" s="1">
        <f t="shared" si="29"/>
        <v>-25</v>
      </c>
      <c r="M121" s="1">
        <f t="shared" si="21"/>
        <v>508</v>
      </c>
      <c r="N121" s="1">
        <v>16</v>
      </c>
      <c r="O121" s="1">
        <v>178</v>
      </c>
      <c r="P121" s="1">
        <v>193</v>
      </c>
      <c r="Q121" s="1">
        <f t="shared" si="22"/>
        <v>101.6</v>
      </c>
      <c r="R121" s="5">
        <f t="shared" ref="R121" si="34">14*Q121-P121-O121-F121</f>
        <v>600.39999999999986</v>
      </c>
      <c r="S121" s="22"/>
      <c r="T121" s="1">
        <f t="shared" si="30"/>
        <v>14</v>
      </c>
      <c r="U121" s="1">
        <f t="shared" si="24"/>
        <v>8.0905511811023629</v>
      </c>
      <c r="V121" s="1">
        <v>89</v>
      </c>
      <c r="W121" s="1">
        <v>93.8</v>
      </c>
      <c r="X121" s="1">
        <v>83.8</v>
      </c>
      <c r="Y121" s="1">
        <v>66.2</v>
      </c>
      <c r="Z121" s="1">
        <v>80.599999999999994</v>
      </c>
      <c r="AA121" s="1">
        <v>81</v>
      </c>
      <c r="AB121" s="1">
        <v>58.6</v>
      </c>
      <c r="AC121" s="1">
        <v>71.400000000000006</v>
      </c>
      <c r="AD121" s="1">
        <v>0</v>
      </c>
      <c r="AE121" s="1">
        <v>0</v>
      </c>
      <c r="AF121" s="1" t="s">
        <v>179</v>
      </c>
      <c r="AG121" s="1">
        <f>G121*R121</f>
        <v>240.15999999999997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180</v>
      </c>
      <c r="B122" s="1" t="s">
        <v>39</v>
      </c>
      <c r="C122" s="1">
        <v>125</v>
      </c>
      <c r="D122" s="1">
        <v>56</v>
      </c>
      <c r="E122" s="1">
        <v>4</v>
      </c>
      <c r="F122" s="1">
        <v>173</v>
      </c>
      <c r="G122" s="7">
        <v>0.1</v>
      </c>
      <c r="H122" s="1"/>
      <c r="I122" s="1" t="s">
        <v>36</v>
      </c>
      <c r="J122" s="1"/>
      <c r="K122" s="1">
        <v>8</v>
      </c>
      <c r="L122" s="1">
        <f t="shared" si="29"/>
        <v>-4</v>
      </c>
      <c r="M122" s="1">
        <f t="shared" si="21"/>
        <v>4</v>
      </c>
      <c r="N122" s="1"/>
      <c r="O122" s="1">
        <v>0</v>
      </c>
      <c r="P122" s="1"/>
      <c r="Q122" s="1">
        <f t="shared" si="22"/>
        <v>0.8</v>
      </c>
      <c r="R122" s="5"/>
      <c r="S122" s="22"/>
      <c r="T122" s="1">
        <f t="shared" si="30"/>
        <v>216.25</v>
      </c>
      <c r="U122" s="1">
        <f t="shared" si="24"/>
        <v>216.25</v>
      </c>
      <c r="V122" s="1">
        <v>7.8</v>
      </c>
      <c r="W122" s="1">
        <v>11.8</v>
      </c>
      <c r="X122" s="1">
        <v>8.8000000000000007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4" t="s">
        <v>78</v>
      </c>
      <c r="AG122" s="1">
        <f>G122*R122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181</v>
      </c>
      <c r="B123" s="1" t="s">
        <v>39</v>
      </c>
      <c r="C123" s="1">
        <v>134</v>
      </c>
      <c r="D123" s="1">
        <v>48</v>
      </c>
      <c r="E123" s="1">
        <v>24</v>
      </c>
      <c r="F123" s="1">
        <v>156</v>
      </c>
      <c r="G123" s="7">
        <v>0.1</v>
      </c>
      <c r="H123" s="1"/>
      <c r="I123" s="1" t="s">
        <v>36</v>
      </c>
      <c r="J123" s="1"/>
      <c r="K123" s="1">
        <v>26</v>
      </c>
      <c r="L123" s="1">
        <f t="shared" si="29"/>
        <v>-2</v>
      </c>
      <c r="M123" s="1">
        <f t="shared" si="21"/>
        <v>24</v>
      </c>
      <c r="N123" s="1"/>
      <c r="O123" s="1">
        <v>0</v>
      </c>
      <c r="P123" s="1"/>
      <c r="Q123" s="1">
        <f t="shared" si="22"/>
        <v>4.8</v>
      </c>
      <c r="R123" s="5"/>
      <c r="S123" s="22"/>
      <c r="T123" s="1">
        <f t="shared" si="30"/>
        <v>32.5</v>
      </c>
      <c r="U123" s="1">
        <f t="shared" si="24"/>
        <v>32.5</v>
      </c>
      <c r="V123" s="1">
        <v>7.8</v>
      </c>
      <c r="W123" s="1">
        <v>11.4</v>
      </c>
      <c r="X123" s="1">
        <v>8.8000000000000007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4" t="s">
        <v>78</v>
      </c>
      <c r="AG123" s="1">
        <f>G123*R123</f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s="18" customFormat="1" x14ac:dyDescent="0.25">
      <c r="A124" s="15" t="s">
        <v>182</v>
      </c>
      <c r="B124" s="15" t="s">
        <v>39</v>
      </c>
      <c r="C124" s="15"/>
      <c r="D124" s="15"/>
      <c r="E124" s="15"/>
      <c r="F124" s="15"/>
      <c r="G124" s="16">
        <v>0.3</v>
      </c>
      <c r="H124" s="15">
        <v>45</v>
      </c>
      <c r="I124" s="15" t="s">
        <v>36</v>
      </c>
      <c r="J124" s="15"/>
      <c r="K124" s="15"/>
      <c r="L124" s="15">
        <f t="shared" si="29"/>
        <v>0</v>
      </c>
      <c r="M124" s="15">
        <f t="shared" si="21"/>
        <v>0</v>
      </c>
      <c r="N124" s="15"/>
      <c r="O124" s="15">
        <v>43</v>
      </c>
      <c r="P124" s="15">
        <v>47</v>
      </c>
      <c r="Q124" s="15">
        <f t="shared" si="22"/>
        <v>0</v>
      </c>
      <c r="R124" s="17"/>
      <c r="S124" s="24">
        <v>40</v>
      </c>
      <c r="T124" s="15" t="e">
        <f t="shared" si="30"/>
        <v>#DIV/0!</v>
      </c>
      <c r="U124" s="15" t="e">
        <f t="shared" si="24"/>
        <v>#DIV/0!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 t="s">
        <v>37</v>
      </c>
      <c r="AG124" s="15">
        <f>G124*R124</f>
        <v>0</v>
      </c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</row>
    <row r="125" spans="1:48" x14ac:dyDescent="0.25">
      <c r="A125" s="11" t="s">
        <v>183</v>
      </c>
      <c r="B125" s="11" t="s">
        <v>35</v>
      </c>
      <c r="C125" s="11"/>
      <c r="D125" s="11"/>
      <c r="E125" s="11"/>
      <c r="F125" s="11"/>
      <c r="G125" s="12">
        <v>0</v>
      </c>
      <c r="H125" s="11"/>
      <c r="I125" s="11" t="s">
        <v>36</v>
      </c>
      <c r="J125" s="11"/>
      <c r="K125" s="11"/>
      <c r="L125" s="11">
        <f t="shared" si="29"/>
        <v>0</v>
      </c>
      <c r="M125" s="11">
        <f t="shared" si="21"/>
        <v>0</v>
      </c>
      <c r="N125" s="11"/>
      <c r="O125" s="11">
        <v>0</v>
      </c>
      <c r="P125" s="11"/>
      <c r="Q125" s="11">
        <f t="shared" si="22"/>
        <v>0</v>
      </c>
      <c r="R125" s="13"/>
      <c r="S125" s="23">
        <v>30</v>
      </c>
      <c r="T125" s="11" t="e">
        <f t="shared" si="30"/>
        <v>#DIV/0!</v>
      </c>
      <c r="U125" s="11" t="e">
        <f t="shared" si="24"/>
        <v>#DIV/0!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 t="s">
        <v>184</v>
      </c>
      <c r="AG125" s="1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G12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2026-09-07T10:00:02Z</dcterms:created>
  <dcterms:modified xsi:type="dcterms:W3CDTF">2026-09-09T11:25:23Z</dcterms:modified>
</cp:coreProperties>
</file>