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B2E528E3-87DD-4F6A-9C4D-BB1709F89B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<sst xmlns="http://schemas.openxmlformats.org/spreadsheetml/2006/main" count="28" uniqueCount="26">
  <si>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</si>
  <si>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</si>
  <si>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</si>
  <si>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</si>
  <si>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</si>
  <si>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</si>
  <si>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</si>
  <si>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</si>
  <si>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</si>
  <si>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</si>
  <si>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</si>
  <si>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</si>
  <si>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</si>
  <si>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</si>
  <si>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</si>
  <si>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</si>
  <si>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</si>
  <si>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</si>
  <si>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</si>
  <si>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</si>
  <si>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</si>
  <si>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</si>
  <si>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Малахутин ЛП</t>
  </si>
  <si>
    <t>САП 13,09</t>
  </si>
  <si>
    <t>САП 14,09</t>
  </si>
  <si>
    <t>САП 15,09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</si>
</sst>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L17" sqref="L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7</v>
      </c>
      <c r="B1" s="5" t="s">
        <v>8</v>
      </c>
      <c r="C1" s="5" t="s">
        <v>23</v>
      </c>
      <c r="D1" s="5" t="s">
        <v>24</v>
      </c>
      <c r="E1" s="5" t="s">
        <v>25</v>
      </c>
      <c r="F1" s="5" t="s">
        <v>9</v>
      </c>
    </row>
    <row r="2" spans="1:7" x14ac:dyDescent="0.25">
      <c r="A2" s="2" t="s">
        <v>22</v>
      </c>
      <c r="B2" s="2">
        <v>1224</v>
      </c>
      <c r="C2" s="2">
        <v>1224</v>
      </c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1138</v>
      </c>
      <c r="C3" s="2">
        <v>1138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7609</v>
      </c>
      <c r="C4" s="6"/>
      <c r="D4" s="6"/>
      <c r="E4" s="6">
        <v>7609</v>
      </c>
      <c r="F4" s="6">
        <f t="shared" ref="F4:F13" si="1">B4-C4-D4-E4</f>
        <v>0</v>
      </c>
      <c r="G4" s="7" t="s">
        <v>17</v>
      </c>
    </row>
    <row r="5" spans="1:7" x14ac:dyDescent="0.25">
      <c r="A5" s="6" t="s">
        <v>12</v>
      </c>
      <c r="B5" s="6">
        <v>246</v>
      </c>
      <c r="C5" s="6"/>
      <c r="D5" s="6"/>
      <c r="E5" s="6">
        <v>246</v>
      </c>
      <c r="F5" s="6">
        <f t="shared" si="1"/>
        <v>0</v>
      </c>
      <c r="G5" s="7" t="s">
        <v>17</v>
      </c>
    </row>
    <row r="6" spans="1:7" x14ac:dyDescent="0.25">
      <c r="A6" s="2" t="s">
        <v>1</v>
      </c>
      <c r="B6" s="2">
        <v>9797</v>
      </c>
      <c r="C6" s="2">
        <v>5675</v>
      </c>
      <c r="D6" s="2">
        <v>4122</v>
      </c>
      <c r="E6" s="2"/>
      <c r="F6" s="2">
        <f t="shared" si="1"/>
        <v>0</v>
      </c>
    </row>
    <row r="7" spans="1:7" x14ac:dyDescent="0.25">
      <c r="A7" s="2" t="s">
        <v>13</v>
      </c>
      <c r="B7" s="2">
        <v>101</v>
      </c>
      <c r="C7" s="2"/>
      <c r="D7" s="2">
        <v>101</v>
      </c>
      <c r="E7" s="2"/>
      <c r="F7" s="2">
        <f t="shared" si="1"/>
        <v>0</v>
      </c>
    </row>
    <row r="8" spans="1:7" x14ac:dyDescent="0.25">
      <c r="A8" s="2" t="s">
        <v>2</v>
      </c>
      <c r="B8" s="2">
        <v>8581</v>
      </c>
      <c r="C8" s="2"/>
      <c r="D8" s="2">
        <v>8581</v>
      </c>
      <c r="E8" s="2"/>
      <c r="F8" s="2">
        <f t="shared" si="1"/>
        <v>0</v>
      </c>
      <c r="G8" t="s">
        <v>16</v>
      </c>
    </row>
    <row r="9" spans="1:7" x14ac:dyDescent="0.25">
      <c r="A9" s="2" t="s">
        <v>14</v>
      </c>
      <c r="B9" s="2">
        <v>343</v>
      </c>
      <c r="C9" s="2"/>
      <c r="D9" s="2">
        <v>343</v>
      </c>
      <c r="E9" s="2"/>
      <c r="F9" s="2">
        <f t="shared" si="1"/>
        <v>0</v>
      </c>
    </row>
    <row r="10" spans="1:7" x14ac:dyDescent="0.25">
      <c r="A10" s="8" t="s">
        <v>3</v>
      </c>
      <c r="B10" s="8">
        <v>2286</v>
      </c>
      <c r="C10" s="8"/>
      <c r="D10" s="8">
        <v>2286</v>
      </c>
      <c r="E10" s="8"/>
      <c r="F10" s="8">
        <f t="shared" si="1"/>
        <v>0</v>
      </c>
      <c r="G10" s="9" t="s">
        <v>18</v>
      </c>
    </row>
    <row r="11" spans="1:7" x14ac:dyDescent="0.25">
      <c r="A11" s="8" t="s">
        <v>15</v>
      </c>
      <c r="B11" s="8">
        <v>0</v>
      </c>
      <c r="C11" s="8"/>
      <c r="D11" s="8">
        <v>0</v>
      </c>
      <c r="E11" s="8"/>
      <c r="F11" s="8">
        <f t="shared" si="1"/>
        <v>0</v>
      </c>
      <c r="G11" s="9" t="s">
        <v>18</v>
      </c>
    </row>
    <row r="12" spans="1:7" x14ac:dyDescent="0.25">
      <c r="A12" s="2" t="s">
        <v>6</v>
      </c>
      <c r="B12" s="2"/>
      <c r="C12" s="2"/>
      <c r="D12" s="2"/>
      <c r="E12" s="2"/>
      <c r="F12" s="2">
        <f t="shared" si="1"/>
        <v>0</v>
      </c>
    </row>
    <row r="13" spans="1:7" x14ac:dyDescent="0.25">
      <c r="A13" s="2" t="s">
        <v>5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11</v>
      </c>
      <c r="B14" s="4">
        <f>SUM(B2:B13)</f>
        <v>31325</v>
      </c>
      <c r="C14" s="4">
        <f>SUM(C2:C13)</f>
        <v>8037</v>
      </c>
      <c r="D14" s="4">
        <f>SUM(D2:D13)</f>
        <v>15433</v>
      </c>
      <c r="E14" s="4">
        <f>SUM(E2:E13)</f>
        <v>7855</v>
      </c>
      <c r="F14" s="4">
        <f>SUM(F2:F13)</f>
        <v>0</v>
      </c>
    </row>
    <row r="15" spans="1:7" ht="15.75" thickBot="1" x14ac:dyDescent="0.3">
      <c r="C15" t="s">
        <v>19</v>
      </c>
      <c r="D15" t="s">
        <v>20</v>
      </c>
      <c r="E15" t="s">
        <v>21</v>
      </c>
    </row>
    <row r="16" spans="1:7" ht="15.75" thickBot="1" x14ac:dyDescent="0.3">
      <c r="C16" s="10" t="s">
        <v>10</v>
      </c>
      <c r="D16" s="11"/>
      <c r="E16" s="12"/>
    </row>
    <row r="17" spans="3:5" x14ac:dyDescent="0.25">
      <c r="C17" s="3">
        <f>IF(ROUNDUP(C14/500,0)&gt;32,32,ROUNDUP(C14/500,0))</f>
        <v>17</v>
      </c>
      <c r="D17" s="3">
        <f t="shared" ref="D17:E17" si="2">IF(ROUNDUP(D14/500,0)&gt;32,32,ROUNDUP(D14/500,0))</f>
        <v>31</v>
      </c>
      <c r="E17" s="3">
        <f t="shared" si="2"/>
        <v>16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2026-09-09T12:13:36Z</dcterms:modified>
</cp:coreProperties>
</file>