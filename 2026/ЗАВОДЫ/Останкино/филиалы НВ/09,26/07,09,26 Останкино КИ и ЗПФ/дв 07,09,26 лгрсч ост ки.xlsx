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7,09,26 Останкино КИ и ЗПФ\"/>
    </mc:Choice>
  </mc:AlternateContent>
  <xr:revisionPtr revIDLastSave="0" documentId="13_ncr:1_{8C8A8963-CC72-47D1-A1E4-9F0BEF1074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R8" i="1" l="1"/>
  <c r="R10" i="1"/>
  <c r="R11" i="1"/>
  <c r="R17" i="1"/>
  <c r="AI17" i="1" s="1"/>
  <c r="R20" i="1"/>
  <c r="R24" i="1"/>
  <c r="R27" i="1"/>
  <c r="R36" i="1"/>
  <c r="R44" i="1"/>
  <c r="R49" i="1"/>
  <c r="AI49" i="1" s="1"/>
  <c r="R50" i="1"/>
  <c r="R51" i="1"/>
  <c r="R52" i="1"/>
  <c r="R53" i="1"/>
  <c r="AI53" i="1" s="1"/>
  <c r="R54" i="1"/>
  <c r="R55" i="1"/>
  <c r="R56" i="1"/>
  <c r="R58" i="1"/>
  <c r="R59" i="1"/>
  <c r="R61" i="1"/>
  <c r="R66" i="1"/>
  <c r="R80" i="1"/>
  <c r="R81" i="1"/>
  <c r="R83" i="1"/>
  <c r="AI83" i="1" s="1"/>
  <c r="R84" i="1"/>
  <c r="AI84" i="1" s="1"/>
  <c r="R87" i="1"/>
  <c r="R88" i="1"/>
  <c r="AI88" i="1" s="1"/>
  <c r="R89" i="1"/>
  <c r="AI89" i="1" s="1"/>
  <c r="R90" i="1"/>
  <c r="AI90" i="1" s="1"/>
  <c r="R91" i="1"/>
  <c r="R92" i="1"/>
  <c r="AI92" i="1" s="1"/>
  <c r="R93" i="1"/>
  <c r="AI93" i="1" s="1"/>
  <c r="R94" i="1"/>
  <c r="AI94" i="1" s="1"/>
  <c r="R96" i="1"/>
  <c r="AI96" i="1" s="1"/>
  <c r="R100" i="1"/>
  <c r="AI100" i="1" s="1"/>
  <c r="R102" i="1"/>
  <c r="AI102" i="1" s="1"/>
  <c r="AI9" i="1"/>
  <c r="AI11" i="1"/>
  <c r="AI27" i="1"/>
  <c r="AI51" i="1"/>
  <c r="AI55" i="1"/>
  <c r="AI59" i="1"/>
  <c r="AI61" i="1"/>
  <c r="AI79" i="1"/>
  <c r="AI81" i="1"/>
  <c r="AI87" i="1"/>
  <c r="AI91" i="1"/>
  <c r="R6" i="1"/>
  <c r="AI6" i="1" l="1"/>
  <c r="AI80" i="1"/>
  <c r="AI66" i="1"/>
  <c r="AI58" i="1"/>
  <c r="AI56" i="1"/>
  <c r="AI54" i="1"/>
  <c r="AI52" i="1"/>
  <c r="AI50" i="1"/>
  <c r="AI44" i="1"/>
  <c r="AI36" i="1"/>
  <c r="AI24" i="1"/>
  <c r="AI20" i="1"/>
  <c r="AI14" i="1"/>
  <c r="AI10" i="1"/>
  <c r="AI8" i="1"/>
  <c r="P103" i="1"/>
  <c r="L103" i="1"/>
  <c r="P102" i="1"/>
  <c r="V102" i="1" s="1"/>
  <c r="L102" i="1"/>
  <c r="P101" i="1"/>
  <c r="Q101" i="1" s="1"/>
  <c r="R101" i="1" s="1"/>
  <c r="L101" i="1"/>
  <c r="P100" i="1"/>
  <c r="V100" i="1" s="1"/>
  <c r="L100" i="1"/>
  <c r="P99" i="1"/>
  <c r="L99" i="1"/>
  <c r="P98" i="1"/>
  <c r="L98" i="1"/>
  <c r="P97" i="1"/>
  <c r="L97" i="1"/>
  <c r="P96" i="1"/>
  <c r="V96" i="1" s="1"/>
  <c r="L96" i="1"/>
  <c r="P95" i="1"/>
  <c r="L95" i="1"/>
  <c r="P94" i="1"/>
  <c r="L94" i="1"/>
  <c r="P93" i="1"/>
  <c r="L93" i="1"/>
  <c r="P92" i="1"/>
  <c r="L92" i="1"/>
  <c r="P91" i="1"/>
  <c r="V91" i="1" s="1"/>
  <c r="L91" i="1"/>
  <c r="P90" i="1"/>
  <c r="V90" i="1" s="1"/>
  <c r="L90" i="1"/>
  <c r="P89" i="1"/>
  <c r="L89" i="1"/>
  <c r="P88" i="1"/>
  <c r="V88" i="1" s="1"/>
  <c r="L88" i="1"/>
  <c r="P87" i="1"/>
  <c r="V87" i="1" s="1"/>
  <c r="L87" i="1"/>
  <c r="P86" i="1"/>
  <c r="L86" i="1"/>
  <c r="P85" i="1"/>
  <c r="L85" i="1"/>
  <c r="P84" i="1"/>
  <c r="V84" i="1" s="1"/>
  <c r="L84" i="1"/>
  <c r="P83" i="1"/>
  <c r="V83" i="1" s="1"/>
  <c r="L83" i="1"/>
  <c r="P82" i="1"/>
  <c r="Q82" i="1" s="1"/>
  <c r="R82" i="1" s="1"/>
  <c r="L82" i="1"/>
  <c r="P81" i="1"/>
  <c r="V81" i="1" s="1"/>
  <c r="L81" i="1"/>
  <c r="P80" i="1"/>
  <c r="V80" i="1" s="1"/>
  <c r="L80" i="1"/>
  <c r="P79" i="1"/>
  <c r="V79" i="1" s="1"/>
  <c r="L79" i="1"/>
  <c r="P78" i="1"/>
  <c r="L78" i="1"/>
  <c r="P77" i="1"/>
  <c r="L77" i="1"/>
  <c r="P76" i="1"/>
  <c r="L76" i="1"/>
  <c r="P75" i="1"/>
  <c r="Q75" i="1" s="1"/>
  <c r="R75" i="1" s="1"/>
  <c r="L75" i="1"/>
  <c r="P74" i="1"/>
  <c r="Q74" i="1" s="1"/>
  <c r="R74" i="1" s="1"/>
  <c r="V74" i="1" s="1"/>
  <c r="L74" i="1"/>
  <c r="P73" i="1"/>
  <c r="L73" i="1"/>
  <c r="P72" i="1"/>
  <c r="Q72" i="1" s="1"/>
  <c r="R72" i="1" s="1"/>
  <c r="V72" i="1" s="1"/>
  <c r="L72" i="1"/>
  <c r="P71" i="1"/>
  <c r="Q71" i="1" s="1"/>
  <c r="R71" i="1" s="1"/>
  <c r="L71" i="1"/>
  <c r="P70" i="1"/>
  <c r="Q70" i="1" s="1"/>
  <c r="R70" i="1" s="1"/>
  <c r="V70" i="1" s="1"/>
  <c r="L70" i="1"/>
  <c r="P69" i="1"/>
  <c r="L69" i="1"/>
  <c r="P68" i="1"/>
  <c r="Q68" i="1" s="1"/>
  <c r="R68" i="1" s="1"/>
  <c r="V68" i="1" s="1"/>
  <c r="L68" i="1"/>
  <c r="P67" i="1"/>
  <c r="L67" i="1"/>
  <c r="P66" i="1"/>
  <c r="V66" i="1" s="1"/>
  <c r="L66" i="1"/>
  <c r="P65" i="1"/>
  <c r="Q65" i="1" s="1"/>
  <c r="R65" i="1" s="1"/>
  <c r="L65" i="1"/>
  <c r="P64" i="1"/>
  <c r="L64" i="1"/>
  <c r="P63" i="1"/>
  <c r="L63" i="1"/>
  <c r="P62" i="1"/>
  <c r="L62" i="1"/>
  <c r="P61" i="1"/>
  <c r="V61" i="1" s="1"/>
  <c r="L61" i="1"/>
  <c r="P60" i="1"/>
  <c r="Q60" i="1" s="1"/>
  <c r="R60" i="1" s="1"/>
  <c r="V60" i="1" s="1"/>
  <c r="L60" i="1"/>
  <c r="P59" i="1"/>
  <c r="V59" i="1" s="1"/>
  <c r="L59" i="1"/>
  <c r="P58" i="1"/>
  <c r="V58" i="1" s="1"/>
  <c r="L58" i="1"/>
  <c r="P57" i="1"/>
  <c r="L57" i="1"/>
  <c r="F57" i="1"/>
  <c r="P56" i="1"/>
  <c r="V56" i="1" s="1"/>
  <c r="L56" i="1"/>
  <c r="P55" i="1"/>
  <c r="V55" i="1" s="1"/>
  <c r="L55" i="1"/>
  <c r="P54" i="1"/>
  <c r="V54" i="1" s="1"/>
  <c r="L54" i="1"/>
  <c r="P53" i="1"/>
  <c r="V53" i="1" s="1"/>
  <c r="L53" i="1"/>
  <c r="P52" i="1"/>
  <c r="V52" i="1" s="1"/>
  <c r="L52" i="1"/>
  <c r="P51" i="1"/>
  <c r="V51" i="1" s="1"/>
  <c r="L51" i="1"/>
  <c r="P50" i="1"/>
  <c r="V50" i="1" s="1"/>
  <c r="L50" i="1"/>
  <c r="P49" i="1"/>
  <c r="V49" i="1" s="1"/>
  <c r="L49" i="1"/>
  <c r="P48" i="1"/>
  <c r="L48" i="1"/>
  <c r="P47" i="1"/>
  <c r="L47" i="1"/>
  <c r="P46" i="1"/>
  <c r="L46" i="1"/>
  <c r="P45" i="1"/>
  <c r="L45" i="1"/>
  <c r="P44" i="1"/>
  <c r="V44" i="1" s="1"/>
  <c r="L44" i="1"/>
  <c r="P43" i="1"/>
  <c r="L43" i="1"/>
  <c r="P42" i="1"/>
  <c r="L42" i="1"/>
  <c r="P41" i="1"/>
  <c r="Q41" i="1" s="1"/>
  <c r="R41" i="1" s="1"/>
  <c r="L41" i="1"/>
  <c r="P40" i="1"/>
  <c r="Q40" i="1" s="1"/>
  <c r="R40" i="1" s="1"/>
  <c r="V40" i="1" s="1"/>
  <c r="L40" i="1"/>
  <c r="P39" i="1"/>
  <c r="L39" i="1"/>
  <c r="P38" i="1"/>
  <c r="L38" i="1"/>
  <c r="P37" i="1"/>
  <c r="L37" i="1"/>
  <c r="P36" i="1"/>
  <c r="V36" i="1" s="1"/>
  <c r="L36" i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V27" i="1" s="1"/>
  <c r="L27" i="1"/>
  <c r="P26" i="1"/>
  <c r="L26" i="1"/>
  <c r="P25" i="1"/>
  <c r="L25" i="1"/>
  <c r="P24" i="1"/>
  <c r="V24" i="1" s="1"/>
  <c r="L24" i="1"/>
  <c r="P23" i="1"/>
  <c r="L23" i="1"/>
  <c r="P22" i="1"/>
  <c r="L22" i="1"/>
  <c r="P21" i="1"/>
  <c r="L21" i="1"/>
  <c r="P20" i="1"/>
  <c r="V20" i="1" s="1"/>
  <c r="L20" i="1"/>
  <c r="P19" i="1"/>
  <c r="L19" i="1"/>
  <c r="P18" i="1"/>
  <c r="L18" i="1"/>
  <c r="P17" i="1"/>
  <c r="V17" i="1" s="1"/>
  <c r="L17" i="1"/>
  <c r="P16" i="1"/>
  <c r="L16" i="1"/>
  <c r="P15" i="1"/>
  <c r="Q15" i="1" s="1"/>
  <c r="R15" i="1" s="1"/>
  <c r="L15" i="1"/>
  <c r="P14" i="1"/>
  <c r="Q14" i="1" s="1"/>
  <c r="L14" i="1"/>
  <c r="P13" i="1"/>
  <c r="L13" i="1"/>
  <c r="P12" i="1"/>
  <c r="Q12" i="1" s="1"/>
  <c r="R12" i="1" s="1"/>
  <c r="V12" i="1" s="1"/>
  <c r="L12" i="1"/>
  <c r="P11" i="1"/>
  <c r="V11" i="1" s="1"/>
  <c r="L11" i="1"/>
  <c r="P10" i="1"/>
  <c r="V10" i="1" s="1"/>
  <c r="L10" i="1"/>
  <c r="P9" i="1"/>
  <c r="V9" i="1" s="1"/>
  <c r="L9" i="1"/>
  <c r="P8" i="1"/>
  <c r="V8" i="1" s="1"/>
  <c r="L8" i="1"/>
  <c r="P7" i="1"/>
  <c r="L7" i="1"/>
  <c r="P6" i="1"/>
  <c r="V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E5" i="1"/>
  <c r="AI12" i="1" l="1"/>
  <c r="AI40" i="1"/>
  <c r="W57" i="1"/>
  <c r="AI65" i="1"/>
  <c r="V65" i="1"/>
  <c r="AI71" i="1"/>
  <c r="V71" i="1"/>
  <c r="AI75" i="1"/>
  <c r="V75" i="1"/>
  <c r="AI82" i="1"/>
  <c r="V82" i="1"/>
  <c r="W89" i="1"/>
  <c r="V89" i="1"/>
  <c r="W92" i="1"/>
  <c r="V92" i="1"/>
  <c r="W93" i="1"/>
  <c r="V93" i="1"/>
  <c r="W94" i="1"/>
  <c r="V94" i="1"/>
  <c r="AI101" i="1"/>
  <c r="V101" i="1"/>
  <c r="AI60" i="1"/>
  <c r="AI68" i="1"/>
  <c r="AI70" i="1"/>
  <c r="AI72" i="1"/>
  <c r="AI74" i="1"/>
  <c r="V15" i="1"/>
  <c r="AI15" i="1"/>
  <c r="AI41" i="1"/>
  <c r="V41" i="1"/>
  <c r="V14" i="1"/>
  <c r="W9" i="1"/>
  <c r="Q9" i="1"/>
  <c r="W15" i="1"/>
  <c r="Q18" i="1"/>
  <c r="R18" i="1" s="1"/>
  <c r="Q22" i="1"/>
  <c r="R22" i="1" s="1"/>
  <c r="Q26" i="1"/>
  <c r="R26" i="1" s="1"/>
  <c r="Q30" i="1"/>
  <c r="R30" i="1" s="1"/>
  <c r="Q34" i="1"/>
  <c r="R34" i="1" s="1"/>
  <c r="Q39" i="1"/>
  <c r="R39" i="1" s="1"/>
  <c r="W42" i="1"/>
  <c r="Q42" i="1"/>
  <c r="R42" i="1" s="1"/>
  <c r="Q45" i="1"/>
  <c r="R45" i="1" s="1"/>
  <c r="W52" i="1"/>
  <c r="Q57" i="1"/>
  <c r="R57" i="1" s="1"/>
  <c r="AI57" i="1" s="1"/>
  <c r="W62" i="1"/>
  <c r="Q62" i="1"/>
  <c r="R62" i="1" s="1"/>
  <c r="W68" i="1"/>
  <c r="W78" i="1"/>
  <c r="Q78" i="1"/>
  <c r="R78" i="1" s="1"/>
  <c r="L5" i="1"/>
  <c r="W7" i="1"/>
  <c r="Q7" i="1"/>
  <c r="R7" i="1" s="1"/>
  <c r="W17" i="1"/>
  <c r="Q28" i="1"/>
  <c r="R28" i="1" s="1"/>
  <c r="Q32" i="1"/>
  <c r="R32" i="1" s="1"/>
  <c r="Q37" i="1"/>
  <c r="R37" i="1" s="1"/>
  <c r="W44" i="1"/>
  <c r="Q47" i="1"/>
  <c r="R47" i="1" s="1"/>
  <c r="W50" i="1"/>
  <c r="W60" i="1"/>
  <c r="Q63" i="1"/>
  <c r="R63" i="1" s="1"/>
  <c r="W70" i="1"/>
  <c r="Q73" i="1"/>
  <c r="R73" i="1" s="1"/>
  <c r="W76" i="1"/>
  <c r="Q76" i="1"/>
  <c r="R76" i="1" s="1"/>
  <c r="Q79" i="1"/>
  <c r="W84" i="1"/>
  <c r="W86" i="1"/>
  <c r="Q86" i="1"/>
  <c r="R86" i="1" s="1"/>
  <c r="Q97" i="1"/>
  <c r="R97" i="1" s="1"/>
  <c r="Q99" i="1"/>
  <c r="R99" i="1" s="1"/>
  <c r="W102" i="1"/>
  <c r="W11" i="1"/>
  <c r="W13" i="1"/>
  <c r="Q13" i="1"/>
  <c r="R13" i="1" s="1"/>
  <c r="Q16" i="1"/>
  <c r="R16" i="1" s="1"/>
  <c r="W19" i="1"/>
  <c r="Q19" i="1"/>
  <c r="R19" i="1" s="1"/>
  <c r="W21" i="1"/>
  <c r="Q21" i="1"/>
  <c r="R21" i="1" s="1"/>
  <c r="W23" i="1"/>
  <c r="Q23" i="1"/>
  <c r="R23" i="1" s="1"/>
  <c r="W25" i="1"/>
  <c r="Q25" i="1"/>
  <c r="R25" i="1" s="1"/>
  <c r="W27" i="1"/>
  <c r="W29" i="1"/>
  <c r="Q29" i="1"/>
  <c r="R29" i="1" s="1"/>
  <c r="W31" i="1"/>
  <c r="Q31" i="1"/>
  <c r="R31" i="1" s="1"/>
  <c r="W33" i="1"/>
  <c r="Q33" i="1"/>
  <c r="R33" i="1" s="1"/>
  <c r="W35" i="1"/>
  <c r="Q35" i="1"/>
  <c r="R35" i="1" s="1"/>
  <c r="W38" i="1"/>
  <c r="Q38" i="1"/>
  <c r="R38" i="1" s="1"/>
  <c r="W40" i="1"/>
  <c r="Q43" i="1"/>
  <c r="R43" i="1" s="1"/>
  <c r="W46" i="1"/>
  <c r="Q46" i="1"/>
  <c r="R46" i="1" s="1"/>
  <c r="W48" i="1"/>
  <c r="Q48" i="1"/>
  <c r="R48" i="1" s="1"/>
  <c r="W54" i="1"/>
  <c r="W56" i="1"/>
  <c r="W64" i="1"/>
  <c r="Q64" i="1"/>
  <c r="R64" i="1" s="1"/>
  <c r="W66" i="1"/>
  <c r="Q67" i="1"/>
  <c r="R67" i="1" s="1"/>
  <c r="Q69" i="1"/>
  <c r="R69" i="1" s="1"/>
  <c r="W72" i="1"/>
  <c r="W74" i="1"/>
  <c r="Q77" i="1"/>
  <c r="R77" i="1" s="1"/>
  <c r="W80" i="1"/>
  <c r="W82" i="1"/>
  <c r="Q85" i="1"/>
  <c r="R85" i="1" s="1"/>
  <c r="W88" i="1"/>
  <c r="W90" i="1"/>
  <c r="W95" i="1"/>
  <c r="Q95" i="1"/>
  <c r="R95" i="1" s="1"/>
  <c r="W98" i="1"/>
  <c r="Q98" i="1"/>
  <c r="R98" i="1" s="1"/>
  <c r="W100" i="1"/>
  <c r="Q103" i="1"/>
  <c r="R103" i="1" s="1"/>
  <c r="F5" i="1"/>
  <c r="P5" i="1"/>
  <c r="W20" i="1"/>
  <c r="W22" i="1"/>
  <c r="W24" i="1"/>
  <c r="W26" i="1"/>
  <c r="W28" i="1"/>
  <c r="W30" i="1"/>
  <c r="W32" i="1"/>
  <c r="W34" i="1"/>
  <c r="W36" i="1"/>
  <c r="W58" i="1"/>
  <c r="W96" i="1"/>
  <c r="W6" i="1"/>
  <c r="W8" i="1"/>
  <c r="W10" i="1"/>
  <c r="W12" i="1"/>
  <c r="W14" i="1"/>
  <c r="W16" i="1"/>
  <c r="W18" i="1"/>
  <c r="W37" i="1"/>
  <c r="W39" i="1"/>
  <c r="W41" i="1"/>
  <c r="W43" i="1"/>
  <c r="W45" i="1"/>
  <c r="W47" i="1"/>
  <c r="W49" i="1"/>
  <c r="W51" i="1"/>
  <c r="W53" i="1"/>
  <c r="W55" i="1"/>
  <c r="W59" i="1"/>
  <c r="W61" i="1"/>
  <c r="W63" i="1"/>
  <c r="W65" i="1"/>
  <c r="W67" i="1"/>
  <c r="W69" i="1"/>
  <c r="W71" i="1"/>
  <c r="W73" i="1"/>
  <c r="W75" i="1"/>
  <c r="W77" i="1"/>
  <c r="W79" i="1"/>
  <c r="W81" i="1"/>
  <c r="W83" i="1"/>
  <c r="W85" i="1"/>
  <c r="W87" i="1"/>
  <c r="W91" i="1"/>
  <c r="W97" i="1"/>
  <c r="W99" i="1"/>
  <c r="W101" i="1"/>
  <c r="W103" i="1"/>
  <c r="V103" i="1" l="1"/>
  <c r="AI103" i="1"/>
  <c r="AI98" i="1"/>
  <c r="V98" i="1"/>
  <c r="V95" i="1"/>
  <c r="AI95" i="1"/>
  <c r="AI85" i="1"/>
  <c r="V85" i="1"/>
  <c r="AI69" i="1"/>
  <c r="V69" i="1"/>
  <c r="AI25" i="1"/>
  <c r="V25" i="1"/>
  <c r="AI23" i="1"/>
  <c r="V23" i="1"/>
  <c r="AI21" i="1"/>
  <c r="V21" i="1"/>
  <c r="V19" i="1"/>
  <c r="AI19" i="1"/>
  <c r="V16" i="1"/>
  <c r="AI16" i="1"/>
  <c r="AI97" i="1"/>
  <c r="V97" i="1"/>
  <c r="AI47" i="1"/>
  <c r="V47" i="1"/>
  <c r="AI37" i="1"/>
  <c r="V37" i="1"/>
  <c r="V28" i="1"/>
  <c r="AI28" i="1"/>
  <c r="V7" i="1"/>
  <c r="AI7" i="1"/>
  <c r="R5" i="1"/>
  <c r="V62" i="1"/>
  <c r="AI62" i="1"/>
  <c r="AI45" i="1"/>
  <c r="V45" i="1"/>
  <c r="V34" i="1"/>
  <c r="AI34" i="1"/>
  <c r="V26" i="1"/>
  <c r="AI26" i="1"/>
  <c r="V18" i="1"/>
  <c r="AI18" i="1"/>
  <c r="V57" i="1"/>
  <c r="AI77" i="1"/>
  <c r="V77" i="1"/>
  <c r="AI67" i="1"/>
  <c r="V67" i="1"/>
  <c r="V64" i="1"/>
  <c r="AI64" i="1"/>
  <c r="V48" i="1"/>
  <c r="AI48" i="1"/>
  <c r="V46" i="1"/>
  <c r="AI46" i="1"/>
  <c r="AI43" i="1"/>
  <c r="V43" i="1"/>
  <c r="V38" i="1"/>
  <c r="AI38" i="1"/>
  <c r="V35" i="1"/>
  <c r="AI35" i="1"/>
  <c r="AI33" i="1"/>
  <c r="V33" i="1"/>
  <c r="AI31" i="1"/>
  <c r="V31" i="1"/>
  <c r="AI29" i="1"/>
  <c r="V29" i="1"/>
  <c r="AI13" i="1"/>
  <c r="V13" i="1"/>
  <c r="V99" i="1"/>
  <c r="AI99" i="1"/>
  <c r="AI86" i="1"/>
  <c r="V86" i="1"/>
  <c r="V76" i="1"/>
  <c r="AI76" i="1"/>
  <c r="AI73" i="1"/>
  <c r="V73" i="1"/>
  <c r="AI63" i="1"/>
  <c r="V63" i="1"/>
  <c r="V32" i="1"/>
  <c r="AI32" i="1"/>
  <c r="V78" i="1"/>
  <c r="AI78" i="1"/>
  <c r="V42" i="1"/>
  <c r="AI42" i="1"/>
  <c r="AI39" i="1"/>
  <c r="V39" i="1"/>
  <c r="V30" i="1"/>
  <c r="AI30" i="1"/>
  <c r="V22" i="1"/>
  <c r="AI22" i="1"/>
  <c r="Q5" i="1"/>
  <c r="AI5" i="1" l="1"/>
</calcChain>
</file>

<file path=xl/sharedStrings.xml><?xml version="1.0" encoding="utf-8"?>
<sst xmlns="http://schemas.openxmlformats.org/spreadsheetml/2006/main" count="402" uniqueCount="164">
  <si>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</si>
  <si>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</si>
  <si>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</si>
  <si>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</si>
  <si>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</si>
  <si>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</si>
  <si>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</si>
  <si>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</si>
  <si>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</si>
  <si>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</si>
  <si>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</si>
  <si>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</si>
  <si>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</si>
  <si>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</si>
  <si>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</si>
  <si>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</si>
  <si>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</si>
  <si>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</si>
  <si>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</si>
  <si>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</si>
  <si>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</si>
  <si>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</si>
  <si>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</si>
  <si>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</si>
  <si>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</si>
  <si>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</si>
  <si>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</si>
  <si>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</si>
  <si>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</si>
  <si>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</si>
  <si>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</si>
  <si>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</si>
  <si>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</si>
  <si>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</si>
  <si>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</si>
  <si>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</si>
  <si>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</si>
  <si>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</si>
  <si>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</si>
  <si>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</si>
  <si>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нужно увеличить продажи / плюсом 5 дней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</si>
  <si>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</si>
  <si>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</si>
  <si>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</si>
  <si>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</si>
  <si>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</si>
  <si>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</si>
  <si>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</si>
  <si>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</si>
  <si>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</si>
  <si>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</si>
  <si>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</si>
  <si>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</si>
  <si>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</si>
  <si>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</si>
  <si>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</si>
  <si>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</si>
  <si>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</si>
  <si>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</si>
  <si>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</si>
  <si>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</si>
  <si>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</si>
  <si>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</si>
  <si>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</si>
  <si>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</si>
  <si>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</si>
  <si>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</si>
  <si>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</si>
  <si>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</si>
  <si>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</si>
  <si>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</si>
  <si>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</si>
  <si>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</si>
  <si>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</si>
  <si>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</si>
  <si>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</si>
  <si>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</si>
  <si>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</si>
  <si>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нужно увеличить продажи!!!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</si>
  <si>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</si>
  <si>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</si>
  <si>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</si>
  <si>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</si>
  <si>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</si>
  <si>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</si>
  <si>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</si>
  <si>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</si>
  <si>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</si>
  <si>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</si>
  <si>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</si>
  <si>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</si>
  <si>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</si>
  <si>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</si>
  <si>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</si>
  <si>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</si>
  <si>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</si>
  <si>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</si>
  <si>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</si>
  <si>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</si>
  <si>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</si>
  <si>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</si>
  <si>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</si>
  <si>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</si>
  <si>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</si>
  <si>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</si>
  <si>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</si>
  <si>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</si>
  <si>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</si>
  <si>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</si>
  <si>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</si>
  <si>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</si>
  <si>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</si>
  <si>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</si>
  <si>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нужно увеличить продажи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</si>
  <si>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</si>
  <si>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</si>
  <si>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</si>
  <si>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</si>
  <si>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</si>
  <si>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</si>
  <si>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</si>
  <si>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</si>
  <si>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</si>
  <si>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</si>
  <si>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</si>
  <si>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</si>
  <si>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</si>
  <si>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</si>
  <si>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</si>
  <si>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</si>
  <si>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</si>
  <si>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</si>
  <si>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</si>
  <si>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</si>
  <si>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</si>
  <si>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</si>
  <si>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</si>
  <si>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</si>
  <si>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</si>
  <si>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</si>
  <si>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</si>
  <si>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</si>
  <si>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</si>
  <si>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</si>
  <si>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</si>
  <si>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</si>
  <si>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</si>
  <si>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</si>
  <si>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</si>
  <si>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</si>
  <si>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</si>
  <si>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</si>
  <si>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</si>
  <si>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</si>
  <si>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Главторг</t>
    </r>
  </si>
  <si>
    <t>нужно увеличить продажи / 90 кг в уценку 30,06,26</t>
  </si>
  <si>
    <t>нужно увеличить продажи / новинка</t>
  </si>
  <si>
    <t>ТК</t>
  </si>
  <si>
    <t>Чепрасова</t>
  </si>
  <si>
    <t xml:space="preserve">Задача для ТП, ММЛ </t>
  </si>
  <si>
    <t>заказ</t>
  </si>
  <si>
    <t>14,09,</t>
  </si>
  <si>
    <t>14,09,доз-сети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</si>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</sst>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0" fontId="0" fillId="0" borderId="0" xfId="0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7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0" fontId="0" fillId="0" borderId="0" xfId="0" applyFill="1" applyBorder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6" activePane="bottomRight" state="frozen"/>
      <selection pane="topRight"/>
      <selection pane="bottomLeft"/>
      <selection pane="bottomRight" activeCell="U74" sqref="U74"/>
    </sheetView>
  </sheetViews>
  <sheetFormatPr defaultRowHeight="15" x14ac:dyDescent="0.25"/>
  <cols>
    <col min="1" max="1" width="60" style="5" customWidth="1"/>
    <col min="2" max="2" width="3" style="5" customWidth="1"/>
    <col min="3" max="4" width="6" style="5" customWidth="1"/>
    <col min="5" max="6" width="7" style="5" customWidth="1"/>
    <col min="7" max="7" width="5" style="6" customWidth="1"/>
    <col min="8" max="8" width="5" style="5" customWidth="1"/>
    <col min="9" max="9" width="12" style="5" customWidth="1"/>
    <col min="10" max="10" width="1" style="5" customWidth="1"/>
    <col min="11" max="12" width="7" style="5" customWidth="1"/>
    <col min="13" max="14" width="0.42578125" style="5" customWidth="1"/>
    <col min="15" max="17" width="7" style="5" customWidth="1"/>
    <col min="18" max="18" width="10.85546875" style="5" customWidth="1"/>
    <col min="19" max="19" width="7" style="5" customWidth="1"/>
    <col min="20" max="20" width="7" style="24" customWidth="1"/>
    <col min="21" max="21" width="18.85546875" style="24" customWidth="1"/>
    <col min="22" max="23" width="5" style="5" customWidth="1"/>
    <col min="24" max="33" width="6" style="5" customWidth="1"/>
    <col min="34" max="34" width="40.28515625" style="5" customWidth="1"/>
    <col min="35" max="35" width="7" style="5" customWidth="1"/>
    <col min="36" max="52" width="3" style="5" customWidth="1"/>
  </cols>
  <sheetData>
    <row r="1" spans="1:52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spans="1:52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20" t="s">
        <v>163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160</v>
      </c>
      <c r="S3" s="2" t="s">
        <v>160</v>
      </c>
      <c r="T3" s="2" t="s">
        <v>157</v>
      </c>
      <c r="U3" s="2"/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22</v>
      </c>
      <c r="Q4" s="10"/>
      <c r="R4" s="10" t="s">
        <v>161</v>
      </c>
      <c r="S4" s="10" t="s">
        <v>162</v>
      </c>
      <c r="T4" s="10" t="s">
        <v>158</v>
      </c>
      <c r="U4" s="10"/>
      <c r="V4" s="10"/>
      <c r="W4" s="10"/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spans="1:52" x14ac:dyDescent="0.25">
      <c r="A5" s="10"/>
      <c r="B5" s="10"/>
      <c r="C5" s="10"/>
      <c r="D5" s="10"/>
      <c r="E5" s="3">
        <f>SUM(E6:E498)</f>
        <v>14906.907000000001</v>
      </c>
      <c r="F5" s="3">
        <f>SUM(F6:F498)</f>
        <v>16029.48</v>
      </c>
      <c r="G5" s="7"/>
      <c r="H5" s="10"/>
      <c r="I5" s="10"/>
      <c r="J5" s="10"/>
      <c r="K5" s="3">
        <f t="shared" ref="K5:R5" si="0">SUM(K6:K498)</f>
        <v>15563.075000000001</v>
      </c>
      <c r="L5" s="3">
        <f t="shared" si="0"/>
        <v>-656.16799999999967</v>
      </c>
      <c r="M5" s="3">
        <f t="shared" si="0"/>
        <v>0</v>
      </c>
      <c r="N5" s="3">
        <f t="shared" si="0"/>
        <v>0</v>
      </c>
      <c r="O5" s="3">
        <f t="shared" si="0"/>
        <v>11061</v>
      </c>
      <c r="P5" s="3">
        <f t="shared" si="0"/>
        <v>2981.3814000000002</v>
      </c>
      <c r="Q5" s="3">
        <f t="shared" si="0"/>
        <v>15679.7732</v>
      </c>
      <c r="R5" s="3">
        <f t="shared" si="0"/>
        <v>15905</v>
      </c>
      <c r="S5" s="3">
        <f t="shared" ref="S5" si="1">SUM(S6:S498)</f>
        <v>200</v>
      </c>
      <c r="T5" s="3"/>
      <c r="U5" s="3"/>
      <c r="V5" s="10"/>
      <c r="W5" s="10"/>
      <c r="X5" s="3">
        <f t="shared" ref="X5:AG5" si="2">SUM(X6:X498)</f>
        <v>2662.3456000000001</v>
      </c>
      <c r="Y5" s="3">
        <f t="shared" si="2"/>
        <v>2670.2276000000002</v>
      </c>
      <c r="Z5" s="3">
        <f t="shared" si="2"/>
        <v>3084.7252000000003</v>
      </c>
      <c r="AA5" s="3">
        <f t="shared" si="2"/>
        <v>2390.3494000000005</v>
      </c>
      <c r="AB5" s="3">
        <f t="shared" si="2"/>
        <v>2433.7146000000002</v>
      </c>
      <c r="AC5" s="3">
        <f t="shared" si="2"/>
        <v>2650.7073999999998</v>
      </c>
      <c r="AD5" s="3">
        <f t="shared" si="2"/>
        <v>2188.1986000000002</v>
      </c>
      <c r="AE5" s="3">
        <f t="shared" si="2"/>
        <v>2190.4328</v>
      </c>
      <c r="AF5" s="3">
        <f t="shared" si="2"/>
        <v>2309.525200000001</v>
      </c>
      <c r="AG5" s="3">
        <f t="shared" si="2"/>
        <v>2261.4038</v>
      </c>
      <c r="AH5" s="10"/>
      <c r="AI5" s="3">
        <f>SUM(AI6:AI498)</f>
        <v>8581.159999999998</v>
      </c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spans="1:52" x14ac:dyDescent="0.25">
      <c r="A6" s="10" t="s">
        <v>33</v>
      </c>
      <c r="B6" s="10" t="s">
        <v>34</v>
      </c>
      <c r="C6" s="10"/>
      <c r="D6" s="10"/>
      <c r="E6" s="10"/>
      <c r="F6" s="10"/>
      <c r="G6" s="7">
        <v>1</v>
      </c>
      <c r="H6" s="10">
        <v>120</v>
      </c>
      <c r="I6" s="10" t="s">
        <v>35</v>
      </c>
      <c r="J6" s="10"/>
      <c r="K6" s="10"/>
      <c r="L6" s="10">
        <f t="shared" ref="L6:L37" si="3">E6-K6</f>
        <v>0</v>
      </c>
      <c r="M6" s="10"/>
      <c r="N6" s="10"/>
      <c r="O6" s="10">
        <v>10</v>
      </c>
      <c r="P6" s="10">
        <f t="shared" ref="P6:P37" si="4">E6/5</f>
        <v>0</v>
      </c>
      <c r="Q6" s="4"/>
      <c r="R6" s="4">
        <f>ROUND(Q6,0)</f>
        <v>0</v>
      </c>
      <c r="S6" s="4"/>
      <c r="T6" s="22"/>
      <c r="U6" s="22"/>
      <c r="V6" s="10" t="e">
        <f>(F6+O6+R6)/P6</f>
        <v>#DIV/0!</v>
      </c>
      <c r="W6" s="10" t="e">
        <f t="shared" ref="W6:W37" si="5">(F6+O6)/P6</f>
        <v>#DIV/0!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 t="s">
        <v>36</v>
      </c>
      <c r="AI6" s="10">
        <f>G6*R6</f>
        <v>0</v>
      </c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x14ac:dyDescent="0.25">
      <c r="A7" s="10" t="s">
        <v>37</v>
      </c>
      <c r="B7" s="10" t="s">
        <v>38</v>
      </c>
      <c r="C7" s="10">
        <v>108</v>
      </c>
      <c r="D7" s="10">
        <v>32</v>
      </c>
      <c r="E7" s="10">
        <v>115</v>
      </c>
      <c r="F7" s="10">
        <v>12</v>
      </c>
      <c r="G7" s="7">
        <v>0.4</v>
      </c>
      <c r="H7" s="10">
        <v>60</v>
      </c>
      <c r="I7" s="10" t="s">
        <v>35</v>
      </c>
      <c r="J7" s="10"/>
      <c r="K7" s="10">
        <v>115</v>
      </c>
      <c r="L7" s="10">
        <f t="shared" si="3"/>
        <v>0</v>
      </c>
      <c r="M7" s="10"/>
      <c r="N7" s="10"/>
      <c r="O7" s="10">
        <v>250</v>
      </c>
      <c r="P7" s="10">
        <f t="shared" si="4"/>
        <v>23</v>
      </c>
      <c r="Q7" s="4">
        <f t="shared" ref="Q7:Q35" si="6">14*P7-O7-F7</f>
        <v>60</v>
      </c>
      <c r="R7" s="4">
        <f t="shared" ref="R7:R70" si="7">ROUND(Q7,0)</f>
        <v>60</v>
      </c>
      <c r="S7" s="4"/>
      <c r="T7" s="22"/>
      <c r="U7" s="22"/>
      <c r="V7" s="10">
        <f t="shared" ref="V7:V70" si="8">(F7+O7+R7)/P7</f>
        <v>14</v>
      </c>
      <c r="W7" s="10">
        <f t="shared" si="5"/>
        <v>11.391304347826088</v>
      </c>
      <c r="X7" s="10">
        <v>32.4</v>
      </c>
      <c r="Y7" s="10">
        <v>20.2</v>
      </c>
      <c r="Z7" s="10">
        <v>22.6</v>
      </c>
      <c r="AA7" s="10">
        <v>23.2</v>
      </c>
      <c r="AB7" s="10">
        <v>21.8</v>
      </c>
      <c r="AC7" s="10">
        <v>34.4</v>
      </c>
      <c r="AD7" s="10">
        <v>33.4</v>
      </c>
      <c r="AE7" s="10">
        <v>17.2</v>
      </c>
      <c r="AF7" s="10">
        <v>43.6</v>
      </c>
      <c r="AG7" s="10">
        <v>24.8</v>
      </c>
      <c r="AH7" s="10"/>
      <c r="AI7" s="10">
        <f t="shared" ref="AI7:AI70" si="9">G7*R7</f>
        <v>24</v>
      </c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spans="1:52" x14ac:dyDescent="0.25">
      <c r="A8" s="10" t="s">
        <v>39</v>
      </c>
      <c r="B8" s="10" t="s">
        <v>34</v>
      </c>
      <c r="C8" s="10">
        <v>46.28</v>
      </c>
      <c r="D8" s="10">
        <v>27.847999999999999</v>
      </c>
      <c r="E8" s="10">
        <v>3.9780000000000002</v>
      </c>
      <c r="F8" s="10">
        <v>67.174999999999997</v>
      </c>
      <c r="G8" s="7">
        <v>1</v>
      </c>
      <c r="H8" s="10">
        <v>120</v>
      </c>
      <c r="I8" s="10" t="s">
        <v>35</v>
      </c>
      <c r="J8" s="10"/>
      <c r="K8" s="10">
        <v>4</v>
      </c>
      <c r="L8" s="10">
        <f t="shared" si="3"/>
        <v>-2.1999999999999797E-2</v>
      </c>
      <c r="M8" s="10"/>
      <c r="N8" s="10"/>
      <c r="O8" s="10">
        <v>0</v>
      </c>
      <c r="P8" s="10">
        <f t="shared" si="4"/>
        <v>0.79560000000000008</v>
      </c>
      <c r="Q8" s="4"/>
      <c r="R8" s="4">
        <f t="shared" si="7"/>
        <v>0</v>
      </c>
      <c r="S8" s="4"/>
      <c r="T8" s="22"/>
      <c r="U8" s="22"/>
      <c r="V8" s="10">
        <f t="shared" si="8"/>
        <v>84.433132227249857</v>
      </c>
      <c r="W8" s="10">
        <f t="shared" si="5"/>
        <v>84.433132227249857</v>
      </c>
      <c r="X8" s="10">
        <v>0.99399999999999999</v>
      </c>
      <c r="Y8" s="10">
        <v>2.5045999999999999</v>
      </c>
      <c r="Z8" s="10">
        <v>4.4005999999999998</v>
      </c>
      <c r="AA8" s="10">
        <v>1.4883999999999999</v>
      </c>
      <c r="AB8" s="10">
        <v>3.4176000000000002</v>
      </c>
      <c r="AC8" s="10">
        <v>1.4923999999999999</v>
      </c>
      <c r="AD8" s="10">
        <v>1.8888</v>
      </c>
      <c r="AE8" s="10">
        <v>1.8835999999999999</v>
      </c>
      <c r="AF8" s="10">
        <v>1.478</v>
      </c>
      <c r="AG8" s="10">
        <v>0.86699999999999999</v>
      </c>
      <c r="AH8" s="21" t="s">
        <v>153</v>
      </c>
      <c r="AI8" s="10">
        <f t="shared" si="9"/>
        <v>0</v>
      </c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spans="1:52" x14ac:dyDescent="0.25">
      <c r="A9" s="10" t="s">
        <v>41</v>
      </c>
      <c r="B9" s="10" t="s">
        <v>38</v>
      </c>
      <c r="C9" s="10">
        <v>104</v>
      </c>
      <c r="D9" s="10">
        <v>8</v>
      </c>
      <c r="E9" s="10">
        <v>48</v>
      </c>
      <c r="F9" s="10">
        <v>53</v>
      </c>
      <c r="G9" s="7">
        <v>0.25</v>
      </c>
      <c r="H9" s="10">
        <v>120</v>
      </c>
      <c r="I9" s="10" t="s">
        <v>35</v>
      </c>
      <c r="J9" s="10"/>
      <c r="K9" s="10">
        <v>49</v>
      </c>
      <c r="L9" s="10">
        <f t="shared" si="3"/>
        <v>-1</v>
      </c>
      <c r="M9" s="10"/>
      <c r="N9" s="10"/>
      <c r="O9" s="10">
        <v>50</v>
      </c>
      <c r="P9" s="10">
        <f t="shared" si="4"/>
        <v>9.6</v>
      </c>
      <c r="Q9" s="4">
        <f t="shared" si="6"/>
        <v>31.400000000000006</v>
      </c>
      <c r="R9" s="4">
        <v>100</v>
      </c>
      <c r="S9" s="4"/>
      <c r="T9" s="22">
        <v>100</v>
      </c>
      <c r="U9" s="10" t="s">
        <v>159</v>
      </c>
      <c r="V9" s="10">
        <f t="shared" si="8"/>
        <v>21.145833333333336</v>
      </c>
      <c r="W9" s="10">
        <f t="shared" si="5"/>
        <v>10.729166666666668</v>
      </c>
      <c r="X9" s="10">
        <v>7.2</v>
      </c>
      <c r="Y9" s="10">
        <v>10.4</v>
      </c>
      <c r="Z9" s="10">
        <v>12.6</v>
      </c>
      <c r="AA9" s="10">
        <v>8.4</v>
      </c>
      <c r="AB9" s="10">
        <v>11.4</v>
      </c>
      <c r="AC9" s="10">
        <v>13.6</v>
      </c>
      <c r="AD9" s="10">
        <v>8.1999999999999993</v>
      </c>
      <c r="AE9" s="10">
        <v>10.199999999999999</v>
      </c>
      <c r="AF9" s="10">
        <v>7</v>
      </c>
      <c r="AG9" s="10">
        <v>11.4</v>
      </c>
      <c r="AH9" s="10" t="s">
        <v>42</v>
      </c>
      <c r="AI9" s="10">
        <f t="shared" si="9"/>
        <v>25</v>
      </c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spans="1:52" x14ac:dyDescent="0.25">
      <c r="A10" s="10" t="s">
        <v>43</v>
      </c>
      <c r="B10" s="10" t="s">
        <v>34</v>
      </c>
      <c r="C10" s="10">
        <v>1549.78</v>
      </c>
      <c r="D10" s="10"/>
      <c r="E10" s="10">
        <v>490.92500000000001</v>
      </c>
      <c r="F10" s="10">
        <v>996.96900000000005</v>
      </c>
      <c r="G10" s="7">
        <v>1</v>
      </c>
      <c r="H10" s="10">
        <v>60</v>
      </c>
      <c r="I10" s="10" t="s">
        <v>35</v>
      </c>
      <c r="J10" s="10"/>
      <c r="K10" s="10">
        <v>481.3</v>
      </c>
      <c r="L10" s="10">
        <f t="shared" si="3"/>
        <v>9.625</v>
      </c>
      <c r="M10" s="10"/>
      <c r="N10" s="10"/>
      <c r="O10" s="10">
        <v>1301</v>
      </c>
      <c r="P10" s="10">
        <f t="shared" si="4"/>
        <v>98.185000000000002</v>
      </c>
      <c r="Q10" s="4"/>
      <c r="R10" s="4">
        <f t="shared" si="7"/>
        <v>0</v>
      </c>
      <c r="S10" s="4"/>
      <c r="T10" s="22"/>
      <c r="U10" s="22"/>
      <c r="V10" s="10">
        <f t="shared" si="8"/>
        <v>23.404481336252992</v>
      </c>
      <c r="W10" s="10">
        <f t="shared" si="5"/>
        <v>23.404481336252992</v>
      </c>
      <c r="X10" s="10">
        <v>188.5754</v>
      </c>
      <c r="Y10" s="10">
        <v>112.44499999999999</v>
      </c>
      <c r="Z10" s="10">
        <v>197.815</v>
      </c>
      <c r="AA10" s="10">
        <v>137.0042</v>
      </c>
      <c r="AB10" s="10">
        <v>134.93719999999999</v>
      </c>
      <c r="AC10" s="10">
        <v>131.2398</v>
      </c>
      <c r="AD10" s="10">
        <v>130.73500000000001</v>
      </c>
      <c r="AE10" s="10">
        <v>106.291</v>
      </c>
      <c r="AF10" s="10">
        <v>127.9742</v>
      </c>
      <c r="AG10" s="10">
        <v>158.0384</v>
      </c>
      <c r="AH10" s="20" t="s">
        <v>113</v>
      </c>
      <c r="AI10" s="10">
        <f t="shared" si="9"/>
        <v>0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2" x14ac:dyDescent="0.25">
      <c r="A11" s="10" t="s">
        <v>44</v>
      </c>
      <c r="B11" s="10" t="s">
        <v>34</v>
      </c>
      <c r="C11" s="10">
        <v>136.68</v>
      </c>
      <c r="D11" s="10"/>
      <c r="E11" s="10">
        <v>25.582999999999998</v>
      </c>
      <c r="F11" s="10">
        <v>108.574</v>
      </c>
      <c r="G11" s="7">
        <v>1</v>
      </c>
      <c r="H11" s="10">
        <v>120</v>
      </c>
      <c r="I11" s="10" t="s">
        <v>35</v>
      </c>
      <c r="J11" s="10"/>
      <c r="K11" s="10">
        <v>25.6</v>
      </c>
      <c r="L11" s="10">
        <f t="shared" si="3"/>
        <v>-1.7000000000003013E-2</v>
      </c>
      <c r="M11" s="10"/>
      <c r="N11" s="10"/>
      <c r="O11" s="10">
        <v>0</v>
      </c>
      <c r="P11" s="10">
        <f t="shared" si="4"/>
        <v>5.1166</v>
      </c>
      <c r="Q11" s="4"/>
      <c r="R11" s="4">
        <f t="shared" si="7"/>
        <v>0</v>
      </c>
      <c r="S11" s="4"/>
      <c r="T11" s="22"/>
      <c r="U11" s="22"/>
      <c r="V11" s="10">
        <f t="shared" si="8"/>
        <v>21.219950748543955</v>
      </c>
      <c r="W11" s="10">
        <f t="shared" si="5"/>
        <v>21.219950748543955</v>
      </c>
      <c r="X11" s="10">
        <v>4.2884000000000002</v>
      </c>
      <c r="Y11" s="10">
        <v>2.2122000000000002</v>
      </c>
      <c r="Z11" s="10">
        <v>12.5686</v>
      </c>
      <c r="AA11" s="10">
        <v>1.1908000000000001</v>
      </c>
      <c r="AB11" s="10">
        <v>6.0011999999999999</v>
      </c>
      <c r="AC11" s="10">
        <v>5.9808000000000003</v>
      </c>
      <c r="AD11" s="10">
        <v>1.9032</v>
      </c>
      <c r="AE11" s="10">
        <v>4.1360000000000001</v>
      </c>
      <c r="AF11" s="10">
        <v>5.2065999999999999</v>
      </c>
      <c r="AG11" s="10">
        <v>5.0554000000000006</v>
      </c>
      <c r="AH11" s="21" t="s">
        <v>40</v>
      </c>
      <c r="AI11" s="10">
        <f t="shared" si="9"/>
        <v>0</v>
      </c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spans="1:52" x14ac:dyDescent="0.25">
      <c r="A12" s="10" t="s">
        <v>45</v>
      </c>
      <c r="B12" s="10" t="s">
        <v>34</v>
      </c>
      <c r="C12" s="10">
        <v>385.18</v>
      </c>
      <c r="D12" s="10">
        <v>182.31899999999999</v>
      </c>
      <c r="E12" s="10">
        <v>292.35300000000001</v>
      </c>
      <c r="F12" s="10">
        <v>260.81099999999998</v>
      </c>
      <c r="G12" s="7">
        <v>1</v>
      </c>
      <c r="H12" s="10">
        <v>60</v>
      </c>
      <c r="I12" s="9" t="s">
        <v>46</v>
      </c>
      <c r="J12" s="10"/>
      <c r="K12" s="10">
        <v>286.39999999999998</v>
      </c>
      <c r="L12" s="10">
        <f t="shared" si="3"/>
        <v>5.9530000000000314</v>
      </c>
      <c r="M12" s="10"/>
      <c r="N12" s="10"/>
      <c r="O12" s="10">
        <v>0</v>
      </c>
      <c r="P12" s="10">
        <f t="shared" si="4"/>
        <v>58.470600000000005</v>
      </c>
      <c r="Q12" s="4">
        <f>12*P12-O12-F12</f>
        <v>440.83620000000013</v>
      </c>
      <c r="R12" s="4">
        <f t="shared" si="7"/>
        <v>441</v>
      </c>
      <c r="S12" s="4"/>
      <c r="T12" s="22"/>
      <c r="U12" s="22"/>
      <c r="V12" s="10">
        <f t="shared" si="8"/>
        <v>12.002801407887038</v>
      </c>
      <c r="W12" s="10">
        <f t="shared" si="5"/>
        <v>4.4605494043160148</v>
      </c>
      <c r="X12" s="10">
        <v>29.0534</v>
      </c>
      <c r="Y12" s="10">
        <v>45.863799999999998</v>
      </c>
      <c r="Z12" s="10">
        <v>58.744199999999999</v>
      </c>
      <c r="AA12" s="10">
        <v>34.620800000000003</v>
      </c>
      <c r="AB12" s="10">
        <v>39.8292</v>
      </c>
      <c r="AC12" s="10">
        <v>35.140799999999999</v>
      </c>
      <c r="AD12" s="10">
        <v>33.511200000000002</v>
      </c>
      <c r="AE12" s="10">
        <v>35.875999999999998</v>
      </c>
      <c r="AF12" s="10">
        <v>29.587199999999999</v>
      </c>
      <c r="AG12" s="10">
        <v>41.221200000000003</v>
      </c>
      <c r="AH12" s="10" t="s">
        <v>47</v>
      </c>
      <c r="AI12" s="10">
        <f t="shared" si="9"/>
        <v>441</v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 spans="1:52" x14ac:dyDescent="0.25">
      <c r="A13" s="10" t="s">
        <v>48</v>
      </c>
      <c r="B13" s="10" t="s">
        <v>34</v>
      </c>
      <c r="C13" s="10">
        <v>377.71800000000002</v>
      </c>
      <c r="D13" s="10">
        <v>302.94099999999997</v>
      </c>
      <c r="E13" s="10">
        <v>310.12200000000001</v>
      </c>
      <c r="F13" s="10">
        <v>325.18</v>
      </c>
      <c r="G13" s="7">
        <v>1</v>
      </c>
      <c r="H13" s="10">
        <v>60</v>
      </c>
      <c r="I13" s="10" t="s">
        <v>35</v>
      </c>
      <c r="J13" s="10"/>
      <c r="K13" s="10">
        <v>302.95</v>
      </c>
      <c r="L13" s="10">
        <f t="shared" si="3"/>
        <v>7.1720000000000255</v>
      </c>
      <c r="M13" s="10"/>
      <c r="N13" s="10"/>
      <c r="O13" s="10">
        <v>81</v>
      </c>
      <c r="P13" s="10">
        <f t="shared" si="4"/>
        <v>62.0244</v>
      </c>
      <c r="Q13" s="4">
        <f t="shared" si="6"/>
        <v>462.16159999999996</v>
      </c>
      <c r="R13" s="4">
        <f t="shared" si="7"/>
        <v>462</v>
      </c>
      <c r="S13" s="4"/>
      <c r="T13" s="22"/>
      <c r="U13" s="22"/>
      <c r="V13" s="10">
        <f t="shared" si="8"/>
        <v>13.997394573748396</v>
      </c>
      <c r="W13" s="10">
        <f t="shared" si="5"/>
        <v>6.5487130871076547</v>
      </c>
      <c r="X13" s="10">
        <v>49.931800000000003</v>
      </c>
      <c r="Y13" s="10">
        <v>53.7774</v>
      </c>
      <c r="Z13" s="10">
        <v>54.776000000000003</v>
      </c>
      <c r="AA13" s="10">
        <v>52.153200000000012</v>
      </c>
      <c r="AB13" s="10">
        <v>61.439399999999999</v>
      </c>
      <c r="AC13" s="10">
        <v>52.1158</v>
      </c>
      <c r="AD13" s="10">
        <v>47.906799999999997</v>
      </c>
      <c r="AE13" s="10">
        <v>52.508600000000001</v>
      </c>
      <c r="AF13" s="10">
        <v>44.505399999999987</v>
      </c>
      <c r="AG13" s="10">
        <v>67.460999999999999</v>
      </c>
      <c r="AH13" s="10"/>
      <c r="AI13" s="10">
        <f t="shared" si="9"/>
        <v>462</v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pans="1:52" x14ac:dyDescent="0.25">
      <c r="A14" s="10" t="s">
        <v>49</v>
      </c>
      <c r="B14" s="10" t="s">
        <v>38</v>
      </c>
      <c r="C14" s="10">
        <v>90</v>
      </c>
      <c r="D14" s="10"/>
      <c r="E14" s="10">
        <v>82</v>
      </c>
      <c r="F14" s="10">
        <v>1</v>
      </c>
      <c r="G14" s="7">
        <v>0.25</v>
      </c>
      <c r="H14" s="10">
        <v>120</v>
      </c>
      <c r="I14" s="10" t="s">
        <v>35</v>
      </c>
      <c r="J14" s="10"/>
      <c r="K14" s="10">
        <v>82</v>
      </c>
      <c r="L14" s="10">
        <f t="shared" si="3"/>
        <v>0</v>
      </c>
      <c r="M14" s="10"/>
      <c r="N14" s="10"/>
      <c r="O14" s="10">
        <v>50</v>
      </c>
      <c r="P14" s="10">
        <f t="shared" si="4"/>
        <v>16.399999999999999</v>
      </c>
      <c r="Q14" s="4">
        <f>11*P14-O14-F14</f>
        <v>129.39999999999998</v>
      </c>
      <c r="R14" s="4">
        <v>170</v>
      </c>
      <c r="S14" s="4"/>
      <c r="T14" s="22">
        <v>170</v>
      </c>
      <c r="U14" s="10" t="s">
        <v>159</v>
      </c>
      <c r="V14" s="10">
        <f t="shared" si="8"/>
        <v>13.475609756097562</v>
      </c>
      <c r="W14" s="10">
        <f t="shared" si="5"/>
        <v>3.1097560975609757</v>
      </c>
      <c r="X14" s="10">
        <v>9.1999999999999993</v>
      </c>
      <c r="Y14" s="10">
        <v>7.2</v>
      </c>
      <c r="Z14" s="10">
        <v>11.8</v>
      </c>
      <c r="AA14" s="10">
        <v>8.6</v>
      </c>
      <c r="AB14" s="10">
        <v>10.6</v>
      </c>
      <c r="AC14" s="10">
        <v>12.4</v>
      </c>
      <c r="AD14" s="10">
        <v>14.4</v>
      </c>
      <c r="AE14" s="10">
        <v>15.4</v>
      </c>
      <c r="AF14" s="10">
        <v>17.399999999999999</v>
      </c>
      <c r="AG14" s="10">
        <v>15.8</v>
      </c>
      <c r="AH14" s="10" t="s">
        <v>42</v>
      </c>
      <c r="AI14" s="10">
        <f t="shared" si="9"/>
        <v>42.5</v>
      </c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2" x14ac:dyDescent="0.25">
      <c r="A15" s="10" t="s">
        <v>50</v>
      </c>
      <c r="B15" s="10" t="s">
        <v>34</v>
      </c>
      <c r="C15" s="10">
        <v>144.16</v>
      </c>
      <c r="D15" s="10">
        <v>49.353999999999999</v>
      </c>
      <c r="E15" s="10">
        <v>118.123</v>
      </c>
      <c r="F15" s="10">
        <v>65.793000000000006</v>
      </c>
      <c r="G15" s="7">
        <v>1</v>
      </c>
      <c r="H15" s="10">
        <v>60</v>
      </c>
      <c r="I15" s="10" t="s">
        <v>35</v>
      </c>
      <c r="J15" s="10"/>
      <c r="K15" s="10">
        <v>114.95</v>
      </c>
      <c r="L15" s="10">
        <f t="shared" si="3"/>
        <v>3.1730000000000018</v>
      </c>
      <c r="M15" s="10"/>
      <c r="N15" s="10"/>
      <c r="O15" s="10">
        <v>59</v>
      </c>
      <c r="P15" s="10">
        <f t="shared" si="4"/>
        <v>23.624600000000001</v>
      </c>
      <c r="Q15" s="4">
        <f>13*P15-O15-F15</f>
        <v>182.32679999999999</v>
      </c>
      <c r="R15" s="4">
        <f t="shared" si="7"/>
        <v>182</v>
      </c>
      <c r="S15" s="4"/>
      <c r="T15" s="22"/>
      <c r="U15" s="22"/>
      <c r="V15" s="10">
        <f t="shared" si="8"/>
        <v>12.986166961557021</v>
      </c>
      <c r="W15" s="10">
        <f t="shared" si="5"/>
        <v>5.2823328225663078</v>
      </c>
      <c r="X15" s="10">
        <v>16.122</v>
      </c>
      <c r="Y15" s="10">
        <v>7.6433999999999997</v>
      </c>
      <c r="Z15" s="10">
        <v>14.446</v>
      </c>
      <c r="AA15" s="10">
        <v>12.6616</v>
      </c>
      <c r="AB15" s="10">
        <v>8.7745999999999995</v>
      </c>
      <c r="AC15" s="10">
        <v>7.3464</v>
      </c>
      <c r="AD15" s="10">
        <v>9.1446000000000005</v>
      </c>
      <c r="AE15" s="10">
        <v>6.1369999999999996</v>
      </c>
      <c r="AF15" s="10">
        <v>15.6576</v>
      </c>
      <c r="AG15" s="10">
        <v>16.722799999999999</v>
      </c>
      <c r="AH15" s="10"/>
      <c r="AI15" s="10">
        <f t="shared" si="9"/>
        <v>182</v>
      </c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 spans="1:52" x14ac:dyDescent="0.25">
      <c r="A16" s="10" t="s">
        <v>51</v>
      </c>
      <c r="B16" s="10" t="s">
        <v>38</v>
      </c>
      <c r="C16" s="10">
        <v>296</v>
      </c>
      <c r="D16" s="10">
        <v>73</v>
      </c>
      <c r="E16" s="10">
        <v>197</v>
      </c>
      <c r="F16" s="10">
        <v>160</v>
      </c>
      <c r="G16" s="7">
        <v>0.25</v>
      </c>
      <c r="H16" s="10">
        <v>120</v>
      </c>
      <c r="I16" s="9" t="s">
        <v>46</v>
      </c>
      <c r="J16" s="10"/>
      <c r="K16" s="10">
        <v>200</v>
      </c>
      <c r="L16" s="10">
        <f t="shared" si="3"/>
        <v>-3</v>
      </c>
      <c r="M16" s="10"/>
      <c r="N16" s="10"/>
      <c r="O16" s="10">
        <v>300</v>
      </c>
      <c r="P16" s="10">
        <f t="shared" si="4"/>
        <v>39.4</v>
      </c>
      <c r="Q16" s="4">
        <f t="shared" si="6"/>
        <v>91.600000000000023</v>
      </c>
      <c r="R16" s="4">
        <f t="shared" si="7"/>
        <v>92</v>
      </c>
      <c r="S16" s="4"/>
      <c r="T16" s="22"/>
      <c r="U16" s="22"/>
      <c r="V16" s="10">
        <f t="shared" si="8"/>
        <v>14.01015228426396</v>
      </c>
      <c r="W16" s="10">
        <f t="shared" si="5"/>
        <v>11.6751269035533</v>
      </c>
      <c r="X16" s="10">
        <v>33</v>
      </c>
      <c r="Y16" s="10">
        <v>38.4</v>
      </c>
      <c r="Z16" s="10">
        <v>24.2</v>
      </c>
      <c r="AA16" s="10">
        <v>15.6</v>
      </c>
      <c r="AB16" s="10">
        <v>29.6</v>
      </c>
      <c r="AC16" s="10">
        <v>22.2</v>
      </c>
      <c r="AD16" s="10">
        <v>26.8</v>
      </c>
      <c r="AE16" s="10">
        <v>19.600000000000001</v>
      </c>
      <c r="AF16" s="10">
        <v>19.8</v>
      </c>
      <c r="AG16" s="10">
        <v>15.4</v>
      </c>
      <c r="AH16" s="10" t="s">
        <v>52</v>
      </c>
      <c r="AI16" s="10">
        <f t="shared" si="9"/>
        <v>23</v>
      </c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x14ac:dyDescent="0.25">
      <c r="A17" s="10" t="s">
        <v>53</v>
      </c>
      <c r="B17" s="10" t="s">
        <v>38</v>
      </c>
      <c r="C17" s="10">
        <v>158</v>
      </c>
      <c r="D17" s="10">
        <v>24</v>
      </c>
      <c r="E17" s="10">
        <v>55</v>
      </c>
      <c r="F17" s="10">
        <v>118</v>
      </c>
      <c r="G17" s="7">
        <v>0.4</v>
      </c>
      <c r="H17" s="10">
        <v>60</v>
      </c>
      <c r="I17" s="10" t="s">
        <v>35</v>
      </c>
      <c r="J17" s="10"/>
      <c r="K17" s="10">
        <v>61</v>
      </c>
      <c r="L17" s="10">
        <f t="shared" si="3"/>
        <v>-6</v>
      </c>
      <c r="M17" s="10"/>
      <c r="N17" s="10"/>
      <c r="O17" s="10">
        <v>110</v>
      </c>
      <c r="P17" s="10">
        <f t="shared" si="4"/>
        <v>11</v>
      </c>
      <c r="Q17" s="4"/>
      <c r="R17" s="4">
        <f t="shared" si="7"/>
        <v>0</v>
      </c>
      <c r="S17" s="4"/>
      <c r="T17" s="22"/>
      <c r="U17" s="22"/>
      <c r="V17" s="10">
        <f t="shared" si="8"/>
        <v>20.727272727272727</v>
      </c>
      <c r="W17" s="10">
        <f t="shared" si="5"/>
        <v>20.727272727272727</v>
      </c>
      <c r="X17" s="10">
        <v>19.600000000000001</v>
      </c>
      <c r="Y17" s="10">
        <v>18.600000000000001</v>
      </c>
      <c r="Z17" s="10">
        <v>22.4</v>
      </c>
      <c r="AA17" s="10">
        <v>16.399999999999999</v>
      </c>
      <c r="AB17" s="10">
        <v>31.4</v>
      </c>
      <c r="AC17" s="10">
        <v>28.8</v>
      </c>
      <c r="AD17" s="10">
        <v>21</v>
      </c>
      <c r="AE17" s="10">
        <v>22.2</v>
      </c>
      <c r="AF17" s="10">
        <v>24.8</v>
      </c>
      <c r="AG17" s="10">
        <v>28.4</v>
      </c>
      <c r="AH17" s="21" t="s">
        <v>113</v>
      </c>
      <c r="AI17" s="10">
        <f t="shared" si="9"/>
        <v>0</v>
      </c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x14ac:dyDescent="0.25">
      <c r="A18" s="10" t="s">
        <v>54</v>
      </c>
      <c r="B18" s="10" t="s">
        <v>34</v>
      </c>
      <c r="C18" s="10">
        <v>683.15</v>
      </c>
      <c r="D18" s="10">
        <v>157.32499999999999</v>
      </c>
      <c r="E18" s="10">
        <v>340.25700000000001</v>
      </c>
      <c r="F18" s="10">
        <v>469.15699999999998</v>
      </c>
      <c r="G18" s="7">
        <v>1</v>
      </c>
      <c r="H18" s="10">
        <v>45</v>
      </c>
      <c r="I18" s="10" t="s">
        <v>35</v>
      </c>
      <c r="J18" s="10"/>
      <c r="K18" s="10">
        <v>333.7</v>
      </c>
      <c r="L18" s="10">
        <f t="shared" si="3"/>
        <v>6.5570000000000164</v>
      </c>
      <c r="M18" s="10"/>
      <c r="N18" s="10"/>
      <c r="O18" s="10">
        <v>0</v>
      </c>
      <c r="P18" s="10">
        <f t="shared" si="4"/>
        <v>68.051400000000001</v>
      </c>
      <c r="Q18" s="4">
        <f t="shared" si="6"/>
        <v>483.56260000000003</v>
      </c>
      <c r="R18" s="4">
        <f t="shared" si="7"/>
        <v>484</v>
      </c>
      <c r="S18" s="4"/>
      <c r="T18" s="22"/>
      <c r="U18" s="22"/>
      <c r="V18" s="10">
        <f t="shared" si="8"/>
        <v>14.006427494511501</v>
      </c>
      <c r="W18" s="10">
        <f t="shared" si="5"/>
        <v>6.8941564758403207</v>
      </c>
      <c r="X18" s="10">
        <v>40.533799999999999</v>
      </c>
      <c r="Y18" s="10">
        <v>50.552799999999998</v>
      </c>
      <c r="Z18" s="10">
        <v>79.149000000000001</v>
      </c>
      <c r="AA18" s="10">
        <v>31.593</v>
      </c>
      <c r="AB18" s="10">
        <v>57.8962</v>
      </c>
      <c r="AC18" s="10">
        <v>45.760599999999997</v>
      </c>
      <c r="AD18" s="10">
        <v>39.785200000000003</v>
      </c>
      <c r="AE18" s="10">
        <v>38.865600000000001</v>
      </c>
      <c r="AF18" s="10">
        <v>68.392799999999994</v>
      </c>
      <c r="AG18" s="10">
        <v>51.933999999999997</v>
      </c>
      <c r="AH18" s="10"/>
      <c r="AI18" s="10">
        <f t="shared" si="9"/>
        <v>484</v>
      </c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 spans="1:52" x14ac:dyDescent="0.25">
      <c r="A19" s="10" t="s">
        <v>55</v>
      </c>
      <c r="B19" s="10" t="s">
        <v>34</v>
      </c>
      <c r="C19" s="10">
        <v>103.31</v>
      </c>
      <c r="D19" s="10"/>
      <c r="E19" s="10">
        <v>59.448</v>
      </c>
      <c r="F19" s="10">
        <v>42.332999999999998</v>
      </c>
      <c r="G19" s="7">
        <v>1</v>
      </c>
      <c r="H19" s="10">
        <v>120</v>
      </c>
      <c r="I19" s="10" t="s">
        <v>35</v>
      </c>
      <c r="J19" s="10"/>
      <c r="K19" s="10">
        <v>59.2</v>
      </c>
      <c r="L19" s="10">
        <f t="shared" si="3"/>
        <v>0.24799999999999756</v>
      </c>
      <c r="M19" s="10"/>
      <c r="N19" s="10"/>
      <c r="O19" s="10">
        <v>25</v>
      </c>
      <c r="P19" s="10">
        <f t="shared" si="4"/>
        <v>11.8896</v>
      </c>
      <c r="Q19" s="4">
        <f t="shared" si="6"/>
        <v>99.121399999999994</v>
      </c>
      <c r="R19" s="4">
        <f t="shared" si="7"/>
        <v>99</v>
      </c>
      <c r="S19" s="4"/>
      <c r="T19" s="22"/>
      <c r="U19" s="22"/>
      <c r="V19" s="10">
        <f t="shared" si="8"/>
        <v>13.989789395774459</v>
      </c>
      <c r="W19" s="10">
        <f t="shared" si="5"/>
        <v>5.6631846319472476</v>
      </c>
      <c r="X19" s="10">
        <v>8.5475999999999992</v>
      </c>
      <c r="Y19" s="10">
        <v>6.8586</v>
      </c>
      <c r="Z19" s="10">
        <v>10.388</v>
      </c>
      <c r="AA19" s="10">
        <v>6.5549999999999997</v>
      </c>
      <c r="AB19" s="10">
        <v>6.0965999999999996</v>
      </c>
      <c r="AC19" s="10">
        <v>6.2720000000000002</v>
      </c>
      <c r="AD19" s="10">
        <v>2.3835999999999999</v>
      </c>
      <c r="AE19" s="10">
        <v>3.8856000000000002</v>
      </c>
      <c r="AF19" s="10">
        <v>5.7060000000000004</v>
      </c>
      <c r="AG19" s="10">
        <v>6.0518000000000001</v>
      </c>
      <c r="AH19" s="10" t="s">
        <v>42</v>
      </c>
      <c r="AI19" s="10">
        <f t="shared" si="9"/>
        <v>99</v>
      </c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0" spans="1:52" x14ac:dyDescent="0.25">
      <c r="A20" s="10" t="s">
        <v>56</v>
      </c>
      <c r="B20" s="10" t="s">
        <v>38</v>
      </c>
      <c r="C20" s="10">
        <v>141</v>
      </c>
      <c r="D20" s="10"/>
      <c r="E20" s="10">
        <v>22</v>
      </c>
      <c r="F20" s="10">
        <v>116</v>
      </c>
      <c r="G20" s="7">
        <v>0.4</v>
      </c>
      <c r="H20" s="10">
        <v>45</v>
      </c>
      <c r="I20" s="10" t="s">
        <v>35</v>
      </c>
      <c r="J20" s="10"/>
      <c r="K20" s="10">
        <v>22</v>
      </c>
      <c r="L20" s="10">
        <f t="shared" si="3"/>
        <v>0</v>
      </c>
      <c r="M20" s="10"/>
      <c r="N20" s="10"/>
      <c r="O20" s="10">
        <v>0</v>
      </c>
      <c r="P20" s="10">
        <f t="shared" si="4"/>
        <v>4.4000000000000004</v>
      </c>
      <c r="Q20" s="4"/>
      <c r="R20" s="4">
        <f t="shared" si="7"/>
        <v>0</v>
      </c>
      <c r="S20" s="4"/>
      <c r="T20" s="22"/>
      <c r="U20" s="22"/>
      <c r="V20" s="10">
        <f t="shared" si="8"/>
        <v>26.36363636363636</v>
      </c>
      <c r="W20" s="10">
        <f t="shared" si="5"/>
        <v>26.36363636363636</v>
      </c>
      <c r="X20" s="10">
        <v>8.4</v>
      </c>
      <c r="Y20" s="10">
        <v>10.4</v>
      </c>
      <c r="Z20" s="10">
        <v>12</v>
      </c>
      <c r="AA20" s="10">
        <v>13.4</v>
      </c>
      <c r="AB20" s="10">
        <v>8.4</v>
      </c>
      <c r="AC20" s="10">
        <v>10.8</v>
      </c>
      <c r="AD20" s="10">
        <v>9.1999999999999993</v>
      </c>
      <c r="AE20" s="10">
        <v>16.600000000000001</v>
      </c>
      <c r="AF20" s="10">
        <v>12.8</v>
      </c>
      <c r="AG20" s="10">
        <v>17.600000000000001</v>
      </c>
      <c r="AH20" s="15" t="s">
        <v>78</v>
      </c>
      <c r="AI20" s="10">
        <f t="shared" si="9"/>
        <v>0</v>
      </c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spans="1:52" x14ac:dyDescent="0.25">
      <c r="A21" s="10" t="s">
        <v>57</v>
      </c>
      <c r="B21" s="10" t="s">
        <v>34</v>
      </c>
      <c r="C21" s="10">
        <v>264.58800000000002</v>
      </c>
      <c r="D21" s="10">
        <v>247.524</v>
      </c>
      <c r="E21" s="10">
        <v>275.73700000000002</v>
      </c>
      <c r="F21" s="10">
        <v>204.613</v>
      </c>
      <c r="G21" s="7">
        <v>1</v>
      </c>
      <c r="H21" s="10">
        <v>60</v>
      </c>
      <c r="I21" s="10" t="s">
        <v>35</v>
      </c>
      <c r="J21" s="10"/>
      <c r="K21" s="10">
        <v>273.45</v>
      </c>
      <c r="L21" s="10">
        <f t="shared" si="3"/>
        <v>2.2870000000000346</v>
      </c>
      <c r="M21" s="10"/>
      <c r="N21" s="10"/>
      <c r="O21" s="10">
        <v>109</v>
      </c>
      <c r="P21" s="10">
        <f t="shared" si="4"/>
        <v>55.147400000000005</v>
      </c>
      <c r="Q21" s="4">
        <f t="shared" si="6"/>
        <v>458.45060000000007</v>
      </c>
      <c r="R21" s="4">
        <f t="shared" si="7"/>
        <v>458</v>
      </c>
      <c r="S21" s="4"/>
      <c r="T21" s="22"/>
      <c r="U21" s="22"/>
      <c r="V21" s="10">
        <f t="shared" si="8"/>
        <v>13.991829170550199</v>
      </c>
      <c r="W21" s="10">
        <f t="shared" si="5"/>
        <v>5.6868138842447689</v>
      </c>
      <c r="X21" s="10">
        <v>40.955800000000004</v>
      </c>
      <c r="Y21" s="10">
        <v>44.343600000000002</v>
      </c>
      <c r="Z21" s="10">
        <v>53.409799999999997</v>
      </c>
      <c r="AA21" s="10">
        <v>29.607600000000001</v>
      </c>
      <c r="AB21" s="10">
        <v>39.871600000000001</v>
      </c>
      <c r="AC21" s="10">
        <v>43.782400000000003</v>
      </c>
      <c r="AD21" s="10">
        <v>35.393999999999998</v>
      </c>
      <c r="AE21" s="10">
        <v>51.526599999999988</v>
      </c>
      <c r="AF21" s="10">
        <v>31.503599999999999</v>
      </c>
      <c r="AG21" s="10">
        <v>52.622599999999998</v>
      </c>
      <c r="AH21" s="10"/>
      <c r="AI21" s="10">
        <f t="shared" si="9"/>
        <v>458</v>
      </c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 spans="1:52" x14ac:dyDescent="0.25">
      <c r="A22" s="10" t="s">
        <v>58</v>
      </c>
      <c r="B22" s="10" t="s">
        <v>38</v>
      </c>
      <c r="C22" s="10">
        <v>474</v>
      </c>
      <c r="D22" s="10">
        <v>601</v>
      </c>
      <c r="E22" s="10">
        <v>503</v>
      </c>
      <c r="F22" s="10">
        <v>526</v>
      </c>
      <c r="G22" s="7">
        <v>0.22</v>
      </c>
      <c r="H22" s="10">
        <v>120</v>
      </c>
      <c r="I22" s="10" t="s">
        <v>35</v>
      </c>
      <c r="J22" s="10"/>
      <c r="K22" s="10">
        <v>512</v>
      </c>
      <c r="L22" s="10">
        <f t="shared" si="3"/>
        <v>-9</v>
      </c>
      <c r="M22" s="10"/>
      <c r="N22" s="10"/>
      <c r="O22" s="10">
        <v>506</v>
      </c>
      <c r="P22" s="10">
        <f t="shared" si="4"/>
        <v>100.6</v>
      </c>
      <c r="Q22" s="4">
        <f t="shared" si="6"/>
        <v>376.39999999999986</v>
      </c>
      <c r="R22" s="4">
        <f t="shared" si="7"/>
        <v>376</v>
      </c>
      <c r="S22" s="4"/>
      <c r="T22" s="22"/>
      <c r="U22" s="22"/>
      <c r="V22" s="10">
        <f t="shared" si="8"/>
        <v>13.996023856858848</v>
      </c>
      <c r="W22" s="10">
        <f t="shared" si="5"/>
        <v>10.258449304174951</v>
      </c>
      <c r="X22" s="10">
        <v>103.8</v>
      </c>
      <c r="Y22" s="10">
        <v>95.4</v>
      </c>
      <c r="Z22" s="10">
        <v>97.4</v>
      </c>
      <c r="AA22" s="10">
        <v>81.8</v>
      </c>
      <c r="AB22" s="10">
        <v>78.400000000000006</v>
      </c>
      <c r="AC22" s="10">
        <v>92.2</v>
      </c>
      <c r="AD22" s="10">
        <v>66.2</v>
      </c>
      <c r="AE22" s="10">
        <v>109.8</v>
      </c>
      <c r="AF22" s="10">
        <v>89.8</v>
      </c>
      <c r="AG22" s="10">
        <v>30.6</v>
      </c>
      <c r="AH22" s="10" t="s">
        <v>42</v>
      </c>
      <c r="AI22" s="10">
        <f t="shared" si="9"/>
        <v>82.72</v>
      </c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x14ac:dyDescent="0.25">
      <c r="A23" s="10" t="s">
        <v>59</v>
      </c>
      <c r="B23" s="10" t="s">
        <v>34</v>
      </c>
      <c r="C23" s="10">
        <v>39.771999999999998</v>
      </c>
      <c r="D23" s="10">
        <v>40.944000000000003</v>
      </c>
      <c r="E23" s="10">
        <v>33.973999999999997</v>
      </c>
      <c r="F23" s="10">
        <v>43.42</v>
      </c>
      <c r="G23" s="7">
        <v>1</v>
      </c>
      <c r="H23" s="10">
        <v>40</v>
      </c>
      <c r="I23" s="10" t="s">
        <v>35</v>
      </c>
      <c r="J23" s="10"/>
      <c r="K23" s="10">
        <v>32.715000000000003</v>
      </c>
      <c r="L23" s="10">
        <f t="shared" si="3"/>
        <v>1.2589999999999932</v>
      </c>
      <c r="M23" s="10"/>
      <c r="N23" s="10"/>
      <c r="O23" s="10">
        <v>25</v>
      </c>
      <c r="P23" s="10">
        <f t="shared" si="4"/>
        <v>6.7947999999999995</v>
      </c>
      <c r="Q23" s="4">
        <f t="shared" si="6"/>
        <v>26.707199999999986</v>
      </c>
      <c r="R23" s="4">
        <f t="shared" si="7"/>
        <v>27</v>
      </c>
      <c r="S23" s="4"/>
      <c r="T23" s="22"/>
      <c r="U23" s="22"/>
      <c r="V23" s="10">
        <f t="shared" si="8"/>
        <v>14.043091776064051</v>
      </c>
      <c r="W23" s="10">
        <f t="shared" si="5"/>
        <v>10.069464884911993</v>
      </c>
      <c r="X23" s="10">
        <v>6.8343999999999996</v>
      </c>
      <c r="Y23" s="10">
        <v>6.0042</v>
      </c>
      <c r="Z23" s="10">
        <v>7.3087999999999997</v>
      </c>
      <c r="AA23" s="10">
        <v>5.0584000000000007</v>
      </c>
      <c r="AB23" s="10">
        <v>-0.33040000000000003</v>
      </c>
      <c r="AC23" s="10">
        <v>8.4344000000000001</v>
      </c>
      <c r="AD23" s="10">
        <v>6.0996000000000006</v>
      </c>
      <c r="AE23" s="10">
        <v>4.2107999999999999</v>
      </c>
      <c r="AF23" s="10">
        <v>8.4651999999999994</v>
      </c>
      <c r="AG23" s="10">
        <v>2.464</v>
      </c>
      <c r="AH23" s="10" t="s">
        <v>60</v>
      </c>
      <c r="AI23" s="10">
        <f t="shared" si="9"/>
        <v>27</v>
      </c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spans="1:52" x14ac:dyDescent="0.25">
      <c r="A24" s="10" t="s">
        <v>61</v>
      </c>
      <c r="B24" s="10" t="s">
        <v>34</v>
      </c>
      <c r="C24" s="10">
        <v>237.65600000000001</v>
      </c>
      <c r="D24" s="10">
        <v>56.478000000000002</v>
      </c>
      <c r="E24" s="10">
        <v>92.301000000000002</v>
      </c>
      <c r="F24" s="10">
        <v>186.054</v>
      </c>
      <c r="G24" s="7">
        <v>1</v>
      </c>
      <c r="H24" s="10">
        <v>60</v>
      </c>
      <c r="I24" s="10" t="s">
        <v>35</v>
      </c>
      <c r="J24" s="10"/>
      <c r="K24" s="10">
        <v>92.25</v>
      </c>
      <c r="L24" s="10">
        <f t="shared" si="3"/>
        <v>5.1000000000001933E-2</v>
      </c>
      <c r="M24" s="10"/>
      <c r="N24" s="10"/>
      <c r="O24" s="10">
        <v>116</v>
      </c>
      <c r="P24" s="10">
        <f t="shared" si="4"/>
        <v>18.4602</v>
      </c>
      <c r="Q24" s="4"/>
      <c r="R24" s="4">
        <f t="shared" si="7"/>
        <v>0</v>
      </c>
      <c r="S24" s="4"/>
      <c r="T24" s="22"/>
      <c r="U24" s="22"/>
      <c r="V24" s="10">
        <f t="shared" si="8"/>
        <v>16.362444610567596</v>
      </c>
      <c r="W24" s="10">
        <f t="shared" si="5"/>
        <v>16.362444610567596</v>
      </c>
      <c r="X24" s="10">
        <v>27.0306</v>
      </c>
      <c r="Y24" s="10">
        <v>24.778199999999998</v>
      </c>
      <c r="Z24" s="10">
        <v>30.382400000000001</v>
      </c>
      <c r="AA24" s="10">
        <v>12.019399999999999</v>
      </c>
      <c r="AB24" s="10">
        <v>32.415799999999997</v>
      </c>
      <c r="AC24" s="10">
        <v>26.765599999999999</v>
      </c>
      <c r="AD24" s="10">
        <v>20.123799999999999</v>
      </c>
      <c r="AE24" s="10">
        <v>23.693999999999999</v>
      </c>
      <c r="AF24" s="10">
        <v>38.83</v>
      </c>
      <c r="AG24" s="10">
        <v>48.142600000000002</v>
      </c>
      <c r="AH24" s="10"/>
      <c r="AI24" s="10">
        <f t="shared" si="9"/>
        <v>0</v>
      </c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spans="1:52" x14ac:dyDescent="0.25">
      <c r="A25" s="10" t="s">
        <v>62</v>
      </c>
      <c r="B25" s="10" t="s">
        <v>38</v>
      </c>
      <c r="C25" s="10">
        <v>579</v>
      </c>
      <c r="D25" s="10"/>
      <c r="E25" s="10">
        <v>283</v>
      </c>
      <c r="F25" s="10">
        <v>264</v>
      </c>
      <c r="G25" s="7">
        <v>0.09</v>
      </c>
      <c r="H25" s="10">
        <v>60</v>
      </c>
      <c r="I25" s="10" t="s">
        <v>35</v>
      </c>
      <c r="J25" s="10"/>
      <c r="K25" s="10">
        <v>292</v>
      </c>
      <c r="L25" s="10">
        <f t="shared" si="3"/>
        <v>-9</v>
      </c>
      <c r="M25" s="10"/>
      <c r="N25" s="10"/>
      <c r="O25" s="10">
        <v>133</v>
      </c>
      <c r="P25" s="10">
        <f t="shared" si="4"/>
        <v>56.6</v>
      </c>
      <c r="Q25" s="4">
        <f t="shared" si="6"/>
        <v>395.4</v>
      </c>
      <c r="R25" s="4">
        <f t="shared" si="7"/>
        <v>395</v>
      </c>
      <c r="S25" s="4"/>
      <c r="T25" s="22"/>
      <c r="U25" s="22"/>
      <c r="V25" s="10">
        <f t="shared" si="8"/>
        <v>13.992932862190813</v>
      </c>
      <c r="W25" s="10">
        <f t="shared" si="5"/>
        <v>7.0141342756183747</v>
      </c>
      <c r="X25" s="10">
        <v>46.8</v>
      </c>
      <c r="Y25" s="10">
        <v>44.8</v>
      </c>
      <c r="Z25" s="10">
        <v>65.599999999999994</v>
      </c>
      <c r="AA25" s="10">
        <v>69</v>
      </c>
      <c r="AB25" s="10">
        <v>42.2</v>
      </c>
      <c r="AC25" s="10">
        <v>62</v>
      </c>
      <c r="AD25" s="10">
        <v>41.8</v>
      </c>
      <c r="AE25" s="10">
        <v>53.6</v>
      </c>
      <c r="AF25" s="10">
        <v>55.6</v>
      </c>
      <c r="AG25" s="10">
        <v>39.799999999999997</v>
      </c>
      <c r="AH25" s="10"/>
      <c r="AI25" s="10">
        <f t="shared" si="9"/>
        <v>35.549999999999997</v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 spans="1:52" x14ac:dyDescent="0.25">
      <c r="A26" s="10" t="s">
        <v>63</v>
      </c>
      <c r="B26" s="10" t="s">
        <v>38</v>
      </c>
      <c r="C26" s="10">
        <v>203</v>
      </c>
      <c r="D26" s="10">
        <v>220</v>
      </c>
      <c r="E26" s="10">
        <v>179</v>
      </c>
      <c r="F26" s="10">
        <v>221</v>
      </c>
      <c r="G26" s="7">
        <v>0.09</v>
      </c>
      <c r="H26" s="10">
        <v>45</v>
      </c>
      <c r="I26" s="9" t="s">
        <v>46</v>
      </c>
      <c r="J26" s="10"/>
      <c r="K26" s="10">
        <v>188</v>
      </c>
      <c r="L26" s="10">
        <f t="shared" si="3"/>
        <v>-9</v>
      </c>
      <c r="M26" s="10"/>
      <c r="N26" s="10"/>
      <c r="O26" s="10">
        <v>100</v>
      </c>
      <c r="P26" s="10">
        <f t="shared" si="4"/>
        <v>35.799999999999997</v>
      </c>
      <c r="Q26" s="4">
        <f t="shared" si="6"/>
        <v>180.19999999999993</v>
      </c>
      <c r="R26" s="4">
        <f t="shared" si="7"/>
        <v>180</v>
      </c>
      <c r="S26" s="4"/>
      <c r="T26" s="22"/>
      <c r="U26" s="22"/>
      <c r="V26" s="10">
        <f t="shared" si="8"/>
        <v>13.994413407821231</v>
      </c>
      <c r="W26" s="10">
        <f t="shared" si="5"/>
        <v>8.9664804469273758</v>
      </c>
      <c r="X26" s="10">
        <v>34.799999999999997</v>
      </c>
      <c r="Y26" s="10">
        <v>39.200000000000003</v>
      </c>
      <c r="Z26" s="10">
        <v>30.8</v>
      </c>
      <c r="AA26" s="10">
        <v>20.6</v>
      </c>
      <c r="AB26" s="10">
        <v>27.4</v>
      </c>
      <c r="AC26" s="10">
        <v>31.8</v>
      </c>
      <c r="AD26" s="10">
        <v>26.2</v>
      </c>
      <c r="AE26" s="10">
        <v>23.6</v>
      </c>
      <c r="AF26" s="10">
        <v>24.4</v>
      </c>
      <c r="AG26" s="10">
        <v>24.8</v>
      </c>
      <c r="AH26" s="10" t="s">
        <v>47</v>
      </c>
      <c r="AI26" s="10">
        <f t="shared" si="9"/>
        <v>16.2</v>
      </c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spans="1:52" x14ac:dyDescent="0.25">
      <c r="A27" s="10" t="s">
        <v>64</v>
      </c>
      <c r="B27" s="10" t="s">
        <v>38</v>
      </c>
      <c r="C27" s="10">
        <v>87</v>
      </c>
      <c r="D27" s="10">
        <v>200</v>
      </c>
      <c r="E27" s="10">
        <v>131</v>
      </c>
      <c r="F27" s="10">
        <v>128</v>
      </c>
      <c r="G27" s="7">
        <v>0.15</v>
      </c>
      <c r="H27" s="10">
        <v>45</v>
      </c>
      <c r="I27" s="10" t="s">
        <v>35</v>
      </c>
      <c r="J27" s="10"/>
      <c r="K27" s="10">
        <v>133</v>
      </c>
      <c r="L27" s="10">
        <f t="shared" si="3"/>
        <v>-2</v>
      </c>
      <c r="M27" s="10"/>
      <c r="N27" s="10"/>
      <c r="O27" s="10">
        <v>239</v>
      </c>
      <c r="P27" s="10">
        <f t="shared" si="4"/>
        <v>26.2</v>
      </c>
      <c r="Q27" s="4"/>
      <c r="R27" s="4">
        <f t="shared" si="7"/>
        <v>0</v>
      </c>
      <c r="S27" s="4"/>
      <c r="T27" s="22"/>
      <c r="U27" s="22"/>
      <c r="V27" s="10">
        <f t="shared" si="8"/>
        <v>14.007633587786261</v>
      </c>
      <c r="W27" s="10">
        <f t="shared" si="5"/>
        <v>14.007633587786261</v>
      </c>
      <c r="X27" s="10">
        <v>35.4</v>
      </c>
      <c r="Y27" s="10">
        <v>32.200000000000003</v>
      </c>
      <c r="Z27" s="10">
        <v>24.6</v>
      </c>
      <c r="AA27" s="10">
        <v>26.2</v>
      </c>
      <c r="AB27" s="10">
        <v>19.600000000000001</v>
      </c>
      <c r="AC27" s="10">
        <v>27.4</v>
      </c>
      <c r="AD27" s="10">
        <v>33.6</v>
      </c>
      <c r="AE27" s="10">
        <v>20.399999999999999</v>
      </c>
      <c r="AF27" s="10">
        <v>21.2</v>
      </c>
      <c r="AG27" s="10">
        <v>31.4</v>
      </c>
      <c r="AH27" s="10"/>
      <c r="AI27" s="10">
        <f t="shared" si="9"/>
        <v>0</v>
      </c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x14ac:dyDescent="0.25">
      <c r="A28" s="10" t="s">
        <v>65</v>
      </c>
      <c r="B28" s="10" t="s">
        <v>34</v>
      </c>
      <c r="C28" s="10">
        <v>828.29</v>
      </c>
      <c r="D28" s="10">
        <v>240.48699999999999</v>
      </c>
      <c r="E28" s="10">
        <v>379.57</v>
      </c>
      <c r="F28" s="10">
        <v>647.29399999999998</v>
      </c>
      <c r="G28" s="7">
        <v>1</v>
      </c>
      <c r="H28" s="10">
        <v>45</v>
      </c>
      <c r="I28" s="10" t="s">
        <v>35</v>
      </c>
      <c r="J28" s="10"/>
      <c r="K28" s="10">
        <v>352.2</v>
      </c>
      <c r="L28" s="10">
        <f t="shared" si="3"/>
        <v>27.370000000000005</v>
      </c>
      <c r="M28" s="10"/>
      <c r="N28" s="10"/>
      <c r="O28" s="10">
        <v>221</v>
      </c>
      <c r="P28" s="10">
        <f t="shared" si="4"/>
        <v>75.914000000000001</v>
      </c>
      <c r="Q28" s="4">
        <f t="shared" si="6"/>
        <v>194.50200000000007</v>
      </c>
      <c r="R28" s="4">
        <f t="shared" si="7"/>
        <v>195</v>
      </c>
      <c r="S28" s="4"/>
      <c r="T28" s="22"/>
      <c r="U28" s="22"/>
      <c r="V28" s="10">
        <f t="shared" si="8"/>
        <v>14.006560054798848</v>
      </c>
      <c r="W28" s="10">
        <f t="shared" si="5"/>
        <v>11.437863898622124</v>
      </c>
      <c r="X28" s="10">
        <v>85.097200000000001</v>
      </c>
      <c r="Y28" s="10">
        <v>86.089399999999998</v>
      </c>
      <c r="Z28" s="10">
        <v>101.1476</v>
      </c>
      <c r="AA28" s="10">
        <v>72.8874</v>
      </c>
      <c r="AB28" s="10">
        <v>74.640999999999991</v>
      </c>
      <c r="AC28" s="10">
        <v>69.128200000000007</v>
      </c>
      <c r="AD28" s="10">
        <v>44.8872</v>
      </c>
      <c r="AE28" s="10">
        <v>61.028599999999997</v>
      </c>
      <c r="AF28" s="10">
        <v>80.06280000000001</v>
      </c>
      <c r="AG28" s="10">
        <v>71.776199999999989</v>
      </c>
      <c r="AH28" s="10"/>
      <c r="AI28" s="10">
        <f t="shared" si="9"/>
        <v>195</v>
      </c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spans="1:52" x14ac:dyDescent="0.25">
      <c r="A29" s="10" t="s">
        <v>66</v>
      </c>
      <c r="B29" s="10" t="s">
        <v>38</v>
      </c>
      <c r="C29" s="10">
        <v>479</v>
      </c>
      <c r="D29" s="10">
        <v>57</v>
      </c>
      <c r="E29" s="10">
        <v>183</v>
      </c>
      <c r="F29" s="10">
        <v>340</v>
      </c>
      <c r="G29" s="7">
        <v>0.4</v>
      </c>
      <c r="H29" s="10">
        <v>60</v>
      </c>
      <c r="I29" s="10" t="s">
        <v>35</v>
      </c>
      <c r="J29" s="10"/>
      <c r="K29" s="10">
        <v>188</v>
      </c>
      <c r="L29" s="10">
        <f t="shared" si="3"/>
        <v>-5</v>
      </c>
      <c r="M29" s="10"/>
      <c r="N29" s="10"/>
      <c r="O29" s="10">
        <v>0</v>
      </c>
      <c r="P29" s="10">
        <f t="shared" si="4"/>
        <v>36.6</v>
      </c>
      <c r="Q29" s="4">
        <f t="shared" si="6"/>
        <v>172.39999999999998</v>
      </c>
      <c r="R29" s="4">
        <f t="shared" si="7"/>
        <v>172</v>
      </c>
      <c r="S29" s="4"/>
      <c r="T29" s="22"/>
      <c r="U29" s="22"/>
      <c r="V29" s="10">
        <f t="shared" si="8"/>
        <v>13.989071038251366</v>
      </c>
      <c r="W29" s="10">
        <f t="shared" si="5"/>
        <v>9.2896174863387966</v>
      </c>
      <c r="X29" s="10">
        <v>33.4</v>
      </c>
      <c r="Y29" s="10">
        <v>46.4</v>
      </c>
      <c r="Z29" s="10">
        <v>43.2</v>
      </c>
      <c r="AA29" s="10">
        <v>44.2</v>
      </c>
      <c r="AB29" s="10">
        <v>37.4</v>
      </c>
      <c r="AC29" s="10">
        <v>47.6</v>
      </c>
      <c r="AD29" s="10">
        <v>25.8</v>
      </c>
      <c r="AE29" s="10">
        <v>56.8</v>
      </c>
      <c r="AF29" s="10">
        <v>29.8</v>
      </c>
      <c r="AG29" s="10">
        <v>17.2</v>
      </c>
      <c r="AH29" s="10" t="s">
        <v>47</v>
      </c>
      <c r="AI29" s="10">
        <f t="shared" si="9"/>
        <v>68.8</v>
      </c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spans="1:52" x14ac:dyDescent="0.25">
      <c r="A30" s="10" t="s">
        <v>67</v>
      </c>
      <c r="B30" s="10" t="s">
        <v>38</v>
      </c>
      <c r="C30" s="10">
        <v>524</v>
      </c>
      <c r="D30" s="10">
        <v>1</v>
      </c>
      <c r="E30" s="10">
        <v>302</v>
      </c>
      <c r="F30" s="10">
        <v>195</v>
      </c>
      <c r="G30" s="7">
        <v>0.4</v>
      </c>
      <c r="H30" s="10">
        <v>60</v>
      </c>
      <c r="I30" s="9" t="s">
        <v>46</v>
      </c>
      <c r="J30" s="10"/>
      <c r="K30" s="10">
        <v>308</v>
      </c>
      <c r="L30" s="10">
        <f t="shared" si="3"/>
        <v>-6</v>
      </c>
      <c r="M30" s="10"/>
      <c r="N30" s="10"/>
      <c r="O30" s="10">
        <v>228</v>
      </c>
      <c r="P30" s="10">
        <f t="shared" si="4"/>
        <v>60.4</v>
      </c>
      <c r="Q30" s="4">
        <f t="shared" si="6"/>
        <v>422.6</v>
      </c>
      <c r="R30" s="4">
        <f t="shared" si="7"/>
        <v>423</v>
      </c>
      <c r="S30" s="4"/>
      <c r="T30" s="22"/>
      <c r="U30" s="22"/>
      <c r="V30" s="10">
        <f t="shared" si="8"/>
        <v>14.006622516556291</v>
      </c>
      <c r="W30" s="10">
        <f t="shared" si="5"/>
        <v>7.0033112582781456</v>
      </c>
      <c r="X30" s="10">
        <v>48.8</v>
      </c>
      <c r="Y30" s="10">
        <v>45</v>
      </c>
      <c r="Z30" s="10">
        <v>32</v>
      </c>
      <c r="AA30" s="10">
        <v>37.200000000000003</v>
      </c>
      <c r="AB30" s="10">
        <v>30.4</v>
      </c>
      <c r="AC30" s="10">
        <v>43</v>
      </c>
      <c r="AD30" s="10">
        <v>48</v>
      </c>
      <c r="AE30" s="10">
        <v>44.6</v>
      </c>
      <c r="AF30" s="10">
        <v>38.799999999999997</v>
      </c>
      <c r="AG30" s="10">
        <v>49.6</v>
      </c>
      <c r="AH30" s="10" t="s">
        <v>47</v>
      </c>
      <c r="AI30" s="10">
        <f t="shared" si="9"/>
        <v>169.20000000000002</v>
      </c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spans="1:52" x14ac:dyDescent="0.25">
      <c r="A31" s="10" t="s">
        <v>68</v>
      </c>
      <c r="B31" s="10" t="s">
        <v>38</v>
      </c>
      <c r="C31" s="10">
        <v>92</v>
      </c>
      <c r="D31" s="10">
        <v>320</v>
      </c>
      <c r="E31" s="10">
        <v>196</v>
      </c>
      <c r="F31" s="10">
        <v>188</v>
      </c>
      <c r="G31" s="7">
        <v>0.4</v>
      </c>
      <c r="H31" s="10">
        <v>60</v>
      </c>
      <c r="I31" s="9" t="s">
        <v>46</v>
      </c>
      <c r="J31" s="10"/>
      <c r="K31" s="10">
        <v>344</v>
      </c>
      <c r="L31" s="10">
        <f t="shared" si="3"/>
        <v>-148</v>
      </c>
      <c r="M31" s="10"/>
      <c r="N31" s="10"/>
      <c r="O31" s="10">
        <v>166</v>
      </c>
      <c r="P31" s="10">
        <f t="shared" si="4"/>
        <v>39.200000000000003</v>
      </c>
      <c r="Q31" s="4">
        <f t="shared" si="6"/>
        <v>194.80000000000007</v>
      </c>
      <c r="R31" s="4">
        <f t="shared" si="7"/>
        <v>195</v>
      </c>
      <c r="S31" s="4"/>
      <c r="T31" s="22"/>
      <c r="U31" s="22"/>
      <c r="V31" s="10">
        <f t="shared" si="8"/>
        <v>14.005102040816325</v>
      </c>
      <c r="W31" s="10">
        <f t="shared" si="5"/>
        <v>9.0306122448979593</v>
      </c>
      <c r="X31" s="10">
        <v>37.799999999999997</v>
      </c>
      <c r="Y31" s="10">
        <v>42.8</v>
      </c>
      <c r="Z31" s="10">
        <v>27.4</v>
      </c>
      <c r="AA31" s="10">
        <v>24.2</v>
      </c>
      <c r="AB31" s="10">
        <v>34.799999999999997</v>
      </c>
      <c r="AC31" s="10">
        <v>44.6</v>
      </c>
      <c r="AD31" s="10">
        <v>41.4</v>
      </c>
      <c r="AE31" s="10">
        <v>37.799999999999997</v>
      </c>
      <c r="AF31" s="10">
        <v>59.2</v>
      </c>
      <c r="AG31" s="10">
        <v>34.6</v>
      </c>
      <c r="AH31" s="10" t="s">
        <v>47</v>
      </c>
      <c r="AI31" s="10">
        <f t="shared" si="9"/>
        <v>78</v>
      </c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spans="1:52" x14ac:dyDescent="0.25">
      <c r="A32" s="10" t="s">
        <v>69</v>
      </c>
      <c r="B32" s="10" t="s">
        <v>38</v>
      </c>
      <c r="C32" s="10">
        <v>334</v>
      </c>
      <c r="D32" s="10">
        <v>1</v>
      </c>
      <c r="E32" s="10">
        <v>136</v>
      </c>
      <c r="F32" s="10">
        <v>184</v>
      </c>
      <c r="G32" s="7">
        <v>0.3</v>
      </c>
      <c r="H32" s="10">
        <v>45</v>
      </c>
      <c r="I32" s="10" t="s">
        <v>35</v>
      </c>
      <c r="J32" s="10"/>
      <c r="K32" s="10">
        <v>149</v>
      </c>
      <c r="L32" s="10">
        <f t="shared" si="3"/>
        <v>-13</v>
      </c>
      <c r="M32" s="10"/>
      <c r="N32" s="10"/>
      <c r="O32" s="10">
        <v>0</v>
      </c>
      <c r="P32" s="10">
        <f t="shared" si="4"/>
        <v>27.2</v>
      </c>
      <c r="Q32" s="4">
        <f t="shared" si="6"/>
        <v>196.8</v>
      </c>
      <c r="R32" s="4">
        <f t="shared" si="7"/>
        <v>197</v>
      </c>
      <c r="S32" s="4"/>
      <c r="T32" s="22"/>
      <c r="U32" s="22"/>
      <c r="V32" s="10">
        <f t="shared" si="8"/>
        <v>14.007352941176471</v>
      </c>
      <c r="W32" s="10">
        <f t="shared" si="5"/>
        <v>6.7647058823529411</v>
      </c>
      <c r="X32" s="10">
        <v>16.399999999999999</v>
      </c>
      <c r="Y32" s="10">
        <v>22.4</v>
      </c>
      <c r="Z32" s="10">
        <v>36</v>
      </c>
      <c r="AA32" s="10">
        <v>27.2</v>
      </c>
      <c r="AB32" s="10">
        <v>20.2</v>
      </c>
      <c r="AC32" s="10">
        <v>26.8</v>
      </c>
      <c r="AD32" s="10">
        <v>20.399999999999999</v>
      </c>
      <c r="AE32" s="10">
        <v>27</v>
      </c>
      <c r="AF32" s="10">
        <v>11.8</v>
      </c>
      <c r="AG32" s="10">
        <v>16</v>
      </c>
      <c r="AH32" s="10"/>
      <c r="AI32" s="10">
        <f t="shared" si="9"/>
        <v>59.099999999999994</v>
      </c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spans="1:52" x14ac:dyDescent="0.25">
      <c r="A33" s="10" t="s">
        <v>70</v>
      </c>
      <c r="B33" s="10" t="s">
        <v>34</v>
      </c>
      <c r="C33" s="10">
        <v>147.506</v>
      </c>
      <c r="D33" s="10">
        <v>88.763000000000005</v>
      </c>
      <c r="E33" s="10">
        <v>70.442999999999998</v>
      </c>
      <c r="F33" s="10">
        <v>151.50700000000001</v>
      </c>
      <c r="G33" s="7">
        <v>1</v>
      </c>
      <c r="H33" s="10">
        <v>60</v>
      </c>
      <c r="I33" s="10" t="s">
        <v>35</v>
      </c>
      <c r="J33" s="10"/>
      <c r="K33" s="10">
        <v>72</v>
      </c>
      <c r="L33" s="10">
        <f t="shared" si="3"/>
        <v>-1.5570000000000022</v>
      </c>
      <c r="M33" s="10"/>
      <c r="N33" s="10"/>
      <c r="O33" s="10">
        <v>25</v>
      </c>
      <c r="P33" s="10">
        <f t="shared" si="4"/>
        <v>14.0886</v>
      </c>
      <c r="Q33" s="4">
        <f t="shared" si="6"/>
        <v>20.733399999999989</v>
      </c>
      <c r="R33" s="4">
        <f t="shared" si="7"/>
        <v>21</v>
      </c>
      <c r="S33" s="4"/>
      <c r="T33" s="22"/>
      <c r="U33" s="22"/>
      <c r="V33" s="10">
        <f t="shared" si="8"/>
        <v>14.018923100946866</v>
      </c>
      <c r="W33" s="10">
        <f t="shared" si="5"/>
        <v>12.528356259670941</v>
      </c>
      <c r="X33" s="10">
        <v>16.861599999999999</v>
      </c>
      <c r="Y33" s="10">
        <v>19.841200000000001</v>
      </c>
      <c r="Z33" s="10">
        <v>21.473199999999999</v>
      </c>
      <c r="AA33" s="10">
        <v>16.648800000000001</v>
      </c>
      <c r="AB33" s="10">
        <v>18.3598</v>
      </c>
      <c r="AC33" s="10">
        <v>19.619599999999998</v>
      </c>
      <c r="AD33" s="10">
        <v>17.6358</v>
      </c>
      <c r="AE33" s="10">
        <v>18.295000000000002</v>
      </c>
      <c r="AF33" s="10">
        <v>17.577000000000002</v>
      </c>
      <c r="AG33" s="10">
        <v>25.6296</v>
      </c>
      <c r="AH33" s="10"/>
      <c r="AI33" s="10">
        <f t="shared" si="9"/>
        <v>21</v>
      </c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spans="1:52" x14ac:dyDescent="0.25">
      <c r="A34" s="10" t="s">
        <v>71</v>
      </c>
      <c r="B34" s="10" t="s">
        <v>34</v>
      </c>
      <c r="C34" s="10">
        <v>162.26900000000001</v>
      </c>
      <c r="D34" s="10">
        <v>34.747</v>
      </c>
      <c r="E34" s="10">
        <v>83.793999999999997</v>
      </c>
      <c r="F34" s="10">
        <v>106.352</v>
      </c>
      <c r="G34" s="7">
        <v>1</v>
      </c>
      <c r="H34" s="10">
        <v>45</v>
      </c>
      <c r="I34" s="10" t="s">
        <v>35</v>
      </c>
      <c r="J34" s="10"/>
      <c r="K34" s="10">
        <v>82.3</v>
      </c>
      <c r="L34" s="10">
        <f t="shared" si="3"/>
        <v>1.4939999999999998</v>
      </c>
      <c r="M34" s="10"/>
      <c r="N34" s="10"/>
      <c r="O34" s="10">
        <v>0</v>
      </c>
      <c r="P34" s="10">
        <f t="shared" si="4"/>
        <v>16.758800000000001</v>
      </c>
      <c r="Q34" s="4">
        <f t="shared" si="6"/>
        <v>128.27119999999999</v>
      </c>
      <c r="R34" s="4">
        <f t="shared" si="7"/>
        <v>128</v>
      </c>
      <c r="S34" s="4"/>
      <c r="T34" s="22"/>
      <c r="U34" s="22"/>
      <c r="V34" s="10">
        <f t="shared" si="8"/>
        <v>13.983817457097166</v>
      </c>
      <c r="W34" s="10">
        <f t="shared" si="5"/>
        <v>6.3460390958779866</v>
      </c>
      <c r="X34" s="10">
        <v>9.6164000000000005</v>
      </c>
      <c r="Y34" s="10">
        <v>15.4948</v>
      </c>
      <c r="Z34" s="10">
        <v>17.491800000000001</v>
      </c>
      <c r="AA34" s="10">
        <v>8.7322000000000006</v>
      </c>
      <c r="AB34" s="10">
        <v>19.025200000000002</v>
      </c>
      <c r="AC34" s="10">
        <v>11.681800000000001</v>
      </c>
      <c r="AD34" s="10">
        <v>9.6796000000000006</v>
      </c>
      <c r="AE34" s="10">
        <v>10.3604</v>
      </c>
      <c r="AF34" s="10">
        <v>23.97</v>
      </c>
      <c r="AG34" s="10">
        <v>23.713999999999999</v>
      </c>
      <c r="AH34" s="10"/>
      <c r="AI34" s="10">
        <f t="shared" si="9"/>
        <v>128</v>
      </c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x14ac:dyDescent="0.25">
      <c r="A35" s="10" t="s">
        <v>72</v>
      </c>
      <c r="B35" s="10" t="s">
        <v>34</v>
      </c>
      <c r="C35" s="10">
        <v>226.09</v>
      </c>
      <c r="D35" s="10">
        <v>40.643999999999998</v>
      </c>
      <c r="E35" s="10">
        <v>100.386</v>
      </c>
      <c r="F35" s="10">
        <v>156.13900000000001</v>
      </c>
      <c r="G35" s="7">
        <v>1</v>
      </c>
      <c r="H35" s="10">
        <v>45</v>
      </c>
      <c r="I35" s="10" t="s">
        <v>35</v>
      </c>
      <c r="J35" s="10"/>
      <c r="K35" s="10">
        <v>99</v>
      </c>
      <c r="L35" s="10">
        <f t="shared" si="3"/>
        <v>1.3859999999999957</v>
      </c>
      <c r="M35" s="10"/>
      <c r="N35" s="10"/>
      <c r="O35" s="10">
        <v>0</v>
      </c>
      <c r="P35" s="10">
        <f t="shared" si="4"/>
        <v>20.077199999999998</v>
      </c>
      <c r="Q35" s="4">
        <f t="shared" si="6"/>
        <v>124.94179999999994</v>
      </c>
      <c r="R35" s="4">
        <f t="shared" si="7"/>
        <v>125</v>
      </c>
      <c r="S35" s="4"/>
      <c r="T35" s="22"/>
      <c r="U35" s="22"/>
      <c r="V35" s="10">
        <f t="shared" si="8"/>
        <v>14.00289881059112</v>
      </c>
      <c r="W35" s="10">
        <f t="shared" si="5"/>
        <v>7.7769310461618169</v>
      </c>
      <c r="X35" s="10">
        <v>11.674799999999999</v>
      </c>
      <c r="Y35" s="10">
        <v>20.364000000000001</v>
      </c>
      <c r="Z35" s="10">
        <v>26.2212</v>
      </c>
      <c r="AA35" s="10">
        <v>18.284400000000002</v>
      </c>
      <c r="AB35" s="10">
        <v>23.627800000000001</v>
      </c>
      <c r="AC35" s="10">
        <v>16.767800000000001</v>
      </c>
      <c r="AD35" s="10">
        <v>13.041600000000001</v>
      </c>
      <c r="AE35" s="10">
        <v>26.402999999999999</v>
      </c>
      <c r="AF35" s="10">
        <v>21.489599999999999</v>
      </c>
      <c r="AG35" s="10">
        <v>29.615600000000001</v>
      </c>
      <c r="AH35" s="10"/>
      <c r="AI35" s="10">
        <f t="shared" si="9"/>
        <v>125</v>
      </c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spans="1:52" x14ac:dyDescent="0.25">
      <c r="A36" s="11" t="s">
        <v>73</v>
      </c>
      <c r="B36" s="11" t="s">
        <v>38</v>
      </c>
      <c r="C36" s="11"/>
      <c r="D36" s="11">
        <v>296</v>
      </c>
      <c r="E36" s="11">
        <v>57</v>
      </c>
      <c r="F36" s="11">
        <v>239</v>
      </c>
      <c r="G36" s="12">
        <v>0</v>
      </c>
      <c r="H36" s="11"/>
      <c r="I36" s="14" t="s">
        <v>74</v>
      </c>
      <c r="J36" s="11"/>
      <c r="K36" s="11">
        <v>131</v>
      </c>
      <c r="L36" s="11">
        <f t="shared" si="3"/>
        <v>-74</v>
      </c>
      <c r="M36" s="11"/>
      <c r="N36" s="11"/>
      <c r="O36" s="11">
        <v>0</v>
      </c>
      <c r="P36" s="11">
        <f t="shared" si="4"/>
        <v>11.4</v>
      </c>
      <c r="Q36" s="13"/>
      <c r="R36" s="4">
        <f t="shared" si="7"/>
        <v>0</v>
      </c>
      <c r="S36" s="13"/>
      <c r="T36" s="23"/>
      <c r="U36" s="23"/>
      <c r="V36" s="10">
        <f t="shared" si="8"/>
        <v>20.964912280701753</v>
      </c>
      <c r="W36" s="11">
        <f t="shared" si="5"/>
        <v>20.964912280701753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 t="s">
        <v>75</v>
      </c>
      <c r="AI36" s="10">
        <f t="shared" si="9"/>
        <v>0</v>
      </c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spans="1:52" x14ac:dyDescent="0.25">
      <c r="A37" s="10" t="s">
        <v>76</v>
      </c>
      <c r="B37" s="10" t="s">
        <v>34</v>
      </c>
      <c r="C37" s="10">
        <v>369.51600000000002</v>
      </c>
      <c r="D37" s="10">
        <v>1.0629999999999999</v>
      </c>
      <c r="E37" s="10">
        <v>145.928</v>
      </c>
      <c r="F37" s="10">
        <v>198.94200000000001</v>
      </c>
      <c r="G37" s="7">
        <v>1</v>
      </c>
      <c r="H37" s="10">
        <v>45</v>
      </c>
      <c r="I37" s="10" t="s">
        <v>35</v>
      </c>
      <c r="J37" s="10"/>
      <c r="K37" s="10">
        <v>155.5</v>
      </c>
      <c r="L37" s="10">
        <f t="shared" si="3"/>
        <v>-9.5720000000000027</v>
      </c>
      <c r="M37" s="10"/>
      <c r="N37" s="10"/>
      <c r="O37" s="10">
        <v>18</v>
      </c>
      <c r="P37" s="10">
        <f t="shared" si="4"/>
        <v>29.185600000000001</v>
      </c>
      <c r="Q37" s="4">
        <f t="shared" ref="Q37:Q57" si="10">14*P37-O37-F37</f>
        <v>191.65640000000002</v>
      </c>
      <c r="R37" s="4">
        <f t="shared" si="7"/>
        <v>192</v>
      </c>
      <c r="S37" s="4"/>
      <c r="T37" s="22"/>
      <c r="U37" s="22"/>
      <c r="V37" s="10">
        <f t="shared" si="8"/>
        <v>14.011772929115729</v>
      </c>
      <c r="W37" s="10">
        <f t="shared" si="5"/>
        <v>7.433186228825174</v>
      </c>
      <c r="X37" s="10">
        <v>25.471800000000002</v>
      </c>
      <c r="Y37" s="10">
        <v>27.164400000000001</v>
      </c>
      <c r="Z37" s="10">
        <v>49.6982</v>
      </c>
      <c r="AA37" s="10">
        <v>26.753799999999998</v>
      </c>
      <c r="AB37" s="10">
        <v>42.905999999999999</v>
      </c>
      <c r="AC37" s="10">
        <v>40.457599999999999</v>
      </c>
      <c r="AD37" s="10">
        <v>38.383400000000002</v>
      </c>
      <c r="AE37" s="10">
        <v>37.244999999999997</v>
      </c>
      <c r="AF37" s="10">
        <v>34.216999999999999</v>
      </c>
      <c r="AG37" s="10">
        <v>44.957999999999998</v>
      </c>
      <c r="AH37" s="10"/>
      <c r="AI37" s="10">
        <f t="shared" si="9"/>
        <v>192</v>
      </c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spans="1:52" x14ac:dyDescent="0.25">
      <c r="A38" s="10" t="s">
        <v>77</v>
      </c>
      <c r="B38" s="10" t="s">
        <v>38</v>
      </c>
      <c r="C38" s="10">
        <v>962</v>
      </c>
      <c r="D38" s="10"/>
      <c r="E38" s="10">
        <v>271</v>
      </c>
      <c r="F38" s="10">
        <v>675</v>
      </c>
      <c r="G38" s="7">
        <v>0.3</v>
      </c>
      <c r="H38" s="10">
        <v>45</v>
      </c>
      <c r="I38" s="10" t="s">
        <v>35</v>
      </c>
      <c r="J38" s="10"/>
      <c r="K38" s="10">
        <v>274</v>
      </c>
      <c r="L38" s="10">
        <f t="shared" ref="L38:L69" si="11">E38-K38</f>
        <v>-3</v>
      </c>
      <c r="M38" s="10"/>
      <c r="N38" s="10"/>
      <c r="O38" s="10">
        <v>0</v>
      </c>
      <c r="P38" s="10">
        <f t="shared" ref="P38:P69" si="12">E38/5</f>
        <v>54.2</v>
      </c>
      <c r="Q38" s="4">
        <f t="shared" si="10"/>
        <v>83.800000000000068</v>
      </c>
      <c r="R38" s="4">
        <f t="shared" si="7"/>
        <v>84</v>
      </c>
      <c r="S38" s="4"/>
      <c r="T38" s="22"/>
      <c r="U38" s="22"/>
      <c r="V38" s="10">
        <f t="shared" si="8"/>
        <v>14.003690036900368</v>
      </c>
      <c r="W38" s="10">
        <f t="shared" ref="W38:W69" si="13">(F38+O38)/P38</f>
        <v>12.453874538745387</v>
      </c>
      <c r="X38" s="10">
        <v>35.6</v>
      </c>
      <c r="Y38" s="10">
        <v>48.4</v>
      </c>
      <c r="Z38" s="10">
        <v>70.2</v>
      </c>
      <c r="AA38" s="10">
        <v>69.8</v>
      </c>
      <c r="AB38" s="10">
        <v>41.6</v>
      </c>
      <c r="AC38" s="10">
        <v>43.2</v>
      </c>
      <c r="AD38" s="10">
        <v>18.8</v>
      </c>
      <c r="AE38" s="10">
        <v>58</v>
      </c>
      <c r="AF38" s="10">
        <v>42.8</v>
      </c>
      <c r="AG38" s="10">
        <v>21.2</v>
      </c>
      <c r="AH38" s="10"/>
      <c r="AI38" s="10">
        <f t="shared" si="9"/>
        <v>25.2</v>
      </c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spans="1:52" x14ac:dyDescent="0.25">
      <c r="A39" s="10" t="s">
        <v>79</v>
      </c>
      <c r="B39" s="10" t="s">
        <v>34</v>
      </c>
      <c r="C39" s="10">
        <v>162.74199999999999</v>
      </c>
      <c r="D39" s="10">
        <v>149.87700000000001</v>
      </c>
      <c r="E39" s="10">
        <v>114.604</v>
      </c>
      <c r="F39" s="10">
        <v>193.453</v>
      </c>
      <c r="G39" s="7">
        <v>1</v>
      </c>
      <c r="H39" s="10">
        <v>30</v>
      </c>
      <c r="I39" s="10" t="s">
        <v>35</v>
      </c>
      <c r="J39" s="10"/>
      <c r="K39" s="10">
        <v>114.1</v>
      </c>
      <c r="L39" s="10">
        <f t="shared" si="11"/>
        <v>0.50400000000000489</v>
      </c>
      <c r="M39" s="10"/>
      <c r="N39" s="10"/>
      <c r="O39" s="10">
        <v>52</v>
      </c>
      <c r="P39" s="10">
        <f t="shared" si="12"/>
        <v>22.9208</v>
      </c>
      <c r="Q39" s="4">
        <f t="shared" si="10"/>
        <v>75.438200000000023</v>
      </c>
      <c r="R39" s="4">
        <f t="shared" si="7"/>
        <v>75</v>
      </c>
      <c r="S39" s="4"/>
      <c r="T39" s="22"/>
      <c r="U39" s="22"/>
      <c r="V39" s="10">
        <f t="shared" si="8"/>
        <v>13.98088199364769</v>
      </c>
      <c r="W39" s="10">
        <f t="shared" si="13"/>
        <v>10.708744895466127</v>
      </c>
      <c r="X39" s="10">
        <v>23.462</v>
      </c>
      <c r="Y39" s="10">
        <v>26.2592</v>
      </c>
      <c r="Z39" s="10">
        <v>36.895600000000002</v>
      </c>
      <c r="AA39" s="10">
        <v>16.045200000000001</v>
      </c>
      <c r="AB39" s="10">
        <v>14.3528</v>
      </c>
      <c r="AC39" s="10">
        <v>22.1236</v>
      </c>
      <c r="AD39" s="10">
        <v>20.263999999999999</v>
      </c>
      <c r="AE39" s="10">
        <v>18.549600000000002</v>
      </c>
      <c r="AF39" s="10">
        <v>16.238800000000001</v>
      </c>
      <c r="AG39" s="10">
        <v>13.000400000000001</v>
      </c>
      <c r="AH39" s="10"/>
      <c r="AI39" s="10">
        <f t="shared" si="9"/>
        <v>75</v>
      </c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x14ac:dyDescent="0.25">
      <c r="A40" s="10" t="s">
        <v>80</v>
      </c>
      <c r="B40" s="10" t="s">
        <v>34</v>
      </c>
      <c r="C40" s="10">
        <v>292.666</v>
      </c>
      <c r="D40" s="10">
        <v>534.33299999999997</v>
      </c>
      <c r="E40" s="10">
        <v>382.93900000000002</v>
      </c>
      <c r="F40" s="10">
        <v>407.01799999999997</v>
      </c>
      <c r="G40" s="7">
        <v>1</v>
      </c>
      <c r="H40" s="10">
        <v>45</v>
      </c>
      <c r="I40" s="10" t="s">
        <v>35</v>
      </c>
      <c r="J40" s="10"/>
      <c r="K40" s="10">
        <v>362.5</v>
      </c>
      <c r="L40" s="10">
        <f t="shared" si="11"/>
        <v>20.439000000000021</v>
      </c>
      <c r="M40" s="10"/>
      <c r="N40" s="10"/>
      <c r="O40" s="10">
        <v>0</v>
      </c>
      <c r="P40" s="10">
        <f t="shared" si="12"/>
        <v>76.587800000000001</v>
      </c>
      <c r="Q40" s="4">
        <f>13*P40-O40-F40</f>
        <v>588.62339999999995</v>
      </c>
      <c r="R40" s="4">
        <f t="shared" si="7"/>
        <v>589</v>
      </c>
      <c r="S40" s="4"/>
      <c r="T40" s="22"/>
      <c r="U40" s="22"/>
      <c r="V40" s="10">
        <f t="shared" si="8"/>
        <v>13.004917232248479</v>
      </c>
      <c r="W40" s="10">
        <f t="shared" si="13"/>
        <v>5.3143973322121791</v>
      </c>
      <c r="X40" s="10">
        <v>48.989199999999997</v>
      </c>
      <c r="Y40" s="10">
        <v>66.378</v>
      </c>
      <c r="Z40" s="10">
        <v>55.039200000000008</v>
      </c>
      <c r="AA40" s="10">
        <v>42.236199999999997</v>
      </c>
      <c r="AB40" s="10">
        <v>44.667000000000002</v>
      </c>
      <c r="AC40" s="10">
        <v>51.484200000000001</v>
      </c>
      <c r="AD40" s="10">
        <v>34.043199999999999</v>
      </c>
      <c r="AE40" s="10">
        <v>46.182600000000001</v>
      </c>
      <c r="AF40" s="10">
        <v>36.746600000000001</v>
      </c>
      <c r="AG40" s="10">
        <v>52.787799999999997</v>
      </c>
      <c r="AH40" s="10"/>
      <c r="AI40" s="10">
        <f t="shared" si="9"/>
        <v>589</v>
      </c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x14ac:dyDescent="0.25">
      <c r="A41" s="10" t="s">
        <v>81</v>
      </c>
      <c r="B41" s="10" t="s">
        <v>38</v>
      </c>
      <c r="C41" s="10">
        <v>623</v>
      </c>
      <c r="D41" s="10">
        <v>73</v>
      </c>
      <c r="E41" s="10">
        <v>413</v>
      </c>
      <c r="F41" s="10">
        <v>213</v>
      </c>
      <c r="G41" s="7">
        <v>0.35</v>
      </c>
      <c r="H41" s="10">
        <v>45</v>
      </c>
      <c r="I41" s="10" t="s">
        <v>35</v>
      </c>
      <c r="J41" s="10"/>
      <c r="K41" s="10">
        <v>431</v>
      </c>
      <c r="L41" s="10">
        <f t="shared" si="11"/>
        <v>-18</v>
      </c>
      <c r="M41" s="10"/>
      <c r="N41" s="10"/>
      <c r="O41" s="10">
        <v>10</v>
      </c>
      <c r="P41" s="10">
        <f t="shared" si="12"/>
        <v>82.6</v>
      </c>
      <c r="Q41" s="4">
        <f>11*P41-O41-F41</f>
        <v>685.59999999999991</v>
      </c>
      <c r="R41" s="4">
        <f t="shared" si="7"/>
        <v>686</v>
      </c>
      <c r="S41" s="4"/>
      <c r="T41" s="22"/>
      <c r="U41" s="22"/>
      <c r="V41" s="10">
        <f t="shared" si="8"/>
        <v>11.004842615012107</v>
      </c>
      <c r="W41" s="10">
        <f t="shared" si="13"/>
        <v>2.6997578692493946</v>
      </c>
      <c r="X41" s="10">
        <v>46.2</v>
      </c>
      <c r="Y41" s="10">
        <v>63</v>
      </c>
      <c r="Z41" s="10">
        <v>93.8</v>
      </c>
      <c r="AA41" s="10">
        <v>49.2</v>
      </c>
      <c r="AB41" s="10">
        <v>60.4</v>
      </c>
      <c r="AC41" s="10">
        <v>73</v>
      </c>
      <c r="AD41" s="10">
        <v>57.2</v>
      </c>
      <c r="AE41" s="10">
        <v>63.4</v>
      </c>
      <c r="AF41" s="10">
        <v>62.2</v>
      </c>
      <c r="AG41" s="10">
        <v>65.8</v>
      </c>
      <c r="AH41" s="10"/>
      <c r="AI41" s="10">
        <f t="shared" si="9"/>
        <v>240.1</v>
      </c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spans="1:52" x14ac:dyDescent="0.25">
      <c r="A42" s="10" t="s">
        <v>82</v>
      </c>
      <c r="B42" s="10" t="s">
        <v>38</v>
      </c>
      <c r="C42" s="10">
        <v>211</v>
      </c>
      <c r="D42" s="10">
        <v>336</v>
      </c>
      <c r="E42" s="10">
        <v>299</v>
      </c>
      <c r="F42" s="10">
        <v>198</v>
      </c>
      <c r="G42" s="7">
        <v>0.41</v>
      </c>
      <c r="H42" s="10">
        <v>45</v>
      </c>
      <c r="I42" s="10" t="s">
        <v>35</v>
      </c>
      <c r="J42" s="10"/>
      <c r="K42" s="10">
        <v>329</v>
      </c>
      <c r="L42" s="10">
        <f t="shared" si="11"/>
        <v>-30</v>
      </c>
      <c r="M42" s="10"/>
      <c r="N42" s="10"/>
      <c r="O42" s="10">
        <v>453</v>
      </c>
      <c r="P42" s="10">
        <f t="shared" si="12"/>
        <v>59.8</v>
      </c>
      <c r="Q42" s="4">
        <f t="shared" si="10"/>
        <v>186.19999999999993</v>
      </c>
      <c r="R42" s="4">
        <f t="shared" si="7"/>
        <v>186</v>
      </c>
      <c r="S42" s="4"/>
      <c r="T42" s="22"/>
      <c r="U42" s="22"/>
      <c r="V42" s="10">
        <f t="shared" si="8"/>
        <v>13.996655518394649</v>
      </c>
      <c r="W42" s="10">
        <f t="shared" si="13"/>
        <v>10.88628762541806</v>
      </c>
      <c r="X42" s="10">
        <v>66</v>
      </c>
      <c r="Y42" s="10">
        <v>59.4</v>
      </c>
      <c r="Z42" s="10">
        <v>44.8</v>
      </c>
      <c r="AA42" s="10">
        <v>56</v>
      </c>
      <c r="AB42" s="10">
        <v>48.8</v>
      </c>
      <c r="AC42" s="10">
        <v>61</v>
      </c>
      <c r="AD42" s="10">
        <v>55.8</v>
      </c>
      <c r="AE42" s="10">
        <v>52.6</v>
      </c>
      <c r="AF42" s="10">
        <v>57.2</v>
      </c>
      <c r="AG42" s="10">
        <v>41.4</v>
      </c>
      <c r="AH42" s="10"/>
      <c r="AI42" s="10">
        <f t="shared" si="9"/>
        <v>76.259999999999991</v>
      </c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spans="1:52" x14ac:dyDescent="0.25">
      <c r="A43" s="10" t="s">
        <v>83</v>
      </c>
      <c r="B43" s="10" t="s">
        <v>38</v>
      </c>
      <c r="C43" s="10">
        <v>259</v>
      </c>
      <c r="D43" s="10">
        <v>101</v>
      </c>
      <c r="E43" s="10">
        <v>143</v>
      </c>
      <c r="F43" s="10">
        <v>204</v>
      </c>
      <c r="G43" s="7">
        <v>0.41</v>
      </c>
      <c r="H43" s="10">
        <v>45</v>
      </c>
      <c r="I43" s="10" t="s">
        <v>35</v>
      </c>
      <c r="J43" s="10"/>
      <c r="K43" s="10">
        <v>148</v>
      </c>
      <c r="L43" s="10">
        <f t="shared" si="11"/>
        <v>-5</v>
      </c>
      <c r="M43" s="10"/>
      <c r="N43" s="10"/>
      <c r="O43" s="10">
        <v>180</v>
      </c>
      <c r="P43" s="10">
        <f t="shared" si="12"/>
        <v>28.6</v>
      </c>
      <c r="Q43" s="4">
        <f t="shared" si="10"/>
        <v>16.400000000000034</v>
      </c>
      <c r="R43" s="4">
        <f t="shared" si="7"/>
        <v>16</v>
      </c>
      <c r="S43" s="4"/>
      <c r="T43" s="22"/>
      <c r="U43" s="22"/>
      <c r="V43" s="10">
        <f t="shared" si="8"/>
        <v>13.986013986013985</v>
      </c>
      <c r="W43" s="10">
        <f t="shared" si="13"/>
        <v>13.426573426573427</v>
      </c>
      <c r="X43" s="10">
        <v>35.6</v>
      </c>
      <c r="Y43" s="10">
        <v>34.200000000000003</v>
      </c>
      <c r="Z43" s="10">
        <v>40.6</v>
      </c>
      <c r="AA43" s="10">
        <v>30.6</v>
      </c>
      <c r="AB43" s="10">
        <v>36.200000000000003</v>
      </c>
      <c r="AC43" s="10">
        <v>42.6</v>
      </c>
      <c r="AD43" s="10">
        <v>41.4</v>
      </c>
      <c r="AE43" s="10">
        <v>27.4</v>
      </c>
      <c r="AF43" s="10">
        <v>42.4</v>
      </c>
      <c r="AG43" s="10">
        <v>35.799999999999997</v>
      </c>
      <c r="AH43" s="10"/>
      <c r="AI43" s="10">
        <f t="shared" si="9"/>
        <v>6.56</v>
      </c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pans="1:52" x14ac:dyDescent="0.25">
      <c r="A44" s="10" t="s">
        <v>84</v>
      </c>
      <c r="B44" s="10" t="s">
        <v>38</v>
      </c>
      <c r="C44" s="10">
        <v>778</v>
      </c>
      <c r="D44" s="10"/>
      <c r="E44" s="10">
        <v>137</v>
      </c>
      <c r="F44" s="10">
        <v>638</v>
      </c>
      <c r="G44" s="7">
        <v>0.36</v>
      </c>
      <c r="H44" s="10">
        <v>45</v>
      </c>
      <c r="I44" s="10" t="s">
        <v>35</v>
      </c>
      <c r="J44" s="10"/>
      <c r="K44" s="10">
        <v>138</v>
      </c>
      <c r="L44" s="10">
        <f t="shared" si="11"/>
        <v>-1</v>
      </c>
      <c r="M44" s="10"/>
      <c r="N44" s="10"/>
      <c r="O44" s="10">
        <v>0</v>
      </c>
      <c r="P44" s="10">
        <f t="shared" si="12"/>
        <v>27.4</v>
      </c>
      <c r="Q44" s="4"/>
      <c r="R44" s="4">
        <f t="shared" si="7"/>
        <v>0</v>
      </c>
      <c r="S44" s="4"/>
      <c r="T44" s="22"/>
      <c r="U44" s="22"/>
      <c r="V44" s="10">
        <f t="shared" si="8"/>
        <v>23.284671532846716</v>
      </c>
      <c r="W44" s="10">
        <f t="shared" si="13"/>
        <v>23.284671532846716</v>
      </c>
      <c r="X44" s="10">
        <v>35</v>
      </c>
      <c r="Y44" s="10">
        <v>23.2</v>
      </c>
      <c r="Z44" s="10">
        <v>54.2</v>
      </c>
      <c r="AA44" s="10">
        <v>49</v>
      </c>
      <c r="AB44" s="10">
        <v>25.4</v>
      </c>
      <c r="AC44" s="10">
        <v>43.4</v>
      </c>
      <c r="AD44" s="10">
        <v>59</v>
      </c>
      <c r="AE44" s="10">
        <v>28.8</v>
      </c>
      <c r="AF44" s="10">
        <v>43.8</v>
      </c>
      <c r="AG44" s="10">
        <v>41.6</v>
      </c>
      <c r="AH44" s="21" t="s">
        <v>154</v>
      </c>
      <c r="AI44" s="10">
        <f t="shared" si="9"/>
        <v>0</v>
      </c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x14ac:dyDescent="0.25">
      <c r="A45" s="10" t="s">
        <v>85</v>
      </c>
      <c r="B45" s="10" t="s">
        <v>38</v>
      </c>
      <c r="C45" s="10">
        <v>38</v>
      </c>
      <c r="D45" s="10">
        <v>104</v>
      </c>
      <c r="E45" s="10">
        <v>37</v>
      </c>
      <c r="F45" s="10">
        <v>97</v>
      </c>
      <c r="G45" s="7">
        <v>0.33</v>
      </c>
      <c r="H45" s="10">
        <v>45</v>
      </c>
      <c r="I45" s="10" t="s">
        <v>35</v>
      </c>
      <c r="J45" s="10"/>
      <c r="K45" s="10">
        <v>38</v>
      </c>
      <c r="L45" s="10">
        <f t="shared" si="11"/>
        <v>-1</v>
      </c>
      <c r="M45" s="10"/>
      <c r="N45" s="10"/>
      <c r="O45" s="10">
        <v>0</v>
      </c>
      <c r="P45" s="10">
        <f t="shared" si="12"/>
        <v>7.4</v>
      </c>
      <c r="Q45" s="4">
        <f t="shared" si="10"/>
        <v>6.6000000000000085</v>
      </c>
      <c r="R45" s="4">
        <f t="shared" si="7"/>
        <v>7</v>
      </c>
      <c r="S45" s="4"/>
      <c r="T45" s="22"/>
      <c r="U45" s="22"/>
      <c r="V45" s="10">
        <f t="shared" si="8"/>
        <v>14.054054054054053</v>
      </c>
      <c r="W45" s="10">
        <f t="shared" si="13"/>
        <v>13.108108108108107</v>
      </c>
      <c r="X45" s="10">
        <v>7.2</v>
      </c>
      <c r="Y45" s="10">
        <v>14.4</v>
      </c>
      <c r="Z45" s="10">
        <v>9</v>
      </c>
      <c r="AA45" s="10">
        <v>5.4</v>
      </c>
      <c r="AB45" s="10">
        <v>11.4</v>
      </c>
      <c r="AC45" s="10">
        <v>12.8</v>
      </c>
      <c r="AD45" s="10">
        <v>17.2</v>
      </c>
      <c r="AE45" s="10">
        <v>11.2</v>
      </c>
      <c r="AF45" s="10">
        <v>12.8</v>
      </c>
      <c r="AG45" s="10">
        <v>16</v>
      </c>
      <c r="AH45" s="10"/>
      <c r="AI45" s="10">
        <f t="shared" si="9"/>
        <v>2.31</v>
      </c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1:52" x14ac:dyDescent="0.25">
      <c r="A46" s="10" t="s">
        <v>86</v>
      </c>
      <c r="B46" s="10" t="s">
        <v>38</v>
      </c>
      <c r="C46" s="10">
        <v>57</v>
      </c>
      <c r="D46" s="10">
        <v>184</v>
      </c>
      <c r="E46" s="10">
        <v>86</v>
      </c>
      <c r="F46" s="10">
        <v>150</v>
      </c>
      <c r="G46" s="7">
        <v>0.4</v>
      </c>
      <c r="H46" s="10">
        <v>60</v>
      </c>
      <c r="I46" s="10" t="s">
        <v>35</v>
      </c>
      <c r="J46" s="10"/>
      <c r="K46" s="10">
        <v>90</v>
      </c>
      <c r="L46" s="10">
        <f t="shared" si="11"/>
        <v>-4</v>
      </c>
      <c r="M46" s="10"/>
      <c r="N46" s="10"/>
      <c r="O46" s="10">
        <v>0</v>
      </c>
      <c r="P46" s="10">
        <f t="shared" si="12"/>
        <v>17.2</v>
      </c>
      <c r="Q46" s="4">
        <f t="shared" si="10"/>
        <v>90.799999999999983</v>
      </c>
      <c r="R46" s="4">
        <f t="shared" si="7"/>
        <v>91</v>
      </c>
      <c r="S46" s="4"/>
      <c r="T46" s="22"/>
      <c r="U46" s="22"/>
      <c r="V46" s="10">
        <f t="shared" si="8"/>
        <v>14.011627906976745</v>
      </c>
      <c r="W46" s="10">
        <f t="shared" si="13"/>
        <v>8.720930232558139</v>
      </c>
      <c r="X46" s="10">
        <v>13.8</v>
      </c>
      <c r="Y46" s="10">
        <v>24.4</v>
      </c>
      <c r="Z46" s="10">
        <v>15.2</v>
      </c>
      <c r="AA46" s="10">
        <v>13.2</v>
      </c>
      <c r="AB46" s="10">
        <v>14.6</v>
      </c>
      <c r="AC46" s="10">
        <v>18.399999999999999</v>
      </c>
      <c r="AD46" s="10">
        <v>13.4</v>
      </c>
      <c r="AE46" s="10">
        <v>21.4</v>
      </c>
      <c r="AF46" s="10">
        <v>21.6</v>
      </c>
      <c r="AG46" s="10">
        <v>10</v>
      </c>
      <c r="AH46" s="10"/>
      <c r="AI46" s="10">
        <f t="shared" si="9"/>
        <v>36.4</v>
      </c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spans="1:52" x14ac:dyDescent="0.25">
      <c r="A47" s="10" t="s">
        <v>87</v>
      </c>
      <c r="B47" s="10" t="s">
        <v>38</v>
      </c>
      <c r="C47" s="10">
        <v>44</v>
      </c>
      <c r="D47" s="10">
        <v>16</v>
      </c>
      <c r="E47" s="10">
        <v>26</v>
      </c>
      <c r="F47" s="10">
        <v>32</v>
      </c>
      <c r="G47" s="7">
        <v>0.33</v>
      </c>
      <c r="H47" s="10">
        <v>45</v>
      </c>
      <c r="I47" s="10" t="s">
        <v>35</v>
      </c>
      <c r="J47" s="10"/>
      <c r="K47" s="10">
        <v>28</v>
      </c>
      <c r="L47" s="10">
        <f t="shared" si="11"/>
        <v>-2</v>
      </c>
      <c r="M47" s="10"/>
      <c r="N47" s="10"/>
      <c r="O47" s="10">
        <v>0</v>
      </c>
      <c r="P47" s="10">
        <f t="shared" si="12"/>
        <v>5.2</v>
      </c>
      <c r="Q47" s="4">
        <f t="shared" si="10"/>
        <v>40.799999999999997</v>
      </c>
      <c r="R47" s="4">
        <f t="shared" si="7"/>
        <v>41</v>
      </c>
      <c r="S47" s="4"/>
      <c r="T47" s="22"/>
      <c r="U47" s="22"/>
      <c r="V47" s="10">
        <f t="shared" si="8"/>
        <v>14.038461538461538</v>
      </c>
      <c r="W47" s="10">
        <f t="shared" si="13"/>
        <v>6.1538461538461533</v>
      </c>
      <c r="X47" s="10">
        <v>3.8</v>
      </c>
      <c r="Y47" s="10">
        <v>5.6</v>
      </c>
      <c r="Z47" s="10">
        <v>7</v>
      </c>
      <c r="AA47" s="10">
        <v>4.4000000000000004</v>
      </c>
      <c r="AB47" s="10">
        <v>3.2</v>
      </c>
      <c r="AC47" s="10">
        <v>6.8</v>
      </c>
      <c r="AD47" s="10">
        <v>4.5999999999999996</v>
      </c>
      <c r="AE47" s="10">
        <v>5.4</v>
      </c>
      <c r="AF47" s="10">
        <v>8</v>
      </c>
      <c r="AG47" s="10">
        <v>4.5999999999999996</v>
      </c>
      <c r="AH47" s="10"/>
      <c r="AI47" s="10">
        <f t="shared" si="9"/>
        <v>13.530000000000001</v>
      </c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 spans="1:52" x14ac:dyDescent="0.25">
      <c r="A48" s="10" t="s">
        <v>88</v>
      </c>
      <c r="B48" s="10" t="s">
        <v>34</v>
      </c>
      <c r="C48" s="10">
        <v>485.83100000000002</v>
      </c>
      <c r="D48" s="10">
        <v>395.23</v>
      </c>
      <c r="E48" s="10">
        <v>374.34199999999998</v>
      </c>
      <c r="F48" s="10">
        <v>491.875</v>
      </c>
      <c r="G48" s="7">
        <v>1</v>
      </c>
      <c r="H48" s="10">
        <v>45</v>
      </c>
      <c r="I48" s="10" t="s">
        <v>35</v>
      </c>
      <c r="J48" s="10"/>
      <c r="K48" s="10">
        <v>349.4</v>
      </c>
      <c r="L48" s="10">
        <f t="shared" si="11"/>
        <v>24.942000000000007</v>
      </c>
      <c r="M48" s="10"/>
      <c r="N48" s="10"/>
      <c r="O48" s="10">
        <v>62</v>
      </c>
      <c r="P48" s="10">
        <f t="shared" si="12"/>
        <v>74.868399999999994</v>
      </c>
      <c r="Q48" s="4">
        <f t="shared" si="10"/>
        <v>494.2826</v>
      </c>
      <c r="R48" s="4">
        <f t="shared" si="7"/>
        <v>494</v>
      </c>
      <c r="S48" s="4"/>
      <c r="T48" s="22"/>
      <c r="U48" s="22"/>
      <c r="V48" s="10">
        <f t="shared" si="8"/>
        <v>13.996225376794483</v>
      </c>
      <c r="W48" s="10">
        <f t="shared" si="13"/>
        <v>7.3979809906449185</v>
      </c>
      <c r="X48" s="10">
        <v>62.738</v>
      </c>
      <c r="Y48" s="10">
        <v>79.360399999999998</v>
      </c>
      <c r="Z48" s="10">
        <v>76.403599999999997</v>
      </c>
      <c r="AA48" s="10">
        <v>34.4542</v>
      </c>
      <c r="AB48" s="10">
        <v>59.198400000000007</v>
      </c>
      <c r="AC48" s="10">
        <v>63.107399999999998</v>
      </c>
      <c r="AD48" s="10">
        <v>32.2164</v>
      </c>
      <c r="AE48" s="10">
        <v>50.428199999999997</v>
      </c>
      <c r="AF48" s="10">
        <v>56.484000000000002</v>
      </c>
      <c r="AG48" s="10">
        <v>47.937399999999997</v>
      </c>
      <c r="AH48" s="10"/>
      <c r="AI48" s="10">
        <f t="shared" si="9"/>
        <v>494</v>
      </c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spans="1:52" x14ac:dyDescent="0.25">
      <c r="A49" s="10" t="s">
        <v>89</v>
      </c>
      <c r="B49" s="10" t="s">
        <v>38</v>
      </c>
      <c r="C49" s="10">
        <v>280</v>
      </c>
      <c r="D49" s="10">
        <v>1</v>
      </c>
      <c r="E49" s="10">
        <v>58</v>
      </c>
      <c r="F49" s="10">
        <v>210</v>
      </c>
      <c r="G49" s="7">
        <v>0.4</v>
      </c>
      <c r="H49" s="10">
        <v>45</v>
      </c>
      <c r="I49" s="10" t="s">
        <v>35</v>
      </c>
      <c r="J49" s="10"/>
      <c r="K49" s="10">
        <v>64</v>
      </c>
      <c r="L49" s="10">
        <f t="shared" si="11"/>
        <v>-6</v>
      </c>
      <c r="M49" s="10"/>
      <c r="N49" s="10"/>
      <c r="O49" s="10">
        <v>0</v>
      </c>
      <c r="P49" s="10">
        <f t="shared" si="12"/>
        <v>11.6</v>
      </c>
      <c r="Q49" s="4"/>
      <c r="R49" s="4">
        <f t="shared" si="7"/>
        <v>0</v>
      </c>
      <c r="S49" s="4"/>
      <c r="T49" s="22"/>
      <c r="U49" s="22"/>
      <c r="V49" s="10">
        <f t="shared" si="8"/>
        <v>18.103448275862071</v>
      </c>
      <c r="W49" s="10">
        <f t="shared" si="13"/>
        <v>18.103448275862071</v>
      </c>
      <c r="X49" s="10">
        <v>6.6</v>
      </c>
      <c r="Y49" s="10">
        <v>13.6</v>
      </c>
      <c r="Z49" s="10">
        <v>25.4</v>
      </c>
      <c r="AA49" s="10">
        <v>20.6</v>
      </c>
      <c r="AB49" s="10">
        <v>20.6</v>
      </c>
      <c r="AC49" s="10">
        <v>20.6</v>
      </c>
      <c r="AD49" s="10">
        <v>11</v>
      </c>
      <c r="AE49" s="10">
        <v>34.4</v>
      </c>
      <c r="AF49" s="10">
        <v>7.2</v>
      </c>
      <c r="AG49" s="10">
        <v>21.4</v>
      </c>
      <c r="AH49" s="15" t="s">
        <v>78</v>
      </c>
      <c r="AI49" s="10">
        <f t="shared" si="9"/>
        <v>0</v>
      </c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spans="1:52" x14ac:dyDescent="0.25">
      <c r="A50" s="10" t="s">
        <v>90</v>
      </c>
      <c r="B50" s="10" t="s">
        <v>34</v>
      </c>
      <c r="C50" s="10">
        <v>13.782999999999999</v>
      </c>
      <c r="D50" s="10">
        <v>43.280999999999999</v>
      </c>
      <c r="E50" s="10">
        <v>7.9160000000000004</v>
      </c>
      <c r="F50" s="10">
        <v>45.2</v>
      </c>
      <c r="G50" s="7">
        <v>1</v>
      </c>
      <c r="H50" s="10">
        <v>60</v>
      </c>
      <c r="I50" s="10" t="s">
        <v>35</v>
      </c>
      <c r="J50" s="10"/>
      <c r="K50" s="10">
        <v>7.5</v>
      </c>
      <c r="L50" s="10">
        <f t="shared" si="11"/>
        <v>0.41600000000000037</v>
      </c>
      <c r="M50" s="10"/>
      <c r="N50" s="10"/>
      <c r="O50" s="10">
        <v>0</v>
      </c>
      <c r="P50" s="10">
        <f t="shared" si="12"/>
        <v>1.5832000000000002</v>
      </c>
      <c r="Q50" s="4"/>
      <c r="R50" s="4">
        <f t="shared" si="7"/>
        <v>0</v>
      </c>
      <c r="S50" s="4"/>
      <c r="T50" s="22"/>
      <c r="U50" s="22"/>
      <c r="V50" s="10">
        <f t="shared" si="8"/>
        <v>28.54977261243052</v>
      </c>
      <c r="W50" s="10">
        <f t="shared" si="13"/>
        <v>28.54977261243052</v>
      </c>
      <c r="X50" s="10">
        <v>3.5358000000000001</v>
      </c>
      <c r="Y50" s="10">
        <v>5.3479999999999999</v>
      </c>
      <c r="Z50" s="10">
        <v>2.3647999999999998</v>
      </c>
      <c r="AA50" s="10">
        <v>4.6563999999999997</v>
      </c>
      <c r="AB50" s="10">
        <v>0.64419999999999999</v>
      </c>
      <c r="AC50" s="10">
        <v>4.7759999999999998</v>
      </c>
      <c r="AD50" s="10">
        <v>3.1307999999999998</v>
      </c>
      <c r="AE50" s="10">
        <v>0.29899999999999999</v>
      </c>
      <c r="AF50" s="10">
        <v>4.3317999999999994</v>
      </c>
      <c r="AG50" s="10">
        <v>6.2573999999999996</v>
      </c>
      <c r="AH50" s="21" t="s">
        <v>155</v>
      </c>
      <c r="AI50" s="10">
        <f t="shared" si="9"/>
        <v>0</v>
      </c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spans="1:52" x14ac:dyDescent="0.25">
      <c r="A51" s="10" t="s">
        <v>91</v>
      </c>
      <c r="B51" s="10" t="s">
        <v>34</v>
      </c>
      <c r="C51" s="10">
        <v>71.81</v>
      </c>
      <c r="D51" s="10"/>
      <c r="E51" s="10">
        <v>7.55</v>
      </c>
      <c r="F51" s="10">
        <v>61.22</v>
      </c>
      <c r="G51" s="7">
        <v>1</v>
      </c>
      <c r="H51" s="10">
        <v>60</v>
      </c>
      <c r="I51" s="10" t="s">
        <v>35</v>
      </c>
      <c r="J51" s="10"/>
      <c r="K51" s="10">
        <v>7.1</v>
      </c>
      <c r="L51" s="10">
        <f t="shared" si="11"/>
        <v>0.45000000000000018</v>
      </c>
      <c r="M51" s="10"/>
      <c r="N51" s="10"/>
      <c r="O51" s="10">
        <v>0</v>
      </c>
      <c r="P51" s="10">
        <f t="shared" si="12"/>
        <v>1.51</v>
      </c>
      <c r="Q51" s="4"/>
      <c r="R51" s="4">
        <f t="shared" si="7"/>
        <v>0</v>
      </c>
      <c r="S51" s="4"/>
      <c r="T51" s="22"/>
      <c r="U51" s="22"/>
      <c r="V51" s="10">
        <f t="shared" si="8"/>
        <v>40.543046357615893</v>
      </c>
      <c r="W51" s="10">
        <f t="shared" si="13"/>
        <v>40.543046357615893</v>
      </c>
      <c r="X51" s="10">
        <v>4.2290000000000001</v>
      </c>
      <c r="Y51" s="10">
        <v>4.1909999999999998</v>
      </c>
      <c r="Z51" s="10">
        <v>3.3281999999999998</v>
      </c>
      <c r="AA51" s="10">
        <v>5.4710000000000001</v>
      </c>
      <c r="AB51" s="10">
        <v>2.6920000000000002</v>
      </c>
      <c r="AC51" s="10">
        <v>3.8879999999999999</v>
      </c>
      <c r="AD51" s="10">
        <v>3.302</v>
      </c>
      <c r="AE51" s="10">
        <v>1.486</v>
      </c>
      <c r="AF51" s="10">
        <v>0</v>
      </c>
      <c r="AG51" s="10">
        <v>6.0140000000000002</v>
      </c>
      <c r="AH51" s="15" t="s">
        <v>78</v>
      </c>
      <c r="AI51" s="10">
        <f t="shared" si="9"/>
        <v>0</v>
      </c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spans="1:52" x14ac:dyDescent="0.25">
      <c r="A52" s="17" t="s">
        <v>92</v>
      </c>
      <c r="B52" s="10" t="s">
        <v>34</v>
      </c>
      <c r="C52" s="10"/>
      <c r="D52" s="10"/>
      <c r="E52" s="10"/>
      <c r="F52" s="10"/>
      <c r="G52" s="7">
        <v>1</v>
      </c>
      <c r="H52" s="10">
        <v>45</v>
      </c>
      <c r="I52" s="10" t="s">
        <v>35</v>
      </c>
      <c r="J52" s="10"/>
      <c r="K52" s="10"/>
      <c r="L52" s="10">
        <f t="shared" si="11"/>
        <v>0</v>
      </c>
      <c r="M52" s="10"/>
      <c r="N52" s="10"/>
      <c r="O52" s="10">
        <v>10</v>
      </c>
      <c r="P52" s="10">
        <f t="shared" si="12"/>
        <v>0</v>
      </c>
      <c r="Q52" s="4"/>
      <c r="R52" s="4">
        <f t="shared" si="7"/>
        <v>0</v>
      </c>
      <c r="S52" s="4"/>
      <c r="T52" s="22"/>
      <c r="U52" s="22"/>
      <c r="V52" s="10" t="e">
        <f t="shared" si="8"/>
        <v>#DIV/0!</v>
      </c>
      <c r="W52" s="10" t="e">
        <f t="shared" si="13"/>
        <v>#DIV/0!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 t="s">
        <v>36</v>
      </c>
      <c r="AI52" s="10">
        <f t="shared" si="9"/>
        <v>0</v>
      </c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1:52" x14ac:dyDescent="0.25">
      <c r="A53" s="10" t="s">
        <v>93</v>
      </c>
      <c r="B53" s="10" t="s">
        <v>38</v>
      </c>
      <c r="C53" s="10">
        <v>29</v>
      </c>
      <c r="D53" s="10">
        <v>24</v>
      </c>
      <c r="E53" s="10">
        <v>15</v>
      </c>
      <c r="F53" s="10">
        <v>35</v>
      </c>
      <c r="G53" s="7">
        <v>0.25</v>
      </c>
      <c r="H53" s="10">
        <v>120</v>
      </c>
      <c r="I53" s="10" t="s">
        <v>35</v>
      </c>
      <c r="J53" s="10"/>
      <c r="K53" s="10">
        <v>15</v>
      </c>
      <c r="L53" s="10">
        <f t="shared" si="11"/>
        <v>0</v>
      </c>
      <c r="M53" s="10"/>
      <c r="N53" s="10"/>
      <c r="O53" s="10">
        <v>67</v>
      </c>
      <c r="P53" s="10">
        <f t="shared" si="12"/>
        <v>3</v>
      </c>
      <c r="Q53" s="4"/>
      <c r="R53" s="4">
        <f t="shared" si="7"/>
        <v>0</v>
      </c>
      <c r="S53" s="4"/>
      <c r="T53" s="22"/>
      <c r="U53" s="22"/>
      <c r="V53" s="10">
        <f t="shared" si="8"/>
        <v>34</v>
      </c>
      <c r="W53" s="10">
        <f t="shared" si="13"/>
        <v>34</v>
      </c>
      <c r="X53" s="10">
        <v>8.1999999999999993</v>
      </c>
      <c r="Y53" s="10">
        <v>6.8</v>
      </c>
      <c r="Z53" s="10">
        <v>7</v>
      </c>
      <c r="AA53" s="10">
        <v>5.8</v>
      </c>
      <c r="AB53" s="10">
        <v>8.1999999999999993</v>
      </c>
      <c r="AC53" s="10">
        <v>4.8</v>
      </c>
      <c r="AD53" s="10">
        <v>4.5999999999999996</v>
      </c>
      <c r="AE53" s="10">
        <v>7.8</v>
      </c>
      <c r="AF53" s="10">
        <v>5.6</v>
      </c>
      <c r="AG53" s="10">
        <v>6.2</v>
      </c>
      <c r="AH53" s="21" t="s">
        <v>153</v>
      </c>
      <c r="AI53" s="10">
        <f t="shared" si="9"/>
        <v>0</v>
      </c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1:52" x14ac:dyDescent="0.25">
      <c r="A54" s="10" t="s">
        <v>94</v>
      </c>
      <c r="B54" s="10" t="s">
        <v>34</v>
      </c>
      <c r="C54" s="10">
        <v>53.09</v>
      </c>
      <c r="D54" s="10">
        <v>34.131999999999998</v>
      </c>
      <c r="E54" s="10">
        <v>31.492999999999999</v>
      </c>
      <c r="F54" s="10">
        <v>44.317</v>
      </c>
      <c r="G54" s="7">
        <v>1</v>
      </c>
      <c r="H54" s="10">
        <v>45</v>
      </c>
      <c r="I54" s="10" t="s">
        <v>35</v>
      </c>
      <c r="J54" s="10"/>
      <c r="K54" s="10">
        <v>36.299999999999997</v>
      </c>
      <c r="L54" s="10">
        <f t="shared" si="11"/>
        <v>-4.8069999999999986</v>
      </c>
      <c r="M54" s="10"/>
      <c r="N54" s="10"/>
      <c r="O54" s="10">
        <v>42</v>
      </c>
      <c r="P54" s="10">
        <f t="shared" si="12"/>
        <v>6.2985999999999995</v>
      </c>
      <c r="Q54" s="4"/>
      <c r="R54" s="4">
        <f t="shared" si="7"/>
        <v>0</v>
      </c>
      <c r="S54" s="4"/>
      <c r="T54" s="22"/>
      <c r="U54" s="22"/>
      <c r="V54" s="10">
        <f t="shared" si="8"/>
        <v>13.704156479217605</v>
      </c>
      <c r="W54" s="10">
        <f t="shared" si="13"/>
        <v>13.704156479217605</v>
      </c>
      <c r="X54" s="10">
        <v>8.4708000000000006</v>
      </c>
      <c r="Y54" s="10">
        <v>8.6494</v>
      </c>
      <c r="Z54" s="10">
        <v>8.8480000000000008</v>
      </c>
      <c r="AA54" s="10">
        <v>9.2843999999999998</v>
      </c>
      <c r="AB54" s="10">
        <v>10.0526</v>
      </c>
      <c r="AC54" s="10">
        <v>9.6641999999999992</v>
      </c>
      <c r="AD54" s="10">
        <v>9.517199999999999</v>
      </c>
      <c r="AE54" s="10">
        <v>8.8352000000000004</v>
      </c>
      <c r="AF54" s="10">
        <v>8.5221999999999998</v>
      </c>
      <c r="AG54" s="10">
        <v>10.96</v>
      </c>
      <c r="AH54" s="10"/>
      <c r="AI54" s="10">
        <f t="shared" si="9"/>
        <v>0</v>
      </c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spans="1:52" x14ac:dyDescent="0.25">
      <c r="A55" s="10" t="s">
        <v>95</v>
      </c>
      <c r="B55" s="10" t="s">
        <v>38</v>
      </c>
      <c r="C55" s="10">
        <v>94</v>
      </c>
      <c r="D55" s="10">
        <v>80</v>
      </c>
      <c r="E55" s="10">
        <v>63</v>
      </c>
      <c r="F55" s="10">
        <v>104</v>
      </c>
      <c r="G55" s="7">
        <v>0.27</v>
      </c>
      <c r="H55" s="10"/>
      <c r="I55" s="10" t="s">
        <v>35</v>
      </c>
      <c r="J55" s="10"/>
      <c r="K55" s="10">
        <v>63</v>
      </c>
      <c r="L55" s="10">
        <f t="shared" si="11"/>
        <v>0</v>
      </c>
      <c r="M55" s="10"/>
      <c r="N55" s="10"/>
      <c r="O55" s="10">
        <v>74</v>
      </c>
      <c r="P55" s="10">
        <f t="shared" si="12"/>
        <v>12.6</v>
      </c>
      <c r="Q55" s="4"/>
      <c r="R55" s="4">
        <f t="shared" si="7"/>
        <v>0</v>
      </c>
      <c r="S55" s="4"/>
      <c r="T55" s="22"/>
      <c r="U55" s="22"/>
      <c r="V55" s="10">
        <f t="shared" si="8"/>
        <v>14.126984126984127</v>
      </c>
      <c r="W55" s="10">
        <f t="shared" si="13"/>
        <v>14.126984126984127</v>
      </c>
      <c r="X55" s="10">
        <v>16.2</v>
      </c>
      <c r="Y55" s="10">
        <v>17.399999999999999</v>
      </c>
      <c r="Z55" s="10">
        <v>20.2</v>
      </c>
      <c r="AA55" s="10">
        <v>-0.2</v>
      </c>
      <c r="AB55" s="10">
        <v>19.2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 t="s">
        <v>36</v>
      </c>
      <c r="AI55" s="10">
        <f t="shared" si="9"/>
        <v>0</v>
      </c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spans="1:52" x14ac:dyDescent="0.25">
      <c r="A56" s="10" t="s">
        <v>96</v>
      </c>
      <c r="B56" s="10" t="s">
        <v>38</v>
      </c>
      <c r="C56" s="10"/>
      <c r="D56" s="10">
        <v>296</v>
      </c>
      <c r="E56" s="10">
        <v>69</v>
      </c>
      <c r="F56" s="10">
        <v>221</v>
      </c>
      <c r="G56" s="7">
        <v>0.3</v>
      </c>
      <c r="H56" s="10">
        <v>60</v>
      </c>
      <c r="I56" s="10" t="s">
        <v>35</v>
      </c>
      <c r="J56" s="10"/>
      <c r="K56" s="10">
        <v>134</v>
      </c>
      <c r="L56" s="10">
        <f t="shared" si="11"/>
        <v>-65</v>
      </c>
      <c r="M56" s="10"/>
      <c r="N56" s="10"/>
      <c r="O56" s="10">
        <v>0</v>
      </c>
      <c r="P56" s="10">
        <f t="shared" si="12"/>
        <v>13.8</v>
      </c>
      <c r="Q56" s="4"/>
      <c r="R56" s="4">
        <f t="shared" si="7"/>
        <v>0</v>
      </c>
      <c r="S56" s="4"/>
      <c r="T56" s="22"/>
      <c r="U56" s="22"/>
      <c r="V56" s="10">
        <f t="shared" si="8"/>
        <v>16.014492753623188</v>
      </c>
      <c r="W56" s="10">
        <f t="shared" si="13"/>
        <v>16.014492753623188</v>
      </c>
      <c r="X56" s="10">
        <v>-0.2</v>
      </c>
      <c r="Y56" s="10">
        <v>15.4</v>
      </c>
      <c r="Z56" s="10">
        <v>43.2</v>
      </c>
      <c r="AA56" s="10">
        <v>52.8</v>
      </c>
      <c r="AB56" s="10">
        <v>25.6</v>
      </c>
      <c r="AC56" s="10">
        <v>31</v>
      </c>
      <c r="AD56" s="10">
        <v>31.8</v>
      </c>
      <c r="AE56" s="10">
        <v>25.4</v>
      </c>
      <c r="AF56" s="10">
        <v>38.799999999999997</v>
      </c>
      <c r="AG56" s="10">
        <v>37.200000000000003</v>
      </c>
      <c r="AH56" s="10" t="s">
        <v>47</v>
      </c>
      <c r="AI56" s="10">
        <f t="shared" si="9"/>
        <v>0</v>
      </c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spans="1:52" x14ac:dyDescent="0.25">
      <c r="A57" s="10" t="s">
        <v>97</v>
      </c>
      <c r="B57" s="10" t="s">
        <v>38</v>
      </c>
      <c r="C57" s="10">
        <v>528</v>
      </c>
      <c r="D57" s="10">
        <v>611</v>
      </c>
      <c r="E57" s="10">
        <v>625</v>
      </c>
      <c r="F57" s="16">
        <f>472+F58</f>
        <v>456</v>
      </c>
      <c r="G57" s="7">
        <v>0.41</v>
      </c>
      <c r="H57" s="10">
        <v>50</v>
      </c>
      <c r="I57" s="9" t="s">
        <v>46</v>
      </c>
      <c r="J57" s="10"/>
      <c r="K57" s="10">
        <v>648</v>
      </c>
      <c r="L57" s="10">
        <f t="shared" si="11"/>
        <v>-23</v>
      </c>
      <c r="M57" s="10"/>
      <c r="N57" s="10"/>
      <c r="O57" s="10">
        <v>400</v>
      </c>
      <c r="P57" s="10">
        <f t="shared" si="12"/>
        <v>125</v>
      </c>
      <c r="Q57" s="4">
        <f t="shared" si="10"/>
        <v>894</v>
      </c>
      <c r="R57" s="4">
        <f t="shared" si="7"/>
        <v>894</v>
      </c>
      <c r="S57" s="4"/>
      <c r="T57" s="22"/>
      <c r="U57" s="22"/>
      <c r="V57" s="10">
        <f t="shared" si="8"/>
        <v>14</v>
      </c>
      <c r="W57" s="10">
        <f t="shared" si="13"/>
        <v>6.8479999999999999</v>
      </c>
      <c r="X57" s="10">
        <v>129.80000000000001</v>
      </c>
      <c r="Y57" s="10">
        <v>117.6</v>
      </c>
      <c r="Z57" s="10">
        <v>103</v>
      </c>
      <c r="AA57" s="10">
        <v>73</v>
      </c>
      <c r="AB57" s="10">
        <v>87.4</v>
      </c>
      <c r="AC57" s="10">
        <v>83.2</v>
      </c>
      <c r="AD57" s="10">
        <v>100.8</v>
      </c>
      <c r="AE57" s="10">
        <v>87</v>
      </c>
      <c r="AF57" s="10">
        <v>90.4</v>
      </c>
      <c r="AG57" s="10">
        <v>84</v>
      </c>
      <c r="AH57" s="10" t="s">
        <v>47</v>
      </c>
      <c r="AI57" s="10">
        <f t="shared" si="9"/>
        <v>366.53999999999996</v>
      </c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spans="1:52" x14ac:dyDescent="0.25">
      <c r="A58" s="11" t="s">
        <v>98</v>
      </c>
      <c r="B58" s="11" t="s">
        <v>38</v>
      </c>
      <c r="C58" s="11">
        <v>-16</v>
      </c>
      <c r="D58" s="11"/>
      <c r="E58" s="11"/>
      <c r="F58" s="16">
        <v>-16</v>
      </c>
      <c r="G58" s="12">
        <v>0</v>
      </c>
      <c r="H58" s="11"/>
      <c r="I58" s="11" t="s">
        <v>99</v>
      </c>
      <c r="J58" s="11" t="s">
        <v>97</v>
      </c>
      <c r="K58" s="11">
        <v>6</v>
      </c>
      <c r="L58" s="11">
        <f t="shared" si="11"/>
        <v>-6</v>
      </c>
      <c r="M58" s="11"/>
      <c r="N58" s="11"/>
      <c r="O58" s="11"/>
      <c r="P58" s="11">
        <f t="shared" si="12"/>
        <v>0</v>
      </c>
      <c r="Q58" s="13"/>
      <c r="R58" s="4">
        <f t="shared" si="7"/>
        <v>0</v>
      </c>
      <c r="S58" s="13"/>
      <c r="T58" s="23"/>
      <c r="U58" s="23"/>
      <c r="V58" s="10" t="e">
        <f t="shared" si="8"/>
        <v>#DIV/0!</v>
      </c>
      <c r="W58" s="11" t="e">
        <f t="shared" si="13"/>
        <v>#DIV/0!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/>
      <c r="AI58" s="10">
        <f t="shared" si="9"/>
        <v>0</v>
      </c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pans="1:52" x14ac:dyDescent="0.25">
      <c r="A59" s="10" t="s">
        <v>100</v>
      </c>
      <c r="B59" s="10" t="s">
        <v>34</v>
      </c>
      <c r="C59" s="10">
        <v>755.61400000000003</v>
      </c>
      <c r="D59" s="10">
        <v>569.19500000000005</v>
      </c>
      <c r="E59" s="10">
        <v>397.52600000000001</v>
      </c>
      <c r="F59" s="10">
        <v>894.678</v>
      </c>
      <c r="G59" s="7">
        <v>1</v>
      </c>
      <c r="H59" s="10">
        <v>50</v>
      </c>
      <c r="I59" s="10" t="s">
        <v>35</v>
      </c>
      <c r="J59" s="10"/>
      <c r="K59" s="10">
        <v>362.5</v>
      </c>
      <c r="L59" s="10">
        <f t="shared" si="11"/>
        <v>35.02600000000001</v>
      </c>
      <c r="M59" s="10"/>
      <c r="N59" s="10"/>
      <c r="O59" s="10">
        <v>391</v>
      </c>
      <c r="P59" s="10">
        <f t="shared" si="12"/>
        <v>79.505200000000002</v>
      </c>
      <c r="Q59" s="4"/>
      <c r="R59" s="4">
        <f t="shared" si="7"/>
        <v>0</v>
      </c>
      <c r="S59" s="4"/>
      <c r="T59" s="22"/>
      <c r="U59" s="22"/>
      <c r="V59" s="10">
        <f t="shared" si="8"/>
        <v>16.170992589163976</v>
      </c>
      <c r="W59" s="10">
        <f t="shared" si="13"/>
        <v>16.170992589163976</v>
      </c>
      <c r="X59" s="10">
        <v>112.825</v>
      </c>
      <c r="Y59" s="10">
        <v>123.32</v>
      </c>
      <c r="Z59" s="10">
        <v>98.82820000000001</v>
      </c>
      <c r="AA59" s="10">
        <v>121.4474</v>
      </c>
      <c r="AB59" s="10">
        <v>124.7012</v>
      </c>
      <c r="AC59" s="10">
        <v>114.2328</v>
      </c>
      <c r="AD59" s="10">
        <v>69.064999999999998</v>
      </c>
      <c r="AE59" s="10">
        <v>43.75</v>
      </c>
      <c r="AF59" s="10">
        <v>103.5904</v>
      </c>
      <c r="AG59" s="10">
        <v>84.347999999999999</v>
      </c>
      <c r="AH59" s="10"/>
      <c r="AI59" s="10">
        <f t="shared" si="9"/>
        <v>0</v>
      </c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spans="1:52" x14ac:dyDescent="0.25">
      <c r="A60" s="10" t="s">
        <v>101</v>
      </c>
      <c r="B60" s="10" t="s">
        <v>38</v>
      </c>
      <c r="C60" s="10">
        <v>32</v>
      </c>
      <c r="D60" s="10">
        <v>72</v>
      </c>
      <c r="E60" s="10">
        <v>64</v>
      </c>
      <c r="F60" s="10">
        <v>34</v>
      </c>
      <c r="G60" s="7">
        <v>0.35</v>
      </c>
      <c r="H60" s="10">
        <v>50</v>
      </c>
      <c r="I60" s="10" t="s">
        <v>35</v>
      </c>
      <c r="J60" s="10"/>
      <c r="K60" s="10">
        <v>67</v>
      </c>
      <c r="L60" s="10">
        <f t="shared" si="11"/>
        <v>-3</v>
      </c>
      <c r="M60" s="10"/>
      <c r="N60" s="10"/>
      <c r="O60" s="10">
        <v>0</v>
      </c>
      <c r="P60" s="10">
        <f t="shared" si="12"/>
        <v>12.8</v>
      </c>
      <c r="Q60" s="4">
        <f>11*P60-O60-F60</f>
        <v>106.80000000000001</v>
      </c>
      <c r="R60" s="4">
        <f t="shared" si="7"/>
        <v>107</v>
      </c>
      <c r="S60" s="4"/>
      <c r="T60" s="22"/>
      <c r="U60" s="22"/>
      <c r="V60" s="10">
        <f t="shared" si="8"/>
        <v>11.015625</v>
      </c>
      <c r="W60" s="10">
        <f t="shared" si="13"/>
        <v>2.65625</v>
      </c>
      <c r="X60" s="10">
        <v>4.5999999999999996</v>
      </c>
      <c r="Y60" s="10">
        <v>9.1999999999999993</v>
      </c>
      <c r="Z60" s="10">
        <v>6</v>
      </c>
      <c r="AA60" s="10">
        <v>8.1999999999999993</v>
      </c>
      <c r="AB60" s="10">
        <v>4.2</v>
      </c>
      <c r="AC60" s="10">
        <v>7.8</v>
      </c>
      <c r="AD60" s="10">
        <v>5.6</v>
      </c>
      <c r="AE60" s="10">
        <v>10.199999999999999</v>
      </c>
      <c r="AF60" s="10">
        <v>9.6</v>
      </c>
      <c r="AG60" s="10">
        <v>12.6</v>
      </c>
      <c r="AH60" s="10"/>
      <c r="AI60" s="10">
        <f t="shared" si="9"/>
        <v>37.449999999999996</v>
      </c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1:52" x14ac:dyDescent="0.25">
      <c r="A61" s="10" t="s">
        <v>102</v>
      </c>
      <c r="B61" s="10" t="s">
        <v>34</v>
      </c>
      <c r="C61" s="10">
        <v>67.87</v>
      </c>
      <c r="D61" s="10">
        <v>68.471999999999994</v>
      </c>
      <c r="E61" s="10">
        <v>51.512999999999998</v>
      </c>
      <c r="F61" s="10">
        <v>82.259</v>
      </c>
      <c r="G61" s="7">
        <v>1</v>
      </c>
      <c r="H61" s="10">
        <v>50</v>
      </c>
      <c r="I61" s="10" t="s">
        <v>35</v>
      </c>
      <c r="J61" s="10"/>
      <c r="K61" s="10">
        <v>52.5</v>
      </c>
      <c r="L61" s="10">
        <f t="shared" si="11"/>
        <v>-0.98700000000000188</v>
      </c>
      <c r="M61" s="10"/>
      <c r="N61" s="10"/>
      <c r="O61" s="10">
        <v>68</v>
      </c>
      <c r="P61" s="10">
        <f t="shared" si="12"/>
        <v>10.3026</v>
      </c>
      <c r="Q61" s="4"/>
      <c r="R61" s="4">
        <f t="shared" si="7"/>
        <v>0</v>
      </c>
      <c r="S61" s="4"/>
      <c r="T61" s="22"/>
      <c r="U61" s="22"/>
      <c r="V61" s="10">
        <f t="shared" si="8"/>
        <v>14.584570885019318</v>
      </c>
      <c r="W61" s="10">
        <f t="shared" si="13"/>
        <v>14.584570885019318</v>
      </c>
      <c r="X61" s="10">
        <v>13.5976</v>
      </c>
      <c r="Y61" s="10">
        <v>13.354799999999999</v>
      </c>
      <c r="Z61" s="10">
        <v>11.995200000000001</v>
      </c>
      <c r="AA61" s="10">
        <v>12.410600000000001</v>
      </c>
      <c r="AB61" s="10">
        <v>8.0703999999999994</v>
      </c>
      <c r="AC61" s="10">
        <v>14.8842</v>
      </c>
      <c r="AD61" s="10">
        <v>5.8064</v>
      </c>
      <c r="AE61" s="10">
        <v>5.6052</v>
      </c>
      <c r="AF61" s="10">
        <v>12.7126</v>
      </c>
      <c r="AG61" s="10">
        <v>15.461600000000001</v>
      </c>
      <c r="AH61" s="10"/>
      <c r="AI61" s="10">
        <f t="shared" si="9"/>
        <v>0</v>
      </c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spans="1:52" x14ac:dyDescent="0.25">
      <c r="A62" s="10" t="s">
        <v>103</v>
      </c>
      <c r="B62" s="10" t="s">
        <v>38</v>
      </c>
      <c r="C62" s="10">
        <v>363</v>
      </c>
      <c r="D62" s="10">
        <v>353</v>
      </c>
      <c r="E62" s="10">
        <v>347</v>
      </c>
      <c r="F62" s="10">
        <v>333</v>
      </c>
      <c r="G62" s="7">
        <v>0.41</v>
      </c>
      <c r="H62" s="10">
        <v>50</v>
      </c>
      <c r="I62" s="9" t="s">
        <v>46</v>
      </c>
      <c r="J62" s="10"/>
      <c r="K62" s="10">
        <v>351</v>
      </c>
      <c r="L62" s="10">
        <f t="shared" si="11"/>
        <v>-4</v>
      </c>
      <c r="M62" s="10"/>
      <c r="N62" s="10"/>
      <c r="O62" s="10">
        <v>398</v>
      </c>
      <c r="P62" s="10">
        <f t="shared" si="12"/>
        <v>69.400000000000006</v>
      </c>
      <c r="Q62" s="4">
        <f t="shared" ref="Q62:Q86" si="14">14*P62-O62-F62</f>
        <v>240.60000000000014</v>
      </c>
      <c r="R62" s="4">
        <f t="shared" si="7"/>
        <v>241</v>
      </c>
      <c r="S62" s="4"/>
      <c r="T62" s="22"/>
      <c r="U62" s="22"/>
      <c r="V62" s="10">
        <f t="shared" si="8"/>
        <v>14.005763688760807</v>
      </c>
      <c r="W62" s="10">
        <f t="shared" si="13"/>
        <v>10.533141210374639</v>
      </c>
      <c r="X62" s="10">
        <v>73.8</v>
      </c>
      <c r="Y62" s="10">
        <v>71.400000000000006</v>
      </c>
      <c r="Z62" s="10">
        <v>52.4</v>
      </c>
      <c r="AA62" s="10">
        <v>50.2</v>
      </c>
      <c r="AB62" s="10">
        <v>55</v>
      </c>
      <c r="AC62" s="10">
        <v>45.2</v>
      </c>
      <c r="AD62" s="10">
        <v>48.8</v>
      </c>
      <c r="AE62" s="10">
        <v>35.200000000000003</v>
      </c>
      <c r="AF62" s="10">
        <v>51.4</v>
      </c>
      <c r="AG62" s="10">
        <v>56.6</v>
      </c>
      <c r="AH62" s="10" t="s">
        <v>47</v>
      </c>
      <c r="AI62" s="10">
        <f t="shared" si="9"/>
        <v>98.809999999999988</v>
      </c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 spans="1:52" x14ac:dyDescent="0.25">
      <c r="A63" s="10" t="s">
        <v>104</v>
      </c>
      <c r="B63" s="10" t="s">
        <v>34</v>
      </c>
      <c r="C63" s="10">
        <v>381.911</v>
      </c>
      <c r="D63" s="10">
        <v>43.719000000000001</v>
      </c>
      <c r="E63" s="10">
        <v>205.27600000000001</v>
      </c>
      <c r="F63" s="10">
        <v>209.21299999999999</v>
      </c>
      <c r="G63" s="7">
        <v>1</v>
      </c>
      <c r="H63" s="10">
        <v>50</v>
      </c>
      <c r="I63" s="10" t="s">
        <v>35</v>
      </c>
      <c r="J63" s="10"/>
      <c r="K63" s="10">
        <v>211.5</v>
      </c>
      <c r="L63" s="10">
        <f t="shared" si="11"/>
        <v>-6.2239999999999895</v>
      </c>
      <c r="M63" s="10"/>
      <c r="N63" s="10"/>
      <c r="O63" s="10">
        <v>51</v>
      </c>
      <c r="P63" s="10">
        <f t="shared" si="12"/>
        <v>41.055199999999999</v>
      </c>
      <c r="Q63" s="4">
        <f t="shared" si="14"/>
        <v>314.5598</v>
      </c>
      <c r="R63" s="4">
        <f t="shared" si="7"/>
        <v>315</v>
      </c>
      <c r="S63" s="4"/>
      <c r="T63" s="22"/>
      <c r="U63" s="22"/>
      <c r="V63" s="10">
        <f t="shared" si="8"/>
        <v>14.010722149691148</v>
      </c>
      <c r="W63" s="10">
        <f t="shared" si="13"/>
        <v>6.338125255753229</v>
      </c>
      <c r="X63" s="10">
        <v>31.539000000000001</v>
      </c>
      <c r="Y63" s="10">
        <v>37.269799999999996</v>
      </c>
      <c r="Z63" s="10">
        <v>44.215200000000003</v>
      </c>
      <c r="AA63" s="10">
        <v>23.197399999999998</v>
      </c>
      <c r="AB63" s="10">
        <v>44.723799999999997</v>
      </c>
      <c r="AC63" s="10">
        <v>29.232600000000001</v>
      </c>
      <c r="AD63" s="10">
        <v>14.500999999999999</v>
      </c>
      <c r="AE63" s="10">
        <v>26.771000000000001</v>
      </c>
      <c r="AF63" s="10">
        <v>37.538600000000002</v>
      </c>
      <c r="AG63" s="10">
        <v>40.284599999999998</v>
      </c>
      <c r="AH63" s="10"/>
      <c r="AI63" s="10">
        <f t="shared" si="9"/>
        <v>315</v>
      </c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spans="1:52" x14ac:dyDescent="0.25">
      <c r="A64" s="10" t="s">
        <v>105</v>
      </c>
      <c r="B64" s="10" t="s">
        <v>38</v>
      </c>
      <c r="C64" s="10">
        <v>64</v>
      </c>
      <c r="D64" s="10">
        <v>67</v>
      </c>
      <c r="E64" s="10">
        <v>90</v>
      </c>
      <c r="F64" s="10">
        <v>25</v>
      </c>
      <c r="G64" s="7">
        <v>0.3</v>
      </c>
      <c r="H64" s="10">
        <v>50</v>
      </c>
      <c r="I64" s="10" t="s">
        <v>35</v>
      </c>
      <c r="J64" s="10"/>
      <c r="K64" s="10">
        <v>135</v>
      </c>
      <c r="L64" s="10">
        <f t="shared" si="11"/>
        <v>-45</v>
      </c>
      <c r="M64" s="10"/>
      <c r="N64" s="10"/>
      <c r="O64" s="10">
        <v>154</v>
      </c>
      <c r="P64" s="10">
        <f t="shared" si="12"/>
        <v>18</v>
      </c>
      <c r="Q64" s="4">
        <f t="shared" si="14"/>
        <v>73</v>
      </c>
      <c r="R64" s="4">
        <f t="shared" si="7"/>
        <v>73</v>
      </c>
      <c r="S64" s="4"/>
      <c r="T64" s="22"/>
      <c r="U64" s="22"/>
      <c r="V64" s="10">
        <f t="shared" si="8"/>
        <v>14</v>
      </c>
      <c r="W64" s="10">
        <f t="shared" si="13"/>
        <v>9.9444444444444446</v>
      </c>
      <c r="X64" s="10">
        <v>18.8</v>
      </c>
      <c r="Y64" s="10">
        <v>15.6</v>
      </c>
      <c r="Z64" s="10">
        <v>18.600000000000001</v>
      </c>
      <c r="AA64" s="10">
        <v>11.2</v>
      </c>
      <c r="AB64" s="10">
        <v>10.199999999999999</v>
      </c>
      <c r="AC64" s="10">
        <v>19.600000000000001</v>
      </c>
      <c r="AD64" s="10">
        <v>12.6</v>
      </c>
      <c r="AE64" s="10">
        <v>11.4</v>
      </c>
      <c r="AF64" s="10">
        <v>12.4</v>
      </c>
      <c r="AG64" s="10">
        <v>19.2</v>
      </c>
      <c r="AH64" s="10"/>
      <c r="AI64" s="10">
        <f t="shared" si="9"/>
        <v>21.9</v>
      </c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spans="1:52" x14ac:dyDescent="0.25">
      <c r="A65" s="10" t="s">
        <v>106</v>
      </c>
      <c r="B65" s="10" t="s">
        <v>38</v>
      </c>
      <c r="C65" s="10">
        <v>532</v>
      </c>
      <c r="D65" s="10"/>
      <c r="E65" s="10">
        <v>315</v>
      </c>
      <c r="F65" s="10">
        <v>150</v>
      </c>
      <c r="G65" s="7">
        <v>0.18</v>
      </c>
      <c r="H65" s="10">
        <v>50</v>
      </c>
      <c r="I65" s="10" t="s">
        <v>35</v>
      </c>
      <c r="J65" s="10"/>
      <c r="K65" s="10">
        <v>332</v>
      </c>
      <c r="L65" s="10">
        <f t="shared" si="11"/>
        <v>-17</v>
      </c>
      <c r="M65" s="10"/>
      <c r="N65" s="10"/>
      <c r="O65" s="10">
        <v>166</v>
      </c>
      <c r="P65" s="10">
        <f t="shared" si="12"/>
        <v>63</v>
      </c>
      <c r="Q65" s="4">
        <f>13*P65-O65-F65</f>
        <v>503</v>
      </c>
      <c r="R65" s="4">
        <f t="shared" si="7"/>
        <v>503</v>
      </c>
      <c r="S65" s="4"/>
      <c r="T65" s="22"/>
      <c r="U65" s="22"/>
      <c r="V65" s="10">
        <f t="shared" si="8"/>
        <v>13</v>
      </c>
      <c r="W65" s="10">
        <f t="shared" si="13"/>
        <v>5.0158730158730158</v>
      </c>
      <c r="X65" s="10">
        <v>46.4</v>
      </c>
      <c r="Y65" s="10">
        <v>48.6</v>
      </c>
      <c r="Z65" s="10">
        <v>62</v>
      </c>
      <c r="AA65" s="10">
        <v>67.8</v>
      </c>
      <c r="AB65" s="10">
        <v>38.6</v>
      </c>
      <c r="AC65" s="10">
        <v>70</v>
      </c>
      <c r="AD65" s="10">
        <v>55.8</v>
      </c>
      <c r="AE65" s="10">
        <v>40.6</v>
      </c>
      <c r="AF65" s="10">
        <v>79.400000000000006</v>
      </c>
      <c r="AG65" s="10">
        <v>54.4</v>
      </c>
      <c r="AH65" s="10"/>
      <c r="AI65" s="10">
        <f t="shared" si="9"/>
        <v>90.539999999999992</v>
      </c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spans="1:52" x14ac:dyDescent="0.25">
      <c r="A66" s="17" t="s">
        <v>107</v>
      </c>
      <c r="B66" s="10" t="s">
        <v>38</v>
      </c>
      <c r="C66" s="10"/>
      <c r="D66" s="10"/>
      <c r="E66" s="10"/>
      <c r="F66" s="10"/>
      <c r="G66" s="7">
        <v>0.22</v>
      </c>
      <c r="H66" s="10">
        <v>120</v>
      </c>
      <c r="I66" s="10" t="s">
        <v>35</v>
      </c>
      <c r="J66" s="10"/>
      <c r="K66" s="10"/>
      <c r="L66" s="10">
        <f t="shared" si="11"/>
        <v>0</v>
      </c>
      <c r="M66" s="10"/>
      <c r="N66" s="10"/>
      <c r="O66" s="10">
        <v>40</v>
      </c>
      <c r="P66" s="10">
        <f t="shared" si="12"/>
        <v>0</v>
      </c>
      <c r="Q66" s="4"/>
      <c r="R66" s="4">
        <f t="shared" si="7"/>
        <v>0</v>
      </c>
      <c r="S66" s="4"/>
      <c r="T66" s="22"/>
      <c r="U66" s="22"/>
      <c r="V66" s="10" t="e">
        <f t="shared" si="8"/>
        <v>#DIV/0!</v>
      </c>
      <c r="W66" s="10" t="e">
        <f t="shared" si="13"/>
        <v>#DIV/0!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 t="s">
        <v>36</v>
      </c>
      <c r="AI66" s="10">
        <f t="shared" si="9"/>
        <v>0</v>
      </c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spans="1:52" x14ac:dyDescent="0.25">
      <c r="A67" s="10" t="s">
        <v>108</v>
      </c>
      <c r="B67" s="10" t="s">
        <v>38</v>
      </c>
      <c r="C67" s="10"/>
      <c r="D67" s="10">
        <v>48</v>
      </c>
      <c r="E67" s="10">
        <v>48</v>
      </c>
      <c r="F67" s="10"/>
      <c r="G67" s="7">
        <v>0.84</v>
      </c>
      <c r="H67" s="10">
        <v>50</v>
      </c>
      <c r="I67" s="10" t="s">
        <v>35</v>
      </c>
      <c r="J67" s="10"/>
      <c r="K67" s="10">
        <v>159</v>
      </c>
      <c r="L67" s="10">
        <f t="shared" si="11"/>
        <v>-111</v>
      </c>
      <c r="M67" s="10"/>
      <c r="N67" s="10"/>
      <c r="O67" s="10">
        <v>80</v>
      </c>
      <c r="P67" s="10">
        <f t="shared" si="12"/>
        <v>9.6</v>
      </c>
      <c r="Q67" s="4">
        <f t="shared" si="14"/>
        <v>54.400000000000006</v>
      </c>
      <c r="R67" s="4">
        <f t="shared" si="7"/>
        <v>54</v>
      </c>
      <c r="S67" s="4"/>
      <c r="T67" s="22"/>
      <c r="U67" s="22"/>
      <c r="V67" s="10">
        <f t="shared" si="8"/>
        <v>13.958333333333334</v>
      </c>
      <c r="W67" s="10">
        <f t="shared" si="13"/>
        <v>8.3333333333333339</v>
      </c>
      <c r="X67" s="10">
        <v>10</v>
      </c>
      <c r="Y67" s="10">
        <v>14.2</v>
      </c>
      <c r="Z67" s="10">
        <v>4.5999999999999996</v>
      </c>
      <c r="AA67" s="10">
        <v>1.6</v>
      </c>
      <c r="AB67" s="10">
        <v>11.4</v>
      </c>
      <c r="AC67" s="10">
        <v>7</v>
      </c>
      <c r="AD67" s="10">
        <v>7.4</v>
      </c>
      <c r="AE67" s="10">
        <v>9.6</v>
      </c>
      <c r="AF67" s="10">
        <v>11.6</v>
      </c>
      <c r="AG67" s="10">
        <v>12.2</v>
      </c>
      <c r="AH67" s="10"/>
      <c r="AI67" s="10">
        <f t="shared" si="9"/>
        <v>45.36</v>
      </c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1:52" x14ac:dyDescent="0.25">
      <c r="A68" s="10" t="s">
        <v>109</v>
      </c>
      <c r="B68" s="10" t="s">
        <v>38</v>
      </c>
      <c r="C68" s="10">
        <v>790</v>
      </c>
      <c r="D68" s="10">
        <v>161</v>
      </c>
      <c r="E68" s="10">
        <v>612</v>
      </c>
      <c r="F68" s="10">
        <v>290</v>
      </c>
      <c r="G68" s="7">
        <v>0.35</v>
      </c>
      <c r="H68" s="10">
        <v>50</v>
      </c>
      <c r="I68" s="10" t="s">
        <v>35</v>
      </c>
      <c r="J68" s="10"/>
      <c r="K68" s="10">
        <v>616</v>
      </c>
      <c r="L68" s="10">
        <f t="shared" si="11"/>
        <v>-4</v>
      </c>
      <c r="M68" s="10"/>
      <c r="N68" s="10"/>
      <c r="O68" s="10">
        <v>307</v>
      </c>
      <c r="P68" s="10">
        <f t="shared" si="12"/>
        <v>122.4</v>
      </c>
      <c r="Q68" s="4">
        <f>13*P68-O68-F68</f>
        <v>994.2</v>
      </c>
      <c r="R68" s="4">
        <f t="shared" si="7"/>
        <v>994</v>
      </c>
      <c r="S68" s="4"/>
      <c r="T68" s="22"/>
      <c r="U68" s="22"/>
      <c r="V68" s="10">
        <f t="shared" si="8"/>
        <v>12.998366013071895</v>
      </c>
      <c r="W68" s="10">
        <f t="shared" si="13"/>
        <v>4.8774509803921564</v>
      </c>
      <c r="X68" s="10">
        <v>82.2</v>
      </c>
      <c r="Y68" s="10">
        <v>90.6</v>
      </c>
      <c r="Z68" s="10">
        <v>105.6</v>
      </c>
      <c r="AA68" s="10">
        <v>81.599999999999994</v>
      </c>
      <c r="AB68" s="10">
        <v>96</v>
      </c>
      <c r="AC68" s="10">
        <v>93</v>
      </c>
      <c r="AD68" s="10">
        <v>73.400000000000006</v>
      </c>
      <c r="AE68" s="10">
        <v>90</v>
      </c>
      <c r="AF68" s="10">
        <v>64.8</v>
      </c>
      <c r="AG68" s="10">
        <v>43.8</v>
      </c>
      <c r="AH68" s="10"/>
      <c r="AI68" s="10">
        <f t="shared" si="9"/>
        <v>347.9</v>
      </c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1:52" x14ac:dyDescent="0.25">
      <c r="A69" s="10" t="s">
        <v>110</v>
      </c>
      <c r="B69" s="10" t="s">
        <v>38</v>
      </c>
      <c r="C69" s="10">
        <v>118</v>
      </c>
      <c r="D69" s="10">
        <v>96</v>
      </c>
      <c r="E69" s="10">
        <v>216</v>
      </c>
      <c r="F69" s="10">
        <v>-2</v>
      </c>
      <c r="G69" s="7">
        <v>0.35</v>
      </c>
      <c r="H69" s="10"/>
      <c r="I69" s="10" t="s">
        <v>35</v>
      </c>
      <c r="J69" s="10"/>
      <c r="K69" s="10">
        <v>244</v>
      </c>
      <c r="L69" s="10">
        <f t="shared" si="11"/>
        <v>-28</v>
      </c>
      <c r="M69" s="10"/>
      <c r="N69" s="10"/>
      <c r="O69" s="10">
        <v>284</v>
      </c>
      <c r="P69" s="10">
        <f t="shared" si="12"/>
        <v>43.2</v>
      </c>
      <c r="Q69" s="4">
        <f t="shared" si="14"/>
        <v>322.80000000000007</v>
      </c>
      <c r="R69" s="4">
        <f t="shared" si="7"/>
        <v>323</v>
      </c>
      <c r="S69" s="4"/>
      <c r="T69" s="22"/>
      <c r="U69" s="22"/>
      <c r="V69" s="10">
        <f t="shared" si="8"/>
        <v>14.004629629629628</v>
      </c>
      <c r="W69" s="10">
        <f t="shared" si="13"/>
        <v>6.5277777777777777</v>
      </c>
      <c r="X69" s="10">
        <v>35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 t="s">
        <v>111</v>
      </c>
      <c r="AI69" s="10">
        <f t="shared" si="9"/>
        <v>113.05</v>
      </c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x14ac:dyDescent="0.25">
      <c r="A70" s="10" t="s">
        <v>112</v>
      </c>
      <c r="B70" s="10" t="s">
        <v>34</v>
      </c>
      <c r="C70" s="10">
        <v>646.23299999999995</v>
      </c>
      <c r="D70" s="10"/>
      <c r="E70" s="10">
        <v>344.22</v>
      </c>
      <c r="F70" s="10">
        <v>279.108</v>
      </c>
      <c r="G70" s="7">
        <v>1</v>
      </c>
      <c r="H70" s="10">
        <v>50</v>
      </c>
      <c r="I70" s="10" t="s">
        <v>35</v>
      </c>
      <c r="J70" s="10"/>
      <c r="K70" s="10">
        <v>324</v>
      </c>
      <c r="L70" s="10">
        <f t="shared" ref="L70:L101" si="15">E70-K70</f>
        <v>20.220000000000027</v>
      </c>
      <c r="M70" s="10"/>
      <c r="N70" s="10"/>
      <c r="O70" s="10">
        <v>0</v>
      </c>
      <c r="P70" s="10">
        <f t="shared" ref="P70:P103" si="16">E70/5</f>
        <v>68.844000000000008</v>
      </c>
      <c r="Q70" s="4">
        <f>11*P70-O70-F70</f>
        <v>478.1760000000001</v>
      </c>
      <c r="R70" s="4">
        <f t="shared" si="7"/>
        <v>478</v>
      </c>
      <c r="S70" s="4"/>
      <c r="T70" s="22"/>
      <c r="U70" s="22"/>
      <c r="V70" s="10">
        <f t="shared" si="8"/>
        <v>10.997443495438961</v>
      </c>
      <c r="W70" s="10">
        <f t="shared" ref="W70:W103" si="17">(F70+O70)/P70</f>
        <v>4.0542095171692516</v>
      </c>
      <c r="X70" s="10">
        <v>29.391200000000001</v>
      </c>
      <c r="Y70" s="10">
        <v>35.189399999999999</v>
      </c>
      <c r="Z70" s="10">
        <v>67.367999999999995</v>
      </c>
      <c r="AA70" s="10">
        <v>35.150799999999997</v>
      </c>
      <c r="AB70" s="10">
        <v>52.886000000000003</v>
      </c>
      <c r="AC70" s="10">
        <v>31.279</v>
      </c>
      <c r="AD70" s="10">
        <v>28.452000000000002</v>
      </c>
      <c r="AE70" s="10">
        <v>33.644199999999998</v>
      </c>
      <c r="AF70" s="10">
        <v>35.037400000000012</v>
      </c>
      <c r="AG70" s="10">
        <v>33.808399999999999</v>
      </c>
      <c r="AH70" s="10"/>
      <c r="AI70" s="10">
        <f t="shared" si="9"/>
        <v>478</v>
      </c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x14ac:dyDescent="0.25">
      <c r="A71" s="10" t="s">
        <v>114</v>
      </c>
      <c r="B71" s="10" t="s">
        <v>34</v>
      </c>
      <c r="C71" s="10">
        <v>616.73</v>
      </c>
      <c r="D71" s="10">
        <v>113.14700000000001</v>
      </c>
      <c r="E71" s="10">
        <v>351.62200000000001</v>
      </c>
      <c r="F71" s="10">
        <v>348.226</v>
      </c>
      <c r="G71" s="7">
        <v>1</v>
      </c>
      <c r="H71" s="10">
        <v>50</v>
      </c>
      <c r="I71" s="10" t="s">
        <v>35</v>
      </c>
      <c r="J71" s="10"/>
      <c r="K71" s="10">
        <v>326</v>
      </c>
      <c r="L71" s="10">
        <f t="shared" si="15"/>
        <v>25.622000000000014</v>
      </c>
      <c r="M71" s="10"/>
      <c r="N71" s="10"/>
      <c r="O71" s="10">
        <v>0</v>
      </c>
      <c r="P71" s="10">
        <f t="shared" si="16"/>
        <v>70.324399999999997</v>
      </c>
      <c r="Q71" s="4">
        <f>12*P71-O71-F71</f>
        <v>495.66679999999997</v>
      </c>
      <c r="R71" s="4">
        <f t="shared" ref="R71:R103" si="18">ROUND(Q71,0)</f>
        <v>496</v>
      </c>
      <c r="S71" s="4"/>
      <c r="T71" s="22"/>
      <c r="U71" s="22"/>
      <c r="V71" s="10">
        <f t="shared" ref="V71:V103" si="19">(F71+O71+R71)/P71</f>
        <v>12.004738042557065</v>
      </c>
      <c r="W71" s="10">
        <f t="shared" si="17"/>
        <v>4.9517095062311238</v>
      </c>
      <c r="X71" s="10">
        <v>26.7746</v>
      </c>
      <c r="Y71" s="10">
        <v>56.224200000000003</v>
      </c>
      <c r="Z71" s="10">
        <v>77.818399999999997</v>
      </c>
      <c r="AA71" s="10">
        <v>32.770200000000003</v>
      </c>
      <c r="AB71" s="10">
        <v>55.198</v>
      </c>
      <c r="AC71" s="10">
        <v>53.136600000000001</v>
      </c>
      <c r="AD71" s="10">
        <v>30.6296</v>
      </c>
      <c r="AE71" s="10">
        <v>26.934999999999999</v>
      </c>
      <c r="AF71" s="10">
        <v>48.299799999999998</v>
      </c>
      <c r="AG71" s="10">
        <v>57.070000000000007</v>
      </c>
      <c r="AH71" s="10"/>
      <c r="AI71" s="10">
        <f t="shared" ref="AI71:AI103" si="20">G71*R71</f>
        <v>496</v>
      </c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x14ac:dyDescent="0.25">
      <c r="A72" s="10" t="s">
        <v>115</v>
      </c>
      <c r="B72" s="10" t="s">
        <v>38</v>
      </c>
      <c r="C72" s="10">
        <v>424</v>
      </c>
      <c r="D72" s="10">
        <v>16</v>
      </c>
      <c r="E72" s="10">
        <v>310</v>
      </c>
      <c r="F72" s="10">
        <v>82</v>
      </c>
      <c r="G72" s="7">
        <v>0.35</v>
      </c>
      <c r="H72" s="10">
        <v>50</v>
      </c>
      <c r="I72" s="10" t="s">
        <v>35</v>
      </c>
      <c r="J72" s="10"/>
      <c r="K72" s="10">
        <v>317</v>
      </c>
      <c r="L72" s="10">
        <f t="shared" si="15"/>
        <v>-7</v>
      </c>
      <c r="M72" s="10"/>
      <c r="N72" s="10"/>
      <c r="O72" s="10">
        <v>170</v>
      </c>
      <c r="P72" s="10">
        <f t="shared" si="16"/>
        <v>62</v>
      </c>
      <c r="Q72" s="4">
        <f>12*P72-O72-F72</f>
        <v>492</v>
      </c>
      <c r="R72" s="4">
        <f t="shared" si="18"/>
        <v>492</v>
      </c>
      <c r="S72" s="4"/>
      <c r="T72" s="22"/>
      <c r="U72" s="22"/>
      <c r="V72" s="10">
        <f t="shared" si="19"/>
        <v>12</v>
      </c>
      <c r="W72" s="10">
        <f t="shared" si="17"/>
        <v>4.064516129032258</v>
      </c>
      <c r="X72" s="10">
        <v>40</v>
      </c>
      <c r="Y72" s="10">
        <v>41.8</v>
      </c>
      <c r="Z72" s="10">
        <v>65.599999999999994</v>
      </c>
      <c r="AA72" s="10">
        <v>34.200000000000003</v>
      </c>
      <c r="AB72" s="10">
        <v>34.4</v>
      </c>
      <c r="AC72" s="10">
        <v>63.8</v>
      </c>
      <c r="AD72" s="10">
        <v>44.2</v>
      </c>
      <c r="AE72" s="10">
        <v>39.200000000000003</v>
      </c>
      <c r="AF72" s="10">
        <v>50.6</v>
      </c>
      <c r="AG72" s="10">
        <v>56.2</v>
      </c>
      <c r="AH72" s="10"/>
      <c r="AI72" s="10">
        <f t="shared" si="20"/>
        <v>172.2</v>
      </c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1:52" x14ac:dyDescent="0.25">
      <c r="A73" s="10" t="s">
        <v>116</v>
      </c>
      <c r="B73" s="10" t="s">
        <v>38</v>
      </c>
      <c r="C73" s="10">
        <v>69</v>
      </c>
      <c r="D73" s="10">
        <v>66</v>
      </c>
      <c r="E73" s="10">
        <v>74</v>
      </c>
      <c r="F73" s="10">
        <v>51</v>
      </c>
      <c r="G73" s="7">
        <v>0.3</v>
      </c>
      <c r="H73" s="10">
        <v>50</v>
      </c>
      <c r="I73" s="10" t="s">
        <v>35</v>
      </c>
      <c r="J73" s="10"/>
      <c r="K73" s="10">
        <v>75</v>
      </c>
      <c r="L73" s="10">
        <f t="shared" si="15"/>
        <v>-1</v>
      </c>
      <c r="M73" s="10"/>
      <c r="N73" s="10"/>
      <c r="O73" s="10">
        <v>82</v>
      </c>
      <c r="P73" s="10">
        <f t="shared" si="16"/>
        <v>14.8</v>
      </c>
      <c r="Q73" s="4">
        <f t="shared" si="14"/>
        <v>74.200000000000017</v>
      </c>
      <c r="R73" s="4">
        <f t="shared" si="18"/>
        <v>74</v>
      </c>
      <c r="S73" s="4"/>
      <c r="T73" s="22"/>
      <c r="U73" s="22"/>
      <c r="V73" s="10">
        <f t="shared" si="19"/>
        <v>13.986486486486486</v>
      </c>
      <c r="W73" s="10">
        <f t="shared" si="17"/>
        <v>8.986486486486486</v>
      </c>
      <c r="X73" s="10">
        <v>14.8</v>
      </c>
      <c r="Y73" s="10">
        <v>13.2</v>
      </c>
      <c r="Z73" s="10">
        <v>13.4</v>
      </c>
      <c r="AA73" s="10">
        <v>12.4</v>
      </c>
      <c r="AB73" s="10">
        <v>9</v>
      </c>
      <c r="AC73" s="10">
        <v>14.2</v>
      </c>
      <c r="AD73" s="10">
        <v>17.600000000000001</v>
      </c>
      <c r="AE73" s="10">
        <v>9.6</v>
      </c>
      <c r="AF73" s="10">
        <v>13.8</v>
      </c>
      <c r="AG73" s="10">
        <v>7.4</v>
      </c>
      <c r="AH73" s="10"/>
      <c r="AI73" s="10">
        <f t="shared" si="20"/>
        <v>22.2</v>
      </c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pans="1:52" x14ac:dyDescent="0.25">
      <c r="A74" s="10" t="s">
        <v>117</v>
      </c>
      <c r="B74" s="10" t="s">
        <v>38</v>
      </c>
      <c r="C74" s="10">
        <v>110</v>
      </c>
      <c r="D74" s="10">
        <v>1</v>
      </c>
      <c r="E74" s="10">
        <v>81</v>
      </c>
      <c r="F74" s="10">
        <v>16</v>
      </c>
      <c r="G74" s="7">
        <v>0.3</v>
      </c>
      <c r="H74" s="10">
        <v>60</v>
      </c>
      <c r="I74" s="10" t="s">
        <v>35</v>
      </c>
      <c r="J74" s="10"/>
      <c r="K74" s="10">
        <v>83</v>
      </c>
      <c r="L74" s="10">
        <f t="shared" si="15"/>
        <v>-2</v>
      </c>
      <c r="M74" s="10"/>
      <c r="N74" s="10"/>
      <c r="O74" s="10">
        <v>68</v>
      </c>
      <c r="P74" s="10">
        <f t="shared" si="16"/>
        <v>16.2</v>
      </c>
      <c r="Q74" s="4">
        <f t="shared" ref="Q74:Q75" si="21">13*P74-O74-F74</f>
        <v>126.6</v>
      </c>
      <c r="R74" s="4">
        <f t="shared" si="18"/>
        <v>127</v>
      </c>
      <c r="S74" s="4"/>
      <c r="T74" s="22"/>
      <c r="U74" s="22"/>
      <c r="V74" s="10">
        <f t="shared" si="19"/>
        <v>13.024691358024691</v>
      </c>
      <c r="W74" s="10">
        <f t="shared" si="17"/>
        <v>5.1851851851851851</v>
      </c>
      <c r="X74" s="10">
        <v>15.6</v>
      </c>
      <c r="Y74" s="10">
        <v>16.2</v>
      </c>
      <c r="Z74" s="10">
        <v>17.2</v>
      </c>
      <c r="AA74" s="10">
        <v>16.600000000000001</v>
      </c>
      <c r="AB74" s="10">
        <v>17</v>
      </c>
      <c r="AC74" s="10">
        <v>19.600000000000001</v>
      </c>
      <c r="AD74" s="10">
        <v>15.6</v>
      </c>
      <c r="AE74" s="10">
        <v>14.8</v>
      </c>
      <c r="AF74" s="10">
        <v>13.4</v>
      </c>
      <c r="AG74" s="10">
        <v>6.6</v>
      </c>
      <c r="AH74" s="10"/>
      <c r="AI74" s="10">
        <f t="shared" si="20"/>
        <v>38.1</v>
      </c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1:52" x14ac:dyDescent="0.25">
      <c r="A75" s="10" t="s">
        <v>118</v>
      </c>
      <c r="B75" s="10" t="s">
        <v>38</v>
      </c>
      <c r="C75" s="10">
        <v>200</v>
      </c>
      <c r="D75" s="10">
        <v>112</v>
      </c>
      <c r="E75" s="10">
        <v>174</v>
      </c>
      <c r="F75" s="10">
        <v>106</v>
      </c>
      <c r="G75" s="7">
        <v>0.28000000000000003</v>
      </c>
      <c r="H75" s="10">
        <v>50</v>
      </c>
      <c r="I75" s="10" t="s">
        <v>35</v>
      </c>
      <c r="J75" s="10"/>
      <c r="K75" s="10">
        <v>179</v>
      </c>
      <c r="L75" s="10">
        <f t="shared" si="15"/>
        <v>-5</v>
      </c>
      <c r="M75" s="10"/>
      <c r="N75" s="10"/>
      <c r="O75" s="10">
        <v>64</v>
      </c>
      <c r="P75" s="10">
        <f t="shared" si="16"/>
        <v>34.799999999999997</v>
      </c>
      <c r="Q75" s="4">
        <f t="shared" si="21"/>
        <v>282.39999999999998</v>
      </c>
      <c r="R75" s="4">
        <f t="shared" si="18"/>
        <v>282</v>
      </c>
      <c r="S75" s="4"/>
      <c r="T75" s="22"/>
      <c r="U75" s="22"/>
      <c r="V75" s="10">
        <f t="shared" si="19"/>
        <v>12.988505747126437</v>
      </c>
      <c r="W75" s="10">
        <f t="shared" si="17"/>
        <v>4.8850574712643686</v>
      </c>
      <c r="X75" s="10">
        <v>24.2</v>
      </c>
      <c r="Y75" s="10">
        <v>27.8</v>
      </c>
      <c r="Z75" s="10">
        <v>28.6</v>
      </c>
      <c r="AA75" s="10">
        <v>31</v>
      </c>
      <c r="AB75" s="10">
        <v>33.799999999999997</v>
      </c>
      <c r="AC75" s="10">
        <v>38.6</v>
      </c>
      <c r="AD75" s="10">
        <v>27.8</v>
      </c>
      <c r="AE75" s="10">
        <v>31.2</v>
      </c>
      <c r="AF75" s="10">
        <v>27.4</v>
      </c>
      <c r="AG75" s="10">
        <v>42.8</v>
      </c>
      <c r="AH75" s="10"/>
      <c r="AI75" s="10">
        <f t="shared" si="20"/>
        <v>78.960000000000008</v>
      </c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spans="1:52" x14ac:dyDescent="0.25">
      <c r="A76" s="10" t="s">
        <v>119</v>
      </c>
      <c r="B76" s="10" t="s">
        <v>38</v>
      </c>
      <c r="C76" s="10">
        <v>251</v>
      </c>
      <c r="D76" s="10">
        <v>57</v>
      </c>
      <c r="E76" s="10">
        <v>251</v>
      </c>
      <c r="F76" s="10">
        <v>23</v>
      </c>
      <c r="G76" s="7">
        <v>0.28000000000000003</v>
      </c>
      <c r="H76" s="10">
        <v>45</v>
      </c>
      <c r="I76" s="10" t="s">
        <v>35</v>
      </c>
      <c r="J76" s="10"/>
      <c r="K76" s="10">
        <v>261</v>
      </c>
      <c r="L76" s="10">
        <f t="shared" si="15"/>
        <v>-10</v>
      </c>
      <c r="M76" s="10"/>
      <c r="N76" s="10"/>
      <c r="O76" s="10">
        <v>315</v>
      </c>
      <c r="P76" s="10">
        <f t="shared" si="16"/>
        <v>50.2</v>
      </c>
      <c r="Q76" s="4">
        <f t="shared" si="14"/>
        <v>364.80000000000007</v>
      </c>
      <c r="R76" s="4">
        <f t="shared" si="18"/>
        <v>365</v>
      </c>
      <c r="S76" s="4"/>
      <c r="T76" s="22"/>
      <c r="U76" s="22"/>
      <c r="V76" s="10">
        <f t="shared" si="19"/>
        <v>14.003984063745019</v>
      </c>
      <c r="W76" s="10">
        <f t="shared" si="17"/>
        <v>6.7330677290836647</v>
      </c>
      <c r="X76" s="10">
        <v>40.4</v>
      </c>
      <c r="Y76" s="10">
        <v>33.4</v>
      </c>
      <c r="Z76" s="10">
        <v>42.8</v>
      </c>
      <c r="AA76" s="10">
        <v>31.2</v>
      </c>
      <c r="AB76" s="10">
        <v>33.6</v>
      </c>
      <c r="AC76" s="10">
        <v>43.8</v>
      </c>
      <c r="AD76" s="10">
        <v>38</v>
      </c>
      <c r="AE76" s="10">
        <v>34.4</v>
      </c>
      <c r="AF76" s="10">
        <v>35.6</v>
      </c>
      <c r="AG76" s="10">
        <v>30.2</v>
      </c>
      <c r="AH76" s="10"/>
      <c r="AI76" s="10">
        <f t="shared" si="20"/>
        <v>102.2</v>
      </c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1:52" x14ac:dyDescent="0.25">
      <c r="A77" s="10" t="s">
        <v>120</v>
      </c>
      <c r="B77" s="10" t="s">
        <v>38</v>
      </c>
      <c r="C77" s="10">
        <v>460</v>
      </c>
      <c r="D77" s="10">
        <v>489</v>
      </c>
      <c r="E77" s="10">
        <v>493</v>
      </c>
      <c r="F77" s="10">
        <v>372</v>
      </c>
      <c r="G77" s="7">
        <v>0.28000000000000003</v>
      </c>
      <c r="H77" s="10">
        <v>45</v>
      </c>
      <c r="I77" s="10" t="s">
        <v>35</v>
      </c>
      <c r="J77" s="10"/>
      <c r="K77" s="10">
        <v>506</v>
      </c>
      <c r="L77" s="10">
        <f t="shared" si="15"/>
        <v>-13</v>
      </c>
      <c r="M77" s="10"/>
      <c r="N77" s="10"/>
      <c r="O77" s="10">
        <v>587</v>
      </c>
      <c r="P77" s="10">
        <f t="shared" si="16"/>
        <v>98.6</v>
      </c>
      <c r="Q77" s="4">
        <f t="shared" si="14"/>
        <v>421.39999999999986</v>
      </c>
      <c r="R77" s="4">
        <f t="shared" si="18"/>
        <v>421</v>
      </c>
      <c r="S77" s="4"/>
      <c r="T77" s="22"/>
      <c r="U77" s="22"/>
      <c r="V77" s="10">
        <f t="shared" si="19"/>
        <v>13.995943204868155</v>
      </c>
      <c r="W77" s="10">
        <f t="shared" si="17"/>
        <v>9.7261663286004065</v>
      </c>
      <c r="X77" s="10">
        <v>101.2</v>
      </c>
      <c r="Y77" s="10">
        <v>97.2</v>
      </c>
      <c r="Z77" s="10">
        <v>82.4</v>
      </c>
      <c r="AA77" s="10">
        <v>91.8</v>
      </c>
      <c r="AB77" s="10">
        <v>89.8</v>
      </c>
      <c r="AC77" s="10">
        <v>101</v>
      </c>
      <c r="AD77" s="10">
        <v>72.400000000000006</v>
      </c>
      <c r="AE77" s="10">
        <v>66.8</v>
      </c>
      <c r="AF77" s="10">
        <v>49.4</v>
      </c>
      <c r="AG77" s="10">
        <v>83</v>
      </c>
      <c r="AH77" s="10"/>
      <c r="AI77" s="10">
        <f t="shared" si="20"/>
        <v>117.88000000000001</v>
      </c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spans="1:52" x14ac:dyDescent="0.25">
      <c r="A78" s="10" t="s">
        <v>121</v>
      </c>
      <c r="B78" s="10" t="s">
        <v>38</v>
      </c>
      <c r="C78" s="10">
        <v>249</v>
      </c>
      <c r="D78" s="10">
        <v>205</v>
      </c>
      <c r="E78" s="10">
        <v>201</v>
      </c>
      <c r="F78" s="10">
        <v>229</v>
      </c>
      <c r="G78" s="7">
        <v>0.4</v>
      </c>
      <c r="H78" s="10">
        <v>50</v>
      </c>
      <c r="I78" s="10" t="s">
        <v>35</v>
      </c>
      <c r="J78" s="10"/>
      <c r="K78" s="10">
        <v>211</v>
      </c>
      <c r="L78" s="10">
        <f t="shared" si="15"/>
        <v>-10</v>
      </c>
      <c r="M78" s="10"/>
      <c r="N78" s="10"/>
      <c r="O78" s="10">
        <v>64</v>
      </c>
      <c r="P78" s="10">
        <f t="shared" si="16"/>
        <v>40.200000000000003</v>
      </c>
      <c r="Q78" s="4">
        <f t="shared" si="14"/>
        <v>269.80000000000007</v>
      </c>
      <c r="R78" s="4">
        <f t="shared" si="18"/>
        <v>270</v>
      </c>
      <c r="S78" s="4"/>
      <c r="T78" s="22"/>
      <c r="U78" s="22"/>
      <c r="V78" s="10">
        <f t="shared" si="19"/>
        <v>14.004975124378108</v>
      </c>
      <c r="W78" s="10">
        <f t="shared" si="17"/>
        <v>7.2885572139303481</v>
      </c>
      <c r="X78" s="10">
        <v>32.4</v>
      </c>
      <c r="Y78" s="10">
        <v>40.200000000000003</v>
      </c>
      <c r="Z78" s="10">
        <v>36.200000000000003</v>
      </c>
      <c r="AA78" s="10">
        <v>36.799999999999997</v>
      </c>
      <c r="AB78" s="10">
        <v>26.6</v>
      </c>
      <c r="AC78" s="10">
        <v>27.8</v>
      </c>
      <c r="AD78" s="10">
        <v>37.4</v>
      </c>
      <c r="AE78" s="10">
        <v>28.2</v>
      </c>
      <c r="AF78" s="10">
        <v>30.4</v>
      </c>
      <c r="AG78" s="10">
        <v>43.6</v>
      </c>
      <c r="AH78" s="10"/>
      <c r="AI78" s="10">
        <f t="shared" si="20"/>
        <v>108</v>
      </c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1:52" x14ac:dyDescent="0.25">
      <c r="A79" s="10" t="s">
        <v>122</v>
      </c>
      <c r="B79" s="10" t="s">
        <v>34</v>
      </c>
      <c r="C79" s="10">
        <v>27.92</v>
      </c>
      <c r="D79" s="10">
        <v>108.557</v>
      </c>
      <c r="E79" s="10">
        <v>125.13200000000001</v>
      </c>
      <c r="F79" s="10">
        <v>4.3319999999999999</v>
      </c>
      <c r="G79" s="7">
        <v>1</v>
      </c>
      <c r="H79" s="10">
        <v>30</v>
      </c>
      <c r="I79" s="10" t="s">
        <v>35</v>
      </c>
      <c r="J79" s="10"/>
      <c r="K79" s="10">
        <v>146.46</v>
      </c>
      <c r="L79" s="10">
        <f t="shared" si="15"/>
        <v>-21.328000000000003</v>
      </c>
      <c r="M79" s="10"/>
      <c r="N79" s="10"/>
      <c r="O79" s="10">
        <v>230</v>
      </c>
      <c r="P79" s="10">
        <f t="shared" si="16"/>
        <v>25.026400000000002</v>
      </c>
      <c r="Q79" s="4">
        <f t="shared" si="14"/>
        <v>116.03760000000005</v>
      </c>
      <c r="R79" s="4">
        <v>230</v>
      </c>
      <c r="S79" s="25">
        <v>200</v>
      </c>
      <c r="T79" s="22">
        <v>230</v>
      </c>
      <c r="U79" s="10" t="s">
        <v>159</v>
      </c>
      <c r="V79" s="10">
        <f t="shared" si="19"/>
        <v>18.553687306204647</v>
      </c>
      <c r="W79" s="10">
        <f t="shared" si="17"/>
        <v>9.3633922577757875</v>
      </c>
      <c r="X79" s="10">
        <v>19.0764</v>
      </c>
      <c r="Y79" s="10">
        <v>11.9458</v>
      </c>
      <c r="Z79" s="10">
        <v>14.8004</v>
      </c>
      <c r="AA79" s="10">
        <v>8.9665999999999997</v>
      </c>
      <c r="AB79" s="10">
        <v>8.8193999999999999</v>
      </c>
      <c r="AC79" s="10">
        <v>10.5128</v>
      </c>
      <c r="AD79" s="10">
        <v>9.5676000000000005</v>
      </c>
      <c r="AE79" s="10">
        <v>0</v>
      </c>
      <c r="AF79" s="10">
        <v>0</v>
      </c>
      <c r="AG79" s="10">
        <v>0</v>
      </c>
      <c r="AH79" s="10" t="s">
        <v>36</v>
      </c>
      <c r="AI79" s="10">
        <f t="shared" si="20"/>
        <v>230</v>
      </c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1:52" x14ac:dyDescent="0.25">
      <c r="A80" s="17" t="s">
        <v>123</v>
      </c>
      <c r="B80" s="10" t="s">
        <v>38</v>
      </c>
      <c r="C80" s="10"/>
      <c r="D80" s="10"/>
      <c r="E80" s="10"/>
      <c r="F80" s="10"/>
      <c r="G80" s="7">
        <v>0.33800000000000002</v>
      </c>
      <c r="H80" s="10" t="s">
        <v>124</v>
      </c>
      <c r="I80" s="10" t="s">
        <v>35</v>
      </c>
      <c r="J80" s="10"/>
      <c r="K80" s="10"/>
      <c r="L80" s="10">
        <f t="shared" si="15"/>
        <v>0</v>
      </c>
      <c r="M80" s="10"/>
      <c r="N80" s="10"/>
      <c r="O80" s="10">
        <v>50</v>
      </c>
      <c r="P80" s="10">
        <f t="shared" si="16"/>
        <v>0</v>
      </c>
      <c r="Q80" s="4"/>
      <c r="R80" s="4">
        <f t="shared" si="18"/>
        <v>0</v>
      </c>
      <c r="S80" s="4"/>
      <c r="T80" s="22"/>
      <c r="U80" s="22"/>
      <c r="V80" s="10" t="e">
        <f t="shared" si="19"/>
        <v>#DIV/0!</v>
      </c>
      <c r="W80" s="10" t="e">
        <f t="shared" si="17"/>
        <v>#DIV/0!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 t="s">
        <v>36</v>
      </c>
      <c r="AI80" s="10">
        <f t="shared" si="20"/>
        <v>0</v>
      </c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1:52" x14ac:dyDescent="0.25">
      <c r="A81" s="17" t="s">
        <v>125</v>
      </c>
      <c r="B81" s="10" t="s">
        <v>38</v>
      </c>
      <c r="C81" s="10"/>
      <c r="D81" s="10"/>
      <c r="E81" s="10"/>
      <c r="F81" s="10"/>
      <c r="G81" s="7">
        <v>0.32500000000000001</v>
      </c>
      <c r="H81" s="10" t="s">
        <v>124</v>
      </c>
      <c r="I81" s="10" t="s">
        <v>35</v>
      </c>
      <c r="J81" s="10"/>
      <c r="K81" s="10"/>
      <c r="L81" s="10">
        <f t="shared" si="15"/>
        <v>0</v>
      </c>
      <c r="M81" s="10"/>
      <c r="N81" s="10"/>
      <c r="O81" s="10">
        <v>50</v>
      </c>
      <c r="P81" s="10">
        <f t="shared" si="16"/>
        <v>0</v>
      </c>
      <c r="Q81" s="4"/>
      <c r="R81" s="4">
        <f t="shared" si="18"/>
        <v>0</v>
      </c>
      <c r="S81" s="4"/>
      <c r="T81" s="22"/>
      <c r="U81" s="22"/>
      <c r="V81" s="10" t="e">
        <f t="shared" si="19"/>
        <v>#DIV/0!</v>
      </c>
      <c r="W81" s="10" t="e">
        <f t="shared" si="17"/>
        <v>#DIV/0!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 t="s">
        <v>36</v>
      </c>
      <c r="AI81" s="10">
        <f t="shared" si="20"/>
        <v>0</v>
      </c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1:52" x14ac:dyDescent="0.25">
      <c r="A82" s="17" t="s">
        <v>126</v>
      </c>
      <c r="B82" s="10" t="s">
        <v>38</v>
      </c>
      <c r="C82" s="10">
        <v>214</v>
      </c>
      <c r="D82" s="10">
        <v>97</v>
      </c>
      <c r="E82" s="10">
        <v>212</v>
      </c>
      <c r="F82" s="10">
        <v>55</v>
      </c>
      <c r="G82" s="7">
        <v>0.12</v>
      </c>
      <c r="H82" s="10">
        <v>60</v>
      </c>
      <c r="I82" s="10" t="s">
        <v>35</v>
      </c>
      <c r="J82" s="10"/>
      <c r="K82" s="10">
        <v>220</v>
      </c>
      <c r="L82" s="10">
        <f t="shared" si="15"/>
        <v>-8</v>
      </c>
      <c r="M82" s="10"/>
      <c r="N82" s="10"/>
      <c r="O82" s="10">
        <v>100</v>
      </c>
      <c r="P82" s="10">
        <f t="shared" si="16"/>
        <v>42.4</v>
      </c>
      <c r="Q82" s="4">
        <f>12*P82-O82-F82</f>
        <v>353.79999999999995</v>
      </c>
      <c r="R82" s="4">
        <f t="shared" si="18"/>
        <v>354</v>
      </c>
      <c r="S82" s="4"/>
      <c r="T82" s="22"/>
      <c r="U82" s="22"/>
      <c r="V82" s="10">
        <f t="shared" si="19"/>
        <v>12.004716981132075</v>
      </c>
      <c r="W82" s="10">
        <f t="shared" si="17"/>
        <v>3.6556603773584908</v>
      </c>
      <c r="X82" s="10">
        <v>23.8</v>
      </c>
      <c r="Y82" s="10">
        <v>27.4</v>
      </c>
      <c r="Z82" s="10">
        <v>28.2</v>
      </c>
      <c r="AA82" s="10">
        <v>22.2</v>
      </c>
      <c r="AB82" s="10">
        <v>25</v>
      </c>
      <c r="AC82" s="10">
        <v>29</v>
      </c>
      <c r="AD82" s="10">
        <v>27.4</v>
      </c>
      <c r="AE82" s="10">
        <v>27</v>
      </c>
      <c r="AF82" s="10">
        <v>17.399999999999999</v>
      </c>
      <c r="AG82" s="10">
        <v>24.4</v>
      </c>
      <c r="AH82" s="10"/>
      <c r="AI82" s="10">
        <f t="shared" si="20"/>
        <v>42.48</v>
      </c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1:52" x14ac:dyDescent="0.25">
      <c r="A83" s="17" t="s">
        <v>127</v>
      </c>
      <c r="B83" s="10" t="s">
        <v>38</v>
      </c>
      <c r="C83" s="10"/>
      <c r="D83" s="10"/>
      <c r="E83" s="10"/>
      <c r="F83" s="10"/>
      <c r="G83" s="7">
        <v>0.15</v>
      </c>
      <c r="H83" s="10">
        <v>90</v>
      </c>
      <c r="I83" s="10" t="s">
        <v>35</v>
      </c>
      <c r="J83" s="10"/>
      <c r="K83" s="10"/>
      <c r="L83" s="10">
        <f t="shared" si="15"/>
        <v>0</v>
      </c>
      <c r="M83" s="10"/>
      <c r="N83" s="10"/>
      <c r="O83" s="10">
        <v>40</v>
      </c>
      <c r="P83" s="10">
        <f t="shared" si="16"/>
        <v>0</v>
      </c>
      <c r="Q83" s="4"/>
      <c r="R83" s="4">
        <f t="shared" si="18"/>
        <v>0</v>
      </c>
      <c r="S83" s="4"/>
      <c r="T83" s="22"/>
      <c r="U83" s="22"/>
      <c r="V83" s="10" t="e">
        <f t="shared" si="19"/>
        <v>#DIV/0!</v>
      </c>
      <c r="W83" s="10" t="e">
        <f t="shared" si="17"/>
        <v>#DIV/0!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 t="s">
        <v>36</v>
      </c>
      <c r="AI83" s="10">
        <f t="shared" si="20"/>
        <v>0</v>
      </c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1:52" x14ac:dyDescent="0.25">
      <c r="A84" s="17" t="s">
        <v>128</v>
      </c>
      <c r="B84" s="10" t="s">
        <v>38</v>
      </c>
      <c r="C84" s="10"/>
      <c r="D84" s="10"/>
      <c r="E84" s="10"/>
      <c r="F84" s="10"/>
      <c r="G84" s="7">
        <v>0.15</v>
      </c>
      <c r="H84" s="10">
        <v>90</v>
      </c>
      <c r="I84" s="10" t="s">
        <v>35</v>
      </c>
      <c r="J84" s="10"/>
      <c r="K84" s="10"/>
      <c r="L84" s="10">
        <f t="shared" si="15"/>
        <v>0</v>
      </c>
      <c r="M84" s="10"/>
      <c r="N84" s="10"/>
      <c r="O84" s="10">
        <v>40</v>
      </c>
      <c r="P84" s="10">
        <f t="shared" si="16"/>
        <v>0</v>
      </c>
      <c r="Q84" s="4"/>
      <c r="R84" s="4">
        <f t="shared" si="18"/>
        <v>0</v>
      </c>
      <c r="S84" s="4"/>
      <c r="T84" s="22"/>
      <c r="U84" s="22"/>
      <c r="V84" s="10" t="e">
        <f t="shared" si="19"/>
        <v>#DIV/0!</v>
      </c>
      <c r="W84" s="10" t="e">
        <f t="shared" si="17"/>
        <v>#DIV/0!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 t="s">
        <v>36</v>
      </c>
      <c r="AI84" s="10">
        <f t="shared" si="20"/>
        <v>0</v>
      </c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1:52" x14ac:dyDescent="0.25">
      <c r="A85" s="10" t="s">
        <v>129</v>
      </c>
      <c r="B85" s="10" t="s">
        <v>38</v>
      </c>
      <c r="C85" s="10">
        <v>64</v>
      </c>
      <c r="D85" s="10">
        <v>120</v>
      </c>
      <c r="E85" s="10">
        <v>112</v>
      </c>
      <c r="F85" s="10">
        <v>56</v>
      </c>
      <c r="G85" s="7">
        <v>0.33</v>
      </c>
      <c r="H85" s="10">
        <v>30</v>
      </c>
      <c r="I85" s="10" t="s">
        <v>35</v>
      </c>
      <c r="J85" s="10"/>
      <c r="K85" s="10">
        <v>130</v>
      </c>
      <c r="L85" s="10">
        <f t="shared" si="15"/>
        <v>-18</v>
      </c>
      <c r="M85" s="10"/>
      <c r="N85" s="10"/>
      <c r="O85" s="10">
        <v>81</v>
      </c>
      <c r="P85" s="10">
        <f t="shared" si="16"/>
        <v>22.4</v>
      </c>
      <c r="Q85" s="4">
        <f t="shared" si="14"/>
        <v>176.59999999999997</v>
      </c>
      <c r="R85" s="4">
        <f t="shared" si="18"/>
        <v>177</v>
      </c>
      <c r="S85" s="4"/>
      <c r="T85" s="22"/>
      <c r="U85" s="22"/>
      <c r="V85" s="10">
        <f t="shared" si="19"/>
        <v>14.017857142857144</v>
      </c>
      <c r="W85" s="10">
        <f t="shared" si="17"/>
        <v>6.1160714285714288</v>
      </c>
      <c r="X85" s="10">
        <v>17.600000000000001</v>
      </c>
      <c r="Y85" s="10">
        <v>15</v>
      </c>
      <c r="Z85" s="10">
        <v>17</v>
      </c>
      <c r="AA85" s="10">
        <v>9.8000000000000007</v>
      </c>
      <c r="AB85" s="10">
        <v>5</v>
      </c>
      <c r="AC85" s="10">
        <v>13</v>
      </c>
      <c r="AD85" s="10">
        <v>9.4</v>
      </c>
      <c r="AE85" s="10">
        <v>-1</v>
      </c>
      <c r="AF85" s="10">
        <v>-0.8</v>
      </c>
      <c r="AG85" s="10">
        <v>2</v>
      </c>
      <c r="AH85" s="10"/>
      <c r="AI85" s="10">
        <f t="shared" si="20"/>
        <v>58.410000000000004</v>
      </c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1:52" x14ac:dyDescent="0.25">
      <c r="A86" s="10" t="s">
        <v>130</v>
      </c>
      <c r="B86" s="10" t="s">
        <v>38</v>
      </c>
      <c r="C86" s="10">
        <v>224</v>
      </c>
      <c r="D86" s="10">
        <v>240</v>
      </c>
      <c r="E86" s="10">
        <v>235</v>
      </c>
      <c r="F86" s="10">
        <v>213</v>
      </c>
      <c r="G86" s="7">
        <v>0.15</v>
      </c>
      <c r="H86" s="10">
        <v>60</v>
      </c>
      <c r="I86" s="10" t="s">
        <v>35</v>
      </c>
      <c r="J86" s="10"/>
      <c r="K86" s="10">
        <v>235</v>
      </c>
      <c r="L86" s="10">
        <f t="shared" si="15"/>
        <v>0</v>
      </c>
      <c r="M86" s="10"/>
      <c r="N86" s="10"/>
      <c r="O86" s="10">
        <v>250</v>
      </c>
      <c r="P86" s="10">
        <f t="shared" si="16"/>
        <v>47</v>
      </c>
      <c r="Q86" s="4">
        <f t="shared" si="14"/>
        <v>195</v>
      </c>
      <c r="R86" s="4">
        <f t="shared" si="18"/>
        <v>195</v>
      </c>
      <c r="S86" s="4"/>
      <c r="T86" s="22"/>
      <c r="U86" s="22"/>
      <c r="V86" s="10">
        <f t="shared" si="19"/>
        <v>14</v>
      </c>
      <c r="W86" s="10">
        <f t="shared" si="17"/>
        <v>9.8510638297872344</v>
      </c>
      <c r="X86" s="10">
        <v>39.200000000000003</v>
      </c>
      <c r="Y86" s="10">
        <v>18</v>
      </c>
      <c r="Z86" s="10">
        <v>47.4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 t="s">
        <v>36</v>
      </c>
      <c r="AI86" s="10">
        <f t="shared" si="20"/>
        <v>29.25</v>
      </c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1:52" x14ac:dyDescent="0.25">
      <c r="A87" s="11" t="s">
        <v>131</v>
      </c>
      <c r="B87" s="11" t="s">
        <v>38</v>
      </c>
      <c r="C87" s="11"/>
      <c r="D87" s="11"/>
      <c r="E87" s="11"/>
      <c r="F87" s="11"/>
      <c r="G87" s="12">
        <v>0</v>
      </c>
      <c r="H87" s="11">
        <v>45</v>
      </c>
      <c r="I87" s="11" t="s">
        <v>35</v>
      </c>
      <c r="J87" s="11"/>
      <c r="K87" s="11"/>
      <c r="L87" s="11">
        <f t="shared" si="15"/>
        <v>0</v>
      </c>
      <c r="M87" s="11"/>
      <c r="N87" s="11"/>
      <c r="O87" s="11">
        <v>0</v>
      </c>
      <c r="P87" s="11">
        <f t="shared" si="16"/>
        <v>0</v>
      </c>
      <c r="Q87" s="13"/>
      <c r="R87" s="4">
        <f t="shared" si="18"/>
        <v>0</v>
      </c>
      <c r="S87" s="13"/>
      <c r="T87" s="23"/>
      <c r="U87" s="23"/>
      <c r="V87" s="10" t="e">
        <f t="shared" si="19"/>
        <v>#DIV/0!</v>
      </c>
      <c r="W87" s="11" t="e">
        <f t="shared" si="17"/>
        <v>#DIV/0!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 t="s">
        <v>132</v>
      </c>
      <c r="AI87" s="10">
        <f t="shared" si="20"/>
        <v>0</v>
      </c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1:52" x14ac:dyDescent="0.25">
      <c r="A88" s="17" t="s">
        <v>133</v>
      </c>
      <c r="B88" s="10" t="s">
        <v>34</v>
      </c>
      <c r="C88" s="10"/>
      <c r="D88" s="10"/>
      <c r="E88" s="10"/>
      <c r="F88" s="10"/>
      <c r="G88" s="7">
        <v>0</v>
      </c>
      <c r="H88" s="10">
        <v>30</v>
      </c>
      <c r="I88" s="10" t="s">
        <v>35</v>
      </c>
      <c r="J88" s="10"/>
      <c r="K88" s="10"/>
      <c r="L88" s="10">
        <f t="shared" si="15"/>
        <v>0</v>
      </c>
      <c r="M88" s="10"/>
      <c r="N88" s="10"/>
      <c r="O88" s="9">
        <v>10</v>
      </c>
      <c r="P88" s="10">
        <f t="shared" si="16"/>
        <v>0</v>
      </c>
      <c r="Q88" s="4"/>
      <c r="R88" s="4">
        <f t="shared" si="18"/>
        <v>0</v>
      </c>
      <c r="S88" s="4"/>
      <c r="T88" s="22"/>
      <c r="U88" s="22"/>
      <c r="V88" s="10" t="e">
        <f t="shared" si="19"/>
        <v>#DIV/0!</v>
      </c>
      <c r="W88" s="10" t="e">
        <f t="shared" si="17"/>
        <v>#DIV/0!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1" t="s">
        <v>132</v>
      </c>
      <c r="AI88" s="10">
        <f t="shared" si="20"/>
        <v>0</v>
      </c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1:52" x14ac:dyDescent="0.25">
      <c r="A89" s="11" t="s">
        <v>134</v>
      </c>
      <c r="B89" s="11" t="s">
        <v>38</v>
      </c>
      <c r="C89" s="11"/>
      <c r="D89" s="11"/>
      <c r="E89" s="11"/>
      <c r="F89" s="11"/>
      <c r="G89" s="12">
        <v>0</v>
      </c>
      <c r="H89" s="11">
        <v>45</v>
      </c>
      <c r="I89" s="11" t="s">
        <v>35</v>
      </c>
      <c r="J89" s="11"/>
      <c r="K89" s="11"/>
      <c r="L89" s="11">
        <f t="shared" si="15"/>
        <v>0</v>
      </c>
      <c r="M89" s="11"/>
      <c r="N89" s="11"/>
      <c r="O89" s="11">
        <v>0</v>
      </c>
      <c r="P89" s="11">
        <f t="shared" si="16"/>
        <v>0</v>
      </c>
      <c r="Q89" s="13"/>
      <c r="R89" s="4">
        <f t="shared" si="18"/>
        <v>0</v>
      </c>
      <c r="S89" s="13"/>
      <c r="T89" s="23"/>
      <c r="U89" s="23"/>
      <c r="V89" s="10" t="e">
        <f t="shared" si="19"/>
        <v>#DIV/0!</v>
      </c>
      <c r="W89" s="11" t="e">
        <f t="shared" si="17"/>
        <v>#DIV/0!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 t="s">
        <v>132</v>
      </c>
      <c r="AI89" s="10">
        <f t="shared" si="20"/>
        <v>0</v>
      </c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1:52" x14ac:dyDescent="0.25">
      <c r="A90" s="17" t="s">
        <v>135</v>
      </c>
      <c r="B90" s="10" t="s">
        <v>34</v>
      </c>
      <c r="C90" s="10"/>
      <c r="D90" s="10"/>
      <c r="E90" s="10"/>
      <c r="F90" s="10"/>
      <c r="G90" s="7">
        <v>0</v>
      </c>
      <c r="H90" s="10">
        <v>30</v>
      </c>
      <c r="I90" s="10" t="s">
        <v>35</v>
      </c>
      <c r="J90" s="10"/>
      <c r="K90" s="10"/>
      <c r="L90" s="10">
        <f t="shared" si="15"/>
        <v>0</v>
      </c>
      <c r="M90" s="10"/>
      <c r="N90" s="10"/>
      <c r="O90" s="9">
        <v>10</v>
      </c>
      <c r="P90" s="10">
        <f t="shared" si="16"/>
        <v>0</v>
      </c>
      <c r="Q90" s="4"/>
      <c r="R90" s="4">
        <f t="shared" si="18"/>
        <v>0</v>
      </c>
      <c r="S90" s="4"/>
      <c r="T90" s="22"/>
      <c r="U90" s="22"/>
      <c r="V90" s="10" t="e">
        <f t="shared" si="19"/>
        <v>#DIV/0!</v>
      </c>
      <c r="W90" s="10" t="e">
        <f t="shared" si="17"/>
        <v>#DIV/0!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1" t="s">
        <v>132</v>
      </c>
      <c r="AI90" s="10">
        <f t="shared" si="20"/>
        <v>0</v>
      </c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1:52" x14ac:dyDescent="0.25">
      <c r="A91" s="10" t="s">
        <v>136</v>
      </c>
      <c r="B91" s="10" t="s">
        <v>38</v>
      </c>
      <c r="C91" s="10">
        <v>153</v>
      </c>
      <c r="D91" s="10">
        <v>84</v>
      </c>
      <c r="E91" s="10">
        <v>92</v>
      </c>
      <c r="F91" s="10">
        <v>136</v>
      </c>
      <c r="G91" s="7">
        <v>0.4</v>
      </c>
      <c r="H91" s="10">
        <v>60</v>
      </c>
      <c r="I91" s="10" t="s">
        <v>35</v>
      </c>
      <c r="J91" s="10"/>
      <c r="K91" s="10">
        <v>90</v>
      </c>
      <c r="L91" s="10">
        <f t="shared" si="15"/>
        <v>2</v>
      </c>
      <c r="M91" s="10"/>
      <c r="N91" s="10"/>
      <c r="O91" s="10">
        <v>185</v>
      </c>
      <c r="P91" s="10">
        <f t="shared" si="16"/>
        <v>18.399999999999999</v>
      </c>
      <c r="Q91" s="4"/>
      <c r="R91" s="4">
        <f t="shared" si="18"/>
        <v>0</v>
      </c>
      <c r="S91" s="4"/>
      <c r="T91" s="22"/>
      <c r="U91" s="22"/>
      <c r="V91" s="10">
        <f t="shared" si="19"/>
        <v>17.445652173913047</v>
      </c>
      <c r="W91" s="10">
        <f t="shared" si="17"/>
        <v>17.445652173913047</v>
      </c>
      <c r="X91" s="10">
        <v>27.8</v>
      </c>
      <c r="Y91" s="10">
        <v>25.6</v>
      </c>
      <c r="Z91" s="10">
        <v>19.8</v>
      </c>
      <c r="AA91" s="10">
        <v>28.6</v>
      </c>
      <c r="AB91" s="10">
        <v>18.600000000000001</v>
      </c>
      <c r="AC91" s="10">
        <v>18.8</v>
      </c>
      <c r="AD91" s="10">
        <v>19.600000000000001</v>
      </c>
      <c r="AE91" s="10">
        <v>23.8</v>
      </c>
      <c r="AF91" s="10">
        <v>19.399999999999999</v>
      </c>
      <c r="AG91" s="10">
        <v>2.4</v>
      </c>
      <c r="AH91" s="10" t="s">
        <v>47</v>
      </c>
      <c r="AI91" s="10">
        <f t="shared" si="20"/>
        <v>0</v>
      </c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1:52" x14ac:dyDescent="0.25">
      <c r="A92" s="11" t="s">
        <v>137</v>
      </c>
      <c r="B92" s="11" t="s">
        <v>38</v>
      </c>
      <c r="C92" s="11">
        <v>6</v>
      </c>
      <c r="D92" s="11"/>
      <c r="E92" s="11">
        <v>4</v>
      </c>
      <c r="F92" s="11">
        <v>1</v>
      </c>
      <c r="G92" s="12">
        <v>0</v>
      </c>
      <c r="H92" s="11">
        <v>60</v>
      </c>
      <c r="I92" s="11" t="s">
        <v>35</v>
      </c>
      <c r="J92" s="11"/>
      <c r="K92" s="11">
        <v>4</v>
      </c>
      <c r="L92" s="11">
        <f t="shared" si="15"/>
        <v>0</v>
      </c>
      <c r="M92" s="11"/>
      <c r="N92" s="11"/>
      <c r="O92" s="11">
        <v>0</v>
      </c>
      <c r="P92" s="11">
        <f t="shared" si="16"/>
        <v>0.8</v>
      </c>
      <c r="Q92" s="13"/>
      <c r="R92" s="4">
        <f t="shared" si="18"/>
        <v>0</v>
      </c>
      <c r="S92" s="13"/>
      <c r="T92" s="23"/>
      <c r="U92" s="23"/>
      <c r="V92" s="10">
        <f t="shared" si="19"/>
        <v>1.25</v>
      </c>
      <c r="W92" s="11">
        <f t="shared" si="17"/>
        <v>1.25</v>
      </c>
      <c r="X92" s="11">
        <v>0.4</v>
      </c>
      <c r="Y92" s="11">
        <v>1.6</v>
      </c>
      <c r="Z92" s="11">
        <v>2.4</v>
      </c>
      <c r="AA92" s="11">
        <v>2.8</v>
      </c>
      <c r="AB92" s="11">
        <v>2</v>
      </c>
      <c r="AC92" s="11">
        <v>3.8</v>
      </c>
      <c r="AD92" s="11">
        <v>4.2</v>
      </c>
      <c r="AE92" s="11">
        <v>8.6</v>
      </c>
      <c r="AF92" s="11">
        <v>8.8000000000000007</v>
      </c>
      <c r="AG92" s="11">
        <v>3.8</v>
      </c>
      <c r="AH92" s="11" t="s">
        <v>132</v>
      </c>
      <c r="AI92" s="10">
        <f t="shared" si="20"/>
        <v>0</v>
      </c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1:52" x14ac:dyDescent="0.25">
      <c r="A93" s="11" t="s">
        <v>138</v>
      </c>
      <c r="B93" s="11" t="s">
        <v>34</v>
      </c>
      <c r="C93" s="11"/>
      <c r="D93" s="11"/>
      <c r="E93" s="11"/>
      <c r="F93" s="11"/>
      <c r="G93" s="12">
        <v>0</v>
      </c>
      <c r="H93" s="11">
        <v>45</v>
      </c>
      <c r="I93" s="11" t="s">
        <v>35</v>
      </c>
      <c r="J93" s="11"/>
      <c r="K93" s="11"/>
      <c r="L93" s="11">
        <f t="shared" si="15"/>
        <v>0</v>
      </c>
      <c r="M93" s="11"/>
      <c r="N93" s="11"/>
      <c r="O93" s="11">
        <v>0</v>
      </c>
      <c r="P93" s="11">
        <f t="shared" si="16"/>
        <v>0</v>
      </c>
      <c r="Q93" s="13"/>
      <c r="R93" s="4">
        <f t="shared" si="18"/>
        <v>0</v>
      </c>
      <c r="S93" s="13"/>
      <c r="T93" s="23"/>
      <c r="U93" s="23"/>
      <c r="V93" s="10" t="e">
        <f t="shared" si="19"/>
        <v>#DIV/0!</v>
      </c>
      <c r="W93" s="11" t="e">
        <f t="shared" si="17"/>
        <v>#DIV/0!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 t="s">
        <v>132</v>
      </c>
      <c r="AI93" s="10">
        <f t="shared" si="20"/>
        <v>0</v>
      </c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1:52" x14ac:dyDescent="0.25">
      <c r="A94" s="11" t="s">
        <v>139</v>
      </c>
      <c r="B94" s="11" t="s">
        <v>34</v>
      </c>
      <c r="C94" s="11"/>
      <c r="D94" s="11"/>
      <c r="E94" s="11"/>
      <c r="F94" s="11"/>
      <c r="G94" s="12">
        <v>0</v>
      </c>
      <c r="H94" s="11"/>
      <c r="I94" s="11" t="s">
        <v>35</v>
      </c>
      <c r="J94" s="11"/>
      <c r="K94" s="11">
        <v>2</v>
      </c>
      <c r="L94" s="11">
        <f t="shared" si="15"/>
        <v>-2</v>
      </c>
      <c r="M94" s="11"/>
      <c r="N94" s="11"/>
      <c r="O94" s="11">
        <v>0</v>
      </c>
      <c r="P94" s="11">
        <f t="shared" si="16"/>
        <v>0</v>
      </c>
      <c r="Q94" s="13"/>
      <c r="R94" s="4">
        <f t="shared" si="18"/>
        <v>0</v>
      </c>
      <c r="S94" s="13"/>
      <c r="T94" s="23"/>
      <c r="U94" s="23"/>
      <c r="V94" s="10" t="e">
        <f t="shared" si="19"/>
        <v>#DIV/0!</v>
      </c>
      <c r="W94" s="11" t="e">
        <f t="shared" si="17"/>
        <v>#DIV/0!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 t="s">
        <v>132</v>
      </c>
      <c r="AI94" s="10">
        <f t="shared" si="20"/>
        <v>0</v>
      </c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1:52" x14ac:dyDescent="0.25">
      <c r="A95" s="10" t="s">
        <v>140</v>
      </c>
      <c r="B95" s="10" t="s">
        <v>38</v>
      </c>
      <c r="C95" s="10">
        <v>135</v>
      </c>
      <c r="D95" s="10">
        <v>112</v>
      </c>
      <c r="E95" s="10">
        <v>76</v>
      </c>
      <c r="F95" s="10">
        <v>163</v>
      </c>
      <c r="G95" s="7">
        <v>0.33</v>
      </c>
      <c r="H95" s="10">
        <v>45</v>
      </c>
      <c r="I95" s="10" t="s">
        <v>35</v>
      </c>
      <c r="J95" s="10"/>
      <c r="K95" s="10">
        <v>75</v>
      </c>
      <c r="L95" s="10">
        <f t="shared" si="15"/>
        <v>1</v>
      </c>
      <c r="M95" s="10"/>
      <c r="N95" s="10"/>
      <c r="O95" s="10">
        <v>0</v>
      </c>
      <c r="P95" s="10">
        <f t="shared" si="16"/>
        <v>15.2</v>
      </c>
      <c r="Q95" s="4">
        <f>14*P95-O95-F95</f>
        <v>49.799999999999983</v>
      </c>
      <c r="R95" s="4">
        <f t="shared" si="18"/>
        <v>50</v>
      </c>
      <c r="S95" s="4"/>
      <c r="T95" s="22"/>
      <c r="U95" s="22"/>
      <c r="V95" s="10">
        <f t="shared" si="19"/>
        <v>14.013157894736842</v>
      </c>
      <c r="W95" s="10">
        <f t="shared" si="17"/>
        <v>10.723684210526317</v>
      </c>
      <c r="X95" s="10">
        <v>10.4</v>
      </c>
      <c r="Y95" s="10">
        <v>19.8</v>
      </c>
      <c r="Z95" s="10">
        <v>18</v>
      </c>
      <c r="AA95" s="10">
        <v>14.6</v>
      </c>
      <c r="AB95" s="10">
        <v>12</v>
      </c>
      <c r="AC95" s="10">
        <v>15.6</v>
      </c>
      <c r="AD95" s="10">
        <v>10.8</v>
      </c>
      <c r="AE95" s="10">
        <v>2</v>
      </c>
      <c r="AF95" s="10">
        <v>12</v>
      </c>
      <c r="AG95" s="10">
        <v>3.4</v>
      </c>
      <c r="AH95" s="10"/>
      <c r="AI95" s="10">
        <f t="shared" si="20"/>
        <v>16.5</v>
      </c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1:52" x14ac:dyDescent="0.25">
      <c r="A96" s="11" t="s">
        <v>141</v>
      </c>
      <c r="B96" s="11" t="s">
        <v>38</v>
      </c>
      <c r="C96" s="11">
        <v>44</v>
      </c>
      <c r="D96" s="11">
        <v>50</v>
      </c>
      <c r="E96" s="11">
        <v>8</v>
      </c>
      <c r="F96" s="11">
        <v>80</v>
      </c>
      <c r="G96" s="12">
        <v>0</v>
      </c>
      <c r="H96" s="11">
        <v>60</v>
      </c>
      <c r="I96" s="11" t="s">
        <v>142</v>
      </c>
      <c r="J96" s="11"/>
      <c r="K96" s="11">
        <v>8</v>
      </c>
      <c r="L96" s="11">
        <f t="shared" si="15"/>
        <v>0</v>
      </c>
      <c r="M96" s="11"/>
      <c r="N96" s="11"/>
      <c r="O96" s="11">
        <v>0</v>
      </c>
      <c r="P96" s="11">
        <f t="shared" si="16"/>
        <v>1.6</v>
      </c>
      <c r="Q96" s="13"/>
      <c r="R96" s="4">
        <f t="shared" si="18"/>
        <v>0</v>
      </c>
      <c r="S96" s="13"/>
      <c r="T96" s="23"/>
      <c r="U96" s="23"/>
      <c r="V96" s="10">
        <f t="shared" si="19"/>
        <v>50</v>
      </c>
      <c r="W96" s="11">
        <f t="shared" si="17"/>
        <v>50</v>
      </c>
      <c r="X96" s="11">
        <v>4.8</v>
      </c>
      <c r="Y96" s="11">
        <v>7.4</v>
      </c>
      <c r="Z96" s="11">
        <v>1.4</v>
      </c>
      <c r="AA96" s="11">
        <v>8.4</v>
      </c>
      <c r="AB96" s="11">
        <v>3.6</v>
      </c>
      <c r="AC96" s="11">
        <v>6.4</v>
      </c>
      <c r="AD96" s="11">
        <v>6.4</v>
      </c>
      <c r="AE96" s="11">
        <v>5.2</v>
      </c>
      <c r="AF96" s="11">
        <v>0</v>
      </c>
      <c r="AG96" s="11">
        <v>0</v>
      </c>
      <c r="AH96" s="15" t="s">
        <v>78</v>
      </c>
      <c r="AI96" s="10">
        <f t="shared" si="20"/>
        <v>0</v>
      </c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1:52" x14ac:dyDescent="0.25">
      <c r="A97" s="10" t="s">
        <v>143</v>
      </c>
      <c r="B97" s="10" t="s">
        <v>38</v>
      </c>
      <c r="C97" s="10">
        <v>492</v>
      </c>
      <c r="D97" s="10">
        <v>3</v>
      </c>
      <c r="E97" s="10">
        <v>275</v>
      </c>
      <c r="F97" s="10">
        <v>164</v>
      </c>
      <c r="G97" s="7">
        <v>0.1</v>
      </c>
      <c r="H97" s="10">
        <v>60</v>
      </c>
      <c r="I97" s="10" t="s">
        <v>35</v>
      </c>
      <c r="J97" s="10"/>
      <c r="K97" s="10">
        <v>293</v>
      </c>
      <c r="L97" s="10">
        <f t="shared" si="15"/>
        <v>-18</v>
      </c>
      <c r="M97" s="10"/>
      <c r="N97" s="10"/>
      <c r="O97" s="10">
        <v>203</v>
      </c>
      <c r="P97" s="10">
        <f t="shared" si="16"/>
        <v>55</v>
      </c>
      <c r="Q97" s="4">
        <f t="shared" ref="Q97:Q103" si="22">14*P97-O97-F97</f>
        <v>403</v>
      </c>
      <c r="R97" s="4">
        <f t="shared" si="18"/>
        <v>403</v>
      </c>
      <c r="S97" s="4"/>
      <c r="T97" s="22"/>
      <c r="U97" s="22"/>
      <c r="V97" s="10">
        <f t="shared" si="19"/>
        <v>14</v>
      </c>
      <c r="W97" s="10">
        <f t="shared" si="17"/>
        <v>6.6727272727272728</v>
      </c>
      <c r="X97" s="10">
        <v>45.6</v>
      </c>
      <c r="Y97" s="10">
        <v>34.799999999999997</v>
      </c>
      <c r="Z97" s="10">
        <v>53.8</v>
      </c>
      <c r="AA97" s="10">
        <v>47</v>
      </c>
      <c r="AB97" s="10">
        <v>28.2</v>
      </c>
      <c r="AC97" s="10">
        <v>64</v>
      </c>
      <c r="AD97" s="10">
        <v>40.200000000000003</v>
      </c>
      <c r="AE97" s="10">
        <v>0</v>
      </c>
      <c r="AF97" s="10">
        <v>0</v>
      </c>
      <c r="AG97" s="10">
        <v>0</v>
      </c>
      <c r="AH97" s="10" t="s">
        <v>144</v>
      </c>
      <c r="AI97" s="10">
        <f t="shared" si="20"/>
        <v>40.300000000000004</v>
      </c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1:52" x14ac:dyDescent="0.25">
      <c r="A98" s="10" t="s">
        <v>145</v>
      </c>
      <c r="B98" s="10" t="s">
        <v>38</v>
      </c>
      <c r="C98" s="10">
        <v>436</v>
      </c>
      <c r="D98" s="10">
        <v>17</v>
      </c>
      <c r="E98" s="10">
        <v>329</v>
      </c>
      <c r="F98" s="10">
        <v>91</v>
      </c>
      <c r="G98" s="7">
        <v>0.1</v>
      </c>
      <c r="H98" s="10">
        <v>60</v>
      </c>
      <c r="I98" s="10" t="s">
        <v>35</v>
      </c>
      <c r="J98" s="10"/>
      <c r="K98" s="10">
        <v>337</v>
      </c>
      <c r="L98" s="10">
        <f t="shared" si="15"/>
        <v>-8</v>
      </c>
      <c r="M98" s="10"/>
      <c r="N98" s="10"/>
      <c r="O98" s="10">
        <v>616</v>
      </c>
      <c r="P98" s="10">
        <f t="shared" si="16"/>
        <v>65.8</v>
      </c>
      <c r="Q98" s="4">
        <f t="shared" si="22"/>
        <v>214.19999999999993</v>
      </c>
      <c r="R98" s="4">
        <f t="shared" si="18"/>
        <v>214</v>
      </c>
      <c r="S98" s="4"/>
      <c r="T98" s="22"/>
      <c r="U98" s="22"/>
      <c r="V98" s="10">
        <f t="shared" si="19"/>
        <v>13.996960486322189</v>
      </c>
      <c r="W98" s="10">
        <f t="shared" si="17"/>
        <v>10.74468085106383</v>
      </c>
      <c r="X98" s="10">
        <v>74.2</v>
      </c>
      <c r="Y98" s="10">
        <v>30.6</v>
      </c>
      <c r="Z98" s="10">
        <v>63.6</v>
      </c>
      <c r="AA98" s="10">
        <v>73.599999999999994</v>
      </c>
      <c r="AB98" s="10">
        <v>36.200000000000003</v>
      </c>
      <c r="AC98" s="10">
        <v>50</v>
      </c>
      <c r="AD98" s="10">
        <v>47.8</v>
      </c>
      <c r="AE98" s="10">
        <v>36</v>
      </c>
      <c r="AF98" s="10">
        <v>0</v>
      </c>
      <c r="AG98" s="10">
        <v>0</v>
      </c>
      <c r="AH98" s="10" t="s">
        <v>146</v>
      </c>
      <c r="AI98" s="10">
        <f t="shared" si="20"/>
        <v>21.400000000000002</v>
      </c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spans="1:52" x14ac:dyDescent="0.25">
      <c r="A99" s="10" t="s">
        <v>147</v>
      </c>
      <c r="B99" s="10" t="s">
        <v>38</v>
      </c>
      <c r="C99" s="10">
        <v>309</v>
      </c>
      <c r="D99" s="10">
        <v>16</v>
      </c>
      <c r="E99" s="10">
        <v>174</v>
      </c>
      <c r="F99" s="10">
        <v>145</v>
      </c>
      <c r="G99" s="7">
        <v>0.4</v>
      </c>
      <c r="H99" s="10">
        <v>60</v>
      </c>
      <c r="I99" s="10" t="s">
        <v>35</v>
      </c>
      <c r="J99" s="10"/>
      <c r="K99" s="10">
        <v>176</v>
      </c>
      <c r="L99" s="10">
        <f t="shared" si="15"/>
        <v>-2</v>
      </c>
      <c r="M99" s="10"/>
      <c r="N99" s="10"/>
      <c r="O99" s="10">
        <v>200</v>
      </c>
      <c r="P99" s="10">
        <f t="shared" si="16"/>
        <v>34.799999999999997</v>
      </c>
      <c r="Q99" s="4">
        <f t="shared" si="22"/>
        <v>142.19999999999993</v>
      </c>
      <c r="R99" s="4">
        <f t="shared" si="18"/>
        <v>142</v>
      </c>
      <c r="S99" s="4"/>
      <c r="T99" s="22"/>
      <c r="U99" s="22"/>
      <c r="V99" s="10">
        <f t="shared" si="19"/>
        <v>13.994252873563219</v>
      </c>
      <c r="W99" s="10">
        <f t="shared" si="17"/>
        <v>9.9137931034482758</v>
      </c>
      <c r="X99" s="10">
        <v>28.4</v>
      </c>
      <c r="Y99" s="10">
        <v>30.2</v>
      </c>
      <c r="Z99" s="10">
        <v>28.8</v>
      </c>
      <c r="AA99" s="10">
        <v>34.4</v>
      </c>
      <c r="AB99" s="10">
        <v>19.8</v>
      </c>
      <c r="AC99" s="10">
        <v>30</v>
      </c>
      <c r="AD99" s="10">
        <v>20.8</v>
      </c>
      <c r="AE99" s="10">
        <v>25.2</v>
      </c>
      <c r="AF99" s="10">
        <v>0</v>
      </c>
      <c r="AG99" s="10">
        <v>0</v>
      </c>
      <c r="AH99" s="10" t="s">
        <v>148</v>
      </c>
      <c r="AI99" s="10">
        <f t="shared" si="20"/>
        <v>56.800000000000004</v>
      </c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spans="1:52" x14ac:dyDescent="0.25">
      <c r="A100" s="10" t="s">
        <v>149</v>
      </c>
      <c r="B100" s="10" t="s">
        <v>38</v>
      </c>
      <c r="C100" s="10">
        <v>110</v>
      </c>
      <c r="D100" s="10">
        <v>12</v>
      </c>
      <c r="E100" s="10">
        <v>30</v>
      </c>
      <c r="F100" s="10">
        <v>69</v>
      </c>
      <c r="G100" s="7">
        <v>0.1</v>
      </c>
      <c r="H100" s="10"/>
      <c r="I100" s="10" t="s">
        <v>35</v>
      </c>
      <c r="J100" s="10"/>
      <c r="K100" s="10">
        <v>52</v>
      </c>
      <c r="L100" s="10">
        <f t="shared" si="15"/>
        <v>-22</v>
      </c>
      <c r="M100" s="10"/>
      <c r="N100" s="10"/>
      <c r="O100" s="10">
        <v>140</v>
      </c>
      <c r="P100" s="10">
        <f t="shared" si="16"/>
        <v>6</v>
      </c>
      <c r="Q100" s="4"/>
      <c r="R100" s="4">
        <f t="shared" si="18"/>
        <v>0</v>
      </c>
      <c r="S100" s="4"/>
      <c r="T100" s="22"/>
      <c r="U100" s="22"/>
      <c r="V100" s="10">
        <f t="shared" si="19"/>
        <v>34.833333333333336</v>
      </c>
      <c r="W100" s="10">
        <f t="shared" si="17"/>
        <v>34.833333333333336</v>
      </c>
      <c r="X100" s="10">
        <v>18.399999999999999</v>
      </c>
      <c r="Y100" s="10">
        <v>14.6</v>
      </c>
      <c r="Z100" s="10">
        <v>15.4</v>
      </c>
      <c r="AA100" s="10">
        <v>8.4</v>
      </c>
      <c r="AB100" s="10">
        <v>10.8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21" t="s">
        <v>156</v>
      </c>
      <c r="AI100" s="10">
        <f t="shared" si="20"/>
        <v>0</v>
      </c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1:52" x14ac:dyDescent="0.25">
      <c r="A101" s="10" t="s">
        <v>150</v>
      </c>
      <c r="B101" s="10" t="s">
        <v>38</v>
      </c>
      <c r="C101" s="10">
        <v>159</v>
      </c>
      <c r="D101" s="10">
        <v>5</v>
      </c>
      <c r="E101" s="10">
        <v>108</v>
      </c>
      <c r="F101" s="10">
        <v>39</v>
      </c>
      <c r="G101" s="7">
        <v>0.1</v>
      </c>
      <c r="H101" s="10"/>
      <c r="I101" s="10" t="s">
        <v>35</v>
      </c>
      <c r="J101" s="10"/>
      <c r="K101" s="10">
        <v>130</v>
      </c>
      <c r="L101" s="10">
        <f t="shared" si="15"/>
        <v>-22</v>
      </c>
      <c r="M101" s="10"/>
      <c r="N101" s="10"/>
      <c r="O101" s="10">
        <v>55</v>
      </c>
      <c r="P101" s="10">
        <f t="shared" si="16"/>
        <v>21.6</v>
      </c>
      <c r="Q101" s="4">
        <f>12*P101-O101-F101</f>
        <v>165.20000000000005</v>
      </c>
      <c r="R101" s="4">
        <f t="shared" si="18"/>
        <v>165</v>
      </c>
      <c r="S101" s="4"/>
      <c r="T101" s="22"/>
      <c r="U101" s="22"/>
      <c r="V101" s="10">
        <f t="shared" si="19"/>
        <v>11.99074074074074</v>
      </c>
      <c r="W101" s="10">
        <f t="shared" si="17"/>
        <v>4.3518518518518512</v>
      </c>
      <c r="X101" s="10">
        <v>14</v>
      </c>
      <c r="Y101" s="10">
        <v>15.6</v>
      </c>
      <c r="Z101" s="10">
        <v>20</v>
      </c>
      <c r="AA101" s="10">
        <v>7</v>
      </c>
      <c r="AB101" s="10">
        <v>11.8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 t="s">
        <v>36</v>
      </c>
      <c r="AI101" s="10">
        <f t="shared" si="20"/>
        <v>16.5</v>
      </c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spans="1:52" s="19" customFormat="1" x14ac:dyDescent="0.25">
      <c r="A102" s="17" t="s">
        <v>151</v>
      </c>
      <c r="B102" s="17" t="s">
        <v>38</v>
      </c>
      <c r="C102" s="17"/>
      <c r="D102" s="17"/>
      <c r="E102" s="17"/>
      <c r="F102" s="17"/>
      <c r="G102" s="18">
        <v>0</v>
      </c>
      <c r="H102" s="17">
        <v>45</v>
      </c>
      <c r="I102" s="17" t="s">
        <v>35</v>
      </c>
      <c r="J102" s="17"/>
      <c r="K102" s="17"/>
      <c r="L102" s="17">
        <f t="shared" ref="L102:L103" si="23">E102-K102</f>
        <v>0</v>
      </c>
      <c r="M102" s="17"/>
      <c r="N102" s="17"/>
      <c r="O102" s="9">
        <v>40</v>
      </c>
      <c r="P102" s="17">
        <f t="shared" si="16"/>
        <v>0</v>
      </c>
      <c r="Q102" s="4"/>
      <c r="R102" s="4">
        <f t="shared" si="18"/>
        <v>0</v>
      </c>
      <c r="S102" s="4"/>
      <c r="T102" s="22"/>
      <c r="U102" s="22"/>
      <c r="V102" s="10" t="e">
        <f t="shared" si="19"/>
        <v>#DIV/0!</v>
      </c>
      <c r="W102" s="17" t="e">
        <f t="shared" si="17"/>
        <v>#DIV/0!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1" t="s">
        <v>132</v>
      </c>
      <c r="AI102" s="10">
        <f t="shared" si="20"/>
        <v>0</v>
      </c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 x14ac:dyDescent="0.25">
      <c r="A103" s="10" t="s">
        <v>152</v>
      </c>
      <c r="B103" s="10" t="s">
        <v>34</v>
      </c>
      <c r="C103" s="10">
        <v>88.42</v>
      </c>
      <c r="D103" s="10"/>
      <c r="E103" s="10">
        <v>27.852</v>
      </c>
      <c r="F103" s="10">
        <v>55.268000000000001</v>
      </c>
      <c r="G103" s="7">
        <v>1</v>
      </c>
      <c r="H103" s="10"/>
      <c r="I103" s="10" t="s">
        <v>35</v>
      </c>
      <c r="J103" s="10"/>
      <c r="K103" s="10">
        <v>27.7</v>
      </c>
      <c r="L103" s="10">
        <f t="shared" si="23"/>
        <v>0.15200000000000102</v>
      </c>
      <c r="M103" s="10"/>
      <c r="N103" s="10"/>
      <c r="O103" s="10">
        <v>0</v>
      </c>
      <c r="P103" s="10">
        <f t="shared" si="16"/>
        <v>5.5704000000000002</v>
      </c>
      <c r="Q103" s="4">
        <f t="shared" si="22"/>
        <v>22.717600000000004</v>
      </c>
      <c r="R103" s="4">
        <f t="shared" si="18"/>
        <v>23</v>
      </c>
      <c r="S103" s="4"/>
      <c r="T103" s="22"/>
      <c r="U103" s="22"/>
      <c r="V103" s="10">
        <f t="shared" si="19"/>
        <v>14.050696538848197</v>
      </c>
      <c r="W103" s="10">
        <f t="shared" si="17"/>
        <v>9.921729139738618</v>
      </c>
      <c r="X103" s="10">
        <v>1.3280000000000001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 t="s">
        <v>111</v>
      </c>
      <c r="AI103" s="10">
        <f t="shared" si="20"/>
        <v>23</v>
      </c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spans="1:52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1:52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spans="1:52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spans="1:52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spans="1:52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spans="1:52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spans="1:52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spans="1:52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spans="1:52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spans="1:52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spans="1:52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spans="1:52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spans="1:52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spans="1:52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spans="1:52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spans="1:52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spans="1:52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spans="1:52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spans="1:52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spans="1:52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spans="1:52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spans="1:52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spans="1:52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spans="1:52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 spans="1:52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spans="1:52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spans="1:52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spans="1:52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spans="1:52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spans="1:52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spans="1:52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spans="1:52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spans="1:52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spans="1:52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spans="1:52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spans="1:52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spans="1:52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spans="1:52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spans="1:52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spans="1:52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spans="1:52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spans="1:52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spans="1:52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spans="1:52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spans="1:52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spans="1:52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spans="1:52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spans="1:52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spans="1:52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spans="1:52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spans="1:52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spans="1:52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spans="1:52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spans="1:52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spans="1:52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spans="1:52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spans="1:52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spans="1:52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spans="1:52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spans="1:52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spans="1:52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spans="1:52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spans="1:52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spans="1:52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spans="1:52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spans="1:52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spans="1:52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spans="1:52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spans="1:52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spans="1:52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spans="1:52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spans="1:52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spans="1:52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spans="1:52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spans="1:52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spans="1:52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spans="1:52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spans="1:52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spans="1:52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spans="1:52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spans="1:52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spans="1:52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spans="1:52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spans="1:52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spans="1:52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spans="1:52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spans="1:52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spans="1:52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spans="1:52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spans="1:52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spans="1:52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spans="1:52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spans="1:52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spans="1:52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spans="1:52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spans="1:52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spans="1:52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spans="1:52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spans="1:52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spans="1:52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 spans="1:52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spans="1:52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spans="1:52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spans="1:52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spans="1:52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spans="1:52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spans="1:52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spans="1:52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spans="1:52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spans="1:52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 spans="1:52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spans="1:52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spans="1:52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 spans="1:52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 spans="1:52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spans="1:52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spans="1:52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spans="1:52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 spans="1:52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 spans="1:52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 spans="1:52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 spans="1:52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 spans="1:52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 spans="1:52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 spans="1:52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 spans="1:52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 spans="1:52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 spans="1:52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 spans="1:52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 spans="1:52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 spans="1:52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 spans="1:52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 spans="1:52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 spans="1:52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 spans="1:52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 spans="1:52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 spans="1:52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 spans="1:52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 spans="1:52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 spans="1:52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 spans="1:52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 spans="1:52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 spans="1:52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 spans="1:52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 spans="1:52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 spans="1:52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 spans="1:52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 spans="1:52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 spans="1:52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 spans="1:52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 spans="1:52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 spans="1:52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 spans="1:52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 spans="1:52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 spans="1:52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 spans="1:52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 spans="1:52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 spans="1:52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 spans="1:52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 spans="1:52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 spans="1:52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 spans="1:52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 spans="1:52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 spans="1:52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 spans="1:52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 spans="1:52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 spans="1:52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 spans="1:52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 spans="1:52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 spans="1:52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 spans="1:52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 spans="1:52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 spans="1:52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 spans="1:52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 spans="1:52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 spans="1:52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 spans="1:52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 spans="1:52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 spans="1:52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 spans="1:52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 spans="1:52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 spans="1:52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 spans="1:52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 spans="1:52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 spans="1:52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 spans="1:52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 spans="1:52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 spans="1:52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 spans="1:52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 spans="1:52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 spans="1:52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 spans="1:52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 spans="1:52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 spans="1:52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 spans="1:52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 spans="1:52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 spans="1:52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 spans="1:52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 spans="1:52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 spans="1:52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 spans="1:52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 spans="1:52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 spans="1:52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 spans="1:52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 spans="1:52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 spans="1:52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 spans="1:52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 spans="1:52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 spans="1:52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 spans="1:52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 spans="1:52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 spans="1:52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 spans="1:52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 spans="1:52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 spans="1:52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 spans="1:52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 spans="1:52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 spans="1:52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 spans="1:52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 spans="1:52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 spans="1:52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 spans="1:52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 spans="1:52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 spans="1:52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 spans="1:52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 spans="1:52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 spans="1:52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 spans="1:52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 spans="1:52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 spans="1:52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 spans="1:52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 spans="1:52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 spans="1:52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 spans="1:52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 spans="1:52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 spans="1:52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 spans="1:52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 spans="1:52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 spans="1:52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 spans="1:52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 spans="1:52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 spans="1:52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 spans="1:52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 spans="1:52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 spans="1:52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 spans="1:52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 spans="1:52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 spans="1:52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 spans="1:52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 spans="1:52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 spans="1:52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 spans="1:52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 spans="1:52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 spans="1:52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 spans="1:52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 spans="1:52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 spans="1:52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 spans="1:52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 spans="1:52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 spans="1:52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 spans="1:52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 spans="1:52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 spans="1:52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 spans="1:52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 spans="1:52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 spans="1:52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 spans="1:52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 spans="1:52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 spans="1:52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 spans="1:52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 spans="1:52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 spans="1:52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 spans="1:52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 spans="1:52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 spans="1:52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 spans="1:52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 spans="1:52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 spans="1:52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 spans="1:52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 spans="1:52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 spans="1:52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 spans="1:52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 spans="1:52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 spans="1:52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 spans="1:52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 spans="1:52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 spans="1:52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 spans="1:52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 spans="1:52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 spans="1:52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 spans="1:52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 spans="1:52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 spans="1:52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 spans="1:52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 spans="1:52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 spans="1:52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 spans="1:52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 spans="1:52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 spans="1:52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 spans="1:52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 spans="1:52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 spans="1:52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 spans="1:52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 spans="1:52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 spans="1:52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 spans="1:52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 spans="1:52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 spans="1:52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 spans="1:52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 spans="1:52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 spans="1:52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 spans="1:52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 spans="1:52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 spans="1:52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 spans="1:52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 spans="1:52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 spans="1:52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 spans="1:52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 spans="1:52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 spans="1:52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 spans="1:52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 spans="1:52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 spans="1:52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 spans="1:52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 spans="1:52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 spans="1:52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 spans="1:52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 spans="1:52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 spans="1:52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 spans="1:52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 spans="1:52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 spans="1:52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 spans="1:52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 spans="1:52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 spans="1:52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 spans="1:52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 spans="1:52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 spans="1:52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 spans="1:52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 spans="1:52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 spans="1:52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 spans="1:52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 spans="1:52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 spans="1:52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 spans="1:52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 spans="1:52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 spans="1:52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 spans="1:52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 spans="1:52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 spans="1:52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 spans="1:52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 spans="1:52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 spans="1:52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 spans="1:52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 spans="1:52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 spans="1:52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 spans="1:52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 spans="1:52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 spans="1:52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 spans="1:52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 spans="1:52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 spans="1:52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 spans="1:52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 spans="1:52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 spans="1:52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 spans="1:52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 spans="1:52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 spans="1:52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 spans="1:52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 spans="1:52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 spans="1:52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 spans="1:52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 spans="1:52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 spans="1:52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 spans="1:52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 spans="1:52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 spans="1:52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 spans="1:52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 spans="1:52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 spans="1:52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 spans="1:52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 spans="1:52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 spans="1:52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 spans="1:52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 spans="1:52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 spans="1:52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 spans="1:52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 spans="1:52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 spans="1:52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 spans="1:52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 spans="1:52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 spans="1:52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 spans="1:52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 spans="1:52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 spans="1:52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</sheetData>
  <autoFilter ref="A3:AI10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2026-09-07T11:38:46Z</dcterms:created>
  <dcterms:modified xsi:type="dcterms:W3CDTF">2026-09-10T10:55:12Z</dcterms:modified>
</cp:coreProperties>
</file>