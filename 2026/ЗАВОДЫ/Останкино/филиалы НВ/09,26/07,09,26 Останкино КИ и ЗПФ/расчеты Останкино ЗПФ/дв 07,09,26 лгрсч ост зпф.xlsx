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D2919E1E-A107-4C26-ABF4-4DCE13479D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6" i="1"/>
  <c r="U6" i="1"/>
  <c r="U7" i="1" l="1"/>
  <c r="U8" i="1"/>
  <c r="U9" i="1"/>
  <c r="U10" i="1"/>
  <c r="U11" i="1"/>
  <c r="U12" i="1"/>
  <c r="U13" i="1"/>
  <c r="U14" i="1"/>
  <c r="U15" i="1"/>
  <c r="U16" i="1"/>
  <c r="R5" i="1" l="1"/>
  <c r="Q12" i="1" l="1"/>
  <c r="Q16" i="1"/>
  <c r="Q11" i="1"/>
  <c r="Q13" i="1"/>
  <c r="Q10" i="1"/>
  <c r="V7" i="1" l="1"/>
  <c r="V8" i="1"/>
  <c r="V9" i="1"/>
  <c r="V10" i="1"/>
  <c r="V11" i="1"/>
  <c r="V12" i="1"/>
  <c r="V13" i="1"/>
  <c r="V14" i="1"/>
  <c r="V15" i="1"/>
  <c r="V16" i="1"/>
  <c r="V6" i="1"/>
  <c r="P7" i="1"/>
  <c r="P8" i="1"/>
  <c r="P9" i="1"/>
  <c r="P10" i="1"/>
  <c r="P11" i="1"/>
  <c r="P12" i="1"/>
  <c r="P13" i="1"/>
  <c r="P14" i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AH5" i="1"/>
  <c r="AF5" i="1"/>
  <c r="AE5" i="1"/>
  <c r="AD5" i="1"/>
  <c r="AC5" i="1"/>
  <c r="AB5" i="1"/>
  <c r="AA5" i="1"/>
  <c r="Z5" i="1"/>
  <c r="Y5" i="1"/>
  <c r="X5" i="1"/>
  <c r="W5" i="1"/>
  <c r="Q5" i="1"/>
  <c r="O5" i="1"/>
  <c r="N5" i="1"/>
  <c r="M5" i="1"/>
  <c r="L5" i="1"/>
  <c r="K5" i="1"/>
  <c r="F5" i="1"/>
  <c r="E5" i="1"/>
  <c r="P5" i="1" l="1"/>
</calcChain>
</file>

<file path=xl/sharedStrings.xml><?xml version="1.0" encoding="utf-8"?>
<sst xmlns="http://schemas.openxmlformats.org/spreadsheetml/2006/main" count="86" uniqueCount="55">
  <si>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</si>
  <si>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</si>
  <si>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</si>
  <si>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</si>
  <si>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</si>
  <si>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</si>
  <si>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</si>
  <si>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</si>
  <si>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</si>
  <si>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</si>
  <si>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</si>
  <si>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</si>
  <si>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</si>
  <si>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</si>
  <si>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</si>
  <si>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</si>
  <si>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</si>
  <si>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</si>
  <si>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</si>
  <si>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</si>
  <si>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</si>
  <si>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</si>
  <si>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</si>
  <si>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</si>
  <si>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</si>
  <si>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</si>
  <si>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</si>
  <si>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</si>
  <si>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</si>
  <si>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</si>
  <si>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</si>
  <si>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</si>
  <si>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</si>
  <si>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</si>
  <si>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</si>
  <si>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</si>
  <si>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</si>
  <si>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</si>
  <si>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</si>
  <si>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</si>
  <si>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</si>
  <si>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</si>
  <si>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</si>
  <si>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</si>
  <si>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</si>
  <si>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</si>
  <si>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</si>
  <si>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</si>
  <si>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</si>
  <si>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ТК</t>
  </si>
  <si>
    <t>Чепрасова</t>
  </si>
  <si>
    <t>ТК ком</t>
  </si>
  <si>
    <t xml:space="preserve">Задача для ТП </t>
  </si>
  <si>
    <t>заказ</t>
  </si>
  <si>
    <t>14,09,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</si>
</sst>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4" sqref="AG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1" customWidth="1"/>
    <col min="20" max="20" width="15.7109375" style="11" customWidth="1"/>
    <col min="21" max="22" width="5" customWidth="1"/>
    <col min="23" max="32" width="6" customWidth="1"/>
    <col min="33" max="33" width="41" customWidth="1"/>
    <col min="34" max="34" width="7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53</v>
      </c>
      <c r="S3" s="3" t="s">
        <v>49</v>
      </c>
      <c r="T3" s="3" t="s">
        <v>51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54</v>
      </c>
      <c r="S4" s="1" t="s">
        <v>50</v>
      </c>
      <c r="T4" s="1"/>
      <c r="U4" s="1"/>
      <c r="V4" s="1"/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710</v>
      </c>
      <c r="F5" s="4">
        <f>SUM(F6:F500)</f>
        <v>1120.5</v>
      </c>
      <c r="G5" s="7"/>
      <c r="H5" s="1"/>
      <c r="I5" s="1"/>
      <c r="J5" s="1"/>
      <c r="K5" s="4">
        <f t="shared" ref="K5:R5" si="0">SUM(K6:K500)</f>
        <v>847</v>
      </c>
      <c r="L5" s="4">
        <f t="shared" si="0"/>
        <v>-137</v>
      </c>
      <c r="M5" s="4">
        <f t="shared" si="0"/>
        <v>0</v>
      </c>
      <c r="N5" s="4">
        <f t="shared" si="0"/>
        <v>0</v>
      </c>
      <c r="O5" s="4">
        <f t="shared" si="0"/>
        <v>630</v>
      </c>
      <c r="P5" s="4">
        <f t="shared" si="0"/>
        <v>142</v>
      </c>
      <c r="Q5" s="4">
        <f t="shared" si="0"/>
        <v>679</v>
      </c>
      <c r="R5" s="4">
        <f t="shared" si="0"/>
        <v>780</v>
      </c>
      <c r="S5" s="4"/>
      <c r="T5" s="4"/>
      <c r="U5" s="1"/>
      <c r="V5" s="1"/>
      <c r="W5" s="4">
        <f t="shared" ref="W5:AF5" si="1">SUM(W6:W500)</f>
        <v>124</v>
      </c>
      <c r="X5" s="4">
        <f t="shared" si="1"/>
        <v>108.7</v>
      </c>
      <c r="Y5" s="4">
        <f t="shared" si="1"/>
        <v>116.10000000000002</v>
      </c>
      <c r="Z5" s="4">
        <f t="shared" si="1"/>
        <v>104.89999999999999</v>
      </c>
      <c r="AA5" s="4">
        <f t="shared" si="1"/>
        <v>121.99999999999999</v>
      </c>
      <c r="AB5" s="4">
        <f t="shared" si="1"/>
        <v>87.600000000000009</v>
      </c>
      <c r="AC5" s="4">
        <f t="shared" si="1"/>
        <v>154.69999999999999</v>
      </c>
      <c r="AD5" s="4">
        <f t="shared" si="1"/>
        <v>87.4</v>
      </c>
      <c r="AE5" s="4">
        <f t="shared" si="1"/>
        <v>130.39999999999998</v>
      </c>
      <c r="AF5" s="4">
        <f t="shared" si="1"/>
        <v>95.042399999999986</v>
      </c>
      <c r="AG5" s="1"/>
      <c r="AH5" s="4">
        <f>SUM(AH6:AH500)</f>
        <v>343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/>
      <c r="D6" s="1">
        <v>20</v>
      </c>
      <c r="E6" s="1"/>
      <c r="F6" s="1">
        <v>20</v>
      </c>
      <c r="G6" s="7">
        <v>0.42</v>
      </c>
      <c r="H6" s="1">
        <v>120</v>
      </c>
      <c r="I6" s="1" t="s">
        <v>35</v>
      </c>
      <c r="J6" s="1"/>
      <c r="K6" s="1">
        <v>2</v>
      </c>
      <c r="L6" s="1">
        <f t="shared" ref="L6:L16" si="2">E6-K6</f>
        <v>-2</v>
      </c>
      <c r="M6" s="1"/>
      <c r="N6" s="1"/>
      <c r="O6" s="1">
        <v>10</v>
      </c>
      <c r="P6" s="1">
        <f>E6/5</f>
        <v>0</v>
      </c>
      <c r="Q6" s="5"/>
      <c r="R6" s="5"/>
      <c r="S6" s="10"/>
      <c r="T6" s="10"/>
      <c r="U6" s="1" t="e">
        <f>(F6+O6+R6)/P6</f>
        <v>#DIV/0!</v>
      </c>
      <c r="V6" s="1" t="e">
        <f>(F6+O6)/P6</f>
        <v>#DIV/0!</v>
      </c>
      <c r="W6" s="1">
        <v>2</v>
      </c>
      <c r="X6" s="1">
        <v>2.2000000000000002</v>
      </c>
      <c r="Y6" s="1">
        <v>1.4</v>
      </c>
      <c r="Z6" s="1">
        <v>0.6</v>
      </c>
      <c r="AA6" s="1">
        <v>1.6</v>
      </c>
      <c r="AB6" s="1">
        <v>1.4</v>
      </c>
      <c r="AC6" s="1">
        <v>3.4</v>
      </c>
      <c r="AD6" s="1">
        <v>0</v>
      </c>
      <c r="AE6" s="1">
        <v>0</v>
      </c>
      <c r="AF6" s="1">
        <v>0</v>
      </c>
      <c r="AG6" s="1"/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36</v>
      </c>
      <c r="B7" s="1" t="s">
        <v>37</v>
      </c>
      <c r="C7" s="1">
        <v>58.5</v>
      </c>
      <c r="D7" s="1"/>
      <c r="E7" s="1">
        <v>22.5</v>
      </c>
      <c r="F7" s="1">
        <v>36</v>
      </c>
      <c r="G7" s="7">
        <v>1</v>
      </c>
      <c r="H7" s="1">
        <v>120</v>
      </c>
      <c r="I7" s="1" t="s">
        <v>35</v>
      </c>
      <c r="J7" s="1"/>
      <c r="K7" s="1">
        <v>22.5</v>
      </c>
      <c r="L7" s="1">
        <f t="shared" si="2"/>
        <v>0</v>
      </c>
      <c r="M7" s="1"/>
      <c r="N7" s="1"/>
      <c r="O7" s="1">
        <v>60</v>
      </c>
      <c r="P7" s="1">
        <f t="shared" ref="P7:P16" si="3">E7/5</f>
        <v>4.5</v>
      </c>
      <c r="Q7" s="5"/>
      <c r="R7" s="5"/>
      <c r="S7" s="10"/>
      <c r="T7" s="10"/>
      <c r="U7" s="1">
        <f t="shared" ref="U7:U16" si="4">(F7+O7+R7)/P7</f>
        <v>21.333333333333332</v>
      </c>
      <c r="V7" s="1">
        <f t="shared" ref="V7:V16" si="5">(F7+O7)/P7</f>
        <v>21.333333333333332</v>
      </c>
      <c r="W7" s="1">
        <v>5.4</v>
      </c>
      <c r="X7" s="1">
        <v>4.5</v>
      </c>
      <c r="Y7" s="1">
        <v>8.1</v>
      </c>
      <c r="Z7" s="1">
        <v>3.6</v>
      </c>
      <c r="AA7" s="1">
        <v>5.4</v>
      </c>
      <c r="AB7" s="1">
        <v>6.3</v>
      </c>
      <c r="AC7" s="1">
        <v>3.6</v>
      </c>
      <c r="AD7" s="1">
        <v>3.6</v>
      </c>
      <c r="AE7" s="1">
        <v>3.6</v>
      </c>
      <c r="AF7" s="1">
        <v>6.3423999999999996</v>
      </c>
      <c r="AG7" s="1"/>
      <c r="AH7" s="1">
        <f t="shared" ref="AH7:AH16" si="6">G7*R7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38</v>
      </c>
      <c r="B8" s="1" t="s">
        <v>37</v>
      </c>
      <c r="C8" s="1">
        <v>193.5</v>
      </c>
      <c r="D8" s="1"/>
      <c r="E8" s="1">
        <v>13.5</v>
      </c>
      <c r="F8" s="1">
        <v>175.5</v>
      </c>
      <c r="G8" s="7">
        <v>1</v>
      </c>
      <c r="H8" s="1">
        <v>120</v>
      </c>
      <c r="I8" s="1" t="s">
        <v>35</v>
      </c>
      <c r="J8" s="1"/>
      <c r="K8" s="1">
        <v>13.5</v>
      </c>
      <c r="L8" s="1">
        <f t="shared" si="2"/>
        <v>0</v>
      </c>
      <c r="M8" s="1"/>
      <c r="N8" s="1"/>
      <c r="O8" s="1">
        <v>0</v>
      </c>
      <c r="P8" s="1">
        <f t="shared" si="3"/>
        <v>2.7</v>
      </c>
      <c r="Q8" s="5"/>
      <c r="R8" s="5"/>
      <c r="S8" s="10"/>
      <c r="T8" s="10"/>
      <c r="U8" s="1">
        <f t="shared" si="4"/>
        <v>65</v>
      </c>
      <c r="V8" s="1">
        <f t="shared" si="5"/>
        <v>65</v>
      </c>
      <c r="W8" s="1">
        <v>1.8</v>
      </c>
      <c r="X8" s="1">
        <v>5.4</v>
      </c>
      <c r="Y8" s="1">
        <v>1.8</v>
      </c>
      <c r="Z8" s="1">
        <v>2.7</v>
      </c>
      <c r="AA8" s="1">
        <v>3.6</v>
      </c>
      <c r="AB8" s="1">
        <v>6.3</v>
      </c>
      <c r="AC8" s="1">
        <v>0.9</v>
      </c>
      <c r="AD8" s="1">
        <v>0</v>
      </c>
      <c r="AE8" s="1">
        <v>1.8</v>
      </c>
      <c r="AF8" s="1">
        <v>0.9</v>
      </c>
      <c r="AG8" s="9" t="s">
        <v>39</v>
      </c>
      <c r="AH8" s="1">
        <f t="shared" si="6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34</v>
      </c>
      <c r="C9" s="1">
        <v>121</v>
      </c>
      <c r="D9" s="1"/>
      <c r="E9" s="1">
        <v>5</v>
      </c>
      <c r="F9" s="1">
        <v>116</v>
      </c>
      <c r="G9" s="7">
        <v>0.42</v>
      </c>
      <c r="H9" s="1">
        <v>120</v>
      </c>
      <c r="I9" s="1" t="s">
        <v>35</v>
      </c>
      <c r="J9" s="1"/>
      <c r="K9" s="1">
        <v>5</v>
      </c>
      <c r="L9" s="1">
        <f t="shared" si="2"/>
        <v>0</v>
      </c>
      <c r="M9" s="1"/>
      <c r="N9" s="1"/>
      <c r="O9" s="1">
        <v>0</v>
      </c>
      <c r="P9" s="1">
        <f t="shared" si="3"/>
        <v>1</v>
      </c>
      <c r="Q9" s="5"/>
      <c r="R9" s="5"/>
      <c r="S9" s="10"/>
      <c r="T9" s="10"/>
      <c r="U9" s="1">
        <f t="shared" si="4"/>
        <v>116</v>
      </c>
      <c r="V9" s="1">
        <f t="shared" si="5"/>
        <v>116</v>
      </c>
      <c r="W9" s="1">
        <v>3.2</v>
      </c>
      <c r="X9" s="1">
        <v>3</v>
      </c>
      <c r="Y9" s="1">
        <v>8.6</v>
      </c>
      <c r="Z9" s="1">
        <v>5.4</v>
      </c>
      <c r="AA9" s="1">
        <v>6</v>
      </c>
      <c r="AB9" s="1">
        <v>1.8</v>
      </c>
      <c r="AC9" s="1">
        <v>15.2</v>
      </c>
      <c r="AD9" s="1">
        <v>0</v>
      </c>
      <c r="AE9" s="1">
        <v>0</v>
      </c>
      <c r="AF9" s="1">
        <v>0</v>
      </c>
      <c r="AG9" s="9" t="s">
        <v>39</v>
      </c>
      <c r="AH9" s="1">
        <f t="shared" si="6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41</v>
      </c>
      <c r="B10" s="1" t="s">
        <v>34</v>
      </c>
      <c r="C10" s="1">
        <v>358</v>
      </c>
      <c r="D10" s="1"/>
      <c r="E10" s="1">
        <v>140</v>
      </c>
      <c r="F10" s="1">
        <v>210</v>
      </c>
      <c r="G10" s="7">
        <v>0.3</v>
      </c>
      <c r="H10" s="1">
        <v>120</v>
      </c>
      <c r="I10" s="1" t="s">
        <v>35</v>
      </c>
      <c r="J10" s="1"/>
      <c r="K10" s="1">
        <v>140</v>
      </c>
      <c r="L10" s="1">
        <f t="shared" si="2"/>
        <v>0</v>
      </c>
      <c r="M10" s="1"/>
      <c r="N10" s="1"/>
      <c r="O10" s="1">
        <v>0</v>
      </c>
      <c r="P10" s="1">
        <f t="shared" si="3"/>
        <v>28</v>
      </c>
      <c r="Q10" s="5">
        <f>15*P10-O10-F10</f>
        <v>210</v>
      </c>
      <c r="R10" s="5">
        <v>210</v>
      </c>
      <c r="S10" s="10"/>
      <c r="T10" s="10"/>
      <c r="U10" s="1">
        <f t="shared" si="4"/>
        <v>15</v>
      </c>
      <c r="V10" s="1">
        <f t="shared" si="5"/>
        <v>7.5</v>
      </c>
      <c r="W10" s="1">
        <v>17.2</v>
      </c>
      <c r="X10" s="1">
        <v>6.8</v>
      </c>
      <c r="Y10" s="1">
        <v>28.6</v>
      </c>
      <c r="Z10" s="1">
        <v>15.6</v>
      </c>
      <c r="AA10" s="1">
        <v>18</v>
      </c>
      <c r="AB10" s="1">
        <v>25</v>
      </c>
      <c r="AC10" s="1">
        <v>27.4</v>
      </c>
      <c r="AD10" s="1">
        <v>15.6</v>
      </c>
      <c r="AE10" s="1">
        <v>25.4</v>
      </c>
      <c r="AF10" s="1">
        <v>14.6</v>
      </c>
      <c r="AG10" s="1" t="s">
        <v>42</v>
      </c>
      <c r="AH10" s="1">
        <f t="shared" si="6"/>
        <v>63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43</v>
      </c>
      <c r="B11" s="1" t="s">
        <v>34</v>
      </c>
      <c r="C11" s="1">
        <v>140</v>
      </c>
      <c r="D11" s="1">
        <v>120</v>
      </c>
      <c r="E11" s="1">
        <v>112</v>
      </c>
      <c r="F11" s="1">
        <v>140</v>
      </c>
      <c r="G11" s="7">
        <v>0.3</v>
      </c>
      <c r="H11" s="1">
        <v>120</v>
      </c>
      <c r="I11" s="1" t="s">
        <v>35</v>
      </c>
      <c r="J11" s="1"/>
      <c r="K11" s="1">
        <v>112</v>
      </c>
      <c r="L11" s="1">
        <f t="shared" si="2"/>
        <v>0</v>
      </c>
      <c r="M11" s="1"/>
      <c r="N11" s="1"/>
      <c r="O11" s="1">
        <v>100</v>
      </c>
      <c r="P11" s="1">
        <f t="shared" si="3"/>
        <v>22.4</v>
      </c>
      <c r="Q11" s="5">
        <f t="shared" ref="Q11:Q13" si="7">15*P11-O11-F11</f>
        <v>96</v>
      </c>
      <c r="R11" s="5">
        <v>100</v>
      </c>
      <c r="S11" s="10"/>
      <c r="T11" s="10"/>
      <c r="U11" s="1">
        <f t="shared" si="4"/>
        <v>15.178571428571429</v>
      </c>
      <c r="V11" s="1">
        <f t="shared" si="5"/>
        <v>10.714285714285715</v>
      </c>
      <c r="W11" s="1">
        <v>20.8</v>
      </c>
      <c r="X11" s="1">
        <v>15.8</v>
      </c>
      <c r="Y11" s="1">
        <v>13</v>
      </c>
      <c r="Z11" s="1">
        <v>11.4</v>
      </c>
      <c r="AA11" s="1">
        <v>24.2</v>
      </c>
      <c r="AB11" s="1">
        <v>12.4</v>
      </c>
      <c r="AC11" s="1">
        <v>30.8</v>
      </c>
      <c r="AD11" s="1">
        <v>24.2</v>
      </c>
      <c r="AE11" s="1">
        <v>24.6</v>
      </c>
      <c r="AF11" s="1">
        <v>11.4</v>
      </c>
      <c r="AG11" s="1" t="s">
        <v>42</v>
      </c>
      <c r="AH11" s="1">
        <f t="shared" si="6"/>
        <v>30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34</v>
      </c>
      <c r="C12" s="1">
        <v>32</v>
      </c>
      <c r="D12" s="1">
        <v>120</v>
      </c>
      <c r="E12" s="1">
        <v>90</v>
      </c>
      <c r="F12" s="1">
        <v>60</v>
      </c>
      <c r="G12" s="7">
        <v>0.35</v>
      </c>
      <c r="H12" s="1">
        <v>120</v>
      </c>
      <c r="I12" s="1" t="s">
        <v>35</v>
      </c>
      <c r="J12" s="1"/>
      <c r="K12" s="1">
        <v>142</v>
      </c>
      <c r="L12" s="1">
        <f t="shared" si="2"/>
        <v>-52</v>
      </c>
      <c r="M12" s="1"/>
      <c r="N12" s="1"/>
      <c r="O12" s="1">
        <v>0</v>
      </c>
      <c r="P12" s="1">
        <f t="shared" si="3"/>
        <v>18</v>
      </c>
      <c r="Q12" s="5">
        <f>13*P12-O12-F12</f>
        <v>174</v>
      </c>
      <c r="R12" s="5">
        <v>180</v>
      </c>
      <c r="S12" s="10"/>
      <c r="T12" s="10"/>
      <c r="U12" s="1">
        <f t="shared" si="4"/>
        <v>13.333333333333334</v>
      </c>
      <c r="V12" s="1">
        <f t="shared" si="5"/>
        <v>3.3333333333333335</v>
      </c>
      <c r="W12" s="1">
        <v>10</v>
      </c>
      <c r="X12" s="1">
        <v>18</v>
      </c>
      <c r="Y12" s="1">
        <v>8.4</v>
      </c>
      <c r="Z12" s="1">
        <v>18.399999999999999</v>
      </c>
      <c r="AA12" s="1">
        <v>9.6</v>
      </c>
      <c r="AB12" s="1">
        <v>8.6</v>
      </c>
      <c r="AC12" s="1">
        <v>19.2</v>
      </c>
      <c r="AD12" s="1">
        <v>19</v>
      </c>
      <c r="AE12" s="1">
        <v>25.4</v>
      </c>
      <c r="AF12" s="1">
        <v>12.4</v>
      </c>
      <c r="AG12" s="1"/>
      <c r="AH12" s="1">
        <f t="shared" si="6"/>
        <v>62.999999999999993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45</v>
      </c>
      <c r="B13" s="1" t="s">
        <v>34</v>
      </c>
      <c r="C13" s="1">
        <v>9</v>
      </c>
      <c r="D13" s="1">
        <v>264</v>
      </c>
      <c r="E13" s="1">
        <v>76</v>
      </c>
      <c r="F13" s="1">
        <v>185</v>
      </c>
      <c r="G13" s="7">
        <v>0.3</v>
      </c>
      <c r="H13" s="1">
        <v>120</v>
      </c>
      <c r="I13" s="1" t="s">
        <v>35</v>
      </c>
      <c r="J13" s="1"/>
      <c r="K13" s="1">
        <v>141</v>
      </c>
      <c r="L13" s="1">
        <f t="shared" si="2"/>
        <v>-65</v>
      </c>
      <c r="M13" s="1"/>
      <c r="N13" s="1"/>
      <c r="O13" s="1">
        <v>0</v>
      </c>
      <c r="P13" s="1">
        <f t="shared" si="3"/>
        <v>15.2</v>
      </c>
      <c r="Q13" s="5">
        <f t="shared" si="7"/>
        <v>43</v>
      </c>
      <c r="R13" s="5">
        <v>40</v>
      </c>
      <c r="S13" s="10"/>
      <c r="T13" s="10"/>
      <c r="U13" s="1">
        <f t="shared" si="4"/>
        <v>14.80263157894737</v>
      </c>
      <c r="V13" s="1">
        <f t="shared" si="5"/>
        <v>12.171052631578949</v>
      </c>
      <c r="W13" s="1">
        <v>15.6</v>
      </c>
      <c r="X13" s="1">
        <v>23.2</v>
      </c>
      <c r="Y13" s="1">
        <v>5.4</v>
      </c>
      <c r="Z13" s="1">
        <v>16.2</v>
      </c>
      <c r="AA13" s="1">
        <v>12.4</v>
      </c>
      <c r="AB13" s="1">
        <v>8.4</v>
      </c>
      <c r="AC13" s="1">
        <v>17.8</v>
      </c>
      <c r="AD13" s="1">
        <v>17</v>
      </c>
      <c r="AE13" s="1">
        <v>28.4</v>
      </c>
      <c r="AF13" s="1">
        <v>8.6</v>
      </c>
      <c r="AG13" s="1"/>
      <c r="AH13" s="1">
        <f t="shared" si="6"/>
        <v>12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46</v>
      </c>
      <c r="B14" s="1" t="s">
        <v>34</v>
      </c>
      <c r="C14" s="1">
        <v>18</v>
      </c>
      <c r="D14" s="1">
        <v>204</v>
      </c>
      <c r="E14" s="1">
        <v>73</v>
      </c>
      <c r="F14" s="1">
        <v>139</v>
      </c>
      <c r="G14" s="7">
        <v>0.35</v>
      </c>
      <c r="H14" s="1">
        <v>120</v>
      </c>
      <c r="I14" s="1" t="s">
        <v>35</v>
      </c>
      <c r="J14" s="1"/>
      <c r="K14" s="1">
        <v>91</v>
      </c>
      <c r="L14" s="1">
        <f t="shared" si="2"/>
        <v>-18</v>
      </c>
      <c r="M14" s="1"/>
      <c r="N14" s="1"/>
      <c r="O14" s="1">
        <v>100</v>
      </c>
      <c r="P14" s="1">
        <f t="shared" si="3"/>
        <v>14.6</v>
      </c>
      <c r="Q14" s="5"/>
      <c r="R14" s="5"/>
      <c r="S14" s="10"/>
      <c r="T14" s="10"/>
      <c r="U14" s="1">
        <f t="shared" si="4"/>
        <v>16.36986301369863</v>
      </c>
      <c r="V14" s="1">
        <f t="shared" si="5"/>
        <v>16.36986301369863</v>
      </c>
      <c r="W14" s="1">
        <v>17.2</v>
      </c>
      <c r="X14" s="1">
        <v>20</v>
      </c>
      <c r="Y14" s="1">
        <v>9.1999999999999993</v>
      </c>
      <c r="Z14" s="1">
        <v>16.2</v>
      </c>
      <c r="AA14" s="1">
        <v>14.8</v>
      </c>
      <c r="AB14" s="1">
        <v>14</v>
      </c>
      <c r="AC14" s="1">
        <v>13.2</v>
      </c>
      <c r="AD14" s="1">
        <v>8</v>
      </c>
      <c r="AE14" s="1">
        <v>16.600000000000001</v>
      </c>
      <c r="AF14" s="1">
        <v>14.4</v>
      </c>
      <c r="AG14" s="1"/>
      <c r="AH14" s="1">
        <f t="shared" si="6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47</v>
      </c>
      <c r="B15" s="1" t="s">
        <v>34</v>
      </c>
      <c r="C15" s="1">
        <v>69</v>
      </c>
      <c r="D15" s="1"/>
      <c r="E15" s="1">
        <v>27</v>
      </c>
      <c r="F15" s="1">
        <v>42</v>
      </c>
      <c r="G15" s="7">
        <v>0.3</v>
      </c>
      <c r="H15" s="1">
        <v>120</v>
      </c>
      <c r="I15" s="1" t="s">
        <v>35</v>
      </c>
      <c r="J15" s="1"/>
      <c r="K15" s="1">
        <v>27</v>
      </c>
      <c r="L15" s="1">
        <f t="shared" si="2"/>
        <v>0</v>
      </c>
      <c r="M15" s="1"/>
      <c r="N15" s="1"/>
      <c r="O15" s="1">
        <v>60</v>
      </c>
      <c r="P15" s="1">
        <f t="shared" si="3"/>
        <v>5.4</v>
      </c>
      <c r="Q15" s="5"/>
      <c r="R15" s="5"/>
      <c r="S15" s="10"/>
      <c r="T15" s="10"/>
      <c r="U15" s="1">
        <f t="shared" si="4"/>
        <v>18.888888888888889</v>
      </c>
      <c r="V15" s="1">
        <f t="shared" si="5"/>
        <v>18.888888888888889</v>
      </c>
      <c r="W15" s="1">
        <v>5.6</v>
      </c>
      <c r="X15" s="1">
        <v>2.6</v>
      </c>
      <c r="Y15" s="1">
        <v>6</v>
      </c>
      <c r="Z15" s="1">
        <v>5.8</v>
      </c>
      <c r="AA15" s="1">
        <v>11.6</v>
      </c>
      <c r="AB15" s="1">
        <v>3.4</v>
      </c>
      <c r="AC15" s="1">
        <v>13.2</v>
      </c>
      <c r="AD15" s="1">
        <v>0</v>
      </c>
      <c r="AE15" s="1">
        <v>0</v>
      </c>
      <c r="AF15" s="1">
        <v>0</v>
      </c>
      <c r="AG15" s="1"/>
      <c r="AH15" s="1">
        <f t="shared" si="6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48</v>
      </c>
      <c r="B16" s="1" t="s">
        <v>34</v>
      </c>
      <c r="C16" s="1">
        <v>154</v>
      </c>
      <c r="D16" s="1"/>
      <c r="E16" s="1">
        <v>151</v>
      </c>
      <c r="F16" s="1">
        <v>-3</v>
      </c>
      <c r="G16" s="7">
        <v>0.7</v>
      </c>
      <c r="H16" s="1">
        <v>180</v>
      </c>
      <c r="I16" s="1" t="s">
        <v>35</v>
      </c>
      <c r="J16" s="1"/>
      <c r="K16" s="1">
        <v>151</v>
      </c>
      <c r="L16" s="1">
        <f t="shared" si="2"/>
        <v>0</v>
      </c>
      <c r="M16" s="1"/>
      <c r="N16" s="1"/>
      <c r="O16" s="1">
        <v>300</v>
      </c>
      <c r="P16" s="1">
        <f t="shared" si="3"/>
        <v>30.2</v>
      </c>
      <c r="Q16" s="5">
        <f t="shared" ref="Q16" si="8">15*P16-O16-F16</f>
        <v>156</v>
      </c>
      <c r="R16" s="5">
        <v>250</v>
      </c>
      <c r="S16" s="10">
        <v>250</v>
      </c>
      <c r="T16" s="1" t="s">
        <v>52</v>
      </c>
      <c r="U16" s="1">
        <f t="shared" si="4"/>
        <v>18.112582781456954</v>
      </c>
      <c r="V16" s="1">
        <f t="shared" si="5"/>
        <v>9.8344370860927146</v>
      </c>
      <c r="W16" s="1">
        <v>25.2</v>
      </c>
      <c r="X16" s="1">
        <v>7.2</v>
      </c>
      <c r="Y16" s="1">
        <v>25.6</v>
      </c>
      <c r="Z16" s="1">
        <v>9</v>
      </c>
      <c r="AA16" s="1">
        <v>14.8</v>
      </c>
      <c r="AB16" s="1">
        <v>0</v>
      </c>
      <c r="AC16" s="1">
        <v>10</v>
      </c>
      <c r="AD16" s="1">
        <v>0</v>
      </c>
      <c r="AE16" s="1">
        <v>4.5999999999999996</v>
      </c>
      <c r="AF16" s="1">
        <v>26.4</v>
      </c>
      <c r="AG16" s="1"/>
      <c r="AH16" s="1">
        <f t="shared" si="6"/>
        <v>175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2026-09-07T13:38:58Z</dcterms:created>
  <dcterms:modified xsi:type="dcterms:W3CDTF">2026-09-09T12:13:29Z</dcterms:modified>
</cp:coreProperties>
</file>