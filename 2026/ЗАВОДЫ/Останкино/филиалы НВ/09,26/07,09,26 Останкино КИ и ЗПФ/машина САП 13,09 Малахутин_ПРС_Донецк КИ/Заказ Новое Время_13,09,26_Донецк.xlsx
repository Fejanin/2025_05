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959C3BA-ADA4-42D8-9321-1070A9316E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Бланк!$A$9:$J$134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3" i="1" l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3" i="1" s="1"/>
  <c r="A11" i="1"/>
  <c r="K7" i="1"/>
  <c r="K6" i="1"/>
  <c r="K5" i="1"/>
  <c r="F3" i="1"/>
  <c r="D1" i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<sst xmlns="http://schemas.openxmlformats.org/spreadsheetml/2006/main" count="659" uniqueCount="235">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</sst>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K167" sqref="K167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67" width="8.85546875" style="89" customWidth="1"/>
  </cols>
  <sheetData>
    <row r="1" spans="1:12" ht="27" customHeight="1" thickTop="1" thickBot="1" x14ac:dyDescent="0.3">
      <c r="C1" s="1" t="s">
        <v>0</v>
      </c>
      <c r="D1" s="91">
        <f>K3</f>
        <v>130438120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0"/>
      <c r="C3" s="7" t="s">
        <v>4</v>
      </c>
      <c r="D3" s="102">
        <v>46278</v>
      </c>
      <c r="E3" s="7" t="s">
        <v>5</v>
      </c>
      <c r="F3" s="102">
        <f>D3+3</f>
        <v>46281</v>
      </c>
      <c r="G3" s="106" t="str">
        <f>VLOOKUP(D1,K:L,2,0)</f>
        <v xml:space="preserve">130438120 ООО "НОВОЕ ВРЕМЯ"  93 Донецк г      Чаадаева ул.д.1        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2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/>
    </row>
    <row r="10" spans="1:12" ht="16.5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2" s="88" customFormat="1" ht="16.5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126</v>
      </c>
      <c r="F11" s="21">
        <v>0.4</v>
      </c>
      <c r="G11" s="21">
        <f>E11*F11</f>
        <v>50.400000000000006</v>
      </c>
      <c r="H11" s="13">
        <v>2.4</v>
      </c>
      <c r="I11" s="13">
        <v>60</v>
      </c>
      <c r="J11" s="50" t="s">
        <v>26</v>
      </c>
      <c r="K11" s="25"/>
    </row>
    <row r="12" spans="1:12" s="88" customFormat="1" ht="16.5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222</v>
      </c>
      <c r="F12" s="21">
        <v>1.35</v>
      </c>
      <c r="G12" s="21">
        <f>E12</f>
        <v>222</v>
      </c>
      <c r="H12" s="13">
        <v>4.05</v>
      </c>
      <c r="I12" s="13">
        <v>60</v>
      </c>
      <c r="J12" s="27"/>
      <c r="K12" s="25"/>
    </row>
    <row r="13" spans="1:12" s="88" customFormat="1" ht="16.5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>
        <v>112</v>
      </c>
      <c r="F13" s="21">
        <v>0.35</v>
      </c>
      <c r="G13" s="21">
        <f>E13*F13</f>
        <v>39.199999999999996</v>
      </c>
      <c r="H13" s="13">
        <v>2.8</v>
      </c>
      <c r="I13" s="13">
        <v>60</v>
      </c>
      <c r="J13" s="50" t="s">
        <v>30</v>
      </c>
      <c r="K13" s="25"/>
    </row>
    <row r="14" spans="1:12" s="88" customFormat="1" ht="16.5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25"/>
    </row>
    <row r="15" spans="1:12" ht="16.5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>
        <v>41</v>
      </c>
      <c r="F15" s="21">
        <v>1.95</v>
      </c>
      <c r="G15" s="21">
        <f>E15</f>
        <v>41</v>
      </c>
      <c r="H15" s="13">
        <v>3.9</v>
      </c>
      <c r="I15" s="13">
        <v>60</v>
      </c>
      <c r="J15" s="27"/>
    </row>
    <row r="16" spans="1:12" ht="16.5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</row>
    <row r="17" spans="1:10" ht="16.5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>
        <v>100</v>
      </c>
      <c r="F17" s="21">
        <v>1</v>
      </c>
      <c r="G17" s="21">
        <f>E17</f>
        <v>100</v>
      </c>
      <c r="H17" s="13">
        <v>4</v>
      </c>
      <c r="I17" s="13">
        <v>60</v>
      </c>
      <c r="J17" s="27"/>
    </row>
    <row r="18" spans="1:10" ht="16.5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754</v>
      </c>
      <c r="F18" s="21">
        <v>1.35</v>
      </c>
      <c r="G18" s="21">
        <f>E18</f>
        <v>754</v>
      </c>
      <c r="H18" s="13">
        <v>4.05</v>
      </c>
      <c r="I18" s="13">
        <v>60</v>
      </c>
      <c r="J18" s="27"/>
    </row>
    <row r="19" spans="1:10" ht="16.5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356</v>
      </c>
      <c r="F19" s="21">
        <v>0.4</v>
      </c>
      <c r="G19" s="21">
        <f>E19*F19</f>
        <v>142.4</v>
      </c>
      <c r="H19" s="13">
        <v>3.2</v>
      </c>
      <c r="I19" s="13">
        <v>60</v>
      </c>
      <c r="J19" s="27"/>
    </row>
    <row r="20" spans="1:10" ht="16.5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>
        <v>189</v>
      </c>
      <c r="F20" s="21">
        <v>1.35</v>
      </c>
      <c r="G20" s="21">
        <f>E20</f>
        <v>189</v>
      </c>
      <c r="H20" s="13">
        <v>4.05</v>
      </c>
      <c r="I20" s="13">
        <v>60</v>
      </c>
      <c r="J20" s="27"/>
    </row>
    <row r="21" spans="1:10" ht="16.5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</row>
    <row r="22" spans="1:10" ht="16.5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266</v>
      </c>
      <c r="F22" s="95">
        <v>1.35</v>
      </c>
      <c r="G22" s="21">
        <f>E22</f>
        <v>266</v>
      </c>
      <c r="H22" s="27">
        <v>4.05</v>
      </c>
      <c r="I22" s="27">
        <v>60</v>
      </c>
      <c r="J22" s="27"/>
    </row>
    <row r="23" spans="1:10" ht="16.5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297</v>
      </c>
      <c r="F23" s="95">
        <v>0.4</v>
      </c>
      <c r="G23" s="21">
        <f>E23*F23</f>
        <v>118.80000000000001</v>
      </c>
      <c r="H23" s="27">
        <v>3.2</v>
      </c>
      <c r="I23" s="27">
        <v>60</v>
      </c>
      <c r="J23" s="27"/>
    </row>
    <row r="24" spans="1:10" ht="16.5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110</v>
      </c>
      <c r="F24" s="95">
        <v>1.35</v>
      </c>
      <c r="G24" s="21">
        <f>E24</f>
        <v>110</v>
      </c>
      <c r="H24" s="27">
        <v>4.05</v>
      </c>
      <c r="I24" s="27">
        <v>60</v>
      </c>
      <c r="J24" s="27"/>
    </row>
    <row r="25" spans="1:10" ht="16.5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270</v>
      </c>
      <c r="F25" s="95">
        <v>0.4</v>
      </c>
      <c r="G25" s="21">
        <f>E25*F25</f>
        <v>108</v>
      </c>
      <c r="H25" s="27">
        <v>3.2</v>
      </c>
      <c r="I25" s="27">
        <v>60</v>
      </c>
      <c r="J25" s="50" t="s">
        <v>44</v>
      </c>
    </row>
    <row r="26" spans="1:10" ht="16.5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</row>
    <row r="27" spans="1:10" ht="16.5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60</v>
      </c>
      <c r="F27" s="21">
        <v>0.4</v>
      </c>
      <c r="G27" s="21">
        <f>E27*F27</f>
        <v>24</v>
      </c>
      <c r="H27" s="13">
        <v>3.2</v>
      </c>
      <c r="I27" s="13">
        <v>60</v>
      </c>
      <c r="J27" s="27"/>
    </row>
    <row r="28" spans="1:10" ht="16.5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>
        <v>30</v>
      </c>
      <c r="F28" s="95">
        <v>1.35</v>
      </c>
      <c r="G28" s="21">
        <f>E28</f>
        <v>30</v>
      </c>
      <c r="H28" s="27">
        <v>5.4</v>
      </c>
      <c r="I28" s="27">
        <v>60</v>
      </c>
      <c r="J28" s="27"/>
    </row>
    <row r="29" spans="1:10" ht="16.5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>
        <v>70</v>
      </c>
      <c r="F29" s="95"/>
      <c r="G29" s="21">
        <f>E29</f>
        <v>70</v>
      </c>
      <c r="H29" s="27"/>
      <c r="I29" s="27"/>
      <c r="J29" s="27"/>
    </row>
    <row r="30" spans="1:10" ht="16.5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>
        <v>50</v>
      </c>
      <c r="F30" s="95"/>
      <c r="G30" s="21">
        <f>E30</f>
        <v>50</v>
      </c>
      <c r="H30" s="27"/>
      <c r="I30" s="27"/>
      <c r="J30" s="27"/>
    </row>
    <row r="31" spans="1:10" ht="16.5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</row>
    <row r="32" spans="1:10" ht="16.5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/>
      <c r="F32" s="95">
        <v>0.4</v>
      </c>
      <c r="G32" s="21">
        <f>E32*F32</f>
        <v>0</v>
      </c>
      <c r="H32" s="27">
        <v>3.2</v>
      </c>
      <c r="I32" s="27">
        <v>60</v>
      </c>
      <c r="J32" s="27"/>
    </row>
    <row r="33" spans="1:10" ht="16.5" customHeight="1" thickBot="1" x14ac:dyDescent="0.3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29</v>
      </c>
      <c r="F33" s="95">
        <v>0.3</v>
      </c>
      <c r="G33" s="21">
        <f>E33*F33</f>
        <v>8.6999999999999993</v>
      </c>
      <c r="H33" s="27">
        <v>2.4</v>
      </c>
      <c r="I33" s="27">
        <v>60</v>
      </c>
      <c r="J33" s="27"/>
    </row>
    <row r="34" spans="1:10" ht="16.5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</row>
    <row r="35" spans="1:10" ht="16.5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</row>
    <row r="36" spans="1:10" ht="16.5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</row>
    <row r="37" spans="1:10" ht="16.5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218</v>
      </c>
      <c r="F37" s="95">
        <v>0.33</v>
      </c>
      <c r="G37" s="21">
        <f>E37*F37</f>
        <v>71.94</v>
      </c>
      <c r="H37" s="27">
        <v>1.98</v>
      </c>
      <c r="I37" s="27">
        <v>30</v>
      </c>
      <c r="J37" s="50" t="s">
        <v>57</v>
      </c>
    </row>
    <row r="38" spans="1:10" ht="16.5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31</v>
      </c>
      <c r="F38" s="95">
        <v>0.27</v>
      </c>
      <c r="G38" s="21">
        <f>E38*F38</f>
        <v>8.370000000000001</v>
      </c>
      <c r="H38" s="27"/>
      <c r="I38" s="27"/>
      <c r="J38" s="90" t="s">
        <v>59</v>
      </c>
    </row>
    <row r="39" spans="1:10" ht="16.5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</row>
    <row r="40" spans="1:10" ht="16.5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</row>
    <row r="41" spans="1:10" ht="16.5" customHeight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>
        <v>285</v>
      </c>
      <c r="F41" s="95">
        <v>2.1</v>
      </c>
      <c r="G41" s="21">
        <f>E41</f>
        <v>285</v>
      </c>
      <c r="H41" s="27">
        <v>8.4</v>
      </c>
      <c r="I41" s="27">
        <v>45</v>
      </c>
      <c r="J41" s="27"/>
    </row>
    <row r="42" spans="1:10" ht="16.5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>
        <v>157</v>
      </c>
      <c r="F42" s="95">
        <v>0.3</v>
      </c>
      <c r="G42" s="21">
        <f>E42*F42</f>
        <v>47.1</v>
      </c>
      <c r="H42" s="27">
        <v>2.4</v>
      </c>
      <c r="I42" s="27">
        <v>45</v>
      </c>
      <c r="J42" s="27"/>
    </row>
    <row r="43" spans="1:10" ht="16.5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/>
      <c r="F43" s="95">
        <v>1.5</v>
      </c>
      <c r="G43" s="21">
        <f>E43</f>
        <v>0</v>
      </c>
      <c r="H43" s="27">
        <v>6</v>
      </c>
      <c r="I43" s="27">
        <v>50</v>
      </c>
      <c r="J43" s="27"/>
    </row>
    <row r="44" spans="1:10" ht="16.5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</row>
    <row r="45" spans="1:10" ht="16.5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>
        <v>50</v>
      </c>
      <c r="F45" s="95">
        <v>0.35</v>
      </c>
      <c r="G45" s="21">
        <f>E45*F45</f>
        <v>17.5</v>
      </c>
      <c r="H45" s="27">
        <v>2.8</v>
      </c>
      <c r="I45" s="27">
        <v>50</v>
      </c>
      <c r="J45" s="27"/>
    </row>
    <row r="46" spans="1:10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>
        <v>188</v>
      </c>
      <c r="F46" s="95">
        <v>0.41</v>
      </c>
      <c r="G46" s="21">
        <f>E46*F46</f>
        <v>77.08</v>
      </c>
      <c r="H46" s="27">
        <v>4.0999999999999996</v>
      </c>
      <c r="I46" s="27">
        <v>45</v>
      </c>
      <c r="J46" s="27"/>
    </row>
    <row r="47" spans="1:10" ht="16.5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>
        <v>123</v>
      </c>
      <c r="F47" s="95">
        <v>0.4</v>
      </c>
      <c r="G47" s="21">
        <f>E47*F47</f>
        <v>49.2</v>
      </c>
      <c r="H47" s="27">
        <v>3.2</v>
      </c>
      <c r="I47" s="27">
        <v>45</v>
      </c>
      <c r="J47" s="27"/>
    </row>
    <row r="48" spans="1:10" ht="16.5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/>
      <c r="F48" s="95">
        <v>1.5</v>
      </c>
      <c r="G48" s="21">
        <f>E48</f>
        <v>0</v>
      </c>
      <c r="H48" s="27">
        <v>4.5</v>
      </c>
      <c r="I48" s="27">
        <v>45</v>
      </c>
      <c r="J48" s="27"/>
    </row>
    <row r="49" spans="1:10" ht="16.5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238</v>
      </c>
      <c r="F49" s="95">
        <v>0.4</v>
      </c>
      <c r="G49" s="21">
        <f>E49*F49</f>
        <v>95.2</v>
      </c>
      <c r="H49" s="27">
        <v>2.4</v>
      </c>
      <c r="I49" s="27">
        <v>50</v>
      </c>
      <c r="J49" s="27"/>
    </row>
    <row r="50" spans="1:10" ht="16.5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</row>
    <row r="51" spans="1:10" ht="16.5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175</v>
      </c>
      <c r="F51" s="95">
        <v>0.36</v>
      </c>
      <c r="G51" s="21">
        <f>E51*F51</f>
        <v>63</v>
      </c>
      <c r="H51" s="27">
        <v>2.16</v>
      </c>
      <c r="I51" s="27">
        <v>45</v>
      </c>
      <c r="J51" s="27"/>
    </row>
    <row r="52" spans="1:10" ht="16.5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</row>
    <row r="53" spans="1:10" ht="16.5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</row>
    <row r="54" spans="1:10" ht="16.5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>
        <v>193</v>
      </c>
      <c r="F54" s="95">
        <v>1.5</v>
      </c>
      <c r="G54" s="21">
        <f>E54</f>
        <v>193</v>
      </c>
      <c r="H54" s="27">
        <v>6</v>
      </c>
      <c r="I54" s="27">
        <v>50</v>
      </c>
      <c r="J54" s="27"/>
    </row>
    <row r="55" spans="1:10" ht="16.5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112</v>
      </c>
      <c r="F55" s="95">
        <v>0.41</v>
      </c>
      <c r="G55" s="21">
        <f>E55*F55</f>
        <v>45.919999999999995</v>
      </c>
      <c r="H55" s="27">
        <v>4.0999999999999996</v>
      </c>
      <c r="I55" s="27">
        <v>50</v>
      </c>
      <c r="J55" s="27"/>
    </row>
    <row r="56" spans="1:10" ht="16.5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</row>
    <row r="57" spans="1:10" ht="16.5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</row>
    <row r="58" spans="1:10" ht="16.5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</row>
    <row r="59" spans="1:10" ht="16.5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>
        <v>341</v>
      </c>
      <c r="F59" s="21">
        <v>0.41</v>
      </c>
      <c r="G59" s="21">
        <f>E59*F59</f>
        <v>139.81</v>
      </c>
      <c r="H59" s="13">
        <v>4.0999999999999996</v>
      </c>
      <c r="I59" s="13">
        <v>50</v>
      </c>
      <c r="J59" s="27"/>
    </row>
    <row r="60" spans="1:10" ht="16.5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</row>
    <row r="61" spans="1:10" ht="16.5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</row>
    <row r="62" spans="1:10" ht="16.5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>
        <v>13</v>
      </c>
      <c r="F62" s="21">
        <v>1.5</v>
      </c>
      <c r="G62" s="21">
        <f>E62</f>
        <v>13</v>
      </c>
      <c r="H62" s="13">
        <v>6</v>
      </c>
      <c r="I62" s="13">
        <v>45</v>
      </c>
      <c r="J62" s="27"/>
    </row>
    <row r="63" spans="1:10" ht="16.5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</row>
    <row r="64" spans="1:10" ht="16.5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>
        <v>37</v>
      </c>
      <c r="F64" s="21">
        <v>0.4</v>
      </c>
      <c r="G64" s="21">
        <f>E64*F64</f>
        <v>14.8</v>
      </c>
      <c r="H64" s="13">
        <v>2.4</v>
      </c>
      <c r="I64" s="13">
        <v>45</v>
      </c>
      <c r="J64" s="27"/>
    </row>
    <row r="65" spans="1:10" ht="16.5" customHeight="1" thickBot="1" x14ac:dyDescent="0.3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</row>
    <row r="66" spans="1:10" ht="16.5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</row>
    <row r="67" spans="1:10" ht="16.5" customHeight="1" thickTop="1" x14ac:dyDescent="0.25">
      <c r="A67" s="93" t="str">
        <f t="shared" ref="A67:A72" si="2">RIGHT(D67,4)</f>
        <v>6550</v>
      </c>
      <c r="B67" s="92" t="s">
        <v>88</v>
      </c>
      <c r="C67" s="96" t="s">
        <v>28</v>
      </c>
      <c r="D67" s="49">
        <v>1001032736550</v>
      </c>
      <c r="E67" s="22">
        <v>35</v>
      </c>
      <c r="F67" s="95">
        <v>1</v>
      </c>
      <c r="G67" s="21">
        <f>E67</f>
        <v>35</v>
      </c>
      <c r="H67" s="27">
        <v>3</v>
      </c>
      <c r="I67" s="27">
        <v>45</v>
      </c>
      <c r="J67" s="27"/>
    </row>
    <row r="68" spans="1:10" ht="16.5" customHeight="1" x14ac:dyDescent="0.25">
      <c r="A68" s="93" t="str">
        <f t="shared" si="2"/>
        <v>6608</v>
      </c>
      <c r="B68" s="92" t="s">
        <v>89</v>
      </c>
      <c r="C68" s="48" t="s">
        <v>28</v>
      </c>
      <c r="D68" s="49">
        <v>1001033856608</v>
      </c>
      <c r="E68" s="22">
        <v>104</v>
      </c>
      <c r="F68" s="21">
        <v>1</v>
      </c>
      <c r="G68" s="21">
        <f>E68</f>
        <v>104</v>
      </c>
      <c r="H68" s="13">
        <v>3</v>
      </c>
      <c r="I68" s="13">
        <v>45</v>
      </c>
      <c r="J68" s="27"/>
    </row>
    <row r="69" spans="1:10" ht="16.5" customHeight="1" x14ac:dyDescent="0.25">
      <c r="A69" s="93" t="str">
        <f t="shared" si="2"/>
        <v>7001</v>
      </c>
      <c r="B69" s="92" t="s">
        <v>90</v>
      </c>
      <c r="C69" s="48" t="s">
        <v>28</v>
      </c>
      <c r="D69" s="49">
        <v>1001035937001</v>
      </c>
      <c r="E69" s="22">
        <v>21</v>
      </c>
      <c r="F69" s="21">
        <v>1</v>
      </c>
      <c r="G69" s="21">
        <f>E69</f>
        <v>21</v>
      </c>
      <c r="H69" s="13">
        <v>3</v>
      </c>
      <c r="I69" s="13">
        <v>45</v>
      </c>
      <c r="J69" s="27"/>
    </row>
    <row r="70" spans="1:10" ht="16.5" customHeight="1" x14ac:dyDescent="0.25">
      <c r="A70" s="93" t="str">
        <f t="shared" si="2"/>
        <v>6527</v>
      </c>
      <c r="B70" s="92" t="s">
        <v>91</v>
      </c>
      <c r="C70" s="48" t="s">
        <v>28</v>
      </c>
      <c r="D70" s="49">
        <v>1001031076527</v>
      </c>
      <c r="E70" s="22">
        <v>120</v>
      </c>
      <c r="F70" s="21">
        <v>1</v>
      </c>
      <c r="G70" s="21">
        <f>E70</f>
        <v>120</v>
      </c>
      <c r="H70" s="13">
        <v>3</v>
      </c>
      <c r="I70" s="13">
        <v>45</v>
      </c>
      <c r="J70" s="27"/>
    </row>
    <row r="71" spans="1:10" ht="16.5" customHeight="1" x14ac:dyDescent="0.25">
      <c r="A71" s="93" t="str">
        <f t="shared" si="2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</row>
    <row r="72" spans="1:10" ht="16.5" customHeight="1" thickBot="1" x14ac:dyDescent="0.3">
      <c r="A72" s="93" t="str">
        <f t="shared" si="2"/>
        <v>7059</v>
      </c>
      <c r="B72" s="92" t="s">
        <v>93</v>
      </c>
      <c r="C72" s="48" t="s">
        <v>25</v>
      </c>
      <c r="D72" s="49">
        <v>1001035277059</v>
      </c>
      <c r="E72" s="22">
        <v>20</v>
      </c>
      <c r="F72" s="21">
        <v>0.3</v>
      </c>
      <c r="G72" s="21">
        <f>E72*F72</f>
        <v>6</v>
      </c>
      <c r="H72" s="13">
        <v>2.4</v>
      </c>
      <c r="I72" s="13">
        <v>60</v>
      </c>
      <c r="J72" s="27"/>
    </row>
    <row r="73" spans="1:10" ht="16.5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</row>
    <row r="74" spans="1:10" ht="16.5" customHeight="1" thickTop="1" x14ac:dyDescent="0.25">
      <c r="A74" s="93" t="str">
        <f t="shared" ref="A74:A102" si="3">RIGHT(D74,4)</f>
        <v>7564</v>
      </c>
      <c r="B74" s="51" t="s">
        <v>95</v>
      </c>
      <c r="C74" s="48" t="s">
        <v>28</v>
      </c>
      <c r="D74" s="49">
        <v>1001303637564</v>
      </c>
      <c r="E74" s="22">
        <v>14</v>
      </c>
      <c r="F74" s="21">
        <v>0.84</v>
      </c>
      <c r="G74" s="21">
        <f>E74</f>
        <v>14</v>
      </c>
      <c r="H74" s="13">
        <v>5.04</v>
      </c>
      <c r="I74" s="13">
        <v>45</v>
      </c>
      <c r="J74" s="50" t="s">
        <v>96</v>
      </c>
    </row>
    <row r="75" spans="1:10" ht="16.5" customHeight="1" x14ac:dyDescent="0.25">
      <c r="A75" s="93" t="str">
        <f t="shared" si="3"/>
        <v>7603</v>
      </c>
      <c r="B75" s="51" t="s">
        <v>97</v>
      </c>
      <c r="C75" s="48" t="s">
        <v>25</v>
      </c>
      <c r="D75" s="49">
        <v>1001303637603</v>
      </c>
      <c r="E75" s="22">
        <v>130</v>
      </c>
      <c r="F75" s="21">
        <v>0.33</v>
      </c>
      <c r="G75" s="21">
        <f>E75*F75</f>
        <v>42.9</v>
      </c>
      <c r="H75" s="13">
        <v>2.64</v>
      </c>
      <c r="I75" s="13">
        <v>45</v>
      </c>
      <c r="J75" s="50" t="s">
        <v>98</v>
      </c>
    </row>
    <row r="76" spans="1:10" ht="16.5" customHeight="1" x14ac:dyDescent="0.25">
      <c r="A76" s="93" t="str">
        <f t="shared" si="3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</row>
    <row r="77" spans="1:10" ht="16.5" customHeight="1" x14ac:dyDescent="0.25">
      <c r="A77" s="93" t="str">
        <f t="shared" si="3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</row>
    <row r="78" spans="1:10" ht="16.5" customHeight="1" x14ac:dyDescent="0.25">
      <c r="A78" s="93" t="str">
        <f t="shared" si="3"/>
        <v>7232</v>
      </c>
      <c r="B78" s="51" t="s">
        <v>101</v>
      </c>
      <c r="C78" s="48" t="s">
        <v>25</v>
      </c>
      <c r="D78" s="49">
        <v>1001302277232</v>
      </c>
      <c r="E78" s="22">
        <v>93</v>
      </c>
      <c r="F78" s="95">
        <v>0.28000000000000003</v>
      </c>
      <c r="G78" s="21">
        <f>E78*F78</f>
        <v>26.040000000000003</v>
      </c>
      <c r="H78" s="27">
        <v>2.2400000000000002</v>
      </c>
      <c r="I78" s="27">
        <v>50</v>
      </c>
      <c r="J78" s="27"/>
    </row>
    <row r="79" spans="1:10" ht="16.5" customHeight="1" x14ac:dyDescent="0.25">
      <c r="A79" s="93" t="str">
        <f t="shared" si="3"/>
        <v>7241</v>
      </c>
      <c r="B79" s="51" t="s">
        <v>102</v>
      </c>
      <c r="C79" s="48" t="s">
        <v>25</v>
      </c>
      <c r="D79" s="49">
        <v>1001303107241</v>
      </c>
      <c r="E79" s="22">
        <v>126</v>
      </c>
      <c r="F79" s="95">
        <v>0.28000000000000003</v>
      </c>
      <c r="G79" s="21">
        <f>E79*F79</f>
        <v>35.28</v>
      </c>
      <c r="H79" s="27">
        <v>2.2400000000000002</v>
      </c>
      <c r="I79" s="27">
        <v>45</v>
      </c>
      <c r="J79" s="27"/>
    </row>
    <row r="80" spans="1:10" ht="15.75" customHeight="1" x14ac:dyDescent="0.25">
      <c r="A80" s="93" t="str">
        <f t="shared" si="3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</row>
    <row r="81" spans="1:10" ht="15.75" customHeight="1" x14ac:dyDescent="0.25">
      <c r="A81" s="93" t="str">
        <f t="shared" si="3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</row>
    <row r="82" spans="1:10" ht="15.75" customHeight="1" x14ac:dyDescent="0.25">
      <c r="A82" s="93" t="str">
        <f t="shared" si="3"/>
        <v>6807</v>
      </c>
      <c r="B82" s="51" t="s">
        <v>105</v>
      </c>
      <c r="C82" s="48" t="s">
        <v>25</v>
      </c>
      <c r="D82" s="49">
        <v>1001300366807</v>
      </c>
      <c r="E82" s="22">
        <v>46</v>
      </c>
      <c r="F82" s="95">
        <v>0.33</v>
      </c>
      <c r="G82" s="21">
        <f>E82*F82</f>
        <v>15.180000000000001</v>
      </c>
      <c r="H82" s="27">
        <v>2.64</v>
      </c>
      <c r="I82" s="27">
        <v>45</v>
      </c>
      <c r="J82" s="27"/>
    </row>
    <row r="83" spans="1:10" ht="15.75" customHeight="1" x14ac:dyDescent="0.25">
      <c r="A83" s="93" t="str">
        <f t="shared" si="3"/>
        <v>7154</v>
      </c>
      <c r="B83" s="51" t="s">
        <v>106</v>
      </c>
      <c r="C83" s="48" t="s">
        <v>25</v>
      </c>
      <c r="D83" s="49">
        <v>1001300387154</v>
      </c>
      <c r="E83" s="22">
        <v>179</v>
      </c>
      <c r="F83" s="21">
        <v>0.35</v>
      </c>
      <c r="G83" s="21">
        <f>E83*F83</f>
        <v>62.65</v>
      </c>
      <c r="H83" s="13">
        <v>2.8</v>
      </c>
      <c r="I83" s="13">
        <v>50</v>
      </c>
      <c r="J83" s="27"/>
    </row>
    <row r="84" spans="1:10" ht="15.75" customHeight="1" x14ac:dyDescent="0.25">
      <c r="A84" s="93" t="str">
        <f t="shared" si="3"/>
        <v>7157</v>
      </c>
      <c r="B84" s="51" t="s">
        <v>107</v>
      </c>
      <c r="C84" s="48" t="s">
        <v>28</v>
      </c>
      <c r="D84" s="49">
        <v>1001300387157</v>
      </c>
      <c r="E84" s="22"/>
      <c r="F84" s="21">
        <v>0.63</v>
      </c>
      <c r="G84" s="21">
        <f>E84</f>
        <v>0</v>
      </c>
      <c r="H84" s="13">
        <v>5.04</v>
      </c>
      <c r="I84" s="13">
        <v>50</v>
      </c>
      <c r="J84" s="27"/>
    </row>
    <row r="85" spans="1:10" ht="15.75" customHeight="1" x14ac:dyDescent="0.25">
      <c r="A85" s="93" t="str">
        <f t="shared" si="3"/>
        <v>7562</v>
      </c>
      <c r="B85" s="51" t="s">
        <v>108</v>
      </c>
      <c r="C85" s="48" t="s">
        <v>28</v>
      </c>
      <c r="D85" s="49">
        <v>1001307587562</v>
      </c>
      <c r="E85" s="22">
        <v>54</v>
      </c>
      <c r="F85" s="21"/>
      <c r="G85" s="21">
        <f>E85</f>
        <v>54</v>
      </c>
      <c r="H85" s="13"/>
      <c r="I85" s="13"/>
      <c r="J85" s="27"/>
    </row>
    <row r="86" spans="1:10" ht="15.75" customHeight="1" x14ac:dyDescent="0.25">
      <c r="A86" s="93" t="str">
        <f t="shared" si="3"/>
        <v>7236</v>
      </c>
      <c r="B86" s="51" t="s">
        <v>109</v>
      </c>
      <c r="C86" s="48" t="s">
        <v>25</v>
      </c>
      <c r="D86" s="49">
        <v>1001304507236</v>
      </c>
      <c r="E86" s="22">
        <v>54</v>
      </c>
      <c r="F86" s="21">
        <v>0.28000000000000003</v>
      </c>
      <c r="G86" s="21">
        <f>E86*F86</f>
        <v>15.120000000000001</v>
      </c>
      <c r="H86" s="13">
        <v>2.2400000000000002</v>
      </c>
      <c r="I86" s="13">
        <v>45</v>
      </c>
      <c r="J86" s="27"/>
    </row>
    <row r="87" spans="1:10" ht="15.75" customHeight="1" x14ac:dyDescent="0.25">
      <c r="A87" s="93" t="str">
        <f t="shared" si="3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</row>
    <row r="88" spans="1:10" ht="15.75" customHeight="1" x14ac:dyDescent="0.25">
      <c r="A88" s="93" t="str">
        <f t="shared" si="3"/>
        <v>6787</v>
      </c>
      <c r="B88" s="97" t="s">
        <v>111</v>
      </c>
      <c r="C88" s="48" t="s">
        <v>25</v>
      </c>
      <c r="D88" s="49">
        <v>1001300456787</v>
      </c>
      <c r="E88" s="22">
        <v>159</v>
      </c>
      <c r="F88" s="21">
        <v>0.33</v>
      </c>
      <c r="G88" s="21">
        <f>E88*F88</f>
        <v>52.470000000000006</v>
      </c>
      <c r="H88" s="13">
        <v>2.64</v>
      </c>
      <c r="I88" s="13">
        <v>45</v>
      </c>
      <c r="J88" s="27"/>
    </row>
    <row r="89" spans="1:10" ht="15.75" customHeight="1" x14ac:dyDescent="0.25">
      <c r="A89" s="93" t="str">
        <f t="shared" si="3"/>
        <v>7166</v>
      </c>
      <c r="B89" s="97" t="s">
        <v>112</v>
      </c>
      <c r="C89" s="48" t="s">
        <v>28</v>
      </c>
      <c r="D89" s="49">
        <v>1001303987166</v>
      </c>
      <c r="E89" s="22">
        <v>182</v>
      </c>
      <c r="F89" s="21">
        <v>0.7</v>
      </c>
      <c r="G89" s="21">
        <f>E89</f>
        <v>182</v>
      </c>
      <c r="H89" s="13">
        <v>5.6</v>
      </c>
      <c r="I89" s="13">
        <v>50</v>
      </c>
      <c r="J89" s="27"/>
    </row>
    <row r="90" spans="1:10" ht="16.5" customHeight="1" x14ac:dyDescent="0.25">
      <c r="A90" s="93" t="str">
        <f t="shared" si="3"/>
        <v>7169</v>
      </c>
      <c r="B90" s="51" t="s">
        <v>113</v>
      </c>
      <c r="C90" s="48" t="s">
        <v>25</v>
      </c>
      <c r="D90" s="49">
        <v>1001303987169</v>
      </c>
      <c r="E90" s="22">
        <v>300</v>
      </c>
      <c r="F90" s="21">
        <v>0.35</v>
      </c>
      <c r="G90" s="21">
        <f>E90*F90</f>
        <v>105</v>
      </c>
      <c r="H90" s="13">
        <v>2.8</v>
      </c>
      <c r="I90" s="13">
        <v>50</v>
      </c>
      <c r="J90" s="27"/>
    </row>
    <row r="91" spans="1:10" ht="16.5" customHeight="1" x14ac:dyDescent="0.25">
      <c r="A91" s="93" t="str">
        <f t="shared" si="3"/>
        <v>7156</v>
      </c>
      <c r="B91" s="51" t="s">
        <v>114</v>
      </c>
      <c r="C91" s="48" t="s">
        <v>25</v>
      </c>
      <c r="D91" s="49">
        <v>1001304237156</v>
      </c>
      <c r="E91" s="22">
        <v>100</v>
      </c>
      <c r="F91" s="21">
        <v>0.35</v>
      </c>
      <c r="G91" s="21">
        <f>E91*F91</f>
        <v>35</v>
      </c>
      <c r="H91" s="13"/>
      <c r="I91" s="13"/>
      <c r="J91" s="47"/>
    </row>
    <row r="92" spans="1:10" ht="16.5" customHeight="1" x14ac:dyDescent="0.25">
      <c r="A92" s="93" t="str">
        <f t="shared" si="3"/>
        <v>5544</v>
      </c>
      <c r="B92" s="51" t="s">
        <v>115</v>
      </c>
      <c r="C92" s="48" t="s">
        <v>28</v>
      </c>
      <c r="D92" s="49">
        <v>1001051875544</v>
      </c>
      <c r="E92" s="22">
        <v>214</v>
      </c>
      <c r="F92" s="21">
        <v>0.81</v>
      </c>
      <c r="G92" s="21">
        <f>E92</f>
        <v>214</v>
      </c>
      <c r="H92" s="13">
        <v>4.8600000000000003</v>
      </c>
      <c r="I92" s="13">
        <v>45</v>
      </c>
      <c r="J92" s="47"/>
    </row>
    <row r="93" spans="1:10" ht="16.5" customHeight="1" x14ac:dyDescent="0.25">
      <c r="A93" s="93" t="str">
        <f t="shared" si="3"/>
        <v>6697</v>
      </c>
      <c r="B93" s="51" t="s">
        <v>116</v>
      </c>
      <c r="C93" s="48" t="s">
        <v>25</v>
      </c>
      <c r="D93" s="49">
        <v>1001301876697</v>
      </c>
      <c r="E93" s="22">
        <v>325</v>
      </c>
      <c r="F93" s="21">
        <v>0.35</v>
      </c>
      <c r="G93" s="21">
        <f t="shared" ref="G93:G102" si="4">E93*F93</f>
        <v>113.74999999999999</v>
      </c>
      <c r="H93" s="13">
        <v>2.8</v>
      </c>
      <c r="I93" s="13">
        <v>45</v>
      </c>
      <c r="J93" s="47"/>
    </row>
    <row r="94" spans="1:10" ht="16.5" customHeight="1" x14ac:dyDescent="0.25">
      <c r="A94" s="93" t="str">
        <f t="shared" si="3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4"/>
        <v>0</v>
      </c>
      <c r="H94" s="13">
        <v>2.48</v>
      </c>
      <c r="I94" s="13">
        <v>45</v>
      </c>
      <c r="J94" s="47"/>
    </row>
    <row r="95" spans="1:10" ht="16.5" customHeight="1" x14ac:dyDescent="0.25">
      <c r="A95" s="93" t="str">
        <f t="shared" si="3"/>
        <v>7516</v>
      </c>
      <c r="B95" s="51" t="s">
        <v>118</v>
      </c>
      <c r="C95" s="48" t="s">
        <v>25</v>
      </c>
      <c r="D95" s="49">
        <v>1001307107516</v>
      </c>
      <c r="E95" s="22">
        <v>119</v>
      </c>
      <c r="F95" s="21">
        <v>0.31</v>
      </c>
      <c r="G95" s="21">
        <f t="shared" si="4"/>
        <v>36.89</v>
      </c>
      <c r="H95" s="13"/>
      <c r="I95" s="13"/>
      <c r="J95" s="47"/>
    </row>
    <row r="96" spans="1:10" ht="16.5" customHeight="1" x14ac:dyDescent="0.25">
      <c r="A96" s="93" t="str">
        <f t="shared" si="3"/>
        <v>7710</v>
      </c>
      <c r="B96" s="51" t="s">
        <v>119</v>
      </c>
      <c r="C96" s="48" t="s">
        <v>25</v>
      </c>
      <c r="D96" s="49">
        <v>1001307587710</v>
      </c>
      <c r="E96" s="22">
        <v>40</v>
      </c>
      <c r="F96" s="21">
        <v>0.3</v>
      </c>
      <c r="G96" s="21">
        <f t="shared" si="4"/>
        <v>12</v>
      </c>
      <c r="H96" s="13"/>
      <c r="I96" s="13"/>
      <c r="J96" s="47"/>
    </row>
    <row r="97" spans="1:10" ht="16.5" customHeight="1" x14ac:dyDescent="0.25">
      <c r="A97" s="93" t="str">
        <f t="shared" si="3"/>
        <v>7513</v>
      </c>
      <c r="B97" s="51" t="s">
        <v>120</v>
      </c>
      <c r="C97" s="48" t="s">
        <v>25</v>
      </c>
      <c r="D97" s="49">
        <v>1001307077513</v>
      </c>
      <c r="E97" s="22">
        <v>100</v>
      </c>
      <c r="F97" s="21">
        <v>0.26</v>
      </c>
      <c r="G97" s="21">
        <f t="shared" si="4"/>
        <v>26</v>
      </c>
      <c r="H97" s="13"/>
      <c r="I97" s="13"/>
      <c r="J97" s="47"/>
    </row>
    <row r="98" spans="1:10" ht="16.5" customHeight="1" x14ac:dyDescent="0.25">
      <c r="A98" s="93" t="str">
        <f t="shared" si="3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4"/>
        <v>0</v>
      </c>
      <c r="H98" s="13">
        <v>2.8</v>
      </c>
      <c r="I98" s="13">
        <v>50</v>
      </c>
      <c r="J98" s="47"/>
    </row>
    <row r="99" spans="1:10" ht="16.5" customHeight="1" x14ac:dyDescent="0.25">
      <c r="A99" s="93" t="str">
        <f t="shared" si="3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4"/>
        <v>0</v>
      </c>
      <c r="H99" s="13">
        <v>2.2400000000000002</v>
      </c>
      <c r="I99" s="13">
        <v>50</v>
      </c>
      <c r="J99" s="47"/>
    </row>
    <row r="100" spans="1:10" ht="16.5" customHeight="1" x14ac:dyDescent="0.25">
      <c r="A100" s="93" t="str">
        <f t="shared" si="3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4"/>
        <v>0</v>
      </c>
      <c r="H100" s="13">
        <v>2.2400000000000002</v>
      </c>
      <c r="I100" s="13">
        <v>50</v>
      </c>
      <c r="J100" s="47"/>
    </row>
    <row r="101" spans="1:10" ht="16.5" customHeight="1" x14ac:dyDescent="0.25">
      <c r="A101" s="93" t="str">
        <f t="shared" si="3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4"/>
        <v>0</v>
      </c>
      <c r="H101" s="13">
        <v>1</v>
      </c>
      <c r="I101" s="13">
        <v>45</v>
      </c>
      <c r="J101" s="50" t="s">
        <v>125</v>
      </c>
    </row>
    <row r="102" spans="1:10" ht="16.5" customHeight="1" thickBot="1" x14ac:dyDescent="0.3">
      <c r="A102" s="93" t="str">
        <f t="shared" si="3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4"/>
        <v>0</v>
      </c>
      <c r="H102" s="13">
        <v>1</v>
      </c>
      <c r="I102" s="13">
        <v>45</v>
      </c>
      <c r="J102" s="50" t="s">
        <v>127</v>
      </c>
    </row>
    <row r="103" spans="1:10" ht="16.5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</row>
    <row r="104" spans="1:10" ht="16.5" customHeight="1" thickTop="1" x14ac:dyDescent="0.25">
      <c r="A104" s="93" t="str">
        <f t="shared" ref="A104:A131" si="5">RIGHT(D104,4)</f>
        <v>3986</v>
      </c>
      <c r="B104" s="51" t="s">
        <v>129</v>
      </c>
      <c r="C104" s="48" t="s">
        <v>25</v>
      </c>
      <c r="D104" s="49">
        <v>1001061973986</v>
      </c>
      <c r="E104" s="22">
        <v>107</v>
      </c>
      <c r="F104" s="95">
        <v>0.25</v>
      </c>
      <c r="G104" s="21">
        <f>E104*F104</f>
        <v>26.75</v>
      </c>
      <c r="H104" s="98">
        <v>2</v>
      </c>
      <c r="I104" s="99">
        <v>120</v>
      </c>
      <c r="J104" s="27"/>
    </row>
    <row r="105" spans="1:10" ht="16.5" customHeight="1" x14ac:dyDescent="0.25">
      <c r="A105" s="93" t="str">
        <f t="shared" si="5"/>
        <v>5931</v>
      </c>
      <c r="B105" s="51" t="s">
        <v>130</v>
      </c>
      <c r="C105" s="48" t="s">
        <v>25</v>
      </c>
      <c r="D105" s="49">
        <v>1001060755931</v>
      </c>
      <c r="E105" s="22">
        <v>150</v>
      </c>
      <c r="F105" s="21">
        <v>0.22</v>
      </c>
      <c r="G105" s="21">
        <f>E105*F105</f>
        <v>33</v>
      </c>
      <c r="H105" s="85">
        <v>1.76</v>
      </c>
      <c r="I105" s="13">
        <v>120</v>
      </c>
      <c r="J105" s="27"/>
    </row>
    <row r="106" spans="1:10" ht="16.5" customHeight="1" x14ac:dyDescent="0.25">
      <c r="A106" s="93" t="str">
        <f t="shared" si="5"/>
        <v>5708</v>
      </c>
      <c r="B106" s="51" t="s">
        <v>131</v>
      </c>
      <c r="C106" s="48" t="s">
        <v>28</v>
      </c>
      <c r="D106" s="49">
        <v>1001063145708</v>
      </c>
      <c r="E106" s="22">
        <v>15</v>
      </c>
      <c r="F106" s="21">
        <v>0.5</v>
      </c>
      <c r="G106" s="21">
        <f>E106</f>
        <v>15</v>
      </c>
      <c r="H106" s="13">
        <v>4</v>
      </c>
      <c r="I106" s="13">
        <v>120</v>
      </c>
      <c r="J106" s="27"/>
    </row>
    <row r="107" spans="1:10" ht="16.5" customHeight="1" x14ac:dyDescent="0.25">
      <c r="A107" s="93" t="str">
        <f t="shared" si="5"/>
        <v>3287</v>
      </c>
      <c r="B107" s="51" t="s">
        <v>132</v>
      </c>
      <c r="C107" s="48" t="s">
        <v>28</v>
      </c>
      <c r="D107" s="49">
        <v>1001060763287</v>
      </c>
      <c r="E107" s="22"/>
      <c r="F107" s="21">
        <v>0.48799999999999999</v>
      </c>
      <c r="G107" s="21">
        <f>E107</f>
        <v>0</v>
      </c>
      <c r="H107" s="13">
        <v>3.9</v>
      </c>
      <c r="I107" s="13">
        <v>120</v>
      </c>
      <c r="J107" s="27"/>
    </row>
    <row r="108" spans="1:10" ht="16.5" customHeight="1" x14ac:dyDescent="0.25">
      <c r="A108" s="93" t="str">
        <f t="shared" si="5"/>
        <v>4993</v>
      </c>
      <c r="B108" s="51" t="s">
        <v>133</v>
      </c>
      <c r="C108" s="48" t="s">
        <v>25</v>
      </c>
      <c r="D108" s="49">
        <v>1001060764993</v>
      </c>
      <c r="E108" s="22"/>
      <c r="F108" s="21">
        <v>0.25</v>
      </c>
      <c r="G108" s="21">
        <f>E108*F108</f>
        <v>0</v>
      </c>
      <c r="H108" s="13">
        <v>2</v>
      </c>
      <c r="I108" s="13">
        <v>120</v>
      </c>
      <c r="J108" s="27"/>
    </row>
    <row r="109" spans="1:10" ht="16.149999999999999" customHeight="1" x14ac:dyDescent="0.25">
      <c r="A109" s="93" t="str">
        <f t="shared" si="5"/>
        <v>5483</v>
      </c>
      <c r="B109" s="51" t="s">
        <v>134</v>
      </c>
      <c r="C109" s="48" t="s">
        <v>25</v>
      </c>
      <c r="D109" s="49">
        <v>1001062505483</v>
      </c>
      <c r="E109" s="22">
        <v>51</v>
      </c>
      <c r="F109" s="21">
        <v>0.25</v>
      </c>
      <c r="G109" s="21">
        <f>E109*F109</f>
        <v>12.75</v>
      </c>
      <c r="H109" s="13">
        <v>2</v>
      </c>
      <c r="I109" s="13">
        <v>120</v>
      </c>
      <c r="J109" s="27"/>
    </row>
    <row r="110" spans="1:10" ht="16.149999999999999" customHeight="1" x14ac:dyDescent="0.25">
      <c r="A110" s="93" t="str">
        <f t="shared" si="5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</row>
    <row r="111" spans="1:10" ht="16.149999999999999" customHeight="1" x14ac:dyDescent="0.25">
      <c r="A111" s="93" t="str">
        <f t="shared" si="5"/>
        <v>0614</v>
      </c>
      <c r="B111" s="51" t="s">
        <v>136</v>
      </c>
      <c r="C111" s="48" t="s">
        <v>28</v>
      </c>
      <c r="D111" s="49">
        <v>1001060720614</v>
      </c>
      <c r="E111" s="22">
        <v>12</v>
      </c>
      <c r="F111" s="21">
        <v>0.52</v>
      </c>
      <c r="G111" s="21">
        <f>E111</f>
        <v>12</v>
      </c>
      <c r="H111" s="13">
        <v>3.64</v>
      </c>
      <c r="I111" s="13">
        <v>120</v>
      </c>
      <c r="J111" s="27"/>
    </row>
    <row r="112" spans="1:10" ht="16.149999999999999" customHeight="1" x14ac:dyDescent="0.25">
      <c r="A112" s="93" t="str">
        <f t="shared" si="5"/>
        <v>6967</v>
      </c>
      <c r="B112" s="51" t="s">
        <v>137</v>
      </c>
      <c r="C112" s="48" t="s">
        <v>25</v>
      </c>
      <c r="D112" s="49">
        <v>1001063656967</v>
      </c>
      <c r="E112" s="22">
        <v>31</v>
      </c>
      <c r="F112" s="21">
        <v>0.25</v>
      </c>
      <c r="G112" s="21">
        <f t="shared" ref="G112:G121" si="6">E112*F112</f>
        <v>7.75</v>
      </c>
      <c r="H112" s="13">
        <v>2</v>
      </c>
      <c r="I112" s="13">
        <v>120</v>
      </c>
      <c r="J112" s="27"/>
    </row>
    <row r="113" spans="1:10" ht="16.149999999999999" customHeight="1" x14ac:dyDescent="0.25">
      <c r="A113" s="93" t="str">
        <f t="shared" si="5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6"/>
        <v>0</v>
      </c>
      <c r="H113" s="13">
        <v>2</v>
      </c>
      <c r="I113" s="13">
        <v>120</v>
      </c>
      <c r="J113" s="27"/>
    </row>
    <row r="114" spans="1:10" ht="16.149999999999999" customHeight="1" x14ac:dyDescent="0.25">
      <c r="A114" s="93" t="str">
        <f t="shared" si="5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6"/>
        <v>0</v>
      </c>
      <c r="H114" s="13">
        <v>1.76</v>
      </c>
      <c r="I114" s="13">
        <v>120</v>
      </c>
      <c r="J114" s="27"/>
    </row>
    <row r="115" spans="1:10" ht="16.5" customHeight="1" x14ac:dyDescent="0.25">
      <c r="A115" s="93" t="str">
        <f t="shared" si="5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6"/>
        <v>0</v>
      </c>
      <c r="H115" s="13">
        <v>1.76</v>
      </c>
      <c r="I115" s="13">
        <v>120</v>
      </c>
      <c r="J115" s="27"/>
    </row>
    <row r="116" spans="1:10" ht="16.5" customHeight="1" x14ac:dyDescent="0.25">
      <c r="A116" s="93" t="str">
        <f t="shared" si="5"/>
        <v>7456</v>
      </c>
      <c r="B116" s="51" t="s">
        <v>141</v>
      </c>
      <c r="C116" s="48" t="s">
        <v>25</v>
      </c>
      <c r="D116" s="49">
        <v>1001063097456</v>
      </c>
      <c r="E116" s="22">
        <v>30</v>
      </c>
      <c r="F116" s="21">
        <v>0.15</v>
      </c>
      <c r="G116" s="21">
        <f t="shared" si="6"/>
        <v>4.5</v>
      </c>
      <c r="H116" s="13">
        <v>1.8</v>
      </c>
      <c r="I116" s="13">
        <v>90</v>
      </c>
      <c r="J116" s="27"/>
    </row>
    <row r="117" spans="1:10" ht="16.5" customHeight="1" x14ac:dyDescent="0.25">
      <c r="A117" s="93" t="str">
        <f t="shared" si="5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6"/>
        <v>0</v>
      </c>
      <c r="H117" s="13">
        <v>1.76</v>
      </c>
      <c r="I117" s="13">
        <v>90</v>
      </c>
      <c r="J117" s="27"/>
    </row>
    <row r="118" spans="1:10" ht="16.5" customHeight="1" x14ac:dyDescent="0.25">
      <c r="A118" s="93" t="str">
        <f t="shared" si="5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6"/>
        <v>0</v>
      </c>
      <c r="H118" s="13">
        <v>1.76</v>
      </c>
      <c r="I118" s="13">
        <v>90</v>
      </c>
      <c r="J118" s="27"/>
    </row>
    <row r="119" spans="1:10" ht="15.75" customHeight="1" x14ac:dyDescent="0.25">
      <c r="A119" s="93" t="str">
        <f t="shared" si="5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6"/>
        <v>0</v>
      </c>
      <c r="H119" s="13">
        <v>3.78</v>
      </c>
      <c r="I119" s="13">
        <v>120</v>
      </c>
      <c r="J119" s="27"/>
    </row>
    <row r="120" spans="1:10" ht="15.75" customHeight="1" x14ac:dyDescent="0.25">
      <c r="A120" s="93" t="str">
        <f t="shared" si="5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6"/>
        <v>0</v>
      </c>
      <c r="H120" s="13">
        <v>2.16</v>
      </c>
      <c r="I120" s="13">
        <v>120</v>
      </c>
      <c r="J120" s="27"/>
    </row>
    <row r="121" spans="1:10" ht="15.75" customHeight="1" x14ac:dyDescent="0.25">
      <c r="A121" s="93" t="str">
        <f t="shared" si="5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6"/>
        <v>0</v>
      </c>
      <c r="H121" s="13">
        <v>3.78</v>
      </c>
      <c r="I121" s="13">
        <v>120</v>
      </c>
      <c r="J121" s="27"/>
    </row>
    <row r="122" spans="1:10" ht="15.75" customHeight="1" x14ac:dyDescent="0.25">
      <c r="A122" s="93" t="str">
        <f t="shared" si="5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</row>
    <row r="123" spans="1:10" ht="16.5" customHeight="1" x14ac:dyDescent="0.25">
      <c r="A123" s="93" t="str">
        <f t="shared" si="5"/>
        <v>7299</v>
      </c>
      <c r="B123" s="51" t="s">
        <v>148</v>
      </c>
      <c r="C123" s="48" t="s">
        <v>28</v>
      </c>
      <c r="D123" s="49">
        <v>1001060677299</v>
      </c>
      <c r="E123" s="22">
        <v>220</v>
      </c>
      <c r="F123" s="21">
        <v>0.215</v>
      </c>
      <c r="G123" s="21">
        <f>E123</f>
        <v>220</v>
      </c>
      <c r="H123" s="13">
        <v>2.15</v>
      </c>
      <c r="I123" s="13">
        <v>30</v>
      </c>
      <c r="J123" s="27"/>
    </row>
    <row r="124" spans="1:10" ht="16.5" customHeight="1" x14ac:dyDescent="0.25">
      <c r="A124" s="93" t="str">
        <f t="shared" si="5"/>
        <v>7386</v>
      </c>
      <c r="B124" s="51" t="s">
        <v>149</v>
      </c>
      <c r="C124" s="48" t="s">
        <v>25</v>
      </c>
      <c r="D124" s="49">
        <v>1001067017386</v>
      </c>
      <c r="E124" s="22">
        <v>30</v>
      </c>
      <c r="F124" s="21">
        <v>0.15</v>
      </c>
      <c r="G124" s="21">
        <f t="shared" ref="G124:G131" si="7">E124*F124</f>
        <v>4.5</v>
      </c>
      <c r="H124" s="13">
        <v>1.35</v>
      </c>
      <c r="I124" s="13">
        <v>90</v>
      </c>
      <c r="J124" s="27"/>
    </row>
    <row r="125" spans="1:10" ht="16.5" customHeight="1" x14ac:dyDescent="0.25">
      <c r="A125" s="93" t="str">
        <f t="shared" si="5"/>
        <v>7613</v>
      </c>
      <c r="B125" s="51" t="s">
        <v>150</v>
      </c>
      <c r="C125" s="48" t="s">
        <v>25</v>
      </c>
      <c r="D125" s="49">
        <v>1001061977613</v>
      </c>
      <c r="E125" s="22">
        <v>108</v>
      </c>
      <c r="F125" s="21">
        <v>0.1</v>
      </c>
      <c r="G125" s="21">
        <f t="shared" si="7"/>
        <v>10.8</v>
      </c>
      <c r="H125" s="13">
        <v>1</v>
      </c>
      <c r="I125" s="13">
        <v>60</v>
      </c>
      <c r="J125" s="50" t="s">
        <v>151</v>
      </c>
    </row>
    <row r="126" spans="1:10" ht="16.5" customHeight="1" x14ac:dyDescent="0.25">
      <c r="A126" s="93" t="str">
        <f t="shared" si="5"/>
        <v>7382</v>
      </c>
      <c r="B126" s="51" t="s">
        <v>152</v>
      </c>
      <c r="C126" s="48" t="s">
        <v>25</v>
      </c>
      <c r="D126" s="49">
        <v>1001203117382</v>
      </c>
      <c r="E126" s="22">
        <v>162</v>
      </c>
      <c r="F126" s="21">
        <v>0.12</v>
      </c>
      <c r="G126" s="21">
        <f t="shared" si="7"/>
        <v>19.439999999999998</v>
      </c>
      <c r="H126" s="13">
        <v>0.96</v>
      </c>
      <c r="I126" s="13">
        <v>60</v>
      </c>
      <c r="J126" s="27"/>
    </row>
    <row r="127" spans="1:10" ht="16.5" customHeight="1" x14ac:dyDescent="0.25">
      <c r="A127" s="93" t="str">
        <f t="shared" si="5"/>
        <v>7616</v>
      </c>
      <c r="B127" s="51" t="s">
        <v>153</v>
      </c>
      <c r="C127" s="48" t="s">
        <v>25</v>
      </c>
      <c r="D127" s="49">
        <v>1001062507616</v>
      </c>
      <c r="E127" s="22">
        <v>112</v>
      </c>
      <c r="F127" s="21">
        <v>0.1</v>
      </c>
      <c r="G127" s="21">
        <f t="shared" si="7"/>
        <v>11.200000000000001</v>
      </c>
      <c r="H127" s="13">
        <v>1.4</v>
      </c>
      <c r="I127" s="13">
        <v>60</v>
      </c>
      <c r="J127" s="50" t="s">
        <v>154</v>
      </c>
    </row>
    <row r="128" spans="1:10" ht="16.5" customHeight="1" x14ac:dyDescent="0.25">
      <c r="A128" s="93" t="str">
        <f t="shared" si="5"/>
        <v>6221</v>
      </c>
      <c r="B128" s="51" t="s">
        <v>155</v>
      </c>
      <c r="C128" s="48" t="s">
        <v>25</v>
      </c>
      <c r="D128" s="49">
        <v>1001205376221</v>
      </c>
      <c r="E128" s="22">
        <v>229</v>
      </c>
      <c r="F128" s="21">
        <v>0.09</v>
      </c>
      <c r="G128" s="21">
        <f t="shared" si="7"/>
        <v>20.61</v>
      </c>
      <c r="H128" s="13">
        <v>0.9</v>
      </c>
      <c r="I128" s="13">
        <v>60</v>
      </c>
      <c r="J128" s="27"/>
    </row>
    <row r="129" spans="1:10" ht="16.5" customHeight="1" x14ac:dyDescent="0.25">
      <c r="A129" s="93" t="str">
        <f t="shared" si="5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7"/>
        <v>0</v>
      </c>
      <c r="H129" s="13">
        <v>0.9</v>
      </c>
      <c r="I129" s="13">
        <v>60</v>
      </c>
      <c r="J129" s="27"/>
    </row>
    <row r="130" spans="1:10" ht="16.5" customHeight="1" x14ac:dyDescent="0.25">
      <c r="A130" s="93" t="str">
        <f t="shared" si="5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7"/>
        <v>0</v>
      </c>
      <c r="H130" s="13">
        <v>1.2</v>
      </c>
      <c r="I130" s="13">
        <v>60</v>
      </c>
      <c r="J130" s="27"/>
    </row>
    <row r="131" spans="1:10" ht="16.5" customHeight="1" thickBot="1" x14ac:dyDescent="0.3">
      <c r="A131" s="93" t="str">
        <f t="shared" si="5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7"/>
        <v>0</v>
      </c>
      <c r="H131" s="13">
        <v>1</v>
      </c>
      <c r="I131" s="13">
        <v>60</v>
      </c>
      <c r="J131" s="50" t="s">
        <v>159</v>
      </c>
    </row>
    <row r="132" spans="1:10" ht="16.5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</row>
    <row r="133" spans="1:10" ht="16.5" customHeight="1" thickTop="1" x14ac:dyDescent="0.25">
      <c r="A133" s="93" t="str">
        <f t="shared" ref="A133:A147" si="8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</row>
    <row r="134" spans="1:10" ht="16.5" customHeight="1" x14ac:dyDescent="0.25">
      <c r="A134" s="93" t="str">
        <f t="shared" si="8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</row>
    <row r="135" spans="1:10" ht="15.75" customHeight="1" x14ac:dyDescent="0.25">
      <c r="A135" s="93" t="str">
        <f t="shared" si="8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</row>
    <row r="136" spans="1:10" x14ac:dyDescent="0.25">
      <c r="A136" s="93" t="str">
        <f t="shared" si="8"/>
        <v>5452</v>
      </c>
      <c r="B136" s="101" t="s">
        <v>164</v>
      </c>
      <c r="C136" s="48" t="s">
        <v>28</v>
      </c>
      <c r="D136" s="49">
        <v>1001092485452</v>
      </c>
      <c r="E136" s="22">
        <v>40</v>
      </c>
      <c r="F136" s="95">
        <v>1.35</v>
      </c>
      <c r="G136" s="21">
        <f>E136</f>
        <v>40</v>
      </c>
      <c r="H136" s="27">
        <v>4.05</v>
      </c>
      <c r="I136" s="27">
        <v>60</v>
      </c>
      <c r="J136" s="27"/>
    </row>
    <row r="137" spans="1:10" x14ac:dyDescent="0.25">
      <c r="A137" s="93" t="str">
        <f t="shared" si="8"/>
        <v>3215</v>
      </c>
      <c r="B137" s="101" t="s">
        <v>165</v>
      </c>
      <c r="C137" s="48" t="s">
        <v>25</v>
      </c>
      <c r="D137" s="49">
        <v>1001094053215</v>
      </c>
      <c r="E137" s="22">
        <v>145</v>
      </c>
      <c r="F137" s="95">
        <v>0.4</v>
      </c>
      <c r="G137" s="21">
        <f>E137*F137</f>
        <v>58</v>
      </c>
      <c r="H137" s="27">
        <v>3.2</v>
      </c>
      <c r="I137" s="27">
        <v>60</v>
      </c>
      <c r="J137" s="27"/>
    </row>
    <row r="138" spans="1:10" x14ac:dyDescent="0.25">
      <c r="A138" s="93" t="str">
        <f t="shared" si="8"/>
        <v>6866</v>
      </c>
      <c r="B138" s="101" t="s">
        <v>166</v>
      </c>
      <c r="C138" s="48" t="s">
        <v>28</v>
      </c>
      <c r="D138" s="49">
        <v>1001095716866</v>
      </c>
      <c r="E138" s="22">
        <v>19</v>
      </c>
      <c r="F138" s="95">
        <v>1.5</v>
      </c>
      <c r="G138" s="21">
        <f>E138</f>
        <v>19</v>
      </c>
      <c r="H138" s="27">
        <v>6</v>
      </c>
      <c r="I138" s="27">
        <v>60</v>
      </c>
      <c r="J138" s="27"/>
    </row>
    <row r="139" spans="1:10" x14ac:dyDescent="0.25">
      <c r="A139" s="93" t="str">
        <f t="shared" si="8"/>
        <v>5495</v>
      </c>
      <c r="B139" s="51" t="s">
        <v>167</v>
      </c>
      <c r="C139" s="48" t="s">
        <v>25</v>
      </c>
      <c r="D139" s="94">
        <v>1001093345495</v>
      </c>
      <c r="E139" s="22">
        <v>300</v>
      </c>
      <c r="F139" s="95">
        <v>0.4</v>
      </c>
      <c r="G139" s="21">
        <f>E139*F139</f>
        <v>120</v>
      </c>
      <c r="H139" s="27">
        <v>2.4</v>
      </c>
      <c r="I139" s="27">
        <v>60</v>
      </c>
      <c r="J139" s="27"/>
    </row>
    <row r="140" spans="1:10" x14ac:dyDescent="0.25">
      <c r="A140" s="93" t="str">
        <f t="shared" si="8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</row>
    <row r="141" spans="1:10" x14ac:dyDescent="0.25">
      <c r="A141" s="93" t="str">
        <f t="shared" si="8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</row>
    <row r="142" spans="1:10" x14ac:dyDescent="0.25">
      <c r="A142" s="93" t="str">
        <f t="shared" si="8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</row>
    <row r="143" spans="1:10" x14ac:dyDescent="0.25">
      <c r="A143" s="93" t="str">
        <f t="shared" si="8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</row>
    <row r="144" spans="1:10" x14ac:dyDescent="0.25">
      <c r="A144" s="93" t="str">
        <f t="shared" si="8"/>
        <v>6929</v>
      </c>
      <c r="B144" s="51" t="s">
        <v>172</v>
      </c>
      <c r="C144" s="48" t="s">
        <v>28</v>
      </c>
      <c r="D144" s="94">
        <v>1001085476929</v>
      </c>
      <c r="E144" s="22">
        <v>30</v>
      </c>
      <c r="F144" s="95"/>
      <c r="G144" s="21">
        <f>E144</f>
        <v>30</v>
      </c>
      <c r="H144" s="27"/>
      <c r="I144" s="27"/>
      <c r="J144" s="27"/>
    </row>
    <row r="145" spans="1:10" x14ac:dyDescent="0.25">
      <c r="A145" s="93" t="str">
        <f t="shared" si="8"/>
        <v>7485</v>
      </c>
      <c r="B145" s="51" t="s">
        <v>173</v>
      </c>
      <c r="C145" s="48" t="s">
        <v>25</v>
      </c>
      <c r="D145" s="94">
        <v>1001107397485</v>
      </c>
      <c r="E145" s="22">
        <v>181</v>
      </c>
      <c r="F145" s="95">
        <v>0.15</v>
      </c>
      <c r="G145" s="21">
        <f>F145*E145</f>
        <v>27.15</v>
      </c>
      <c r="H145" s="27"/>
      <c r="I145" s="27"/>
      <c r="J145" s="90" t="s">
        <v>59</v>
      </c>
    </row>
    <row r="146" spans="1:10" x14ac:dyDescent="0.25">
      <c r="A146" s="93" t="str">
        <f t="shared" si="8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</row>
    <row r="147" spans="1:10" ht="15.75" customHeight="1" thickBot="1" x14ac:dyDescent="0.3">
      <c r="A147" s="93" t="str">
        <f t="shared" si="8"/>
        <v>7651</v>
      </c>
      <c r="B147" s="51" t="s">
        <v>175</v>
      </c>
      <c r="C147" s="48" t="s">
        <v>25</v>
      </c>
      <c r="D147" s="94">
        <v>1001097767651</v>
      </c>
      <c r="E147" s="22"/>
      <c r="F147" s="95">
        <v>0.1</v>
      </c>
      <c r="G147" s="21">
        <f>E147*F147</f>
        <v>0</v>
      </c>
      <c r="H147" s="27">
        <v>1</v>
      </c>
      <c r="I147" s="27">
        <v>30</v>
      </c>
      <c r="J147" s="90" t="s">
        <v>59</v>
      </c>
    </row>
    <row r="148" spans="1:10" ht="16.5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</row>
    <row r="149" spans="1:10" ht="15.75" customHeight="1" thickTop="1" x14ac:dyDescent="0.25">
      <c r="A149" s="93" t="str">
        <f t="shared" ref="A149:A162" si="9">RIGHT(D149,4)</f>
        <v>7090</v>
      </c>
      <c r="B149" s="33" t="s">
        <v>177</v>
      </c>
      <c r="C149" s="48" t="s">
        <v>25</v>
      </c>
      <c r="D149" s="49">
        <v>1001084217090</v>
      </c>
      <c r="E149" s="22">
        <v>152</v>
      </c>
      <c r="F149" s="21">
        <v>0.3</v>
      </c>
      <c r="G149" s="21">
        <f>E149*F149</f>
        <v>45.6</v>
      </c>
      <c r="H149" s="13">
        <v>1.8</v>
      </c>
      <c r="I149" s="13">
        <v>50</v>
      </c>
      <c r="J149" s="27"/>
    </row>
    <row r="150" spans="1:10" x14ac:dyDescent="0.25">
      <c r="A150" s="93" t="str">
        <f t="shared" si="9"/>
        <v>7187</v>
      </c>
      <c r="B150" s="33" t="s">
        <v>178</v>
      </c>
      <c r="C150" s="48" t="s">
        <v>25</v>
      </c>
      <c r="D150" s="49">
        <v>1001085637187</v>
      </c>
      <c r="E150" s="22">
        <v>112</v>
      </c>
      <c r="F150" s="21">
        <v>0.3</v>
      </c>
      <c r="G150" s="21">
        <f>E150*F150</f>
        <v>33.6</v>
      </c>
      <c r="H150" s="13">
        <v>1.8</v>
      </c>
      <c r="I150" s="13">
        <v>50</v>
      </c>
      <c r="J150" s="27"/>
    </row>
    <row r="151" spans="1:10" x14ac:dyDescent="0.25">
      <c r="A151" s="93" t="str">
        <f t="shared" si="9"/>
        <v>6008</v>
      </c>
      <c r="B151" s="33" t="s">
        <v>179</v>
      </c>
      <c r="C151" s="48" t="s">
        <v>28</v>
      </c>
      <c r="D151" s="49">
        <v>1001084856008</v>
      </c>
      <c r="E151" s="22">
        <v>14</v>
      </c>
      <c r="F151" s="21">
        <v>0.3</v>
      </c>
      <c r="G151" s="21">
        <f>E151</f>
        <v>14</v>
      </c>
      <c r="H151" s="13">
        <v>1.8</v>
      </c>
      <c r="I151" s="13">
        <v>40</v>
      </c>
      <c r="J151" s="90" t="s">
        <v>59</v>
      </c>
    </row>
    <row r="152" spans="1:10" x14ac:dyDescent="0.25">
      <c r="A152" s="93" t="str">
        <f t="shared" si="9"/>
        <v>6620</v>
      </c>
      <c r="B152" s="33" t="s">
        <v>180</v>
      </c>
      <c r="C152" s="48" t="s">
        <v>28</v>
      </c>
      <c r="D152" s="49">
        <v>1001081596620</v>
      </c>
      <c r="E152" s="22">
        <v>50</v>
      </c>
      <c r="F152" s="21">
        <v>1.05</v>
      </c>
      <c r="G152" s="21">
        <f>E152</f>
        <v>50</v>
      </c>
      <c r="H152" s="13">
        <v>3.15</v>
      </c>
      <c r="I152" s="13">
        <v>30</v>
      </c>
      <c r="J152" s="27"/>
    </row>
    <row r="153" spans="1:10" x14ac:dyDescent="0.25">
      <c r="A153" s="93" t="str">
        <f t="shared" si="9"/>
        <v>7103</v>
      </c>
      <c r="B153" s="33" t="s">
        <v>181</v>
      </c>
      <c r="C153" s="48" t="s">
        <v>25</v>
      </c>
      <c r="D153" s="49">
        <v>1001223297103</v>
      </c>
      <c r="E153" s="22">
        <v>84</v>
      </c>
      <c r="F153" s="21">
        <v>0.18</v>
      </c>
      <c r="G153" s="21">
        <f t="shared" ref="G153:G162" si="10">E153*F153</f>
        <v>15.12</v>
      </c>
      <c r="H153" s="13">
        <v>1.8</v>
      </c>
      <c r="I153" s="13">
        <v>50</v>
      </c>
      <c r="J153" s="27"/>
    </row>
    <row r="154" spans="1:10" x14ac:dyDescent="0.25">
      <c r="A154" s="93" t="str">
        <f t="shared" si="9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0"/>
        <v>0</v>
      </c>
      <c r="H154" s="13">
        <v>1.4</v>
      </c>
      <c r="I154" s="13">
        <v>50</v>
      </c>
      <c r="J154" s="27"/>
    </row>
    <row r="155" spans="1:10" x14ac:dyDescent="0.25">
      <c r="A155" s="93" t="str">
        <f t="shared" si="9"/>
        <v>6228</v>
      </c>
      <c r="B155" s="33" t="s">
        <v>183</v>
      </c>
      <c r="C155" s="48" t="s">
        <v>25</v>
      </c>
      <c r="D155" s="49">
        <v>1001225416228</v>
      </c>
      <c r="E155" s="22">
        <v>137</v>
      </c>
      <c r="F155" s="21">
        <v>0.09</v>
      </c>
      <c r="G155" s="21">
        <f t="shared" si="10"/>
        <v>12.33</v>
      </c>
      <c r="H155" s="13">
        <v>0.9</v>
      </c>
      <c r="I155" s="13">
        <v>45</v>
      </c>
      <c r="J155" s="27"/>
    </row>
    <row r="156" spans="1:10" x14ac:dyDescent="0.25">
      <c r="A156" s="93" t="str">
        <f t="shared" si="9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0"/>
        <v>0</v>
      </c>
      <c r="H156" s="13">
        <v>1</v>
      </c>
      <c r="I156" s="13">
        <v>45</v>
      </c>
      <c r="J156" s="27"/>
    </row>
    <row r="157" spans="1:10" x14ac:dyDescent="0.25">
      <c r="A157" s="93" t="str">
        <f t="shared" si="9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0"/>
        <v>0</v>
      </c>
      <c r="H157" s="13">
        <v>1.5</v>
      </c>
      <c r="I157" s="13">
        <v>45</v>
      </c>
      <c r="J157" s="27"/>
    </row>
    <row r="158" spans="1:10" x14ac:dyDescent="0.25">
      <c r="A158" s="93" t="str">
        <f t="shared" si="9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0"/>
        <v>0</v>
      </c>
      <c r="H158" s="13">
        <v>0.72</v>
      </c>
      <c r="I158" s="13">
        <v>60</v>
      </c>
      <c r="J158" s="27"/>
    </row>
    <row r="159" spans="1:10" x14ac:dyDescent="0.25">
      <c r="A159" s="93" t="str">
        <f t="shared" si="9"/>
        <v>6279</v>
      </c>
      <c r="B159" s="33" t="s">
        <v>187</v>
      </c>
      <c r="C159" s="48" t="s">
        <v>25</v>
      </c>
      <c r="D159" s="49">
        <v>1001220286279</v>
      </c>
      <c r="E159" s="22">
        <v>40</v>
      </c>
      <c r="F159" s="21">
        <v>0.15</v>
      </c>
      <c r="G159" s="21">
        <f t="shared" si="10"/>
        <v>6</v>
      </c>
      <c r="H159" s="13">
        <v>1.2</v>
      </c>
      <c r="I159" s="13">
        <v>45</v>
      </c>
      <c r="J159" s="27"/>
    </row>
    <row r="160" spans="1:10" x14ac:dyDescent="0.25">
      <c r="A160" s="93" t="str">
        <f t="shared" si="9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0"/>
        <v>0</v>
      </c>
      <c r="H160" s="13">
        <v>1</v>
      </c>
      <c r="I160" s="13">
        <v>60</v>
      </c>
      <c r="J160" s="50" t="s">
        <v>189</v>
      </c>
    </row>
    <row r="161" spans="1:10" x14ac:dyDescent="0.25">
      <c r="A161" s="93" t="str">
        <f t="shared" si="9"/>
        <v>7344</v>
      </c>
      <c r="B161" s="33" t="s">
        <v>190</v>
      </c>
      <c r="C161" s="48" t="s">
        <v>25</v>
      </c>
      <c r="D161" s="49">
        <v>1001122287344</v>
      </c>
      <c r="E161" s="22">
        <v>50</v>
      </c>
      <c r="F161" s="21">
        <v>0.33800000000000002</v>
      </c>
      <c r="G161" s="21">
        <f t="shared" si="10"/>
        <v>16.900000000000002</v>
      </c>
      <c r="H161" s="13"/>
      <c r="I161" s="13"/>
      <c r="J161" s="27"/>
    </row>
    <row r="162" spans="1:10" ht="15.75" customHeight="1" thickBot="1" x14ac:dyDescent="0.3">
      <c r="A162" s="93" t="str">
        <f t="shared" si="9"/>
        <v>7345</v>
      </c>
      <c r="B162" s="33" t="s">
        <v>191</v>
      </c>
      <c r="C162" s="48" t="s">
        <v>25</v>
      </c>
      <c r="D162" s="49">
        <v>1001123677345</v>
      </c>
      <c r="E162" s="22">
        <v>50</v>
      </c>
      <c r="F162" s="21">
        <v>0.32500000000000001</v>
      </c>
      <c r="G162" s="21">
        <f t="shared" si="10"/>
        <v>16.25</v>
      </c>
      <c r="H162" s="13"/>
      <c r="I162" s="13"/>
      <c r="J162" s="27"/>
    </row>
    <row r="163" spans="1:10" ht="16.5" customHeight="1" thickTop="1" thickBot="1" x14ac:dyDescent="0.3">
      <c r="A163" s="46"/>
      <c r="B163" s="43" t="s">
        <v>192</v>
      </c>
      <c r="C163" s="14"/>
      <c r="D163" s="34"/>
      <c r="E163" s="15">
        <f>SUM(E10:E160)</f>
        <v>10339</v>
      </c>
      <c r="F163" s="15"/>
      <c r="G163" s="15">
        <f>SUM(G11:G162)</f>
        <v>5674.9499999999989</v>
      </c>
      <c r="H163" s="15"/>
      <c r="I163" s="15"/>
      <c r="J163" s="15"/>
    </row>
    <row r="164" spans="1:10" ht="15.75" customHeight="1" thickTop="1" x14ac:dyDescent="0.25">
      <c r="B164" s="35"/>
      <c r="C164" s="16"/>
      <c r="D164" s="38"/>
      <c r="F164" s="17"/>
      <c r="G164" s="17"/>
      <c r="H164" s="18"/>
      <c r="I164" s="18"/>
      <c r="J164" s="19"/>
    </row>
    <row r="165" spans="1:10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0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0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0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0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0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0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0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0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0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0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0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J13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2026-09-09T11:52:35Z</dcterms:modified>
</cp:coreProperties>
</file>