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Заказы на отправку и сортировку\Останкино\Останкино исходники\СЫРЫ\Луганск\"/>
    </mc:Choice>
  </mc:AlternateContent>
  <xr:revisionPtr revIDLastSave="0" documentId="13_ncr:1_{40DD20E6-D0D7-48E8-916A-A46F5C377D1D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externalReferences>
    <externalReference r:id="rId2"/>
    <externalReference r:id="rId3"/>
  </externalReferences>
  <definedNames>
    <definedName name="_xlnm._FilterDatabase" localSheetId="0" hidden="1">TDSheet!$A$8:$AB$57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2" i="1" l="1"/>
  <c r="M28" i="1"/>
  <c r="M29" i="1"/>
  <c r="M30" i="1"/>
  <c r="M38" i="1"/>
  <c r="M55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11" i="1"/>
  <c r="L13" i="1"/>
  <c r="M13" i="1" s="1"/>
  <c r="L14" i="1"/>
  <c r="M14" i="1" s="1"/>
  <c r="L15" i="1"/>
  <c r="M15" i="1" s="1"/>
  <c r="L16" i="1"/>
  <c r="M16" i="1" s="1"/>
  <c r="L17" i="1"/>
  <c r="M17" i="1" s="1"/>
  <c r="L18" i="1"/>
  <c r="M18" i="1" s="1"/>
  <c r="L19" i="1"/>
  <c r="M19" i="1" s="1"/>
  <c r="L20" i="1"/>
  <c r="M20" i="1" s="1"/>
  <c r="L21" i="1"/>
  <c r="M21" i="1" s="1"/>
  <c r="L22" i="1"/>
  <c r="M22" i="1" s="1"/>
  <c r="L23" i="1"/>
  <c r="M23" i="1" s="1"/>
  <c r="L24" i="1"/>
  <c r="M24" i="1" s="1"/>
  <c r="L25" i="1"/>
  <c r="M25" i="1" s="1"/>
  <c r="L26" i="1"/>
  <c r="M26" i="1" s="1"/>
  <c r="L27" i="1"/>
  <c r="M27" i="1" s="1"/>
  <c r="L31" i="1"/>
  <c r="M31" i="1" s="1"/>
  <c r="L32" i="1"/>
  <c r="M32" i="1" s="1"/>
  <c r="L33" i="1"/>
  <c r="M33" i="1" s="1"/>
  <c r="L34" i="1"/>
  <c r="M34" i="1" s="1"/>
  <c r="L35" i="1"/>
  <c r="M35" i="1" s="1"/>
  <c r="L36" i="1"/>
  <c r="M36" i="1" s="1"/>
  <c r="L37" i="1"/>
  <c r="M37" i="1" s="1"/>
  <c r="L39" i="1"/>
  <c r="M39" i="1" s="1"/>
  <c r="L40" i="1"/>
  <c r="M40" i="1" s="1"/>
  <c r="L41" i="1"/>
  <c r="M41" i="1" s="1"/>
  <c r="L42" i="1"/>
  <c r="M42" i="1" s="1"/>
  <c r="L43" i="1"/>
  <c r="M43" i="1" s="1"/>
  <c r="L44" i="1"/>
  <c r="M44" i="1" s="1"/>
  <c r="L45" i="1"/>
  <c r="M45" i="1" s="1"/>
  <c r="L46" i="1"/>
  <c r="M46" i="1" s="1"/>
  <c r="L47" i="1"/>
  <c r="M47" i="1" s="1"/>
  <c r="L48" i="1"/>
  <c r="M48" i="1" s="1"/>
  <c r="L49" i="1"/>
  <c r="M49" i="1" s="1"/>
  <c r="L50" i="1"/>
  <c r="M50" i="1" s="1"/>
  <c r="L51" i="1"/>
  <c r="M51" i="1" s="1"/>
  <c r="L52" i="1"/>
  <c r="M52" i="1" s="1"/>
  <c r="L53" i="1"/>
  <c r="M53" i="1" s="1"/>
  <c r="L54" i="1"/>
  <c r="M54" i="1" s="1"/>
  <c r="L56" i="1"/>
  <c r="M56" i="1" s="1"/>
  <c r="L57" i="1"/>
  <c r="M57" i="1" s="1"/>
  <c r="L11" i="1"/>
  <c r="M11" i="1" s="1"/>
  <c r="C12" i="1" l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31" i="1"/>
  <c r="C32" i="1"/>
  <c r="C33" i="1"/>
  <c r="C35" i="1"/>
  <c r="C36" i="1"/>
  <c r="C37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5" i="1"/>
  <c r="C56" i="1"/>
  <c r="C57" i="1"/>
  <c r="H12" i="1"/>
  <c r="AA12" i="1" s="1"/>
  <c r="H13" i="1"/>
  <c r="AA13" i="1" s="1"/>
  <c r="H14" i="1"/>
  <c r="AA14" i="1" s="1"/>
  <c r="H15" i="1"/>
  <c r="AA15" i="1" s="1"/>
  <c r="H16" i="1"/>
  <c r="AA16" i="1" s="1"/>
  <c r="H17" i="1"/>
  <c r="AA17" i="1" s="1"/>
  <c r="H18" i="1"/>
  <c r="AA18" i="1" s="1"/>
  <c r="H19" i="1"/>
  <c r="H20" i="1"/>
  <c r="AA20" i="1" s="1"/>
  <c r="H21" i="1"/>
  <c r="AA21" i="1" s="1"/>
  <c r="H22" i="1"/>
  <c r="H23" i="1"/>
  <c r="AA23" i="1" s="1"/>
  <c r="H24" i="1"/>
  <c r="AA24" i="1" s="1"/>
  <c r="H25" i="1"/>
  <c r="AA25" i="1" s="1"/>
  <c r="H26" i="1"/>
  <c r="AA26" i="1" s="1"/>
  <c r="H27" i="1"/>
  <c r="AA27" i="1" s="1"/>
  <c r="H31" i="1"/>
  <c r="AA31" i="1" s="1"/>
  <c r="H32" i="1"/>
  <c r="AA32" i="1" s="1"/>
  <c r="H33" i="1"/>
  <c r="AA33" i="1" s="1"/>
  <c r="H34" i="1"/>
  <c r="AA34" i="1" s="1"/>
  <c r="H35" i="1"/>
  <c r="AA35" i="1" s="1"/>
  <c r="H36" i="1"/>
  <c r="H37" i="1"/>
  <c r="H38" i="1"/>
  <c r="AA38" i="1" s="1"/>
  <c r="H39" i="1"/>
  <c r="H40" i="1"/>
  <c r="AA40" i="1" s="1"/>
  <c r="H41" i="1"/>
  <c r="AA41" i="1" s="1"/>
  <c r="H42" i="1"/>
  <c r="H43" i="1"/>
  <c r="AA43" i="1" s="1"/>
  <c r="H44" i="1"/>
  <c r="H45" i="1"/>
  <c r="AA45" i="1" s="1"/>
  <c r="H46" i="1"/>
  <c r="H47" i="1"/>
  <c r="H48" i="1"/>
  <c r="H49" i="1"/>
  <c r="H50" i="1"/>
  <c r="H51" i="1"/>
  <c r="H52" i="1"/>
  <c r="AA52" i="1" s="1"/>
  <c r="H53" i="1"/>
  <c r="H54" i="1"/>
  <c r="AA54" i="1" s="1"/>
  <c r="H55" i="1"/>
  <c r="AA55" i="1" s="1"/>
  <c r="H56" i="1"/>
  <c r="AA56" i="1" s="1"/>
  <c r="H57" i="1"/>
  <c r="I22" i="1"/>
  <c r="I24" i="1"/>
  <c r="I25" i="1"/>
  <c r="I26" i="1"/>
  <c r="I27" i="1"/>
  <c r="I31" i="1"/>
  <c r="I32" i="1"/>
  <c r="I33" i="1"/>
  <c r="I37" i="1"/>
  <c r="I38" i="1"/>
  <c r="I39" i="1"/>
  <c r="I42" i="1"/>
  <c r="I43" i="1"/>
  <c r="P12" i="1"/>
  <c r="P13" i="1"/>
  <c r="P14" i="1"/>
  <c r="P15" i="1"/>
  <c r="T15" i="1" s="1"/>
  <c r="P16" i="1"/>
  <c r="P17" i="1"/>
  <c r="P18" i="1"/>
  <c r="P19" i="1"/>
  <c r="AB19" i="1" s="1"/>
  <c r="P20" i="1"/>
  <c r="P21" i="1"/>
  <c r="AB21" i="1" s="1"/>
  <c r="P22" i="1"/>
  <c r="AB22" i="1" s="1"/>
  <c r="P23" i="1"/>
  <c r="P24" i="1"/>
  <c r="P25" i="1"/>
  <c r="AB25" i="1" s="1"/>
  <c r="P26" i="1"/>
  <c r="P27" i="1"/>
  <c r="P28" i="1"/>
  <c r="AB28" i="1" s="1"/>
  <c r="P29" i="1"/>
  <c r="AB29" i="1" s="1"/>
  <c r="P30" i="1"/>
  <c r="AB30" i="1" s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Z25" i="1"/>
  <c r="Z31" i="1"/>
  <c r="Z32" i="1"/>
  <c r="Z39" i="1"/>
  <c r="Z42" i="1"/>
  <c r="Z43" i="1"/>
  <c r="Z46" i="1"/>
  <c r="Z47" i="1"/>
  <c r="Z49" i="1"/>
  <c r="Z50" i="1"/>
  <c r="Z52" i="1"/>
  <c r="Z54" i="1"/>
  <c r="M10" i="1"/>
  <c r="Z11" i="1"/>
  <c r="Y11" i="1"/>
  <c r="X11" i="1"/>
  <c r="W11" i="1"/>
  <c r="V11" i="1"/>
  <c r="H11" i="1"/>
  <c r="AA11" i="1" s="1"/>
  <c r="C11" i="1"/>
  <c r="P11" i="1"/>
  <c r="D10" i="1"/>
  <c r="E10" i="1"/>
  <c r="F10" i="1"/>
  <c r="G10" i="1"/>
  <c r="R10" i="1"/>
  <c r="O10" i="1"/>
  <c r="N10" i="1"/>
  <c r="L10" i="1"/>
  <c r="AB50" i="1" l="1"/>
  <c r="AB48" i="1"/>
  <c r="AB46" i="1"/>
  <c r="AB44" i="1"/>
  <c r="AB42" i="1"/>
  <c r="AB38" i="1"/>
  <c r="AB36" i="1"/>
  <c r="AB34" i="1"/>
  <c r="U11" i="1"/>
  <c r="AB11" i="1"/>
  <c r="U56" i="1"/>
  <c r="AB56" i="1"/>
  <c r="U54" i="1"/>
  <c r="AB54" i="1"/>
  <c r="U52" i="1"/>
  <c r="AB52" i="1"/>
  <c r="U40" i="1"/>
  <c r="AB40" i="1"/>
  <c r="U32" i="1"/>
  <c r="AB32" i="1"/>
  <c r="U26" i="1"/>
  <c r="AB26" i="1"/>
  <c r="U24" i="1"/>
  <c r="AB24" i="1"/>
  <c r="U20" i="1"/>
  <c r="AB20" i="1"/>
  <c r="U18" i="1"/>
  <c r="AB18" i="1"/>
  <c r="U16" i="1"/>
  <c r="AB16" i="1"/>
  <c r="U14" i="1"/>
  <c r="AB14" i="1"/>
  <c r="U12" i="1"/>
  <c r="AB12" i="1"/>
  <c r="T16" i="1"/>
  <c r="AB57" i="1"/>
  <c r="U55" i="1"/>
  <c r="AB55" i="1"/>
  <c r="AB53" i="1"/>
  <c r="AB51" i="1"/>
  <c r="AB49" i="1"/>
  <c r="AB47" i="1"/>
  <c r="AB45" i="1"/>
  <c r="U43" i="1"/>
  <c r="AB43" i="1"/>
  <c r="AB41" i="1"/>
  <c r="AB39" i="1"/>
  <c r="AB37" i="1"/>
  <c r="U35" i="1"/>
  <c r="AB35" i="1"/>
  <c r="AB33" i="1"/>
  <c r="U31" i="1"/>
  <c r="AB31" i="1"/>
  <c r="U27" i="1"/>
  <c r="AB27" i="1"/>
  <c r="U23" i="1"/>
  <c r="AB23" i="1"/>
  <c r="U17" i="1"/>
  <c r="AB17" i="1"/>
  <c r="U15" i="1"/>
  <c r="AB15" i="1"/>
  <c r="U13" i="1"/>
  <c r="AB13" i="1"/>
  <c r="T32" i="1"/>
  <c r="T14" i="1"/>
  <c r="T35" i="1"/>
  <c r="U57" i="1"/>
  <c r="U53" i="1"/>
  <c r="Q53" i="1"/>
  <c r="T45" i="1"/>
  <c r="U45" i="1"/>
  <c r="T41" i="1"/>
  <c r="U41" i="1"/>
  <c r="U37" i="1"/>
  <c r="Q37" i="1"/>
  <c r="U29" i="1"/>
  <c r="T29" i="1"/>
  <c r="U25" i="1"/>
  <c r="T25" i="1"/>
  <c r="U21" i="1"/>
  <c r="T21" i="1"/>
  <c r="Q48" i="1"/>
  <c r="U48" i="1"/>
  <c r="Q44" i="1"/>
  <c r="U44" i="1"/>
  <c r="Q36" i="1"/>
  <c r="U36" i="1"/>
  <c r="T28" i="1"/>
  <c r="U28" i="1"/>
  <c r="T40" i="1"/>
  <c r="T23" i="1"/>
  <c r="T18" i="1"/>
  <c r="T20" i="1"/>
  <c r="T43" i="1"/>
  <c r="Q49" i="1"/>
  <c r="U49" i="1"/>
  <c r="T33" i="1"/>
  <c r="U33" i="1"/>
  <c r="Q51" i="1"/>
  <c r="U51" i="1"/>
  <c r="Q47" i="1"/>
  <c r="U47" i="1"/>
  <c r="Q39" i="1"/>
  <c r="U39" i="1"/>
  <c r="U19" i="1"/>
  <c r="Q19" i="1"/>
  <c r="T13" i="1"/>
  <c r="T52" i="1"/>
  <c r="T54" i="1"/>
  <c r="T26" i="1"/>
  <c r="T24" i="1"/>
  <c r="T12" i="1"/>
  <c r="U50" i="1"/>
  <c r="Q50" i="1"/>
  <c r="U46" i="1"/>
  <c r="Q46" i="1"/>
  <c r="Q42" i="1"/>
  <c r="U42" i="1"/>
  <c r="U38" i="1"/>
  <c r="T38" i="1"/>
  <c r="T34" i="1"/>
  <c r="U34" i="1"/>
  <c r="T30" i="1"/>
  <c r="U30" i="1"/>
  <c r="Q22" i="1"/>
  <c r="U22" i="1"/>
  <c r="T17" i="1"/>
  <c r="T56" i="1"/>
  <c r="T11" i="1"/>
  <c r="T27" i="1"/>
  <c r="T31" i="1"/>
  <c r="T55" i="1"/>
  <c r="W10" i="1"/>
  <c r="Y10" i="1"/>
  <c r="X10" i="1"/>
  <c r="V10" i="1"/>
  <c r="P10" i="1"/>
  <c r="AB10" i="1" l="1"/>
  <c r="AA44" i="1"/>
  <c r="T44" i="1"/>
  <c r="T39" i="1"/>
  <c r="AA39" i="1"/>
  <c r="T51" i="1"/>
  <c r="AA51" i="1"/>
  <c r="T50" i="1"/>
  <c r="AA50" i="1"/>
  <c r="T19" i="1"/>
  <c r="AA19" i="1"/>
  <c r="T36" i="1"/>
  <c r="AA36" i="1"/>
  <c r="T48" i="1"/>
  <c r="AA48" i="1"/>
  <c r="T57" i="1"/>
  <c r="AA57" i="1"/>
  <c r="T46" i="1"/>
  <c r="AA46" i="1"/>
  <c r="T49" i="1"/>
  <c r="AA49" i="1"/>
  <c r="T37" i="1"/>
  <c r="AA37" i="1"/>
  <c r="Q10" i="1"/>
  <c r="T22" i="1"/>
  <c r="AA22" i="1"/>
  <c r="T42" i="1"/>
  <c r="AA42" i="1"/>
  <c r="T47" i="1"/>
  <c r="AA47" i="1"/>
  <c r="T53" i="1"/>
  <c r="AA53" i="1"/>
  <c r="AA10" i="1" l="1"/>
</calcChain>
</file>

<file path=xl/sharedStrings.xml><?xml version="1.0" encoding="utf-8"?>
<sst xmlns="http://schemas.openxmlformats.org/spreadsheetml/2006/main" count="148" uniqueCount="87">
  <si>
    <t>Ведомость по товарам на складах</t>
  </si>
  <si>
    <t>Параметры:</t>
  </si>
  <si>
    <t>Период: 15.06.2026 - 22.06.2026</t>
  </si>
  <si>
    <t>Количество товаров: В единицах хранения</t>
  </si>
  <si>
    <t>Отбор:</t>
  </si>
  <si>
    <t>Склад В списке "Склад ЛУГАНСК; АСП Луганск; АСП Луганск Заморозка; АСП Луганск Останкино; АСП Луганск Останкино мол...; АСП Луганск ПОКОМ" И
Номенклатура В группе из списка "Останкино ООО"</t>
  </si>
  <si>
    <t>Номенклатура</t>
  </si>
  <si>
    <t>Ед. изм.</t>
  </si>
  <si>
    <t>Количество</t>
  </si>
  <si>
    <t>Начальный остаток</t>
  </si>
  <si>
    <t>Приход</t>
  </si>
  <si>
    <t>Расход</t>
  </si>
  <si>
    <t>Конечный остаток</t>
  </si>
  <si>
    <t>шт</t>
  </si>
  <si>
    <t>кг</t>
  </si>
  <si>
    <t>3323 Сыр Российский цилиндр 1/4 пленка ЮКМП м.д.ж. 50%  ОСТАНКИНО</t>
  </si>
  <si>
    <t>4931  Сыр полутвердый "Купеческий" с ароматом топленого молока, с м.д.ж. 50% ОСТАНКИНО</t>
  </si>
  <si>
    <t>5579 БЛИНЧ.КРУГЛЫЕ С САД.ЯБЛОК.пл.1/420 зам. ОСТАНКИНО</t>
  </si>
  <si>
    <t>5754 БЛИНЧ.КРУГЛЫЕ С МЯСОМ 4,5кг зам. ПМ ОСТАНКИНО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</si>
  <si>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</si>
  <si>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</si>
  <si>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</si>
  <si>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</si>
  <si>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</si>
  <si>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</si>
  <si>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</si>
  <si>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</si>
  <si>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</si>
  <si>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</si>
  <si>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</si>
  <si>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</si>
  <si>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</si>
  <si>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А_6948249 Майонезный соус провансаль 824,5гр деликатес.с массовой долей жирн.25% Коровино Останкино</t>
  </si>
  <si>
    <t>А_Сыр "Пармезан" 40% кусок 180 гр  ОСТАНКИНО</t>
  </si>
  <si>
    <t>А_Сыр ПАПА МОЖЕТ "Министерский" 180 г фасованный массовая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</si>
  <si>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</si>
  <si>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</si>
  <si>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</si>
  <si>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</si>
  <si>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</si>
  <si>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</si>
  <si>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</si>
  <si>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"Гауда Голд" 45% (-2,5 кг брус) (6 шт) 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</si>
  <si>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</si>
  <si>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</si>
  <si>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</si>
  <si>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</si>
  <si>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</si>
  <si>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</si>
  <si>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</si>
  <si>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</si>
  <si>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</si>
  <si>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</si>
  <si>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</si>
  <si>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</si>
  <si>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</si>
  <si>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</si>
  <si>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</si>
  <si>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</si>
  <si>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крат</t>
  </si>
  <si>
    <t>сроки</t>
  </si>
  <si>
    <t>метка</t>
  </si>
  <si>
    <t>метка2</t>
  </si>
  <si>
    <t>заяв</t>
  </si>
  <si>
    <t>разн</t>
  </si>
  <si>
    <t>заказ в пути</t>
  </si>
  <si>
    <t>ср нов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</si>
  <si>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</si>
  <si>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</si>
  <si>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</si>
  <si>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</si>
  <si>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</si>
  <si>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</si>
  <si>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</si>
  <si>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15,06,</t>
  </si>
  <si>
    <t>22,06,</t>
  </si>
  <si>
    <t>25,05,</t>
  </si>
  <si>
    <t>01,06,</t>
  </si>
  <si>
    <t>29,06,</t>
  </si>
  <si>
    <t>08,06,</t>
  </si>
  <si>
    <t>3534796 Масло сливочное ж.82,5% 180г фольга ТМ Папа может(вл 12) 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</si>
  <si>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</si>
  <si>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</si>
  <si>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итого</t>
  </si>
  <si>
    <t>-</t>
  </si>
  <si>
    <t>ср.днев.</t>
  </si>
  <si>
    <t>блины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</si>
</sst>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8"/>
      <name val="Arial"/>
    </font>
    <font>
      <b/>
      <sz val="18"/>
      <name val="Arial"/>
    </font>
    <font>
      <sz val="10"/>
      <name val="Arial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F4C5"/>
      </patternFill>
    </fill>
    <fill>
      <patternFill patternType="solid">
        <fgColor rgb="FF13E22E"/>
        <bgColor rgb="FF13E22E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/>
    </xf>
    <xf numFmtId="0" fontId="0" fillId="0" borderId="0" xfId="0" applyAlignment="1"/>
    <xf numFmtId="0" fontId="2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3" xfId="0" applyFont="1" applyFill="1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164" fontId="0" fillId="0" borderId="4" xfId="0" applyNumberFormat="1" applyBorder="1" applyAlignment="1">
      <alignment horizontal="right" vertical="top"/>
    </xf>
    <xf numFmtId="164" fontId="0" fillId="0" borderId="5" xfId="0" applyNumberFormat="1" applyBorder="1" applyAlignment="1">
      <alignment horizontal="right" vertical="top"/>
    </xf>
    <xf numFmtId="2" fontId="4" fillId="3" borderId="0" xfId="1" applyNumberFormat="1" applyFont="1" applyFill="1"/>
    <xf numFmtId="164" fontId="4" fillId="3" borderId="0" xfId="1" applyNumberFormat="1" applyFont="1" applyFill="1"/>
    <xf numFmtId="164" fontId="5" fillId="3" borderId="0" xfId="1" applyNumberFormat="1" applyFont="1" applyFill="1"/>
    <xf numFmtId="164" fontId="4" fillId="4" borderId="0" xfId="1" applyNumberFormat="1" applyFont="1" applyFill="1"/>
    <xf numFmtId="0" fontId="3" fillId="2" borderId="4" xfId="0" applyFont="1" applyFill="1" applyBorder="1" applyAlignment="1">
      <alignment horizontal="left" vertical="top"/>
    </xf>
    <xf numFmtId="164" fontId="3" fillId="5" borderId="0" xfId="1" applyNumberFormat="1" applyFill="1"/>
    <xf numFmtId="164" fontId="0" fillId="0" borderId="0" xfId="0" applyNumberFormat="1" applyAlignment="1"/>
    <xf numFmtId="164" fontId="0" fillId="0" borderId="6" xfId="0" applyNumberFormat="1" applyBorder="1" applyAlignment="1"/>
    <xf numFmtId="0" fontId="2" fillId="2" borderId="0" xfId="0" applyFont="1" applyFill="1" applyBorder="1" applyAlignment="1">
      <alignment horizontal="left" vertical="top"/>
    </xf>
    <xf numFmtId="164" fontId="0" fillId="0" borderId="0" xfId="0" applyNumberFormat="1"/>
    <xf numFmtId="164" fontId="0" fillId="0" borderId="0" xfId="0" applyNumberFormat="1" applyBorder="1"/>
    <xf numFmtId="0" fontId="0" fillId="6" borderId="4" xfId="0" applyFill="1" applyBorder="1" applyAlignment="1">
      <alignment horizontal="left" vertical="top"/>
    </xf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045;&#1074;&#1075;&#1077;&#1085;&#1080;&#1103;/Desktop/&#1044;&#1074;.%2015.06.2026%20&#1054;&#1089;&#1090;&#1072;&#1085;&#1082;&#1080;&#1085;&#1086;%20&#1057;&#1099;&#1088;%20&#1051;&#1091;&#1075;&#1072;&#1085;&#1089;&#1082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045;&#1074;&#1075;&#1077;&#1085;&#1080;&#1103;/Desktop/&#1079;&#1072;&#1103;&#1074;.%20&#1086;&#1090;&#1075;&#1088;&#1091;&#1078;.%2022.06.2026%20&#1054;&#1089;&#1090;&#1072;&#1085;&#1082;&#1080;&#1085;&#1086;%20&#1057;&#1099;&#1088;%20&#1051;&#1091;&#1075;&#1072;&#1085;&#1089;&#108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Ведомость по товарам на складах</v>
          </cell>
        </row>
        <row r="4">
          <cell r="A4" t="str">
            <v>Параметры:</v>
          </cell>
          <cell r="B4" t="str">
            <v>Период: 08.06.2026 - 15.06.2026</v>
          </cell>
        </row>
        <row r="5">
          <cell r="B5" t="str">
            <v>Количество товаров: В единицах хранения</v>
          </cell>
        </row>
        <row r="6">
          <cell r="A6" t="str">
            <v>Отбор:</v>
          </cell>
          <cell r="B6" t="str">
            <v>Склад В списке "Склад ЛУГАНСК; АСП Луганск; АСП Луганск Заморозка; АСП Луганск Останкино; АСП Луганск Останкино мол...; АСП Луганск ПОКОМ" И
Номенклатура В группе из списка "Останкино ООО"</v>
          </cell>
        </row>
        <row r="7">
          <cell r="O7" t="str">
            <v>есть</v>
          </cell>
        </row>
        <row r="8">
          <cell r="A8" t="str">
            <v>Номенклатура</v>
          </cell>
          <cell r="B8" t="str">
            <v>Ед. изм.</v>
          </cell>
          <cell r="D8" t="str">
            <v>Количество</v>
          </cell>
          <cell r="H8" t="str">
            <v>крат</v>
          </cell>
          <cell r="I8" t="str">
            <v>сроки</v>
          </cell>
          <cell r="J8" t="str">
            <v>метка</v>
          </cell>
          <cell r="K8" t="str">
            <v>метка2</v>
          </cell>
          <cell r="L8" t="str">
            <v>заяв</v>
          </cell>
          <cell r="M8" t="str">
            <v>разн</v>
          </cell>
          <cell r="N8" t="str">
            <v>заказ в пути</v>
          </cell>
          <cell r="O8" t="str">
            <v>заказ в пути</v>
          </cell>
          <cell r="P8" t="str">
            <v>ср нов</v>
          </cell>
          <cell r="Q8" t="str">
            <v>расчет</v>
          </cell>
          <cell r="R8" t="str">
            <v>заказ филиала</v>
          </cell>
          <cell r="S8" t="str">
            <v>Комментарии филиала</v>
          </cell>
          <cell r="T8" t="str">
            <v>кон ост</v>
          </cell>
          <cell r="U8" t="str">
            <v>факт</v>
          </cell>
          <cell r="V8" t="str">
            <v>ср</v>
          </cell>
          <cell r="W8" t="str">
            <v>ср</v>
          </cell>
          <cell r="X8" t="str">
            <v>ср</v>
          </cell>
          <cell r="Y8" t="str">
            <v>ср</v>
          </cell>
          <cell r="Z8" t="str">
            <v>комментарии</v>
          </cell>
        </row>
        <row r="9">
          <cell r="D9" t="str">
            <v>Начальный остаток</v>
          </cell>
          <cell r="E9" t="str">
            <v>Приход</v>
          </cell>
          <cell r="F9" t="str">
            <v>Расход</v>
          </cell>
          <cell r="G9" t="str">
            <v>Конечный остаток</v>
          </cell>
          <cell r="N9" t="str">
            <v>нак 19,06,</v>
          </cell>
          <cell r="O9" t="str">
            <v>15,06,</v>
          </cell>
          <cell r="P9" t="str">
            <v>15,06,</v>
          </cell>
          <cell r="Q9" t="str">
            <v>22,06,</v>
          </cell>
          <cell r="V9" t="str">
            <v>18,05,</v>
          </cell>
          <cell r="W9" t="str">
            <v>25,05,</v>
          </cell>
          <cell r="X9" t="str">
            <v>01,06,</v>
          </cell>
          <cell r="Y9" t="str">
            <v>0,06,</v>
          </cell>
        </row>
        <row r="10">
          <cell r="D10">
            <v>11150.603000000001</v>
          </cell>
          <cell r="E10">
            <v>2162.5830000000001</v>
          </cell>
          <cell r="F10">
            <v>2216.3620000000001</v>
          </cell>
          <cell r="G10">
            <v>10995.041000000001</v>
          </cell>
          <cell r="L10">
            <v>2087.9</v>
          </cell>
          <cell r="M10">
            <v>128.46199999999999</v>
          </cell>
          <cell r="N10">
            <v>1118.0740000000001</v>
          </cell>
          <cell r="O10">
            <v>1110</v>
          </cell>
          <cell r="P10">
            <v>443.2724</v>
          </cell>
          <cell r="Q10">
            <v>1380</v>
          </cell>
          <cell r="R10">
            <v>0</v>
          </cell>
          <cell r="V10">
            <v>526.74299999999982</v>
          </cell>
          <cell r="W10">
            <v>434.69040000000001</v>
          </cell>
          <cell r="X10">
            <v>398.81840000000017</v>
          </cell>
          <cell r="Y10">
            <v>444.38119999999998</v>
          </cell>
        </row>
        <row r="11">
          <cell r="A11" t="str">
            <v>3323 Сыр Российский цилиндр 1/4 пленка ЮКМП м.д.ж. 50%  ОСТАНКИНО</v>
          </cell>
          <cell r="B11" t="str">
            <v>кг</v>
          </cell>
          <cell r="C11">
            <v>3323</v>
          </cell>
          <cell r="D11">
            <v>274.81299999999999</v>
          </cell>
          <cell r="E11">
            <v>5.1550000000000002</v>
          </cell>
          <cell r="F11">
            <v>29.76</v>
          </cell>
          <cell r="G11">
            <v>245.053</v>
          </cell>
          <cell r="H11">
            <v>1</v>
          </cell>
          <cell r="L11">
            <v>44.9</v>
          </cell>
          <cell r="M11">
            <v>-15.139999999999997</v>
          </cell>
          <cell r="N11">
            <v>30.074000000000002</v>
          </cell>
          <cell r="O11">
            <v>30</v>
          </cell>
          <cell r="P11">
            <v>5.952</v>
          </cell>
          <cell r="T11">
            <v>46.211861559139784</v>
          </cell>
          <cell r="U11">
            <v>41.171538978494624</v>
          </cell>
          <cell r="V11">
            <v>10.051399999999999</v>
          </cell>
          <cell r="W11">
            <v>19.646799999999999</v>
          </cell>
          <cell r="X11">
            <v>12.090399999999999</v>
          </cell>
          <cell r="Y11">
            <v>15.026400000000001</v>
          </cell>
          <cell r="Z11" t="str">
            <v>300кор</v>
          </cell>
        </row>
        <row r="12">
          <cell r="A12" t="str">
            <v>4931  Сыр полутвердый "Купеческий" с ароматом топленого молока, с м.д.ж. 50% ОСТАНКИНО</v>
          </cell>
          <cell r="B12" t="str">
            <v>кг</v>
          </cell>
          <cell r="C12">
            <v>4931</v>
          </cell>
          <cell r="D12">
            <v>89.212000000000003</v>
          </cell>
          <cell r="E12">
            <v>96.33</v>
          </cell>
          <cell r="F12">
            <v>20.222000000000001</v>
          </cell>
          <cell r="G12">
            <v>165.32</v>
          </cell>
          <cell r="H12">
            <v>1</v>
          </cell>
          <cell r="L12">
            <v>0</v>
          </cell>
          <cell r="M12">
            <v>20.222000000000001</v>
          </cell>
          <cell r="N12">
            <v>0</v>
          </cell>
          <cell r="O12">
            <v>0</v>
          </cell>
          <cell r="P12">
            <v>4.0444000000000004</v>
          </cell>
          <cell r="T12">
            <v>40.876273365641374</v>
          </cell>
          <cell r="U12">
            <v>40.876273365641374</v>
          </cell>
          <cell r="V12">
            <v>0</v>
          </cell>
          <cell r="W12">
            <v>0</v>
          </cell>
          <cell r="X12">
            <v>0</v>
          </cell>
          <cell r="Y12">
            <v>1.9536000000000002</v>
          </cell>
        </row>
        <row r="13">
          <cell r="A13" t="str">
            <v>5579 БЛИНЧ.КРУГЛЫЕ С САД.ЯБЛОК.пл.1/420 зам. ОСТАНКИНО</v>
          </cell>
          <cell r="B13" t="str">
            <v>шт</v>
          </cell>
          <cell r="C13">
            <v>5579</v>
          </cell>
          <cell r="D13">
            <v>-7</v>
          </cell>
          <cell r="F13">
            <v>3</v>
          </cell>
          <cell r="G13">
            <v>-10</v>
          </cell>
          <cell r="H13">
            <v>0.42</v>
          </cell>
          <cell r="L13">
            <v>10</v>
          </cell>
          <cell r="M13">
            <v>-7</v>
          </cell>
          <cell r="N13">
            <v>0</v>
          </cell>
          <cell r="O13">
            <v>0</v>
          </cell>
          <cell r="P13">
            <v>0.6</v>
          </cell>
          <cell r="Q13">
            <v>22</v>
          </cell>
          <cell r="T13">
            <v>20</v>
          </cell>
          <cell r="U13">
            <v>-16.666666666666668</v>
          </cell>
          <cell r="V13">
            <v>24</v>
          </cell>
          <cell r="W13">
            <v>8</v>
          </cell>
          <cell r="X13">
            <v>5.6</v>
          </cell>
          <cell r="Y13">
            <v>2</v>
          </cell>
        </row>
        <row r="14">
          <cell r="A14" t="str">
            <v>5754 БЛИНЧ.КРУГЛЫЕ С МЯСОМ 4,5кг зам. ПМ ОСТАНКИНО</v>
          </cell>
          <cell r="B14" t="str">
            <v>кг</v>
          </cell>
          <cell r="C14">
            <v>5754</v>
          </cell>
          <cell r="D14">
            <v>294.62200000000001</v>
          </cell>
          <cell r="E14">
            <v>18</v>
          </cell>
          <cell r="F14">
            <v>49.5</v>
          </cell>
          <cell r="G14">
            <v>245.12200000000001</v>
          </cell>
          <cell r="H14">
            <v>1</v>
          </cell>
          <cell r="L14">
            <v>9</v>
          </cell>
          <cell r="M14">
            <v>40.5</v>
          </cell>
          <cell r="N14">
            <v>0</v>
          </cell>
          <cell r="O14">
            <v>0</v>
          </cell>
          <cell r="P14">
            <v>9.9</v>
          </cell>
          <cell r="T14">
            <v>24.75979797979798</v>
          </cell>
          <cell r="U14">
            <v>24.75979797979798</v>
          </cell>
          <cell r="V14">
            <v>3.6</v>
          </cell>
          <cell r="W14">
            <v>11.7</v>
          </cell>
          <cell r="X14">
            <v>12.6</v>
          </cell>
          <cell r="Y14">
            <v>5.4</v>
          </cell>
        </row>
        <row r="15">
          <cell r="A15" t="str">
            <v>5755 БЛИНЧ.КРУГЛЫЕ С ТВОРОГОМ 4,5кг зам. ПМ ОСТАНКИНО</v>
          </cell>
          <cell r="B15" t="str">
            <v>кг</v>
          </cell>
          <cell r="C15">
            <v>5755</v>
          </cell>
          <cell r="D15">
            <v>336.72</v>
          </cell>
          <cell r="E15">
            <v>4.5</v>
          </cell>
          <cell r="F15">
            <v>9</v>
          </cell>
          <cell r="G15">
            <v>327.72</v>
          </cell>
          <cell r="H15">
            <v>1</v>
          </cell>
          <cell r="L15">
            <v>13.5</v>
          </cell>
          <cell r="M15">
            <v>-4.5</v>
          </cell>
          <cell r="N15">
            <v>0</v>
          </cell>
          <cell r="O15">
            <v>0</v>
          </cell>
          <cell r="P15">
            <v>1.8</v>
          </cell>
          <cell r="T15">
            <v>182.06666666666669</v>
          </cell>
          <cell r="U15">
            <v>182.06666666666669</v>
          </cell>
          <cell r="V15">
            <v>3.6</v>
          </cell>
          <cell r="W15">
            <v>7.2</v>
          </cell>
          <cell r="X15">
            <v>6.3</v>
          </cell>
          <cell r="Y15">
            <v>5.4</v>
          </cell>
        </row>
        <row r="16">
          <cell r="A16" t="str">
            <v>5897 БЛИНЧ.КРУГЛЫЕ С ГРУШЕЙ пл.1/420 зам.   ОСТАНКИНО</v>
          </cell>
          <cell r="B16" t="str">
            <v>шт</v>
          </cell>
          <cell r="C16">
            <v>5897</v>
          </cell>
          <cell r="D16">
            <v>13</v>
          </cell>
          <cell r="F16">
            <v>13</v>
          </cell>
          <cell r="H16">
            <v>0.42</v>
          </cell>
          <cell r="L16">
            <v>15</v>
          </cell>
          <cell r="M16">
            <v>-2</v>
          </cell>
          <cell r="N16">
            <v>0</v>
          </cell>
          <cell r="O16">
            <v>0</v>
          </cell>
          <cell r="P16">
            <v>2.6</v>
          </cell>
          <cell r="Q16">
            <v>52</v>
          </cell>
          <cell r="T16">
            <v>20</v>
          </cell>
          <cell r="U16">
            <v>0</v>
          </cell>
          <cell r="V16">
            <v>24.2</v>
          </cell>
          <cell r="W16">
            <v>8.8000000000000007</v>
          </cell>
          <cell r="X16">
            <v>5.6</v>
          </cell>
          <cell r="Y16">
            <v>3.8</v>
          </cell>
        </row>
        <row r="17">
          <cell r="A17" t="str">
            <v>6148 БЛИНЧ.КРУГЛЫЕ С ВЕТЧ.И СЫР. ПМ 1/300 зам. ОСТАНКИНО</v>
          </cell>
          <cell r="B17" t="str">
            <v>шт</v>
          </cell>
          <cell r="C17">
            <v>6148</v>
          </cell>
          <cell r="D17">
            <v>400</v>
          </cell>
          <cell r="E17">
            <v>33</v>
          </cell>
          <cell r="F17">
            <v>57</v>
          </cell>
          <cell r="G17">
            <v>343</v>
          </cell>
          <cell r="H17">
            <v>0.3</v>
          </cell>
          <cell r="L17">
            <v>3</v>
          </cell>
          <cell r="M17">
            <v>54</v>
          </cell>
          <cell r="N17">
            <v>0</v>
          </cell>
          <cell r="O17">
            <v>0</v>
          </cell>
          <cell r="P17">
            <v>11.4</v>
          </cell>
          <cell r="T17">
            <v>30.087719298245613</v>
          </cell>
          <cell r="U17">
            <v>30.087719298245613</v>
          </cell>
          <cell r="V17">
            <v>39.799999999999997</v>
          </cell>
          <cell r="W17">
            <v>6.6</v>
          </cell>
          <cell r="X17">
            <v>0</v>
          </cell>
          <cell r="Y17">
            <v>8.8000000000000007</v>
          </cell>
        </row>
        <row r="18">
          <cell r="A18" t="str">
            <v>6149 БЛИНЧ.КРУГЛЫЕ С ПЕЧЕНЬЮ ПМ 1/300 зам. ОСТАНКИНО</v>
          </cell>
          <cell r="B18" t="str">
            <v>шт</v>
          </cell>
          <cell r="C18">
            <v>6149</v>
          </cell>
          <cell r="D18">
            <v>554</v>
          </cell>
          <cell r="E18">
            <v>27</v>
          </cell>
          <cell r="F18">
            <v>73</v>
          </cell>
          <cell r="G18">
            <v>481</v>
          </cell>
          <cell r="H18">
            <v>0.3</v>
          </cell>
          <cell r="L18">
            <v>19</v>
          </cell>
          <cell r="M18">
            <v>54</v>
          </cell>
          <cell r="N18">
            <v>0</v>
          </cell>
          <cell r="O18">
            <v>0</v>
          </cell>
          <cell r="P18">
            <v>14.6</v>
          </cell>
          <cell r="T18">
            <v>32.945205479452056</v>
          </cell>
          <cell r="U18">
            <v>32.945205479452056</v>
          </cell>
          <cell r="V18">
            <v>39.4</v>
          </cell>
          <cell r="W18">
            <v>7</v>
          </cell>
          <cell r="X18">
            <v>0</v>
          </cell>
          <cell r="Y18">
            <v>9.1999999999999993</v>
          </cell>
        </row>
        <row r="19">
          <cell r="A19" t="str">
            <v>6168 Блинчики с мясом пл. 1/350 зам. ОСТАНКИНО</v>
          </cell>
          <cell r="B19" t="str">
            <v>шт</v>
          </cell>
          <cell r="C19">
            <v>6168</v>
          </cell>
          <cell r="D19">
            <v>557</v>
          </cell>
          <cell r="E19">
            <v>32</v>
          </cell>
          <cell r="F19">
            <v>52</v>
          </cell>
          <cell r="G19">
            <v>504</v>
          </cell>
          <cell r="H19">
            <v>0.35</v>
          </cell>
          <cell r="L19">
            <v>22</v>
          </cell>
          <cell r="M19">
            <v>30</v>
          </cell>
          <cell r="N19">
            <v>0</v>
          </cell>
          <cell r="O19">
            <v>0</v>
          </cell>
          <cell r="P19">
            <v>10.4</v>
          </cell>
          <cell r="T19">
            <v>48.46153846153846</v>
          </cell>
          <cell r="U19">
            <v>48.46153846153846</v>
          </cell>
          <cell r="V19">
            <v>30.2</v>
          </cell>
          <cell r="W19">
            <v>8</v>
          </cell>
          <cell r="X19">
            <v>0.2</v>
          </cell>
          <cell r="Y19">
            <v>8.6</v>
          </cell>
        </row>
        <row r="20">
          <cell r="A20" t="str">
            <v>6202 БЛИНЧ.КРУГЛЫЕ С ТВОРОГОМ ПМ 1/300 зам. ОСТАНКИНО</v>
          </cell>
          <cell r="B20" t="str">
            <v>шт</v>
          </cell>
          <cell r="C20">
            <v>6202</v>
          </cell>
          <cell r="D20">
            <v>371</v>
          </cell>
          <cell r="E20">
            <v>10</v>
          </cell>
          <cell r="F20">
            <v>48</v>
          </cell>
          <cell r="G20">
            <v>324</v>
          </cell>
          <cell r="H20">
            <v>0.3</v>
          </cell>
          <cell r="L20">
            <v>18</v>
          </cell>
          <cell r="M20">
            <v>30</v>
          </cell>
          <cell r="N20">
            <v>0</v>
          </cell>
          <cell r="O20">
            <v>0</v>
          </cell>
          <cell r="P20">
            <v>9.6</v>
          </cell>
          <cell r="T20">
            <v>33.75</v>
          </cell>
          <cell r="U20">
            <v>33.75</v>
          </cell>
          <cell r="V20">
            <v>32.799999999999997</v>
          </cell>
          <cell r="W20">
            <v>4.8</v>
          </cell>
          <cell r="X20">
            <v>1</v>
          </cell>
          <cell r="Y20">
            <v>5</v>
          </cell>
        </row>
        <row r="21">
          <cell r="A21" t="str">
            <v>6209 Блинчики с куриным мясом пл. 1/350 зам. ОСТАНКИНО</v>
          </cell>
          <cell r="B21" t="str">
            <v>шт</v>
          </cell>
          <cell r="C21">
            <v>6209</v>
          </cell>
          <cell r="D21">
            <v>554</v>
          </cell>
          <cell r="E21">
            <v>33</v>
          </cell>
          <cell r="F21">
            <v>59</v>
          </cell>
          <cell r="G21">
            <v>495</v>
          </cell>
          <cell r="H21">
            <v>0.35</v>
          </cell>
          <cell r="L21">
            <v>21</v>
          </cell>
          <cell r="M21">
            <v>38</v>
          </cell>
          <cell r="N21">
            <v>0</v>
          </cell>
          <cell r="O21">
            <v>0</v>
          </cell>
          <cell r="P21">
            <v>11.8</v>
          </cell>
          <cell r="T21">
            <v>41.949152542372879</v>
          </cell>
          <cell r="U21">
            <v>41.949152542372879</v>
          </cell>
          <cell r="V21">
            <v>31.8</v>
          </cell>
          <cell r="W21">
            <v>6.6</v>
          </cell>
          <cell r="X21">
            <v>0</v>
          </cell>
          <cell r="Y21">
            <v>9.1999999999999993</v>
          </cell>
        </row>
        <row r="22">
          <cell r="A22" t="str">
            <v>6948249 Майонезный соус провансаль 824,5гр деликатес.с массовой долей жирн.25% Коровино Останкино</v>
          </cell>
          <cell r="B22" t="str">
            <v>шт</v>
          </cell>
          <cell r="C22">
            <v>6948249</v>
          </cell>
          <cell r="D22">
            <v>30</v>
          </cell>
          <cell r="E22">
            <v>35</v>
          </cell>
          <cell r="F22">
            <v>2</v>
          </cell>
          <cell r="G22">
            <v>63</v>
          </cell>
          <cell r="H22">
            <v>0.82450000000000001</v>
          </cell>
          <cell r="I22">
            <v>180</v>
          </cell>
          <cell r="L22">
            <v>8</v>
          </cell>
          <cell r="M22">
            <v>-6</v>
          </cell>
          <cell r="N22">
            <v>0</v>
          </cell>
          <cell r="O22">
            <v>0</v>
          </cell>
          <cell r="P22">
            <v>0.4</v>
          </cell>
          <cell r="T22">
            <v>157.5</v>
          </cell>
          <cell r="U22">
            <v>157.5</v>
          </cell>
          <cell r="V22">
            <v>0.4</v>
          </cell>
          <cell r="W22">
            <v>1.4</v>
          </cell>
          <cell r="X22">
            <v>1.2</v>
          </cell>
          <cell r="Y22">
            <v>0.6</v>
          </cell>
        </row>
        <row r="23">
          <cell r="A23" t="str">
            <v>6948256 Майонез провансаль классич.оливковый Папа может 372гр с массовой долей жирн. 67% Останкино</v>
          </cell>
          <cell r="B23" t="str">
            <v>шт</v>
          </cell>
          <cell r="C23">
            <v>6948256</v>
          </cell>
          <cell r="D23">
            <v>128</v>
          </cell>
          <cell r="E23">
            <v>384</v>
          </cell>
          <cell r="F23">
            <v>101</v>
          </cell>
          <cell r="G23">
            <v>411</v>
          </cell>
          <cell r="H23">
            <v>0.372</v>
          </cell>
          <cell r="L23">
            <v>113</v>
          </cell>
          <cell r="M23">
            <v>-12</v>
          </cell>
          <cell r="N23">
            <v>0</v>
          </cell>
          <cell r="O23">
            <v>0</v>
          </cell>
          <cell r="P23">
            <v>20.2</v>
          </cell>
          <cell r="T23">
            <v>20.346534653465348</v>
          </cell>
          <cell r="U23">
            <v>20.346534653465348</v>
          </cell>
          <cell r="V23">
            <v>0</v>
          </cell>
          <cell r="W23">
            <v>3.4</v>
          </cell>
          <cell r="X23">
            <v>30.8</v>
          </cell>
          <cell r="Y23">
            <v>21.8</v>
          </cell>
        </row>
        <row r="24">
          <cell r="A24" t="str">
            <v>6948263 Майонез провансаль классич.оливковый Папа может 744гр с массовой долей жирн. 67% Останкино</v>
          </cell>
          <cell r="B24" t="str">
            <v>шт</v>
          </cell>
          <cell r="C24">
            <v>6948263</v>
          </cell>
          <cell r="D24">
            <v>117</v>
          </cell>
          <cell r="E24">
            <v>408</v>
          </cell>
          <cell r="F24">
            <v>97</v>
          </cell>
          <cell r="G24">
            <v>428</v>
          </cell>
          <cell r="H24">
            <v>0.74399999999999999</v>
          </cell>
          <cell r="I24">
            <v>180</v>
          </cell>
          <cell r="L24">
            <v>102</v>
          </cell>
          <cell r="M24">
            <v>-5</v>
          </cell>
          <cell r="N24">
            <v>0</v>
          </cell>
          <cell r="O24">
            <v>0</v>
          </cell>
          <cell r="P24">
            <v>19.399999999999999</v>
          </cell>
          <cell r="T24">
            <v>22.061855670103096</v>
          </cell>
          <cell r="U24">
            <v>22.061855670103096</v>
          </cell>
          <cell r="V24">
            <v>3.6</v>
          </cell>
          <cell r="W24">
            <v>17.399999999999999</v>
          </cell>
          <cell r="X24">
            <v>30.2</v>
          </cell>
          <cell r="Y24">
            <v>20.2</v>
          </cell>
        </row>
        <row r="25">
          <cell r="A25" t="str">
            <v>6948270 Майонез провансаль классич.Папа может 372гр с массовой долей жирн. 67% Останкино</v>
          </cell>
          <cell r="B25" t="str">
            <v>шт</v>
          </cell>
          <cell r="C25">
            <v>6948270</v>
          </cell>
          <cell r="D25">
            <v>837</v>
          </cell>
          <cell r="E25">
            <v>3</v>
          </cell>
          <cell r="F25">
            <v>168</v>
          </cell>
          <cell r="G25">
            <v>669</v>
          </cell>
          <cell r="H25">
            <v>0.372</v>
          </cell>
          <cell r="I25">
            <v>180</v>
          </cell>
          <cell r="L25">
            <v>181</v>
          </cell>
          <cell r="M25">
            <v>-13</v>
          </cell>
          <cell r="N25">
            <v>552</v>
          </cell>
          <cell r="O25">
            <v>550</v>
          </cell>
          <cell r="P25">
            <v>33.6</v>
          </cell>
          <cell r="T25">
            <v>36.279761904761905</v>
          </cell>
          <cell r="U25">
            <v>19.910714285714285</v>
          </cell>
          <cell r="V25">
            <v>51.2</v>
          </cell>
          <cell r="W25">
            <v>33.6</v>
          </cell>
          <cell r="X25">
            <v>10.4</v>
          </cell>
          <cell r="Y25">
            <v>70.400000000000006</v>
          </cell>
          <cell r="Z25" t="str">
            <v>увел продажи</v>
          </cell>
        </row>
        <row r="26">
          <cell r="A26" t="str">
            <v>6948287 Майонез провансаль классич.Папа может 744гр с массовой долей жирн. 67% Останкино</v>
          </cell>
          <cell r="B26" t="str">
            <v>шт</v>
          </cell>
          <cell r="C26">
            <v>6948287</v>
          </cell>
          <cell r="D26">
            <v>529</v>
          </cell>
          <cell r="E26">
            <v>231</v>
          </cell>
          <cell r="F26">
            <v>206</v>
          </cell>
          <cell r="G26">
            <v>551</v>
          </cell>
          <cell r="H26">
            <v>0.74399999999999999</v>
          </cell>
          <cell r="I26">
            <v>180</v>
          </cell>
          <cell r="L26">
            <v>214</v>
          </cell>
          <cell r="M26">
            <v>-8</v>
          </cell>
          <cell r="N26">
            <v>0</v>
          </cell>
          <cell r="O26">
            <v>0</v>
          </cell>
          <cell r="P26">
            <v>41.2</v>
          </cell>
          <cell r="Q26">
            <v>273</v>
          </cell>
          <cell r="T26">
            <v>20</v>
          </cell>
          <cell r="U26">
            <v>13.373786407766989</v>
          </cell>
          <cell r="V26">
            <v>9.1999999999999993</v>
          </cell>
          <cell r="W26">
            <v>41.2</v>
          </cell>
          <cell r="X26">
            <v>40.6</v>
          </cell>
          <cell r="Y26">
            <v>14.2</v>
          </cell>
        </row>
        <row r="27">
          <cell r="A27" t="str">
            <v>9988438 Плавленый Сыр 45% "С ветчиной" СТМ"ПапаМожет" 180гр  Останкино</v>
          </cell>
          <cell r="B27" t="str">
            <v>шт</v>
          </cell>
          <cell r="C27">
            <v>9988438</v>
          </cell>
          <cell r="D27">
            <v>169</v>
          </cell>
          <cell r="F27">
            <v>39</v>
          </cell>
          <cell r="G27">
            <v>130</v>
          </cell>
          <cell r="H27">
            <v>0.18</v>
          </cell>
          <cell r="I27">
            <v>270</v>
          </cell>
          <cell r="L27">
            <v>40</v>
          </cell>
          <cell r="M27">
            <v>-1</v>
          </cell>
          <cell r="N27">
            <v>0</v>
          </cell>
          <cell r="O27">
            <v>0</v>
          </cell>
          <cell r="P27">
            <v>7.8</v>
          </cell>
          <cell r="Q27">
            <v>26</v>
          </cell>
          <cell r="T27">
            <v>20</v>
          </cell>
          <cell r="U27">
            <v>16.666666666666668</v>
          </cell>
          <cell r="V27">
            <v>7.8</v>
          </cell>
          <cell r="W27">
            <v>9.8000000000000007</v>
          </cell>
          <cell r="X27">
            <v>6</v>
          </cell>
          <cell r="Y27">
            <v>2.8</v>
          </cell>
        </row>
        <row r="28">
          <cell r="A28" t="str">
            <v>Масло "Папа может" 82,5% 180гр  Останкино</v>
          </cell>
          <cell r="B28" t="str">
            <v>шт</v>
          </cell>
          <cell r="C28">
            <v>1018967</v>
          </cell>
          <cell r="D28">
            <v>102</v>
          </cell>
          <cell r="E28">
            <v>80</v>
          </cell>
          <cell r="F28">
            <v>108</v>
          </cell>
          <cell r="G28">
            <v>68</v>
          </cell>
          <cell r="H28">
            <v>0.18</v>
          </cell>
          <cell r="I28">
            <v>120</v>
          </cell>
          <cell r="L28">
            <v>119</v>
          </cell>
          <cell r="M28">
            <v>-11</v>
          </cell>
          <cell r="N28">
            <v>220</v>
          </cell>
          <cell r="O28">
            <v>220</v>
          </cell>
          <cell r="P28">
            <v>21.6</v>
          </cell>
          <cell r="Q28">
            <v>144</v>
          </cell>
          <cell r="T28">
            <v>20</v>
          </cell>
          <cell r="U28">
            <v>3.1481481481481479</v>
          </cell>
          <cell r="V28">
            <v>0</v>
          </cell>
          <cell r="W28">
            <v>6.2</v>
          </cell>
          <cell r="X28">
            <v>13.8</v>
          </cell>
          <cell r="Y28">
            <v>20</v>
          </cell>
          <cell r="Z28" t="str">
            <v>увел продажи</v>
          </cell>
        </row>
        <row r="29">
          <cell r="A29" t="str">
            <v>Масло сливочное 72,5 % 180 гр.(10 шт) СЛАВЯНА  Останкино</v>
          </cell>
          <cell r="B29" t="str">
            <v>шт</v>
          </cell>
          <cell r="C29">
            <v>1018950</v>
          </cell>
          <cell r="D29">
            <v>1707</v>
          </cell>
          <cell r="E29">
            <v>8</v>
          </cell>
          <cell r="F29">
            <v>125</v>
          </cell>
          <cell r="G29">
            <v>1583</v>
          </cell>
          <cell r="H29">
            <v>0.18</v>
          </cell>
          <cell r="I29">
            <v>120</v>
          </cell>
          <cell r="L29">
            <v>140</v>
          </cell>
          <cell r="M29">
            <v>-15</v>
          </cell>
          <cell r="N29">
            <v>0</v>
          </cell>
          <cell r="O29">
            <v>0</v>
          </cell>
          <cell r="P29">
            <v>25</v>
          </cell>
          <cell r="T29">
            <v>63.32</v>
          </cell>
          <cell r="U29">
            <v>63.32</v>
          </cell>
          <cell r="V29">
            <v>-0.2</v>
          </cell>
          <cell r="W29">
            <v>4.8</v>
          </cell>
          <cell r="X29">
            <v>19</v>
          </cell>
          <cell r="Y29">
            <v>25</v>
          </cell>
          <cell r="Z29" t="str">
            <v>увел продажи</v>
          </cell>
        </row>
        <row r="30">
          <cell r="A30" t="str">
            <v>Плавленый продукт с Сыром колбасный копченый 40% СТМ "Коровино" 400гр  Останкино</v>
          </cell>
          <cell r="B30" t="str">
            <v>шт</v>
          </cell>
          <cell r="C30">
            <v>9988476</v>
          </cell>
          <cell r="D30">
            <v>187</v>
          </cell>
          <cell r="F30">
            <v>12</v>
          </cell>
          <cell r="G30">
            <v>175</v>
          </cell>
          <cell r="H30">
            <v>0.4</v>
          </cell>
          <cell r="I30">
            <v>270</v>
          </cell>
          <cell r="L30">
            <v>14</v>
          </cell>
          <cell r="M30">
            <v>-2</v>
          </cell>
          <cell r="N30">
            <v>0</v>
          </cell>
          <cell r="O30">
            <v>0</v>
          </cell>
          <cell r="P30">
            <v>2.4</v>
          </cell>
          <cell r="T30">
            <v>72.916666666666671</v>
          </cell>
          <cell r="U30">
            <v>72.916666666666671</v>
          </cell>
          <cell r="V30">
            <v>1.2</v>
          </cell>
          <cell r="W30">
            <v>10</v>
          </cell>
          <cell r="X30">
            <v>0</v>
          </cell>
          <cell r="Y30">
            <v>1.8</v>
          </cell>
        </row>
        <row r="31">
          <cell r="A31" t="str">
            <v>Плавленый Сыр колбасный копченый 40% СТМ"ПапаМожет"400гр  Останкино</v>
          </cell>
          <cell r="B31" t="str">
            <v>шт</v>
          </cell>
          <cell r="F31">
            <v>1</v>
          </cell>
          <cell r="G31">
            <v>-1</v>
          </cell>
          <cell r="H31">
            <v>0.4</v>
          </cell>
          <cell r="L31">
            <v>1</v>
          </cell>
          <cell r="M31">
            <v>0</v>
          </cell>
          <cell r="N31">
            <v>0</v>
          </cell>
          <cell r="O31">
            <v>0</v>
          </cell>
          <cell r="P31">
            <v>0.2</v>
          </cell>
          <cell r="Q31">
            <v>5</v>
          </cell>
          <cell r="T31">
            <v>20</v>
          </cell>
          <cell r="U31">
            <v>-5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</row>
        <row r="32">
          <cell r="A32" t="str">
            <v>Сыр "Пармезан" 40% кусок 180 гр  ОСТАНКИНО</v>
          </cell>
          <cell r="B32" t="str">
            <v>шт</v>
          </cell>
          <cell r="C32">
            <v>5034819</v>
          </cell>
          <cell r="D32">
            <v>130</v>
          </cell>
          <cell r="F32">
            <v>16</v>
          </cell>
          <cell r="G32">
            <v>111</v>
          </cell>
          <cell r="H32">
            <v>0.18</v>
          </cell>
          <cell r="L32">
            <v>21</v>
          </cell>
          <cell r="M32">
            <v>-5</v>
          </cell>
          <cell r="N32">
            <v>0</v>
          </cell>
          <cell r="O32">
            <v>0</v>
          </cell>
          <cell r="P32">
            <v>3.2</v>
          </cell>
          <cell r="T32">
            <v>34.6875</v>
          </cell>
          <cell r="U32">
            <v>34.6875</v>
          </cell>
          <cell r="V32">
            <v>3.2</v>
          </cell>
          <cell r="W32">
            <v>7.4</v>
          </cell>
          <cell r="X32">
            <v>4.8</v>
          </cell>
          <cell r="Y32">
            <v>3.8</v>
          </cell>
        </row>
        <row r="33">
          <cell r="A33" t="str">
            <v>Сыр Косичка сырная копченая 43% 100г/8шт Папа Может Останкино</v>
          </cell>
          <cell r="B33" t="str">
            <v>шт</v>
          </cell>
          <cell r="C33">
            <v>8445177</v>
          </cell>
          <cell r="D33">
            <v>159</v>
          </cell>
          <cell r="F33">
            <v>44</v>
          </cell>
          <cell r="G33">
            <v>115</v>
          </cell>
          <cell r="H33">
            <v>0.1</v>
          </cell>
          <cell r="L33">
            <v>47</v>
          </cell>
          <cell r="M33">
            <v>-3</v>
          </cell>
          <cell r="N33">
            <v>0</v>
          </cell>
          <cell r="O33">
            <v>0</v>
          </cell>
          <cell r="P33">
            <v>8.8000000000000007</v>
          </cell>
          <cell r="Q33">
            <v>61</v>
          </cell>
          <cell r="T33">
            <v>20</v>
          </cell>
          <cell r="U33">
            <v>13.068181818181817</v>
          </cell>
          <cell r="V33">
            <v>3.6</v>
          </cell>
          <cell r="W33">
            <v>9.1999999999999993</v>
          </cell>
          <cell r="X33">
            <v>0.4</v>
          </cell>
          <cell r="Y33">
            <v>6.2</v>
          </cell>
        </row>
        <row r="34">
          <cell r="A34" t="str">
            <v>Сыр ПАПА МОЖЕТ "Гауда Голд" 45 % 180 гр (10шт) Останкино</v>
          </cell>
          <cell r="B34" t="str">
            <v>шт</v>
          </cell>
          <cell r="C34">
            <v>5038411</v>
          </cell>
          <cell r="D34">
            <v>382</v>
          </cell>
          <cell r="E34">
            <v>22</v>
          </cell>
          <cell r="F34">
            <v>65</v>
          </cell>
          <cell r="G34">
            <v>337</v>
          </cell>
          <cell r="H34">
            <v>0.18</v>
          </cell>
          <cell r="I34">
            <v>150</v>
          </cell>
          <cell r="L34">
            <v>67</v>
          </cell>
          <cell r="M34">
            <v>-2</v>
          </cell>
          <cell r="N34">
            <v>0</v>
          </cell>
          <cell r="O34">
            <v>150</v>
          </cell>
          <cell r="P34">
            <v>13</v>
          </cell>
          <cell r="T34">
            <v>37.46153846153846</v>
          </cell>
          <cell r="U34">
            <v>25.923076923076923</v>
          </cell>
          <cell r="V34">
            <v>23.8</v>
          </cell>
          <cell r="W34">
            <v>19</v>
          </cell>
          <cell r="X34">
            <v>27.2</v>
          </cell>
          <cell r="Y34">
            <v>27.6</v>
          </cell>
        </row>
        <row r="35">
          <cell r="A35" t="str">
            <v>Сыр Папа Может "Гауда Голд" 45% (-2,5 кг брус) (6 шт)  Останкино</v>
          </cell>
          <cell r="B35" t="str">
            <v>кг</v>
          </cell>
          <cell r="D35">
            <v>36.363999999999997</v>
          </cell>
          <cell r="F35">
            <v>0</v>
          </cell>
          <cell r="G35">
            <v>36.363999999999997</v>
          </cell>
          <cell r="H35">
            <v>1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T35" t="e">
            <v>#DIV/0!</v>
          </cell>
          <cell r="U35" t="e">
            <v>#DIV/0!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</row>
        <row r="36">
          <cell r="A36" t="str">
            <v>Сыр ПАПА МОЖЕТ "Голландский традиционный" 45% 180 гр (10шт)  Останкино</v>
          </cell>
          <cell r="B36" t="str">
            <v>шт</v>
          </cell>
          <cell r="C36">
            <v>5038459</v>
          </cell>
          <cell r="D36">
            <v>215</v>
          </cell>
          <cell r="E36">
            <v>282</v>
          </cell>
          <cell r="F36">
            <v>97</v>
          </cell>
          <cell r="G36">
            <v>398</v>
          </cell>
          <cell r="H36">
            <v>0.18</v>
          </cell>
          <cell r="I36">
            <v>150</v>
          </cell>
          <cell r="L36">
            <v>102</v>
          </cell>
          <cell r="M36">
            <v>-5</v>
          </cell>
          <cell r="N36">
            <v>0</v>
          </cell>
          <cell r="O36">
            <v>0</v>
          </cell>
          <cell r="P36">
            <v>19.399999999999999</v>
          </cell>
          <cell r="T36">
            <v>20.515463917525775</v>
          </cell>
          <cell r="U36">
            <v>20.515463917525775</v>
          </cell>
          <cell r="V36">
            <v>19.399999999999999</v>
          </cell>
          <cell r="W36">
            <v>23.2</v>
          </cell>
          <cell r="X36">
            <v>29.6</v>
          </cell>
          <cell r="Y36">
            <v>23.4</v>
          </cell>
          <cell r="Z36" t="str">
            <v>увел продажи</v>
          </cell>
        </row>
        <row r="37">
          <cell r="A37" t="str">
            <v>Сыр ПАПА МОЖЕТ "Министерский" 180 г фасованный массовая  Останкино</v>
          </cell>
          <cell r="B37" t="str">
            <v>шт</v>
          </cell>
          <cell r="C37">
            <v>5038831</v>
          </cell>
          <cell r="D37">
            <v>222</v>
          </cell>
          <cell r="E37">
            <v>139</v>
          </cell>
          <cell r="F37">
            <v>59</v>
          </cell>
          <cell r="G37">
            <v>300</v>
          </cell>
          <cell r="H37">
            <v>0.18</v>
          </cell>
          <cell r="L37">
            <v>64</v>
          </cell>
          <cell r="M37">
            <v>-5</v>
          </cell>
          <cell r="N37">
            <v>0</v>
          </cell>
          <cell r="O37">
            <v>0</v>
          </cell>
          <cell r="P37">
            <v>11.8</v>
          </cell>
          <cell r="T37">
            <v>25.423728813559322</v>
          </cell>
          <cell r="U37">
            <v>25.423728813559322</v>
          </cell>
          <cell r="V37">
            <v>17.2</v>
          </cell>
          <cell r="W37">
            <v>13.2</v>
          </cell>
          <cell r="X37">
            <v>15.2</v>
          </cell>
          <cell r="Y37">
            <v>9.6</v>
          </cell>
        </row>
        <row r="38">
          <cell r="A38" t="str">
            <v>Сыр ПАПА МОЖЕТ "Папин завтрак"  45% 180 г  Останкино</v>
          </cell>
          <cell r="B38" t="str">
            <v>шт</v>
          </cell>
          <cell r="C38">
            <v>5038855</v>
          </cell>
          <cell r="D38">
            <v>240</v>
          </cell>
          <cell r="F38">
            <v>45</v>
          </cell>
          <cell r="G38">
            <v>195</v>
          </cell>
          <cell r="H38">
            <v>0.18</v>
          </cell>
          <cell r="L38">
            <v>45</v>
          </cell>
          <cell r="M38">
            <v>0</v>
          </cell>
          <cell r="N38">
            <v>0</v>
          </cell>
          <cell r="O38">
            <v>0</v>
          </cell>
          <cell r="P38">
            <v>9</v>
          </cell>
          <cell r="T38">
            <v>21.666666666666668</v>
          </cell>
          <cell r="U38">
            <v>21.666666666666668</v>
          </cell>
          <cell r="V38">
            <v>15</v>
          </cell>
          <cell r="W38">
            <v>0</v>
          </cell>
          <cell r="X38">
            <v>6.2</v>
          </cell>
          <cell r="Y38">
            <v>9.8000000000000007</v>
          </cell>
        </row>
        <row r="39">
          <cell r="A39" t="str">
            <v>Сыр ПАПА МОЖЕТ "Российский традиционный"45 % 180 г Останкино</v>
          </cell>
          <cell r="B39" t="str">
            <v>шт</v>
          </cell>
          <cell r="C39">
            <v>5038435</v>
          </cell>
          <cell r="D39">
            <v>359</v>
          </cell>
          <cell r="E39">
            <v>32</v>
          </cell>
          <cell r="F39">
            <v>127</v>
          </cell>
          <cell r="G39">
            <v>262</v>
          </cell>
          <cell r="H39">
            <v>0.18</v>
          </cell>
          <cell r="I39">
            <v>150</v>
          </cell>
          <cell r="L39">
            <v>132</v>
          </cell>
          <cell r="M39">
            <v>-5</v>
          </cell>
          <cell r="N39">
            <v>30</v>
          </cell>
          <cell r="O39">
            <v>30</v>
          </cell>
          <cell r="P39">
            <v>25.4</v>
          </cell>
          <cell r="Q39">
            <v>216</v>
          </cell>
          <cell r="T39">
            <v>20</v>
          </cell>
          <cell r="U39">
            <v>10.314960629921261</v>
          </cell>
          <cell r="V39">
            <v>30</v>
          </cell>
          <cell r="W39">
            <v>32.4</v>
          </cell>
          <cell r="X39">
            <v>24.6</v>
          </cell>
          <cell r="Y39">
            <v>20.8</v>
          </cell>
          <cell r="Z39" t="str">
            <v>увел продажи</v>
          </cell>
        </row>
        <row r="40">
          <cell r="A40" t="str">
            <v>Сыр ПАПА МОЖЕТ "Тильзитер" фасованный массовая доля жира в сухом веществе 45%, 180г  Останкино</v>
          </cell>
          <cell r="B40" t="str">
            <v>шт</v>
          </cell>
          <cell r="C40">
            <v>5038398</v>
          </cell>
          <cell r="D40">
            <v>418</v>
          </cell>
          <cell r="E40">
            <v>7</v>
          </cell>
          <cell r="F40">
            <v>47</v>
          </cell>
          <cell r="G40">
            <v>371</v>
          </cell>
          <cell r="H40">
            <v>0.18</v>
          </cell>
          <cell r="I40">
            <v>120</v>
          </cell>
          <cell r="L40">
            <v>54</v>
          </cell>
          <cell r="M40">
            <v>-7</v>
          </cell>
          <cell r="N40">
            <v>150</v>
          </cell>
          <cell r="O40">
            <v>0</v>
          </cell>
          <cell r="P40">
            <v>9.4</v>
          </cell>
          <cell r="T40">
            <v>39.468085106382979</v>
          </cell>
          <cell r="U40">
            <v>39.468085106382979</v>
          </cell>
          <cell r="V40">
            <v>6</v>
          </cell>
          <cell r="W40">
            <v>4.8</v>
          </cell>
          <cell r="X40">
            <v>12.8</v>
          </cell>
          <cell r="Y40">
            <v>13.2</v>
          </cell>
          <cell r="Z40" t="str">
            <v>увел продажи</v>
          </cell>
        </row>
        <row r="41">
          <cell r="A41" t="str">
            <v>Сыр плавленный Сливочный ж.45% 180г ТМ Папа может (16шт)  Останкино</v>
          </cell>
          <cell r="B41" t="str">
            <v>шт</v>
          </cell>
          <cell r="C41">
            <v>9988681</v>
          </cell>
          <cell r="D41">
            <v>229</v>
          </cell>
          <cell r="F41">
            <v>43</v>
          </cell>
          <cell r="G41">
            <v>186</v>
          </cell>
          <cell r="H41">
            <v>0.18</v>
          </cell>
          <cell r="L41">
            <v>45</v>
          </cell>
          <cell r="M41">
            <v>-2</v>
          </cell>
          <cell r="N41">
            <v>0</v>
          </cell>
          <cell r="O41">
            <v>0</v>
          </cell>
          <cell r="P41">
            <v>8.6</v>
          </cell>
          <cell r="T41">
            <v>21.627906976744185</v>
          </cell>
          <cell r="U41">
            <v>21.627906976744185</v>
          </cell>
          <cell r="V41">
            <v>8.4</v>
          </cell>
          <cell r="W41">
            <v>12.4</v>
          </cell>
          <cell r="X41">
            <v>5.8</v>
          </cell>
          <cell r="Y41">
            <v>7.4</v>
          </cell>
        </row>
        <row r="42">
          <cell r="A42" t="str">
            <v>Сыр полутвердый "Гауда" с массовой долей жира в пересчете на сухое вещество 45%,   Останкино</v>
          </cell>
          <cell r="B42" t="str">
            <v>кг</v>
          </cell>
          <cell r="C42" t="str">
            <v>дубль</v>
          </cell>
          <cell r="D42">
            <v>62.61</v>
          </cell>
          <cell r="F42">
            <v>3.4420000000000002</v>
          </cell>
          <cell r="G42">
            <v>59.167999999999999</v>
          </cell>
          <cell r="H42">
            <v>1</v>
          </cell>
          <cell r="L42">
            <v>3.5</v>
          </cell>
          <cell r="M42">
            <v>-5.7999999999999829E-2</v>
          </cell>
          <cell r="N42">
            <v>0</v>
          </cell>
          <cell r="O42">
            <v>0</v>
          </cell>
          <cell r="P42">
            <v>0.68840000000000001</v>
          </cell>
          <cell r="T42">
            <v>85.950029052876232</v>
          </cell>
          <cell r="U42">
            <v>85.950029052876232</v>
          </cell>
          <cell r="V42">
            <v>0</v>
          </cell>
          <cell r="W42">
            <v>1.3355999999999999</v>
          </cell>
          <cell r="X42">
            <v>1.988</v>
          </cell>
          <cell r="Y42">
            <v>2.0207999999999999</v>
          </cell>
        </row>
        <row r="43">
          <cell r="A43" t="str">
            <v>Сыр полутвердый "Сметанковый", с масс долей жира в пересчете на сухое вещес50%, брус  Останкино</v>
          </cell>
          <cell r="B43" t="str">
            <v>кг</v>
          </cell>
          <cell r="C43">
            <v>8785198</v>
          </cell>
          <cell r="D43">
            <v>48.646000000000001</v>
          </cell>
          <cell r="E43">
            <v>35.363999999999997</v>
          </cell>
          <cell r="F43">
            <v>0</v>
          </cell>
          <cell r="G43">
            <v>80.581999999999994</v>
          </cell>
          <cell r="H43">
            <v>1</v>
          </cell>
          <cell r="L43">
            <v>3.5</v>
          </cell>
          <cell r="M43">
            <v>-3.5</v>
          </cell>
          <cell r="N43">
            <v>0</v>
          </cell>
          <cell r="O43">
            <v>0</v>
          </cell>
          <cell r="P43">
            <v>0</v>
          </cell>
          <cell r="T43" t="e">
            <v>#DIV/0!</v>
          </cell>
          <cell r="U43" t="e">
            <v>#DIV/0!</v>
          </cell>
          <cell r="V43">
            <v>4.3643999999999998</v>
          </cell>
          <cell r="W43">
            <v>3.8764000000000003</v>
          </cell>
          <cell r="X43">
            <v>3.9607999999999999</v>
          </cell>
          <cell r="Y43">
            <v>0.71599999999999997</v>
          </cell>
          <cell r="Z43" t="str">
            <v>увел продажи</v>
          </cell>
        </row>
        <row r="44">
          <cell r="A44" t="str">
            <v>Сыр рассольный жирный Чечил 45% 100 гр  ОСТАНКИНО</v>
          </cell>
          <cell r="B44" t="str">
            <v>шт</v>
          </cell>
          <cell r="C44">
            <v>8444187</v>
          </cell>
          <cell r="D44">
            <v>155</v>
          </cell>
          <cell r="F44">
            <v>41</v>
          </cell>
          <cell r="G44">
            <v>112</v>
          </cell>
          <cell r="H44">
            <v>0.1</v>
          </cell>
          <cell r="L44">
            <v>43</v>
          </cell>
          <cell r="M44">
            <v>-2</v>
          </cell>
          <cell r="N44">
            <v>0</v>
          </cell>
          <cell r="O44">
            <v>0</v>
          </cell>
          <cell r="P44">
            <v>8.1999999999999993</v>
          </cell>
          <cell r="Q44">
            <v>52</v>
          </cell>
          <cell r="T44">
            <v>20</v>
          </cell>
          <cell r="U44">
            <v>13.658536585365855</v>
          </cell>
          <cell r="V44">
            <v>4.4000000000000004</v>
          </cell>
          <cell r="W44">
            <v>8.6</v>
          </cell>
          <cell r="X44">
            <v>-0.4</v>
          </cell>
          <cell r="Y44">
            <v>4.8</v>
          </cell>
          <cell r="Z44" t="str">
            <v>увел продажи</v>
          </cell>
        </row>
        <row r="45">
          <cell r="A45" t="str">
            <v>Сыр рассольный жирный Чечил копченый 43% 100 гр  Останкино</v>
          </cell>
          <cell r="B45" t="str">
            <v>шт</v>
          </cell>
          <cell r="C45">
            <v>8444194</v>
          </cell>
          <cell r="D45">
            <v>212</v>
          </cell>
          <cell r="F45">
            <v>38</v>
          </cell>
          <cell r="G45">
            <v>174</v>
          </cell>
          <cell r="H45">
            <v>0.1</v>
          </cell>
          <cell r="L45">
            <v>38</v>
          </cell>
          <cell r="M45">
            <v>0</v>
          </cell>
          <cell r="N45">
            <v>0</v>
          </cell>
          <cell r="O45">
            <v>0</v>
          </cell>
          <cell r="P45">
            <v>7.6</v>
          </cell>
          <cell r="T45">
            <v>22.894736842105264</v>
          </cell>
          <cell r="U45">
            <v>22.894736842105264</v>
          </cell>
          <cell r="V45">
            <v>5.2</v>
          </cell>
          <cell r="W45">
            <v>12.6</v>
          </cell>
          <cell r="X45">
            <v>2.6</v>
          </cell>
          <cell r="Y45">
            <v>7.4</v>
          </cell>
        </row>
        <row r="46">
          <cell r="A46" t="str">
            <v>Сыр Творожный с зеленью 60% Папа может 140 гр.  Останкино</v>
          </cell>
          <cell r="B46" t="str">
            <v>шт</v>
          </cell>
          <cell r="C46">
            <v>9988391</v>
          </cell>
          <cell r="D46">
            <v>83</v>
          </cell>
          <cell r="F46">
            <v>35</v>
          </cell>
          <cell r="G46">
            <v>48</v>
          </cell>
          <cell r="H46">
            <v>0.14000000000000001</v>
          </cell>
          <cell r="L46">
            <v>36</v>
          </cell>
          <cell r="M46">
            <v>-1</v>
          </cell>
          <cell r="N46">
            <v>64</v>
          </cell>
          <cell r="O46">
            <v>60</v>
          </cell>
          <cell r="P46">
            <v>7</v>
          </cell>
          <cell r="Q46">
            <v>32</v>
          </cell>
          <cell r="T46">
            <v>20</v>
          </cell>
          <cell r="U46">
            <v>6.8571428571428568</v>
          </cell>
          <cell r="V46">
            <v>7.4</v>
          </cell>
          <cell r="W46">
            <v>1</v>
          </cell>
          <cell r="X46">
            <v>3.6</v>
          </cell>
          <cell r="Y46">
            <v>7</v>
          </cell>
          <cell r="Z46" t="str">
            <v>увел продажи</v>
          </cell>
        </row>
        <row r="47">
          <cell r="A47" t="str">
            <v>Сыр творожный Сливочный 140 гр.  Останкино</v>
          </cell>
          <cell r="B47" t="str">
            <v>шт</v>
          </cell>
          <cell r="C47">
            <v>9988377</v>
          </cell>
          <cell r="D47">
            <v>87</v>
          </cell>
          <cell r="E47">
            <v>48</v>
          </cell>
          <cell r="F47">
            <v>38</v>
          </cell>
          <cell r="G47">
            <v>97</v>
          </cell>
          <cell r="H47">
            <v>0.14000000000000001</v>
          </cell>
          <cell r="L47">
            <v>39</v>
          </cell>
          <cell r="M47">
            <v>-1</v>
          </cell>
          <cell r="N47">
            <v>32</v>
          </cell>
          <cell r="O47">
            <v>30</v>
          </cell>
          <cell r="P47">
            <v>7.6</v>
          </cell>
          <cell r="Q47">
            <v>25</v>
          </cell>
          <cell r="T47">
            <v>20</v>
          </cell>
          <cell r="U47">
            <v>12.763157894736842</v>
          </cell>
          <cell r="V47">
            <v>9</v>
          </cell>
          <cell r="W47">
            <v>5.2</v>
          </cell>
          <cell r="X47">
            <v>7.4</v>
          </cell>
          <cell r="Y47">
            <v>7.4</v>
          </cell>
          <cell r="Z47" t="str">
            <v>увел продажи</v>
          </cell>
        </row>
        <row r="48">
          <cell r="A48" t="str">
            <v>Сыч/Прод Коровино Российский 50% 200г НОВАЯ СЗМЖ  ОСТАНКИНО</v>
          </cell>
          <cell r="B48" t="str">
            <v>шт</v>
          </cell>
          <cell r="C48" t="str">
            <v>783К798</v>
          </cell>
          <cell r="D48">
            <v>399</v>
          </cell>
          <cell r="E48">
            <v>5</v>
          </cell>
          <cell r="F48">
            <v>66</v>
          </cell>
          <cell r="G48">
            <v>333</v>
          </cell>
          <cell r="H48">
            <v>0.2</v>
          </cell>
          <cell r="L48">
            <v>72</v>
          </cell>
          <cell r="M48">
            <v>-6</v>
          </cell>
          <cell r="N48">
            <v>0</v>
          </cell>
          <cell r="O48">
            <v>0</v>
          </cell>
          <cell r="P48">
            <v>13.2</v>
          </cell>
          <cell r="T48">
            <v>25.22727272727273</v>
          </cell>
          <cell r="U48">
            <v>25.22727272727273</v>
          </cell>
          <cell r="V48">
            <v>7</v>
          </cell>
          <cell r="W48">
            <v>31.8</v>
          </cell>
          <cell r="X48">
            <v>13.8</v>
          </cell>
          <cell r="Y48">
            <v>8.1999999999999993</v>
          </cell>
        </row>
        <row r="49">
          <cell r="A49" t="str">
            <v>Сыч/Прод Коровино Российский Оригин 50% ВЕС НОВАЯ (3,5 кг)  ОСТАНКИНО</v>
          </cell>
          <cell r="B49" t="str">
            <v>кг</v>
          </cell>
          <cell r="C49" t="str">
            <v>дубль798</v>
          </cell>
          <cell r="D49">
            <v>172.33</v>
          </cell>
          <cell r="F49">
            <v>18.318000000000001</v>
          </cell>
          <cell r="G49">
            <v>154.012</v>
          </cell>
          <cell r="H49">
            <v>1</v>
          </cell>
          <cell r="L49">
            <v>21</v>
          </cell>
          <cell r="M49">
            <v>-2.6819999999999986</v>
          </cell>
          <cell r="N49">
            <v>0</v>
          </cell>
          <cell r="O49">
            <v>0</v>
          </cell>
          <cell r="P49">
            <v>3.6636000000000002</v>
          </cell>
          <cell r="T49">
            <v>42.038432143247078</v>
          </cell>
          <cell r="U49">
            <v>42.038432143247078</v>
          </cell>
          <cell r="V49">
            <v>6.3192000000000004</v>
          </cell>
          <cell r="W49">
            <v>3.8747999999999996</v>
          </cell>
          <cell r="X49">
            <v>1.1103999999999998</v>
          </cell>
          <cell r="Y49">
            <v>7.4767999999999999</v>
          </cell>
          <cell r="Z49" t="str">
            <v>увел продажи</v>
          </cell>
        </row>
        <row r="50">
          <cell r="A50" t="str">
            <v>Сыч/Прод Коровино Тильзитер 50% 200г НОВАЯ СЗМЖ  ОСТАНКИНО</v>
          </cell>
          <cell r="B50" t="str">
            <v>шт</v>
          </cell>
          <cell r="C50" t="str">
            <v>783К801</v>
          </cell>
          <cell r="D50">
            <v>202</v>
          </cell>
          <cell r="E50">
            <v>5</v>
          </cell>
          <cell r="F50">
            <v>43</v>
          </cell>
          <cell r="G50">
            <v>158</v>
          </cell>
          <cell r="H50">
            <v>0.2</v>
          </cell>
          <cell r="L50">
            <v>49</v>
          </cell>
          <cell r="M50">
            <v>-6</v>
          </cell>
          <cell r="N50">
            <v>40</v>
          </cell>
          <cell r="O50">
            <v>40</v>
          </cell>
          <cell r="P50">
            <v>8.6</v>
          </cell>
          <cell r="T50">
            <v>23.02325581395349</v>
          </cell>
          <cell r="U50">
            <v>18.372093023255815</v>
          </cell>
          <cell r="V50">
            <v>3.2</v>
          </cell>
          <cell r="W50">
            <v>18.600000000000001</v>
          </cell>
          <cell r="X50">
            <v>14</v>
          </cell>
          <cell r="Y50">
            <v>12.2</v>
          </cell>
        </row>
        <row r="51">
          <cell r="A51" t="str">
            <v>Сыч/Прод Коровино Тильзитер Оригин 50% ВЕС НОВАЯ (5 кг брус) СЗМЖ  ОСТАНКИНО</v>
          </cell>
          <cell r="B51" t="str">
            <v>кг</v>
          </cell>
          <cell r="D51">
            <v>95.286000000000001</v>
          </cell>
          <cell r="E51">
            <v>179.23400000000001</v>
          </cell>
          <cell r="F51">
            <v>0.12</v>
          </cell>
          <cell r="G51">
            <v>270.7</v>
          </cell>
          <cell r="H51">
            <v>1</v>
          </cell>
          <cell r="L51">
            <v>3.5</v>
          </cell>
          <cell r="M51">
            <v>-3.38</v>
          </cell>
          <cell r="N51">
            <v>0</v>
          </cell>
          <cell r="O51">
            <v>0</v>
          </cell>
          <cell r="P51">
            <v>2.4E-2</v>
          </cell>
          <cell r="T51">
            <v>11279.166666666666</v>
          </cell>
          <cell r="U51">
            <v>11279.166666666666</v>
          </cell>
          <cell r="V51">
            <v>2.8079999999999998</v>
          </cell>
          <cell r="W51">
            <v>1.4567999999999999</v>
          </cell>
          <cell r="X51">
            <v>8.5687999999999995</v>
          </cell>
          <cell r="Y51">
            <v>2.1876000000000002</v>
          </cell>
          <cell r="Z51" t="str">
            <v>увел продажи</v>
          </cell>
        </row>
        <row r="52">
          <cell r="A52" t="str">
            <v>3534796 Масло сливочное ж.82,5% 180г фольга ТМ Папа может(вл 12)  Останкино</v>
          </cell>
          <cell r="B52" t="str">
            <v>шт</v>
          </cell>
          <cell r="C52">
            <v>3534796</v>
          </cell>
          <cell r="F52">
            <v>0</v>
          </cell>
          <cell r="H52">
            <v>0.18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T52" t="e">
            <v>#DIV/0!</v>
          </cell>
          <cell r="U52" t="e">
            <v>#DIV/0!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</row>
        <row r="53">
          <cell r="A53" t="str">
            <v>6819 БЛИНЧ.КРУГЛЫЕ С САД.ЯБЛОК. пл. 1/300 зам. ОСТАНКИНО</v>
          </cell>
          <cell r="B53" t="str">
            <v>шт</v>
          </cell>
          <cell r="C53">
            <v>6819</v>
          </cell>
          <cell r="F53">
            <v>0</v>
          </cell>
          <cell r="H53">
            <v>0.3</v>
          </cell>
          <cell r="L53">
            <v>20</v>
          </cell>
          <cell r="M53">
            <v>-20</v>
          </cell>
          <cell r="N53">
            <v>0</v>
          </cell>
          <cell r="O53">
            <v>0</v>
          </cell>
          <cell r="P53">
            <v>0</v>
          </cell>
          <cell r="T53" t="e">
            <v>#DIV/0!</v>
          </cell>
          <cell r="U53" t="e">
            <v>#DIV/0!</v>
          </cell>
          <cell r="V53">
            <v>37.799999999999997</v>
          </cell>
          <cell r="W53">
            <v>8.6</v>
          </cell>
          <cell r="X53">
            <v>0</v>
          </cell>
          <cell r="Y53">
            <v>0</v>
          </cell>
        </row>
        <row r="54">
          <cell r="A54" t="str">
            <v>7216 СОЧНЫЕ СО СЛ.МАСЛ.ПМ пельм пл.0.7кг зам. ОСТАНКИНО</v>
          </cell>
          <cell r="B54" t="str">
            <v>шт</v>
          </cell>
          <cell r="C54">
            <v>7216</v>
          </cell>
          <cell r="F54">
            <v>118</v>
          </cell>
          <cell r="H54">
            <v>0.7</v>
          </cell>
          <cell r="L54">
            <v>75</v>
          </cell>
          <cell r="M54">
            <v>43</v>
          </cell>
          <cell r="N54">
            <v>0</v>
          </cell>
          <cell r="O54">
            <v>0</v>
          </cell>
          <cell r="P54">
            <v>23.6</v>
          </cell>
          <cell r="Q54">
            <v>472</v>
          </cell>
          <cell r="T54">
            <v>20</v>
          </cell>
          <cell r="U54">
            <v>0</v>
          </cell>
          <cell r="V54">
            <v>0</v>
          </cell>
          <cell r="W54">
            <v>0</v>
          </cell>
          <cell r="X54">
            <v>20.2</v>
          </cell>
          <cell r="Y54">
            <v>12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B2" t="str">
            <v>Период отчета: 16.06.2026 - 22.06.2026</v>
          </cell>
        </row>
        <row r="3">
          <cell r="A3" t="str">
            <v>Отбор:</v>
          </cell>
          <cell r="B3" t="str">
            <v>Организация В группе из списка "НОВОЕ ВРЕМЯ; Общий прайс" И
Номенклатура В группе из списка "Останкино ООО" И
Номенклатура.Товарная категория.Группа категорий В группе ""</v>
          </cell>
        </row>
        <row r="5">
          <cell r="A5" t="str">
            <v>Документ.Склад</v>
          </cell>
          <cell r="B5" t="str">
            <v>по заказам</v>
          </cell>
        </row>
        <row r="6">
          <cell r="A6" t="str">
            <v>Номенклатура</v>
          </cell>
          <cell r="B6" t="str">
            <v>Заказано</v>
          </cell>
        </row>
        <row r="7">
          <cell r="A7" t="str">
            <v>АСП Луганск Заморозка</v>
          </cell>
          <cell r="B7">
            <v>12</v>
          </cell>
        </row>
        <row r="8">
          <cell r="A8" t="str">
            <v>Останкино ООО</v>
          </cell>
          <cell r="B8">
            <v>12</v>
          </cell>
        </row>
        <row r="9">
          <cell r="A9" t="str">
            <v>Останкино Заморозка</v>
          </cell>
          <cell r="B9">
            <v>12</v>
          </cell>
        </row>
        <row r="10">
          <cell r="A10" t="str">
            <v>5897 БЛИНЧ.КРУГЛЫЕ С ГРУШЕЙ пл.1/420 зам.   ОСТАНКИНО</v>
          </cell>
          <cell r="B10">
            <v>4</v>
          </cell>
        </row>
        <row r="11">
          <cell r="A11" t="str">
            <v>6149 БЛИНЧ.КРУГЛЫЕ С ПЕЧЕНЬЮ ПМ 1/300 зам. ОСТАНКИНО</v>
          </cell>
          <cell r="B11">
            <v>4</v>
          </cell>
        </row>
        <row r="12">
          <cell r="A12" t="str">
            <v>7216 СОЧНЫЕ СО СЛ.МАСЛ.ПМ пельм пл.0.7кг зам. ОСТАНКИНО</v>
          </cell>
          <cell r="B12">
            <v>4</v>
          </cell>
        </row>
        <row r="13">
          <cell r="A13" t="str">
            <v>5579 БЛИНЧ.КРУГЛЫЕ С САД.ЯБЛОК.пл.1/420 зам. ОСТАНКИНО</v>
          </cell>
          <cell r="B13">
            <v>23</v>
          </cell>
        </row>
        <row r="14">
          <cell r="A14" t="str">
            <v>5754 БЛИНЧ.КРУГЛЫЕ С МЯСОМ 4,5кг зам. ПМ ОСТАНКИНО</v>
          </cell>
          <cell r="B14">
            <v>27</v>
          </cell>
        </row>
        <row r="15">
          <cell r="A15" t="str">
            <v>5755 БЛИНЧ.КРУГЛЫЕ С ТВОРОГОМ 4,5кг зам. ПМ ОСТАНКИНО</v>
          </cell>
          <cell r="B15">
            <v>13.5</v>
          </cell>
        </row>
        <row r="16">
          <cell r="A16" t="str">
            <v>5897 БЛИНЧ.КРУГЛЫЕ С ГРУШЕЙ пл.1/420 зам.   ОСТАНКИНО</v>
          </cell>
          <cell r="B16">
            <v>99</v>
          </cell>
        </row>
        <row r="17">
          <cell r="A17" t="str">
            <v>6148 БЛИНЧ.КРУГЛЫЕ С ВЕТЧ.И СЫР. ПМ 1/300 зам. ОСТАНКИНО</v>
          </cell>
          <cell r="B17">
            <v>52</v>
          </cell>
        </row>
        <row r="18">
          <cell r="A18" t="str">
            <v>6149 БЛИНЧ.КРУГЛЫЕ С ПЕЧЕНЬЮ ПМ 1/300 зам. ОСТАНКИНО</v>
          </cell>
          <cell r="B18">
            <v>41</v>
          </cell>
        </row>
        <row r="19">
          <cell r="A19" t="str">
            <v>6168 Блинчики с мясом пл. 1/350 зам. ОСТАНКИНО</v>
          </cell>
          <cell r="B19">
            <v>128</v>
          </cell>
        </row>
        <row r="20">
          <cell r="A20" t="str">
            <v>6202 БЛИНЧ.КРУГЛЫЕ С ТВОРОГОМ ПМ 1/300 зам. ОСТАНКИНО</v>
          </cell>
          <cell r="B20">
            <v>64</v>
          </cell>
        </row>
        <row r="21">
          <cell r="A21" t="str">
            <v>6209 Блинчики с куриным мясом пл. 1/350 зам. ОСТАНКИНО</v>
          </cell>
          <cell r="B21">
            <v>89</v>
          </cell>
        </row>
        <row r="22">
          <cell r="A22" t="str">
            <v>6819 БЛИНЧ.КРУГЛЫЕ С САД.ЯБЛОК. пл. 1/300 зам. ОСТАНКИНО</v>
          </cell>
          <cell r="B22">
            <v>28</v>
          </cell>
        </row>
        <row r="23">
          <cell r="A23" t="str">
            <v>7216 СОЧНЫЕ СО СЛ.МАСЛ.ПМ пельм пл.0.7кг зам. ОСТАНКИНО</v>
          </cell>
          <cell r="B23">
            <v>144</v>
          </cell>
        </row>
        <row r="24">
          <cell r="A24" t="str">
            <v>6948249 Майонезный соус провансаль 824,5гр деликатес.с массовой долей жирн.25% Коровино Останкино</v>
          </cell>
          <cell r="B24">
            <v>12</v>
          </cell>
        </row>
        <row r="25">
          <cell r="A25" t="str">
            <v>6948256 Майонез провансаль классич.оливковый Папа может 372гр с массовой долей жирн. 67% Останкино</v>
          </cell>
          <cell r="B25">
            <v>84</v>
          </cell>
        </row>
        <row r="26">
          <cell r="A26" t="str">
            <v>6948263 Майонез провансаль классич.оливковый Папа может 744гр с массовой долей жирн. 67% Останкино</v>
          </cell>
          <cell r="B26">
            <v>47</v>
          </cell>
        </row>
        <row r="27">
          <cell r="A27" t="str">
            <v>6948270 Майонез провансаль классич.Папа может 372гр с массовой долей жирн. 67% Останкино</v>
          </cell>
          <cell r="B27">
            <v>199</v>
          </cell>
        </row>
        <row r="28">
          <cell r="A28" t="str">
            <v>6948287 Майонез провансаль классич.Папа может 744гр с массовой долей жирн. 67% Останкино</v>
          </cell>
          <cell r="B28">
            <v>141</v>
          </cell>
        </row>
        <row r="29">
          <cell r="A29" t="str">
            <v>3323 Сыр Российский цилиндр 1/4 пленка ЮКМП м.д.ж. 50%  ОСТАНКИНО</v>
          </cell>
          <cell r="B29">
            <v>45.973999999999997</v>
          </cell>
        </row>
        <row r="30">
          <cell r="A30" t="str">
            <v>4421584 Спред растительно-сливочный "Сливочный вкус" 72,5% 180гр  Останкино</v>
          </cell>
          <cell r="B30">
            <v>5</v>
          </cell>
        </row>
        <row r="31">
          <cell r="A31" t="str">
            <v>9988421 Творожный Сыр 60 % С маринованными огурчиками и укропом  Останкино</v>
          </cell>
          <cell r="B31">
            <v>2</v>
          </cell>
        </row>
        <row r="32">
          <cell r="A32" t="str">
            <v>9988438 Плавленый Сыр 45% "С ветчиной" СТМ"ПапаМожет" 180гр  Останкино</v>
          </cell>
          <cell r="B32">
            <v>30</v>
          </cell>
        </row>
        <row r="33">
          <cell r="A33" t="str">
            <v>9988445 Плавленый Сыр 45%"С грибами" СТМ"ПапаМожет" 180 гр  Останкино</v>
          </cell>
          <cell r="B33">
            <v>3</v>
          </cell>
        </row>
        <row r="34">
          <cell r="A34" t="str">
            <v>Cыр Перлини со вкусом Васаби 40% 100гр (8шт)  Останкино</v>
          </cell>
          <cell r="B34">
            <v>1</v>
          </cell>
        </row>
        <row r="35">
          <cell r="A35" t="str">
            <v>Масло "Папа может" 82,5% 180гр  Останкино</v>
          </cell>
          <cell r="B35">
            <v>77</v>
          </cell>
        </row>
        <row r="36">
          <cell r="A36" t="str">
            <v>Масло сливочное 72,5 % 180 гр.(10 шт) СЛАВЯНА  Останкино</v>
          </cell>
          <cell r="B36">
            <v>104</v>
          </cell>
        </row>
        <row r="37">
          <cell r="A37" t="str">
            <v>Плавленый продукт с Сыром колбасный копченый 40% СТМ "Коровино" 400гр  Останкино</v>
          </cell>
          <cell r="B37">
            <v>24</v>
          </cell>
        </row>
        <row r="38">
          <cell r="A38" t="str">
            <v>Плавленый Сыр колбасный копченый 40% СТМ"ПапаМожет"400гр  Останкино</v>
          </cell>
          <cell r="B38">
            <v>3</v>
          </cell>
        </row>
        <row r="39">
          <cell r="A39" t="str">
            <v>Продукт По-Росийски Классический с ЗМЖ 50% ВЕС Коровино Останкино</v>
          </cell>
          <cell r="B39">
            <v>3.5</v>
          </cell>
        </row>
        <row r="40">
          <cell r="A40" t="str">
            <v>Сыр "Пармезан" 40% кусок 180 гр  ОСТАНКИНО</v>
          </cell>
          <cell r="B40">
            <v>10</v>
          </cell>
        </row>
        <row r="41">
          <cell r="A41" t="str">
            <v>Сыр Боккончини копченый 40% 100 гр.  ОСТАНКИНО</v>
          </cell>
          <cell r="B41">
            <v>2</v>
          </cell>
        </row>
        <row r="42">
          <cell r="A42" t="str">
            <v>Сыр Косичка сырная 45% 100г/8шт Папа Может Останкино</v>
          </cell>
          <cell r="B42">
            <v>3</v>
          </cell>
        </row>
        <row r="43">
          <cell r="A43" t="str">
            <v>Сыр Косичка сырная копченая 43% 100г/8шт Папа Может Останкино</v>
          </cell>
          <cell r="B43">
            <v>46</v>
          </cell>
        </row>
        <row r="44">
          <cell r="A44" t="str">
            <v>Сыр ПАПА МОЖЕТ "Гауда Голд" 45 % 180 гр (10шт) Останкино</v>
          </cell>
          <cell r="B44">
            <v>129</v>
          </cell>
        </row>
        <row r="45">
          <cell r="A45" t="str">
            <v>Сыр ПАПА МОЖЕТ "Голландский традиционный" 45% 180 гр (10шт)  Останкино</v>
          </cell>
          <cell r="B45">
            <v>140</v>
          </cell>
        </row>
        <row r="46">
          <cell r="A46" t="str">
            <v>Сыр ПАПА МОЖЕТ "Министерский" 180 г фасованный массовая  Останкино</v>
          </cell>
          <cell r="B46">
            <v>53</v>
          </cell>
        </row>
        <row r="47">
          <cell r="A47" t="str">
            <v>Сыр ПАПА МОЖЕТ "Папин завтрак"  45% 180 г  Останкино</v>
          </cell>
          <cell r="B47">
            <v>43</v>
          </cell>
        </row>
        <row r="48">
          <cell r="A48" t="str">
            <v>Сыр ПАПА МОЖЕТ "Российский традиционный"45 % 180 г Останкино</v>
          </cell>
          <cell r="B48">
            <v>151</v>
          </cell>
        </row>
        <row r="49">
          <cell r="A49" t="str">
            <v>Сыр ПАПА МОЖЕТ "Тильзитер" фасованный массовая доля жира в сухом веществе 45%, 180г  Останкино</v>
          </cell>
          <cell r="B49">
            <v>66</v>
          </cell>
        </row>
        <row r="50">
          <cell r="A50" t="str">
            <v>Сыр плавленный Сливочный ж.45% 180г ТМ Папа может (16шт)  Останкино</v>
          </cell>
          <cell r="B50">
            <v>42</v>
          </cell>
        </row>
        <row r="51">
          <cell r="A51" t="str">
            <v>Сыр полутвердый "Гауда" с массовой долей жира в пересчете на сухое вещество 45%,   Останкино</v>
          </cell>
          <cell r="B51">
            <v>5</v>
          </cell>
        </row>
        <row r="52">
          <cell r="A52" t="str">
            <v>Сыр полутвердый "Сметанковый", с масс долей жира в пересчете на сухое вещес50%, брус  Останкино</v>
          </cell>
          <cell r="B52">
            <v>20.2</v>
          </cell>
        </row>
        <row r="53">
          <cell r="A53" t="str">
            <v>Сыр рассольный жирный Чечил 45% 100 гр  ОСТАНКИНО</v>
          </cell>
          <cell r="B53">
            <v>70</v>
          </cell>
        </row>
        <row r="54">
          <cell r="A54" t="str">
            <v>Сыр рассольный жирный Чечил копченый 43% 100 гр  Останкино</v>
          </cell>
          <cell r="B54">
            <v>75</v>
          </cell>
        </row>
        <row r="55">
          <cell r="A55" t="str">
            <v>Сыр Творожный с зеленью 60% Папа может 140 гр.  Останкино</v>
          </cell>
          <cell r="B55">
            <v>31</v>
          </cell>
        </row>
        <row r="56">
          <cell r="A56" t="str">
            <v>Сыр творожный Сливочный 140 гр.  Останкино</v>
          </cell>
          <cell r="B56">
            <v>40</v>
          </cell>
        </row>
        <row r="57">
          <cell r="A57" t="str">
            <v>Сыч/Прод Коровино Российский 50% 200г НОВАЯ СЗМЖ  ОСТАНКИНО</v>
          </cell>
          <cell r="B57">
            <v>123</v>
          </cell>
        </row>
        <row r="58">
          <cell r="A58" t="str">
            <v>Сыч/Прод Коровино Российский Оригин 50% ВЕС НОВАЯ (3,5 кг)  ОСТАНКИНО</v>
          </cell>
          <cell r="B58">
            <v>25</v>
          </cell>
        </row>
        <row r="59">
          <cell r="A59" t="str">
            <v>Сыч/Прод Коровино Тильзитер 50% 200г НОВАЯ СЗМЖ  ОСТАНКИНО</v>
          </cell>
          <cell r="B59">
            <v>75</v>
          </cell>
        </row>
        <row r="60">
          <cell r="A60" t="str">
            <v>Сыч/Прод Коровино Тильзитер Оригин 50% ВЕС НОВАЯ (5 кг брус) СЗМЖ  ОСТАНКИНО</v>
          </cell>
          <cell r="B60">
            <v>14</v>
          </cell>
        </row>
        <row r="61">
          <cell r="B61">
            <v>2665.174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C59"/>
  <sheetViews>
    <sheetView tabSelected="1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 activeCell="V3" sqref="V3"/>
    </sheetView>
  </sheetViews>
  <sheetFormatPr defaultColWidth="18" defaultRowHeight="11.45" customHeight="1" outlineLevelRow="1" x14ac:dyDescent="0.2"/>
  <cols>
    <col min="1" max="1" width="72.5" style="1" customWidth="1"/>
    <col min="2" max="2" width="4.83203125" style="1" customWidth="1"/>
    <col min="3" max="3" width="8" style="1" customWidth="1"/>
    <col min="4" max="7" width="8.83203125" style="1" customWidth="1"/>
    <col min="8" max="8" width="6.33203125" style="5" bestFit="1" customWidth="1"/>
    <col min="9" max="9" width="8" style="5" bestFit="1" customWidth="1"/>
    <col min="10" max="10" width="4.5" style="5" customWidth="1"/>
    <col min="11" max="11" width="2.6640625" style="5" customWidth="1"/>
    <col min="12" max="12" width="9.5" style="5" customWidth="1"/>
    <col min="13" max="13" width="6.83203125" style="5" customWidth="1"/>
    <col min="14" max="14" width="9.5" style="5" customWidth="1"/>
    <col min="15" max="15" width="8" style="5" customWidth="1"/>
    <col min="16" max="16" width="8.5" style="5" bestFit="1" customWidth="1"/>
    <col min="17" max="17" width="8.6640625" style="5" bestFit="1" customWidth="1"/>
    <col min="18" max="18" width="10" style="5" customWidth="1"/>
    <col min="19" max="19" width="9.5" style="5" customWidth="1"/>
    <col min="20" max="20" width="9.5" style="5" bestFit="1" customWidth="1"/>
    <col min="21" max="21" width="6.5" style="5" bestFit="1" customWidth="1"/>
    <col min="22" max="24" width="7.83203125" style="5" bestFit="1" customWidth="1"/>
    <col min="25" max="25" width="6.5" style="5" bestFit="1" customWidth="1"/>
    <col min="26" max="26" width="9.5" style="5" customWidth="1"/>
    <col min="27" max="28" width="7.83203125" style="5" bestFit="1" customWidth="1"/>
    <col min="29" max="48" width="5.6640625" style="5" customWidth="1"/>
    <col min="49" max="16384" width="18" style="5"/>
  </cols>
  <sheetData>
    <row r="1" spans="1:28" s="1" customFormat="1" ht="10.15" customHeight="1" x14ac:dyDescent="0.2"/>
    <row r="2" spans="1:28" ht="25.15" customHeight="1" x14ac:dyDescent="0.2">
      <c r="A2" s="2" t="s">
        <v>0</v>
      </c>
    </row>
    <row r="3" spans="1:28" s="1" customFormat="1" ht="10.15" customHeight="1" x14ac:dyDescent="0.2"/>
    <row r="4" spans="1:28" ht="13.15" customHeight="1" outlineLevel="1" x14ac:dyDescent="0.2">
      <c r="A4" s="3" t="s">
        <v>1</v>
      </c>
      <c r="B4" s="3" t="s">
        <v>2</v>
      </c>
      <c r="C4" s="3"/>
      <c r="D4" s="3"/>
    </row>
    <row r="5" spans="1:28" ht="13.15" customHeight="1" outlineLevel="1" x14ac:dyDescent="0.2">
      <c r="B5" s="3" t="s">
        <v>3</v>
      </c>
      <c r="C5" s="3"/>
      <c r="D5" s="3"/>
    </row>
    <row r="6" spans="1:28" ht="25.9" customHeight="1" outlineLevel="1" x14ac:dyDescent="0.2">
      <c r="A6" s="3" t="s">
        <v>4</v>
      </c>
      <c r="B6" s="3" t="s">
        <v>5</v>
      </c>
      <c r="C6" s="3"/>
      <c r="D6" s="3"/>
      <c r="E6" s="3"/>
      <c r="F6" s="3"/>
    </row>
    <row r="7" spans="1:28" s="1" customFormat="1" ht="10.15" customHeight="1" x14ac:dyDescent="0.2"/>
    <row r="8" spans="1:28" ht="13.15" customHeight="1" x14ac:dyDescent="0.25">
      <c r="A8" s="6" t="s">
        <v>6</v>
      </c>
      <c r="B8" s="6" t="s">
        <v>7</v>
      </c>
      <c r="C8" s="6"/>
      <c r="D8" s="4" t="s">
        <v>8</v>
      </c>
      <c r="E8" s="4"/>
      <c r="F8" s="4"/>
      <c r="G8" s="4"/>
      <c r="H8" s="12" t="s">
        <v>59</v>
      </c>
      <c r="I8" s="13" t="s">
        <v>60</v>
      </c>
      <c r="J8" s="13" t="s">
        <v>61</v>
      </c>
      <c r="K8" s="13" t="s">
        <v>62</v>
      </c>
      <c r="L8" s="13" t="s">
        <v>63</v>
      </c>
      <c r="M8" s="13" t="s">
        <v>64</v>
      </c>
      <c r="N8" s="13" t="s">
        <v>65</v>
      </c>
      <c r="O8" s="13" t="s">
        <v>65</v>
      </c>
      <c r="P8" s="13" t="s">
        <v>66</v>
      </c>
      <c r="Q8" s="14" t="s">
        <v>83</v>
      </c>
      <c r="R8" s="15" t="s">
        <v>67</v>
      </c>
      <c r="S8" s="15" t="s">
        <v>68</v>
      </c>
      <c r="T8" s="13" t="s">
        <v>69</v>
      </c>
      <c r="U8" s="13" t="s">
        <v>70</v>
      </c>
      <c r="V8" s="13" t="s">
        <v>71</v>
      </c>
      <c r="W8" s="13" t="s">
        <v>71</v>
      </c>
      <c r="X8" s="13" t="s">
        <v>71</v>
      </c>
      <c r="Y8" s="13" t="s">
        <v>71</v>
      </c>
      <c r="Z8" s="13" t="s">
        <v>72</v>
      </c>
      <c r="AA8" s="13" t="s">
        <v>73</v>
      </c>
      <c r="AB8" s="13" t="s">
        <v>73</v>
      </c>
    </row>
    <row r="9" spans="1:28" ht="16.899999999999999" customHeight="1" x14ac:dyDescent="0.2">
      <c r="A9" s="7" t="s">
        <v>84</v>
      </c>
      <c r="B9" s="8"/>
      <c r="C9" s="8"/>
      <c r="D9" s="4" t="s">
        <v>9</v>
      </c>
      <c r="E9" s="4" t="s">
        <v>10</v>
      </c>
      <c r="F9" s="4" t="s">
        <v>11</v>
      </c>
      <c r="G9" s="4" t="s">
        <v>12</v>
      </c>
      <c r="H9" s="16"/>
      <c r="I9" s="16"/>
      <c r="J9" s="16"/>
      <c r="K9" s="16"/>
      <c r="L9" s="16"/>
      <c r="M9" s="16"/>
      <c r="N9" s="16"/>
      <c r="O9" s="16">
        <v>22.06</v>
      </c>
      <c r="P9" s="16" t="s">
        <v>75</v>
      </c>
      <c r="Q9" s="16" t="s">
        <v>78</v>
      </c>
      <c r="R9" s="16"/>
      <c r="S9" s="16"/>
      <c r="T9" s="16"/>
      <c r="U9" s="16"/>
      <c r="V9" s="16" t="s">
        <v>76</v>
      </c>
      <c r="W9" s="16" t="s">
        <v>77</v>
      </c>
      <c r="X9" s="16" t="s">
        <v>79</v>
      </c>
      <c r="Y9" s="16" t="s">
        <v>74</v>
      </c>
      <c r="Z9" s="16"/>
      <c r="AA9" s="16" t="s">
        <v>78</v>
      </c>
      <c r="AB9" s="16" t="s">
        <v>85</v>
      </c>
    </row>
    <row r="10" spans="1:28" ht="16.899999999999999" customHeight="1" x14ac:dyDescent="0.2">
      <c r="A10" s="7" t="s">
        <v>84</v>
      </c>
      <c r="B10" s="8"/>
      <c r="C10" s="20"/>
      <c r="D10" s="17">
        <f t="shared" ref="D10" si="0">SUM(D11:D458)</f>
        <v>10943.041000000001</v>
      </c>
      <c r="E10" s="17">
        <f t="shared" ref="E10" si="1">SUM(E11:E458)</f>
        <v>1823.9380000000001</v>
      </c>
      <c r="F10" s="17">
        <f t="shared" ref="F10" si="2">SUM(F11:F458)</f>
        <v>2297.4469999999997</v>
      </c>
      <c r="G10" s="17">
        <f t="shared" ref="G10" si="3">SUM(G11:G458)</f>
        <v>9944.6679999999997</v>
      </c>
      <c r="H10" s="16"/>
      <c r="I10" s="16"/>
      <c r="J10" s="16"/>
      <c r="K10" s="16"/>
      <c r="L10" s="17">
        <f t="shared" ref="L10:R10" si="4">SUM(L11:L458)</f>
        <v>2361.674</v>
      </c>
      <c r="M10" s="17">
        <f t="shared" si="4"/>
        <v>-64.227000000000004</v>
      </c>
      <c r="N10" s="17">
        <f t="shared" si="4"/>
        <v>0</v>
      </c>
      <c r="O10" s="17">
        <f t="shared" si="4"/>
        <v>908</v>
      </c>
      <c r="P10" s="17">
        <f t="shared" si="4"/>
        <v>459.4894000000001</v>
      </c>
      <c r="Q10" s="17">
        <f t="shared" si="4"/>
        <v>1745.318</v>
      </c>
      <c r="R10" s="17">
        <f t="shared" si="4"/>
        <v>0</v>
      </c>
      <c r="S10" s="16"/>
      <c r="T10" s="16"/>
      <c r="U10" s="16"/>
      <c r="V10" s="17">
        <f>SUM(V11:V458)</f>
        <v>434.69040000000001</v>
      </c>
      <c r="W10" s="17">
        <f>SUM(W11:W458)</f>
        <v>398.81840000000017</v>
      </c>
      <c r="X10" s="17">
        <f>SUM(X11:X458)</f>
        <v>444.38119999999998</v>
      </c>
      <c r="Y10" s="17">
        <f>SUM(Y11:Y458)</f>
        <v>443.2724</v>
      </c>
      <c r="Z10" s="17"/>
      <c r="AA10" s="17">
        <f>SUM(AA11:AA458)</f>
        <v>335.55200000000002</v>
      </c>
      <c r="AB10" s="17">
        <f>SUM(AB11:AB458)</f>
        <v>159.01660000000001</v>
      </c>
    </row>
    <row r="11" spans="1:28" ht="10.9" customHeight="1" x14ac:dyDescent="0.2">
      <c r="A11" s="23" t="s">
        <v>15</v>
      </c>
      <c r="B11" s="9" t="s">
        <v>14</v>
      </c>
      <c r="C11" s="9">
        <f>VLOOKUP(A:A,[1]TDSheet!$A:$C,3,0)</f>
        <v>3323</v>
      </c>
      <c r="D11" s="10">
        <v>245.053</v>
      </c>
      <c r="E11" s="10">
        <v>31.533999999999999</v>
      </c>
      <c r="F11" s="10">
        <v>39.036999999999999</v>
      </c>
      <c r="G11" s="10">
        <v>236.09</v>
      </c>
      <c r="H11" s="5">
        <f>VLOOKUP(A:A,[1]TDSheet!$A:$H,8,0)</f>
        <v>1</v>
      </c>
      <c r="L11" s="18">
        <f>VLOOKUP(A:A,[2]TDSheet!$A:$B,2,0)</f>
        <v>45.973999999999997</v>
      </c>
      <c r="M11" s="18">
        <f>F11-L11</f>
        <v>-6.9369999999999976</v>
      </c>
      <c r="N11" s="18"/>
      <c r="O11" s="18">
        <f>VLOOKUP(A:A,[1]TDSheet!$A:$Q,17,0)</f>
        <v>0</v>
      </c>
      <c r="P11" s="18">
        <f>F11/5</f>
        <v>7.8073999999999995</v>
      </c>
      <c r="Q11" s="19"/>
      <c r="R11" s="19"/>
      <c r="S11" s="18"/>
      <c r="T11" s="18">
        <f>(G11+O11+Q11)/P11</f>
        <v>30.239260189051414</v>
      </c>
      <c r="U11" s="18">
        <f>G11/P11</f>
        <v>30.239260189051414</v>
      </c>
      <c r="V11" s="18">
        <f>VLOOKUP(A:A,[1]TDSheet!$A:$W,23,0)</f>
        <v>19.646799999999999</v>
      </c>
      <c r="W11" s="18">
        <f>VLOOKUP(A:A,[1]TDSheet!$A:$X,24,0)</f>
        <v>12.090399999999999</v>
      </c>
      <c r="X11" s="18">
        <f>VLOOKUP(A:A,[1]TDSheet!$A:$Y,25,0)</f>
        <v>15.026400000000001</v>
      </c>
      <c r="Y11" s="18">
        <f>VLOOKUP(A:A,[1]TDSheet!$A:$P,16,0)</f>
        <v>5.952</v>
      </c>
      <c r="Z11" s="18" t="str">
        <f>VLOOKUP(A:A,[1]TDSheet!$A:$Z,26,0)</f>
        <v>300кор</v>
      </c>
      <c r="AA11" s="18">
        <f>Q11*H11</f>
        <v>0</v>
      </c>
      <c r="AB11" s="18">
        <f>P11*H11</f>
        <v>7.8073999999999995</v>
      </c>
    </row>
    <row r="12" spans="1:28" ht="22.15" customHeight="1" x14ac:dyDescent="0.2">
      <c r="A12" s="23" t="s">
        <v>16</v>
      </c>
      <c r="B12" s="9" t="s">
        <v>14</v>
      </c>
      <c r="C12" s="9">
        <f>VLOOKUP(A:A,[1]TDSheet!$A:$C,3,0)</f>
        <v>4931</v>
      </c>
      <c r="D12" s="10">
        <v>165.32</v>
      </c>
      <c r="E12" s="10"/>
      <c r="F12" s="10">
        <v>16.384</v>
      </c>
      <c r="G12" s="10">
        <v>148.93600000000001</v>
      </c>
      <c r="H12" s="5">
        <f>VLOOKUP(A:A,[1]TDSheet!$A:$H,8,0)</f>
        <v>1</v>
      </c>
      <c r="L12" s="18">
        <v>0</v>
      </c>
      <c r="M12" s="18">
        <f t="shared" ref="M12:M57" si="5">F12-L12</f>
        <v>16.384</v>
      </c>
      <c r="N12" s="18"/>
      <c r="O12" s="18">
        <f>VLOOKUP(A:A,[1]TDSheet!$A:$Q,17,0)</f>
        <v>0</v>
      </c>
      <c r="P12" s="18">
        <f t="shared" ref="P12:P57" si="6">F12/5</f>
        <v>3.2768000000000002</v>
      </c>
      <c r="Q12" s="19"/>
      <c r="R12" s="19"/>
      <c r="S12" s="18"/>
      <c r="T12" s="18">
        <f t="shared" ref="T12:T57" si="7">(G12+O12+Q12)/P12</f>
        <v>45.45166015625</v>
      </c>
      <c r="U12" s="18">
        <f t="shared" ref="U12:U57" si="8">G12/P12</f>
        <v>45.45166015625</v>
      </c>
      <c r="V12" s="18">
        <f>VLOOKUP(A:A,[1]TDSheet!$A:$W,23,0)</f>
        <v>0</v>
      </c>
      <c r="W12" s="18">
        <f>VLOOKUP(A:A,[1]TDSheet!$A:$X,24,0)</f>
        <v>0</v>
      </c>
      <c r="X12" s="18">
        <f>VLOOKUP(A:A,[1]TDSheet!$A:$Y,25,0)</f>
        <v>1.9536000000000002</v>
      </c>
      <c r="Y12" s="18">
        <f>VLOOKUP(A:A,[1]TDSheet!$A:$P,16,0)</f>
        <v>4.0444000000000004</v>
      </c>
      <c r="Z12" s="18"/>
      <c r="AA12" s="18">
        <f t="shared" ref="AA12:AA57" si="9">Q12*H12</f>
        <v>0</v>
      </c>
      <c r="AB12" s="18">
        <f t="shared" ref="AB12:AB57" si="10">P12*H12</f>
        <v>3.2768000000000002</v>
      </c>
    </row>
    <row r="13" spans="1:28" ht="10.9" customHeight="1" x14ac:dyDescent="0.2">
      <c r="A13" s="9" t="s">
        <v>17</v>
      </c>
      <c r="B13" s="9" t="s">
        <v>13</v>
      </c>
      <c r="C13" s="9">
        <f>VLOOKUP(A:A,[1]TDSheet!$A:$C,3,0)</f>
        <v>5579</v>
      </c>
      <c r="D13" s="10">
        <v>-10</v>
      </c>
      <c r="E13" s="10"/>
      <c r="F13" s="10">
        <v>0</v>
      </c>
      <c r="G13" s="10">
        <v>-10</v>
      </c>
      <c r="H13" s="5">
        <f>VLOOKUP(A:A,[1]TDSheet!$A:$H,8,0)</f>
        <v>0.42</v>
      </c>
      <c r="L13" s="18">
        <f>VLOOKUP(A:A,[2]TDSheet!$A:$B,2,0)</f>
        <v>23</v>
      </c>
      <c r="M13" s="18">
        <f t="shared" si="5"/>
        <v>-23</v>
      </c>
      <c r="N13" s="18"/>
      <c r="O13" s="18">
        <f>VLOOKUP(A:A,[1]TDSheet!$A:$Q,17,0)</f>
        <v>22</v>
      </c>
      <c r="P13" s="18">
        <f t="shared" si="6"/>
        <v>0</v>
      </c>
      <c r="Q13" s="19"/>
      <c r="R13" s="19"/>
      <c r="S13" s="18" t="s">
        <v>86</v>
      </c>
      <c r="T13" s="18" t="e">
        <f t="shared" si="7"/>
        <v>#DIV/0!</v>
      </c>
      <c r="U13" s="18" t="e">
        <f t="shared" si="8"/>
        <v>#DIV/0!</v>
      </c>
      <c r="V13" s="18">
        <f>VLOOKUP(A:A,[1]TDSheet!$A:$W,23,0)</f>
        <v>8</v>
      </c>
      <c r="W13" s="18">
        <f>VLOOKUP(A:A,[1]TDSheet!$A:$X,24,0)</f>
        <v>5.6</v>
      </c>
      <c r="X13" s="18">
        <f>VLOOKUP(A:A,[1]TDSheet!$A:$Y,25,0)</f>
        <v>2</v>
      </c>
      <c r="Y13" s="18">
        <f>VLOOKUP(A:A,[1]TDSheet!$A:$P,16,0)</f>
        <v>0.6</v>
      </c>
      <c r="Z13" s="18"/>
      <c r="AA13" s="18">
        <f t="shared" si="9"/>
        <v>0</v>
      </c>
      <c r="AB13" s="18">
        <f t="shared" si="10"/>
        <v>0</v>
      </c>
    </row>
    <row r="14" spans="1:28" ht="10.9" customHeight="1" x14ac:dyDescent="0.2">
      <c r="A14" s="23" t="s">
        <v>18</v>
      </c>
      <c r="B14" s="9" t="s">
        <v>14</v>
      </c>
      <c r="C14" s="9">
        <f>VLOOKUP(A:A,[1]TDSheet!$A:$C,3,0)</f>
        <v>5754</v>
      </c>
      <c r="D14" s="10">
        <v>245.12200000000001</v>
      </c>
      <c r="E14" s="10">
        <v>40.5</v>
      </c>
      <c r="F14" s="10">
        <v>27.21</v>
      </c>
      <c r="G14" s="10">
        <v>217.91200000000001</v>
      </c>
      <c r="H14" s="5">
        <f>VLOOKUP(A:A,[1]TDSheet!$A:$H,8,0)</f>
        <v>1</v>
      </c>
      <c r="L14" s="18">
        <f>VLOOKUP(A:A,[2]TDSheet!$A:$B,2,0)</f>
        <v>27</v>
      </c>
      <c r="M14" s="18">
        <f t="shared" si="5"/>
        <v>0.21000000000000085</v>
      </c>
      <c r="N14" s="18"/>
      <c r="O14" s="18">
        <f>VLOOKUP(A:A,[1]TDSheet!$A:$Q,17,0)</f>
        <v>0</v>
      </c>
      <c r="P14" s="18">
        <f t="shared" si="6"/>
        <v>5.4420000000000002</v>
      </c>
      <c r="Q14" s="19"/>
      <c r="R14" s="19"/>
      <c r="S14" s="18" t="s">
        <v>86</v>
      </c>
      <c r="T14" s="18">
        <f t="shared" si="7"/>
        <v>40.042631385520032</v>
      </c>
      <c r="U14" s="18">
        <f t="shared" si="8"/>
        <v>40.042631385520032</v>
      </c>
      <c r="V14" s="18">
        <f>VLOOKUP(A:A,[1]TDSheet!$A:$W,23,0)</f>
        <v>11.7</v>
      </c>
      <c r="W14" s="18">
        <f>VLOOKUP(A:A,[1]TDSheet!$A:$X,24,0)</f>
        <v>12.6</v>
      </c>
      <c r="X14" s="18">
        <f>VLOOKUP(A:A,[1]TDSheet!$A:$Y,25,0)</f>
        <v>5.4</v>
      </c>
      <c r="Y14" s="18">
        <f>VLOOKUP(A:A,[1]TDSheet!$A:$P,16,0)</f>
        <v>9.9</v>
      </c>
      <c r="Z14" s="18"/>
      <c r="AA14" s="18">
        <f t="shared" si="9"/>
        <v>0</v>
      </c>
      <c r="AB14" s="18">
        <f t="shared" si="10"/>
        <v>5.4420000000000002</v>
      </c>
    </row>
    <row r="15" spans="1:28" ht="10.9" customHeight="1" x14ac:dyDescent="0.2">
      <c r="A15" s="23" t="s">
        <v>19</v>
      </c>
      <c r="B15" s="9" t="s">
        <v>14</v>
      </c>
      <c r="C15" s="9">
        <f>VLOOKUP(A:A,[1]TDSheet!$A:$C,3,0)</f>
        <v>5755</v>
      </c>
      <c r="D15" s="10">
        <v>327.72</v>
      </c>
      <c r="E15" s="10">
        <v>4.59</v>
      </c>
      <c r="F15" s="10">
        <v>9.1579999999999995</v>
      </c>
      <c r="G15" s="10">
        <v>318.56200000000001</v>
      </c>
      <c r="H15" s="5">
        <f>VLOOKUP(A:A,[1]TDSheet!$A:$H,8,0)</f>
        <v>1</v>
      </c>
      <c r="L15" s="18">
        <f>VLOOKUP(A:A,[2]TDSheet!$A:$B,2,0)</f>
        <v>13.5</v>
      </c>
      <c r="M15" s="18">
        <f t="shared" si="5"/>
        <v>-4.3420000000000005</v>
      </c>
      <c r="N15" s="18"/>
      <c r="O15" s="18">
        <f>VLOOKUP(A:A,[1]TDSheet!$A:$Q,17,0)</f>
        <v>0</v>
      </c>
      <c r="P15" s="18">
        <f t="shared" si="6"/>
        <v>1.8315999999999999</v>
      </c>
      <c r="Q15" s="19"/>
      <c r="R15" s="19"/>
      <c r="S15" s="18" t="s">
        <v>86</v>
      </c>
      <c r="T15" s="18">
        <f t="shared" si="7"/>
        <v>173.92552959161389</v>
      </c>
      <c r="U15" s="18">
        <f t="shared" si="8"/>
        <v>173.92552959161389</v>
      </c>
      <c r="V15" s="18">
        <f>VLOOKUP(A:A,[1]TDSheet!$A:$W,23,0)</f>
        <v>7.2</v>
      </c>
      <c r="W15" s="18">
        <f>VLOOKUP(A:A,[1]TDSheet!$A:$X,24,0)</f>
        <v>6.3</v>
      </c>
      <c r="X15" s="18">
        <f>VLOOKUP(A:A,[1]TDSheet!$A:$Y,25,0)</f>
        <v>5.4</v>
      </c>
      <c r="Y15" s="18">
        <f>VLOOKUP(A:A,[1]TDSheet!$A:$P,16,0)</f>
        <v>1.8</v>
      </c>
      <c r="Z15" s="18"/>
      <c r="AA15" s="18">
        <f t="shared" si="9"/>
        <v>0</v>
      </c>
      <c r="AB15" s="18">
        <f t="shared" si="10"/>
        <v>1.8315999999999999</v>
      </c>
    </row>
    <row r="16" spans="1:28" ht="10.9" customHeight="1" x14ac:dyDescent="0.2">
      <c r="A16" s="9" t="s">
        <v>20</v>
      </c>
      <c r="B16" s="9" t="s">
        <v>13</v>
      </c>
      <c r="C16" s="9">
        <f>VLOOKUP(A:A,[1]TDSheet!$A:$C,3,0)</f>
        <v>5897</v>
      </c>
      <c r="D16" s="11"/>
      <c r="E16" s="10">
        <v>5</v>
      </c>
      <c r="F16" s="10">
        <v>0</v>
      </c>
      <c r="G16" s="10"/>
      <c r="H16" s="5">
        <f>VLOOKUP(A:A,[1]TDSheet!$A:$H,8,0)</f>
        <v>0.42</v>
      </c>
      <c r="L16" s="18">
        <f>VLOOKUP(A:A,[2]TDSheet!$A:$B,2,0)</f>
        <v>4</v>
      </c>
      <c r="M16" s="18">
        <f t="shared" si="5"/>
        <v>-4</v>
      </c>
      <c r="N16" s="18"/>
      <c r="O16" s="18">
        <f>VLOOKUP(A:A,[1]TDSheet!$A:$Q,17,0)</f>
        <v>52</v>
      </c>
      <c r="P16" s="18">
        <f t="shared" si="6"/>
        <v>0</v>
      </c>
      <c r="Q16" s="19"/>
      <c r="R16" s="19"/>
      <c r="S16" s="18" t="s">
        <v>86</v>
      </c>
      <c r="T16" s="18" t="e">
        <f t="shared" si="7"/>
        <v>#DIV/0!</v>
      </c>
      <c r="U16" s="18" t="e">
        <f t="shared" si="8"/>
        <v>#DIV/0!</v>
      </c>
      <c r="V16" s="18">
        <f>VLOOKUP(A:A,[1]TDSheet!$A:$W,23,0)</f>
        <v>8.8000000000000007</v>
      </c>
      <c r="W16" s="18">
        <f>VLOOKUP(A:A,[1]TDSheet!$A:$X,24,0)</f>
        <v>5.6</v>
      </c>
      <c r="X16" s="18">
        <f>VLOOKUP(A:A,[1]TDSheet!$A:$Y,25,0)</f>
        <v>3.8</v>
      </c>
      <c r="Y16" s="18">
        <f>VLOOKUP(A:A,[1]TDSheet!$A:$P,16,0)</f>
        <v>2.6</v>
      </c>
      <c r="Z16" s="18"/>
      <c r="AA16" s="18">
        <f t="shared" si="9"/>
        <v>0</v>
      </c>
      <c r="AB16" s="18">
        <f t="shared" si="10"/>
        <v>0</v>
      </c>
    </row>
    <row r="17" spans="1:28" ht="10.9" customHeight="1" x14ac:dyDescent="0.2">
      <c r="A17" s="23" t="s">
        <v>21</v>
      </c>
      <c r="B17" s="9" t="s">
        <v>13</v>
      </c>
      <c r="C17" s="9">
        <f>VLOOKUP(A:A,[1]TDSheet!$A:$C,3,0)</f>
        <v>6148</v>
      </c>
      <c r="D17" s="10">
        <v>343</v>
      </c>
      <c r="E17" s="10">
        <v>65</v>
      </c>
      <c r="F17" s="10">
        <v>46</v>
      </c>
      <c r="G17" s="10">
        <v>297</v>
      </c>
      <c r="H17" s="5">
        <f>VLOOKUP(A:A,[1]TDSheet!$A:$H,8,0)</f>
        <v>0.3</v>
      </c>
      <c r="L17" s="18">
        <f>VLOOKUP(A:A,[2]TDSheet!$A:$B,2,0)</f>
        <v>52</v>
      </c>
      <c r="M17" s="18">
        <f t="shared" si="5"/>
        <v>-6</v>
      </c>
      <c r="N17" s="18"/>
      <c r="O17" s="18">
        <f>VLOOKUP(A:A,[1]TDSheet!$A:$Q,17,0)</f>
        <v>0</v>
      </c>
      <c r="P17" s="18">
        <f t="shared" si="6"/>
        <v>9.1999999999999993</v>
      </c>
      <c r="Q17" s="19"/>
      <c r="R17" s="19"/>
      <c r="S17" s="18" t="s">
        <v>86</v>
      </c>
      <c r="T17" s="18">
        <f t="shared" si="7"/>
        <v>32.282608695652179</v>
      </c>
      <c r="U17" s="18">
        <f t="shared" si="8"/>
        <v>32.282608695652179</v>
      </c>
      <c r="V17" s="18">
        <f>VLOOKUP(A:A,[1]TDSheet!$A:$W,23,0)</f>
        <v>6.6</v>
      </c>
      <c r="W17" s="18">
        <f>VLOOKUP(A:A,[1]TDSheet!$A:$X,24,0)</f>
        <v>0</v>
      </c>
      <c r="X17" s="18">
        <f>VLOOKUP(A:A,[1]TDSheet!$A:$Y,25,0)</f>
        <v>8.8000000000000007</v>
      </c>
      <c r="Y17" s="18">
        <f>VLOOKUP(A:A,[1]TDSheet!$A:$P,16,0)</f>
        <v>11.4</v>
      </c>
      <c r="Z17" s="18"/>
      <c r="AA17" s="18">
        <f t="shared" si="9"/>
        <v>0</v>
      </c>
      <c r="AB17" s="18">
        <f t="shared" si="10"/>
        <v>2.76</v>
      </c>
    </row>
    <row r="18" spans="1:28" ht="10.9" customHeight="1" x14ac:dyDescent="0.2">
      <c r="A18" s="23" t="s">
        <v>22</v>
      </c>
      <c r="B18" s="9" t="s">
        <v>13</v>
      </c>
      <c r="C18" s="9">
        <f>VLOOKUP(A:A,[1]TDSheet!$A:$C,3,0)</f>
        <v>6149</v>
      </c>
      <c r="D18" s="10">
        <v>481</v>
      </c>
      <c r="E18" s="10">
        <v>68</v>
      </c>
      <c r="F18" s="10">
        <v>43</v>
      </c>
      <c r="G18" s="10">
        <v>438</v>
      </c>
      <c r="H18" s="5">
        <f>VLOOKUP(A:A,[1]TDSheet!$A:$H,8,0)</f>
        <v>0.3</v>
      </c>
      <c r="L18" s="18">
        <f>VLOOKUP(A:A,[2]TDSheet!$A:$B,2,0)</f>
        <v>4</v>
      </c>
      <c r="M18" s="18">
        <f t="shared" si="5"/>
        <v>39</v>
      </c>
      <c r="N18" s="18"/>
      <c r="O18" s="18">
        <f>VLOOKUP(A:A,[1]TDSheet!$A:$Q,17,0)</f>
        <v>0</v>
      </c>
      <c r="P18" s="18">
        <f t="shared" si="6"/>
        <v>8.6</v>
      </c>
      <c r="Q18" s="19"/>
      <c r="R18" s="19"/>
      <c r="S18" s="18" t="s">
        <v>86</v>
      </c>
      <c r="T18" s="18">
        <f t="shared" si="7"/>
        <v>50.930232558139537</v>
      </c>
      <c r="U18" s="18">
        <f t="shared" si="8"/>
        <v>50.930232558139537</v>
      </c>
      <c r="V18" s="18">
        <f>VLOOKUP(A:A,[1]TDSheet!$A:$W,23,0)</f>
        <v>7</v>
      </c>
      <c r="W18" s="18">
        <f>VLOOKUP(A:A,[1]TDSheet!$A:$X,24,0)</f>
        <v>0</v>
      </c>
      <c r="X18" s="18">
        <f>VLOOKUP(A:A,[1]TDSheet!$A:$Y,25,0)</f>
        <v>9.1999999999999993</v>
      </c>
      <c r="Y18" s="18">
        <f>VLOOKUP(A:A,[1]TDSheet!$A:$P,16,0)</f>
        <v>14.6</v>
      </c>
      <c r="Z18" s="18"/>
      <c r="AA18" s="18">
        <f t="shared" si="9"/>
        <v>0</v>
      </c>
      <c r="AB18" s="18">
        <f t="shared" si="10"/>
        <v>2.5799999999999996</v>
      </c>
    </row>
    <row r="19" spans="1:28" ht="10.9" customHeight="1" x14ac:dyDescent="0.2">
      <c r="A19" s="9" t="s">
        <v>23</v>
      </c>
      <c r="B19" s="9" t="s">
        <v>13</v>
      </c>
      <c r="C19" s="9">
        <f>VLOOKUP(A:A,[1]TDSheet!$A:$C,3,0)</f>
        <v>6168</v>
      </c>
      <c r="D19" s="10">
        <v>504</v>
      </c>
      <c r="E19" s="10">
        <v>85</v>
      </c>
      <c r="F19" s="10">
        <v>118</v>
      </c>
      <c r="G19" s="10">
        <v>387</v>
      </c>
      <c r="H19" s="5">
        <f>VLOOKUP(A:A,[1]TDSheet!$A:$H,8,0)</f>
        <v>0.35</v>
      </c>
      <c r="L19" s="18">
        <f>VLOOKUP(A:A,[2]TDSheet!$A:$B,2,0)</f>
        <v>128</v>
      </c>
      <c r="M19" s="18">
        <f t="shared" si="5"/>
        <v>-10</v>
      </c>
      <c r="N19" s="18"/>
      <c r="O19" s="18">
        <f>VLOOKUP(A:A,[1]TDSheet!$A:$Q,17,0)</f>
        <v>0</v>
      </c>
      <c r="P19" s="18">
        <f t="shared" si="6"/>
        <v>23.6</v>
      </c>
      <c r="Q19" s="19">
        <f t="shared" ref="Q19:Q53" si="11">20*P19-G19-O19</f>
        <v>85</v>
      </c>
      <c r="R19" s="19"/>
      <c r="S19" s="18" t="s">
        <v>86</v>
      </c>
      <c r="T19" s="18">
        <f t="shared" si="7"/>
        <v>20</v>
      </c>
      <c r="U19" s="18">
        <f t="shared" si="8"/>
        <v>16.398305084745761</v>
      </c>
      <c r="V19" s="18">
        <f>VLOOKUP(A:A,[1]TDSheet!$A:$W,23,0)</f>
        <v>8</v>
      </c>
      <c r="W19" s="18">
        <f>VLOOKUP(A:A,[1]TDSheet!$A:$X,24,0)</f>
        <v>0.2</v>
      </c>
      <c r="X19" s="18">
        <f>VLOOKUP(A:A,[1]TDSheet!$A:$Y,25,0)</f>
        <v>8.6</v>
      </c>
      <c r="Y19" s="18">
        <f>VLOOKUP(A:A,[1]TDSheet!$A:$P,16,0)</f>
        <v>10.4</v>
      </c>
      <c r="Z19" s="18"/>
      <c r="AA19" s="18">
        <f t="shared" si="9"/>
        <v>29.749999999999996</v>
      </c>
      <c r="AB19" s="18">
        <f t="shared" si="10"/>
        <v>8.26</v>
      </c>
    </row>
    <row r="20" spans="1:28" ht="10.9" customHeight="1" x14ac:dyDescent="0.2">
      <c r="A20" s="23" t="s">
        <v>24</v>
      </c>
      <c r="B20" s="9" t="s">
        <v>13</v>
      </c>
      <c r="C20" s="9">
        <f>VLOOKUP(A:A,[1]TDSheet!$A:$C,3,0)</f>
        <v>6202</v>
      </c>
      <c r="D20" s="10">
        <v>324</v>
      </c>
      <c r="E20" s="10">
        <v>39</v>
      </c>
      <c r="F20" s="10">
        <v>54</v>
      </c>
      <c r="G20" s="10">
        <v>270</v>
      </c>
      <c r="H20" s="5">
        <f>VLOOKUP(A:A,[1]TDSheet!$A:$H,8,0)</f>
        <v>0.3</v>
      </c>
      <c r="L20" s="18">
        <f>VLOOKUP(A:A,[2]TDSheet!$A:$B,2,0)</f>
        <v>64</v>
      </c>
      <c r="M20" s="18">
        <f t="shared" si="5"/>
        <v>-10</v>
      </c>
      <c r="N20" s="18"/>
      <c r="O20" s="18">
        <f>VLOOKUP(A:A,[1]TDSheet!$A:$Q,17,0)</f>
        <v>0</v>
      </c>
      <c r="P20" s="18">
        <f t="shared" si="6"/>
        <v>10.8</v>
      </c>
      <c r="Q20" s="19"/>
      <c r="R20" s="19"/>
      <c r="S20" s="18" t="s">
        <v>86</v>
      </c>
      <c r="T20" s="18">
        <f t="shared" si="7"/>
        <v>25</v>
      </c>
      <c r="U20" s="18">
        <f t="shared" si="8"/>
        <v>25</v>
      </c>
      <c r="V20" s="18">
        <f>VLOOKUP(A:A,[1]TDSheet!$A:$W,23,0)</f>
        <v>4.8</v>
      </c>
      <c r="W20" s="18">
        <f>VLOOKUP(A:A,[1]TDSheet!$A:$X,24,0)</f>
        <v>1</v>
      </c>
      <c r="X20" s="18">
        <f>VLOOKUP(A:A,[1]TDSheet!$A:$Y,25,0)</f>
        <v>5</v>
      </c>
      <c r="Y20" s="18">
        <f>VLOOKUP(A:A,[1]TDSheet!$A:$P,16,0)</f>
        <v>9.6</v>
      </c>
      <c r="Z20" s="18"/>
      <c r="AA20" s="18">
        <f t="shared" si="9"/>
        <v>0</v>
      </c>
      <c r="AB20" s="18">
        <f t="shared" si="10"/>
        <v>3.24</v>
      </c>
    </row>
    <row r="21" spans="1:28" ht="10.9" customHeight="1" x14ac:dyDescent="0.2">
      <c r="A21" s="23" t="s">
        <v>25</v>
      </c>
      <c r="B21" s="9" t="s">
        <v>13</v>
      </c>
      <c r="C21" s="9">
        <f>VLOOKUP(A:A,[1]TDSheet!$A:$C,3,0)</f>
        <v>6209</v>
      </c>
      <c r="D21" s="10">
        <v>495</v>
      </c>
      <c r="E21" s="10">
        <v>91</v>
      </c>
      <c r="F21" s="10">
        <v>73</v>
      </c>
      <c r="G21" s="10">
        <v>422</v>
      </c>
      <c r="H21" s="5">
        <f>VLOOKUP(A:A,[1]TDSheet!$A:$H,8,0)</f>
        <v>0.35</v>
      </c>
      <c r="L21" s="18">
        <f>VLOOKUP(A:A,[2]TDSheet!$A:$B,2,0)</f>
        <v>89</v>
      </c>
      <c r="M21" s="18">
        <f t="shared" si="5"/>
        <v>-16</v>
      </c>
      <c r="N21" s="18"/>
      <c r="O21" s="18">
        <f>VLOOKUP(A:A,[1]TDSheet!$A:$Q,17,0)</f>
        <v>0</v>
      </c>
      <c r="P21" s="18">
        <f t="shared" si="6"/>
        <v>14.6</v>
      </c>
      <c r="Q21" s="19"/>
      <c r="R21" s="19"/>
      <c r="S21" s="18" t="s">
        <v>86</v>
      </c>
      <c r="T21" s="18">
        <f t="shared" si="7"/>
        <v>28.904109589041095</v>
      </c>
      <c r="U21" s="18">
        <f t="shared" si="8"/>
        <v>28.904109589041095</v>
      </c>
      <c r="V21" s="18">
        <f>VLOOKUP(A:A,[1]TDSheet!$A:$W,23,0)</f>
        <v>6.6</v>
      </c>
      <c r="W21" s="18">
        <f>VLOOKUP(A:A,[1]TDSheet!$A:$X,24,0)</f>
        <v>0</v>
      </c>
      <c r="X21" s="18">
        <f>VLOOKUP(A:A,[1]TDSheet!$A:$Y,25,0)</f>
        <v>9.1999999999999993</v>
      </c>
      <c r="Y21" s="18">
        <f>VLOOKUP(A:A,[1]TDSheet!$A:$P,16,0)</f>
        <v>11.8</v>
      </c>
      <c r="Z21" s="18"/>
      <c r="AA21" s="18">
        <f t="shared" si="9"/>
        <v>0</v>
      </c>
      <c r="AB21" s="18">
        <f t="shared" si="10"/>
        <v>5.1099999999999994</v>
      </c>
    </row>
    <row r="22" spans="1:28" ht="22.15" customHeight="1" x14ac:dyDescent="0.2">
      <c r="A22" s="9" t="s">
        <v>26</v>
      </c>
      <c r="B22" s="9" t="s">
        <v>13</v>
      </c>
      <c r="C22" s="9">
        <f>VLOOKUP(A:A,[1]TDSheet!$A:$C,3,0)</f>
        <v>6948249</v>
      </c>
      <c r="D22" s="10">
        <v>28</v>
      </c>
      <c r="E22" s="10"/>
      <c r="F22" s="10">
        <v>12</v>
      </c>
      <c r="G22" s="10">
        <v>16</v>
      </c>
      <c r="H22" s="5">
        <f>VLOOKUP(A:A,[1]TDSheet!$A:$H,8,0)</f>
        <v>0.82450000000000001</v>
      </c>
      <c r="I22" s="5">
        <f>VLOOKUP(A:A,[1]TDSheet!$A:$I,9,0)</f>
        <v>180</v>
      </c>
      <c r="L22" s="18">
        <f>VLOOKUP(A:A,[2]TDSheet!$A:$B,2,0)</f>
        <v>12</v>
      </c>
      <c r="M22" s="18">
        <f t="shared" si="5"/>
        <v>0</v>
      </c>
      <c r="N22" s="18"/>
      <c r="O22" s="18">
        <f>VLOOKUP(A:A,[1]TDSheet!$A:$Q,17,0)</f>
        <v>0</v>
      </c>
      <c r="P22" s="18">
        <f t="shared" si="6"/>
        <v>2.4</v>
      </c>
      <c r="Q22" s="19">
        <f t="shared" si="11"/>
        <v>32</v>
      </c>
      <c r="R22" s="19"/>
      <c r="S22" s="18"/>
      <c r="T22" s="18">
        <f t="shared" si="7"/>
        <v>20</v>
      </c>
      <c r="U22" s="18">
        <f t="shared" si="8"/>
        <v>6.666666666666667</v>
      </c>
      <c r="V22" s="18">
        <f>VLOOKUP(A:A,[1]TDSheet!$A:$W,23,0)</f>
        <v>1.4</v>
      </c>
      <c r="W22" s="18">
        <f>VLOOKUP(A:A,[1]TDSheet!$A:$X,24,0)</f>
        <v>1.2</v>
      </c>
      <c r="X22" s="18">
        <f>VLOOKUP(A:A,[1]TDSheet!$A:$Y,25,0)</f>
        <v>0.6</v>
      </c>
      <c r="Y22" s="18">
        <f>VLOOKUP(A:A,[1]TDSheet!$A:$P,16,0)</f>
        <v>0.4</v>
      </c>
      <c r="Z22" s="18"/>
      <c r="AA22" s="18">
        <f t="shared" si="9"/>
        <v>26.384</v>
      </c>
      <c r="AB22" s="18">
        <f t="shared" si="10"/>
        <v>1.9787999999999999</v>
      </c>
    </row>
    <row r="23" spans="1:28" ht="22.15" customHeight="1" x14ac:dyDescent="0.2">
      <c r="A23" s="23" t="s">
        <v>27</v>
      </c>
      <c r="B23" s="9" t="s">
        <v>13</v>
      </c>
      <c r="C23" s="9">
        <f>VLOOKUP(A:A,[1]TDSheet!$A:$C,3,0)</f>
        <v>6948256</v>
      </c>
      <c r="D23" s="10">
        <v>411</v>
      </c>
      <c r="E23" s="10"/>
      <c r="F23" s="10">
        <v>77</v>
      </c>
      <c r="G23" s="10">
        <v>334</v>
      </c>
      <c r="H23" s="5">
        <f>VLOOKUP(A:A,[1]TDSheet!$A:$H,8,0)</f>
        <v>0.372</v>
      </c>
      <c r="L23" s="18">
        <f>VLOOKUP(A:A,[2]TDSheet!$A:$B,2,0)</f>
        <v>84</v>
      </c>
      <c r="M23" s="18">
        <f t="shared" si="5"/>
        <v>-7</v>
      </c>
      <c r="N23" s="18"/>
      <c r="O23" s="18">
        <f>VLOOKUP(A:A,[1]TDSheet!$A:$Q,17,0)</f>
        <v>0</v>
      </c>
      <c r="P23" s="18">
        <f t="shared" si="6"/>
        <v>15.4</v>
      </c>
      <c r="Q23" s="19"/>
      <c r="R23" s="19"/>
      <c r="S23" s="18"/>
      <c r="T23" s="18">
        <f t="shared" si="7"/>
        <v>21.688311688311689</v>
      </c>
      <c r="U23" s="18">
        <f t="shared" si="8"/>
        <v>21.688311688311689</v>
      </c>
      <c r="V23" s="18">
        <f>VLOOKUP(A:A,[1]TDSheet!$A:$W,23,0)</f>
        <v>3.4</v>
      </c>
      <c r="W23" s="18">
        <f>VLOOKUP(A:A,[1]TDSheet!$A:$X,24,0)</f>
        <v>30.8</v>
      </c>
      <c r="X23" s="18">
        <f>VLOOKUP(A:A,[1]TDSheet!$A:$Y,25,0)</f>
        <v>21.8</v>
      </c>
      <c r="Y23" s="18">
        <f>VLOOKUP(A:A,[1]TDSheet!$A:$P,16,0)</f>
        <v>20.2</v>
      </c>
      <c r="Z23" s="18"/>
      <c r="AA23" s="18">
        <f t="shared" si="9"/>
        <v>0</v>
      </c>
      <c r="AB23" s="18">
        <f t="shared" si="10"/>
        <v>5.7287999999999997</v>
      </c>
    </row>
    <row r="24" spans="1:28" ht="22.15" customHeight="1" x14ac:dyDescent="0.2">
      <c r="A24" s="23" t="s">
        <v>28</v>
      </c>
      <c r="B24" s="9" t="s">
        <v>13</v>
      </c>
      <c r="C24" s="9">
        <f>VLOOKUP(A:A,[1]TDSheet!$A:$C,3,0)</f>
        <v>6948263</v>
      </c>
      <c r="D24" s="10">
        <v>428</v>
      </c>
      <c r="E24" s="10"/>
      <c r="F24" s="10">
        <v>40</v>
      </c>
      <c r="G24" s="10">
        <v>388</v>
      </c>
      <c r="H24" s="5">
        <f>VLOOKUP(A:A,[1]TDSheet!$A:$H,8,0)</f>
        <v>0.74399999999999999</v>
      </c>
      <c r="I24" s="5">
        <f>VLOOKUP(A:A,[1]TDSheet!$A:$I,9,0)</f>
        <v>180</v>
      </c>
      <c r="L24" s="18">
        <f>VLOOKUP(A:A,[2]TDSheet!$A:$B,2,0)</f>
        <v>47</v>
      </c>
      <c r="M24" s="18">
        <f t="shared" si="5"/>
        <v>-7</v>
      </c>
      <c r="N24" s="18"/>
      <c r="O24" s="18">
        <f>VLOOKUP(A:A,[1]TDSheet!$A:$Q,17,0)</f>
        <v>0</v>
      </c>
      <c r="P24" s="18">
        <f t="shared" si="6"/>
        <v>8</v>
      </c>
      <c r="Q24" s="19"/>
      <c r="R24" s="19"/>
      <c r="S24" s="18"/>
      <c r="T24" s="18">
        <f t="shared" si="7"/>
        <v>48.5</v>
      </c>
      <c r="U24" s="18">
        <f t="shared" si="8"/>
        <v>48.5</v>
      </c>
      <c r="V24" s="18">
        <f>VLOOKUP(A:A,[1]TDSheet!$A:$W,23,0)</f>
        <v>17.399999999999999</v>
      </c>
      <c r="W24" s="18">
        <f>VLOOKUP(A:A,[1]TDSheet!$A:$X,24,0)</f>
        <v>30.2</v>
      </c>
      <c r="X24" s="18">
        <f>VLOOKUP(A:A,[1]TDSheet!$A:$Y,25,0)</f>
        <v>20.2</v>
      </c>
      <c r="Y24" s="18">
        <f>VLOOKUP(A:A,[1]TDSheet!$A:$P,16,0)</f>
        <v>19.399999999999999</v>
      </c>
      <c r="Z24" s="18"/>
      <c r="AA24" s="18">
        <f t="shared" si="9"/>
        <v>0</v>
      </c>
      <c r="AB24" s="18">
        <f t="shared" si="10"/>
        <v>5.952</v>
      </c>
    </row>
    <row r="25" spans="1:28" ht="22.15" customHeight="1" x14ac:dyDescent="0.2">
      <c r="A25" s="23" t="s">
        <v>29</v>
      </c>
      <c r="B25" s="9" t="s">
        <v>13</v>
      </c>
      <c r="C25" s="9">
        <f>VLOOKUP(A:A,[1]TDSheet!$A:$C,3,0)</f>
        <v>6948270</v>
      </c>
      <c r="D25" s="10">
        <v>669</v>
      </c>
      <c r="E25" s="10">
        <v>552</v>
      </c>
      <c r="F25" s="10">
        <v>175</v>
      </c>
      <c r="G25" s="10">
        <v>1046</v>
      </c>
      <c r="H25" s="5">
        <f>VLOOKUP(A:A,[1]TDSheet!$A:$H,8,0)</f>
        <v>0.372</v>
      </c>
      <c r="I25" s="5">
        <f>VLOOKUP(A:A,[1]TDSheet!$A:$I,9,0)</f>
        <v>180</v>
      </c>
      <c r="L25" s="18">
        <f>VLOOKUP(A:A,[2]TDSheet!$A:$B,2,0)</f>
        <v>199</v>
      </c>
      <c r="M25" s="18">
        <f t="shared" si="5"/>
        <v>-24</v>
      </c>
      <c r="N25" s="18"/>
      <c r="O25" s="18">
        <f>VLOOKUP(A:A,[1]TDSheet!$A:$Q,17,0)</f>
        <v>0</v>
      </c>
      <c r="P25" s="18">
        <f t="shared" si="6"/>
        <v>35</v>
      </c>
      <c r="Q25" s="19"/>
      <c r="R25" s="19"/>
      <c r="S25" s="18"/>
      <c r="T25" s="18">
        <f t="shared" si="7"/>
        <v>29.885714285714286</v>
      </c>
      <c r="U25" s="18">
        <f t="shared" si="8"/>
        <v>29.885714285714286</v>
      </c>
      <c r="V25" s="18">
        <f>VLOOKUP(A:A,[1]TDSheet!$A:$W,23,0)</f>
        <v>33.6</v>
      </c>
      <c r="W25" s="18">
        <f>VLOOKUP(A:A,[1]TDSheet!$A:$X,24,0)</f>
        <v>10.4</v>
      </c>
      <c r="X25" s="18">
        <f>VLOOKUP(A:A,[1]TDSheet!$A:$Y,25,0)</f>
        <v>70.400000000000006</v>
      </c>
      <c r="Y25" s="18">
        <f>VLOOKUP(A:A,[1]TDSheet!$A:$P,16,0)</f>
        <v>33.6</v>
      </c>
      <c r="Z25" s="18" t="str">
        <f>VLOOKUP(A:A,[1]TDSheet!$A:$Z,26,0)</f>
        <v>увел продажи</v>
      </c>
      <c r="AA25" s="18">
        <f t="shared" si="9"/>
        <v>0</v>
      </c>
      <c r="AB25" s="18">
        <f t="shared" si="10"/>
        <v>13.02</v>
      </c>
    </row>
    <row r="26" spans="1:28" ht="22.15" customHeight="1" x14ac:dyDescent="0.2">
      <c r="A26" s="23" t="s">
        <v>30</v>
      </c>
      <c r="B26" s="9" t="s">
        <v>13</v>
      </c>
      <c r="C26" s="9">
        <f>VLOOKUP(A:A,[1]TDSheet!$A:$C,3,0)</f>
        <v>6948287</v>
      </c>
      <c r="D26" s="10">
        <v>551</v>
      </c>
      <c r="E26" s="10"/>
      <c r="F26" s="10">
        <v>127</v>
      </c>
      <c r="G26" s="10">
        <v>424</v>
      </c>
      <c r="H26" s="5">
        <f>VLOOKUP(A:A,[1]TDSheet!$A:$H,8,0)</f>
        <v>0.74399999999999999</v>
      </c>
      <c r="I26" s="5">
        <f>VLOOKUP(A:A,[1]TDSheet!$A:$I,9,0)</f>
        <v>180</v>
      </c>
      <c r="L26" s="18">
        <f>VLOOKUP(A:A,[2]TDSheet!$A:$B,2,0)</f>
        <v>141</v>
      </c>
      <c r="M26" s="18">
        <f t="shared" si="5"/>
        <v>-14</v>
      </c>
      <c r="N26" s="18"/>
      <c r="O26" s="18">
        <f>VLOOKUP(A:A,[1]TDSheet!$A:$Q,17,0)</f>
        <v>273</v>
      </c>
      <c r="P26" s="18">
        <f t="shared" si="6"/>
        <v>25.4</v>
      </c>
      <c r="Q26" s="19"/>
      <c r="R26" s="19"/>
      <c r="S26" s="18"/>
      <c r="T26" s="18">
        <f t="shared" si="7"/>
        <v>27.440944881889767</v>
      </c>
      <c r="U26" s="18">
        <f t="shared" si="8"/>
        <v>16.692913385826774</v>
      </c>
      <c r="V26" s="18">
        <f>VLOOKUP(A:A,[1]TDSheet!$A:$W,23,0)</f>
        <v>41.2</v>
      </c>
      <c r="W26" s="18">
        <f>VLOOKUP(A:A,[1]TDSheet!$A:$X,24,0)</f>
        <v>40.6</v>
      </c>
      <c r="X26" s="18">
        <f>VLOOKUP(A:A,[1]TDSheet!$A:$Y,25,0)</f>
        <v>14.2</v>
      </c>
      <c r="Y26" s="18">
        <f>VLOOKUP(A:A,[1]TDSheet!$A:$P,16,0)</f>
        <v>41.2</v>
      </c>
      <c r="Z26" s="18"/>
      <c r="AA26" s="18">
        <f t="shared" si="9"/>
        <v>0</v>
      </c>
      <c r="AB26" s="18">
        <f t="shared" si="10"/>
        <v>18.897599999999997</v>
      </c>
    </row>
    <row r="27" spans="1:28" ht="10.9" customHeight="1" x14ac:dyDescent="0.2">
      <c r="A27" s="23" t="s">
        <v>31</v>
      </c>
      <c r="B27" s="9" t="s">
        <v>13</v>
      </c>
      <c r="C27" s="9">
        <f>VLOOKUP(A:A,[1]TDSheet!$A:$C,3,0)</f>
        <v>9988438</v>
      </c>
      <c r="D27" s="10">
        <v>130</v>
      </c>
      <c r="E27" s="10"/>
      <c r="F27" s="10">
        <v>29</v>
      </c>
      <c r="G27" s="10">
        <v>101</v>
      </c>
      <c r="H27" s="5">
        <f>VLOOKUP(A:A,[1]TDSheet!$A:$H,8,0)</f>
        <v>0.18</v>
      </c>
      <c r="I27" s="5">
        <f>VLOOKUP(A:A,[1]TDSheet!$A:$I,9,0)</f>
        <v>270</v>
      </c>
      <c r="L27" s="18">
        <f>VLOOKUP(A:A,[2]TDSheet!$A:$B,2,0)</f>
        <v>30</v>
      </c>
      <c r="M27" s="18">
        <f t="shared" si="5"/>
        <v>-1</v>
      </c>
      <c r="N27" s="18"/>
      <c r="O27" s="18">
        <f>VLOOKUP(A:A,[1]TDSheet!$A:$Q,17,0)</f>
        <v>26</v>
      </c>
      <c r="P27" s="18">
        <f t="shared" si="6"/>
        <v>5.8</v>
      </c>
      <c r="Q27" s="19"/>
      <c r="R27" s="19"/>
      <c r="S27" s="18"/>
      <c r="T27" s="18">
        <f t="shared" si="7"/>
        <v>21.896551724137932</v>
      </c>
      <c r="U27" s="18">
        <f t="shared" si="8"/>
        <v>17.413793103448278</v>
      </c>
      <c r="V27" s="18">
        <f>VLOOKUP(A:A,[1]TDSheet!$A:$W,23,0)</f>
        <v>9.8000000000000007</v>
      </c>
      <c r="W27" s="18">
        <f>VLOOKUP(A:A,[1]TDSheet!$A:$X,24,0)</f>
        <v>6</v>
      </c>
      <c r="X27" s="18">
        <f>VLOOKUP(A:A,[1]TDSheet!$A:$Y,25,0)</f>
        <v>2.8</v>
      </c>
      <c r="Y27" s="18">
        <f>VLOOKUP(A:A,[1]TDSheet!$A:$P,16,0)</f>
        <v>7.8</v>
      </c>
      <c r="Z27" s="18"/>
      <c r="AA27" s="18">
        <f t="shared" si="9"/>
        <v>0</v>
      </c>
      <c r="AB27" s="18">
        <f t="shared" si="10"/>
        <v>1.044</v>
      </c>
    </row>
    <row r="28" spans="1:28" ht="22.15" customHeight="1" x14ac:dyDescent="0.2">
      <c r="A28" s="23" t="s">
        <v>32</v>
      </c>
      <c r="B28" s="9" t="s">
        <v>13</v>
      </c>
      <c r="C28" s="9"/>
      <c r="D28" s="11"/>
      <c r="E28" s="10">
        <v>35</v>
      </c>
      <c r="F28" s="10">
        <v>0</v>
      </c>
      <c r="G28" s="10">
        <v>35</v>
      </c>
      <c r="H28" s="5">
        <v>0.82399999999999995</v>
      </c>
      <c r="L28" s="18">
        <v>0</v>
      </c>
      <c r="M28" s="18">
        <f t="shared" si="5"/>
        <v>0</v>
      </c>
      <c r="N28" s="18"/>
      <c r="O28" s="18">
        <v>0</v>
      </c>
      <c r="P28" s="18">
        <f t="shared" si="6"/>
        <v>0</v>
      </c>
      <c r="Q28" s="19"/>
      <c r="R28" s="19"/>
      <c r="S28" s="18"/>
      <c r="T28" s="18" t="e">
        <f t="shared" si="7"/>
        <v>#DIV/0!</v>
      </c>
      <c r="U28" s="18" t="e">
        <f t="shared" si="8"/>
        <v>#DIV/0!</v>
      </c>
      <c r="V28" s="18">
        <v>0</v>
      </c>
      <c r="W28" s="18">
        <v>0</v>
      </c>
      <c r="X28" s="18">
        <v>0</v>
      </c>
      <c r="Y28" s="18">
        <v>0</v>
      </c>
      <c r="Z28" s="18"/>
      <c r="AA28" s="18">
        <v>0</v>
      </c>
      <c r="AB28" s="18">
        <f t="shared" si="10"/>
        <v>0</v>
      </c>
    </row>
    <row r="29" spans="1:28" ht="10.9" customHeight="1" x14ac:dyDescent="0.2">
      <c r="A29" s="23" t="s">
        <v>33</v>
      </c>
      <c r="B29" s="9" t="s">
        <v>13</v>
      </c>
      <c r="C29" s="9"/>
      <c r="D29" s="10">
        <v>153</v>
      </c>
      <c r="E29" s="10"/>
      <c r="F29" s="10">
        <v>0</v>
      </c>
      <c r="G29" s="10"/>
      <c r="H29" s="5">
        <v>0.18</v>
      </c>
      <c r="L29" s="18">
        <v>0</v>
      </c>
      <c r="M29" s="18">
        <f t="shared" si="5"/>
        <v>0</v>
      </c>
      <c r="N29" s="18"/>
      <c r="O29" s="18">
        <v>0</v>
      </c>
      <c r="P29" s="18">
        <f t="shared" si="6"/>
        <v>0</v>
      </c>
      <c r="Q29" s="19"/>
      <c r="R29" s="19"/>
      <c r="S29" s="18"/>
      <c r="T29" s="18" t="e">
        <f t="shared" si="7"/>
        <v>#DIV/0!</v>
      </c>
      <c r="U29" s="18" t="e">
        <f t="shared" si="8"/>
        <v>#DIV/0!</v>
      </c>
      <c r="V29" s="18">
        <v>0</v>
      </c>
      <c r="W29" s="18">
        <v>0</v>
      </c>
      <c r="X29" s="18">
        <v>0</v>
      </c>
      <c r="Y29" s="18">
        <v>0</v>
      </c>
      <c r="Z29" s="18"/>
      <c r="AA29" s="18">
        <v>0</v>
      </c>
      <c r="AB29" s="18">
        <f t="shared" si="10"/>
        <v>0</v>
      </c>
    </row>
    <row r="30" spans="1:28" ht="10.9" customHeight="1" x14ac:dyDescent="0.2">
      <c r="A30" s="23" t="s">
        <v>34</v>
      </c>
      <c r="B30" s="9" t="s">
        <v>13</v>
      </c>
      <c r="C30" s="9"/>
      <c r="D30" s="11"/>
      <c r="E30" s="10">
        <v>17</v>
      </c>
      <c r="F30" s="10">
        <v>0</v>
      </c>
      <c r="G30" s="10">
        <v>17</v>
      </c>
      <c r="H30" s="5">
        <v>0.18</v>
      </c>
      <c r="L30" s="18">
        <v>0</v>
      </c>
      <c r="M30" s="18">
        <f t="shared" si="5"/>
        <v>0</v>
      </c>
      <c r="N30" s="18"/>
      <c r="O30" s="18">
        <v>0</v>
      </c>
      <c r="P30" s="18">
        <f t="shared" si="6"/>
        <v>0</v>
      </c>
      <c r="Q30" s="19"/>
      <c r="R30" s="19"/>
      <c r="S30" s="18"/>
      <c r="T30" s="18" t="e">
        <f t="shared" si="7"/>
        <v>#DIV/0!</v>
      </c>
      <c r="U30" s="18" t="e">
        <f t="shared" si="8"/>
        <v>#DIV/0!</v>
      </c>
      <c r="V30" s="18">
        <v>0</v>
      </c>
      <c r="W30" s="18">
        <v>0</v>
      </c>
      <c r="X30" s="18">
        <v>0</v>
      </c>
      <c r="Y30" s="18">
        <v>0</v>
      </c>
      <c r="Z30" s="18"/>
      <c r="AA30" s="18">
        <v>0</v>
      </c>
      <c r="AB30" s="18">
        <f t="shared" si="10"/>
        <v>0</v>
      </c>
    </row>
    <row r="31" spans="1:28" ht="10.9" customHeight="1" x14ac:dyDescent="0.2">
      <c r="A31" s="23" t="s">
        <v>35</v>
      </c>
      <c r="B31" s="9" t="s">
        <v>13</v>
      </c>
      <c r="C31" s="9">
        <f>VLOOKUP(A:A,[1]TDSheet!$A:$C,3,0)</f>
        <v>1018967</v>
      </c>
      <c r="D31" s="10">
        <v>68</v>
      </c>
      <c r="E31" s="10">
        <v>220</v>
      </c>
      <c r="F31" s="10">
        <v>75</v>
      </c>
      <c r="G31" s="10">
        <v>211</v>
      </c>
      <c r="H31" s="5">
        <f>VLOOKUP(A:A,[1]TDSheet!$A:$H,8,0)</f>
        <v>0.18</v>
      </c>
      <c r="I31" s="5">
        <f>VLOOKUP(A:A,[1]TDSheet!$A:$I,9,0)</f>
        <v>120</v>
      </c>
      <c r="L31" s="18">
        <f>VLOOKUP(A:A,[2]TDSheet!$A:$B,2,0)</f>
        <v>77</v>
      </c>
      <c r="M31" s="18">
        <f t="shared" si="5"/>
        <v>-2</v>
      </c>
      <c r="N31" s="18"/>
      <c r="O31" s="18">
        <f>VLOOKUP(A:A,[1]TDSheet!$A:$Q,17,0)</f>
        <v>144</v>
      </c>
      <c r="P31" s="18">
        <f t="shared" si="6"/>
        <v>15</v>
      </c>
      <c r="Q31" s="19"/>
      <c r="R31" s="19"/>
      <c r="S31" s="18"/>
      <c r="T31" s="18">
        <f t="shared" si="7"/>
        <v>23.666666666666668</v>
      </c>
      <c r="U31" s="18">
        <f t="shared" si="8"/>
        <v>14.066666666666666</v>
      </c>
      <c r="V31" s="18">
        <f>VLOOKUP(A:A,[1]TDSheet!$A:$W,23,0)</f>
        <v>6.2</v>
      </c>
      <c r="W31" s="18">
        <f>VLOOKUP(A:A,[1]TDSheet!$A:$X,24,0)</f>
        <v>13.8</v>
      </c>
      <c r="X31" s="18">
        <f>VLOOKUP(A:A,[1]TDSheet!$A:$Y,25,0)</f>
        <v>20</v>
      </c>
      <c r="Y31" s="18">
        <f>VLOOKUP(A:A,[1]TDSheet!$A:$P,16,0)</f>
        <v>21.6</v>
      </c>
      <c r="Z31" s="18" t="str">
        <f>VLOOKUP(A:A,[1]TDSheet!$A:$Z,26,0)</f>
        <v>увел продажи</v>
      </c>
      <c r="AA31" s="18">
        <f t="shared" si="9"/>
        <v>0</v>
      </c>
      <c r="AB31" s="18">
        <f t="shared" si="10"/>
        <v>2.6999999999999997</v>
      </c>
    </row>
    <row r="32" spans="1:28" ht="10.9" customHeight="1" x14ac:dyDescent="0.2">
      <c r="A32" s="23" t="s">
        <v>36</v>
      </c>
      <c r="B32" s="9" t="s">
        <v>13</v>
      </c>
      <c r="C32" s="9">
        <f>VLOOKUP(A:A,[1]TDSheet!$A:$C,3,0)</f>
        <v>1018950</v>
      </c>
      <c r="D32" s="10">
        <v>1583</v>
      </c>
      <c r="E32" s="10"/>
      <c r="F32" s="10">
        <v>104</v>
      </c>
      <c r="G32" s="10">
        <v>1479</v>
      </c>
      <c r="H32" s="5">
        <f>VLOOKUP(A:A,[1]TDSheet!$A:$H,8,0)</f>
        <v>0.18</v>
      </c>
      <c r="I32" s="5">
        <f>VLOOKUP(A:A,[1]TDSheet!$A:$I,9,0)</f>
        <v>120</v>
      </c>
      <c r="L32" s="18">
        <f>VLOOKUP(A:A,[2]TDSheet!$A:$B,2,0)</f>
        <v>104</v>
      </c>
      <c r="M32" s="18">
        <f t="shared" si="5"/>
        <v>0</v>
      </c>
      <c r="N32" s="18"/>
      <c r="O32" s="18">
        <f>VLOOKUP(A:A,[1]TDSheet!$A:$Q,17,0)</f>
        <v>0</v>
      </c>
      <c r="P32" s="18">
        <f t="shared" si="6"/>
        <v>20.8</v>
      </c>
      <c r="Q32" s="19"/>
      <c r="R32" s="19"/>
      <c r="S32" s="18"/>
      <c r="T32" s="18">
        <f t="shared" si="7"/>
        <v>71.105769230769226</v>
      </c>
      <c r="U32" s="18">
        <f t="shared" si="8"/>
        <v>71.105769230769226</v>
      </c>
      <c r="V32" s="18">
        <f>VLOOKUP(A:A,[1]TDSheet!$A:$W,23,0)</f>
        <v>4.8</v>
      </c>
      <c r="W32" s="18">
        <f>VLOOKUP(A:A,[1]TDSheet!$A:$X,24,0)</f>
        <v>19</v>
      </c>
      <c r="X32" s="18">
        <f>VLOOKUP(A:A,[1]TDSheet!$A:$Y,25,0)</f>
        <v>25</v>
      </c>
      <c r="Y32" s="18">
        <f>VLOOKUP(A:A,[1]TDSheet!$A:$P,16,0)</f>
        <v>25</v>
      </c>
      <c r="Z32" s="18" t="str">
        <f>VLOOKUP(A:A,[1]TDSheet!$A:$Z,26,0)</f>
        <v>увел продажи</v>
      </c>
      <c r="AA32" s="18">
        <f t="shared" si="9"/>
        <v>0</v>
      </c>
      <c r="AB32" s="18">
        <f t="shared" si="10"/>
        <v>3.7439999999999998</v>
      </c>
    </row>
    <row r="33" spans="1:28" ht="22.15" customHeight="1" x14ac:dyDescent="0.2">
      <c r="A33" s="23" t="s">
        <v>37</v>
      </c>
      <c r="B33" s="9" t="s">
        <v>13</v>
      </c>
      <c r="C33" s="9">
        <f>VLOOKUP(A:A,[1]TDSheet!$A:$C,3,0)</f>
        <v>9988476</v>
      </c>
      <c r="D33" s="10">
        <v>175</v>
      </c>
      <c r="E33" s="10"/>
      <c r="F33" s="10">
        <v>23</v>
      </c>
      <c r="G33" s="10">
        <v>152</v>
      </c>
      <c r="H33" s="5">
        <f>VLOOKUP(A:A,[1]TDSheet!$A:$H,8,0)</f>
        <v>0.4</v>
      </c>
      <c r="I33" s="5">
        <f>VLOOKUP(A:A,[1]TDSheet!$A:$I,9,0)</f>
        <v>270</v>
      </c>
      <c r="L33" s="18">
        <f>VLOOKUP(A:A,[2]TDSheet!$A:$B,2,0)</f>
        <v>24</v>
      </c>
      <c r="M33" s="18">
        <f t="shared" si="5"/>
        <v>-1</v>
      </c>
      <c r="N33" s="18"/>
      <c r="O33" s="18">
        <f>VLOOKUP(A:A,[1]TDSheet!$A:$Q,17,0)</f>
        <v>0</v>
      </c>
      <c r="P33" s="18">
        <f t="shared" si="6"/>
        <v>4.5999999999999996</v>
      </c>
      <c r="Q33" s="19"/>
      <c r="R33" s="19"/>
      <c r="S33" s="18"/>
      <c r="T33" s="18">
        <f t="shared" si="7"/>
        <v>33.04347826086957</v>
      </c>
      <c r="U33" s="18">
        <f t="shared" si="8"/>
        <v>33.04347826086957</v>
      </c>
      <c r="V33" s="18">
        <f>VLOOKUP(A:A,[1]TDSheet!$A:$W,23,0)</f>
        <v>10</v>
      </c>
      <c r="W33" s="18">
        <f>VLOOKUP(A:A,[1]TDSheet!$A:$X,24,0)</f>
        <v>0</v>
      </c>
      <c r="X33" s="18">
        <f>VLOOKUP(A:A,[1]TDSheet!$A:$Y,25,0)</f>
        <v>1.8</v>
      </c>
      <c r="Y33" s="18">
        <f>VLOOKUP(A:A,[1]TDSheet!$A:$P,16,0)</f>
        <v>2.4</v>
      </c>
      <c r="Z33" s="18"/>
      <c r="AA33" s="18">
        <f t="shared" si="9"/>
        <v>0</v>
      </c>
      <c r="AB33" s="18">
        <f t="shared" si="10"/>
        <v>1.8399999999999999</v>
      </c>
    </row>
    <row r="34" spans="1:28" ht="10.9" customHeight="1" x14ac:dyDescent="0.2">
      <c r="A34" s="23" t="s">
        <v>38</v>
      </c>
      <c r="B34" s="9" t="s">
        <v>13</v>
      </c>
      <c r="C34" s="9"/>
      <c r="D34" s="10">
        <v>-1</v>
      </c>
      <c r="E34" s="10"/>
      <c r="F34" s="10">
        <v>0</v>
      </c>
      <c r="G34" s="10">
        <v>-1</v>
      </c>
      <c r="H34" s="5">
        <f>VLOOKUP(A:A,[1]TDSheet!$A:$H,8,0)</f>
        <v>0.4</v>
      </c>
      <c r="L34" s="18">
        <f>VLOOKUP(A:A,[2]TDSheet!$A:$B,2,0)</f>
        <v>3</v>
      </c>
      <c r="M34" s="18">
        <f t="shared" si="5"/>
        <v>-3</v>
      </c>
      <c r="N34" s="18"/>
      <c r="O34" s="18">
        <f>VLOOKUP(A:A,[1]TDSheet!$A:$Q,17,0)</f>
        <v>5</v>
      </c>
      <c r="P34" s="18">
        <f t="shared" si="6"/>
        <v>0</v>
      </c>
      <c r="Q34" s="19"/>
      <c r="R34" s="19"/>
      <c r="S34" s="18"/>
      <c r="T34" s="18" t="e">
        <f t="shared" si="7"/>
        <v>#DIV/0!</v>
      </c>
      <c r="U34" s="18" t="e">
        <f t="shared" si="8"/>
        <v>#DIV/0!</v>
      </c>
      <c r="V34" s="18">
        <f>VLOOKUP(A:A,[1]TDSheet!$A:$W,23,0)</f>
        <v>0</v>
      </c>
      <c r="W34" s="18">
        <f>VLOOKUP(A:A,[1]TDSheet!$A:$X,24,0)</f>
        <v>0</v>
      </c>
      <c r="X34" s="18">
        <f>VLOOKUP(A:A,[1]TDSheet!$A:$Y,25,0)</f>
        <v>0</v>
      </c>
      <c r="Y34" s="18">
        <f>VLOOKUP(A:A,[1]TDSheet!$A:$P,16,0)</f>
        <v>0.2</v>
      </c>
      <c r="Z34" s="18"/>
      <c r="AA34" s="18">
        <f t="shared" si="9"/>
        <v>0</v>
      </c>
      <c r="AB34" s="18">
        <f t="shared" si="10"/>
        <v>0</v>
      </c>
    </row>
    <row r="35" spans="1:28" ht="10.9" customHeight="1" x14ac:dyDescent="0.2">
      <c r="A35" s="23" t="s">
        <v>39</v>
      </c>
      <c r="B35" s="9" t="s">
        <v>13</v>
      </c>
      <c r="C35" s="9">
        <f>VLOOKUP(A:A,[1]TDSheet!$A:$C,3,0)</f>
        <v>5034819</v>
      </c>
      <c r="D35" s="10">
        <v>-42</v>
      </c>
      <c r="E35" s="10">
        <v>153</v>
      </c>
      <c r="F35" s="10">
        <v>7</v>
      </c>
      <c r="G35" s="10">
        <v>102</v>
      </c>
      <c r="H35" s="5">
        <f>VLOOKUP(A:A,[1]TDSheet!$A:$H,8,0)</f>
        <v>0.18</v>
      </c>
      <c r="L35" s="18">
        <f>VLOOKUP(A:A,[2]TDSheet!$A:$B,2,0)</f>
        <v>10</v>
      </c>
      <c r="M35" s="18">
        <f t="shared" si="5"/>
        <v>-3</v>
      </c>
      <c r="N35" s="18"/>
      <c r="O35" s="18">
        <f>VLOOKUP(A:A,[1]TDSheet!$A:$Q,17,0)</f>
        <v>0</v>
      </c>
      <c r="P35" s="18">
        <f t="shared" si="6"/>
        <v>1.4</v>
      </c>
      <c r="Q35" s="19"/>
      <c r="R35" s="19"/>
      <c r="S35" s="18"/>
      <c r="T35" s="18">
        <f t="shared" si="7"/>
        <v>72.857142857142861</v>
      </c>
      <c r="U35" s="18">
        <f t="shared" si="8"/>
        <v>72.857142857142861</v>
      </c>
      <c r="V35" s="18">
        <f>VLOOKUP(A:A,[1]TDSheet!$A:$W,23,0)</f>
        <v>7.4</v>
      </c>
      <c r="W35" s="18">
        <f>VLOOKUP(A:A,[1]TDSheet!$A:$X,24,0)</f>
        <v>4.8</v>
      </c>
      <c r="X35" s="18">
        <f>VLOOKUP(A:A,[1]TDSheet!$A:$Y,25,0)</f>
        <v>3.8</v>
      </c>
      <c r="Y35" s="18">
        <f>VLOOKUP(A:A,[1]TDSheet!$A:$P,16,0)</f>
        <v>3.2</v>
      </c>
      <c r="Z35" s="18"/>
      <c r="AA35" s="18">
        <f t="shared" si="9"/>
        <v>0</v>
      </c>
      <c r="AB35" s="18">
        <f t="shared" si="10"/>
        <v>0.252</v>
      </c>
    </row>
    <row r="36" spans="1:28" ht="10.9" customHeight="1" x14ac:dyDescent="0.2">
      <c r="A36" s="9" t="s">
        <v>40</v>
      </c>
      <c r="B36" s="9" t="s">
        <v>13</v>
      </c>
      <c r="C36" s="9">
        <f>VLOOKUP(A:A,[1]TDSheet!$A:$C,3,0)</f>
        <v>8445177</v>
      </c>
      <c r="D36" s="10">
        <v>115</v>
      </c>
      <c r="E36" s="10">
        <v>3</v>
      </c>
      <c r="F36" s="10">
        <v>44</v>
      </c>
      <c r="G36" s="10">
        <v>72</v>
      </c>
      <c r="H36" s="5">
        <f>VLOOKUP(A:A,[1]TDSheet!$A:$H,8,0)</f>
        <v>0.1</v>
      </c>
      <c r="L36" s="18">
        <f>VLOOKUP(A:A,[2]TDSheet!$A:$B,2,0)</f>
        <v>46</v>
      </c>
      <c r="M36" s="18">
        <f t="shared" si="5"/>
        <v>-2</v>
      </c>
      <c r="N36" s="18"/>
      <c r="O36" s="18">
        <f>VLOOKUP(A:A,[1]TDSheet!$A:$Q,17,0)</f>
        <v>61</v>
      </c>
      <c r="P36" s="18">
        <f t="shared" si="6"/>
        <v>8.8000000000000007</v>
      </c>
      <c r="Q36" s="19">
        <f t="shared" si="11"/>
        <v>43</v>
      </c>
      <c r="R36" s="19"/>
      <c r="S36" s="18"/>
      <c r="T36" s="18">
        <f t="shared" si="7"/>
        <v>20</v>
      </c>
      <c r="U36" s="18">
        <f t="shared" si="8"/>
        <v>8.1818181818181817</v>
      </c>
      <c r="V36" s="18">
        <f>VLOOKUP(A:A,[1]TDSheet!$A:$W,23,0)</f>
        <v>9.1999999999999993</v>
      </c>
      <c r="W36" s="18">
        <f>VLOOKUP(A:A,[1]TDSheet!$A:$X,24,0)</f>
        <v>0.4</v>
      </c>
      <c r="X36" s="18">
        <f>VLOOKUP(A:A,[1]TDSheet!$A:$Y,25,0)</f>
        <v>6.2</v>
      </c>
      <c r="Y36" s="18">
        <f>VLOOKUP(A:A,[1]TDSheet!$A:$P,16,0)</f>
        <v>8.8000000000000007</v>
      </c>
      <c r="Z36" s="18"/>
      <c r="AA36" s="18">
        <f t="shared" si="9"/>
        <v>4.3</v>
      </c>
      <c r="AB36" s="18">
        <f t="shared" si="10"/>
        <v>0.88000000000000012</v>
      </c>
    </row>
    <row r="37" spans="1:28" ht="10.9" customHeight="1" x14ac:dyDescent="0.2">
      <c r="A37" s="9" t="s">
        <v>41</v>
      </c>
      <c r="B37" s="9" t="s">
        <v>13</v>
      </c>
      <c r="C37" s="9">
        <f>VLOOKUP(A:A,[1]TDSheet!$A:$C,3,0)</f>
        <v>5038411</v>
      </c>
      <c r="D37" s="10">
        <v>337</v>
      </c>
      <c r="E37" s="10"/>
      <c r="F37" s="10">
        <v>119</v>
      </c>
      <c r="G37" s="10">
        <v>218</v>
      </c>
      <c r="H37" s="5">
        <f>VLOOKUP(A:A,[1]TDSheet!$A:$H,8,0)</f>
        <v>0.18</v>
      </c>
      <c r="I37" s="5">
        <f>VLOOKUP(A:A,[1]TDSheet!$A:$I,9,0)</f>
        <v>150</v>
      </c>
      <c r="L37" s="18">
        <f>VLOOKUP(A:A,[2]TDSheet!$A:$B,2,0)</f>
        <v>129</v>
      </c>
      <c r="M37" s="18">
        <f t="shared" si="5"/>
        <v>-10</v>
      </c>
      <c r="N37" s="18"/>
      <c r="O37" s="18">
        <f>VLOOKUP(A:A,[1]TDSheet!$A:$Q,17,0)</f>
        <v>0</v>
      </c>
      <c r="P37" s="18">
        <f t="shared" si="6"/>
        <v>23.8</v>
      </c>
      <c r="Q37" s="19">
        <f t="shared" si="11"/>
        <v>258</v>
      </c>
      <c r="R37" s="19"/>
      <c r="S37" s="18"/>
      <c r="T37" s="18">
        <f t="shared" si="7"/>
        <v>20</v>
      </c>
      <c r="U37" s="18">
        <f t="shared" si="8"/>
        <v>9.1596638655462179</v>
      </c>
      <c r="V37" s="18">
        <f>VLOOKUP(A:A,[1]TDSheet!$A:$W,23,0)</f>
        <v>19</v>
      </c>
      <c r="W37" s="18">
        <f>VLOOKUP(A:A,[1]TDSheet!$A:$X,24,0)</f>
        <v>27.2</v>
      </c>
      <c r="X37" s="18">
        <f>VLOOKUP(A:A,[1]TDSheet!$A:$Y,25,0)</f>
        <v>27.6</v>
      </c>
      <c r="Y37" s="18">
        <f>VLOOKUP(A:A,[1]TDSheet!$A:$P,16,0)</f>
        <v>13</v>
      </c>
      <c r="Z37" s="18"/>
      <c r="AA37" s="18">
        <f t="shared" si="9"/>
        <v>46.44</v>
      </c>
      <c r="AB37" s="18">
        <f t="shared" si="10"/>
        <v>4.2839999999999998</v>
      </c>
    </row>
    <row r="38" spans="1:28" ht="10.9" customHeight="1" x14ac:dyDescent="0.2">
      <c r="A38" s="23" t="s">
        <v>42</v>
      </c>
      <c r="B38" s="9" t="s">
        <v>14</v>
      </c>
      <c r="C38" s="9"/>
      <c r="D38" s="10">
        <v>36.363999999999997</v>
      </c>
      <c r="E38" s="10"/>
      <c r="F38" s="10">
        <v>0</v>
      </c>
      <c r="G38" s="10">
        <v>36.363999999999997</v>
      </c>
      <c r="H38" s="5">
        <f>VLOOKUP(A:A,[1]TDSheet!$A:$H,8,0)</f>
        <v>1</v>
      </c>
      <c r="I38" s="5">
        <f>VLOOKUP(A:A,[1]TDSheet!$A:$I,9,0)</f>
        <v>0</v>
      </c>
      <c r="L38" s="18">
        <v>0</v>
      </c>
      <c r="M38" s="18">
        <f t="shared" si="5"/>
        <v>0</v>
      </c>
      <c r="N38" s="18"/>
      <c r="O38" s="18">
        <f>VLOOKUP(A:A,[1]TDSheet!$A:$Q,17,0)</f>
        <v>0</v>
      </c>
      <c r="P38" s="18">
        <f t="shared" si="6"/>
        <v>0</v>
      </c>
      <c r="Q38" s="19"/>
      <c r="R38" s="19"/>
      <c r="S38" s="18"/>
      <c r="T38" s="18" t="e">
        <f t="shared" si="7"/>
        <v>#DIV/0!</v>
      </c>
      <c r="U38" s="18" t="e">
        <f t="shared" si="8"/>
        <v>#DIV/0!</v>
      </c>
      <c r="V38" s="18">
        <f>VLOOKUP(A:A,[1]TDSheet!$A:$W,23,0)</f>
        <v>0</v>
      </c>
      <c r="W38" s="18">
        <f>VLOOKUP(A:A,[1]TDSheet!$A:$X,24,0)</f>
        <v>0</v>
      </c>
      <c r="X38" s="18">
        <f>VLOOKUP(A:A,[1]TDSheet!$A:$Y,25,0)</f>
        <v>0</v>
      </c>
      <c r="Y38" s="18">
        <f>VLOOKUP(A:A,[1]TDSheet!$A:$P,16,0)</f>
        <v>0</v>
      </c>
      <c r="Z38" s="18"/>
      <c r="AA38" s="18">
        <f t="shared" si="9"/>
        <v>0</v>
      </c>
      <c r="AB38" s="18">
        <f t="shared" si="10"/>
        <v>0</v>
      </c>
    </row>
    <row r="39" spans="1:28" ht="10.9" customHeight="1" x14ac:dyDescent="0.2">
      <c r="A39" s="9" t="s">
        <v>43</v>
      </c>
      <c r="B39" s="9" t="s">
        <v>13</v>
      </c>
      <c r="C39" s="9">
        <f>VLOOKUP(A:A,[1]TDSheet!$A:$C,3,0)</f>
        <v>5038459</v>
      </c>
      <c r="D39" s="10">
        <v>398</v>
      </c>
      <c r="E39" s="10">
        <v>1</v>
      </c>
      <c r="F39" s="10">
        <v>128</v>
      </c>
      <c r="G39" s="10">
        <v>270</v>
      </c>
      <c r="H39" s="5">
        <f>VLOOKUP(A:A,[1]TDSheet!$A:$H,8,0)</f>
        <v>0.18</v>
      </c>
      <c r="I39" s="5">
        <f>VLOOKUP(A:A,[1]TDSheet!$A:$I,9,0)</f>
        <v>150</v>
      </c>
      <c r="L39" s="18">
        <f>VLOOKUP(A:A,[2]TDSheet!$A:$B,2,0)</f>
        <v>140</v>
      </c>
      <c r="M39" s="18">
        <f t="shared" si="5"/>
        <v>-12</v>
      </c>
      <c r="N39" s="18"/>
      <c r="O39" s="18">
        <f>VLOOKUP(A:A,[1]TDSheet!$A:$Q,17,0)</f>
        <v>0</v>
      </c>
      <c r="P39" s="18">
        <f t="shared" si="6"/>
        <v>25.6</v>
      </c>
      <c r="Q39" s="19">
        <f t="shared" si="11"/>
        <v>242</v>
      </c>
      <c r="R39" s="19"/>
      <c r="S39" s="18"/>
      <c r="T39" s="18">
        <f t="shared" si="7"/>
        <v>20</v>
      </c>
      <c r="U39" s="18">
        <f t="shared" si="8"/>
        <v>10.546875</v>
      </c>
      <c r="V39" s="18">
        <f>VLOOKUP(A:A,[1]TDSheet!$A:$W,23,0)</f>
        <v>23.2</v>
      </c>
      <c r="W39" s="18">
        <f>VLOOKUP(A:A,[1]TDSheet!$A:$X,24,0)</f>
        <v>29.6</v>
      </c>
      <c r="X39" s="18">
        <f>VLOOKUP(A:A,[1]TDSheet!$A:$Y,25,0)</f>
        <v>23.4</v>
      </c>
      <c r="Y39" s="18">
        <f>VLOOKUP(A:A,[1]TDSheet!$A:$P,16,0)</f>
        <v>19.399999999999999</v>
      </c>
      <c r="Z39" s="18" t="str">
        <f>VLOOKUP(A:A,[1]TDSheet!$A:$Z,26,0)</f>
        <v>увел продажи</v>
      </c>
      <c r="AA39" s="18">
        <f t="shared" si="9"/>
        <v>43.559999999999995</v>
      </c>
      <c r="AB39" s="18">
        <f t="shared" si="10"/>
        <v>4.6079999999999997</v>
      </c>
    </row>
    <row r="40" spans="1:28" ht="10.9" customHeight="1" x14ac:dyDescent="0.2">
      <c r="A40" s="23" t="s">
        <v>44</v>
      </c>
      <c r="B40" s="9" t="s">
        <v>13</v>
      </c>
      <c r="C40" s="9">
        <f>VLOOKUP(A:A,[1]TDSheet!$A:$C,3,0)</f>
        <v>5038831</v>
      </c>
      <c r="D40" s="10">
        <v>283</v>
      </c>
      <c r="E40" s="10"/>
      <c r="F40" s="10">
        <v>43</v>
      </c>
      <c r="G40" s="10">
        <v>240</v>
      </c>
      <c r="H40" s="5">
        <f>VLOOKUP(A:A,[1]TDSheet!$A:$H,8,0)</f>
        <v>0.18</v>
      </c>
      <c r="L40" s="18">
        <f>VLOOKUP(A:A,[2]TDSheet!$A:$B,2,0)</f>
        <v>53</v>
      </c>
      <c r="M40" s="18">
        <f t="shared" si="5"/>
        <v>-10</v>
      </c>
      <c r="N40" s="18"/>
      <c r="O40" s="18">
        <f>VLOOKUP(A:A,[1]TDSheet!$A:$Q,17,0)</f>
        <v>0</v>
      </c>
      <c r="P40" s="18">
        <f t="shared" si="6"/>
        <v>8.6</v>
      </c>
      <c r="Q40" s="19"/>
      <c r="R40" s="19"/>
      <c r="S40" s="18"/>
      <c r="T40" s="18">
        <f t="shared" si="7"/>
        <v>27.906976744186046</v>
      </c>
      <c r="U40" s="18">
        <f t="shared" si="8"/>
        <v>27.906976744186046</v>
      </c>
      <c r="V40" s="18">
        <f>VLOOKUP(A:A,[1]TDSheet!$A:$W,23,0)</f>
        <v>13.2</v>
      </c>
      <c r="W40" s="18">
        <f>VLOOKUP(A:A,[1]TDSheet!$A:$X,24,0)</f>
        <v>15.2</v>
      </c>
      <c r="X40" s="18">
        <f>VLOOKUP(A:A,[1]TDSheet!$A:$Y,25,0)</f>
        <v>9.6</v>
      </c>
      <c r="Y40" s="18">
        <f>VLOOKUP(A:A,[1]TDSheet!$A:$P,16,0)</f>
        <v>11.8</v>
      </c>
      <c r="Z40" s="18"/>
      <c r="AA40" s="18">
        <f t="shared" si="9"/>
        <v>0</v>
      </c>
      <c r="AB40" s="18">
        <f t="shared" si="10"/>
        <v>1.5479999999999998</v>
      </c>
    </row>
    <row r="41" spans="1:28" ht="10.9" customHeight="1" x14ac:dyDescent="0.2">
      <c r="A41" s="23" t="s">
        <v>45</v>
      </c>
      <c r="B41" s="9" t="s">
        <v>13</v>
      </c>
      <c r="C41" s="9">
        <f>VLOOKUP(A:A,[1]TDSheet!$A:$C,3,0)</f>
        <v>5038855</v>
      </c>
      <c r="D41" s="10">
        <v>195</v>
      </c>
      <c r="E41" s="10"/>
      <c r="F41" s="10">
        <v>36</v>
      </c>
      <c r="G41" s="10">
        <v>159</v>
      </c>
      <c r="H41" s="5">
        <f>VLOOKUP(A:A,[1]TDSheet!$A:$H,8,0)</f>
        <v>0.18</v>
      </c>
      <c r="L41" s="18">
        <f>VLOOKUP(A:A,[2]TDSheet!$A:$B,2,0)</f>
        <v>43</v>
      </c>
      <c r="M41" s="18">
        <f t="shared" si="5"/>
        <v>-7</v>
      </c>
      <c r="N41" s="18"/>
      <c r="O41" s="18">
        <f>VLOOKUP(A:A,[1]TDSheet!$A:$Q,17,0)</f>
        <v>0</v>
      </c>
      <c r="P41" s="18">
        <f t="shared" si="6"/>
        <v>7.2</v>
      </c>
      <c r="Q41" s="19"/>
      <c r="R41" s="19"/>
      <c r="S41" s="18"/>
      <c r="T41" s="18">
        <f t="shared" si="7"/>
        <v>22.083333333333332</v>
      </c>
      <c r="U41" s="18">
        <f t="shared" si="8"/>
        <v>22.083333333333332</v>
      </c>
      <c r="V41" s="18">
        <f>VLOOKUP(A:A,[1]TDSheet!$A:$W,23,0)</f>
        <v>0</v>
      </c>
      <c r="W41" s="18">
        <f>VLOOKUP(A:A,[1]TDSheet!$A:$X,24,0)</f>
        <v>6.2</v>
      </c>
      <c r="X41" s="18">
        <f>VLOOKUP(A:A,[1]TDSheet!$A:$Y,25,0)</f>
        <v>9.8000000000000007</v>
      </c>
      <c r="Y41" s="18">
        <f>VLOOKUP(A:A,[1]TDSheet!$A:$P,16,0)</f>
        <v>9</v>
      </c>
      <c r="Z41" s="18"/>
      <c r="AA41" s="18">
        <f t="shared" si="9"/>
        <v>0</v>
      </c>
      <c r="AB41" s="18">
        <f t="shared" si="10"/>
        <v>1.296</v>
      </c>
    </row>
    <row r="42" spans="1:28" ht="10.9" customHeight="1" x14ac:dyDescent="0.2">
      <c r="A42" s="9" t="s">
        <v>46</v>
      </c>
      <c r="B42" s="9" t="s">
        <v>13</v>
      </c>
      <c r="C42" s="9">
        <f>VLOOKUP(A:A,[1]TDSheet!$A:$C,3,0)</f>
        <v>5038435</v>
      </c>
      <c r="D42" s="10">
        <v>262</v>
      </c>
      <c r="E42" s="10">
        <v>32</v>
      </c>
      <c r="F42" s="10">
        <v>137</v>
      </c>
      <c r="G42" s="10">
        <v>157</v>
      </c>
      <c r="H42" s="5">
        <f>VLOOKUP(A:A,[1]TDSheet!$A:$H,8,0)</f>
        <v>0.18</v>
      </c>
      <c r="I42" s="5">
        <f>VLOOKUP(A:A,[1]TDSheet!$A:$I,9,0)</f>
        <v>150</v>
      </c>
      <c r="L42" s="18">
        <f>VLOOKUP(A:A,[2]TDSheet!$A:$B,2,0)</f>
        <v>151</v>
      </c>
      <c r="M42" s="18">
        <f t="shared" si="5"/>
        <v>-14</v>
      </c>
      <c r="N42" s="18"/>
      <c r="O42" s="18">
        <f>VLOOKUP(A:A,[1]TDSheet!$A:$Q,17,0)</f>
        <v>216</v>
      </c>
      <c r="P42" s="18">
        <f t="shared" si="6"/>
        <v>27.4</v>
      </c>
      <c r="Q42" s="19">
        <f t="shared" si="11"/>
        <v>175</v>
      </c>
      <c r="R42" s="19"/>
      <c r="S42" s="18"/>
      <c r="T42" s="18">
        <f t="shared" si="7"/>
        <v>20</v>
      </c>
      <c r="U42" s="18">
        <f t="shared" si="8"/>
        <v>5.7299270072992705</v>
      </c>
      <c r="V42" s="18">
        <f>VLOOKUP(A:A,[1]TDSheet!$A:$W,23,0)</f>
        <v>32.4</v>
      </c>
      <c r="W42" s="18">
        <f>VLOOKUP(A:A,[1]TDSheet!$A:$X,24,0)</f>
        <v>24.6</v>
      </c>
      <c r="X42" s="18">
        <f>VLOOKUP(A:A,[1]TDSheet!$A:$Y,25,0)</f>
        <v>20.8</v>
      </c>
      <c r="Y42" s="18">
        <f>VLOOKUP(A:A,[1]TDSheet!$A:$P,16,0)</f>
        <v>25.4</v>
      </c>
      <c r="Z42" s="18" t="str">
        <f>VLOOKUP(A:A,[1]TDSheet!$A:$Z,26,0)</f>
        <v>увел продажи</v>
      </c>
      <c r="AA42" s="18">
        <f t="shared" si="9"/>
        <v>31.5</v>
      </c>
      <c r="AB42" s="18">
        <f t="shared" si="10"/>
        <v>4.9319999999999995</v>
      </c>
    </row>
    <row r="43" spans="1:28" ht="22.15" customHeight="1" x14ac:dyDescent="0.2">
      <c r="A43" s="23" t="s">
        <v>47</v>
      </c>
      <c r="B43" s="9" t="s">
        <v>13</v>
      </c>
      <c r="C43" s="9">
        <f>VLOOKUP(A:A,[1]TDSheet!$A:$C,3,0)</f>
        <v>5038398</v>
      </c>
      <c r="D43" s="10">
        <v>371</v>
      </c>
      <c r="E43" s="10">
        <v>150</v>
      </c>
      <c r="F43" s="10">
        <v>58</v>
      </c>
      <c r="G43" s="10">
        <v>463</v>
      </c>
      <c r="H43" s="5">
        <f>VLOOKUP(A:A,[1]TDSheet!$A:$H,8,0)</f>
        <v>0.18</v>
      </c>
      <c r="I43" s="5">
        <f>VLOOKUP(A:A,[1]TDSheet!$A:$I,9,0)</f>
        <v>120</v>
      </c>
      <c r="L43" s="18">
        <f>VLOOKUP(A:A,[2]TDSheet!$A:$B,2,0)</f>
        <v>66</v>
      </c>
      <c r="M43" s="18">
        <f t="shared" si="5"/>
        <v>-8</v>
      </c>
      <c r="N43" s="18"/>
      <c r="O43" s="18">
        <f>VLOOKUP(A:A,[1]TDSheet!$A:$Q,17,0)</f>
        <v>0</v>
      </c>
      <c r="P43" s="18">
        <f t="shared" si="6"/>
        <v>11.6</v>
      </c>
      <c r="Q43" s="19"/>
      <c r="R43" s="19"/>
      <c r="S43" s="18"/>
      <c r="T43" s="18">
        <f t="shared" si="7"/>
        <v>39.913793103448278</v>
      </c>
      <c r="U43" s="18">
        <f t="shared" si="8"/>
        <v>39.913793103448278</v>
      </c>
      <c r="V43" s="18">
        <f>VLOOKUP(A:A,[1]TDSheet!$A:$W,23,0)</f>
        <v>4.8</v>
      </c>
      <c r="W43" s="18">
        <f>VLOOKUP(A:A,[1]TDSheet!$A:$X,24,0)</f>
        <v>12.8</v>
      </c>
      <c r="X43" s="18">
        <f>VLOOKUP(A:A,[1]TDSheet!$A:$Y,25,0)</f>
        <v>13.2</v>
      </c>
      <c r="Y43" s="18">
        <f>VLOOKUP(A:A,[1]TDSheet!$A:$P,16,0)</f>
        <v>9.4</v>
      </c>
      <c r="Z43" s="18" t="str">
        <f>VLOOKUP(A:A,[1]TDSheet!$A:$Z,26,0)</f>
        <v>увел продажи</v>
      </c>
      <c r="AA43" s="18">
        <f t="shared" si="9"/>
        <v>0</v>
      </c>
      <c r="AB43" s="18">
        <f t="shared" si="10"/>
        <v>2.0880000000000001</v>
      </c>
    </row>
    <row r="44" spans="1:28" ht="10.9" customHeight="1" x14ac:dyDescent="0.2">
      <c r="A44" s="9" t="s">
        <v>48</v>
      </c>
      <c r="B44" s="9" t="s">
        <v>13</v>
      </c>
      <c r="C44" s="9">
        <f>VLOOKUP(A:A,[1]TDSheet!$A:$C,3,0)</f>
        <v>9988681</v>
      </c>
      <c r="D44" s="10">
        <v>186</v>
      </c>
      <c r="E44" s="10"/>
      <c r="F44" s="10">
        <v>41</v>
      </c>
      <c r="G44" s="10">
        <v>145</v>
      </c>
      <c r="H44" s="5">
        <f>VLOOKUP(A:A,[1]TDSheet!$A:$H,8,0)</f>
        <v>0.18</v>
      </c>
      <c r="L44" s="18">
        <f>VLOOKUP(A:A,[2]TDSheet!$A:$B,2,0)</f>
        <v>42</v>
      </c>
      <c r="M44" s="18">
        <f t="shared" si="5"/>
        <v>-1</v>
      </c>
      <c r="N44" s="18"/>
      <c r="O44" s="18">
        <f>VLOOKUP(A:A,[1]TDSheet!$A:$Q,17,0)</f>
        <v>0</v>
      </c>
      <c r="P44" s="18">
        <f t="shared" si="6"/>
        <v>8.1999999999999993</v>
      </c>
      <c r="Q44" s="19">
        <f t="shared" si="11"/>
        <v>19</v>
      </c>
      <c r="R44" s="19"/>
      <c r="S44" s="18"/>
      <c r="T44" s="18">
        <f t="shared" si="7"/>
        <v>20</v>
      </c>
      <c r="U44" s="18">
        <f t="shared" si="8"/>
        <v>17.682926829268293</v>
      </c>
      <c r="V44" s="18">
        <f>VLOOKUP(A:A,[1]TDSheet!$A:$W,23,0)</f>
        <v>12.4</v>
      </c>
      <c r="W44" s="18">
        <f>VLOOKUP(A:A,[1]TDSheet!$A:$X,24,0)</f>
        <v>5.8</v>
      </c>
      <c r="X44" s="18">
        <f>VLOOKUP(A:A,[1]TDSheet!$A:$Y,25,0)</f>
        <v>7.4</v>
      </c>
      <c r="Y44" s="18">
        <f>VLOOKUP(A:A,[1]TDSheet!$A:$P,16,0)</f>
        <v>8.6</v>
      </c>
      <c r="Z44" s="18"/>
      <c r="AA44" s="18">
        <f t="shared" si="9"/>
        <v>3.42</v>
      </c>
      <c r="AB44" s="18">
        <f t="shared" si="10"/>
        <v>1.4759999999999998</v>
      </c>
    </row>
    <row r="45" spans="1:28" ht="22.15" customHeight="1" x14ac:dyDescent="0.2">
      <c r="A45" s="23" t="s">
        <v>49</v>
      </c>
      <c r="B45" s="9" t="s">
        <v>14</v>
      </c>
      <c r="C45" s="9" t="str">
        <f>VLOOKUP(A:A,[1]TDSheet!$A:$C,3,0)</f>
        <v>дубль</v>
      </c>
      <c r="D45" s="10">
        <v>59.167999999999999</v>
      </c>
      <c r="E45" s="10"/>
      <c r="F45" s="10">
        <v>6.6180000000000003</v>
      </c>
      <c r="G45" s="10">
        <v>52.55</v>
      </c>
      <c r="H45" s="5">
        <f>VLOOKUP(A:A,[1]TDSheet!$A:$H,8,0)</f>
        <v>1</v>
      </c>
      <c r="L45" s="18">
        <f>VLOOKUP(A:A,[2]TDSheet!$A:$B,2,0)</f>
        <v>5</v>
      </c>
      <c r="M45" s="18">
        <f t="shared" si="5"/>
        <v>1.6180000000000003</v>
      </c>
      <c r="N45" s="18"/>
      <c r="O45" s="18">
        <f>VLOOKUP(A:A,[1]TDSheet!$A:$Q,17,0)</f>
        <v>0</v>
      </c>
      <c r="P45" s="18">
        <f t="shared" si="6"/>
        <v>1.3236000000000001</v>
      </c>
      <c r="Q45" s="19"/>
      <c r="R45" s="19"/>
      <c r="S45" s="18"/>
      <c r="T45" s="18">
        <f t="shared" si="7"/>
        <v>39.702326987005129</v>
      </c>
      <c r="U45" s="18">
        <f t="shared" si="8"/>
        <v>39.702326987005129</v>
      </c>
      <c r="V45" s="18">
        <f>VLOOKUP(A:A,[1]TDSheet!$A:$W,23,0)</f>
        <v>1.3355999999999999</v>
      </c>
      <c r="W45" s="18">
        <f>VLOOKUP(A:A,[1]TDSheet!$A:$X,24,0)</f>
        <v>1.988</v>
      </c>
      <c r="X45" s="18">
        <f>VLOOKUP(A:A,[1]TDSheet!$A:$Y,25,0)</f>
        <v>2.0207999999999999</v>
      </c>
      <c r="Y45" s="18">
        <f>VLOOKUP(A:A,[1]TDSheet!$A:$P,16,0)</f>
        <v>0.68840000000000001</v>
      </c>
      <c r="Z45" s="18"/>
      <c r="AA45" s="18">
        <f t="shared" si="9"/>
        <v>0</v>
      </c>
      <c r="AB45" s="18">
        <f t="shared" si="10"/>
        <v>1.3236000000000001</v>
      </c>
    </row>
    <row r="46" spans="1:28" ht="22.15" customHeight="1" x14ac:dyDescent="0.2">
      <c r="A46" s="9" t="s">
        <v>50</v>
      </c>
      <c r="B46" s="9" t="s">
        <v>14</v>
      </c>
      <c r="C46" s="9">
        <f>VLOOKUP(A:A,[1]TDSheet!$A:$C,3,0)</f>
        <v>8785198</v>
      </c>
      <c r="D46" s="10">
        <v>80.581999999999994</v>
      </c>
      <c r="E46" s="10"/>
      <c r="F46" s="10">
        <v>18.98</v>
      </c>
      <c r="G46" s="10">
        <v>61.601999999999997</v>
      </c>
      <c r="H46" s="5">
        <f>VLOOKUP(A:A,[1]TDSheet!$A:$H,8,0)</f>
        <v>1</v>
      </c>
      <c r="L46" s="18">
        <f>VLOOKUP(A:A,[2]TDSheet!$A:$B,2,0)</f>
        <v>20.2</v>
      </c>
      <c r="M46" s="18">
        <f t="shared" si="5"/>
        <v>-1.2199999999999989</v>
      </c>
      <c r="N46" s="18"/>
      <c r="O46" s="18">
        <f>VLOOKUP(A:A,[1]TDSheet!$A:$Q,17,0)</f>
        <v>0</v>
      </c>
      <c r="P46" s="18">
        <f t="shared" si="6"/>
        <v>3.7960000000000003</v>
      </c>
      <c r="Q46" s="19">
        <f t="shared" si="11"/>
        <v>14.318000000000005</v>
      </c>
      <c r="R46" s="19"/>
      <c r="S46" s="18"/>
      <c r="T46" s="18">
        <f t="shared" si="7"/>
        <v>20</v>
      </c>
      <c r="U46" s="18">
        <f t="shared" si="8"/>
        <v>16.228134878819809</v>
      </c>
      <c r="V46" s="18">
        <f>VLOOKUP(A:A,[1]TDSheet!$A:$W,23,0)</f>
        <v>3.8764000000000003</v>
      </c>
      <c r="W46" s="18">
        <f>VLOOKUP(A:A,[1]TDSheet!$A:$X,24,0)</f>
        <v>3.9607999999999999</v>
      </c>
      <c r="X46" s="18">
        <f>VLOOKUP(A:A,[1]TDSheet!$A:$Y,25,0)</f>
        <v>0.71599999999999997</v>
      </c>
      <c r="Y46" s="18">
        <f>VLOOKUP(A:A,[1]TDSheet!$A:$P,16,0)</f>
        <v>0</v>
      </c>
      <c r="Z46" s="18" t="str">
        <f>VLOOKUP(A:A,[1]TDSheet!$A:$Z,26,0)</f>
        <v>увел продажи</v>
      </c>
      <c r="AA46" s="18">
        <f t="shared" si="9"/>
        <v>14.318000000000005</v>
      </c>
      <c r="AB46" s="18">
        <f t="shared" si="10"/>
        <v>3.7960000000000003</v>
      </c>
    </row>
    <row r="47" spans="1:28" ht="10.9" customHeight="1" x14ac:dyDescent="0.2">
      <c r="A47" s="9" t="s">
        <v>51</v>
      </c>
      <c r="B47" s="9" t="s">
        <v>13</v>
      </c>
      <c r="C47" s="9">
        <f>VLOOKUP(A:A,[1]TDSheet!$A:$C,3,0)</f>
        <v>8444187</v>
      </c>
      <c r="D47" s="10">
        <v>112</v>
      </c>
      <c r="E47" s="10"/>
      <c r="F47" s="10">
        <v>68</v>
      </c>
      <c r="G47" s="10">
        <v>42</v>
      </c>
      <c r="H47" s="5">
        <f>VLOOKUP(A:A,[1]TDSheet!$A:$H,8,0)</f>
        <v>0.1</v>
      </c>
      <c r="L47" s="18">
        <f>VLOOKUP(A:A,[2]TDSheet!$A:$B,2,0)</f>
        <v>70</v>
      </c>
      <c r="M47" s="18">
        <f t="shared" si="5"/>
        <v>-2</v>
      </c>
      <c r="N47" s="18"/>
      <c r="O47" s="18">
        <f>VLOOKUP(A:A,[1]TDSheet!$A:$Q,17,0)</f>
        <v>52</v>
      </c>
      <c r="P47" s="18">
        <f t="shared" si="6"/>
        <v>13.6</v>
      </c>
      <c r="Q47" s="19">
        <f t="shared" si="11"/>
        <v>178</v>
      </c>
      <c r="R47" s="19"/>
      <c r="S47" s="18"/>
      <c r="T47" s="18">
        <f t="shared" si="7"/>
        <v>20</v>
      </c>
      <c r="U47" s="18">
        <f t="shared" si="8"/>
        <v>3.0882352941176472</v>
      </c>
      <c r="V47" s="18">
        <f>VLOOKUP(A:A,[1]TDSheet!$A:$W,23,0)</f>
        <v>8.6</v>
      </c>
      <c r="W47" s="18">
        <f>VLOOKUP(A:A,[1]TDSheet!$A:$X,24,0)</f>
        <v>-0.4</v>
      </c>
      <c r="X47" s="18">
        <f>VLOOKUP(A:A,[1]TDSheet!$A:$Y,25,0)</f>
        <v>4.8</v>
      </c>
      <c r="Y47" s="18">
        <f>VLOOKUP(A:A,[1]TDSheet!$A:$P,16,0)</f>
        <v>8.1999999999999993</v>
      </c>
      <c r="Z47" s="18" t="str">
        <f>VLOOKUP(A:A,[1]TDSheet!$A:$Z,26,0)</f>
        <v>увел продажи</v>
      </c>
      <c r="AA47" s="18">
        <f t="shared" si="9"/>
        <v>17.8</v>
      </c>
      <c r="AB47" s="18">
        <f t="shared" si="10"/>
        <v>1.36</v>
      </c>
    </row>
    <row r="48" spans="1:28" ht="10.9" customHeight="1" x14ac:dyDescent="0.2">
      <c r="A48" s="9" t="s">
        <v>52</v>
      </c>
      <c r="B48" s="9" t="s">
        <v>13</v>
      </c>
      <c r="C48" s="9">
        <f>VLOOKUP(A:A,[1]TDSheet!$A:$C,3,0)</f>
        <v>8444194</v>
      </c>
      <c r="D48" s="10">
        <v>174</v>
      </c>
      <c r="E48" s="10">
        <v>2</v>
      </c>
      <c r="F48" s="10">
        <v>71</v>
      </c>
      <c r="G48" s="10">
        <v>101</v>
      </c>
      <c r="H48" s="5">
        <f>VLOOKUP(A:A,[1]TDSheet!$A:$H,8,0)</f>
        <v>0.1</v>
      </c>
      <c r="L48" s="18">
        <f>VLOOKUP(A:A,[2]TDSheet!$A:$B,2,0)</f>
        <v>75</v>
      </c>
      <c r="M48" s="18">
        <f t="shared" si="5"/>
        <v>-4</v>
      </c>
      <c r="N48" s="18"/>
      <c r="O48" s="18">
        <f>VLOOKUP(A:A,[1]TDSheet!$A:$Q,17,0)</f>
        <v>0</v>
      </c>
      <c r="P48" s="18">
        <f t="shared" si="6"/>
        <v>14.2</v>
      </c>
      <c r="Q48" s="19">
        <f t="shared" si="11"/>
        <v>183</v>
      </c>
      <c r="R48" s="19"/>
      <c r="S48" s="18"/>
      <c r="T48" s="18">
        <f t="shared" si="7"/>
        <v>20</v>
      </c>
      <c r="U48" s="18">
        <f t="shared" si="8"/>
        <v>7.1126760563380289</v>
      </c>
      <c r="V48" s="18">
        <f>VLOOKUP(A:A,[1]TDSheet!$A:$W,23,0)</f>
        <v>12.6</v>
      </c>
      <c r="W48" s="18">
        <f>VLOOKUP(A:A,[1]TDSheet!$A:$X,24,0)</f>
        <v>2.6</v>
      </c>
      <c r="X48" s="18">
        <f>VLOOKUP(A:A,[1]TDSheet!$A:$Y,25,0)</f>
        <v>7.4</v>
      </c>
      <c r="Y48" s="18">
        <f>VLOOKUP(A:A,[1]TDSheet!$A:$P,16,0)</f>
        <v>7.6</v>
      </c>
      <c r="Z48" s="18"/>
      <c r="AA48" s="18">
        <f t="shared" si="9"/>
        <v>18.3</v>
      </c>
      <c r="AB48" s="18">
        <f t="shared" si="10"/>
        <v>1.42</v>
      </c>
    </row>
    <row r="49" spans="1:29" ht="10.9" customHeight="1" x14ac:dyDescent="0.2">
      <c r="A49" s="9" t="s">
        <v>53</v>
      </c>
      <c r="B49" s="9" t="s">
        <v>13</v>
      </c>
      <c r="C49" s="9">
        <f>VLOOKUP(A:A,[1]TDSheet!$A:$C,3,0)</f>
        <v>9988391</v>
      </c>
      <c r="D49" s="10">
        <v>48</v>
      </c>
      <c r="E49" s="10">
        <v>64</v>
      </c>
      <c r="F49" s="10">
        <v>31</v>
      </c>
      <c r="G49" s="10">
        <v>81</v>
      </c>
      <c r="H49" s="5">
        <f>VLOOKUP(A:A,[1]TDSheet!$A:$H,8,0)</f>
        <v>0.14000000000000001</v>
      </c>
      <c r="L49" s="18">
        <f>VLOOKUP(A:A,[2]TDSheet!$A:$B,2,0)</f>
        <v>31</v>
      </c>
      <c r="M49" s="18">
        <f t="shared" si="5"/>
        <v>0</v>
      </c>
      <c r="N49" s="18"/>
      <c r="O49" s="18">
        <f>VLOOKUP(A:A,[1]TDSheet!$A:$Q,17,0)</f>
        <v>32</v>
      </c>
      <c r="P49" s="18">
        <f t="shared" si="6"/>
        <v>6.2</v>
      </c>
      <c r="Q49" s="19">
        <f t="shared" si="11"/>
        <v>11</v>
      </c>
      <c r="R49" s="19"/>
      <c r="S49" s="18"/>
      <c r="T49" s="18">
        <f t="shared" si="7"/>
        <v>20</v>
      </c>
      <c r="U49" s="18">
        <f t="shared" si="8"/>
        <v>13.064516129032258</v>
      </c>
      <c r="V49" s="18">
        <f>VLOOKUP(A:A,[1]TDSheet!$A:$W,23,0)</f>
        <v>1</v>
      </c>
      <c r="W49" s="18">
        <f>VLOOKUP(A:A,[1]TDSheet!$A:$X,24,0)</f>
        <v>3.6</v>
      </c>
      <c r="X49" s="18">
        <f>VLOOKUP(A:A,[1]TDSheet!$A:$Y,25,0)</f>
        <v>7</v>
      </c>
      <c r="Y49" s="18">
        <f>VLOOKUP(A:A,[1]TDSheet!$A:$P,16,0)</f>
        <v>7</v>
      </c>
      <c r="Z49" s="18" t="str">
        <f>VLOOKUP(A:A,[1]TDSheet!$A:$Z,26,0)</f>
        <v>увел продажи</v>
      </c>
      <c r="AA49" s="18">
        <f t="shared" si="9"/>
        <v>1.54</v>
      </c>
      <c r="AB49" s="18">
        <f t="shared" si="10"/>
        <v>0.8680000000000001</v>
      </c>
    </row>
    <row r="50" spans="1:29" ht="10.9" customHeight="1" x14ac:dyDescent="0.2">
      <c r="A50" s="9" t="s">
        <v>54</v>
      </c>
      <c r="B50" s="9" t="s">
        <v>13</v>
      </c>
      <c r="C50" s="9">
        <f>VLOOKUP(A:A,[1]TDSheet!$A:$C,3,0)</f>
        <v>9988377</v>
      </c>
      <c r="D50" s="10">
        <v>97</v>
      </c>
      <c r="E50" s="10">
        <v>32</v>
      </c>
      <c r="F50" s="10">
        <v>40</v>
      </c>
      <c r="G50" s="10">
        <v>89</v>
      </c>
      <c r="H50" s="5">
        <f>VLOOKUP(A:A,[1]TDSheet!$A:$H,8,0)</f>
        <v>0.14000000000000001</v>
      </c>
      <c r="L50" s="18">
        <f>VLOOKUP(A:A,[2]TDSheet!$A:$B,2,0)</f>
        <v>40</v>
      </c>
      <c r="M50" s="18">
        <f t="shared" si="5"/>
        <v>0</v>
      </c>
      <c r="N50" s="18"/>
      <c r="O50" s="18">
        <f>VLOOKUP(A:A,[1]TDSheet!$A:$Q,17,0)</f>
        <v>25</v>
      </c>
      <c r="P50" s="18">
        <f t="shared" si="6"/>
        <v>8</v>
      </c>
      <c r="Q50" s="19">
        <f t="shared" si="11"/>
        <v>46</v>
      </c>
      <c r="R50" s="19"/>
      <c r="S50" s="18"/>
      <c r="T50" s="18">
        <f t="shared" si="7"/>
        <v>20</v>
      </c>
      <c r="U50" s="18">
        <f t="shared" si="8"/>
        <v>11.125</v>
      </c>
      <c r="V50" s="18">
        <f>VLOOKUP(A:A,[1]TDSheet!$A:$W,23,0)</f>
        <v>5.2</v>
      </c>
      <c r="W50" s="18">
        <f>VLOOKUP(A:A,[1]TDSheet!$A:$X,24,0)</f>
        <v>7.4</v>
      </c>
      <c r="X50" s="18">
        <f>VLOOKUP(A:A,[1]TDSheet!$A:$Y,25,0)</f>
        <v>7.4</v>
      </c>
      <c r="Y50" s="18">
        <f>VLOOKUP(A:A,[1]TDSheet!$A:$P,16,0)</f>
        <v>7.6</v>
      </c>
      <c r="Z50" s="18" t="str">
        <f>VLOOKUP(A:A,[1]TDSheet!$A:$Z,26,0)</f>
        <v>увел продажи</v>
      </c>
      <c r="AA50" s="18">
        <f t="shared" si="9"/>
        <v>6.44</v>
      </c>
      <c r="AB50" s="18">
        <f t="shared" si="10"/>
        <v>1.1200000000000001</v>
      </c>
    </row>
    <row r="51" spans="1:29" ht="10.9" customHeight="1" x14ac:dyDescent="0.2">
      <c r="A51" s="9" t="s">
        <v>55</v>
      </c>
      <c r="B51" s="9" t="s">
        <v>13</v>
      </c>
      <c r="C51" s="9" t="str">
        <f>VLOOKUP(A:A,[1]TDSheet!$A:$C,3,0)</f>
        <v>783К798</v>
      </c>
      <c r="D51" s="10">
        <v>333</v>
      </c>
      <c r="E51" s="10">
        <v>72</v>
      </c>
      <c r="F51" s="10">
        <v>123</v>
      </c>
      <c r="G51" s="10">
        <v>210</v>
      </c>
      <c r="H51" s="5">
        <f>VLOOKUP(A:A,[1]TDSheet!$A:$H,8,0)</f>
        <v>0.2</v>
      </c>
      <c r="L51" s="18">
        <f>VLOOKUP(A:A,[2]TDSheet!$A:$B,2,0)</f>
        <v>123</v>
      </c>
      <c r="M51" s="18">
        <f t="shared" si="5"/>
        <v>0</v>
      </c>
      <c r="N51" s="18"/>
      <c r="O51" s="18">
        <f>VLOOKUP(A:A,[1]TDSheet!$A:$Q,17,0)</f>
        <v>0</v>
      </c>
      <c r="P51" s="18">
        <f t="shared" si="6"/>
        <v>24.6</v>
      </c>
      <c r="Q51" s="19">
        <f t="shared" si="11"/>
        <v>282</v>
      </c>
      <c r="R51" s="19"/>
      <c r="S51" s="18"/>
      <c r="T51" s="18">
        <f t="shared" si="7"/>
        <v>20</v>
      </c>
      <c r="U51" s="18">
        <f t="shared" si="8"/>
        <v>8.5365853658536572</v>
      </c>
      <c r="V51" s="18">
        <f>VLOOKUP(A:A,[1]TDSheet!$A:$W,23,0)</f>
        <v>31.8</v>
      </c>
      <c r="W51" s="18">
        <f>VLOOKUP(A:A,[1]TDSheet!$A:$X,24,0)</f>
        <v>13.8</v>
      </c>
      <c r="X51" s="18">
        <f>VLOOKUP(A:A,[1]TDSheet!$A:$Y,25,0)</f>
        <v>8.1999999999999993</v>
      </c>
      <c r="Y51" s="18">
        <f>VLOOKUP(A:A,[1]TDSheet!$A:$P,16,0)</f>
        <v>13.2</v>
      </c>
      <c r="Z51" s="18"/>
      <c r="AA51" s="18">
        <f t="shared" si="9"/>
        <v>56.400000000000006</v>
      </c>
      <c r="AB51" s="18">
        <f t="shared" si="10"/>
        <v>4.9200000000000008</v>
      </c>
    </row>
    <row r="52" spans="1:29" ht="10.9" customHeight="1" x14ac:dyDescent="0.2">
      <c r="A52" s="23" t="s">
        <v>56</v>
      </c>
      <c r="B52" s="9" t="s">
        <v>14</v>
      </c>
      <c r="C52" s="9" t="str">
        <f>VLOOKUP(A:A,[1]TDSheet!$A:$C,3,0)</f>
        <v>дубль798</v>
      </c>
      <c r="D52" s="10">
        <v>154.012</v>
      </c>
      <c r="E52" s="10">
        <v>3.3140000000000001</v>
      </c>
      <c r="F52" s="10">
        <v>15.311999999999999</v>
      </c>
      <c r="G52" s="10">
        <v>138.69999999999999</v>
      </c>
      <c r="H52" s="5">
        <f>VLOOKUP(A:A,[1]TDSheet!$A:$H,8,0)</f>
        <v>1</v>
      </c>
      <c r="L52" s="18">
        <f>VLOOKUP(A:A,[2]TDSheet!$A:$B,2,0)</f>
        <v>25</v>
      </c>
      <c r="M52" s="18">
        <f t="shared" si="5"/>
        <v>-9.6880000000000006</v>
      </c>
      <c r="N52" s="18"/>
      <c r="O52" s="18">
        <f>VLOOKUP(A:A,[1]TDSheet!$A:$Q,17,0)</f>
        <v>0</v>
      </c>
      <c r="P52" s="18">
        <f t="shared" si="6"/>
        <v>3.0623999999999998</v>
      </c>
      <c r="Q52" s="19"/>
      <c r="R52" s="19"/>
      <c r="S52" s="18"/>
      <c r="T52" s="18">
        <f t="shared" si="7"/>
        <v>45.291274817136888</v>
      </c>
      <c r="U52" s="18">
        <f t="shared" si="8"/>
        <v>45.291274817136888</v>
      </c>
      <c r="V52" s="18">
        <f>VLOOKUP(A:A,[1]TDSheet!$A:$W,23,0)</f>
        <v>3.8747999999999996</v>
      </c>
      <c r="W52" s="18">
        <f>VLOOKUP(A:A,[1]TDSheet!$A:$X,24,0)</f>
        <v>1.1103999999999998</v>
      </c>
      <c r="X52" s="18">
        <f>VLOOKUP(A:A,[1]TDSheet!$A:$Y,25,0)</f>
        <v>7.4767999999999999</v>
      </c>
      <c r="Y52" s="18">
        <f>VLOOKUP(A:A,[1]TDSheet!$A:$P,16,0)</f>
        <v>3.6636000000000002</v>
      </c>
      <c r="Z52" s="18" t="str">
        <f>VLOOKUP(A:A,[1]TDSheet!$A:$Z,26,0)</f>
        <v>увел продажи</v>
      </c>
      <c r="AA52" s="18">
        <f t="shared" si="9"/>
        <v>0</v>
      </c>
      <c r="AB52" s="18">
        <f t="shared" si="10"/>
        <v>3.0623999999999998</v>
      </c>
    </row>
    <row r="53" spans="1:29" ht="10.9" customHeight="1" x14ac:dyDescent="0.2">
      <c r="A53" s="9" t="s">
        <v>57</v>
      </c>
      <c r="B53" s="9" t="s">
        <v>13</v>
      </c>
      <c r="C53" s="9" t="str">
        <f>VLOOKUP(A:A,[1]TDSheet!$A:$C,3,0)</f>
        <v>783К801</v>
      </c>
      <c r="D53" s="10">
        <v>158</v>
      </c>
      <c r="E53" s="10">
        <v>58</v>
      </c>
      <c r="F53" s="10">
        <v>75</v>
      </c>
      <c r="G53" s="10">
        <v>123</v>
      </c>
      <c r="H53" s="5">
        <f>VLOOKUP(A:A,[1]TDSheet!$A:$H,8,0)</f>
        <v>0.2</v>
      </c>
      <c r="L53" s="18">
        <f>VLOOKUP(A:A,[2]TDSheet!$A:$B,2,0)</f>
        <v>75</v>
      </c>
      <c r="M53" s="18">
        <f t="shared" si="5"/>
        <v>0</v>
      </c>
      <c r="N53" s="18"/>
      <c r="O53" s="18">
        <f>VLOOKUP(A:A,[1]TDSheet!$A:$Q,17,0)</f>
        <v>0</v>
      </c>
      <c r="P53" s="18">
        <f t="shared" si="6"/>
        <v>15</v>
      </c>
      <c r="Q53" s="19">
        <f t="shared" si="11"/>
        <v>177</v>
      </c>
      <c r="R53" s="19"/>
      <c r="S53" s="18"/>
      <c r="T53" s="18">
        <f t="shared" si="7"/>
        <v>20</v>
      </c>
      <c r="U53" s="18">
        <f t="shared" si="8"/>
        <v>8.1999999999999993</v>
      </c>
      <c r="V53" s="18">
        <f>VLOOKUP(A:A,[1]TDSheet!$A:$W,23,0)</f>
        <v>18.600000000000001</v>
      </c>
      <c r="W53" s="18">
        <f>VLOOKUP(A:A,[1]TDSheet!$A:$X,24,0)</f>
        <v>14</v>
      </c>
      <c r="X53" s="18">
        <f>VLOOKUP(A:A,[1]TDSheet!$A:$Y,25,0)</f>
        <v>12.2</v>
      </c>
      <c r="Y53" s="18">
        <f>VLOOKUP(A:A,[1]TDSheet!$A:$P,16,0)</f>
        <v>8.6</v>
      </c>
      <c r="Z53" s="18"/>
      <c r="AA53" s="18">
        <f t="shared" si="9"/>
        <v>35.4</v>
      </c>
      <c r="AB53" s="18">
        <f t="shared" si="10"/>
        <v>3</v>
      </c>
    </row>
    <row r="54" spans="1:29" ht="22.15" customHeight="1" x14ac:dyDescent="0.2">
      <c r="A54" s="23" t="s">
        <v>58</v>
      </c>
      <c r="B54" s="9" t="s">
        <v>14</v>
      </c>
      <c r="C54" s="9"/>
      <c r="D54" s="10">
        <v>270.7</v>
      </c>
      <c r="E54" s="10"/>
      <c r="F54" s="10">
        <v>14.747999999999999</v>
      </c>
      <c r="G54" s="10">
        <v>255.952</v>
      </c>
      <c r="H54" s="5">
        <f>VLOOKUP(A:A,[1]TDSheet!$A:$H,8,0)</f>
        <v>1</v>
      </c>
      <c r="L54" s="18">
        <f>VLOOKUP(A:A,[2]TDSheet!$A:$B,2,0)</f>
        <v>14</v>
      </c>
      <c r="M54" s="18">
        <f t="shared" si="5"/>
        <v>0.74799999999999933</v>
      </c>
      <c r="N54" s="18"/>
      <c r="O54" s="18">
        <f>VLOOKUP(A:A,[1]TDSheet!$A:$Q,17,0)</f>
        <v>0</v>
      </c>
      <c r="P54" s="18">
        <f t="shared" si="6"/>
        <v>2.9495999999999998</v>
      </c>
      <c r="Q54" s="19"/>
      <c r="R54" s="19"/>
      <c r="S54" s="18"/>
      <c r="T54" s="18">
        <f t="shared" si="7"/>
        <v>86.775155953349611</v>
      </c>
      <c r="U54" s="18">
        <f t="shared" si="8"/>
        <v>86.775155953349611</v>
      </c>
      <c r="V54" s="18">
        <f>VLOOKUP(A:A,[1]TDSheet!$A:$W,23,0)</f>
        <v>1.4567999999999999</v>
      </c>
      <c r="W54" s="18">
        <f>VLOOKUP(A:A,[1]TDSheet!$A:$X,24,0)</f>
        <v>8.5687999999999995</v>
      </c>
      <c r="X54" s="18">
        <f>VLOOKUP(A:A,[1]TDSheet!$A:$Y,25,0)</f>
        <v>2.1876000000000002</v>
      </c>
      <c r="Y54" s="18">
        <f>VLOOKUP(A:A,[1]TDSheet!$A:$P,16,0)</f>
        <v>2.4E-2</v>
      </c>
      <c r="Z54" s="18" t="str">
        <f>VLOOKUP(A:A,[1]TDSheet!$A:$Z,26,0)</f>
        <v>увел продажи</v>
      </c>
      <c r="AA54" s="18">
        <f t="shared" si="9"/>
        <v>0</v>
      </c>
      <c r="AB54" s="18">
        <f t="shared" si="10"/>
        <v>2.9495999999999998</v>
      </c>
    </row>
    <row r="55" spans="1:29" ht="11.1" customHeight="1" x14ac:dyDescent="0.2">
      <c r="A55" s="9" t="s">
        <v>80</v>
      </c>
      <c r="B55" s="9" t="s">
        <v>13</v>
      </c>
      <c r="C55" s="9">
        <f>VLOOKUP(A:A,[1]TDSheet!$A:$C,3,0)</f>
        <v>3534796</v>
      </c>
      <c r="D55" s="10"/>
      <c r="E55" s="10"/>
      <c r="F55" s="10">
        <v>0</v>
      </c>
      <c r="G55" s="10"/>
      <c r="H55" s="5">
        <f>VLOOKUP(A:A,[1]TDSheet!$A:$H,8,0)</f>
        <v>0.18</v>
      </c>
      <c r="L55" s="18">
        <v>0</v>
      </c>
      <c r="M55" s="18">
        <f t="shared" si="5"/>
        <v>0</v>
      </c>
      <c r="N55" s="18"/>
      <c r="O55" s="18">
        <f>VLOOKUP(A:A,[1]TDSheet!$A:$Q,17,0)</f>
        <v>0</v>
      </c>
      <c r="P55" s="18">
        <f t="shared" si="6"/>
        <v>0</v>
      </c>
      <c r="Q55" s="19"/>
      <c r="R55" s="19"/>
      <c r="S55" s="18"/>
      <c r="T55" s="18" t="e">
        <f t="shared" si="7"/>
        <v>#DIV/0!</v>
      </c>
      <c r="U55" s="18" t="e">
        <f t="shared" si="8"/>
        <v>#DIV/0!</v>
      </c>
      <c r="V55" s="18">
        <f>VLOOKUP(A:A,[1]TDSheet!$A:$W,23,0)</f>
        <v>0</v>
      </c>
      <c r="W55" s="18">
        <f>VLOOKUP(A:A,[1]TDSheet!$A:$X,24,0)</f>
        <v>0</v>
      </c>
      <c r="X55" s="18">
        <f>VLOOKUP(A:A,[1]TDSheet!$A:$Y,25,0)</f>
        <v>0</v>
      </c>
      <c r="Y55" s="18">
        <f>VLOOKUP(A:A,[1]TDSheet!$A:$P,16,0)</f>
        <v>0</v>
      </c>
      <c r="Z55" s="18"/>
      <c r="AA55" s="18">
        <f t="shared" si="9"/>
        <v>0</v>
      </c>
      <c r="AB55" s="18">
        <f t="shared" si="10"/>
        <v>0</v>
      </c>
    </row>
    <row r="56" spans="1:29" ht="11.1" customHeight="1" x14ac:dyDescent="0.2">
      <c r="A56" s="9" t="s">
        <v>81</v>
      </c>
      <c r="B56" s="9" t="s">
        <v>13</v>
      </c>
      <c r="C56" s="9">
        <f>VLOOKUP(A:A,[1]TDSheet!$A:$C,3,0)</f>
        <v>6819</v>
      </c>
      <c r="D56" s="10"/>
      <c r="E56" s="10"/>
      <c r="F56" s="10">
        <v>0</v>
      </c>
      <c r="G56" s="10"/>
      <c r="H56" s="5">
        <f>VLOOKUP(A:A,[1]TDSheet!$A:$H,8,0)</f>
        <v>0.3</v>
      </c>
      <c r="L56" s="18">
        <f>VLOOKUP(A:A,[2]TDSheet!$A:$B,2,0)</f>
        <v>28</v>
      </c>
      <c r="M56" s="18">
        <f t="shared" si="5"/>
        <v>-28</v>
      </c>
      <c r="N56" s="18"/>
      <c r="O56" s="18">
        <f>VLOOKUP(A:A,[1]TDSheet!$A:$Q,17,0)</f>
        <v>0</v>
      </c>
      <c r="P56" s="18">
        <f t="shared" si="6"/>
        <v>0</v>
      </c>
      <c r="Q56" s="19"/>
      <c r="R56" s="19"/>
      <c r="S56" s="18" t="s">
        <v>86</v>
      </c>
      <c r="T56" s="18" t="e">
        <f t="shared" si="7"/>
        <v>#DIV/0!</v>
      </c>
      <c r="U56" s="18" t="e">
        <f t="shared" si="8"/>
        <v>#DIV/0!</v>
      </c>
      <c r="V56" s="18">
        <f>VLOOKUP(A:A,[1]TDSheet!$A:$W,23,0)</f>
        <v>8.6</v>
      </c>
      <c r="W56" s="18">
        <f>VLOOKUP(A:A,[1]TDSheet!$A:$X,24,0)</f>
        <v>0</v>
      </c>
      <c r="X56" s="18">
        <f>VLOOKUP(A:A,[1]TDSheet!$A:$Y,25,0)</f>
        <v>0</v>
      </c>
      <c r="Y56" s="18">
        <f>VLOOKUP(A:A,[1]TDSheet!$A:$P,16,0)</f>
        <v>0</v>
      </c>
      <c r="Z56" s="18"/>
      <c r="AA56" s="18">
        <f t="shared" si="9"/>
        <v>0</v>
      </c>
      <c r="AB56" s="18">
        <f t="shared" si="10"/>
        <v>0</v>
      </c>
    </row>
    <row r="57" spans="1:29" customFormat="1" ht="11.1" customHeight="1" x14ac:dyDescent="0.2">
      <c r="A57" s="9" t="s">
        <v>82</v>
      </c>
      <c r="B57" s="9" t="s">
        <v>13</v>
      </c>
      <c r="C57" s="9">
        <f>VLOOKUP(A:A,[1]TDSheet!$A:$C,3,0)</f>
        <v>7216</v>
      </c>
      <c r="D57" s="10"/>
      <c r="E57" s="10"/>
      <c r="F57" s="10">
        <v>133</v>
      </c>
      <c r="G57" s="10"/>
      <c r="H57" s="5">
        <f>VLOOKUP(A:A,[1]TDSheet!$A:$H,8,0)</f>
        <v>0.7</v>
      </c>
      <c r="I57" s="5"/>
      <c r="L57" s="18">
        <f>VLOOKUP(A:A,[2]TDSheet!$A:$B,2,0)</f>
        <v>4</v>
      </c>
      <c r="M57" s="18">
        <f t="shared" si="5"/>
        <v>129</v>
      </c>
      <c r="N57" s="21"/>
      <c r="O57" s="18">
        <v>0</v>
      </c>
      <c r="P57" s="18">
        <f t="shared" si="6"/>
        <v>26.6</v>
      </c>
      <c r="Q57" s="19"/>
      <c r="R57" s="19"/>
      <c r="S57" s="22"/>
      <c r="T57" s="18">
        <f t="shared" si="7"/>
        <v>0</v>
      </c>
      <c r="U57" s="18">
        <f t="shared" si="8"/>
        <v>0</v>
      </c>
      <c r="V57" s="18">
        <f>VLOOKUP(A:A,[1]TDSheet!$A:$W,23,0)</f>
        <v>0</v>
      </c>
      <c r="W57" s="18">
        <f>VLOOKUP(A:A,[1]TDSheet!$A:$X,24,0)</f>
        <v>20.2</v>
      </c>
      <c r="X57" s="18">
        <f>VLOOKUP(A:A,[1]TDSheet!$A:$Y,25,0)</f>
        <v>12</v>
      </c>
      <c r="Y57" s="18">
        <f>VLOOKUP(A:A,[1]TDSheet!$A:$P,16,0)</f>
        <v>23.6</v>
      </c>
      <c r="Z57" s="18"/>
      <c r="AA57" s="18">
        <f t="shared" si="9"/>
        <v>0</v>
      </c>
      <c r="AB57" s="18">
        <f t="shared" si="10"/>
        <v>18.62</v>
      </c>
      <c r="AC57" s="21"/>
    </row>
    <row r="58" spans="1:29" ht="11.45" customHeight="1" x14ac:dyDescent="0.2">
      <c r="C58" s="9"/>
      <c r="Y58" s="18"/>
    </row>
    <row r="59" spans="1:29" ht="11.45" customHeight="1" x14ac:dyDescent="0.2">
      <c r="Y59" s="18"/>
    </row>
  </sheetData>
  <autoFilter ref="A8:AB57" xr:uid="{9B75763C-1588-4024-86F1-BC4E5243ED93}"/>
  <pageMargins left="0.75" right="1" top="0.75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2026-06-24T09:59:00Z</dcterms:modified>
</cp:coreProperties>
</file>