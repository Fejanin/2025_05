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784"/>
  </bookViews>
  <sheets>
    <sheet name="TDSheet" sheetId="1" r:id="rId1"/>
  </sheets>
  <externalReferences>
    <externalReference r:id="rId2"/>
    <externalReference r:id="rId3"/>
  </externalReferenc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8" i="1" l="1"/>
  <c r="U68" i="1"/>
  <c r="T68" i="1"/>
  <c r="P68" i="1"/>
  <c r="M68" i="1"/>
  <c r="L68" i="1"/>
  <c r="I68" i="1"/>
  <c r="AA67" i="1"/>
  <c r="Z67" i="1"/>
  <c r="Y67" i="1"/>
  <c r="X67" i="1"/>
  <c r="W67" i="1"/>
  <c r="V67" i="1"/>
  <c r="U67" i="1"/>
  <c r="T67" i="1"/>
  <c r="Q67" i="1"/>
  <c r="P67" i="1"/>
  <c r="O67" i="1"/>
  <c r="N67" i="1"/>
  <c r="M67" i="1"/>
  <c r="L67" i="1"/>
  <c r="H67" i="1"/>
  <c r="AA66" i="1"/>
  <c r="Y66" i="1"/>
  <c r="X66" i="1"/>
  <c r="W66" i="1"/>
  <c r="V66" i="1"/>
  <c r="U66" i="1"/>
  <c r="T66" i="1"/>
  <c r="Q66" i="1"/>
  <c r="P66" i="1"/>
  <c r="O66" i="1"/>
  <c r="N66" i="1"/>
  <c r="M66" i="1"/>
  <c r="L66" i="1"/>
  <c r="H66" i="1"/>
  <c r="C66" i="1"/>
  <c r="AA65" i="1"/>
  <c r="Z65" i="1"/>
  <c r="Y65" i="1"/>
  <c r="X65" i="1"/>
  <c r="W65" i="1"/>
  <c r="V65" i="1"/>
  <c r="U65" i="1"/>
  <c r="T65" i="1"/>
  <c r="Q65" i="1"/>
  <c r="P65" i="1"/>
  <c r="O65" i="1"/>
  <c r="N65" i="1"/>
  <c r="M65" i="1"/>
  <c r="L65" i="1"/>
  <c r="H65" i="1"/>
  <c r="C65" i="1"/>
  <c r="AA64" i="1"/>
  <c r="Z64" i="1"/>
  <c r="Y64" i="1"/>
  <c r="X64" i="1"/>
  <c r="W64" i="1"/>
  <c r="V64" i="1"/>
  <c r="U64" i="1"/>
  <c r="T64" i="1"/>
  <c r="Q64" i="1"/>
  <c r="P64" i="1"/>
  <c r="O64" i="1"/>
  <c r="N64" i="1"/>
  <c r="M64" i="1"/>
  <c r="L64" i="1"/>
  <c r="H64" i="1"/>
  <c r="C64" i="1"/>
  <c r="AA63" i="1"/>
  <c r="Z63" i="1"/>
  <c r="Y63" i="1"/>
  <c r="X63" i="1"/>
  <c r="W63" i="1"/>
  <c r="V63" i="1"/>
  <c r="U63" i="1"/>
  <c r="T63" i="1"/>
  <c r="Q63" i="1"/>
  <c r="P63" i="1"/>
  <c r="O63" i="1"/>
  <c r="N63" i="1"/>
  <c r="M63" i="1"/>
  <c r="L63" i="1"/>
  <c r="I63" i="1"/>
  <c r="H63" i="1"/>
  <c r="C63" i="1"/>
  <c r="AA62" i="1"/>
  <c r="Y62" i="1"/>
  <c r="X62" i="1"/>
  <c r="W62" i="1"/>
  <c r="V62" i="1"/>
  <c r="U62" i="1"/>
  <c r="T62" i="1"/>
  <c r="Q62" i="1"/>
  <c r="P62" i="1"/>
  <c r="O62" i="1"/>
  <c r="N62" i="1"/>
  <c r="M62" i="1"/>
  <c r="L62" i="1"/>
  <c r="I62" i="1"/>
  <c r="H62" i="1"/>
  <c r="C62" i="1"/>
  <c r="AA61" i="1"/>
  <c r="Z61" i="1"/>
  <c r="Y61" i="1"/>
  <c r="X61" i="1"/>
  <c r="W61" i="1"/>
  <c r="V61" i="1"/>
  <c r="U61" i="1"/>
  <c r="T61" i="1"/>
  <c r="Q61" i="1"/>
  <c r="P61" i="1"/>
  <c r="O61" i="1"/>
  <c r="N61" i="1"/>
  <c r="M61" i="1"/>
  <c r="L61" i="1"/>
  <c r="H61" i="1"/>
  <c r="C61" i="1"/>
  <c r="AA60" i="1"/>
  <c r="Z60" i="1"/>
  <c r="Y60" i="1"/>
  <c r="X60" i="1"/>
  <c r="W60" i="1"/>
  <c r="V60" i="1"/>
  <c r="U60" i="1"/>
  <c r="T60" i="1"/>
  <c r="Q60" i="1"/>
  <c r="P60" i="1"/>
  <c r="O60" i="1"/>
  <c r="N60" i="1"/>
  <c r="M60" i="1"/>
  <c r="L60" i="1"/>
  <c r="I60" i="1"/>
  <c r="H60" i="1"/>
  <c r="C60" i="1"/>
  <c r="AA59" i="1"/>
  <c r="Z59" i="1"/>
  <c r="Y59" i="1"/>
  <c r="X59" i="1"/>
  <c r="W59" i="1"/>
  <c r="V59" i="1"/>
  <c r="U59" i="1"/>
  <c r="T59" i="1"/>
  <c r="P59" i="1"/>
  <c r="O59" i="1"/>
  <c r="N59" i="1"/>
  <c r="M59" i="1"/>
  <c r="L59" i="1"/>
  <c r="I59" i="1"/>
  <c r="H59" i="1"/>
  <c r="C59" i="1"/>
  <c r="AA58" i="1"/>
  <c r="Z58" i="1"/>
  <c r="Y58" i="1"/>
  <c r="X58" i="1"/>
  <c r="W58" i="1"/>
  <c r="V58" i="1"/>
  <c r="U58" i="1"/>
  <c r="T58" i="1"/>
  <c r="P58" i="1"/>
  <c r="O58" i="1"/>
  <c r="N58" i="1"/>
  <c r="M58" i="1"/>
  <c r="L58" i="1"/>
  <c r="H58" i="1"/>
  <c r="AA57" i="1"/>
  <c r="Y57" i="1"/>
  <c r="X57" i="1"/>
  <c r="W57" i="1"/>
  <c r="V57" i="1"/>
  <c r="U57" i="1"/>
  <c r="T57" i="1"/>
  <c r="P57" i="1"/>
  <c r="O57" i="1"/>
  <c r="N57" i="1"/>
  <c r="M57" i="1"/>
  <c r="L57" i="1"/>
  <c r="I57" i="1"/>
  <c r="H57" i="1"/>
  <c r="C57" i="1"/>
  <c r="AA56" i="1"/>
  <c r="Y56" i="1"/>
  <c r="X56" i="1"/>
  <c r="W56" i="1"/>
  <c r="V56" i="1"/>
  <c r="U56" i="1"/>
  <c r="T56" i="1"/>
  <c r="P56" i="1"/>
  <c r="O56" i="1"/>
  <c r="N56" i="1"/>
  <c r="M56" i="1"/>
  <c r="L56" i="1"/>
  <c r="H56" i="1"/>
  <c r="AA55" i="1"/>
  <c r="Z55" i="1"/>
  <c r="Y55" i="1"/>
  <c r="X55" i="1"/>
  <c r="W55" i="1"/>
  <c r="V55" i="1"/>
  <c r="U55" i="1"/>
  <c r="T55" i="1"/>
  <c r="P55" i="1"/>
  <c r="O55" i="1"/>
  <c r="N55" i="1"/>
  <c r="M55" i="1"/>
  <c r="L55" i="1"/>
  <c r="H55" i="1"/>
  <c r="C55" i="1"/>
  <c r="AA54" i="1"/>
  <c r="Y54" i="1"/>
  <c r="X54" i="1"/>
  <c r="W54" i="1"/>
  <c r="V54" i="1"/>
  <c r="U54" i="1"/>
  <c r="T54" i="1"/>
  <c r="Q54" i="1"/>
  <c r="P54" i="1"/>
  <c r="O54" i="1"/>
  <c r="N54" i="1"/>
  <c r="M54" i="1"/>
  <c r="L54" i="1"/>
  <c r="I54" i="1"/>
  <c r="H54" i="1"/>
  <c r="C54" i="1"/>
  <c r="AA53" i="1"/>
  <c r="U53" i="1"/>
  <c r="T53" i="1"/>
  <c r="Q53" i="1"/>
  <c r="P53" i="1"/>
  <c r="M53" i="1"/>
  <c r="L53" i="1"/>
  <c r="AA52" i="1"/>
  <c r="U52" i="1"/>
  <c r="T52" i="1"/>
  <c r="Q52" i="1"/>
  <c r="P52" i="1"/>
  <c r="M52" i="1"/>
  <c r="L52" i="1"/>
  <c r="AA51" i="1"/>
  <c r="Z51" i="1"/>
  <c r="Y51" i="1"/>
  <c r="X51" i="1"/>
  <c r="W51" i="1"/>
  <c r="V51" i="1"/>
  <c r="U51" i="1"/>
  <c r="T51" i="1"/>
  <c r="Q51" i="1"/>
  <c r="P51" i="1"/>
  <c r="O51" i="1"/>
  <c r="N51" i="1"/>
  <c r="M51" i="1"/>
  <c r="L51" i="1"/>
  <c r="I51" i="1"/>
  <c r="H51" i="1"/>
  <c r="C51" i="1"/>
  <c r="AA50" i="1"/>
  <c r="Z50" i="1"/>
  <c r="Y50" i="1"/>
  <c r="X50" i="1"/>
  <c r="W50" i="1"/>
  <c r="V50" i="1"/>
  <c r="U50" i="1"/>
  <c r="T50" i="1"/>
  <c r="P50" i="1"/>
  <c r="O50" i="1"/>
  <c r="N50" i="1"/>
  <c r="M50" i="1"/>
  <c r="L50" i="1"/>
  <c r="I50" i="1"/>
  <c r="H50" i="1"/>
  <c r="C50" i="1"/>
  <c r="AA49" i="1"/>
  <c r="Z49" i="1"/>
  <c r="Y49" i="1"/>
  <c r="X49" i="1"/>
  <c r="W49" i="1"/>
  <c r="V49" i="1"/>
  <c r="U49" i="1"/>
  <c r="T49" i="1"/>
  <c r="Q49" i="1"/>
  <c r="P49" i="1"/>
  <c r="O49" i="1"/>
  <c r="N49" i="1"/>
  <c r="M49" i="1"/>
  <c r="L49" i="1"/>
  <c r="I49" i="1"/>
  <c r="H49" i="1"/>
  <c r="C49" i="1"/>
  <c r="AA48" i="1"/>
  <c r="Z48" i="1"/>
  <c r="Y48" i="1"/>
  <c r="X48" i="1"/>
  <c r="W48" i="1"/>
  <c r="V48" i="1"/>
  <c r="U48" i="1"/>
  <c r="T48" i="1"/>
  <c r="P48" i="1"/>
  <c r="O48" i="1"/>
  <c r="N48" i="1"/>
  <c r="M48" i="1"/>
  <c r="L48" i="1"/>
  <c r="I48" i="1"/>
  <c r="H48" i="1"/>
  <c r="C48" i="1"/>
  <c r="AA47" i="1"/>
  <c r="Z47" i="1"/>
  <c r="Y47" i="1"/>
  <c r="X47" i="1"/>
  <c r="W47" i="1"/>
  <c r="V47" i="1"/>
  <c r="U47" i="1"/>
  <c r="T47" i="1"/>
  <c r="P47" i="1"/>
  <c r="O47" i="1"/>
  <c r="N47" i="1"/>
  <c r="M47" i="1"/>
  <c r="L47" i="1"/>
  <c r="I47" i="1"/>
  <c r="H47" i="1"/>
  <c r="C47" i="1"/>
  <c r="AA46" i="1"/>
  <c r="Z46" i="1"/>
  <c r="Y46" i="1"/>
  <c r="X46" i="1"/>
  <c r="W46" i="1"/>
  <c r="V46" i="1"/>
  <c r="U46" i="1"/>
  <c r="T46" i="1"/>
  <c r="Q46" i="1"/>
  <c r="P46" i="1"/>
  <c r="O46" i="1"/>
  <c r="N46" i="1"/>
  <c r="M46" i="1"/>
  <c r="L46" i="1"/>
  <c r="I46" i="1"/>
  <c r="H46" i="1"/>
  <c r="C46" i="1"/>
  <c r="AA45" i="1"/>
  <c r="Y45" i="1"/>
  <c r="X45" i="1"/>
  <c r="W45" i="1"/>
  <c r="V45" i="1"/>
  <c r="U45" i="1"/>
  <c r="T45" i="1"/>
  <c r="Q45" i="1"/>
  <c r="P45" i="1"/>
  <c r="O45" i="1"/>
  <c r="N45" i="1"/>
  <c r="M45" i="1"/>
  <c r="L45" i="1"/>
  <c r="H45" i="1"/>
  <c r="C45" i="1"/>
  <c r="AA44" i="1"/>
  <c r="Y44" i="1"/>
  <c r="X44" i="1"/>
  <c r="W44" i="1"/>
  <c r="V44" i="1"/>
  <c r="U44" i="1"/>
  <c r="T44" i="1"/>
  <c r="P44" i="1"/>
  <c r="O44" i="1"/>
  <c r="N44" i="1"/>
  <c r="M44" i="1"/>
  <c r="L44" i="1"/>
  <c r="H44" i="1"/>
  <c r="C44" i="1"/>
  <c r="AA43" i="1"/>
  <c r="Y43" i="1"/>
  <c r="X43" i="1"/>
  <c r="W43" i="1"/>
  <c r="V43" i="1"/>
  <c r="U43" i="1"/>
  <c r="T43" i="1"/>
  <c r="Q43" i="1"/>
  <c r="P43" i="1"/>
  <c r="O43" i="1"/>
  <c r="N43" i="1"/>
  <c r="M43" i="1"/>
  <c r="L43" i="1"/>
  <c r="I43" i="1"/>
  <c r="H43" i="1"/>
  <c r="C43" i="1"/>
  <c r="AA42" i="1"/>
  <c r="Z42" i="1"/>
  <c r="Y42" i="1"/>
  <c r="X42" i="1"/>
  <c r="W42" i="1"/>
  <c r="V42" i="1"/>
  <c r="U42" i="1"/>
  <c r="T42" i="1"/>
  <c r="P42" i="1"/>
  <c r="O42" i="1"/>
  <c r="N42" i="1"/>
  <c r="M42" i="1"/>
  <c r="L42" i="1"/>
  <c r="I42" i="1"/>
  <c r="H42" i="1"/>
  <c r="C42" i="1"/>
  <c r="AA41" i="1"/>
  <c r="Z41" i="1"/>
  <c r="Y41" i="1"/>
  <c r="X41" i="1"/>
  <c r="W41" i="1"/>
  <c r="V41" i="1"/>
  <c r="U41" i="1"/>
  <c r="T41" i="1"/>
  <c r="P41" i="1"/>
  <c r="O41" i="1"/>
  <c r="N41" i="1"/>
  <c r="M41" i="1"/>
  <c r="H41" i="1"/>
  <c r="C41" i="1"/>
  <c r="AA40" i="1"/>
  <c r="Z40" i="1"/>
  <c r="Y40" i="1"/>
  <c r="X40" i="1"/>
  <c r="W40" i="1"/>
  <c r="V40" i="1"/>
  <c r="U40" i="1"/>
  <c r="T40" i="1"/>
  <c r="P40" i="1"/>
  <c r="O40" i="1"/>
  <c r="N40" i="1"/>
  <c r="M40" i="1"/>
  <c r="H40" i="1"/>
  <c r="C40" i="1"/>
  <c r="AA39" i="1"/>
  <c r="Z39" i="1"/>
  <c r="Y39" i="1"/>
  <c r="X39" i="1"/>
  <c r="W39" i="1"/>
  <c r="V39" i="1"/>
  <c r="U39" i="1"/>
  <c r="T39" i="1"/>
  <c r="P39" i="1"/>
  <c r="O39" i="1"/>
  <c r="N39" i="1"/>
  <c r="M39" i="1"/>
  <c r="H39" i="1"/>
  <c r="C39" i="1"/>
  <c r="AA38" i="1"/>
  <c r="Z38" i="1"/>
  <c r="Y38" i="1"/>
  <c r="X38" i="1"/>
  <c r="W38" i="1"/>
  <c r="V38" i="1"/>
  <c r="U38" i="1"/>
  <c r="T38" i="1"/>
  <c r="P38" i="1"/>
  <c r="O38" i="1"/>
  <c r="N38" i="1"/>
  <c r="M38" i="1"/>
  <c r="L38" i="1"/>
  <c r="I38" i="1"/>
  <c r="H38" i="1"/>
  <c r="C38" i="1"/>
  <c r="AA37" i="1"/>
  <c r="Z37" i="1"/>
  <c r="Y37" i="1"/>
  <c r="X37" i="1"/>
  <c r="W37" i="1"/>
  <c r="V37" i="1"/>
  <c r="U37" i="1"/>
  <c r="T37" i="1"/>
  <c r="P37" i="1"/>
  <c r="O37" i="1"/>
  <c r="N37" i="1"/>
  <c r="M37" i="1"/>
  <c r="L37" i="1"/>
  <c r="H37" i="1"/>
  <c r="C37" i="1"/>
  <c r="AA36" i="1"/>
  <c r="Z36" i="1"/>
  <c r="Y36" i="1"/>
  <c r="X36" i="1"/>
  <c r="W36" i="1"/>
  <c r="V36" i="1"/>
  <c r="U36" i="1"/>
  <c r="T36" i="1"/>
  <c r="P36" i="1"/>
  <c r="O36" i="1"/>
  <c r="N36" i="1"/>
  <c r="M36" i="1"/>
  <c r="L36" i="1"/>
  <c r="I36" i="1"/>
  <c r="H36" i="1"/>
  <c r="C36" i="1"/>
  <c r="AA35" i="1"/>
  <c r="Z35" i="1"/>
  <c r="Y35" i="1"/>
  <c r="X35" i="1"/>
  <c r="W35" i="1"/>
  <c r="V35" i="1"/>
  <c r="U35" i="1"/>
  <c r="T35" i="1"/>
  <c r="P35" i="1"/>
  <c r="O35" i="1"/>
  <c r="N35" i="1"/>
  <c r="M35" i="1"/>
  <c r="L35" i="1"/>
  <c r="I35" i="1"/>
  <c r="H35" i="1"/>
  <c r="C35" i="1"/>
  <c r="AA34" i="1"/>
  <c r="Y34" i="1"/>
  <c r="X34" i="1"/>
  <c r="W34" i="1"/>
  <c r="V34" i="1"/>
  <c r="U34" i="1"/>
  <c r="T34" i="1"/>
  <c r="Q34" i="1"/>
  <c r="P34" i="1"/>
  <c r="O34" i="1"/>
  <c r="N34" i="1"/>
  <c r="M34" i="1"/>
  <c r="L34" i="1"/>
  <c r="I34" i="1"/>
  <c r="H34" i="1"/>
  <c r="C34" i="1"/>
  <c r="AA33" i="1"/>
  <c r="U33" i="1"/>
  <c r="T33" i="1"/>
  <c r="Q33" i="1"/>
  <c r="P33" i="1"/>
  <c r="M33" i="1"/>
  <c r="L33" i="1"/>
  <c r="AA32" i="1"/>
  <c r="Y32" i="1"/>
  <c r="X32" i="1"/>
  <c r="W32" i="1"/>
  <c r="V32" i="1"/>
  <c r="U32" i="1"/>
  <c r="T32" i="1"/>
  <c r="P32" i="1"/>
  <c r="O32" i="1"/>
  <c r="N32" i="1"/>
  <c r="M32" i="1"/>
  <c r="L32" i="1"/>
  <c r="H32" i="1"/>
  <c r="C32" i="1"/>
  <c r="AA31" i="1"/>
  <c r="Y31" i="1"/>
  <c r="X31" i="1"/>
  <c r="W31" i="1"/>
  <c r="V31" i="1"/>
  <c r="U31" i="1"/>
  <c r="T31" i="1"/>
  <c r="P31" i="1"/>
  <c r="O31" i="1"/>
  <c r="N31" i="1"/>
  <c r="M31" i="1"/>
  <c r="L31" i="1"/>
  <c r="I31" i="1"/>
  <c r="H31" i="1"/>
  <c r="C31" i="1"/>
  <c r="AA30" i="1"/>
  <c r="Z30" i="1"/>
  <c r="Y30" i="1"/>
  <c r="X30" i="1"/>
  <c r="W30" i="1"/>
  <c r="V30" i="1"/>
  <c r="U30" i="1"/>
  <c r="T30" i="1"/>
  <c r="P30" i="1"/>
  <c r="O30" i="1"/>
  <c r="N30" i="1"/>
  <c r="M30" i="1"/>
  <c r="L30" i="1"/>
  <c r="H30" i="1"/>
  <c r="C30" i="1"/>
  <c r="AA29" i="1"/>
  <c r="Z29" i="1"/>
  <c r="Y29" i="1"/>
  <c r="X29" i="1"/>
  <c r="W29" i="1"/>
  <c r="V29" i="1"/>
  <c r="U29" i="1"/>
  <c r="T29" i="1"/>
  <c r="P29" i="1"/>
  <c r="O29" i="1"/>
  <c r="N29" i="1"/>
  <c r="M29" i="1"/>
  <c r="L29" i="1"/>
  <c r="I29" i="1"/>
  <c r="H29" i="1"/>
  <c r="C29" i="1"/>
  <c r="AA28" i="1"/>
  <c r="Z28" i="1"/>
  <c r="Y28" i="1"/>
  <c r="X28" i="1"/>
  <c r="W28" i="1"/>
  <c r="V28" i="1"/>
  <c r="U28" i="1"/>
  <c r="T28" i="1"/>
  <c r="Q28" i="1"/>
  <c r="P28" i="1"/>
  <c r="O28" i="1"/>
  <c r="N28" i="1"/>
  <c r="M28" i="1"/>
  <c r="L28" i="1"/>
  <c r="I28" i="1"/>
  <c r="H28" i="1"/>
  <c r="C28" i="1"/>
  <c r="AA27" i="1"/>
  <c r="Z27" i="1"/>
  <c r="Y27" i="1"/>
  <c r="X27" i="1"/>
  <c r="W27" i="1"/>
  <c r="V27" i="1"/>
  <c r="U27" i="1"/>
  <c r="T27" i="1"/>
  <c r="Q27" i="1"/>
  <c r="P27" i="1"/>
  <c r="O27" i="1"/>
  <c r="N27" i="1"/>
  <c r="M27" i="1"/>
  <c r="L27" i="1"/>
  <c r="I27" i="1"/>
  <c r="H27" i="1"/>
  <c r="C27" i="1"/>
  <c r="AA26" i="1"/>
  <c r="Z26" i="1"/>
  <c r="Y26" i="1"/>
  <c r="X26" i="1"/>
  <c r="W26" i="1"/>
  <c r="V26" i="1"/>
  <c r="U26" i="1"/>
  <c r="T26" i="1"/>
  <c r="P26" i="1"/>
  <c r="O26" i="1"/>
  <c r="N26" i="1"/>
  <c r="M26" i="1"/>
  <c r="L26" i="1"/>
  <c r="I26" i="1"/>
  <c r="H26" i="1"/>
  <c r="C26" i="1"/>
  <c r="AA25" i="1"/>
  <c r="Y25" i="1"/>
  <c r="X25" i="1"/>
  <c r="W25" i="1"/>
  <c r="V25" i="1"/>
  <c r="U25" i="1"/>
  <c r="T25" i="1"/>
  <c r="P25" i="1"/>
  <c r="O25" i="1"/>
  <c r="N25" i="1"/>
  <c r="M25" i="1"/>
  <c r="L25" i="1"/>
  <c r="I25" i="1"/>
  <c r="H25" i="1"/>
  <c r="C25" i="1"/>
  <c r="AA24" i="1"/>
  <c r="Y24" i="1"/>
  <c r="X24" i="1"/>
  <c r="W24" i="1"/>
  <c r="V24" i="1"/>
  <c r="U24" i="1"/>
  <c r="T24" i="1"/>
  <c r="P24" i="1"/>
  <c r="O24" i="1"/>
  <c r="N24" i="1"/>
  <c r="M24" i="1"/>
  <c r="L24" i="1"/>
  <c r="H24" i="1"/>
  <c r="C24" i="1"/>
  <c r="AA23" i="1"/>
  <c r="Y23" i="1"/>
  <c r="X23" i="1"/>
  <c r="W23" i="1"/>
  <c r="V23" i="1"/>
  <c r="U23" i="1"/>
  <c r="T23" i="1"/>
  <c r="P23" i="1"/>
  <c r="O23" i="1"/>
  <c r="N23" i="1"/>
  <c r="M23" i="1"/>
  <c r="L23" i="1"/>
  <c r="H23" i="1"/>
  <c r="C23" i="1"/>
  <c r="AA22" i="1"/>
  <c r="Y22" i="1"/>
  <c r="X22" i="1"/>
  <c r="W22" i="1"/>
  <c r="V22" i="1"/>
  <c r="U22" i="1"/>
  <c r="T22" i="1"/>
  <c r="Q22" i="1"/>
  <c r="P22" i="1"/>
  <c r="O22" i="1"/>
  <c r="N22" i="1"/>
  <c r="M22" i="1"/>
  <c r="L22" i="1"/>
  <c r="H22" i="1"/>
  <c r="C22" i="1"/>
  <c r="AA21" i="1"/>
  <c r="Y21" i="1"/>
  <c r="X21" i="1"/>
  <c r="W21" i="1"/>
  <c r="V21" i="1"/>
  <c r="U21" i="1"/>
  <c r="T21" i="1"/>
  <c r="P21" i="1"/>
  <c r="O21" i="1"/>
  <c r="N21" i="1"/>
  <c r="M21" i="1"/>
  <c r="L21" i="1"/>
  <c r="H21" i="1"/>
  <c r="C21" i="1"/>
  <c r="AA20" i="1"/>
  <c r="Y20" i="1"/>
  <c r="X20" i="1"/>
  <c r="W20" i="1"/>
  <c r="V20" i="1"/>
  <c r="U20" i="1"/>
  <c r="T20" i="1"/>
  <c r="P20" i="1"/>
  <c r="O20" i="1"/>
  <c r="N20" i="1"/>
  <c r="M20" i="1"/>
  <c r="L20" i="1"/>
  <c r="H20" i="1"/>
  <c r="C20" i="1"/>
  <c r="AA19" i="1"/>
  <c r="Y19" i="1"/>
  <c r="X19" i="1"/>
  <c r="W19" i="1"/>
  <c r="V19" i="1"/>
  <c r="U19" i="1"/>
  <c r="T19" i="1"/>
  <c r="Q19" i="1"/>
  <c r="P19" i="1"/>
  <c r="O19" i="1"/>
  <c r="N19" i="1"/>
  <c r="M19" i="1"/>
  <c r="L19" i="1"/>
  <c r="H19" i="1"/>
  <c r="C19" i="1"/>
  <c r="AA18" i="1"/>
  <c r="Z18" i="1"/>
  <c r="Y18" i="1"/>
  <c r="X18" i="1"/>
  <c r="W18" i="1"/>
  <c r="V18" i="1"/>
  <c r="U18" i="1"/>
  <c r="T18" i="1"/>
  <c r="P18" i="1"/>
  <c r="O18" i="1"/>
  <c r="N18" i="1"/>
  <c r="M18" i="1"/>
  <c r="L18" i="1"/>
  <c r="H18" i="1"/>
  <c r="C18" i="1"/>
  <c r="AA17" i="1"/>
  <c r="Y17" i="1"/>
  <c r="X17" i="1"/>
  <c r="W17" i="1"/>
  <c r="V17" i="1"/>
  <c r="U17" i="1"/>
  <c r="T17" i="1"/>
  <c r="P17" i="1"/>
  <c r="O17" i="1"/>
  <c r="N17" i="1"/>
  <c r="M17" i="1"/>
  <c r="L17" i="1"/>
  <c r="H17" i="1"/>
  <c r="C17" i="1"/>
  <c r="AA16" i="1"/>
  <c r="Y16" i="1"/>
  <c r="X16" i="1"/>
  <c r="W16" i="1"/>
  <c r="V16" i="1"/>
  <c r="U16" i="1"/>
  <c r="T16" i="1"/>
  <c r="P16" i="1"/>
  <c r="O16" i="1"/>
  <c r="N16" i="1"/>
  <c r="M16" i="1"/>
  <c r="L16" i="1"/>
  <c r="H16" i="1"/>
  <c r="C16" i="1"/>
  <c r="AA15" i="1"/>
  <c r="Z15" i="1"/>
  <c r="Y15" i="1"/>
  <c r="X15" i="1"/>
  <c r="W15" i="1"/>
  <c r="V15" i="1"/>
  <c r="U15" i="1"/>
  <c r="T15" i="1"/>
  <c r="P15" i="1"/>
  <c r="O15" i="1"/>
  <c r="N15" i="1"/>
  <c r="M15" i="1"/>
  <c r="L15" i="1"/>
  <c r="H15" i="1"/>
  <c r="C15" i="1"/>
  <c r="AA14" i="1"/>
  <c r="Y14" i="1"/>
  <c r="X14" i="1"/>
  <c r="W14" i="1"/>
  <c r="V14" i="1"/>
  <c r="U14" i="1"/>
  <c r="T14" i="1"/>
  <c r="P14" i="1"/>
  <c r="O14" i="1"/>
  <c r="N14" i="1"/>
  <c r="M14" i="1"/>
  <c r="H14" i="1"/>
  <c r="C14" i="1"/>
  <c r="AA13" i="1"/>
  <c r="Z13" i="1"/>
  <c r="Y13" i="1"/>
  <c r="X13" i="1"/>
  <c r="W13" i="1"/>
  <c r="V13" i="1"/>
  <c r="U13" i="1"/>
  <c r="T13" i="1"/>
  <c r="P13" i="1"/>
  <c r="O13" i="1"/>
  <c r="N13" i="1"/>
  <c r="M13" i="1"/>
  <c r="L13" i="1"/>
  <c r="H13" i="1"/>
  <c r="C13" i="1"/>
  <c r="AA12" i="1"/>
  <c r="Z12" i="1"/>
  <c r="Y12" i="1"/>
  <c r="X12" i="1"/>
  <c r="W12" i="1"/>
  <c r="V12" i="1"/>
  <c r="U12" i="1"/>
  <c r="T12" i="1"/>
  <c r="P12" i="1"/>
  <c r="O12" i="1"/>
  <c r="N12" i="1"/>
  <c r="M12" i="1"/>
  <c r="L12" i="1"/>
  <c r="H12" i="1"/>
  <c r="C12" i="1"/>
  <c r="AA11" i="1"/>
  <c r="Z11" i="1"/>
  <c r="Y11" i="1"/>
  <c r="X11" i="1"/>
  <c r="W11" i="1"/>
  <c r="V11" i="1"/>
  <c r="U11" i="1"/>
  <c r="T11" i="1"/>
  <c r="Q11" i="1"/>
  <c r="P11" i="1"/>
  <c r="O11" i="1"/>
  <c r="N11" i="1"/>
  <c r="M11" i="1"/>
  <c r="L11" i="1"/>
  <c r="H11" i="1"/>
  <c r="C11" i="1"/>
  <c r="AA10" i="1"/>
  <c r="Y10" i="1"/>
  <c r="X10" i="1"/>
  <c r="W10" i="1"/>
  <c r="V10" i="1"/>
  <c r="R10" i="1"/>
  <c r="Q10" i="1"/>
  <c r="P10" i="1"/>
  <c r="O10" i="1"/>
  <c r="N10" i="1"/>
  <c r="M10" i="1"/>
  <c r="L10" i="1"/>
  <c r="G10" i="1"/>
  <c r="F10" i="1"/>
  <c r="E10" i="1"/>
  <c r="D10" i="1"/>
</calcChain>
</file>

<file path=xl/sharedStrings.xml><?xml version="1.0" encoding="utf-8"?>
<sst xmlns="http://schemas.openxmlformats.org/spreadsheetml/2006/main" count="156" uniqueCount="95">
  <si>
    <t>Ведомость по товарам на складах</t>
  </si>
  <si>
    <t>Параметры:</t>
  </si>
  <si>
    <t>Период: 15.06.2026 - 22.06.2026</t>
  </si>
  <si>
    <t>Количество товаров: В единицах хранения</t>
  </si>
  <si>
    <t>Отбор:</t>
  </si>
  <si>
    <t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t>
  </si>
  <si>
    <t>Номенклатура</t>
  </si>
  <si>
    <t>Ед. изм.</t>
  </si>
  <si>
    <t>Количество</t>
  </si>
  <si>
    <t>крат</t>
  </si>
  <si>
    <t>сроки</t>
  </si>
  <si>
    <t>метка</t>
  </si>
  <si>
    <t>метка2</t>
  </si>
  <si>
    <t>заяв</t>
  </si>
  <si>
    <t>разн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</si>
  <si>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</si>
  <si>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</si>
  <si>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</si>
  <si>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</si>
  <si>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</si>
  <si>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</si>
  <si>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</si>
  <si>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</si>
  <si>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</si>
  <si>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</si>
  <si>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Начальный остаток</t>
  </si>
  <si>
    <t>Приход</t>
  </si>
  <si>
    <t>Расход</t>
  </si>
  <si>
    <t>Конечный остаток</t>
  </si>
  <si>
    <t>15,06,</t>
  </si>
  <si>
    <t>22,06,</t>
  </si>
  <si>
    <t>29,06,</t>
  </si>
  <si>
    <t>25,05,</t>
  </si>
  <si>
    <t>01,06,</t>
  </si>
  <si>
    <t>08,06,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</si>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</sst>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0_ ;[Red]\-0\ "/>
    <numFmt numFmtId="169" formatCode="0.000"/>
  </numFmts>
  <fonts count="7">
    <font>
      <sz val="8"/>
      <name val="Arial"/>
      <charset val="134"/>
    </font>
    <font>
      <b/>
      <sz val="18"/>
      <name val="Arial"/>
      <charset val="134"/>
    </font>
    <font>
      <sz val="10"/>
      <name val="Arial"/>
      <charset val="134"/>
    </font>
    <font>
      <b/>
      <sz val="11"/>
      <name val="Calibri"/>
      <charset val="204"/>
    </font>
    <font>
      <b/>
      <sz val="11"/>
      <color rgb="FFFF0000"/>
      <name val="Calibri"/>
      <charset val="204"/>
    </font>
    <font>
      <sz val="10"/>
      <name val="Arial"/>
      <charset val="204"/>
    </font>
    <font>
      <sz val="8"/>
      <name val="Arial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indexed="64"/>
      </patternFill>
    </fill>
    <fill>
      <patternFill patternType="solid">
        <fgColor rgb="FFFFF4C5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2" fontId="3" fillId="3" borderId="0" xfId="1" applyNumberFormat="1" applyFont="1" applyFill="1"/>
    <xf numFmtId="168" fontId="3" fillId="3" borderId="0" xfId="1" applyNumberFormat="1" applyFont="1" applyFill="1"/>
    <xf numFmtId="168" fontId="4" fillId="3" borderId="0" xfId="1" applyNumberFormat="1" applyFont="1" applyFill="1"/>
    <xf numFmtId="168" fontId="3" fillId="4" borderId="0" xfId="1" applyNumberFormat="1" applyFont="1" applyFill="1"/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168" fontId="5" fillId="5" borderId="0" xfId="1" applyNumberFormat="1" applyFill="1"/>
    <xf numFmtId="0" fontId="0" fillId="0" borderId="2" xfId="0" applyBorder="1" applyAlignment="1">
      <alignment horizontal="left" vertical="top"/>
    </xf>
    <xf numFmtId="168" fontId="0" fillId="0" borderId="2" xfId="0" applyNumberFormat="1" applyBorder="1" applyAlignment="1">
      <alignment horizontal="right" vertical="top"/>
    </xf>
    <xf numFmtId="168" fontId="0" fillId="0" borderId="0" xfId="0" applyNumberFormat="1" applyAlignment="1"/>
    <xf numFmtId="168" fontId="0" fillId="0" borderId="5" xfId="0" applyNumberFormat="1" applyBorder="1" applyAlignment="1"/>
    <xf numFmtId="0" fontId="0" fillId="6" borderId="2" xfId="0" applyFill="1" applyBorder="1" applyAlignment="1">
      <alignment horizontal="left" vertical="top"/>
    </xf>
    <xf numFmtId="168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left" vertical="top"/>
    </xf>
    <xf numFmtId="169" fontId="0" fillId="0" borderId="7" xfId="0" applyNumberFormat="1" applyBorder="1" applyAlignment="1">
      <alignment horizontal="right" vertical="top"/>
    </xf>
    <xf numFmtId="168" fontId="6" fillId="0" borderId="0" xfId="0" applyNumberFormat="1" applyFont="1" applyAlignment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44;&#1074;.%2015.06.2026%20&#1054;&#1089;&#1090;&#1072;&#1085;&#1082;&#1080;&#1085;&#1086;%20&#1057;&#1099;&#1088;%20&#1041;&#1077;&#1088;&#1076;&#1103;&#1085;&#1089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79;&#1072;&#1103;&#1074;.%20&#1086;&#1090;&#1075;&#1088;&#1091;&#1078;.%2022.06.2026%20&#1054;&#1089;&#1090;&#1072;&#1085;&#1082;&#1080;&#1085;&#1086;%20&#1057;&#1099;&#1088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08.06.2026 - 15.06.2026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7">
          <cell r="N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заказ в пути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комментарии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N9" t="str">
            <v>08,06,</v>
          </cell>
          <cell r="O9">
            <v>15.06</v>
          </cell>
          <cell r="P9">
            <v>15.06</v>
          </cell>
          <cell r="Q9" t="str">
            <v>22,06,</v>
          </cell>
          <cell r="V9" t="str">
            <v>18,05,</v>
          </cell>
          <cell r="W9" t="str">
            <v>25,05,</v>
          </cell>
          <cell r="X9" t="str">
            <v>01,06,</v>
          </cell>
          <cell r="Y9" t="str">
            <v>08,06,</v>
          </cell>
        </row>
        <row r="10">
          <cell r="D10">
            <v>10977.058000000001</v>
          </cell>
          <cell r="E10">
            <v>1225.694</v>
          </cell>
          <cell r="F10">
            <v>3938.6669999999999</v>
          </cell>
          <cell r="G10">
            <v>8020.0630000000001</v>
          </cell>
          <cell r="K10" t="str">
            <v>нак 17,06,</v>
          </cell>
          <cell r="L10">
            <v>4642.8140000000003</v>
          </cell>
          <cell r="M10">
            <v>-704.14700000000005</v>
          </cell>
          <cell r="N10">
            <v>2400</v>
          </cell>
          <cell r="O10">
            <v>5340</v>
          </cell>
          <cell r="P10">
            <v>787.73339999999996</v>
          </cell>
          <cell r="Q10">
            <v>5362.0959999999995</v>
          </cell>
          <cell r="R10">
            <v>0</v>
          </cell>
          <cell r="V10">
            <v>710.096</v>
          </cell>
          <cell r="W10">
            <v>960.62300000000005</v>
          </cell>
          <cell r="X10">
            <v>581.02279999999996</v>
          </cell>
          <cell r="Y10">
            <v>925.91160000000002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399.8</v>
          </cell>
          <cell r="F11">
            <v>102.30800000000001</v>
          </cell>
          <cell r="G11">
            <v>296.91800000000001</v>
          </cell>
          <cell r="H11">
            <v>1</v>
          </cell>
          <cell r="K11">
            <v>40.573999999999998</v>
          </cell>
          <cell r="L11">
            <v>105.81399999999999</v>
          </cell>
          <cell r="M11">
            <v>-3.50599999999999</v>
          </cell>
          <cell r="N11">
            <v>50</v>
          </cell>
          <cell r="O11">
            <v>0</v>
          </cell>
          <cell r="P11">
            <v>20.461600000000001</v>
          </cell>
          <cell r="Q11">
            <v>62.314</v>
          </cell>
          <cell r="T11">
            <v>20</v>
          </cell>
          <cell r="U11">
            <v>14.510986433123501</v>
          </cell>
          <cell r="V11">
            <v>14.302</v>
          </cell>
          <cell r="W11">
            <v>5.8540000000000001</v>
          </cell>
          <cell r="X11">
            <v>16.459399999999999</v>
          </cell>
          <cell r="Y11">
            <v>14.24</v>
          </cell>
          <cell r="Z11" t="str">
            <v>увел продажи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1577</v>
          </cell>
          <cell r="D12">
            <v>295</v>
          </cell>
          <cell r="F12">
            <v>37</v>
          </cell>
          <cell r="G12">
            <v>258</v>
          </cell>
          <cell r="H12">
            <v>0.18</v>
          </cell>
          <cell r="K12">
            <v>0</v>
          </cell>
          <cell r="L12">
            <v>37</v>
          </cell>
          <cell r="M12">
            <v>0</v>
          </cell>
          <cell r="N12">
            <v>0</v>
          </cell>
          <cell r="O12">
            <v>0</v>
          </cell>
          <cell r="P12">
            <v>7.4</v>
          </cell>
          <cell r="T12">
            <v>34.864864864864899</v>
          </cell>
          <cell r="U12">
            <v>34.864864864864899</v>
          </cell>
          <cell r="V12">
            <v>8</v>
          </cell>
          <cell r="W12">
            <v>62</v>
          </cell>
          <cell r="X12">
            <v>0</v>
          </cell>
          <cell r="Y12">
            <v>1</v>
          </cell>
          <cell r="Z12" t="str">
            <v>увел продажи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1584</v>
          </cell>
          <cell r="D13">
            <v>336</v>
          </cell>
          <cell r="E13">
            <v>5</v>
          </cell>
          <cell r="F13">
            <v>56</v>
          </cell>
          <cell r="G13">
            <v>285</v>
          </cell>
          <cell r="H13">
            <v>0.18</v>
          </cell>
          <cell r="K13">
            <v>0</v>
          </cell>
          <cell r="L13">
            <v>56</v>
          </cell>
          <cell r="M13">
            <v>0</v>
          </cell>
          <cell r="N13">
            <v>0</v>
          </cell>
          <cell r="O13">
            <v>0</v>
          </cell>
          <cell r="P13">
            <v>11.2</v>
          </cell>
          <cell r="T13">
            <v>25.446428571428601</v>
          </cell>
          <cell r="U13">
            <v>25.446428571428601</v>
          </cell>
          <cell r="V13">
            <v>8.6</v>
          </cell>
          <cell r="W13">
            <v>81</v>
          </cell>
          <cell r="X13">
            <v>5.6</v>
          </cell>
          <cell r="Y13">
            <v>9.1999999999999993</v>
          </cell>
          <cell r="Z13" t="str">
            <v>увел продажи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4931</v>
          </cell>
          <cell r="D14">
            <v>100.13800000000001</v>
          </cell>
          <cell r="F14">
            <v>32.584000000000003</v>
          </cell>
          <cell r="G14">
            <v>67.554000000000002</v>
          </cell>
          <cell r="H14">
            <v>1</v>
          </cell>
          <cell r="K14">
            <v>48.042000000000002</v>
          </cell>
          <cell r="L14">
            <v>0</v>
          </cell>
          <cell r="M14">
            <v>32.584000000000003</v>
          </cell>
          <cell r="N14">
            <v>0</v>
          </cell>
          <cell r="O14">
            <v>0</v>
          </cell>
          <cell r="P14">
            <v>6.5167999999999999</v>
          </cell>
          <cell r="Q14">
            <v>62.781999999999996</v>
          </cell>
          <cell r="T14">
            <v>20</v>
          </cell>
          <cell r="U14">
            <v>10.3661306162534</v>
          </cell>
          <cell r="V14">
            <v>0</v>
          </cell>
          <cell r="W14">
            <v>0</v>
          </cell>
          <cell r="X14">
            <v>0</v>
          </cell>
          <cell r="Y14">
            <v>0.61439999999999995</v>
          </cell>
        </row>
        <row r="15">
          <cell r="A15" t="str">
            <v>5579 БЛИНЧ.КРУГЛЫЕ С САД.ЯБЛОК.пл.1/420 зам. ОСТАНКИНО</v>
          </cell>
          <cell r="B15" t="str">
            <v>шт</v>
          </cell>
          <cell r="C15">
            <v>5579</v>
          </cell>
          <cell r="D15">
            <v>103</v>
          </cell>
          <cell r="E15">
            <v>150</v>
          </cell>
          <cell r="F15">
            <v>18</v>
          </cell>
          <cell r="G15">
            <v>233</v>
          </cell>
          <cell r="H15">
            <v>0.42</v>
          </cell>
          <cell r="K15">
            <v>0</v>
          </cell>
          <cell r="L15">
            <v>20</v>
          </cell>
          <cell r="M15">
            <v>-2</v>
          </cell>
          <cell r="N15">
            <v>0</v>
          </cell>
          <cell r="O15">
            <v>0</v>
          </cell>
          <cell r="P15">
            <v>3.6</v>
          </cell>
          <cell r="T15">
            <v>64.7222222222222</v>
          </cell>
          <cell r="U15">
            <v>64.7222222222222</v>
          </cell>
          <cell r="V15">
            <v>6.4</v>
          </cell>
          <cell r="W15">
            <v>1.4</v>
          </cell>
          <cell r="X15">
            <v>1.6</v>
          </cell>
          <cell r="Y15">
            <v>2.4</v>
          </cell>
          <cell r="Z15" t="str">
            <v>увел продажи</v>
          </cell>
        </row>
        <row r="16">
          <cell r="A16" t="str">
            <v>5754 БЛИНЧ.КРУГЛЫЕ С МЯСОМ 4,5кг зам. ПМ ОСТАНКИНО</v>
          </cell>
          <cell r="B16" t="str">
            <v>кг</v>
          </cell>
          <cell r="C16">
            <v>5754</v>
          </cell>
          <cell r="D16">
            <v>45</v>
          </cell>
          <cell r="E16">
            <v>82.275999999999996</v>
          </cell>
          <cell r="F16">
            <v>4.59</v>
          </cell>
          <cell r="G16">
            <v>122.68600000000001</v>
          </cell>
          <cell r="H16">
            <v>1</v>
          </cell>
          <cell r="K16">
            <v>0</v>
          </cell>
          <cell r="L16">
            <v>4.5</v>
          </cell>
          <cell r="M16">
            <v>8.99999999999999E-2</v>
          </cell>
          <cell r="N16">
            <v>0</v>
          </cell>
          <cell r="O16">
            <v>0</v>
          </cell>
          <cell r="P16">
            <v>0.91800000000000004</v>
          </cell>
          <cell r="T16">
            <v>133.64488017429201</v>
          </cell>
          <cell r="U16">
            <v>133.64488017429201</v>
          </cell>
          <cell r="V16">
            <v>5.4791999999999996</v>
          </cell>
          <cell r="W16">
            <v>4.5772000000000004</v>
          </cell>
          <cell r="X16">
            <v>0</v>
          </cell>
          <cell r="Y16">
            <v>0.91279999999999994</v>
          </cell>
        </row>
        <row r="17">
          <cell r="A17" t="str">
            <v>5755 БЛИНЧ.КРУГЛЫЕ С ТВОРОГОМ 4,5кг зам. ПМ ОСТАНКИНО</v>
          </cell>
          <cell r="B17" t="str">
            <v>кг</v>
          </cell>
          <cell r="C17">
            <v>5755</v>
          </cell>
          <cell r="D17">
            <v>126</v>
          </cell>
          <cell r="E17">
            <v>151.32599999999999</v>
          </cell>
          <cell r="F17">
            <v>4.5</v>
          </cell>
          <cell r="G17">
            <v>272.82600000000002</v>
          </cell>
          <cell r="H17">
            <v>1</v>
          </cell>
          <cell r="K17">
            <v>0</v>
          </cell>
          <cell r="L17">
            <v>0</v>
          </cell>
          <cell r="M17">
            <v>4.5</v>
          </cell>
          <cell r="N17">
            <v>0</v>
          </cell>
          <cell r="O17">
            <v>0</v>
          </cell>
          <cell r="P17">
            <v>0.9</v>
          </cell>
          <cell r="T17">
            <v>303.14</v>
          </cell>
          <cell r="U17">
            <v>303.14</v>
          </cell>
          <cell r="V17">
            <v>1.8156000000000001</v>
          </cell>
          <cell r="W17">
            <v>2.7416</v>
          </cell>
          <cell r="X17">
            <v>0</v>
          </cell>
          <cell r="Y17">
            <v>0</v>
          </cell>
        </row>
        <row r="18">
          <cell r="A18" t="str">
            <v>5897 БЛИНЧ.КРУГЛЫЕ С ГРУШЕЙ пл.1/420 зам.   ОСТАНКИНО</v>
          </cell>
          <cell r="B18" t="str">
            <v>шт</v>
          </cell>
          <cell r="C18">
            <v>5897</v>
          </cell>
          <cell r="D18">
            <v>129</v>
          </cell>
          <cell r="E18">
            <v>50</v>
          </cell>
          <cell r="F18">
            <v>16</v>
          </cell>
          <cell r="G18">
            <v>161</v>
          </cell>
          <cell r="H18">
            <v>0.42</v>
          </cell>
          <cell r="K18">
            <v>0</v>
          </cell>
          <cell r="L18">
            <v>18</v>
          </cell>
          <cell r="M18">
            <v>-2</v>
          </cell>
          <cell r="N18">
            <v>0</v>
          </cell>
          <cell r="O18">
            <v>0</v>
          </cell>
          <cell r="P18">
            <v>3.2</v>
          </cell>
          <cell r="T18">
            <v>50.3125</v>
          </cell>
          <cell r="U18">
            <v>50.3125</v>
          </cell>
          <cell r="V18">
            <v>4</v>
          </cell>
          <cell r="W18">
            <v>1</v>
          </cell>
          <cell r="X18">
            <v>2</v>
          </cell>
          <cell r="Y18">
            <v>1.4</v>
          </cell>
          <cell r="Z18" t="str">
            <v>увел продажи</v>
          </cell>
        </row>
        <row r="19">
          <cell r="A19" t="str">
            <v>6148 БЛИНЧ.КРУГЛЫЕ С ВЕТЧ.И СЫР. ПМ 1/300 зам. ОСТАНКИНО</v>
          </cell>
          <cell r="B19" t="str">
            <v>шт</v>
          </cell>
          <cell r="C19">
            <v>6148</v>
          </cell>
          <cell r="E19">
            <v>146</v>
          </cell>
          <cell r="F19">
            <v>56</v>
          </cell>
          <cell r="G19">
            <v>86</v>
          </cell>
          <cell r="H19">
            <v>0.3</v>
          </cell>
          <cell r="K19">
            <v>0</v>
          </cell>
          <cell r="L19">
            <v>64</v>
          </cell>
          <cell r="M19">
            <v>-8</v>
          </cell>
          <cell r="N19">
            <v>0</v>
          </cell>
          <cell r="O19">
            <v>0</v>
          </cell>
          <cell r="P19">
            <v>11.2</v>
          </cell>
          <cell r="Q19">
            <v>138</v>
          </cell>
          <cell r="T19">
            <v>20</v>
          </cell>
          <cell r="U19">
            <v>7.6785714285714297</v>
          </cell>
          <cell r="V19">
            <v>19.8</v>
          </cell>
          <cell r="W19">
            <v>13.2</v>
          </cell>
          <cell r="X19">
            <v>10.4</v>
          </cell>
          <cell r="Y19">
            <v>5</v>
          </cell>
        </row>
        <row r="20">
          <cell r="A20" t="str">
            <v>6149 БЛИНЧ.КРУГЛЫЕ С ПЕЧЕНЬЮ ПМ 1/300 зам. ОСТАНКИНО</v>
          </cell>
          <cell r="B20" t="str">
            <v>шт</v>
          </cell>
          <cell r="C20">
            <v>6149</v>
          </cell>
          <cell r="D20">
            <v>91</v>
          </cell>
          <cell r="E20">
            <v>146</v>
          </cell>
          <cell r="F20">
            <v>104</v>
          </cell>
          <cell r="G20">
            <v>128</v>
          </cell>
          <cell r="H20">
            <v>0.3</v>
          </cell>
          <cell r="K20">
            <v>0</v>
          </cell>
          <cell r="L20">
            <v>109</v>
          </cell>
          <cell r="M20">
            <v>-5</v>
          </cell>
          <cell r="N20">
            <v>0</v>
          </cell>
          <cell r="O20">
            <v>0</v>
          </cell>
          <cell r="P20">
            <v>20.8</v>
          </cell>
          <cell r="Q20">
            <v>288</v>
          </cell>
          <cell r="T20">
            <v>20</v>
          </cell>
          <cell r="U20">
            <v>6.1538461538461497</v>
          </cell>
          <cell r="V20">
            <v>14.8</v>
          </cell>
          <cell r="W20">
            <v>18</v>
          </cell>
          <cell r="X20">
            <v>15.4</v>
          </cell>
          <cell r="Y20">
            <v>12.6</v>
          </cell>
        </row>
        <row r="21">
          <cell r="A21" t="str">
            <v>6168 Блинчики с мясом пл. 1/350 зам. ОСТАНКИНО</v>
          </cell>
          <cell r="B21" t="str">
            <v>шт</v>
          </cell>
          <cell r="C21">
            <v>6168</v>
          </cell>
          <cell r="D21">
            <v>117</v>
          </cell>
          <cell r="E21">
            <v>145</v>
          </cell>
          <cell r="F21">
            <v>100</v>
          </cell>
          <cell r="G21">
            <v>161</v>
          </cell>
          <cell r="H21">
            <v>0.35</v>
          </cell>
          <cell r="K21">
            <v>0</v>
          </cell>
          <cell r="L21">
            <v>100</v>
          </cell>
          <cell r="M21">
            <v>0</v>
          </cell>
          <cell r="N21">
            <v>0</v>
          </cell>
          <cell r="O21">
            <v>0</v>
          </cell>
          <cell r="P21">
            <v>20</v>
          </cell>
          <cell r="Q21">
            <v>239</v>
          </cell>
          <cell r="T21">
            <v>20</v>
          </cell>
          <cell r="U21">
            <v>8.0500000000000007</v>
          </cell>
          <cell r="V21">
            <v>15.4</v>
          </cell>
          <cell r="W21">
            <v>13.8</v>
          </cell>
          <cell r="X21">
            <v>12</v>
          </cell>
          <cell r="Y21">
            <v>16.2</v>
          </cell>
        </row>
        <row r="22">
          <cell r="A22" t="str">
            <v>6202 БЛИНЧ.КРУГЛЫЕ С ТВОРОГОМ ПМ 1/300 зам. ОСТАНКИНО</v>
          </cell>
          <cell r="B22" t="str">
            <v>шт</v>
          </cell>
          <cell r="C22">
            <v>6202</v>
          </cell>
          <cell r="D22">
            <v>194</v>
          </cell>
          <cell r="E22">
            <v>48</v>
          </cell>
          <cell r="F22">
            <v>66</v>
          </cell>
          <cell r="G22">
            <v>176</v>
          </cell>
          <cell r="H22">
            <v>0.3</v>
          </cell>
          <cell r="K22">
            <v>0</v>
          </cell>
          <cell r="L22">
            <v>66</v>
          </cell>
          <cell r="M22">
            <v>0</v>
          </cell>
          <cell r="N22">
            <v>0</v>
          </cell>
          <cell r="O22">
            <v>0</v>
          </cell>
          <cell r="P22">
            <v>13.2</v>
          </cell>
          <cell r="Q22">
            <v>88</v>
          </cell>
          <cell r="T22">
            <v>20</v>
          </cell>
          <cell r="U22">
            <v>13.3333333333333</v>
          </cell>
          <cell r="V22">
            <v>14</v>
          </cell>
          <cell r="W22">
            <v>8.4</v>
          </cell>
          <cell r="X22">
            <v>9.6</v>
          </cell>
          <cell r="Y22">
            <v>8.6</v>
          </cell>
        </row>
        <row r="23">
          <cell r="A23" t="str">
            <v>6209 Блинчики с куриным мясом пл. 1/350 зам. ОСТАНКИНО</v>
          </cell>
          <cell r="B23" t="str">
            <v>шт</v>
          </cell>
          <cell r="C23">
            <v>6209</v>
          </cell>
          <cell r="E23">
            <v>98</v>
          </cell>
          <cell r="F23">
            <v>53</v>
          </cell>
          <cell r="G23">
            <v>45</v>
          </cell>
          <cell r="H23">
            <v>0.35</v>
          </cell>
          <cell r="K23">
            <v>0</v>
          </cell>
          <cell r="L23">
            <v>56</v>
          </cell>
          <cell r="M23">
            <v>-3</v>
          </cell>
          <cell r="N23">
            <v>0</v>
          </cell>
          <cell r="O23">
            <v>0</v>
          </cell>
          <cell r="P23">
            <v>10.6</v>
          </cell>
          <cell r="Q23">
            <v>167</v>
          </cell>
          <cell r="T23">
            <v>20</v>
          </cell>
          <cell r="U23">
            <v>4.2452830188679203</v>
          </cell>
          <cell r="V23">
            <v>19.8</v>
          </cell>
          <cell r="W23">
            <v>16.2</v>
          </cell>
          <cell r="X23">
            <v>2</v>
          </cell>
          <cell r="Y23">
            <v>0</v>
          </cell>
        </row>
        <row r="24">
          <cell r="A24" t="str">
            <v>6819 БЛИНЧ.КРУГЛЫЕ С САД.ЯБЛОК. пл. 1/300 зам. ОСТАНКИНО</v>
          </cell>
          <cell r="B24" t="str">
            <v>шт</v>
          </cell>
          <cell r="C24">
            <v>6819</v>
          </cell>
          <cell r="E24">
            <v>144</v>
          </cell>
          <cell r="F24">
            <v>2</v>
          </cell>
          <cell r="G24">
            <v>140</v>
          </cell>
          <cell r="H24">
            <v>0.3</v>
          </cell>
          <cell r="K24">
            <v>0</v>
          </cell>
          <cell r="L24">
            <v>4</v>
          </cell>
          <cell r="M24">
            <v>-2</v>
          </cell>
          <cell r="N24">
            <v>0</v>
          </cell>
          <cell r="O24">
            <v>0</v>
          </cell>
          <cell r="P24">
            <v>0.4</v>
          </cell>
          <cell r="T24">
            <v>350</v>
          </cell>
          <cell r="U24">
            <v>350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A25" t="str">
            <v>6948249 Майонезный соус провансаль 824,5гр деликатес.с массовой долей жирн.25% Коровино Останкино</v>
          </cell>
          <cell r="B25" t="str">
            <v>шт</v>
          </cell>
          <cell r="C25">
            <v>8249</v>
          </cell>
          <cell r="D25">
            <v>206</v>
          </cell>
          <cell r="F25">
            <v>19</v>
          </cell>
          <cell r="G25">
            <v>187</v>
          </cell>
          <cell r="H25">
            <v>0.82450000000000001</v>
          </cell>
          <cell r="I25">
            <v>180</v>
          </cell>
          <cell r="K25">
            <v>0</v>
          </cell>
          <cell r="L25">
            <v>17</v>
          </cell>
          <cell r="M25">
            <v>2</v>
          </cell>
          <cell r="N25">
            <v>0</v>
          </cell>
          <cell r="O25">
            <v>0</v>
          </cell>
          <cell r="P25">
            <v>3.8</v>
          </cell>
          <cell r="T25">
            <v>49.210526315789501</v>
          </cell>
          <cell r="U25">
            <v>49.210526315789501</v>
          </cell>
          <cell r="V25">
            <v>7.8</v>
          </cell>
          <cell r="W25">
            <v>7.6</v>
          </cell>
          <cell r="X25">
            <v>1</v>
          </cell>
          <cell r="Y25">
            <v>2.2000000000000002</v>
          </cell>
        </row>
        <row r="26">
          <cell r="A26" t="str">
            <v>6948256 Майонез провансаль классич.оливковый Папа может 372гр с массовой долей жирн. 67% Останкино</v>
          </cell>
          <cell r="B26" t="str">
            <v>шт</v>
          </cell>
          <cell r="C26">
            <v>8256</v>
          </cell>
          <cell r="D26">
            <v>483</v>
          </cell>
          <cell r="F26">
            <v>103</v>
          </cell>
          <cell r="G26">
            <v>379</v>
          </cell>
          <cell r="H26">
            <v>0.372</v>
          </cell>
          <cell r="I26">
            <v>180</v>
          </cell>
          <cell r="K26">
            <v>0</v>
          </cell>
          <cell r="L26">
            <v>104</v>
          </cell>
          <cell r="M26">
            <v>-1</v>
          </cell>
          <cell r="N26">
            <v>0</v>
          </cell>
          <cell r="O26">
            <v>400</v>
          </cell>
          <cell r="P26">
            <v>20.6</v>
          </cell>
          <cell r="T26">
            <v>37.815533980582501</v>
          </cell>
          <cell r="U26">
            <v>18.398058252427202</v>
          </cell>
          <cell r="V26">
            <v>17.600000000000001</v>
          </cell>
          <cell r="W26">
            <v>32.200000000000003</v>
          </cell>
          <cell r="X26">
            <v>21.8</v>
          </cell>
          <cell r="Y26">
            <v>44.4</v>
          </cell>
          <cell r="Z26" t="str">
            <v>увел продажи</v>
          </cell>
        </row>
        <row r="27">
          <cell r="A27" t="str">
            <v>6948263 Майонез провансаль классич.оливковый Папа может 744гр с массовой долей жирн. 67% Останкино</v>
          </cell>
          <cell r="B27" t="str">
            <v>шт</v>
          </cell>
          <cell r="C27">
            <v>8263</v>
          </cell>
          <cell r="D27">
            <v>500</v>
          </cell>
          <cell r="F27">
            <v>95</v>
          </cell>
          <cell r="G27">
            <v>405</v>
          </cell>
          <cell r="H27">
            <v>0.74399999999999999</v>
          </cell>
          <cell r="I27">
            <v>180</v>
          </cell>
          <cell r="K27">
            <v>0</v>
          </cell>
          <cell r="L27">
            <v>93</v>
          </cell>
          <cell r="M27">
            <v>2</v>
          </cell>
          <cell r="N27">
            <v>0</v>
          </cell>
          <cell r="O27">
            <v>0</v>
          </cell>
          <cell r="P27">
            <v>19</v>
          </cell>
          <cell r="T27">
            <v>21.315789473684202</v>
          </cell>
          <cell r="U27">
            <v>21.315789473684202</v>
          </cell>
          <cell r="V27">
            <v>11.2</v>
          </cell>
          <cell r="W27">
            <v>6.2</v>
          </cell>
          <cell r="X27">
            <v>21.2</v>
          </cell>
          <cell r="Y27">
            <v>23.4</v>
          </cell>
          <cell r="Z27" t="str">
            <v>увел продажи</v>
          </cell>
        </row>
        <row r="28">
          <cell r="A28" t="str">
            <v>6948270 Майонез провансаль классич.Папа может 372гр с массовой долей жирн. 67% Останкино</v>
          </cell>
          <cell r="B28" t="str">
            <v>шт</v>
          </cell>
          <cell r="C28">
            <v>8270</v>
          </cell>
          <cell r="D28">
            <v>570</v>
          </cell>
          <cell r="E28">
            <v>10</v>
          </cell>
          <cell r="F28">
            <v>306</v>
          </cell>
          <cell r="G28">
            <v>270</v>
          </cell>
          <cell r="H28">
            <v>0.372</v>
          </cell>
          <cell r="I28">
            <v>180</v>
          </cell>
          <cell r="K28">
            <v>60</v>
          </cell>
          <cell r="L28">
            <v>327</v>
          </cell>
          <cell r="M28">
            <v>-21</v>
          </cell>
          <cell r="N28">
            <v>60</v>
          </cell>
          <cell r="O28">
            <v>260</v>
          </cell>
          <cell r="P28">
            <v>61.2</v>
          </cell>
          <cell r="Q28">
            <v>634</v>
          </cell>
          <cell r="T28">
            <v>20</v>
          </cell>
          <cell r="U28">
            <v>4.4117647058823497</v>
          </cell>
          <cell r="V28">
            <v>43.6</v>
          </cell>
          <cell r="W28">
            <v>54.4</v>
          </cell>
          <cell r="X28">
            <v>48</v>
          </cell>
          <cell r="Y28">
            <v>70.8</v>
          </cell>
          <cell r="Z28" t="str">
            <v>увел продажи</v>
          </cell>
        </row>
        <row r="29">
          <cell r="A29" t="str">
            <v>6948287 Майонез провансаль классич.Папа может 744гр с массовой долей жирн. 67% Останкино</v>
          </cell>
          <cell r="B29" t="str">
            <v>шт</v>
          </cell>
          <cell r="C29">
            <v>8287</v>
          </cell>
          <cell r="D29">
            <v>317</v>
          </cell>
          <cell r="E29">
            <v>9</v>
          </cell>
          <cell r="F29">
            <v>244</v>
          </cell>
          <cell r="G29">
            <v>74</v>
          </cell>
          <cell r="H29">
            <v>0.74399999999999999</v>
          </cell>
          <cell r="I29">
            <v>180</v>
          </cell>
          <cell r="K29">
            <v>216</v>
          </cell>
          <cell r="L29">
            <v>271</v>
          </cell>
          <cell r="M29">
            <v>-27</v>
          </cell>
          <cell r="N29">
            <v>220</v>
          </cell>
          <cell r="O29">
            <v>100</v>
          </cell>
          <cell r="P29">
            <v>48.8</v>
          </cell>
          <cell r="Q29">
            <v>582</v>
          </cell>
          <cell r="T29">
            <v>20</v>
          </cell>
          <cell r="U29">
            <v>1.5163934426229499</v>
          </cell>
          <cell r="V29">
            <v>23.8</v>
          </cell>
          <cell r="W29">
            <v>31</v>
          </cell>
          <cell r="X29">
            <v>32.200000000000003</v>
          </cell>
          <cell r="Y29">
            <v>39</v>
          </cell>
          <cell r="Z29" t="str">
            <v>остатки?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 t="str">
            <v>шт</v>
          </cell>
          <cell r="C30">
            <v>8421</v>
          </cell>
          <cell r="D30">
            <v>148</v>
          </cell>
          <cell r="F30">
            <v>2</v>
          </cell>
          <cell r="G30">
            <v>146</v>
          </cell>
          <cell r="H30">
            <v>0</v>
          </cell>
          <cell r="K30">
            <v>0</v>
          </cell>
          <cell r="L30">
            <v>2</v>
          </cell>
          <cell r="M30">
            <v>0</v>
          </cell>
          <cell r="N30">
            <v>0</v>
          </cell>
          <cell r="O30">
            <v>0</v>
          </cell>
          <cell r="P30">
            <v>0.4</v>
          </cell>
          <cell r="T30">
            <v>365</v>
          </cell>
          <cell r="U30">
            <v>365</v>
          </cell>
          <cell r="V30">
            <v>9</v>
          </cell>
          <cell r="W30">
            <v>1.4</v>
          </cell>
          <cell r="X30">
            <v>3.4</v>
          </cell>
          <cell r="Y30">
            <v>2.2000000000000002</v>
          </cell>
          <cell r="Z30" t="str">
            <v>увел продажи</v>
          </cell>
        </row>
        <row r="31">
          <cell r="A31" t="str">
            <v>9988445 Плавленый Сыр 45%"С грибами" СТМ"ПапаМожет" 180 гр  Останкино</v>
          </cell>
          <cell r="B31" t="str">
            <v>шт</v>
          </cell>
          <cell r="C31">
            <v>8445</v>
          </cell>
          <cell r="D31">
            <v>144</v>
          </cell>
          <cell r="F31">
            <v>44</v>
          </cell>
          <cell r="G31">
            <v>100</v>
          </cell>
          <cell r="H31">
            <v>0.18</v>
          </cell>
          <cell r="I31">
            <v>270</v>
          </cell>
          <cell r="K31">
            <v>112</v>
          </cell>
          <cell r="L31">
            <v>44</v>
          </cell>
          <cell r="M31">
            <v>0</v>
          </cell>
          <cell r="N31">
            <v>100</v>
          </cell>
          <cell r="O31">
            <v>0</v>
          </cell>
          <cell r="P31">
            <v>8.8000000000000007</v>
          </cell>
          <cell r="T31">
            <v>22.727272727272702</v>
          </cell>
          <cell r="U31">
            <v>11.363636363636401</v>
          </cell>
          <cell r="V31">
            <v>14.2</v>
          </cell>
          <cell r="W31">
            <v>10.8</v>
          </cell>
          <cell r="X31">
            <v>11</v>
          </cell>
          <cell r="Y31">
            <v>12</v>
          </cell>
        </row>
        <row r="32">
          <cell r="A32" t="str">
            <v>Cыр Перлини со вкусом Васаби 40% 100гр (8шт)  Останкино</v>
          </cell>
          <cell r="B32" t="str">
            <v>шт</v>
          </cell>
          <cell r="C32">
            <v>8444927</v>
          </cell>
          <cell r="D32">
            <v>179</v>
          </cell>
          <cell r="F32">
            <v>43</v>
          </cell>
          <cell r="G32">
            <v>131</v>
          </cell>
          <cell r="H32">
            <v>0.1</v>
          </cell>
          <cell r="K32">
            <v>0</v>
          </cell>
          <cell r="L32">
            <v>48</v>
          </cell>
          <cell r="M32">
            <v>-5</v>
          </cell>
          <cell r="N32">
            <v>0</v>
          </cell>
          <cell r="O32">
            <v>0</v>
          </cell>
          <cell r="P32">
            <v>8.6</v>
          </cell>
          <cell r="Q32">
            <v>41</v>
          </cell>
          <cell r="T32">
            <v>20</v>
          </cell>
          <cell r="U32">
            <v>15.2325581395349</v>
          </cell>
          <cell r="V32">
            <v>6.4</v>
          </cell>
          <cell r="W32">
            <v>11.6</v>
          </cell>
          <cell r="X32">
            <v>5.2</v>
          </cell>
          <cell r="Y32">
            <v>9</v>
          </cell>
        </row>
        <row r="33">
          <cell r="A33" t="str">
            <v>Масло "Папа может" 82,5% 180гр  Останкино</v>
          </cell>
          <cell r="B33" t="str">
            <v>шт</v>
          </cell>
          <cell r="C33">
            <v>1018967</v>
          </cell>
          <cell r="D33">
            <v>24</v>
          </cell>
          <cell r="F33">
            <v>7</v>
          </cell>
          <cell r="G33">
            <v>-2</v>
          </cell>
          <cell r="H33">
            <v>0.18</v>
          </cell>
          <cell r="I33">
            <v>120</v>
          </cell>
          <cell r="K33">
            <v>350</v>
          </cell>
          <cell r="L33">
            <v>94</v>
          </cell>
          <cell r="M33">
            <v>-87</v>
          </cell>
          <cell r="N33">
            <v>520</v>
          </cell>
          <cell r="O33">
            <v>0</v>
          </cell>
          <cell r="P33">
            <v>1.4</v>
          </cell>
          <cell r="T33">
            <v>370</v>
          </cell>
          <cell r="U33">
            <v>-1.4285714285714299</v>
          </cell>
          <cell r="V33">
            <v>25.6</v>
          </cell>
          <cell r="W33">
            <v>41</v>
          </cell>
          <cell r="X33">
            <v>35.200000000000003</v>
          </cell>
          <cell r="Y33">
            <v>32</v>
          </cell>
        </row>
        <row r="34">
          <cell r="A34" t="str">
            <v>Масло сливочное 72,5 % 180 гр.(10 шт) СЛАВЯНА  Останкино</v>
          </cell>
          <cell r="B34" t="str">
            <v>шт</v>
          </cell>
          <cell r="C34">
            <v>1018950</v>
          </cell>
          <cell r="D34">
            <v>813</v>
          </cell>
          <cell r="F34">
            <v>780</v>
          </cell>
          <cell r="H34">
            <v>0.18</v>
          </cell>
          <cell r="I34">
            <v>120</v>
          </cell>
          <cell r="K34">
            <v>80</v>
          </cell>
          <cell r="L34">
            <v>824</v>
          </cell>
          <cell r="M34">
            <v>-44</v>
          </cell>
          <cell r="N34">
            <v>220</v>
          </cell>
          <cell r="O34">
            <v>1400</v>
          </cell>
          <cell r="P34">
            <v>156</v>
          </cell>
          <cell r="Q34">
            <v>1500</v>
          </cell>
          <cell r="T34">
            <v>20</v>
          </cell>
          <cell r="U34">
            <v>0</v>
          </cell>
          <cell r="V34">
            <v>100.8</v>
          </cell>
          <cell r="W34">
            <v>137.6</v>
          </cell>
          <cell r="X34">
            <v>94.6</v>
          </cell>
          <cell r="Y34">
            <v>193.8</v>
          </cell>
          <cell r="Z34" t="str">
            <v>увел продажи</v>
          </cell>
        </row>
        <row r="35">
          <cell r="A35" t="str">
            <v>Плавленый продукт с Сыром колбасный копченый 40% СТМ "Коровино" 400гр  Останкино</v>
          </cell>
          <cell r="B35" t="str">
            <v>шт</v>
          </cell>
          <cell r="C35">
            <v>9988476</v>
          </cell>
          <cell r="D35">
            <v>93</v>
          </cell>
          <cell r="F35">
            <v>1</v>
          </cell>
          <cell r="G35">
            <v>92</v>
          </cell>
          <cell r="H35">
            <v>0.4</v>
          </cell>
          <cell r="I35">
            <v>270</v>
          </cell>
          <cell r="K35">
            <v>0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0.2</v>
          </cell>
          <cell r="T35">
            <v>460</v>
          </cell>
          <cell r="U35">
            <v>460</v>
          </cell>
          <cell r="V35">
            <v>2.2000000000000002</v>
          </cell>
          <cell r="W35">
            <v>1</v>
          </cell>
          <cell r="X35">
            <v>0</v>
          </cell>
          <cell r="Y35">
            <v>0.2</v>
          </cell>
          <cell r="Z35" t="str">
            <v>увел продажи</v>
          </cell>
        </row>
        <row r="36">
          <cell r="A36" t="str">
            <v>Плавленый сыр "Шоколадный" 30% 180гр Папа Может Останкино</v>
          </cell>
          <cell r="B36" t="str">
            <v>шт</v>
          </cell>
          <cell r="C36">
            <v>9988674</v>
          </cell>
          <cell r="D36">
            <v>233</v>
          </cell>
          <cell r="F36">
            <v>7</v>
          </cell>
          <cell r="G36">
            <v>226</v>
          </cell>
          <cell r="H36">
            <v>0.18</v>
          </cell>
          <cell r="I36">
            <v>0</v>
          </cell>
          <cell r="K36">
            <v>0</v>
          </cell>
          <cell r="L36">
            <v>7</v>
          </cell>
          <cell r="M36">
            <v>0</v>
          </cell>
          <cell r="N36">
            <v>0</v>
          </cell>
          <cell r="O36">
            <v>0</v>
          </cell>
          <cell r="P36">
            <v>1.4</v>
          </cell>
          <cell r="T36">
            <v>161.42857142857099</v>
          </cell>
          <cell r="U36">
            <v>161.42857142857099</v>
          </cell>
          <cell r="V36">
            <v>2.2000000000000002</v>
          </cell>
          <cell r="W36">
            <v>3.6</v>
          </cell>
          <cell r="X36">
            <v>3.2</v>
          </cell>
          <cell r="Y36">
            <v>0.6</v>
          </cell>
          <cell r="Z36" t="str">
            <v>увел продажи</v>
          </cell>
        </row>
        <row r="37">
          <cell r="A37" t="str">
            <v>Плавленый Сыр колбасный копченый 40% СТМ"ПапаМожет"400гр  Останкино</v>
          </cell>
          <cell r="B37" t="str">
            <v>шт</v>
          </cell>
          <cell r="C37">
            <v>9988452</v>
          </cell>
          <cell r="D37">
            <v>34</v>
          </cell>
          <cell r="F37">
            <v>14</v>
          </cell>
          <cell r="G37">
            <v>20</v>
          </cell>
          <cell r="H37">
            <v>0.4</v>
          </cell>
          <cell r="I37">
            <v>270</v>
          </cell>
          <cell r="K37">
            <v>0</v>
          </cell>
          <cell r="L37">
            <v>14</v>
          </cell>
          <cell r="M37">
            <v>0</v>
          </cell>
          <cell r="N37">
            <v>0</v>
          </cell>
          <cell r="O37">
            <v>0</v>
          </cell>
          <cell r="P37">
            <v>2.8</v>
          </cell>
          <cell r="Q37">
            <v>36</v>
          </cell>
          <cell r="T37">
            <v>20</v>
          </cell>
          <cell r="U37">
            <v>7.1428571428571397</v>
          </cell>
          <cell r="V37">
            <v>2.2000000000000002</v>
          </cell>
          <cell r="W37">
            <v>0.4</v>
          </cell>
          <cell r="X37">
            <v>0.6</v>
          </cell>
          <cell r="Y37">
            <v>0.6</v>
          </cell>
          <cell r="Z37" t="str">
            <v>увел продажи</v>
          </cell>
        </row>
        <row r="38">
          <cell r="A38" t="str">
            <v>Продукт белково-жировой Сметанковый 50% ВЕС Коровино Останкино</v>
          </cell>
          <cell r="B38" t="str">
            <v>кг</v>
          </cell>
          <cell r="C38">
            <v>7100726</v>
          </cell>
          <cell r="D38">
            <v>63.73</v>
          </cell>
          <cell r="F38">
            <v>8.8350000000000009</v>
          </cell>
          <cell r="G38">
            <v>54.895000000000003</v>
          </cell>
          <cell r="H38">
            <v>1</v>
          </cell>
          <cell r="I38">
            <v>0</v>
          </cell>
          <cell r="K38">
            <v>0</v>
          </cell>
          <cell r="L38">
            <v>7</v>
          </cell>
          <cell r="M38">
            <v>1.835</v>
          </cell>
          <cell r="N38">
            <v>0</v>
          </cell>
          <cell r="O38">
            <v>0</v>
          </cell>
          <cell r="P38">
            <v>1.7669999999999999</v>
          </cell>
          <cell r="T38">
            <v>31.066779852858001</v>
          </cell>
          <cell r="U38">
            <v>31.066779852858001</v>
          </cell>
          <cell r="V38">
            <v>0</v>
          </cell>
          <cell r="W38">
            <v>0.44500000000000001</v>
          </cell>
          <cell r="X38">
            <v>0.97499999999999998</v>
          </cell>
          <cell r="Y38">
            <v>0</v>
          </cell>
          <cell r="Z38" t="str">
            <v>увел продажи</v>
          </cell>
        </row>
        <row r="39">
          <cell r="A39" t="str">
            <v>Продукт По-Росийски Классический с ЗМЖ 50% 200г Коровино Останкино</v>
          </cell>
          <cell r="B39" t="str">
            <v>шт</v>
          </cell>
          <cell r="C39">
            <v>7100108</v>
          </cell>
          <cell r="D39">
            <v>27</v>
          </cell>
          <cell r="F39">
            <v>0</v>
          </cell>
          <cell r="G39">
            <v>27</v>
          </cell>
          <cell r="H39">
            <v>0.2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T39" t="e">
            <v>#DIV/0!</v>
          </cell>
          <cell r="U39" t="e">
            <v>#DIV/0!</v>
          </cell>
          <cell r="V39">
            <v>0</v>
          </cell>
          <cell r="W39">
            <v>0</v>
          </cell>
          <cell r="X39">
            <v>1</v>
          </cell>
          <cell r="Y39">
            <v>0</v>
          </cell>
          <cell r="Z39" t="str">
            <v>увел продажи</v>
          </cell>
        </row>
        <row r="40">
          <cell r="A40" t="str">
            <v>Продукт По-Росийски Классический с ЗМЖ 50% ВЕС Коровино Останкино</v>
          </cell>
          <cell r="B40" t="str">
            <v>кг</v>
          </cell>
          <cell r="C40">
            <v>7100139</v>
          </cell>
          <cell r="D40">
            <v>67.125</v>
          </cell>
          <cell r="F40">
            <v>0</v>
          </cell>
          <cell r="G40">
            <v>67.125</v>
          </cell>
          <cell r="H40">
            <v>1</v>
          </cell>
          <cell r="I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 t="e">
            <v>#DIV/0!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 t="str">
            <v>увел продажи</v>
          </cell>
        </row>
        <row r="41">
          <cell r="A41" t="str">
            <v>Сыр "Пармезан" 40% кусок 180 гр  ОСТАНКИНО</v>
          </cell>
          <cell r="B41" t="str">
            <v>шт</v>
          </cell>
          <cell r="C41">
            <v>5034819</v>
          </cell>
          <cell r="D41">
            <v>117</v>
          </cell>
          <cell r="F41">
            <v>-1</v>
          </cell>
          <cell r="G41">
            <v>117</v>
          </cell>
          <cell r="H41">
            <v>0.18</v>
          </cell>
          <cell r="I41">
            <v>150</v>
          </cell>
          <cell r="K41">
            <v>0</v>
          </cell>
          <cell r="L41">
            <v>125</v>
          </cell>
          <cell r="M41">
            <v>-126</v>
          </cell>
          <cell r="N41">
            <v>0</v>
          </cell>
          <cell r="O41">
            <v>0</v>
          </cell>
          <cell r="P41">
            <v>-0.2</v>
          </cell>
          <cell r="T41">
            <v>-585</v>
          </cell>
          <cell r="U41">
            <v>-585</v>
          </cell>
          <cell r="V41">
            <v>-2.2000000000000002</v>
          </cell>
          <cell r="W41">
            <v>0</v>
          </cell>
          <cell r="X41">
            <v>-0.6</v>
          </cell>
          <cell r="Y41">
            <v>-0.6</v>
          </cell>
          <cell r="Z41" t="str">
            <v>увел продажи</v>
          </cell>
        </row>
        <row r="42">
          <cell r="A42" t="str">
            <v>Сыр Косичка сырная 45% 100г/8шт Папа Может Останкино</v>
          </cell>
          <cell r="B42" t="str">
            <v>шт</v>
          </cell>
          <cell r="C42">
            <v>8445160</v>
          </cell>
          <cell r="D42">
            <v>136</v>
          </cell>
          <cell r="E42">
            <v>2</v>
          </cell>
          <cell r="F42">
            <v>124</v>
          </cell>
          <cell r="G42">
            <v>14</v>
          </cell>
          <cell r="H42">
            <v>0.1</v>
          </cell>
          <cell r="I42">
            <v>0</v>
          </cell>
          <cell r="K42">
            <v>0</v>
          </cell>
          <cell r="L42">
            <v>124</v>
          </cell>
          <cell r="M42">
            <v>0</v>
          </cell>
          <cell r="N42">
            <v>0</v>
          </cell>
          <cell r="O42">
            <v>650</v>
          </cell>
          <cell r="P42">
            <v>24.8</v>
          </cell>
          <cell r="T42">
            <v>26.7741935483871</v>
          </cell>
          <cell r="U42">
            <v>0.56451612903225801</v>
          </cell>
          <cell r="V42">
            <v>25.2</v>
          </cell>
          <cell r="W42">
            <v>14</v>
          </cell>
          <cell r="X42">
            <v>5.2</v>
          </cell>
          <cell r="Y42">
            <v>44.2</v>
          </cell>
        </row>
        <row r="43">
          <cell r="A43" t="str">
            <v>Сыр Косичка сырная копченая 43% 100г/8шт Папа Может Останкино</v>
          </cell>
          <cell r="B43" t="str">
            <v>шт</v>
          </cell>
          <cell r="C43">
            <v>8445177</v>
          </cell>
          <cell r="D43">
            <v>217</v>
          </cell>
          <cell r="E43">
            <v>1</v>
          </cell>
          <cell r="F43">
            <v>107</v>
          </cell>
          <cell r="G43">
            <v>111</v>
          </cell>
          <cell r="H43">
            <v>0.1</v>
          </cell>
          <cell r="I43">
            <v>0</v>
          </cell>
          <cell r="K43">
            <v>0</v>
          </cell>
          <cell r="L43">
            <v>107</v>
          </cell>
          <cell r="M43">
            <v>0</v>
          </cell>
          <cell r="N43">
            <v>0</v>
          </cell>
          <cell r="O43">
            <v>300</v>
          </cell>
          <cell r="P43">
            <v>21.4</v>
          </cell>
          <cell r="Q43">
            <v>17</v>
          </cell>
          <cell r="T43">
            <v>20</v>
          </cell>
          <cell r="U43">
            <v>5.1869158878504704</v>
          </cell>
          <cell r="V43">
            <v>23</v>
          </cell>
          <cell r="W43">
            <v>16.2</v>
          </cell>
          <cell r="X43">
            <v>2.2000000000000002</v>
          </cell>
          <cell r="Y43">
            <v>28</v>
          </cell>
        </row>
        <row r="44">
          <cell r="A44" t="str">
            <v>Сыр ПАПА МОЖЕТ "Гауда Голд" 45 % 180 гр (10шт) Останкино</v>
          </cell>
          <cell r="B44" t="str">
            <v>шт</v>
          </cell>
          <cell r="C44">
            <v>5038411</v>
          </cell>
          <cell r="D44">
            <v>169</v>
          </cell>
          <cell r="E44">
            <v>3</v>
          </cell>
          <cell r="F44">
            <v>75</v>
          </cell>
          <cell r="G44">
            <v>92</v>
          </cell>
          <cell r="H44">
            <v>0.18</v>
          </cell>
          <cell r="I44">
            <v>150</v>
          </cell>
          <cell r="K44">
            <v>60</v>
          </cell>
          <cell r="L44">
            <v>119</v>
          </cell>
          <cell r="M44">
            <v>-44</v>
          </cell>
          <cell r="N44">
            <v>120</v>
          </cell>
          <cell r="O44">
            <v>300</v>
          </cell>
          <cell r="P44">
            <v>15</v>
          </cell>
          <cell r="T44">
            <v>34.133333333333297</v>
          </cell>
          <cell r="U44">
            <v>6.1333333333333302</v>
          </cell>
          <cell r="V44">
            <v>43</v>
          </cell>
          <cell r="W44">
            <v>39.4</v>
          </cell>
          <cell r="X44">
            <v>37.799999999999997</v>
          </cell>
          <cell r="Y44">
            <v>35</v>
          </cell>
          <cell r="Z44" t="str">
            <v>остатки?</v>
          </cell>
        </row>
        <row r="45">
          <cell r="A45" t="str">
            <v>Сыр ПАПА МОЖЕТ "Голландский традиционный" 45% 180 гр (10шт)  Останкино</v>
          </cell>
          <cell r="B45" t="str">
            <v>шт</v>
          </cell>
          <cell r="C45">
            <v>5038459</v>
          </cell>
          <cell r="D45">
            <v>161</v>
          </cell>
          <cell r="E45">
            <v>5</v>
          </cell>
          <cell r="F45">
            <v>79</v>
          </cell>
          <cell r="G45">
            <v>82</v>
          </cell>
          <cell r="H45">
            <v>0.18</v>
          </cell>
          <cell r="I45">
            <v>150</v>
          </cell>
          <cell r="K45">
            <v>0</v>
          </cell>
          <cell r="L45">
            <v>190</v>
          </cell>
          <cell r="M45">
            <v>-111</v>
          </cell>
          <cell r="N45">
            <v>0</v>
          </cell>
          <cell r="O45">
            <v>1000</v>
          </cell>
          <cell r="P45">
            <v>15.8</v>
          </cell>
          <cell r="T45">
            <v>68.481012658227797</v>
          </cell>
          <cell r="U45">
            <v>5.18987341772152</v>
          </cell>
          <cell r="V45">
            <v>35.200000000000003</v>
          </cell>
          <cell r="W45">
            <v>26.4</v>
          </cell>
          <cell r="X45">
            <v>2</v>
          </cell>
          <cell r="Y45">
            <v>83.6</v>
          </cell>
          <cell r="Z45" t="str">
            <v>остатки?</v>
          </cell>
        </row>
        <row r="46">
          <cell r="A46" t="str">
            <v>Сыр ПАПА МОЖЕТ "Министерский" 180 г фасованный массовая  Останкино</v>
          </cell>
          <cell r="B46" t="str">
            <v>шт</v>
          </cell>
          <cell r="C46">
            <v>5038831</v>
          </cell>
          <cell r="D46">
            <v>126</v>
          </cell>
          <cell r="F46">
            <v>-2</v>
          </cell>
          <cell r="G46">
            <v>126</v>
          </cell>
          <cell r="H46">
            <v>0.18</v>
          </cell>
          <cell r="I46">
            <v>150</v>
          </cell>
          <cell r="K46">
            <v>0</v>
          </cell>
          <cell r="L46">
            <v>113</v>
          </cell>
          <cell r="M46">
            <v>-115</v>
          </cell>
          <cell r="N46">
            <v>0</v>
          </cell>
          <cell r="O46">
            <v>0</v>
          </cell>
          <cell r="P46">
            <v>-0.4</v>
          </cell>
          <cell r="T46">
            <v>-315</v>
          </cell>
          <cell r="U46">
            <v>-315</v>
          </cell>
          <cell r="V46">
            <v>-2</v>
          </cell>
          <cell r="W46">
            <v>0.2</v>
          </cell>
          <cell r="X46">
            <v>0</v>
          </cell>
          <cell r="Y46">
            <v>-0.4</v>
          </cell>
          <cell r="Z46" t="str">
            <v>остатки?</v>
          </cell>
        </row>
        <row r="47">
          <cell r="A47" t="str">
            <v>Сыр ПАПА МОЖЕТ "Папин завтрак"  45% 180 г  Останкино</v>
          </cell>
          <cell r="B47" t="str">
            <v>шт</v>
          </cell>
          <cell r="C47">
            <v>5038855</v>
          </cell>
          <cell r="D47">
            <v>228</v>
          </cell>
          <cell r="E47">
            <v>2</v>
          </cell>
          <cell r="F47">
            <v>112</v>
          </cell>
          <cell r="G47">
            <v>115</v>
          </cell>
          <cell r="H47">
            <v>0.18</v>
          </cell>
          <cell r="I47">
            <v>120</v>
          </cell>
          <cell r="K47">
            <v>60</v>
          </cell>
          <cell r="L47">
            <v>112</v>
          </cell>
          <cell r="M47">
            <v>0</v>
          </cell>
          <cell r="N47">
            <v>120</v>
          </cell>
          <cell r="O47">
            <v>30</v>
          </cell>
          <cell r="P47">
            <v>22.4</v>
          </cell>
          <cell r="Q47">
            <v>183</v>
          </cell>
          <cell r="T47">
            <v>20</v>
          </cell>
          <cell r="U47">
            <v>5.1339285714285703</v>
          </cell>
          <cell r="V47">
            <v>15.2</v>
          </cell>
          <cell r="W47">
            <v>17.399999999999999</v>
          </cell>
          <cell r="X47">
            <v>19.2</v>
          </cell>
          <cell r="Y47">
            <v>19.2</v>
          </cell>
          <cell r="Z47" t="str">
            <v>остатки?</v>
          </cell>
        </row>
        <row r="48">
          <cell r="A48" t="str">
            <v>Сыр ПАПА МОЖЕТ "Российский традиционный"45 % 180 г Останкино</v>
          </cell>
          <cell r="B48" t="str">
            <v>шт</v>
          </cell>
          <cell r="C48">
            <v>5038435</v>
          </cell>
          <cell r="D48">
            <v>471</v>
          </cell>
          <cell r="E48">
            <v>7</v>
          </cell>
          <cell r="F48">
            <v>230</v>
          </cell>
          <cell r="G48">
            <v>240</v>
          </cell>
          <cell r="H48">
            <v>0.18</v>
          </cell>
          <cell r="I48">
            <v>150</v>
          </cell>
          <cell r="K48">
            <v>0</v>
          </cell>
          <cell r="L48">
            <v>229</v>
          </cell>
          <cell r="M48">
            <v>1</v>
          </cell>
          <cell r="N48">
            <v>0</v>
          </cell>
          <cell r="O48">
            <v>700</v>
          </cell>
          <cell r="P48">
            <v>46</v>
          </cell>
          <cell r="T48">
            <v>20.434782608695699</v>
          </cell>
          <cell r="U48">
            <v>5.2173913043478297</v>
          </cell>
          <cell r="V48">
            <v>39.4</v>
          </cell>
          <cell r="W48">
            <v>47.8</v>
          </cell>
          <cell r="X48">
            <v>1.2</v>
          </cell>
          <cell r="Y48">
            <v>78</v>
          </cell>
          <cell r="Z48" t="str">
            <v>остатки?</v>
          </cell>
        </row>
        <row r="49">
          <cell r="A49" t="str">
            <v>Сыр ПАПА МОЖЕТ "Тильзитер" фасованный массовая доля жира в сухом веществе 45%, 180г  Останкино</v>
          </cell>
          <cell r="B49" t="str">
            <v>шт</v>
          </cell>
          <cell r="C49">
            <v>5038398</v>
          </cell>
          <cell r="D49">
            <v>432</v>
          </cell>
          <cell r="E49">
            <v>13</v>
          </cell>
          <cell r="F49">
            <v>113</v>
          </cell>
          <cell r="G49">
            <v>317</v>
          </cell>
          <cell r="H49">
            <v>0.18</v>
          </cell>
          <cell r="I49">
            <v>120</v>
          </cell>
          <cell r="K49">
            <v>80</v>
          </cell>
          <cell r="L49">
            <v>120</v>
          </cell>
          <cell r="M49">
            <v>-7</v>
          </cell>
          <cell r="N49">
            <v>80</v>
          </cell>
          <cell r="O49">
            <v>0</v>
          </cell>
          <cell r="P49">
            <v>22.6</v>
          </cell>
          <cell r="Q49">
            <v>55</v>
          </cell>
          <cell r="T49">
            <v>20</v>
          </cell>
          <cell r="U49">
            <v>14.026548672566401</v>
          </cell>
          <cell r="V49">
            <v>27.6</v>
          </cell>
          <cell r="W49">
            <v>31.4</v>
          </cell>
          <cell r="X49">
            <v>28.4</v>
          </cell>
          <cell r="Y49">
            <v>22</v>
          </cell>
          <cell r="Z49" t="str">
            <v>увел продажи</v>
          </cell>
        </row>
        <row r="50">
          <cell r="A50" t="str">
            <v>Сыр плавленный Сливочный ж.45% 180г ТМ Папа может (16шт)  Останкино</v>
          </cell>
          <cell r="B50" t="str">
            <v>шт</v>
          </cell>
          <cell r="C50">
            <v>9988681</v>
          </cell>
          <cell r="D50">
            <v>356</v>
          </cell>
          <cell r="E50">
            <v>1</v>
          </cell>
          <cell r="F50">
            <v>77</v>
          </cell>
          <cell r="G50">
            <v>280</v>
          </cell>
          <cell r="H50">
            <v>0.18</v>
          </cell>
          <cell r="I50">
            <v>270</v>
          </cell>
          <cell r="K50">
            <v>0</v>
          </cell>
          <cell r="L50">
            <v>77</v>
          </cell>
          <cell r="M50">
            <v>0</v>
          </cell>
          <cell r="N50">
            <v>0</v>
          </cell>
          <cell r="O50">
            <v>0</v>
          </cell>
          <cell r="P50">
            <v>15.4</v>
          </cell>
          <cell r="Q50">
            <v>28</v>
          </cell>
          <cell r="T50">
            <v>20</v>
          </cell>
          <cell r="U50">
            <v>18.181818181818201</v>
          </cell>
          <cell r="V50">
            <v>25.2</v>
          </cell>
          <cell r="W50">
            <v>8.8000000000000007</v>
          </cell>
          <cell r="X50">
            <v>17</v>
          </cell>
          <cell r="Y50">
            <v>13.4</v>
          </cell>
        </row>
        <row r="51">
          <cell r="A51" t="str">
            <v>Сыр полутвердый "Гауда" с массовой долей жира в пересчете на сухое вещество 45%,   Останкино</v>
          </cell>
          <cell r="B51" t="str">
            <v>кг</v>
          </cell>
          <cell r="C51" t="str">
            <v>дубль</v>
          </cell>
          <cell r="D51">
            <v>218.57599999999999</v>
          </cell>
          <cell r="F51">
            <v>9.3719999999999999</v>
          </cell>
          <cell r="G51">
            <v>208.49799999999999</v>
          </cell>
          <cell r="H51">
            <v>1</v>
          </cell>
          <cell r="I51">
            <v>0</v>
          </cell>
          <cell r="K51">
            <v>0</v>
          </cell>
          <cell r="L51">
            <v>9</v>
          </cell>
          <cell r="M51">
            <v>0.372</v>
          </cell>
          <cell r="N51">
            <v>0</v>
          </cell>
          <cell r="O51">
            <v>0</v>
          </cell>
          <cell r="P51">
            <v>1.8744000000000001</v>
          </cell>
          <cell r="T51">
            <v>111.234528382416</v>
          </cell>
          <cell r="U51">
            <v>111.234528382416</v>
          </cell>
          <cell r="V51">
            <v>5.3231999999999999</v>
          </cell>
          <cell r="W51">
            <v>10.0892</v>
          </cell>
          <cell r="X51">
            <v>5.3731999999999998</v>
          </cell>
          <cell r="Y51">
            <v>3.3104</v>
          </cell>
          <cell r="Z51" t="str">
            <v>увел продажи</v>
          </cell>
        </row>
        <row r="52">
          <cell r="A52" t="str">
            <v>Сыр полутвердый "Голландский" с массовой долей жира в пересчете на сухое  Останкино</v>
          </cell>
          <cell r="B52" t="str">
            <v>кг</v>
          </cell>
          <cell r="D52">
            <v>192.66399999999999</v>
          </cell>
          <cell r="E52">
            <v>3.0920000000000001</v>
          </cell>
          <cell r="F52">
            <v>25.893999999999998</v>
          </cell>
          <cell r="G52">
            <v>169.86199999999999</v>
          </cell>
          <cell r="H52">
            <v>1</v>
          </cell>
          <cell r="I52">
            <v>0</v>
          </cell>
          <cell r="K52">
            <v>0</v>
          </cell>
          <cell r="L52">
            <v>26</v>
          </cell>
          <cell r="M52">
            <v>-0.106000000000002</v>
          </cell>
          <cell r="N52">
            <v>0</v>
          </cell>
          <cell r="O52">
            <v>0</v>
          </cell>
          <cell r="P52">
            <v>5.1787999999999998</v>
          </cell>
          <cell r="T52">
            <v>32.799490229396802</v>
          </cell>
          <cell r="U52">
            <v>32.799490229396802</v>
          </cell>
          <cell r="V52">
            <v>0</v>
          </cell>
          <cell r="W52">
            <v>0</v>
          </cell>
          <cell r="X52">
            <v>0</v>
          </cell>
          <cell r="Y52">
            <v>3.278</v>
          </cell>
        </row>
        <row r="53">
          <cell r="A53" t="str">
            <v>Сыр полутвердый "Сметанковый", с масс долей жира в пересчете на сухое вещес50%, брус  Останкино</v>
          </cell>
          <cell r="B53" t="str">
            <v>кг</v>
          </cell>
          <cell r="C53">
            <v>8785198</v>
          </cell>
          <cell r="D53">
            <v>43.731999999999999</v>
          </cell>
          <cell r="F53">
            <v>43.8</v>
          </cell>
          <cell r="G53">
            <v>3.274</v>
          </cell>
          <cell r="H53">
            <v>1</v>
          </cell>
          <cell r="I53">
            <v>120</v>
          </cell>
          <cell r="K53">
            <v>255.69800000000001</v>
          </cell>
          <cell r="L53">
            <v>37.5</v>
          </cell>
          <cell r="M53">
            <v>6.3</v>
          </cell>
          <cell r="N53">
            <v>250</v>
          </cell>
          <cell r="O53">
            <v>0</v>
          </cell>
          <cell r="P53">
            <v>8.76</v>
          </cell>
          <cell r="T53">
            <v>28.9125570776256</v>
          </cell>
          <cell r="U53">
            <v>0.37374429223744299</v>
          </cell>
          <cell r="V53">
            <v>5.8323999999999998</v>
          </cell>
          <cell r="W53">
            <v>6.5208000000000004</v>
          </cell>
          <cell r="X53">
            <v>13.148400000000001</v>
          </cell>
          <cell r="Y53">
            <v>11.757999999999999</v>
          </cell>
        </row>
        <row r="54">
          <cell r="A54" t="str">
            <v>Сыр полутвердый "Тильзитер" с массовой долей жира в пересчете на сухое вещество 45%. 1/5  Останкино</v>
          </cell>
          <cell r="B54" t="str">
            <v>кг</v>
          </cell>
          <cell r="D54">
            <v>189.02799999999999</v>
          </cell>
          <cell r="F54">
            <v>18.47</v>
          </cell>
          <cell r="G54">
            <v>170.55799999999999</v>
          </cell>
          <cell r="H54">
            <v>1</v>
          </cell>
          <cell r="I54">
            <v>0</v>
          </cell>
          <cell r="K54">
            <v>0</v>
          </cell>
          <cell r="L54">
            <v>21</v>
          </cell>
          <cell r="M54">
            <v>-2.5299999999999998</v>
          </cell>
          <cell r="N54">
            <v>0</v>
          </cell>
          <cell r="O54">
            <v>0</v>
          </cell>
          <cell r="P54">
            <v>3.694</v>
          </cell>
          <cell r="T54">
            <v>46.171629669734699</v>
          </cell>
          <cell r="U54">
            <v>46.171629669734699</v>
          </cell>
          <cell r="V54">
            <v>0.60519999999999996</v>
          </cell>
          <cell r="W54">
            <v>6.4363999999999999</v>
          </cell>
          <cell r="X54">
            <v>0.59599999999999997</v>
          </cell>
          <cell r="Y54">
            <v>1.24</v>
          </cell>
          <cell r="Z54" t="str">
            <v>увел продажи</v>
          </cell>
        </row>
        <row r="55">
          <cell r="A55" t="str">
            <v>Сыр рассольный жирный Чечил 45% 100 гр  ОСТАНКИНО</v>
          </cell>
          <cell r="B55" t="str">
            <v>шт</v>
          </cell>
          <cell r="C55">
            <v>8444187</v>
          </cell>
          <cell r="D55">
            <v>531</v>
          </cell>
          <cell r="E55">
            <v>3</v>
          </cell>
          <cell r="F55">
            <v>340</v>
          </cell>
          <cell r="G55">
            <v>184</v>
          </cell>
          <cell r="H55">
            <v>0.1</v>
          </cell>
          <cell r="I55">
            <v>60</v>
          </cell>
          <cell r="K55">
            <v>0</v>
          </cell>
          <cell r="L55">
            <v>373</v>
          </cell>
          <cell r="M55">
            <v>-33</v>
          </cell>
          <cell r="N55">
            <v>0</v>
          </cell>
          <cell r="O55">
            <v>0</v>
          </cell>
          <cell r="P55">
            <v>68</v>
          </cell>
          <cell r="Q55">
            <v>1176</v>
          </cell>
          <cell r="T55">
            <v>20</v>
          </cell>
          <cell r="U55">
            <v>2.7058823529411802</v>
          </cell>
          <cell r="V55">
            <v>18.2</v>
          </cell>
          <cell r="W55">
            <v>87.8</v>
          </cell>
          <cell r="X55">
            <v>13</v>
          </cell>
          <cell r="Y55">
            <v>12.8</v>
          </cell>
          <cell r="Z55" t="str">
            <v>остатки?</v>
          </cell>
        </row>
        <row r="56">
          <cell r="A56" t="str">
            <v>Сыр рассольный жирный Чечил копченый 43% 100 гр  Останкино</v>
          </cell>
          <cell r="B56" t="str">
            <v>шт</v>
          </cell>
          <cell r="C56">
            <v>8444194</v>
          </cell>
          <cell r="D56">
            <v>121</v>
          </cell>
          <cell r="F56">
            <v>111</v>
          </cell>
          <cell r="G56">
            <v>-18</v>
          </cell>
          <cell r="H56">
            <v>0.1</v>
          </cell>
          <cell r="I56">
            <v>90</v>
          </cell>
          <cell r="K56">
            <v>438</v>
          </cell>
          <cell r="L56">
            <v>193</v>
          </cell>
          <cell r="M56">
            <v>-82</v>
          </cell>
          <cell r="N56">
            <v>440</v>
          </cell>
          <cell r="O56">
            <v>0</v>
          </cell>
          <cell r="P56">
            <v>22.2</v>
          </cell>
          <cell r="Q56">
            <v>22</v>
          </cell>
          <cell r="T56">
            <v>20</v>
          </cell>
          <cell r="U56">
            <v>-0.81081081081081097</v>
          </cell>
          <cell r="V56">
            <v>6.4</v>
          </cell>
          <cell r="W56">
            <v>48.4</v>
          </cell>
          <cell r="X56">
            <v>35.799999999999997</v>
          </cell>
          <cell r="Y56">
            <v>30.2</v>
          </cell>
          <cell r="Z56" t="str">
            <v>увел продажи</v>
          </cell>
        </row>
        <row r="57">
          <cell r="A57" t="str">
            <v>Сыр Скаморца свежий 100 гр.  ОСТАНКИНО</v>
          </cell>
          <cell r="B57" t="str">
            <v>шт</v>
          </cell>
          <cell r="C57">
            <v>8444170</v>
          </cell>
          <cell r="D57">
            <v>102</v>
          </cell>
          <cell r="E57">
            <v>1</v>
          </cell>
          <cell r="F57">
            <v>36</v>
          </cell>
          <cell r="G57">
            <v>65</v>
          </cell>
          <cell r="H57">
            <v>0.1</v>
          </cell>
          <cell r="I57">
            <v>0</v>
          </cell>
          <cell r="K57">
            <v>0</v>
          </cell>
          <cell r="L57">
            <v>38</v>
          </cell>
          <cell r="M57">
            <v>-2</v>
          </cell>
          <cell r="N57">
            <v>0</v>
          </cell>
          <cell r="O57">
            <v>100</v>
          </cell>
          <cell r="P57">
            <v>7.2</v>
          </cell>
          <cell r="T57">
            <v>22.9166666666667</v>
          </cell>
          <cell r="U57">
            <v>9.0277777777777803</v>
          </cell>
          <cell r="V57">
            <v>1.8</v>
          </cell>
          <cell r="W57">
            <v>3.2</v>
          </cell>
          <cell r="X57">
            <v>3.8</v>
          </cell>
          <cell r="Y57">
            <v>10.4</v>
          </cell>
          <cell r="Z57" t="str">
            <v>увел продажи</v>
          </cell>
        </row>
        <row r="58">
          <cell r="A58" t="str">
            <v>Сыр Творожный с зеленью 60% Папа может 140 гр.  Останкино</v>
          </cell>
          <cell r="B58" t="str">
            <v>шт</v>
          </cell>
          <cell r="C58">
            <v>9988391</v>
          </cell>
          <cell r="D58">
            <v>123</v>
          </cell>
          <cell r="F58">
            <v>9</v>
          </cell>
          <cell r="G58">
            <v>114</v>
          </cell>
          <cell r="H58">
            <v>0.14000000000000001</v>
          </cell>
          <cell r="I58">
            <v>180</v>
          </cell>
          <cell r="K58">
            <v>0</v>
          </cell>
          <cell r="L58">
            <v>9</v>
          </cell>
          <cell r="M58">
            <v>0</v>
          </cell>
          <cell r="N58">
            <v>0</v>
          </cell>
          <cell r="O58">
            <v>0</v>
          </cell>
          <cell r="P58">
            <v>1.8</v>
          </cell>
          <cell r="T58">
            <v>63.3333333333333</v>
          </cell>
          <cell r="U58">
            <v>63.3333333333333</v>
          </cell>
          <cell r="V58">
            <v>9</v>
          </cell>
          <cell r="W58">
            <v>2.4</v>
          </cell>
          <cell r="X58">
            <v>7</v>
          </cell>
          <cell r="Y58">
            <v>5.4</v>
          </cell>
        </row>
        <row r="59">
          <cell r="A59" t="str">
            <v>Сыр творожный Сливочный 140 гр.  Останкино</v>
          </cell>
          <cell r="B59" t="str">
            <v>шт</v>
          </cell>
          <cell r="C59">
            <v>9988377</v>
          </cell>
          <cell r="D59">
            <v>177</v>
          </cell>
          <cell r="F59">
            <v>17</v>
          </cell>
          <cell r="G59">
            <v>160</v>
          </cell>
          <cell r="H59">
            <v>0.14000000000000001</v>
          </cell>
          <cell r="I59">
            <v>180</v>
          </cell>
          <cell r="K59">
            <v>64</v>
          </cell>
          <cell r="L59">
            <v>17</v>
          </cell>
          <cell r="M59">
            <v>0</v>
          </cell>
          <cell r="N59">
            <v>60</v>
          </cell>
          <cell r="O59">
            <v>0</v>
          </cell>
          <cell r="P59">
            <v>3.4</v>
          </cell>
          <cell r="T59">
            <v>64.705882352941202</v>
          </cell>
          <cell r="U59">
            <v>47.058823529411796</v>
          </cell>
          <cell r="V59">
            <v>14.6</v>
          </cell>
          <cell r="W59">
            <v>5</v>
          </cell>
          <cell r="X59">
            <v>13.4</v>
          </cell>
          <cell r="Y59">
            <v>6.2</v>
          </cell>
          <cell r="Z59" t="str">
            <v>увел продажи</v>
          </cell>
        </row>
        <row r="60">
          <cell r="A60" t="str">
            <v>Сыч/Прод Коровино Российский 50% 200г НОВАЯ СЗМЖ  ОСТАНКИНО</v>
          </cell>
          <cell r="B60" t="str">
            <v>шт</v>
          </cell>
          <cell r="C60" t="str">
            <v>783К798</v>
          </cell>
          <cell r="D60">
            <v>191</v>
          </cell>
          <cell r="F60">
            <v>37</v>
          </cell>
          <cell r="G60">
            <v>153</v>
          </cell>
          <cell r="H60">
            <v>0.2</v>
          </cell>
          <cell r="I60">
            <v>0</v>
          </cell>
          <cell r="K60">
            <v>40</v>
          </cell>
          <cell r="L60">
            <v>38</v>
          </cell>
          <cell r="M60">
            <v>-1</v>
          </cell>
          <cell r="N60">
            <v>40</v>
          </cell>
          <cell r="O60">
            <v>0</v>
          </cell>
          <cell r="P60">
            <v>7.4</v>
          </cell>
          <cell r="T60">
            <v>26.081081081081098</v>
          </cell>
          <cell r="U60">
            <v>20.675675675675699</v>
          </cell>
          <cell r="V60">
            <v>0.8</v>
          </cell>
          <cell r="W60">
            <v>9.1999999999999993</v>
          </cell>
          <cell r="X60">
            <v>12</v>
          </cell>
          <cell r="Y60">
            <v>2.2000000000000002</v>
          </cell>
          <cell r="Z60" t="str">
            <v>увел продажи</v>
          </cell>
        </row>
        <row r="61">
          <cell r="A61" t="str">
            <v>Сыч/Прод Коровино Российский Оригин 50% ВЕС НОВАЯ (3,5 кг)  ОСТАНКИНО</v>
          </cell>
          <cell r="B61" t="str">
            <v>кг</v>
          </cell>
          <cell r="C61" t="str">
            <v>дубль798</v>
          </cell>
          <cell r="D61">
            <v>710.87699999999995</v>
          </cell>
          <cell r="F61">
            <v>9.5679999999999996</v>
          </cell>
          <cell r="G61">
            <v>624.22500000000002</v>
          </cell>
          <cell r="H61">
            <v>1</v>
          </cell>
          <cell r="I61">
            <v>0</v>
          </cell>
          <cell r="K61">
            <v>0</v>
          </cell>
          <cell r="L61">
            <v>13.5</v>
          </cell>
          <cell r="M61">
            <v>-3.9319999999999999</v>
          </cell>
          <cell r="N61">
            <v>0</v>
          </cell>
          <cell r="O61">
            <v>0</v>
          </cell>
          <cell r="P61">
            <v>1.9136</v>
          </cell>
          <cell r="T61">
            <v>326.20453595317701</v>
          </cell>
          <cell r="U61">
            <v>326.20453595317701</v>
          </cell>
          <cell r="V61">
            <v>6.4168000000000003</v>
          </cell>
          <cell r="W61">
            <v>2.7692000000000001</v>
          </cell>
          <cell r="X61">
            <v>1.1095999999999999</v>
          </cell>
          <cell r="Y61">
            <v>2.6507999999999998</v>
          </cell>
          <cell r="Z61" t="str">
            <v>увел продажи</v>
          </cell>
        </row>
        <row r="62">
          <cell r="A62" t="str">
            <v>Сыч/Прод Коровино Тильзитер 50% 200г НОВАЯ СЗМЖ  ОСТАНКИНО</v>
          </cell>
          <cell r="B62" t="str">
            <v>шт</v>
          </cell>
          <cell r="C62" t="str">
            <v>783К801</v>
          </cell>
          <cell r="D62">
            <v>52</v>
          </cell>
          <cell r="F62">
            <v>19</v>
          </cell>
          <cell r="G62">
            <v>33</v>
          </cell>
          <cell r="H62">
            <v>0.2</v>
          </cell>
          <cell r="I62">
            <v>0</v>
          </cell>
          <cell r="K62">
            <v>0</v>
          </cell>
          <cell r="L62">
            <v>18</v>
          </cell>
          <cell r="M62">
            <v>1</v>
          </cell>
          <cell r="N62">
            <v>0</v>
          </cell>
          <cell r="O62">
            <v>0</v>
          </cell>
          <cell r="P62">
            <v>3.8</v>
          </cell>
          <cell r="Q62">
            <v>43</v>
          </cell>
          <cell r="T62">
            <v>20</v>
          </cell>
          <cell r="U62">
            <v>8.6842105263157894</v>
          </cell>
          <cell r="V62">
            <v>5.6</v>
          </cell>
          <cell r="W62">
            <v>3.4</v>
          </cell>
          <cell r="X62">
            <v>2.4</v>
          </cell>
          <cell r="Y62">
            <v>2</v>
          </cell>
        </row>
        <row r="63">
          <cell r="A63" t="str">
            <v>Сыч/Прод Коровино Тильзитер Оригин 50% ВЕС НОВАЯ (5 кг брус) СЗМЖ  ОСТАНКИНО</v>
          </cell>
          <cell r="B63" t="str">
            <v>кг</v>
          </cell>
          <cell r="D63">
            <v>74.388000000000005</v>
          </cell>
          <cell r="F63">
            <v>25.745999999999999</v>
          </cell>
          <cell r="G63">
            <v>48.642000000000003</v>
          </cell>
          <cell r="H63">
            <v>1</v>
          </cell>
          <cell r="I63">
            <v>0</v>
          </cell>
          <cell r="K63">
            <v>0</v>
          </cell>
          <cell r="L63">
            <v>24.5</v>
          </cell>
          <cell r="M63">
            <v>1.246</v>
          </cell>
          <cell r="N63">
            <v>0</v>
          </cell>
          <cell r="O63">
            <v>100</v>
          </cell>
          <cell r="P63">
            <v>5.1492000000000004</v>
          </cell>
          <cell r="T63">
            <v>28.867008467334699</v>
          </cell>
          <cell r="U63">
            <v>9.4465159636448401</v>
          </cell>
          <cell r="V63">
            <v>6.9215999999999998</v>
          </cell>
          <cell r="W63">
            <v>6.3895999999999997</v>
          </cell>
          <cell r="X63">
            <v>6.5612000000000004</v>
          </cell>
          <cell r="Y63">
            <v>9.7072000000000003</v>
          </cell>
          <cell r="Z63" t="str">
            <v>увел продажи</v>
          </cell>
        </row>
        <row r="64">
          <cell r="A64" t="str">
            <v>Сыр Боккончини копченый 40% 100 гр.  ОСТАНКИНО</v>
          </cell>
          <cell r="B64" t="str">
            <v>шт</v>
          </cell>
          <cell r="C64">
            <v>8444163</v>
          </cell>
          <cell r="F64">
            <v>-3</v>
          </cell>
          <cell r="H64">
            <v>0.1</v>
          </cell>
          <cell r="I64">
            <v>90</v>
          </cell>
          <cell r="K64">
            <v>120</v>
          </cell>
          <cell r="L64">
            <v>16</v>
          </cell>
          <cell r="M64">
            <v>-19</v>
          </cell>
          <cell r="N64">
            <v>120</v>
          </cell>
          <cell r="O64">
            <v>0</v>
          </cell>
          <cell r="P64">
            <v>-0.6</v>
          </cell>
          <cell r="T64">
            <v>-200</v>
          </cell>
          <cell r="U6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16.06.2026 - 22.06.2026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"Останкино ООО"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Бердянск Заморозка</v>
          </cell>
          <cell r="B7">
            <v>595.5</v>
          </cell>
        </row>
        <row r="8">
          <cell r="A8" t="str">
            <v>Останкино ООО</v>
          </cell>
          <cell r="B8">
            <v>595.5</v>
          </cell>
        </row>
        <row r="9">
          <cell r="A9" t="str">
            <v>Останкино Заморозка</v>
          </cell>
          <cell r="B9">
            <v>595.5</v>
          </cell>
        </row>
        <row r="10">
          <cell r="A10" t="str">
            <v>5579 БЛИНЧ.КРУГЛЫЕ С САД.ЯБЛОК.пл.1/420 зам. ОСТАНКИНО</v>
          </cell>
          <cell r="B10">
            <v>16</v>
          </cell>
        </row>
        <row r="11">
          <cell r="A11" t="str">
            <v>5754 БЛИНЧ.КРУГЛЫЕ С МЯСОМ 4,5кг зам. ПМ ОСТАНКИНО</v>
          </cell>
          <cell r="B11">
            <v>18</v>
          </cell>
        </row>
        <row r="12">
          <cell r="A12" t="str">
            <v>5755 БЛИНЧ.КРУГЛЫЕ С ТВОРОГОМ 4,5кг зам. ПМ ОСТАНКИНО</v>
          </cell>
          <cell r="B12">
            <v>6.5</v>
          </cell>
        </row>
        <row r="13">
          <cell r="A13" t="str">
            <v>5897 БЛИНЧ.КРУГЛЫЕ С ГРУШЕЙ пл.1/420 зам.   ОСТАНКИНО</v>
          </cell>
          <cell r="B13">
            <v>22</v>
          </cell>
        </row>
        <row r="14">
          <cell r="A14" t="str">
            <v>6148 БЛИНЧ.КРУГЛЫЕ С ВЕТЧ.И СЫР. ПМ 1/300 зам. ОСТАНКИНО</v>
          </cell>
          <cell r="B14">
            <v>67</v>
          </cell>
        </row>
        <row r="15">
          <cell r="A15" t="str">
            <v>6149 БЛИНЧ.КРУГЛЫЕ С ПЕЧЕНЬЮ ПМ 1/300 зам. ОСТАНКИНО</v>
          </cell>
          <cell r="B15">
            <v>75</v>
          </cell>
        </row>
        <row r="16">
          <cell r="A16" t="str">
            <v>6168 Блинчики с мясом пл. 1/350 зам. ОСТАНКИНО</v>
          </cell>
          <cell r="B16">
            <v>60</v>
          </cell>
        </row>
        <row r="17">
          <cell r="A17" t="str">
            <v>6202 БЛИНЧ.КРУГЛЫЕ С ТВОРОГОМ ПМ 1/300 зам. ОСТАНКИНО</v>
          </cell>
          <cell r="B17">
            <v>57</v>
          </cell>
        </row>
        <row r="18">
          <cell r="A18" t="str">
            <v>6209 Блинчики с куриным мясом пл. 1/350 зам. ОСТАНКИНО</v>
          </cell>
          <cell r="B18">
            <v>78</v>
          </cell>
        </row>
        <row r="19">
          <cell r="A19" t="str">
            <v>6819 БЛИНЧ.КРУГЛЫЕ С САД.ЯБЛОК. пл. 1/300 зам. ОСТАНКИНО</v>
          </cell>
          <cell r="B19">
            <v>18</v>
          </cell>
        </row>
        <row r="20">
          <cell r="A20" t="str">
            <v>7216 СОЧНЫЕ СО СЛ.МАСЛ.ПМ пельм пл.0.7кг зам. ОСТАНКИНО</v>
          </cell>
          <cell r="B20">
            <v>178</v>
          </cell>
        </row>
        <row r="21">
          <cell r="A21" t="str">
            <v>6948249 Майонезный соус провансаль 824,5гр деликатес.с массовой долей жирн.25% Коровино Останкино</v>
          </cell>
          <cell r="B21">
            <v>8</v>
          </cell>
        </row>
        <row r="22">
          <cell r="A22" t="str">
            <v>6948256 Майонез провансаль классич.оливковый Папа может 372гр с массовой долей жирн. 67% Останкино</v>
          </cell>
          <cell r="B22">
            <v>105</v>
          </cell>
        </row>
        <row r="23">
          <cell r="A23" t="str">
            <v>6948263 Майонез провансаль классич.оливковый Папа может 744гр с массовой долей жирн. 67% Останкино</v>
          </cell>
          <cell r="B23">
            <v>98</v>
          </cell>
        </row>
        <row r="24">
          <cell r="A24" t="str">
            <v>6948270 Майонез провансаль классич.Папа может 372гр с массовой долей жирн. 67% Останкино</v>
          </cell>
          <cell r="B24">
            <v>255</v>
          </cell>
        </row>
        <row r="25">
          <cell r="A25" t="str">
            <v>6948287 Майонез провансаль классич.Папа может 744гр с массовой долей жирн. 67% Останкино</v>
          </cell>
          <cell r="B25">
            <v>182</v>
          </cell>
        </row>
        <row r="26">
          <cell r="A26" t="str">
            <v>3323 Сыр Российский цилиндр 1/4 пленка ЮКМП м.д.ж. 50%  ОСТАНКИНО</v>
          </cell>
          <cell r="B26">
            <v>106.354</v>
          </cell>
        </row>
        <row r="27">
          <cell r="A27" t="str">
            <v>4001481 Сыр Бурмакинский со вкусом топленого молока 45%( брус)  Останкино</v>
          </cell>
          <cell r="B27">
            <v>3.5</v>
          </cell>
        </row>
        <row r="28">
          <cell r="A28" t="str">
            <v>4421577 Спред растительно-сливочный "Сливочный вкус" 82,5% 180гр  Останкино</v>
          </cell>
          <cell r="B28">
            <v>33</v>
          </cell>
        </row>
        <row r="29">
          <cell r="A29" t="str">
            <v>4421584 Спред растительно-сливочный "Сливочный вкус" 72,5% 180гр  Останкино</v>
          </cell>
          <cell r="B29">
            <v>23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>
            <v>19</v>
          </cell>
        </row>
        <row r="31">
          <cell r="A31" t="str">
            <v>9988438 Плавленый Сыр 45% "С ветчиной" СТМ"ПапаМожет" 180гр  Останкино</v>
          </cell>
          <cell r="B31">
            <v>1</v>
          </cell>
        </row>
        <row r="32">
          <cell r="A32" t="str">
            <v>9988445 Плавленый Сыр 45%"С грибами" СТМ"ПапаМожет" 180 гр  Останкино</v>
          </cell>
          <cell r="B32">
            <v>43</v>
          </cell>
        </row>
        <row r="33">
          <cell r="A33" t="str">
            <v>Cыр Перлини 40% 100гр (8шт)  Останкино</v>
          </cell>
          <cell r="B33">
            <v>6</v>
          </cell>
        </row>
        <row r="34">
          <cell r="A34" t="str">
            <v>Cыр Перлини копченый 40% 100гр (8шт)  Останкино</v>
          </cell>
          <cell r="B34">
            <v>6</v>
          </cell>
        </row>
        <row r="35">
          <cell r="A35" t="str">
            <v>Cыр Перлини со вкусом Васаби 40% 100гр (8шт)  Останкино</v>
          </cell>
          <cell r="B35">
            <v>30</v>
          </cell>
        </row>
        <row r="36">
          <cell r="A36" t="str">
            <v>А_Сыр Боккончини копченый 40% 100 гр.  ОСТАНКИНО</v>
          </cell>
          <cell r="B36">
            <v>11</v>
          </cell>
        </row>
        <row r="37">
          <cell r="A37" t="str">
            <v>Масло "Папа может" 82,5% 180гр  Останкино</v>
          </cell>
          <cell r="B37">
            <v>444</v>
          </cell>
        </row>
        <row r="38">
          <cell r="A38" t="str">
            <v>Масло сливочное 72,5 % 180 гр.(10 шт) СЛАВЯНА  Останкино</v>
          </cell>
          <cell r="B38">
            <v>336</v>
          </cell>
        </row>
        <row r="39">
          <cell r="A39" t="str">
            <v>Плавленый продукт с Сыром колбасный копченый 40% СТМ "Коровино" 400гр  Останкино</v>
          </cell>
          <cell r="B39">
            <v>1</v>
          </cell>
        </row>
        <row r="40">
          <cell r="A40" t="str">
            <v>Плавленый сыр "Шоколадный" 30% 180гр Папа Может Останкино</v>
          </cell>
          <cell r="B40">
            <v>5</v>
          </cell>
        </row>
        <row r="41">
          <cell r="A41" t="str">
            <v>Плавленый Сыр колбасный копченый 40% СТМ"ПапаМожет"400гр  Останкино</v>
          </cell>
          <cell r="B41">
            <v>4</v>
          </cell>
        </row>
        <row r="42">
          <cell r="A42" t="str">
            <v>Сыр "Пармезан" 40% кусок 180 гр  ОСТАНКИНО</v>
          </cell>
          <cell r="B42">
            <v>134</v>
          </cell>
        </row>
        <row r="43">
          <cell r="A43" t="str">
            <v>Сыр Боккончини копченый 40% 100 гр.  ОСТАНКИНО</v>
          </cell>
          <cell r="B43">
            <v>73</v>
          </cell>
        </row>
        <row r="44">
          <cell r="A44" t="str">
            <v>Сыр Косичка сырная 45% 100г/8шт Папа Может Останкино</v>
          </cell>
          <cell r="B44">
            <v>79</v>
          </cell>
        </row>
        <row r="45">
          <cell r="A45" t="str">
            <v>Сыр Косичка сырная копченая 43% 100г/8шт Папа Может Останкино</v>
          </cell>
          <cell r="B45">
            <v>118</v>
          </cell>
        </row>
        <row r="46">
          <cell r="A46" t="str">
            <v>Сыр ПАПА МОЖЕТ "Гауда Голд" 45 % 180 гр (10шт) Останкино</v>
          </cell>
          <cell r="B46">
            <v>182</v>
          </cell>
        </row>
        <row r="47">
          <cell r="A47" t="str">
            <v>Сыр ПАПА МОЖЕТ "Голландский традиционный" 45% 180 гр (10шт)  Останкино</v>
          </cell>
          <cell r="B47">
            <v>342</v>
          </cell>
        </row>
        <row r="48">
          <cell r="A48" t="str">
            <v>Сыр ПАПА МОЖЕТ "Министерский" 180 г фасованный массовая  Останкино</v>
          </cell>
          <cell r="B48">
            <v>169</v>
          </cell>
        </row>
        <row r="49">
          <cell r="A49" t="str">
            <v>Сыр ПАПА МОЖЕТ "Папин завтрак"  45% 180 г  Останкино</v>
          </cell>
          <cell r="B49">
            <v>127</v>
          </cell>
        </row>
        <row r="50">
          <cell r="A50" t="str">
            <v>Сыр ПАПА МОЖЕТ "Российский традиционный"45 % 180 г Останкино</v>
          </cell>
          <cell r="B50">
            <v>284</v>
          </cell>
        </row>
        <row r="51">
          <cell r="A51" t="str">
            <v>Сыр ПАПА МОЖЕТ "Тильзитер" фасованный массовая доля жира в сухом веществе 45%, 180г  Останкино</v>
          </cell>
          <cell r="B51">
            <v>163</v>
          </cell>
        </row>
        <row r="52">
          <cell r="A52" t="str">
            <v>Сыр Папа Может Папин Завтрак 50% 200г  Останкино</v>
          </cell>
          <cell r="B52">
            <v>2</v>
          </cell>
        </row>
        <row r="53">
          <cell r="A53" t="str">
            <v>Сыр Папа Может Российский  50% 200гр    Останкино</v>
          </cell>
          <cell r="B53">
            <v>2</v>
          </cell>
        </row>
        <row r="54">
          <cell r="A54" t="str">
            <v>Сыр плавленный Сливочный ж.45% 180г ТМ Папа может (16шт)  Останкино</v>
          </cell>
          <cell r="B54">
            <v>95</v>
          </cell>
        </row>
        <row r="55">
          <cell r="A55" t="str">
            <v>Сыр полутвердый "Гауда" с массовой долей жира в пересчете на сухое вещество 45%,   Останкино</v>
          </cell>
          <cell r="B55">
            <v>22.8</v>
          </cell>
        </row>
        <row r="56">
          <cell r="A56" t="str">
            <v>Сыр полутвердый "Голландский" с массовой долей жира в пересчете на сухое  Останкино</v>
          </cell>
          <cell r="B56">
            <v>10.5</v>
          </cell>
        </row>
        <row r="57">
          <cell r="A57" t="str">
            <v>Сыр полутвердый "Сметанковый", с масс долей жира в пересчете на сухое вещес50%, брус  Останкино</v>
          </cell>
          <cell r="B57">
            <v>26.6</v>
          </cell>
        </row>
        <row r="58">
          <cell r="A58" t="str">
            <v>Сыр полутвердый "Тильзитер" с массовой долей жира в пересчете на сухое вещество 45%. 1/5  Останкино</v>
          </cell>
          <cell r="B58">
            <v>14</v>
          </cell>
        </row>
        <row r="59">
          <cell r="A59" t="str">
            <v>Сыр рассольный жирный Чечил 45% 100 гр  ОСТАНКИНО</v>
          </cell>
          <cell r="B59">
            <v>287</v>
          </cell>
        </row>
        <row r="60">
          <cell r="A60" t="str">
            <v>Сыр рассольный жирный Чечил копченый 43% 100 гр  Останкино</v>
          </cell>
          <cell r="B60">
            <v>201</v>
          </cell>
        </row>
        <row r="61">
          <cell r="A61" t="str">
            <v>Сыр Скаморца свежий 100 гр.  ОСТАНКИНО</v>
          </cell>
          <cell r="B61">
            <v>38</v>
          </cell>
        </row>
        <row r="62">
          <cell r="A62" t="str">
            <v>Сыр Творожный с зеленью 60% Папа может 140 гр.  Останкино</v>
          </cell>
          <cell r="B62">
            <v>28</v>
          </cell>
        </row>
        <row r="63">
          <cell r="A63" t="str">
            <v>Сыр творожный Сливочный 140 гр.  Останкино</v>
          </cell>
          <cell r="B63">
            <v>57</v>
          </cell>
        </row>
        <row r="64">
          <cell r="A64" t="str">
            <v>Сыч/Прод Коровино Российский 50% 200г НОВАЯ СЗМЖ  ОСТАНКИНО</v>
          </cell>
          <cell r="B64">
            <v>39</v>
          </cell>
        </row>
        <row r="65">
          <cell r="A65" t="str">
            <v>Сыч/Прод Коровино Российский Оригин 50% ВЕС НОВАЯ (3,5 кг)  ОСТАНКИНО</v>
          </cell>
          <cell r="B65">
            <v>176.8</v>
          </cell>
        </row>
        <row r="66">
          <cell r="A66" t="str">
            <v>Сыч/Прод Коровино Тильзитер 50% 200г НОВАЯ СЗМЖ  ОСТАНКИНО</v>
          </cell>
          <cell r="B66">
            <v>29</v>
          </cell>
        </row>
        <row r="67">
          <cell r="A67" t="str">
            <v>Сыч/Прод Коровино Тильзитер Оригин 50% ВЕС НОВАЯ (5 кг брус) СЗМЖ  ОСТАНКИНО</v>
          </cell>
          <cell r="B67">
            <v>29.5</v>
          </cell>
        </row>
        <row r="68">
          <cell r="B68">
            <v>5044.5540000000001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A68"/>
  <sheetViews>
    <sheetView tabSelected="1" workbookViewId="0">
      <pane xSplit="1" ySplit="10" topLeftCell="B24" activePane="bottomRight" state="frozen"/>
      <selection pane="topRight"/>
      <selection pane="bottomLeft"/>
      <selection pane="bottomRight" activeCell="R28" sqref="R28:R35"/>
    </sheetView>
  </sheetViews>
  <sheetFormatPr defaultColWidth="23" defaultRowHeight="11.4" customHeight="1" outlineLevelRow="2"/>
  <cols>
    <col min="1" max="1" width="91.28515625" style="1" customWidth="1"/>
    <col min="2" max="2" width="4" style="1" customWidth="1"/>
    <col min="3" max="3" width="9.140625" style="1" customWidth="1"/>
    <col min="4" max="5" width="9.42578125" style="1" customWidth="1"/>
    <col min="6" max="6" width="10" style="1" customWidth="1"/>
    <col min="7" max="7" width="10.42578125" style="1" customWidth="1"/>
    <col min="8" max="8" width="6.28515625" style="2" customWidth="1"/>
    <col min="9" max="9" width="8" style="2" customWidth="1"/>
    <col min="10" max="10" width="1.140625" style="2" customWidth="1"/>
    <col min="11" max="11" width="1" style="2" customWidth="1"/>
    <col min="12" max="12" width="9.140625" style="2" customWidth="1"/>
    <col min="13" max="13" width="8.28515625" style="2" customWidth="1"/>
    <col min="14" max="14" width="9.42578125" style="2" customWidth="1"/>
    <col min="15" max="15" width="7.7109375" style="2" customWidth="1"/>
    <col min="16" max="16" width="8.42578125" style="2" customWidth="1"/>
    <col min="17" max="17" width="8.7109375" style="2" customWidth="1"/>
    <col min="18" max="18" width="9.42578125" style="2" customWidth="1"/>
    <col min="19" max="19" width="8.85546875" style="2" customWidth="1"/>
    <col min="20" max="20" width="9.42578125" style="2" customWidth="1"/>
    <col min="21" max="21" width="6.42578125" style="2" customWidth="1"/>
    <col min="22" max="25" width="7.85546875" style="2" customWidth="1"/>
    <col min="26" max="26" width="12.85546875" style="2" customWidth="1"/>
    <col min="27" max="27" width="7.7109375" style="2" customWidth="1"/>
    <col min="28" max="42" width="4" style="2" customWidth="1"/>
    <col min="43" max="16384" width="23" style="2"/>
  </cols>
  <sheetData>
    <row r="1" spans="1:27" s="1" customFormat="1" ht="10.199999999999999" customHeight="1"/>
    <row r="2" spans="1:27" ht="25.2" customHeight="1">
      <c r="A2" s="3" t="s">
        <v>0</v>
      </c>
    </row>
    <row r="3" spans="1:27" s="1" customFormat="1" ht="10.199999999999999" customHeight="1"/>
    <row r="4" spans="1:27" ht="13.2" customHeight="1" outlineLevel="1">
      <c r="A4" s="4" t="s">
        <v>1</v>
      </c>
      <c r="B4" s="4" t="s">
        <v>2</v>
      </c>
      <c r="C4" s="4"/>
      <c r="D4" s="4"/>
    </row>
    <row r="5" spans="1:27" ht="13.2" customHeight="1" outlineLevel="1">
      <c r="B5" s="4" t="s">
        <v>3</v>
      </c>
      <c r="C5" s="4"/>
      <c r="D5" s="4"/>
    </row>
    <row r="6" spans="1:27" ht="25.95" customHeight="1" outlineLevel="1">
      <c r="A6" s="4" t="s">
        <v>4</v>
      </c>
      <c r="B6" s="4" t="s">
        <v>5</v>
      </c>
      <c r="C6" s="4"/>
      <c r="D6" s="4"/>
      <c r="E6" s="4"/>
      <c r="F6" s="4"/>
      <c r="G6" s="4"/>
    </row>
    <row r="7" spans="1:27" s="1" customFormat="1" ht="10.199999999999999" customHeight="1"/>
    <row r="8" spans="1:27" ht="13.2" customHeight="1">
      <c r="A8" s="5" t="s">
        <v>6</v>
      </c>
      <c r="B8" s="5" t="s">
        <v>7</v>
      </c>
      <c r="C8" s="5"/>
      <c r="D8" s="6" t="s">
        <v>8</v>
      </c>
      <c r="E8" s="6"/>
      <c r="F8" s="6"/>
      <c r="G8" s="6"/>
      <c r="H8" s="7" t="s">
        <v>9</v>
      </c>
      <c r="I8" s="8" t="s">
        <v>10</v>
      </c>
      <c r="J8" s="8" t="s">
        <v>11</v>
      </c>
      <c r="K8" s="8" t="s">
        <v>12</v>
      </c>
      <c r="L8" s="8" t="s">
        <v>13</v>
      </c>
      <c r="M8" s="8" t="s">
        <v>14</v>
      </c>
      <c r="N8" s="8" t="s">
        <v>15</v>
      </c>
      <c r="O8" s="8"/>
      <c r="P8" s="8" t="s">
        <v>16</v>
      </c>
      <c r="Q8" s="9" t="s">
        <v>17</v>
      </c>
      <c r="R8" s="10" t="s">
        <v>18</v>
      </c>
      <c r="S8" s="10" t="s">
        <v>19</v>
      </c>
      <c r="T8" s="8" t="s">
        <v>20</v>
      </c>
      <c r="U8" s="8" t="s">
        <v>21</v>
      </c>
      <c r="V8" s="8" t="s">
        <v>22</v>
      </c>
      <c r="W8" s="8" t="s">
        <v>22</v>
      </c>
      <c r="X8" s="8" t="s">
        <v>22</v>
      </c>
      <c r="Y8" s="8" t="s">
        <v>22</v>
      </c>
      <c r="Z8" s="8" t="s">
        <v>23</v>
      </c>
      <c r="AA8" s="8" t="s">
        <v>24</v>
      </c>
    </row>
    <row r="9" spans="1:27" ht="19.95" customHeight="1">
      <c r="A9" s="11"/>
      <c r="B9" s="12"/>
      <c r="C9" s="12"/>
      <c r="D9" s="6" t="s">
        <v>25</v>
      </c>
      <c r="E9" s="6" t="s">
        <v>26</v>
      </c>
      <c r="F9" s="6" t="s">
        <v>27</v>
      </c>
      <c r="G9" s="6" t="s">
        <v>28</v>
      </c>
      <c r="H9" s="13"/>
      <c r="I9" s="13"/>
      <c r="J9" s="13"/>
      <c r="K9" s="13"/>
      <c r="L9" s="13"/>
      <c r="M9" s="13"/>
      <c r="N9" s="13" t="s">
        <v>29</v>
      </c>
      <c r="O9" s="13" t="s">
        <v>30</v>
      </c>
      <c r="P9" s="13" t="s">
        <v>30</v>
      </c>
      <c r="Q9" s="13" t="s">
        <v>31</v>
      </c>
      <c r="R9" s="13"/>
      <c r="S9" s="13"/>
      <c r="T9" s="13"/>
      <c r="U9" s="13"/>
      <c r="V9" s="13" t="s">
        <v>32</v>
      </c>
      <c r="W9" s="13" t="s">
        <v>33</v>
      </c>
      <c r="X9" s="13" t="s">
        <v>34</v>
      </c>
      <c r="Y9" s="13" t="s">
        <v>29</v>
      </c>
      <c r="Z9" s="13"/>
      <c r="AA9" s="13" t="s">
        <v>31</v>
      </c>
    </row>
    <row r="10" spans="1:27" ht="19.2" customHeight="1">
      <c r="A10" s="11"/>
      <c r="B10" s="12"/>
      <c r="C10" s="14"/>
      <c r="D10" s="15">
        <f>SUM(D11:D451)</f>
        <v>8040.0630000000001</v>
      </c>
      <c r="E10" s="15">
        <f>SUM(E11:E451)</f>
        <v>2568.7939999999999</v>
      </c>
      <c r="F10" s="15">
        <f>SUM(F11:F451)</f>
        <v>3774.192</v>
      </c>
      <c r="G10" s="15">
        <f>SUM(G11:G451)</f>
        <v>6803.3630000000003</v>
      </c>
      <c r="H10" s="13"/>
      <c r="I10" s="13"/>
      <c r="J10" s="13"/>
      <c r="K10" s="13"/>
      <c r="L10" s="15">
        <f t="shared" ref="L10:R10" si="0">SUM(L11:L451)</f>
        <v>5028.0540000000001</v>
      </c>
      <c r="M10" s="15">
        <f t="shared" si="0"/>
        <v>-1253.8620000000001</v>
      </c>
      <c r="N10" s="15">
        <f t="shared" si="0"/>
        <v>5340</v>
      </c>
      <c r="O10" s="15">
        <f t="shared" si="0"/>
        <v>5362.0959999999995</v>
      </c>
      <c r="P10" s="15">
        <f t="shared" si="0"/>
        <v>754.83839999999998</v>
      </c>
      <c r="Q10" s="15">
        <f t="shared" si="0"/>
        <v>3901.2489999999998</v>
      </c>
      <c r="R10" s="15">
        <f t="shared" si="0"/>
        <v>0</v>
      </c>
      <c r="S10" s="13"/>
      <c r="T10" s="13"/>
      <c r="U10" s="13"/>
      <c r="V10" s="15">
        <f>SUM(V11:V451)</f>
        <v>960.62300000000005</v>
      </c>
      <c r="W10" s="15">
        <f>SUM(W11:W451)</f>
        <v>581.02279999999996</v>
      </c>
      <c r="X10" s="15">
        <f>SUM(X11:X451)</f>
        <v>925.91160000000002</v>
      </c>
      <c r="Y10" s="15">
        <f>SUM(Y11:Y451)</f>
        <v>787.73339999999996</v>
      </c>
      <c r="Z10" s="15"/>
      <c r="AA10" s="15">
        <f>SUM(AA11:AA451)</f>
        <v>1005.741</v>
      </c>
    </row>
    <row r="11" spans="1:27" ht="10.95" customHeight="1">
      <c r="A11" s="16" t="s">
        <v>35</v>
      </c>
      <c r="B11" s="16" t="s">
        <v>36</v>
      </c>
      <c r="C11" s="16">
        <f>VLOOKUP(A:A,[1]TDSheet!$A:$C,3,0)</f>
        <v>3323</v>
      </c>
      <c r="D11" s="17">
        <v>296.91800000000001</v>
      </c>
      <c r="E11" s="17">
        <v>52.054000000000002</v>
      </c>
      <c r="F11" s="17">
        <v>102.17400000000001</v>
      </c>
      <c r="G11" s="17">
        <v>242.49600000000001</v>
      </c>
      <c r="H11" s="2">
        <f>VLOOKUP(A:A,[1]TDSheet!$A:$H,8,0)</f>
        <v>1</v>
      </c>
      <c r="L11" s="18">
        <f>VLOOKUP(A:A,[2]TDSheet!$A:$B,2,0)</f>
        <v>106.354</v>
      </c>
      <c r="M11" s="18">
        <f>F11-L11</f>
        <v>-4.1799999999999899</v>
      </c>
      <c r="N11" s="18">
        <f>VLOOKUP(A:A,[1]TDSheet!$A:$O,15,0)</f>
        <v>0</v>
      </c>
      <c r="O11" s="18">
        <f>VLOOKUP(A:A,[1]TDSheet!$A:$Q,17,0)</f>
        <v>62.314</v>
      </c>
      <c r="P11" s="18">
        <f>F11/5</f>
        <v>20.434799999999999</v>
      </c>
      <c r="Q11" s="19">
        <f>20*P11-G11-N11-O11</f>
        <v>103.886</v>
      </c>
      <c r="R11" s="19"/>
      <c r="S11" s="18"/>
      <c r="T11" s="18">
        <f>(G11+N11+O11+Q11)/P11</f>
        <v>20</v>
      </c>
      <c r="U11" s="18">
        <f>G11/P11</f>
        <v>11.8668154324975</v>
      </c>
      <c r="V11" s="18">
        <f>VLOOKUP(A:A,[1]TDSheet!$A:$W,23,0)</f>
        <v>5.8540000000000001</v>
      </c>
      <c r="W11" s="18">
        <f>VLOOKUP(A:A,[1]TDSheet!$A:$X,24,0)</f>
        <v>16.459399999999999</v>
      </c>
      <c r="X11" s="18">
        <f>VLOOKUP(A:A,[1]TDSheet!$A:$Y,25,0)</f>
        <v>14.24</v>
      </c>
      <c r="Y11" s="18">
        <f>VLOOKUP(A:A,[1]TDSheet!$A:$P,16,0)</f>
        <v>20.461600000000001</v>
      </c>
      <c r="Z11" s="18" t="str">
        <f>VLOOKUP(A:A,[1]TDSheet!$A:$Z,26,0)</f>
        <v>увел продажи</v>
      </c>
      <c r="AA11" s="18">
        <f>Q11*H11</f>
        <v>103.886</v>
      </c>
    </row>
    <row r="12" spans="1:27" ht="10.95" customHeight="1">
      <c r="A12" s="20" t="s">
        <v>37</v>
      </c>
      <c r="B12" s="16" t="s">
        <v>38</v>
      </c>
      <c r="C12" s="16">
        <f>VLOOKUP(A:A,[1]TDSheet!$A:$C,3,0)</f>
        <v>1577</v>
      </c>
      <c r="D12" s="17">
        <v>258</v>
      </c>
      <c r="E12" s="17"/>
      <c r="F12" s="17">
        <v>33</v>
      </c>
      <c r="G12" s="17">
        <v>225</v>
      </c>
      <c r="H12" s="2">
        <f>VLOOKUP(A:A,[1]TDSheet!$A:$H,8,0)</f>
        <v>0.18</v>
      </c>
      <c r="L12" s="18">
        <f>VLOOKUP(A:A,[2]TDSheet!$A:$B,2,0)</f>
        <v>33</v>
      </c>
      <c r="M12" s="18">
        <f t="shared" ref="M12:M68" si="1">F12-L12</f>
        <v>0</v>
      </c>
      <c r="N12" s="18">
        <f>VLOOKUP(A:A,[1]TDSheet!$A:$O,15,0)</f>
        <v>0</v>
      </c>
      <c r="O12" s="18">
        <f>VLOOKUP(A:A,[1]TDSheet!$A:$Q,17,0)</f>
        <v>0</v>
      </c>
      <c r="P12" s="18">
        <f t="shared" ref="P12:P68" si="2">F12/5</f>
        <v>6.6</v>
      </c>
      <c r="Q12" s="19"/>
      <c r="R12" s="19"/>
      <c r="S12" s="18"/>
      <c r="T12" s="18">
        <f t="shared" ref="T12:T68" si="3">(G12+N12+O12+Q12)/P12</f>
        <v>34.090909090909101</v>
      </c>
      <c r="U12" s="18">
        <f t="shared" ref="U12:U68" si="4">G12/P12</f>
        <v>34.090909090909101</v>
      </c>
      <c r="V12" s="18">
        <f>VLOOKUP(A:A,[1]TDSheet!$A:$W,23,0)</f>
        <v>62</v>
      </c>
      <c r="W12" s="18">
        <f>VLOOKUP(A:A,[1]TDSheet!$A:$X,24,0)</f>
        <v>0</v>
      </c>
      <c r="X12" s="18">
        <f>VLOOKUP(A:A,[1]TDSheet!$A:$Y,25,0)</f>
        <v>1</v>
      </c>
      <c r="Y12" s="18">
        <f>VLOOKUP(A:A,[1]TDSheet!$A:$P,16,0)</f>
        <v>7.4</v>
      </c>
      <c r="Z12" s="18" t="str">
        <f>VLOOKUP(A:A,[1]TDSheet!$A:$Z,26,0)</f>
        <v>увел продажи</v>
      </c>
      <c r="AA12" s="18">
        <f t="shared" ref="AA12:AA68" si="5">Q12*H12</f>
        <v>0</v>
      </c>
    </row>
    <row r="13" spans="1:27" ht="10.95" customHeight="1">
      <c r="A13" s="20" t="s">
        <v>39</v>
      </c>
      <c r="B13" s="16" t="s">
        <v>38</v>
      </c>
      <c r="C13" s="16">
        <f>VLOOKUP(A:A,[1]TDSheet!$A:$C,3,0)</f>
        <v>1584</v>
      </c>
      <c r="D13" s="17">
        <v>285</v>
      </c>
      <c r="E13" s="17">
        <v>10</v>
      </c>
      <c r="F13" s="17">
        <v>22</v>
      </c>
      <c r="G13" s="17">
        <v>272</v>
      </c>
      <c r="H13" s="2">
        <f>VLOOKUP(A:A,[1]TDSheet!$A:$H,8,0)</f>
        <v>0.18</v>
      </c>
      <c r="L13" s="18">
        <f>VLOOKUP(A:A,[2]TDSheet!$A:$B,2,0)</f>
        <v>23</v>
      </c>
      <c r="M13" s="18">
        <f t="shared" si="1"/>
        <v>-1</v>
      </c>
      <c r="N13" s="18">
        <f>VLOOKUP(A:A,[1]TDSheet!$A:$O,15,0)</f>
        <v>0</v>
      </c>
      <c r="O13" s="18">
        <f>VLOOKUP(A:A,[1]TDSheet!$A:$Q,17,0)</f>
        <v>0</v>
      </c>
      <c r="P13" s="18">
        <f t="shared" si="2"/>
        <v>4.4000000000000004</v>
      </c>
      <c r="Q13" s="19"/>
      <c r="R13" s="19"/>
      <c r="S13" s="18"/>
      <c r="T13" s="18">
        <f t="shared" si="3"/>
        <v>61.818181818181799</v>
      </c>
      <c r="U13" s="18">
        <f t="shared" si="4"/>
        <v>61.818181818181799</v>
      </c>
      <c r="V13" s="18">
        <f>VLOOKUP(A:A,[1]TDSheet!$A:$W,23,0)</f>
        <v>81</v>
      </c>
      <c r="W13" s="18">
        <f>VLOOKUP(A:A,[1]TDSheet!$A:$X,24,0)</f>
        <v>5.6</v>
      </c>
      <c r="X13" s="18">
        <f>VLOOKUP(A:A,[1]TDSheet!$A:$Y,25,0)</f>
        <v>9.1999999999999993</v>
      </c>
      <c r="Y13" s="18">
        <f>VLOOKUP(A:A,[1]TDSheet!$A:$P,16,0)</f>
        <v>11.2</v>
      </c>
      <c r="Z13" s="18" t="str">
        <f>VLOOKUP(A:A,[1]TDSheet!$A:$Z,26,0)</f>
        <v>увел продажи</v>
      </c>
      <c r="AA13" s="18">
        <f t="shared" si="5"/>
        <v>0</v>
      </c>
    </row>
    <row r="14" spans="1:27" ht="22.2" customHeight="1">
      <c r="A14" s="20" t="s">
        <v>40</v>
      </c>
      <c r="B14" s="16" t="s">
        <v>36</v>
      </c>
      <c r="C14" s="16">
        <f>VLOOKUP(A:A,[1]TDSheet!$A:$C,3,0)</f>
        <v>4931</v>
      </c>
      <c r="D14" s="17">
        <v>67.554000000000002</v>
      </c>
      <c r="E14" s="17">
        <v>48.042000000000002</v>
      </c>
      <c r="F14" s="17">
        <v>29.603999999999999</v>
      </c>
      <c r="G14" s="17">
        <v>85.992000000000004</v>
      </c>
      <c r="H14" s="2">
        <f>VLOOKUP(A:A,[1]TDSheet!$A:$H,8,0)</f>
        <v>1</v>
      </c>
      <c r="L14" s="18">
        <v>0</v>
      </c>
      <c r="M14" s="18">
        <f t="shared" si="1"/>
        <v>29.603999999999999</v>
      </c>
      <c r="N14" s="18">
        <f>VLOOKUP(A:A,[1]TDSheet!$A:$O,15,0)</f>
        <v>0</v>
      </c>
      <c r="O14" s="18">
        <f>VLOOKUP(A:A,[1]TDSheet!$A:$Q,17,0)</f>
        <v>62.781999999999996</v>
      </c>
      <c r="P14" s="18">
        <f t="shared" si="2"/>
        <v>5.9207999999999998</v>
      </c>
      <c r="Q14" s="19"/>
      <c r="R14" s="19"/>
      <c r="S14" s="18"/>
      <c r="T14" s="18">
        <f t="shared" si="3"/>
        <v>25.1273476557222</v>
      </c>
      <c r="U14" s="18">
        <f t="shared" si="4"/>
        <v>14.5237130117552</v>
      </c>
      <c r="V14" s="18">
        <f>VLOOKUP(A:A,[1]TDSheet!$A:$W,23,0)</f>
        <v>0</v>
      </c>
      <c r="W14" s="18">
        <f>VLOOKUP(A:A,[1]TDSheet!$A:$X,24,0)</f>
        <v>0</v>
      </c>
      <c r="X14" s="18">
        <f>VLOOKUP(A:A,[1]TDSheet!$A:$Y,25,0)</f>
        <v>0.61439999999999995</v>
      </c>
      <c r="Y14" s="18">
        <f>VLOOKUP(A:A,[1]TDSheet!$A:$P,16,0)</f>
        <v>6.5167999999999999</v>
      </c>
      <c r="Z14" s="18"/>
      <c r="AA14" s="18">
        <f t="shared" si="5"/>
        <v>0</v>
      </c>
    </row>
    <row r="15" spans="1:27" ht="10.95" customHeight="1">
      <c r="A15" s="20" t="s">
        <v>41</v>
      </c>
      <c r="B15" s="16" t="s">
        <v>38</v>
      </c>
      <c r="C15" s="16">
        <f>VLOOKUP(A:A,[1]TDSheet!$A:$C,3,0)</f>
        <v>5579</v>
      </c>
      <c r="D15" s="17">
        <v>233</v>
      </c>
      <c r="E15" s="17">
        <v>7</v>
      </c>
      <c r="F15" s="17">
        <v>10</v>
      </c>
      <c r="G15" s="17">
        <v>224</v>
      </c>
      <c r="H15" s="2">
        <f>VLOOKUP(A:A,[1]TDSheet!$A:$H,8,0)</f>
        <v>0.42</v>
      </c>
      <c r="L15" s="18">
        <f>VLOOKUP(A:A,[2]TDSheet!$A:$B,2,0)</f>
        <v>16</v>
      </c>
      <c r="M15" s="18">
        <f t="shared" si="1"/>
        <v>-6</v>
      </c>
      <c r="N15" s="18">
        <f>VLOOKUP(A:A,[1]TDSheet!$A:$O,15,0)</f>
        <v>0</v>
      </c>
      <c r="O15" s="18">
        <f>VLOOKUP(A:A,[1]TDSheet!$A:$Q,17,0)</f>
        <v>0</v>
      </c>
      <c r="P15" s="18">
        <f t="shared" si="2"/>
        <v>2</v>
      </c>
      <c r="Q15" s="19"/>
      <c r="R15" s="19"/>
      <c r="S15" s="18"/>
      <c r="T15" s="18">
        <f t="shared" si="3"/>
        <v>112</v>
      </c>
      <c r="U15" s="18">
        <f t="shared" si="4"/>
        <v>112</v>
      </c>
      <c r="V15" s="18">
        <f>VLOOKUP(A:A,[1]TDSheet!$A:$W,23,0)</f>
        <v>1.4</v>
      </c>
      <c r="W15" s="18">
        <f>VLOOKUP(A:A,[1]TDSheet!$A:$X,24,0)</f>
        <v>1.6</v>
      </c>
      <c r="X15" s="18">
        <f>VLOOKUP(A:A,[1]TDSheet!$A:$Y,25,0)</f>
        <v>2.4</v>
      </c>
      <c r="Y15" s="18">
        <f>VLOOKUP(A:A,[1]TDSheet!$A:$P,16,0)</f>
        <v>3.6</v>
      </c>
      <c r="Z15" s="18" t="str">
        <f>VLOOKUP(A:A,[1]TDSheet!$A:$Z,26,0)</f>
        <v>увел продажи</v>
      </c>
      <c r="AA15" s="18">
        <f t="shared" si="5"/>
        <v>0</v>
      </c>
    </row>
    <row r="16" spans="1:27" ht="10.95" customHeight="1">
      <c r="A16" s="20" t="s">
        <v>42</v>
      </c>
      <c r="B16" s="16" t="s">
        <v>36</v>
      </c>
      <c r="C16" s="16">
        <f>VLOOKUP(A:A,[1]TDSheet!$A:$C,3,0)</f>
        <v>5754</v>
      </c>
      <c r="D16" s="17">
        <v>122.68600000000001</v>
      </c>
      <c r="E16" s="17"/>
      <c r="F16" s="17">
        <v>18.146000000000001</v>
      </c>
      <c r="G16" s="17">
        <v>104.54</v>
      </c>
      <c r="H16" s="2">
        <f>VLOOKUP(A:A,[1]TDSheet!$A:$H,8,0)</f>
        <v>1</v>
      </c>
      <c r="L16" s="18">
        <f>VLOOKUP(A:A,[2]TDSheet!$A:$B,2,0)</f>
        <v>18</v>
      </c>
      <c r="M16" s="18">
        <f t="shared" si="1"/>
        <v>0.14600000000000099</v>
      </c>
      <c r="N16" s="18">
        <f>VLOOKUP(A:A,[1]TDSheet!$A:$O,15,0)</f>
        <v>0</v>
      </c>
      <c r="O16" s="18">
        <f>VLOOKUP(A:A,[1]TDSheet!$A:$Q,17,0)</f>
        <v>0</v>
      </c>
      <c r="P16" s="18">
        <f t="shared" si="2"/>
        <v>3.6292</v>
      </c>
      <c r="Q16" s="19"/>
      <c r="R16" s="19"/>
      <c r="S16" s="18"/>
      <c r="T16" s="18">
        <f t="shared" si="3"/>
        <v>28.805246335280501</v>
      </c>
      <c r="U16" s="18">
        <f t="shared" si="4"/>
        <v>28.805246335280501</v>
      </c>
      <c r="V16" s="18">
        <f>VLOOKUP(A:A,[1]TDSheet!$A:$W,23,0)</f>
        <v>4.5772000000000004</v>
      </c>
      <c r="W16" s="18">
        <f>VLOOKUP(A:A,[1]TDSheet!$A:$X,24,0)</f>
        <v>0</v>
      </c>
      <c r="X16" s="18">
        <f>VLOOKUP(A:A,[1]TDSheet!$A:$Y,25,0)</f>
        <v>0.91279999999999994</v>
      </c>
      <c r="Y16" s="18">
        <f>VLOOKUP(A:A,[1]TDSheet!$A:$P,16,0)</f>
        <v>0.91800000000000004</v>
      </c>
      <c r="Z16" s="18"/>
      <c r="AA16" s="18">
        <f t="shared" si="5"/>
        <v>0</v>
      </c>
    </row>
    <row r="17" spans="1:27" ht="10.95" customHeight="1">
      <c r="A17" s="20" t="s">
        <v>43</v>
      </c>
      <c r="B17" s="16" t="s">
        <v>36</v>
      </c>
      <c r="C17" s="16">
        <f>VLOOKUP(A:A,[1]TDSheet!$A:$C,3,0)</f>
        <v>5755</v>
      </c>
      <c r="D17" s="17">
        <v>272.82600000000002</v>
      </c>
      <c r="E17" s="17"/>
      <c r="F17" s="17">
        <v>6.5</v>
      </c>
      <c r="G17" s="17">
        <v>266.32600000000002</v>
      </c>
      <c r="H17" s="2">
        <f>VLOOKUP(A:A,[1]TDSheet!$A:$H,8,0)</f>
        <v>1</v>
      </c>
      <c r="L17" s="18">
        <f>VLOOKUP(A:A,[2]TDSheet!$A:$B,2,0)</f>
        <v>6.5</v>
      </c>
      <c r="M17" s="18">
        <f t="shared" si="1"/>
        <v>0</v>
      </c>
      <c r="N17" s="18">
        <f>VLOOKUP(A:A,[1]TDSheet!$A:$O,15,0)</f>
        <v>0</v>
      </c>
      <c r="O17" s="18">
        <f>VLOOKUP(A:A,[1]TDSheet!$A:$Q,17,0)</f>
        <v>0</v>
      </c>
      <c r="P17" s="18">
        <f t="shared" si="2"/>
        <v>1.3</v>
      </c>
      <c r="Q17" s="19"/>
      <c r="R17" s="19"/>
      <c r="S17" s="18"/>
      <c r="T17" s="18">
        <f t="shared" si="3"/>
        <v>204.86615384615399</v>
      </c>
      <c r="U17" s="18">
        <f t="shared" si="4"/>
        <v>204.86615384615399</v>
      </c>
      <c r="V17" s="18">
        <f>VLOOKUP(A:A,[1]TDSheet!$A:$W,23,0)</f>
        <v>2.7416</v>
      </c>
      <c r="W17" s="18">
        <f>VLOOKUP(A:A,[1]TDSheet!$A:$X,24,0)</f>
        <v>0</v>
      </c>
      <c r="X17" s="18">
        <f>VLOOKUP(A:A,[1]TDSheet!$A:$Y,25,0)</f>
        <v>0</v>
      </c>
      <c r="Y17" s="18">
        <f>VLOOKUP(A:A,[1]TDSheet!$A:$P,16,0)</f>
        <v>0.9</v>
      </c>
      <c r="Z17" s="18"/>
      <c r="AA17" s="18">
        <f t="shared" si="5"/>
        <v>0</v>
      </c>
    </row>
    <row r="18" spans="1:27" ht="10.95" customHeight="1">
      <c r="A18" s="20" t="s">
        <v>44</v>
      </c>
      <c r="B18" s="16" t="s">
        <v>38</v>
      </c>
      <c r="C18" s="16">
        <f>VLOOKUP(A:A,[1]TDSheet!$A:$C,3,0)</f>
        <v>5897</v>
      </c>
      <c r="D18" s="17">
        <v>161</v>
      </c>
      <c r="E18" s="17">
        <v>7</v>
      </c>
      <c r="F18" s="17">
        <v>17</v>
      </c>
      <c r="G18" s="17">
        <v>146</v>
      </c>
      <c r="H18" s="2">
        <f>VLOOKUP(A:A,[1]TDSheet!$A:$H,8,0)</f>
        <v>0.42</v>
      </c>
      <c r="L18" s="18">
        <f>VLOOKUP(A:A,[2]TDSheet!$A:$B,2,0)</f>
        <v>22</v>
      </c>
      <c r="M18" s="18">
        <f t="shared" si="1"/>
        <v>-5</v>
      </c>
      <c r="N18" s="18">
        <f>VLOOKUP(A:A,[1]TDSheet!$A:$O,15,0)</f>
        <v>0</v>
      </c>
      <c r="O18" s="18">
        <f>VLOOKUP(A:A,[1]TDSheet!$A:$Q,17,0)</f>
        <v>0</v>
      </c>
      <c r="P18" s="18">
        <f t="shared" si="2"/>
        <v>3.4</v>
      </c>
      <c r="Q18" s="19"/>
      <c r="R18" s="19"/>
      <c r="S18" s="18"/>
      <c r="T18" s="18">
        <f t="shared" si="3"/>
        <v>42.941176470588204</v>
      </c>
      <c r="U18" s="18">
        <f t="shared" si="4"/>
        <v>42.941176470588204</v>
      </c>
      <c r="V18" s="18">
        <f>VLOOKUP(A:A,[1]TDSheet!$A:$W,23,0)</f>
        <v>1</v>
      </c>
      <c r="W18" s="18">
        <f>VLOOKUP(A:A,[1]TDSheet!$A:$X,24,0)</f>
        <v>2</v>
      </c>
      <c r="X18" s="18">
        <f>VLOOKUP(A:A,[1]TDSheet!$A:$Y,25,0)</f>
        <v>1.4</v>
      </c>
      <c r="Y18" s="18">
        <f>VLOOKUP(A:A,[1]TDSheet!$A:$P,16,0)</f>
        <v>3.2</v>
      </c>
      <c r="Z18" s="18" t="str">
        <f>VLOOKUP(A:A,[1]TDSheet!$A:$Z,26,0)</f>
        <v>увел продажи</v>
      </c>
      <c r="AA18" s="18">
        <f t="shared" si="5"/>
        <v>0</v>
      </c>
    </row>
    <row r="19" spans="1:27" ht="10.95" customHeight="1">
      <c r="A19" s="16" t="s">
        <v>45</v>
      </c>
      <c r="B19" s="16" t="s">
        <v>38</v>
      </c>
      <c r="C19" s="16">
        <f>VLOOKUP(A:A,[1]TDSheet!$A:$C,3,0)</f>
        <v>6148</v>
      </c>
      <c r="D19" s="17">
        <v>86</v>
      </c>
      <c r="E19" s="17">
        <v>7</v>
      </c>
      <c r="F19" s="17">
        <v>62</v>
      </c>
      <c r="G19" s="17">
        <v>26</v>
      </c>
      <c r="H19" s="2">
        <f>VLOOKUP(A:A,[1]TDSheet!$A:$H,8,0)</f>
        <v>0.3</v>
      </c>
      <c r="L19" s="18">
        <f>VLOOKUP(A:A,[2]TDSheet!$A:$B,2,0)</f>
        <v>67</v>
      </c>
      <c r="M19" s="18">
        <f t="shared" si="1"/>
        <v>-5</v>
      </c>
      <c r="N19" s="18">
        <f>VLOOKUP(A:A,[1]TDSheet!$A:$O,15,0)</f>
        <v>0</v>
      </c>
      <c r="O19" s="18">
        <f>VLOOKUP(A:A,[1]TDSheet!$A:$Q,17,0)</f>
        <v>138</v>
      </c>
      <c r="P19" s="18">
        <f t="shared" si="2"/>
        <v>12.4</v>
      </c>
      <c r="Q19" s="19">
        <f t="shared" ref="Q19:Q67" si="6">20*P19-G19-N19-O19</f>
        <v>84</v>
      </c>
      <c r="R19" s="19"/>
      <c r="S19" s="18"/>
      <c r="T19" s="18">
        <f t="shared" si="3"/>
        <v>20</v>
      </c>
      <c r="U19" s="18">
        <f t="shared" si="4"/>
        <v>2.0967741935483901</v>
      </c>
      <c r="V19" s="18">
        <f>VLOOKUP(A:A,[1]TDSheet!$A:$W,23,0)</f>
        <v>13.2</v>
      </c>
      <c r="W19" s="18">
        <f>VLOOKUP(A:A,[1]TDSheet!$A:$X,24,0)</f>
        <v>10.4</v>
      </c>
      <c r="X19" s="18">
        <f>VLOOKUP(A:A,[1]TDSheet!$A:$Y,25,0)</f>
        <v>5</v>
      </c>
      <c r="Y19" s="18">
        <f>VLOOKUP(A:A,[1]TDSheet!$A:$P,16,0)</f>
        <v>11.2</v>
      </c>
      <c r="Z19" s="18"/>
      <c r="AA19" s="18">
        <f t="shared" si="5"/>
        <v>25.2</v>
      </c>
    </row>
    <row r="20" spans="1:27" ht="10.95" customHeight="1">
      <c r="A20" s="20" t="s">
        <v>46</v>
      </c>
      <c r="B20" s="16" t="s">
        <v>38</v>
      </c>
      <c r="C20" s="16">
        <f>VLOOKUP(A:A,[1]TDSheet!$A:$C,3,0)</f>
        <v>6149</v>
      </c>
      <c r="D20" s="17">
        <v>128</v>
      </c>
      <c r="E20" s="17">
        <v>3</v>
      </c>
      <c r="F20" s="17">
        <v>77</v>
      </c>
      <c r="G20" s="17">
        <v>56</v>
      </c>
      <c r="H20" s="2">
        <f>VLOOKUP(A:A,[1]TDSheet!$A:$H,8,0)</f>
        <v>0.3</v>
      </c>
      <c r="L20" s="18">
        <f>VLOOKUP(A:A,[2]TDSheet!$A:$B,2,0)</f>
        <v>75</v>
      </c>
      <c r="M20" s="18">
        <f t="shared" si="1"/>
        <v>2</v>
      </c>
      <c r="N20" s="18">
        <f>VLOOKUP(A:A,[1]TDSheet!$A:$O,15,0)</f>
        <v>0</v>
      </c>
      <c r="O20" s="18">
        <f>VLOOKUP(A:A,[1]TDSheet!$A:$Q,17,0)</f>
        <v>288</v>
      </c>
      <c r="P20" s="18">
        <f t="shared" si="2"/>
        <v>15.4</v>
      </c>
      <c r="Q20" s="19"/>
      <c r="R20" s="19"/>
      <c r="S20" s="18"/>
      <c r="T20" s="18">
        <f t="shared" si="3"/>
        <v>22.337662337662302</v>
      </c>
      <c r="U20" s="18">
        <f t="shared" si="4"/>
        <v>3.6363636363636398</v>
      </c>
      <c r="V20" s="18">
        <f>VLOOKUP(A:A,[1]TDSheet!$A:$W,23,0)</f>
        <v>18</v>
      </c>
      <c r="W20" s="18">
        <f>VLOOKUP(A:A,[1]TDSheet!$A:$X,24,0)</f>
        <v>15.4</v>
      </c>
      <c r="X20" s="18">
        <f>VLOOKUP(A:A,[1]TDSheet!$A:$Y,25,0)</f>
        <v>12.6</v>
      </c>
      <c r="Y20" s="18">
        <f>VLOOKUP(A:A,[1]TDSheet!$A:$P,16,0)</f>
        <v>20.8</v>
      </c>
      <c r="Z20" s="18"/>
      <c r="AA20" s="18">
        <f t="shared" si="5"/>
        <v>0</v>
      </c>
    </row>
    <row r="21" spans="1:27" ht="10.95" customHeight="1">
      <c r="A21" s="20" t="s">
        <v>47</v>
      </c>
      <c r="B21" s="16" t="s">
        <v>38</v>
      </c>
      <c r="C21" s="16">
        <f>VLOOKUP(A:A,[1]TDSheet!$A:$C,3,0)</f>
        <v>6168</v>
      </c>
      <c r="D21" s="17">
        <v>161</v>
      </c>
      <c r="E21" s="17">
        <v>5</v>
      </c>
      <c r="F21" s="17">
        <v>55</v>
      </c>
      <c r="G21" s="17">
        <v>106</v>
      </c>
      <c r="H21" s="2">
        <f>VLOOKUP(A:A,[1]TDSheet!$A:$H,8,0)</f>
        <v>0.35</v>
      </c>
      <c r="L21" s="18">
        <f>VLOOKUP(A:A,[2]TDSheet!$A:$B,2,0)</f>
        <v>60</v>
      </c>
      <c r="M21" s="18">
        <f t="shared" si="1"/>
        <v>-5</v>
      </c>
      <c r="N21" s="18">
        <f>VLOOKUP(A:A,[1]TDSheet!$A:$O,15,0)</f>
        <v>0</v>
      </c>
      <c r="O21" s="18">
        <f>VLOOKUP(A:A,[1]TDSheet!$A:$Q,17,0)</f>
        <v>239</v>
      </c>
      <c r="P21" s="18">
        <f t="shared" si="2"/>
        <v>11</v>
      </c>
      <c r="Q21" s="19"/>
      <c r="R21" s="19"/>
      <c r="S21" s="18"/>
      <c r="T21" s="18">
        <f t="shared" si="3"/>
        <v>31.363636363636399</v>
      </c>
      <c r="U21" s="18">
        <f t="shared" si="4"/>
        <v>9.6363636363636402</v>
      </c>
      <c r="V21" s="18">
        <f>VLOOKUP(A:A,[1]TDSheet!$A:$W,23,0)</f>
        <v>13.8</v>
      </c>
      <c r="W21" s="18">
        <f>VLOOKUP(A:A,[1]TDSheet!$A:$X,24,0)</f>
        <v>12</v>
      </c>
      <c r="X21" s="18">
        <f>VLOOKUP(A:A,[1]TDSheet!$A:$Y,25,0)</f>
        <v>16.2</v>
      </c>
      <c r="Y21" s="18">
        <f>VLOOKUP(A:A,[1]TDSheet!$A:$P,16,0)</f>
        <v>20</v>
      </c>
      <c r="Z21" s="18"/>
      <c r="AA21" s="18">
        <f t="shared" si="5"/>
        <v>0</v>
      </c>
    </row>
    <row r="22" spans="1:27" ht="10.95" customHeight="1">
      <c r="A22" s="16" t="s">
        <v>48</v>
      </c>
      <c r="B22" s="16" t="s">
        <v>38</v>
      </c>
      <c r="C22" s="16">
        <f>VLOOKUP(A:A,[1]TDSheet!$A:$C,3,0)</f>
        <v>6202</v>
      </c>
      <c r="D22" s="17">
        <v>176</v>
      </c>
      <c r="E22" s="17">
        <v>5</v>
      </c>
      <c r="F22" s="17">
        <v>54</v>
      </c>
      <c r="G22" s="17">
        <v>124</v>
      </c>
      <c r="H22" s="2">
        <f>VLOOKUP(A:A,[1]TDSheet!$A:$H,8,0)</f>
        <v>0.3</v>
      </c>
      <c r="L22" s="18">
        <f>VLOOKUP(A:A,[2]TDSheet!$A:$B,2,0)</f>
        <v>57</v>
      </c>
      <c r="M22" s="18">
        <f t="shared" si="1"/>
        <v>-3</v>
      </c>
      <c r="N22" s="18">
        <f>VLOOKUP(A:A,[1]TDSheet!$A:$O,15,0)</f>
        <v>0</v>
      </c>
      <c r="O22" s="18">
        <f>VLOOKUP(A:A,[1]TDSheet!$A:$Q,17,0)</f>
        <v>88</v>
      </c>
      <c r="P22" s="18">
        <f t="shared" si="2"/>
        <v>10.8</v>
      </c>
      <c r="Q22" s="19">
        <f t="shared" si="6"/>
        <v>4</v>
      </c>
      <c r="R22" s="19"/>
      <c r="S22" s="18"/>
      <c r="T22" s="18">
        <f t="shared" si="3"/>
        <v>20</v>
      </c>
      <c r="U22" s="18">
        <f t="shared" si="4"/>
        <v>11.4814814814815</v>
      </c>
      <c r="V22" s="18">
        <f>VLOOKUP(A:A,[1]TDSheet!$A:$W,23,0)</f>
        <v>8.4</v>
      </c>
      <c r="W22" s="18">
        <f>VLOOKUP(A:A,[1]TDSheet!$A:$X,24,0)</f>
        <v>9.6</v>
      </c>
      <c r="X22" s="18">
        <f>VLOOKUP(A:A,[1]TDSheet!$A:$Y,25,0)</f>
        <v>8.6</v>
      </c>
      <c r="Y22" s="18">
        <f>VLOOKUP(A:A,[1]TDSheet!$A:$P,16,0)</f>
        <v>13.2</v>
      </c>
      <c r="Z22" s="18"/>
      <c r="AA22" s="18">
        <f t="shared" si="5"/>
        <v>1.2</v>
      </c>
    </row>
    <row r="23" spans="1:27" ht="10.95" customHeight="1">
      <c r="A23" s="20" t="s">
        <v>49</v>
      </c>
      <c r="B23" s="16" t="s">
        <v>38</v>
      </c>
      <c r="C23" s="16">
        <f>VLOOKUP(A:A,[1]TDSheet!$A:$C,3,0)</f>
        <v>6209</v>
      </c>
      <c r="D23" s="17">
        <v>45</v>
      </c>
      <c r="E23" s="17">
        <v>5</v>
      </c>
      <c r="F23" s="17">
        <v>39</v>
      </c>
      <c r="G23" s="17">
        <v>6</v>
      </c>
      <c r="H23" s="2">
        <f>VLOOKUP(A:A,[1]TDSheet!$A:$H,8,0)</f>
        <v>0.35</v>
      </c>
      <c r="L23" s="18">
        <f>VLOOKUP(A:A,[2]TDSheet!$A:$B,2,0)</f>
        <v>78</v>
      </c>
      <c r="M23" s="18">
        <f t="shared" si="1"/>
        <v>-39</v>
      </c>
      <c r="N23" s="18">
        <f>VLOOKUP(A:A,[1]TDSheet!$A:$O,15,0)</f>
        <v>0</v>
      </c>
      <c r="O23" s="18">
        <f>VLOOKUP(A:A,[1]TDSheet!$A:$Q,17,0)</f>
        <v>167</v>
      </c>
      <c r="P23" s="18">
        <f t="shared" si="2"/>
        <v>7.8</v>
      </c>
      <c r="Q23" s="19"/>
      <c r="R23" s="19"/>
      <c r="S23" s="18"/>
      <c r="T23" s="18">
        <f t="shared" si="3"/>
        <v>22.1794871794872</v>
      </c>
      <c r="U23" s="18">
        <f t="shared" si="4"/>
        <v>0.76923076923076905</v>
      </c>
      <c r="V23" s="18">
        <f>VLOOKUP(A:A,[1]TDSheet!$A:$W,23,0)</f>
        <v>16.2</v>
      </c>
      <c r="W23" s="18">
        <f>VLOOKUP(A:A,[1]TDSheet!$A:$X,24,0)</f>
        <v>2</v>
      </c>
      <c r="X23" s="18">
        <f>VLOOKUP(A:A,[1]TDSheet!$A:$Y,25,0)</f>
        <v>0</v>
      </c>
      <c r="Y23" s="18">
        <f>VLOOKUP(A:A,[1]TDSheet!$A:$P,16,0)</f>
        <v>10.6</v>
      </c>
      <c r="Z23" s="18"/>
      <c r="AA23" s="18">
        <f t="shared" si="5"/>
        <v>0</v>
      </c>
    </row>
    <row r="24" spans="1:27" ht="10.95" customHeight="1">
      <c r="A24" s="20" t="s">
        <v>50</v>
      </c>
      <c r="B24" s="16" t="s">
        <v>38</v>
      </c>
      <c r="C24" s="16">
        <f>VLOOKUP(A:A,[1]TDSheet!$A:$C,3,0)</f>
        <v>6819</v>
      </c>
      <c r="D24" s="17">
        <v>140</v>
      </c>
      <c r="E24" s="17">
        <v>7</v>
      </c>
      <c r="F24" s="17">
        <v>13</v>
      </c>
      <c r="G24" s="17">
        <v>129</v>
      </c>
      <c r="H24" s="2">
        <f>VLOOKUP(A:A,[1]TDSheet!$A:$H,8,0)</f>
        <v>0.3</v>
      </c>
      <c r="L24" s="18">
        <f>VLOOKUP(A:A,[2]TDSheet!$A:$B,2,0)</f>
        <v>18</v>
      </c>
      <c r="M24" s="18">
        <f t="shared" si="1"/>
        <v>-5</v>
      </c>
      <c r="N24" s="18">
        <f>VLOOKUP(A:A,[1]TDSheet!$A:$O,15,0)</f>
        <v>0</v>
      </c>
      <c r="O24" s="18">
        <f>VLOOKUP(A:A,[1]TDSheet!$A:$Q,17,0)</f>
        <v>0</v>
      </c>
      <c r="P24" s="18">
        <f t="shared" si="2"/>
        <v>2.6</v>
      </c>
      <c r="Q24" s="19"/>
      <c r="R24" s="19"/>
      <c r="S24" s="18"/>
      <c r="T24" s="18">
        <f t="shared" si="3"/>
        <v>49.615384615384599</v>
      </c>
      <c r="U24" s="18">
        <f t="shared" si="4"/>
        <v>49.615384615384599</v>
      </c>
      <c r="V24" s="18">
        <f>VLOOKUP(A:A,[1]TDSheet!$A:$W,23,0)</f>
        <v>0</v>
      </c>
      <c r="W24" s="18">
        <f>VLOOKUP(A:A,[1]TDSheet!$A:$X,24,0)</f>
        <v>0</v>
      </c>
      <c r="X24" s="18">
        <f>VLOOKUP(A:A,[1]TDSheet!$A:$Y,25,0)</f>
        <v>0</v>
      </c>
      <c r="Y24" s="18">
        <f>VLOOKUP(A:A,[1]TDSheet!$A:$P,16,0)</f>
        <v>0.4</v>
      </c>
      <c r="Z24" s="18"/>
      <c r="AA24" s="18">
        <f t="shared" si="5"/>
        <v>0</v>
      </c>
    </row>
    <row r="25" spans="1:27" ht="22.2" customHeight="1">
      <c r="A25" s="20" t="s">
        <v>51</v>
      </c>
      <c r="B25" s="16" t="s">
        <v>38</v>
      </c>
      <c r="C25" s="16">
        <f>VLOOKUP(A:A,[1]TDSheet!$A:$C,3,0)</f>
        <v>8249</v>
      </c>
      <c r="D25" s="17">
        <v>187</v>
      </c>
      <c r="E25" s="17"/>
      <c r="F25" s="17">
        <v>8</v>
      </c>
      <c r="G25" s="17">
        <v>179</v>
      </c>
      <c r="H25" s="2">
        <f>VLOOKUP(A:A,[1]TDSheet!$A:$H,8,0)</f>
        <v>0.82450000000000001</v>
      </c>
      <c r="I25" s="2">
        <f>VLOOKUP(A:A,[1]TDSheet!$A:$I,9,0)</f>
        <v>180</v>
      </c>
      <c r="L25" s="18">
        <f>VLOOKUP(A:A,[2]TDSheet!$A:$B,2,0)</f>
        <v>8</v>
      </c>
      <c r="M25" s="18">
        <f t="shared" si="1"/>
        <v>0</v>
      </c>
      <c r="N25" s="18">
        <f>VLOOKUP(A:A,[1]TDSheet!$A:$O,15,0)</f>
        <v>0</v>
      </c>
      <c r="O25" s="18">
        <f>VLOOKUP(A:A,[1]TDSheet!$A:$Q,17,0)</f>
        <v>0</v>
      </c>
      <c r="P25" s="18">
        <f t="shared" si="2"/>
        <v>1.6</v>
      </c>
      <c r="Q25" s="19"/>
      <c r="R25" s="19"/>
      <c r="S25" s="18"/>
      <c r="T25" s="18">
        <f t="shared" si="3"/>
        <v>111.875</v>
      </c>
      <c r="U25" s="18">
        <f t="shared" si="4"/>
        <v>111.875</v>
      </c>
      <c r="V25" s="18">
        <f>VLOOKUP(A:A,[1]TDSheet!$A:$W,23,0)</f>
        <v>7.6</v>
      </c>
      <c r="W25" s="18">
        <f>VLOOKUP(A:A,[1]TDSheet!$A:$X,24,0)</f>
        <v>1</v>
      </c>
      <c r="X25" s="18">
        <f>VLOOKUP(A:A,[1]TDSheet!$A:$Y,25,0)</f>
        <v>2.2000000000000002</v>
      </c>
      <c r="Y25" s="18">
        <f>VLOOKUP(A:A,[1]TDSheet!$A:$P,16,0)</f>
        <v>3.8</v>
      </c>
      <c r="Z25" s="18"/>
      <c r="AA25" s="18">
        <f t="shared" si="5"/>
        <v>0</v>
      </c>
    </row>
    <row r="26" spans="1:27" ht="22.2" customHeight="1">
      <c r="A26" s="20" t="s">
        <v>52</v>
      </c>
      <c r="B26" s="16" t="s">
        <v>38</v>
      </c>
      <c r="C26" s="16">
        <f>VLOOKUP(A:A,[1]TDSheet!$A:$C,3,0)</f>
        <v>8256</v>
      </c>
      <c r="D26" s="17">
        <v>379</v>
      </c>
      <c r="E26" s="17"/>
      <c r="F26" s="17">
        <v>105</v>
      </c>
      <c r="G26" s="17">
        <v>274</v>
      </c>
      <c r="H26" s="2">
        <f>VLOOKUP(A:A,[1]TDSheet!$A:$H,8,0)</f>
        <v>0.372</v>
      </c>
      <c r="I26" s="2">
        <f>VLOOKUP(A:A,[1]TDSheet!$A:$I,9,0)</f>
        <v>180</v>
      </c>
      <c r="L26" s="18">
        <f>VLOOKUP(A:A,[2]TDSheet!$A:$B,2,0)</f>
        <v>105</v>
      </c>
      <c r="M26" s="18">
        <f t="shared" si="1"/>
        <v>0</v>
      </c>
      <c r="N26" s="18">
        <f>VLOOKUP(A:A,[1]TDSheet!$A:$O,15,0)</f>
        <v>400</v>
      </c>
      <c r="O26" s="18">
        <f>VLOOKUP(A:A,[1]TDSheet!$A:$Q,17,0)</f>
        <v>0</v>
      </c>
      <c r="P26" s="18">
        <f t="shared" si="2"/>
        <v>21</v>
      </c>
      <c r="Q26" s="19"/>
      <c r="R26" s="19"/>
      <c r="S26" s="18"/>
      <c r="T26" s="18">
        <f t="shared" si="3"/>
        <v>32.095238095238102</v>
      </c>
      <c r="U26" s="18">
        <f t="shared" si="4"/>
        <v>13.047619047618999</v>
      </c>
      <c r="V26" s="18">
        <f>VLOOKUP(A:A,[1]TDSheet!$A:$W,23,0)</f>
        <v>32.200000000000003</v>
      </c>
      <c r="W26" s="18">
        <f>VLOOKUP(A:A,[1]TDSheet!$A:$X,24,0)</f>
        <v>21.8</v>
      </c>
      <c r="X26" s="18">
        <f>VLOOKUP(A:A,[1]TDSheet!$A:$Y,25,0)</f>
        <v>44.4</v>
      </c>
      <c r="Y26" s="18">
        <f>VLOOKUP(A:A,[1]TDSheet!$A:$P,16,0)</f>
        <v>20.6</v>
      </c>
      <c r="Z26" s="18" t="str">
        <f>VLOOKUP(A:A,[1]TDSheet!$A:$Z,26,0)</f>
        <v>увел продажи</v>
      </c>
      <c r="AA26" s="18">
        <f t="shared" si="5"/>
        <v>0</v>
      </c>
    </row>
    <row r="27" spans="1:27" ht="22.2" customHeight="1">
      <c r="A27" s="16" t="s">
        <v>53</v>
      </c>
      <c r="B27" s="16" t="s">
        <v>38</v>
      </c>
      <c r="C27" s="16">
        <f>VLOOKUP(A:A,[1]TDSheet!$A:$C,3,0)</f>
        <v>8263</v>
      </c>
      <c r="D27" s="17">
        <v>405</v>
      </c>
      <c r="E27" s="17"/>
      <c r="F27" s="17">
        <v>100</v>
      </c>
      <c r="G27" s="17">
        <v>305</v>
      </c>
      <c r="H27" s="2">
        <f>VLOOKUP(A:A,[1]TDSheet!$A:$H,8,0)</f>
        <v>0.74399999999999999</v>
      </c>
      <c r="I27" s="2">
        <f>VLOOKUP(A:A,[1]TDSheet!$A:$I,9,0)</f>
        <v>180</v>
      </c>
      <c r="L27" s="18">
        <f>VLOOKUP(A:A,[2]TDSheet!$A:$B,2,0)</f>
        <v>98</v>
      </c>
      <c r="M27" s="18">
        <f t="shared" si="1"/>
        <v>2</v>
      </c>
      <c r="N27" s="18">
        <f>VLOOKUP(A:A,[1]TDSheet!$A:$O,15,0)</f>
        <v>0</v>
      </c>
      <c r="O27" s="18">
        <f>VLOOKUP(A:A,[1]TDSheet!$A:$Q,17,0)</f>
        <v>0</v>
      </c>
      <c r="P27" s="18">
        <f t="shared" si="2"/>
        <v>20</v>
      </c>
      <c r="Q27" s="19">
        <f t="shared" si="6"/>
        <v>95</v>
      </c>
      <c r="R27" s="19"/>
      <c r="S27" s="18"/>
      <c r="T27" s="18">
        <f t="shared" si="3"/>
        <v>20</v>
      </c>
      <c r="U27" s="18">
        <f t="shared" si="4"/>
        <v>15.25</v>
      </c>
      <c r="V27" s="18">
        <f>VLOOKUP(A:A,[1]TDSheet!$A:$W,23,0)</f>
        <v>6.2</v>
      </c>
      <c r="W27" s="18">
        <f>VLOOKUP(A:A,[1]TDSheet!$A:$X,24,0)</f>
        <v>21.2</v>
      </c>
      <c r="X27" s="18">
        <f>VLOOKUP(A:A,[1]TDSheet!$A:$Y,25,0)</f>
        <v>23.4</v>
      </c>
      <c r="Y27" s="18">
        <f>VLOOKUP(A:A,[1]TDSheet!$A:$P,16,0)</f>
        <v>19</v>
      </c>
      <c r="Z27" s="18" t="str">
        <f>VLOOKUP(A:A,[1]TDSheet!$A:$Z,26,0)</f>
        <v>увел продажи</v>
      </c>
      <c r="AA27" s="18">
        <f t="shared" si="5"/>
        <v>70.680000000000007</v>
      </c>
    </row>
    <row r="28" spans="1:27" ht="22.2" customHeight="1">
      <c r="A28" s="16" t="s">
        <v>54</v>
      </c>
      <c r="B28" s="16" t="s">
        <v>38</v>
      </c>
      <c r="C28" s="16">
        <f>VLOOKUP(A:A,[1]TDSheet!$A:$C,3,0)</f>
        <v>8270</v>
      </c>
      <c r="D28" s="17">
        <v>270</v>
      </c>
      <c r="E28" s="17">
        <v>64</v>
      </c>
      <c r="F28" s="17">
        <v>250</v>
      </c>
      <c r="G28" s="17">
        <v>80</v>
      </c>
      <c r="H28" s="2">
        <f>VLOOKUP(A:A,[1]TDSheet!$A:$H,8,0)</f>
        <v>0.372</v>
      </c>
      <c r="I28" s="2">
        <f>VLOOKUP(A:A,[1]TDSheet!$A:$I,9,0)</f>
        <v>180</v>
      </c>
      <c r="L28" s="18">
        <f>VLOOKUP(A:A,[2]TDSheet!$A:$B,2,0)</f>
        <v>255</v>
      </c>
      <c r="M28" s="18">
        <f t="shared" si="1"/>
        <v>-5</v>
      </c>
      <c r="N28" s="18">
        <f>VLOOKUP(A:A,[1]TDSheet!$A:$O,15,0)</f>
        <v>260</v>
      </c>
      <c r="O28" s="18">
        <f>VLOOKUP(A:A,[1]TDSheet!$A:$Q,17,0)</f>
        <v>634</v>
      </c>
      <c r="P28" s="18">
        <f t="shared" si="2"/>
        <v>50</v>
      </c>
      <c r="Q28" s="19">
        <f t="shared" si="6"/>
        <v>26</v>
      </c>
      <c r="R28" s="19"/>
      <c r="S28" s="18"/>
      <c r="T28" s="18">
        <f t="shared" si="3"/>
        <v>20</v>
      </c>
      <c r="U28" s="18">
        <f t="shared" si="4"/>
        <v>1.6</v>
      </c>
      <c r="V28" s="18">
        <f>VLOOKUP(A:A,[1]TDSheet!$A:$W,23,0)</f>
        <v>54.4</v>
      </c>
      <c r="W28" s="18">
        <f>VLOOKUP(A:A,[1]TDSheet!$A:$X,24,0)</f>
        <v>48</v>
      </c>
      <c r="X28" s="18">
        <f>VLOOKUP(A:A,[1]TDSheet!$A:$Y,25,0)</f>
        <v>70.8</v>
      </c>
      <c r="Y28" s="18">
        <f>VLOOKUP(A:A,[1]TDSheet!$A:$P,16,0)</f>
        <v>61.2</v>
      </c>
      <c r="Z28" s="18" t="str">
        <f>VLOOKUP(A:A,[1]TDSheet!$A:$Z,26,0)</f>
        <v>увел продажи</v>
      </c>
      <c r="AA28" s="18">
        <f t="shared" si="5"/>
        <v>9.6720000000000006</v>
      </c>
    </row>
    <row r="29" spans="1:27" ht="22.2" customHeight="1">
      <c r="A29" s="20" t="s">
        <v>55</v>
      </c>
      <c r="B29" s="16" t="s">
        <v>38</v>
      </c>
      <c r="C29" s="16">
        <f>VLOOKUP(A:A,[1]TDSheet!$A:$C,3,0)</f>
        <v>8287</v>
      </c>
      <c r="D29" s="17">
        <v>74</v>
      </c>
      <c r="E29" s="17">
        <v>216</v>
      </c>
      <c r="F29" s="17">
        <v>182</v>
      </c>
      <c r="G29" s="17">
        <v>108</v>
      </c>
      <c r="H29" s="2">
        <f>VLOOKUP(A:A,[1]TDSheet!$A:$H,8,0)</f>
        <v>0.74399999999999999</v>
      </c>
      <c r="I29" s="2">
        <f>VLOOKUP(A:A,[1]TDSheet!$A:$I,9,0)</f>
        <v>180</v>
      </c>
      <c r="L29" s="18">
        <f>VLOOKUP(A:A,[2]TDSheet!$A:$B,2,0)</f>
        <v>182</v>
      </c>
      <c r="M29" s="18">
        <f t="shared" si="1"/>
        <v>0</v>
      </c>
      <c r="N29" s="18">
        <f>VLOOKUP(A:A,[1]TDSheet!$A:$O,15,0)</f>
        <v>100</v>
      </c>
      <c r="O29" s="18">
        <f>VLOOKUP(A:A,[1]TDSheet!$A:$Q,17,0)</f>
        <v>582</v>
      </c>
      <c r="P29" s="18">
        <f t="shared" si="2"/>
        <v>36.4</v>
      </c>
      <c r="Q29" s="19"/>
      <c r="R29" s="19"/>
      <c r="S29" s="18"/>
      <c r="T29" s="18">
        <f t="shared" si="3"/>
        <v>21.703296703296701</v>
      </c>
      <c r="U29" s="18">
        <f t="shared" si="4"/>
        <v>2.9670329670329698</v>
      </c>
      <c r="V29" s="18">
        <f>VLOOKUP(A:A,[1]TDSheet!$A:$W,23,0)</f>
        <v>31</v>
      </c>
      <c r="W29" s="18">
        <f>VLOOKUP(A:A,[1]TDSheet!$A:$X,24,0)</f>
        <v>32.200000000000003</v>
      </c>
      <c r="X29" s="18">
        <f>VLOOKUP(A:A,[1]TDSheet!$A:$Y,25,0)</f>
        <v>39</v>
      </c>
      <c r="Y29" s="18">
        <f>VLOOKUP(A:A,[1]TDSheet!$A:$P,16,0)</f>
        <v>48.8</v>
      </c>
      <c r="Z29" s="18" t="str">
        <f>VLOOKUP(A:A,[1]TDSheet!$A:$Z,26,0)</f>
        <v>остатки?</v>
      </c>
      <c r="AA29" s="18">
        <f t="shared" si="5"/>
        <v>0</v>
      </c>
    </row>
    <row r="30" spans="1:27" ht="10.95" customHeight="1">
      <c r="A30" s="20" t="s">
        <v>56</v>
      </c>
      <c r="B30" s="16" t="s">
        <v>38</v>
      </c>
      <c r="C30" s="16">
        <f>VLOOKUP(A:A,[1]TDSheet!$A:$C,3,0)</f>
        <v>8421</v>
      </c>
      <c r="D30" s="17">
        <v>146</v>
      </c>
      <c r="E30" s="17"/>
      <c r="F30" s="17">
        <v>19</v>
      </c>
      <c r="G30" s="17">
        <v>127</v>
      </c>
      <c r="H30" s="2">
        <f>VLOOKUP(A:A,[1]TDSheet!$A:$H,8,0)</f>
        <v>0</v>
      </c>
      <c r="L30" s="18">
        <f>VLOOKUP(A:A,[2]TDSheet!$A:$B,2,0)</f>
        <v>19</v>
      </c>
      <c r="M30" s="18">
        <f t="shared" si="1"/>
        <v>0</v>
      </c>
      <c r="N30" s="18">
        <f>VLOOKUP(A:A,[1]TDSheet!$A:$O,15,0)</f>
        <v>0</v>
      </c>
      <c r="O30" s="18">
        <f>VLOOKUP(A:A,[1]TDSheet!$A:$Q,17,0)</f>
        <v>0</v>
      </c>
      <c r="P30" s="18">
        <f t="shared" si="2"/>
        <v>3.8</v>
      </c>
      <c r="Q30" s="19"/>
      <c r="R30" s="19"/>
      <c r="S30" s="18"/>
      <c r="T30" s="18">
        <f t="shared" si="3"/>
        <v>33.421052631579002</v>
      </c>
      <c r="U30" s="18">
        <f t="shared" si="4"/>
        <v>33.421052631579002</v>
      </c>
      <c r="V30" s="18">
        <f>VLOOKUP(A:A,[1]TDSheet!$A:$W,23,0)</f>
        <v>1.4</v>
      </c>
      <c r="W30" s="18">
        <f>VLOOKUP(A:A,[1]TDSheet!$A:$X,24,0)</f>
        <v>3.4</v>
      </c>
      <c r="X30" s="18">
        <f>VLOOKUP(A:A,[1]TDSheet!$A:$Y,25,0)</f>
        <v>2.2000000000000002</v>
      </c>
      <c r="Y30" s="18">
        <f>VLOOKUP(A:A,[1]TDSheet!$A:$P,16,0)</f>
        <v>0.4</v>
      </c>
      <c r="Z30" s="18" t="str">
        <f>VLOOKUP(A:A,[1]TDSheet!$A:$Z,26,0)</f>
        <v>увел продажи</v>
      </c>
      <c r="AA30" s="18">
        <f t="shared" si="5"/>
        <v>0</v>
      </c>
    </row>
    <row r="31" spans="1:27" ht="10.95" customHeight="1">
      <c r="A31" s="20" t="s">
        <v>57</v>
      </c>
      <c r="B31" s="16" t="s">
        <v>38</v>
      </c>
      <c r="C31" s="16">
        <f>VLOOKUP(A:A,[1]TDSheet!$A:$C,3,0)</f>
        <v>8445</v>
      </c>
      <c r="D31" s="17">
        <v>100</v>
      </c>
      <c r="E31" s="17">
        <v>112</v>
      </c>
      <c r="F31" s="17">
        <v>42</v>
      </c>
      <c r="G31" s="17">
        <v>169</v>
      </c>
      <c r="H31" s="2">
        <f>VLOOKUP(A:A,[1]TDSheet!$A:$H,8,0)</f>
        <v>0.18</v>
      </c>
      <c r="I31" s="2">
        <f>VLOOKUP(A:A,[1]TDSheet!$A:$I,9,0)</f>
        <v>270</v>
      </c>
      <c r="L31" s="18">
        <f>VLOOKUP(A:A,[2]TDSheet!$A:$B,2,0)</f>
        <v>43</v>
      </c>
      <c r="M31" s="18">
        <f t="shared" si="1"/>
        <v>-1</v>
      </c>
      <c r="N31" s="18">
        <f>VLOOKUP(A:A,[1]TDSheet!$A:$O,15,0)</f>
        <v>0</v>
      </c>
      <c r="O31" s="18">
        <f>VLOOKUP(A:A,[1]TDSheet!$A:$Q,17,0)</f>
        <v>0</v>
      </c>
      <c r="P31" s="18">
        <f t="shared" si="2"/>
        <v>8.4</v>
      </c>
      <c r="Q31" s="19"/>
      <c r="R31" s="19"/>
      <c r="S31" s="18"/>
      <c r="T31" s="18">
        <f t="shared" si="3"/>
        <v>20.119047619047599</v>
      </c>
      <c r="U31" s="18">
        <f t="shared" si="4"/>
        <v>20.119047619047599</v>
      </c>
      <c r="V31" s="18">
        <f>VLOOKUP(A:A,[1]TDSheet!$A:$W,23,0)</f>
        <v>10.8</v>
      </c>
      <c r="W31" s="18">
        <f>VLOOKUP(A:A,[1]TDSheet!$A:$X,24,0)</f>
        <v>11</v>
      </c>
      <c r="X31" s="18">
        <f>VLOOKUP(A:A,[1]TDSheet!$A:$Y,25,0)</f>
        <v>12</v>
      </c>
      <c r="Y31" s="18">
        <f>VLOOKUP(A:A,[1]TDSheet!$A:$P,16,0)</f>
        <v>8.8000000000000007</v>
      </c>
      <c r="Z31" s="18"/>
      <c r="AA31" s="18">
        <f t="shared" si="5"/>
        <v>0</v>
      </c>
    </row>
    <row r="32" spans="1:27" ht="10.95" customHeight="1">
      <c r="A32" s="20" t="s">
        <v>58</v>
      </c>
      <c r="B32" s="16" t="s">
        <v>38</v>
      </c>
      <c r="C32" s="16">
        <f>VLOOKUP(A:A,[1]TDSheet!$A:$C,3,0)</f>
        <v>8444927</v>
      </c>
      <c r="D32" s="17">
        <v>131</v>
      </c>
      <c r="E32" s="17"/>
      <c r="F32" s="17">
        <v>27</v>
      </c>
      <c r="G32" s="17">
        <v>99</v>
      </c>
      <c r="H32" s="2">
        <f>VLOOKUP(A:A,[1]TDSheet!$A:$H,8,0)</f>
        <v>0.1</v>
      </c>
      <c r="L32" s="18">
        <f>VLOOKUP(A:A,[2]TDSheet!$A:$B,2,0)</f>
        <v>30</v>
      </c>
      <c r="M32" s="18">
        <f t="shared" si="1"/>
        <v>-3</v>
      </c>
      <c r="N32" s="18">
        <f>VLOOKUP(A:A,[1]TDSheet!$A:$O,15,0)</f>
        <v>0</v>
      </c>
      <c r="O32" s="18">
        <f>VLOOKUP(A:A,[1]TDSheet!$A:$Q,17,0)</f>
        <v>41</v>
      </c>
      <c r="P32" s="18">
        <f t="shared" si="2"/>
        <v>5.4</v>
      </c>
      <c r="Q32" s="19"/>
      <c r="R32" s="19"/>
      <c r="S32" s="18"/>
      <c r="T32" s="18">
        <f t="shared" si="3"/>
        <v>25.925925925925899</v>
      </c>
      <c r="U32" s="18">
        <f t="shared" si="4"/>
        <v>18.3333333333333</v>
      </c>
      <c r="V32" s="18">
        <f>VLOOKUP(A:A,[1]TDSheet!$A:$W,23,0)</f>
        <v>11.6</v>
      </c>
      <c r="W32" s="18">
        <f>VLOOKUP(A:A,[1]TDSheet!$A:$X,24,0)</f>
        <v>5.2</v>
      </c>
      <c r="X32" s="18">
        <f>VLOOKUP(A:A,[1]TDSheet!$A:$Y,25,0)</f>
        <v>9</v>
      </c>
      <c r="Y32" s="18">
        <f>VLOOKUP(A:A,[1]TDSheet!$A:$P,16,0)</f>
        <v>8.6</v>
      </c>
      <c r="Z32" s="18"/>
      <c r="AA32" s="18">
        <f t="shared" si="5"/>
        <v>0</v>
      </c>
    </row>
    <row r="33" spans="1:27" ht="10.95" customHeight="1">
      <c r="A33" s="16" t="s">
        <v>59</v>
      </c>
      <c r="B33" s="16" t="s">
        <v>38</v>
      </c>
      <c r="C33" s="16"/>
      <c r="D33" s="17">
        <v>20</v>
      </c>
      <c r="E33" s="17"/>
      <c r="F33" s="17">
        <v>10</v>
      </c>
      <c r="G33" s="17">
        <v>10</v>
      </c>
      <c r="H33" s="2">
        <v>0.1</v>
      </c>
      <c r="L33" s="18">
        <f>VLOOKUP(A:A,[2]TDSheet!$A:$B,2,0)</f>
        <v>11</v>
      </c>
      <c r="M33" s="18">
        <f t="shared" si="1"/>
        <v>-1</v>
      </c>
      <c r="N33" s="18">
        <v>0</v>
      </c>
      <c r="O33" s="18">
        <v>0</v>
      </c>
      <c r="P33" s="18">
        <f t="shared" si="2"/>
        <v>2</v>
      </c>
      <c r="Q33" s="19">
        <f t="shared" si="6"/>
        <v>30</v>
      </c>
      <c r="R33" s="19"/>
      <c r="S33" s="18"/>
      <c r="T33" s="18">
        <f t="shared" si="3"/>
        <v>20</v>
      </c>
      <c r="U33" s="18">
        <f t="shared" si="4"/>
        <v>5</v>
      </c>
      <c r="V33" s="18">
        <v>0</v>
      </c>
      <c r="W33" s="18">
        <v>0</v>
      </c>
      <c r="X33" s="18">
        <v>0</v>
      </c>
      <c r="Y33" s="18">
        <v>0</v>
      </c>
      <c r="Z33" s="18"/>
      <c r="AA33" s="18">
        <f t="shared" si="5"/>
        <v>3</v>
      </c>
    </row>
    <row r="34" spans="1:27" ht="10.95" customHeight="1">
      <c r="A34" s="16" t="s">
        <v>60</v>
      </c>
      <c r="B34" s="16" t="s">
        <v>38</v>
      </c>
      <c r="C34" s="16">
        <f>VLOOKUP(A:A,[1]TDSheet!$A:$C,3,0)</f>
        <v>1018967</v>
      </c>
      <c r="D34" s="17">
        <v>-2</v>
      </c>
      <c r="E34" s="17">
        <v>530</v>
      </c>
      <c r="F34" s="17">
        <v>404</v>
      </c>
      <c r="G34" s="17">
        <v>97</v>
      </c>
      <c r="H34" s="2">
        <f>VLOOKUP(A:A,[1]TDSheet!$A:$H,8,0)</f>
        <v>0.18</v>
      </c>
      <c r="I34" s="2">
        <f>VLOOKUP(A:A,[1]TDSheet!$A:$I,9,0)</f>
        <v>120</v>
      </c>
      <c r="L34" s="18">
        <f>VLOOKUP(A:A,[2]TDSheet!$A:$B,2,0)</f>
        <v>444</v>
      </c>
      <c r="M34" s="18">
        <f t="shared" si="1"/>
        <v>-40</v>
      </c>
      <c r="N34" s="18">
        <f>VLOOKUP(A:A,[1]TDSheet!$A:$O,15,0)</f>
        <v>0</v>
      </c>
      <c r="O34" s="18">
        <f>VLOOKUP(A:A,[1]TDSheet!$A:$Q,17,0)</f>
        <v>0</v>
      </c>
      <c r="P34" s="18">
        <f t="shared" si="2"/>
        <v>80.8</v>
      </c>
      <c r="Q34" s="19">
        <f t="shared" si="6"/>
        <v>1519</v>
      </c>
      <c r="R34" s="19"/>
      <c r="S34" s="18"/>
      <c r="T34" s="18">
        <f t="shared" si="3"/>
        <v>20</v>
      </c>
      <c r="U34" s="18">
        <f t="shared" si="4"/>
        <v>1.20049504950495</v>
      </c>
      <c r="V34" s="18">
        <f>VLOOKUP(A:A,[1]TDSheet!$A:$W,23,0)</f>
        <v>41</v>
      </c>
      <c r="W34" s="18">
        <f>VLOOKUP(A:A,[1]TDSheet!$A:$X,24,0)</f>
        <v>35.200000000000003</v>
      </c>
      <c r="X34" s="18">
        <f>VLOOKUP(A:A,[1]TDSheet!$A:$Y,25,0)</f>
        <v>32</v>
      </c>
      <c r="Y34" s="18">
        <f>VLOOKUP(A:A,[1]TDSheet!$A:$P,16,0)</f>
        <v>1.4</v>
      </c>
      <c r="Z34" s="18"/>
      <c r="AA34" s="18">
        <f t="shared" si="5"/>
        <v>273.42</v>
      </c>
    </row>
    <row r="35" spans="1:27" ht="10.95" customHeight="1">
      <c r="A35" s="20" t="s">
        <v>61</v>
      </c>
      <c r="B35" s="16" t="s">
        <v>38</v>
      </c>
      <c r="C35" s="16">
        <f>VLOOKUP(A:A,[1]TDSheet!$A:$C,3,0)</f>
        <v>1018950</v>
      </c>
      <c r="D35" s="21"/>
      <c r="E35" s="17">
        <v>230</v>
      </c>
      <c r="F35" s="17">
        <v>210</v>
      </c>
      <c r="G35" s="17">
        <v>10</v>
      </c>
      <c r="H35" s="2">
        <f>VLOOKUP(A:A,[1]TDSheet!$A:$H,8,0)</f>
        <v>0.18</v>
      </c>
      <c r="I35" s="2">
        <f>VLOOKUP(A:A,[1]TDSheet!$A:$I,9,0)</f>
        <v>120</v>
      </c>
      <c r="L35" s="18">
        <f>VLOOKUP(A:A,[2]TDSheet!$A:$B,2,0)</f>
        <v>336</v>
      </c>
      <c r="M35" s="18">
        <f t="shared" si="1"/>
        <v>-126</v>
      </c>
      <c r="N35" s="18">
        <f>VLOOKUP(A:A,[1]TDSheet!$A:$O,15,0)</f>
        <v>1400</v>
      </c>
      <c r="O35" s="18">
        <f>VLOOKUP(A:A,[1]TDSheet!$A:$Q,17,0)</f>
        <v>1500</v>
      </c>
      <c r="P35" s="18">
        <f t="shared" si="2"/>
        <v>42</v>
      </c>
      <c r="Q35" s="19"/>
      <c r="R35" s="19"/>
      <c r="S35" s="18"/>
      <c r="T35" s="18">
        <f t="shared" si="3"/>
        <v>69.285714285714306</v>
      </c>
      <c r="U35" s="18">
        <f t="shared" si="4"/>
        <v>0.238095238095238</v>
      </c>
      <c r="V35" s="18">
        <f>VLOOKUP(A:A,[1]TDSheet!$A:$W,23,0)</f>
        <v>137.6</v>
      </c>
      <c r="W35" s="18">
        <f>VLOOKUP(A:A,[1]TDSheet!$A:$X,24,0)</f>
        <v>94.6</v>
      </c>
      <c r="X35" s="18">
        <f>VLOOKUP(A:A,[1]TDSheet!$A:$Y,25,0)</f>
        <v>193.8</v>
      </c>
      <c r="Y35" s="18">
        <f>VLOOKUP(A:A,[1]TDSheet!$A:$P,16,0)</f>
        <v>156</v>
      </c>
      <c r="Z35" s="18" t="str">
        <f>VLOOKUP(A:A,[1]TDSheet!$A:$Z,26,0)</f>
        <v>увел продажи</v>
      </c>
      <c r="AA35" s="18">
        <f t="shared" si="5"/>
        <v>0</v>
      </c>
    </row>
    <row r="36" spans="1:27" ht="22.2" customHeight="1">
      <c r="A36" s="20" t="s">
        <v>62</v>
      </c>
      <c r="B36" s="16" t="s">
        <v>38</v>
      </c>
      <c r="C36" s="16">
        <f>VLOOKUP(A:A,[1]TDSheet!$A:$C,3,0)</f>
        <v>9988476</v>
      </c>
      <c r="D36" s="17">
        <v>92</v>
      </c>
      <c r="E36" s="17"/>
      <c r="F36" s="17">
        <v>1</v>
      </c>
      <c r="G36" s="17">
        <v>91</v>
      </c>
      <c r="H36" s="2">
        <f>VLOOKUP(A:A,[1]TDSheet!$A:$H,8,0)</f>
        <v>0.4</v>
      </c>
      <c r="I36" s="2">
        <f>VLOOKUP(A:A,[1]TDSheet!$A:$I,9,0)</f>
        <v>270</v>
      </c>
      <c r="L36" s="18">
        <f>VLOOKUP(A:A,[2]TDSheet!$A:$B,2,0)</f>
        <v>1</v>
      </c>
      <c r="M36" s="18">
        <f t="shared" si="1"/>
        <v>0</v>
      </c>
      <c r="N36" s="18">
        <f>VLOOKUP(A:A,[1]TDSheet!$A:$O,15,0)</f>
        <v>0</v>
      </c>
      <c r="O36" s="18">
        <f>VLOOKUP(A:A,[1]TDSheet!$A:$Q,17,0)</f>
        <v>0</v>
      </c>
      <c r="P36" s="18">
        <f t="shared" si="2"/>
        <v>0.2</v>
      </c>
      <c r="Q36" s="19"/>
      <c r="R36" s="19"/>
      <c r="S36" s="18"/>
      <c r="T36" s="18">
        <f t="shared" si="3"/>
        <v>455</v>
      </c>
      <c r="U36" s="18">
        <f t="shared" si="4"/>
        <v>455</v>
      </c>
      <c r="V36" s="18">
        <f>VLOOKUP(A:A,[1]TDSheet!$A:$W,23,0)</f>
        <v>1</v>
      </c>
      <c r="W36" s="18">
        <f>VLOOKUP(A:A,[1]TDSheet!$A:$X,24,0)</f>
        <v>0</v>
      </c>
      <c r="X36" s="18">
        <f>VLOOKUP(A:A,[1]TDSheet!$A:$Y,25,0)</f>
        <v>0.2</v>
      </c>
      <c r="Y36" s="18">
        <f>VLOOKUP(A:A,[1]TDSheet!$A:$P,16,0)</f>
        <v>0.2</v>
      </c>
      <c r="Z36" s="18" t="str">
        <f>VLOOKUP(A:A,[1]TDSheet!$A:$Z,26,0)</f>
        <v>увел продажи</v>
      </c>
      <c r="AA36" s="18">
        <f t="shared" si="5"/>
        <v>0</v>
      </c>
    </row>
    <row r="37" spans="1:27" ht="10.95" customHeight="1">
      <c r="A37" s="20" t="s">
        <v>63</v>
      </c>
      <c r="B37" s="16" t="s">
        <v>38</v>
      </c>
      <c r="C37" s="16">
        <f>VLOOKUP(A:A,[1]TDSheet!$A:$C,3,0)</f>
        <v>9988674</v>
      </c>
      <c r="D37" s="17">
        <v>226</v>
      </c>
      <c r="E37" s="17"/>
      <c r="F37" s="17">
        <v>5</v>
      </c>
      <c r="G37" s="17">
        <v>221</v>
      </c>
      <c r="H37" s="2">
        <f>VLOOKUP(A:A,[1]TDSheet!$A:$H,8,0)</f>
        <v>0.18</v>
      </c>
      <c r="L37" s="18">
        <f>VLOOKUP(A:A,[2]TDSheet!$A:$B,2,0)</f>
        <v>5</v>
      </c>
      <c r="M37" s="18">
        <f t="shared" si="1"/>
        <v>0</v>
      </c>
      <c r="N37" s="18">
        <f>VLOOKUP(A:A,[1]TDSheet!$A:$O,15,0)</f>
        <v>0</v>
      </c>
      <c r="O37" s="18">
        <f>VLOOKUP(A:A,[1]TDSheet!$A:$Q,17,0)</f>
        <v>0</v>
      </c>
      <c r="P37" s="18">
        <f t="shared" si="2"/>
        <v>1</v>
      </c>
      <c r="Q37" s="19"/>
      <c r="R37" s="19"/>
      <c r="S37" s="18"/>
      <c r="T37" s="18">
        <f t="shared" si="3"/>
        <v>221</v>
      </c>
      <c r="U37" s="18">
        <f t="shared" si="4"/>
        <v>221</v>
      </c>
      <c r="V37" s="18">
        <f>VLOOKUP(A:A,[1]TDSheet!$A:$W,23,0)</f>
        <v>3.6</v>
      </c>
      <c r="W37" s="18">
        <f>VLOOKUP(A:A,[1]TDSheet!$A:$X,24,0)</f>
        <v>3.2</v>
      </c>
      <c r="X37" s="18">
        <f>VLOOKUP(A:A,[1]TDSheet!$A:$Y,25,0)</f>
        <v>0.6</v>
      </c>
      <c r="Y37" s="18">
        <f>VLOOKUP(A:A,[1]TDSheet!$A:$P,16,0)</f>
        <v>1.4</v>
      </c>
      <c r="Z37" s="18" t="str">
        <f>VLOOKUP(A:A,[1]TDSheet!$A:$Z,26,0)</f>
        <v>увел продажи</v>
      </c>
      <c r="AA37" s="18">
        <f t="shared" si="5"/>
        <v>0</v>
      </c>
    </row>
    <row r="38" spans="1:27" ht="10.95" customHeight="1">
      <c r="A38" s="20" t="s">
        <v>64</v>
      </c>
      <c r="B38" s="16" t="s">
        <v>38</v>
      </c>
      <c r="C38" s="16">
        <f>VLOOKUP(A:A,[1]TDSheet!$A:$C,3,0)</f>
        <v>9988452</v>
      </c>
      <c r="D38" s="17">
        <v>20</v>
      </c>
      <c r="E38" s="17"/>
      <c r="F38" s="17">
        <v>4</v>
      </c>
      <c r="G38" s="17">
        <v>16</v>
      </c>
      <c r="H38" s="2">
        <f>VLOOKUP(A:A,[1]TDSheet!$A:$H,8,0)</f>
        <v>0.4</v>
      </c>
      <c r="I38" s="2">
        <f>VLOOKUP(A:A,[1]TDSheet!$A:$I,9,0)</f>
        <v>270</v>
      </c>
      <c r="L38" s="18">
        <f>VLOOKUP(A:A,[2]TDSheet!$A:$B,2,0)</f>
        <v>4</v>
      </c>
      <c r="M38" s="18">
        <f t="shared" si="1"/>
        <v>0</v>
      </c>
      <c r="N38" s="18">
        <f>VLOOKUP(A:A,[1]TDSheet!$A:$O,15,0)</f>
        <v>0</v>
      </c>
      <c r="O38" s="18">
        <f>VLOOKUP(A:A,[1]TDSheet!$A:$Q,17,0)</f>
        <v>36</v>
      </c>
      <c r="P38" s="18">
        <f t="shared" si="2"/>
        <v>0.8</v>
      </c>
      <c r="Q38" s="19"/>
      <c r="R38" s="19"/>
      <c r="S38" s="18"/>
      <c r="T38" s="18">
        <f t="shared" si="3"/>
        <v>65</v>
      </c>
      <c r="U38" s="18">
        <f t="shared" si="4"/>
        <v>20</v>
      </c>
      <c r="V38" s="18">
        <f>VLOOKUP(A:A,[1]TDSheet!$A:$W,23,0)</f>
        <v>0.4</v>
      </c>
      <c r="W38" s="18">
        <f>VLOOKUP(A:A,[1]TDSheet!$A:$X,24,0)</f>
        <v>0.6</v>
      </c>
      <c r="X38" s="18">
        <f>VLOOKUP(A:A,[1]TDSheet!$A:$Y,25,0)</f>
        <v>0.6</v>
      </c>
      <c r="Y38" s="18">
        <f>VLOOKUP(A:A,[1]TDSheet!$A:$P,16,0)</f>
        <v>2.8</v>
      </c>
      <c r="Z38" s="18" t="str">
        <f>VLOOKUP(A:A,[1]TDSheet!$A:$Z,26,0)</f>
        <v>увел продажи</v>
      </c>
      <c r="AA38" s="18">
        <f t="shared" si="5"/>
        <v>0</v>
      </c>
    </row>
    <row r="39" spans="1:27" ht="10.95" customHeight="1">
      <c r="A39" s="20" t="s">
        <v>65</v>
      </c>
      <c r="B39" s="16" t="s">
        <v>36</v>
      </c>
      <c r="C39" s="16">
        <f>VLOOKUP(A:A,[1]TDSheet!$A:$C,3,0)</f>
        <v>7100726</v>
      </c>
      <c r="D39" s="17">
        <v>54.895000000000003</v>
      </c>
      <c r="E39" s="17"/>
      <c r="F39" s="17">
        <v>0</v>
      </c>
      <c r="G39" s="17">
        <v>54.895000000000003</v>
      </c>
      <c r="H39" s="2">
        <f>VLOOKUP(A:A,[1]TDSheet!$A:$H,8,0)</f>
        <v>1</v>
      </c>
      <c r="L39" s="18">
        <v>0</v>
      </c>
      <c r="M39" s="18">
        <f t="shared" si="1"/>
        <v>0</v>
      </c>
      <c r="N39" s="18">
        <f>VLOOKUP(A:A,[1]TDSheet!$A:$O,15,0)</f>
        <v>0</v>
      </c>
      <c r="O39" s="18">
        <f>VLOOKUP(A:A,[1]TDSheet!$A:$Q,17,0)</f>
        <v>0</v>
      </c>
      <c r="P39" s="18">
        <f t="shared" si="2"/>
        <v>0</v>
      </c>
      <c r="Q39" s="19"/>
      <c r="R39" s="19"/>
      <c r="S39" s="18"/>
      <c r="T39" s="18" t="e">
        <f t="shared" si="3"/>
        <v>#DIV/0!</v>
      </c>
      <c r="U39" s="18" t="e">
        <f t="shared" si="4"/>
        <v>#DIV/0!</v>
      </c>
      <c r="V39" s="18">
        <f>VLOOKUP(A:A,[1]TDSheet!$A:$W,23,0)</f>
        <v>0.44500000000000001</v>
      </c>
      <c r="W39" s="18">
        <f>VLOOKUP(A:A,[1]TDSheet!$A:$X,24,0)</f>
        <v>0.97499999999999998</v>
      </c>
      <c r="X39" s="18">
        <f>VLOOKUP(A:A,[1]TDSheet!$A:$Y,25,0)</f>
        <v>0</v>
      </c>
      <c r="Y39" s="18">
        <f>VLOOKUP(A:A,[1]TDSheet!$A:$P,16,0)</f>
        <v>1.7669999999999999</v>
      </c>
      <c r="Z39" s="18" t="str">
        <f>VLOOKUP(A:A,[1]TDSheet!$A:$Z,26,0)</f>
        <v>увел продажи</v>
      </c>
      <c r="AA39" s="18">
        <f t="shared" si="5"/>
        <v>0</v>
      </c>
    </row>
    <row r="40" spans="1:27" ht="10.95" customHeight="1">
      <c r="A40" s="20" t="s">
        <v>66</v>
      </c>
      <c r="B40" s="16" t="s">
        <v>38</v>
      </c>
      <c r="C40" s="16">
        <f>VLOOKUP(A:A,[1]TDSheet!$A:$C,3,0)</f>
        <v>7100108</v>
      </c>
      <c r="D40" s="17">
        <v>27</v>
      </c>
      <c r="E40" s="17"/>
      <c r="F40" s="17">
        <v>0</v>
      </c>
      <c r="G40" s="17">
        <v>27</v>
      </c>
      <c r="H40" s="2">
        <f>VLOOKUP(A:A,[1]TDSheet!$A:$H,8,0)</f>
        <v>0.2</v>
      </c>
      <c r="L40" s="18">
        <v>0</v>
      </c>
      <c r="M40" s="18">
        <f t="shared" si="1"/>
        <v>0</v>
      </c>
      <c r="N40" s="18">
        <f>VLOOKUP(A:A,[1]TDSheet!$A:$O,15,0)</f>
        <v>0</v>
      </c>
      <c r="O40" s="18">
        <f>VLOOKUP(A:A,[1]TDSheet!$A:$Q,17,0)</f>
        <v>0</v>
      </c>
      <c r="P40" s="18">
        <f t="shared" si="2"/>
        <v>0</v>
      </c>
      <c r="Q40" s="19"/>
      <c r="R40" s="19"/>
      <c r="S40" s="18"/>
      <c r="T40" s="18" t="e">
        <f t="shared" si="3"/>
        <v>#DIV/0!</v>
      </c>
      <c r="U40" s="18" t="e">
        <f t="shared" si="4"/>
        <v>#DIV/0!</v>
      </c>
      <c r="V40" s="18">
        <f>VLOOKUP(A:A,[1]TDSheet!$A:$W,23,0)</f>
        <v>0</v>
      </c>
      <c r="W40" s="18">
        <f>VLOOKUP(A:A,[1]TDSheet!$A:$X,24,0)</f>
        <v>1</v>
      </c>
      <c r="X40" s="18">
        <f>VLOOKUP(A:A,[1]TDSheet!$A:$Y,25,0)</f>
        <v>0</v>
      </c>
      <c r="Y40" s="18">
        <f>VLOOKUP(A:A,[1]TDSheet!$A:$P,16,0)</f>
        <v>0</v>
      </c>
      <c r="Z40" s="18" t="str">
        <f>VLOOKUP(A:A,[1]TDSheet!$A:$Z,26,0)</f>
        <v>увел продажи</v>
      </c>
      <c r="AA40" s="18">
        <f t="shared" si="5"/>
        <v>0</v>
      </c>
    </row>
    <row r="41" spans="1:27" ht="10.95" customHeight="1">
      <c r="A41" s="20" t="s">
        <v>67</v>
      </c>
      <c r="B41" s="16" t="s">
        <v>36</v>
      </c>
      <c r="C41" s="16">
        <f>VLOOKUP(A:A,[1]TDSheet!$A:$C,3,0)</f>
        <v>7100139</v>
      </c>
      <c r="D41" s="17">
        <v>67.125</v>
      </c>
      <c r="E41" s="17"/>
      <c r="F41" s="17">
        <v>0</v>
      </c>
      <c r="G41" s="17">
        <v>67.125</v>
      </c>
      <c r="H41" s="2">
        <f>VLOOKUP(A:A,[1]TDSheet!$A:$H,8,0)</f>
        <v>1</v>
      </c>
      <c r="L41" s="18">
        <v>0</v>
      </c>
      <c r="M41" s="18">
        <f t="shared" si="1"/>
        <v>0</v>
      </c>
      <c r="N41" s="18">
        <f>VLOOKUP(A:A,[1]TDSheet!$A:$O,15,0)</f>
        <v>0</v>
      </c>
      <c r="O41" s="18">
        <f>VLOOKUP(A:A,[1]TDSheet!$A:$Q,17,0)</f>
        <v>0</v>
      </c>
      <c r="P41" s="18">
        <f t="shared" si="2"/>
        <v>0</v>
      </c>
      <c r="Q41" s="19"/>
      <c r="R41" s="19"/>
      <c r="S41" s="18"/>
      <c r="T41" s="18" t="e">
        <f t="shared" si="3"/>
        <v>#DIV/0!</v>
      </c>
      <c r="U41" s="18" t="e">
        <f t="shared" si="4"/>
        <v>#DIV/0!</v>
      </c>
      <c r="V41" s="18">
        <f>VLOOKUP(A:A,[1]TDSheet!$A:$W,23,0)</f>
        <v>0</v>
      </c>
      <c r="W41" s="18">
        <f>VLOOKUP(A:A,[1]TDSheet!$A:$X,24,0)</f>
        <v>0</v>
      </c>
      <c r="X41" s="18">
        <f>VLOOKUP(A:A,[1]TDSheet!$A:$Y,25,0)</f>
        <v>0</v>
      </c>
      <c r="Y41" s="18">
        <f>VLOOKUP(A:A,[1]TDSheet!$A:$P,16,0)</f>
        <v>0</v>
      </c>
      <c r="Z41" s="18" t="str">
        <f>VLOOKUP(A:A,[1]TDSheet!$A:$Z,26,0)</f>
        <v>увел продажи</v>
      </c>
      <c r="AA41" s="18">
        <f t="shared" si="5"/>
        <v>0</v>
      </c>
    </row>
    <row r="42" spans="1:27" ht="10.95" customHeight="1">
      <c r="A42" s="20" t="s">
        <v>68</v>
      </c>
      <c r="B42" s="16" t="s">
        <v>38</v>
      </c>
      <c r="C42" s="16">
        <f>VLOOKUP(A:A,[1]TDSheet!$A:$C,3,0)</f>
        <v>5034819</v>
      </c>
      <c r="D42" s="17">
        <v>117</v>
      </c>
      <c r="E42" s="17"/>
      <c r="F42" s="17">
        <v>0</v>
      </c>
      <c r="G42" s="17">
        <v>117</v>
      </c>
      <c r="H42" s="2">
        <f>VLOOKUP(A:A,[1]TDSheet!$A:$H,8,0)</f>
        <v>0.18</v>
      </c>
      <c r="I42" s="2">
        <f>VLOOKUP(A:A,[1]TDSheet!$A:$I,9,0)</f>
        <v>150</v>
      </c>
      <c r="L42" s="18">
        <f>VLOOKUP(A:A,[2]TDSheet!$A:$B,2,0)</f>
        <v>134</v>
      </c>
      <c r="M42" s="18">
        <f t="shared" si="1"/>
        <v>-134</v>
      </c>
      <c r="N42" s="18">
        <f>VLOOKUP(A:A,[1]TDSheet!$A:$O,15,0)</f>
        <v>0</v>
      </c>
      <c r="O42" s="18">
        <f>VLOOKUP(A:A,[1]TDSheet!$A:$Q,17,0)</f>
        <v>0</v>
      </c>
      <c r="P42" s="18">
        <f t="shared" si="2"/>
        <v>0</v>
      </c>
      <c r="Q42" s="19"/>
      <c r="R42" s="19"/>
      <c r="S42" s="18"/>
      <c r="T42" s="18" t="e">
        <f t="shared" si="3"/>
        <v>#DIV/0!</v>
      </c>
      <c r="U42" s="18" t="e">
        <f t="shared" si="4"/>
        <v>#DIV/0!</v>
      </c>
      <c r="V42" s="18">
        <f>VLOOKUP(A:A,[1]TDSheet!$A:$W,23,0)</f>
        <v>0</v>
      </c>
      <c r="W42" s="18">
        <f>VLOOKUP(A:A,[1]TDSheet!$A:$X,24,0)</f>
        <v>-0.6</v>
      </c>
      <c r="X42" s="18">
        <f>VLOOKUP(A:A,[1]TDSheet!$A:$Y,25,0)</f>
        <v>-0.6</v>
      </c>
      <c r="Y42" s="18">
        <f>VLOOKUP(A:A,[1]TDSheet!$A:$P,16,0)</f>
        <v>-0.2</v>
      </c>
      <c r="Z42" s="18" t="str">
        <f>VLOOKUP(A:A,[1]TDSheet!$A:$Z,26,0)</f>
        <v>увел продажи</v>
      </c>
      <c r="AA42" s="18">
        <f t="shared" si="5"/>
        <v>0</v>
      </c>
    </row>
    <row r="43" spans="1:27" ht="10.95" customHeight="1">
      <c r="A43" s="16" t="s">
        <v>69</v>
      </c>
      <c r="B43" s="16" t="s">
        <v>38</v>
      </c>
      <c r="C43" s="16">
        <f>VLOOKUP(A:A,[1]TDSheet!$A:$C,3,0)</f>
        <v>8444163</v>
      </c>
      <c r="D43" s="21"/>
      <c r="E43" s="17">
        <v>120</v>
      </c>
      <c r="F43" s="17">
        <v>61</v>
      </c>
      <c r="G43" s="17">
        <v>55</v>
      </c>
      <c r="H43" s="2">
        <f>VLOOKUP(A:A,[1]TDSheet!$A:$H,8,0)</f>
        <v>0.1</v>
      </c>
      <c r="I43" s="2">
        <f>VLOOKUP(A:A,[1]TDSheet!$A:$I,9,0)</f>
        <v>90</v>
      </c>
      <c r="L43" s="18">
        <f>VLOOKUP(A:A,[2]TDSheet!$A:$B,2,0)</f>
        <v>73</v>
      </c>
      <c r="M43" s="18">
        <f t="shared" si="1"/>
        <v>-12</v>
      </c>
      <c r="N43" s="18">
        <f>VLOOKUP(A:A,[1]TDSheet!$A:$O,15,0)</f>
        <v>0</v>
      </c>
      <c r="O43" s="18">
        <f>VLOOKUP(A:A,[1]TDSheet!$A:$Q,17,0)</f>
        <v>0</v>
      </c>
      <c r="P43" s="18">
        <f t="shared" si="2"/>
        <v>12.2</v>
      </c>
      <c r="Q43" s="19">
        <f t="shared" si="6"/>
        <v>189</v>
      </c>
      <c r="R43" s="19"/>
      <c r="S43" s="18"/>
      <c r="T43" s="18">
        <f t="shared" si="3"/>
        <v>20</v>
      </c>
      <c r="U43" s="18">
        <f t="shared" si="4"/>
        <v>4.5081967213114797</v>
      </c>
      <c r="V43" s="18">
        <f>VLOOKUP(A:A,[1]TDSheet!$A:$W,23,0)</f>
        <v>0</v>
      </c>
      <c r="W43" s="18">
        <f>VLOOKUP(A:A,[1]TDSheet!$A:$X,24,0)</f>
        <v>0</v>
      </c>
      <c r="X43" s="18">
        <f>VLOOKUP(A:A,[1]TDSheet!$A:$Y,25,0)</f>
        <v>0</v>
      </c>
      <c r="Y43" s="18">
        <f>VLOOKUP(A:A,[1]TDSheet!$A:$P,16,0)</f>
        <v>-0.6</v>
      </c>
      <c r="Z43" s="18"/>
      <c r="AA43" s="18">
        <f t="shared" si="5"/>
        <v>18.899999999999999</v>
      </c>
    </row>
    <row r="44" spans="1:27" ht="10.95" customHeight="1">
      <c r="A44" s="20" t="s">
        <v>70</v>
      </c>
      <c r="B44" s="16" t="s">
        <v>38</v>
      </c>
      <c r="C44" s="16">
        <f>VLOOKUP(A:A,[1]TDSheet!$A:$C,3,0)</f>
        <v>8445160</v>
      </c>
      <c r="D44" s="17">
        <v>14</v>
      </c>
      <c r="E44" s="17"/>
      <c r="F44" s="17">
        <v>10</v>
      </c>
      <c r="G44" s="17">
        <v>-3</v>
      </c>
      <c r="H44" s="2">
        <f>VLOOKUP(A:A,[1]TDSheet!$A:$H,8,0)</f>
        <v>0.1</v>
      </c>
      <c r="L44" s="18">
        <f>VLOOKUP(A:A,[2]TDSheet!$A:$B,2,0)</f>
        <v>79</v>
      </c>
      <c r="M44" s="18">
        <f t="shared" si="1"/>
        <v>-69</v>
      </c>
      <c r="N44" s="18">
        <f>VLOOKUP(A:A,[1]TDSheet!$A:$O,15,0)</f>
        <v>650</v>
      </c>
      <c r="O44" s="18">
        <f>VLOOKUP(A:A,[1]TDSheet!$A:$Q,17,0)</f>
        <v>0</v>
      </c>
      <c r="P44" s="18">
        <f t="shared" si="2"/>
        <v>2</v>
      </c>
      <c r="Q44" s="19"/>
      <c r="R44" s="19"/>
      <c r="S44" s="18"/>
      <c r="T44" s="18">
        <f t="shared" si="3"/>
        <v>323.5</v>
      </c>
      <c r="U44" s="18">
        <f t="shared" si="4"/>
        <v>-1.5</v>
      </c>
      <c r="V44" s="18">
        <f>VLOOKUP(A:A,[1]TDSheet!$A:$W,23,0)</f>
        <v>14</v>
      </c>
      <c r="W44" s="18">
        <f>VLOOKUP(A:A,[1]TDSheet!$A:$X,24,0)</f>
        <v>5.2</v>
      </c>
      <c r="X44" s="18">
        <f>VLOOKUP(A:A,[1]TDSheet!$A:$Y,25,0)</f>
        <v>44.2</v>
      </c>
      <c r="Y44" s="18">
        <f>VLOOKUP(A:A,[1]TDSheet!$A:$P,16,0)</f>
        <v>24.8</v>
      </c>
      <c r="Z44" s="18"/>
      <c r="AA44" s="18">
        <f t="shared" si="5"/>
        <v>0</v>
      </c>
    </row>
    <row r="45" spans="1:27" ht="10.95" customHeight="1">
      <c r="A45" s="16" t="s">
        <v>71</v>
      </c>
      <c r="B45" s="16" t="s">
        <v>38</v>
      </c>
      <c r="C45" s="16">
        <f>VLOOKUP(A:A,[1]TDSheet!$A:$C,3,0)</f>
        <v>8445177</v>
      </c>
      <c r="D45" s="17">
        <v>111</v>
      </c>
      <c r="E45" s="17">
        <v>2</v>
      </c>
      <c r="F45" s="17">
        <v>103</v>
      </c>
      <c r="G45" s="17">
        <v>1</v>
      </c>
      <c r="H45" s="2">
        <f>VLOOKUP(A:A,[1]TDSheet!$A:$H,8,0)</f>
        <v>0.1</v>
      </c>
      <c r="L45" s="18">
        <f>VLOOKUP(A:A,[2]TDSheet!$A:$B,2,0)</f>
        <v>118</v>
      </c>
      <c r="M45" s="18">
        <f t="shared" si="1"/>
        <v>-15</v>
      </c>
      <c r="N45" s="18">
        <f>VLOOKUP(A:A,[1]TDSheet!$A:$O,15,0)</f>
        <v>300</v>
      </c>
      <c r="O45" s="18">
        <f>VLOOKUP(A:A,[1]TDSheet!$A:$Q,17,0)</f>
        <v>17</v>
      </c>
      <c r="P45" s="18">
        <f t="shared" si="2"/>
        <v>20.6</v>
      </c>
      <c r="Q45" s="19">
        <f t="shared" si="6"/>
        <v>94</v>
      </c>
      <c r="R45" s="19"/>
      <c r="S45" s="18"/>
      <c r="T45" s="18">
        <f t="shared" si="3"/>
        <v>20</v>
      </c>
      <c r="U45" s="18">
        <f t="shared" si="4"/>
        <v>4.85436893203883E-2</v>
      </c>
      <c r="V45" s="18">
        <f>VLOOKUP(A:A,[1]TDSheet!$A:$W,23,0)</f>
        <v>16.2</v>
      </c>
      <c r="W45" s="18">
        <f>VLOOKUP(A:A,[1]TDSheet!$A:$X,24,0)</f>
        <v>2.2000000000000002</v>
      </c>
      <c r="X45" s="18">
        <f>VLOOKUP(A:A,[1]TDSheet!$A:$Y,25,0)</f>
        <v>28</v>
      </c>
      <c r="Y45" s="18">
        <f>VLOOKUP(A:A,[1]TDSheet!$A:$P,16,0)</f>
        <v>21.4</v>
      </c>
      <c r="Z45" s="18"/>
      <c r="AA45" s="18">
        <f t="shared" si="5"/>
        <v>9.4</v>
      </c>
    </row>
    <row r="46" spans="1:27" ht="10.95" customHeight="1">
      <c r="A46" s="16" t="s">
        <v>72</v>
      </c>
      <c r="B46" s="16" t="s">
        <v>38</v>
      </c>
      <c r="C46" s="16">
        <f>VLOOKUP(A:A,[1]TDSheet!$A:$C,3,0)</f>
        <v>5038411</v>
      </c>
      <c r="D46" s="17">
        <v>92</v>
      </c>
      <c r="E46" s="17">
        <v>120</v>
      </c>
      <c r="F46" s="17">
        <v>116</v>
      </c>
      <c r="G46" s="17">
        <v>93</v>
      </c>
      <c r="H46" s="2">
        <f>VLOOKUP(A:A,[1]TDSheet!$A:$H,8,0)</f>
        <v>0.18</v>
      </c>
      <c r="I46" s="2">
        <f>VLOOKUP(A:A,[1]TDSheet!$A:$I,9,0)</f>
        <v>150</v>
      </c>
      <c r="L46" s="18">
        <f>VLOOKUP(A:A,[2]TDSheet!$A:$B,2,0)</f>
        <v>182</v>
      </c>
      <c r="M46" s="18">
        <f t="shared" si="1"/>
        <v>-66</v>
      </c>
      <c r="N46" s="18">
        <f>VLOOKUP(A:A,[1]TDSheet!$A:$O,15,0)</f>
        <v>300</v>
      </c>
      <c r="O46" s="18">
        <f>VLOOKUP(A:A,[1]TDSheet!$A:$Q,17,0)</f>
        <v>0</v>
      </c>
      <c r="P46" s="18">
        <f t="shared" si="2"/>
        <v>23.2</v>
      </c>
      <c r="Q46" s="19">
        <f t="shared" si="6"/>
        <v>71</v>
      </c>
      <c r="R46" s="19"/>
      <c r="S46" s="18"/>
      <c r="T46" s="18">
        <f t="shared" si="3"/>
        <v>20</v>
      </c>
      <c r="U46" s="18">
        <f t="shared" si="4"/>
        <v>4.0086206896551699</v>
      </c>
      <c r="V46" s="18">
        <f>VLOOKUP(A:A,[1]TDSheet!$A:$W,23,0)</f>
        <v>39.4</v>
      </c>
      <c r="W46" s="18">
        <f>VLOOKUP(A:A,[1]TDSheet!$A:$X,24,0)</f>
        <v>37.799999999999997</v>
      </c>
      <c r="X46" s="18">
        <f>VLOOKUP(A:A,[1]TDSheet!$A:$Y,25,0)</f>
        <v>35</v>
      </c>
      <c r="Y46" s="18">
        <f>VLOOKUP(A:A,[1]TDSheet!$A:$P,16,0)</f>
        <v>15</v>
      </c>
      <c r="Z46" s="18" t="str">
        <f>VLOOKUP(A:A,[1]TDSheet!$A:$Z,26,0)</f>
        <v>остатки?</v>
      </c>
      <c r="AA46" s="18">
        <f t="shared" si="5"/>
        <v>12.78</v>
      </c>
    </row>
    <row r="47" spans="1:27" ht="10.95" customHeight="1">
      <c r="A47" s="20" t="s">
        <v>73</v>
      </c>
      <c r="B47" s="16" t="s">
        <v>38</v>
      </c>
      <c r="C47" s="16">
        <f>VLOOKUP(A:A,[1]TDSheet!$A:$C,3,0)</f>
        <v>5038459</v>
      </c>
      <c r="D47" s="17">
        <v>82</v>
      </c>
      <c r="E47" s="17"/>
      <c r="F47" s="17">
        <v>99</v>
      </c>
      <c r="G47" s="17">
        <v>-19</v>
      </c>
      <c r="H47" s="2">
        <f>VLOOKUP(A:A,[1]TDSheet!$A:$H,8,0)</f>
        <v>0.18</v>
      </c>
      <c r="I47" s="2">
        <f>VLOOKUP(A:A,[1]TDSheet!$A:$I,9,0)</f>
        <v>150</v>
      </c>
      <c r="L47" s="18">
        <f>VLOOKUP(A:A,[2]TDSheet!$A:$B,2,0)</f>
        <v>342</v>
      </c>
      <c r="M47" s="18">
        <f t="shared" si="1"/>
        <v>-243</v>
      </c>
      <c r="N47" s="18">
        <f>VLOOKUP(A:A,[1]TDSheet!$A:$O,15,0)</f>
        <v>1000</v>
      </c>
      <c r="O47" s="18">
        <f>VLOOKUP(A:A,[1]TDSheet!$A:$Q,17,0)</f>
        <v>0</v>
      </c>
      <c r="P47" s="18">
        <f t="shared" si="2"/>
        <v>19.8</v>
      </c>
      <c r="Q47" s="19"/>
      <c r="R47" s="19"/>
      <c r="S47" s="18"/>
      <c r="T47" s="18">
        <f t="shared" si="3"/>
        <v>49.545454545454497</v>
      </c>
      <c r="U47" s="18">
        <f t="shared" si="4"/>
        <v>-0.95959595959596</v>
      </c>
      <c r="V47" s="18">
        <f>VLOOKUP(A:A,[1]TDSheet!$A:$W,23,0)</f>
        <v>26.4</v>
      </c>
      <c r="W47" s="18">
        <f>VLOOKUP(A:A,[1]TDSheet!$A:$X,24,0)</f>
        <v>2</v>
      </c>
      <c r="X47" s="18">
        <f>VLOOKUP(A:A,[1]TDSheet!$A:$Y,25,0)</f>
        <v>83.6</v>
      </c>
      <c r="Y47" s="18">
        <f>VLOOKUP(A:A,[1]TDSheet!$A:$P,16,0)</f>
        <v>15.8</v>
      </c>
      <c r="Z47" s="18" t="str">
        <f>VLOOKUP(A:A,[1]TDSheet!$A:$Z,26,0)</f>
        <v>остатки?</v>
      </c>
      <c r="AA47" s="18">
        <f t="shared" si="5"/>
        <v>0</v>
      </c>
    </row>
    <row r="48" spans="1:27" ht="10.95" customHeight="1">
      <c r="A48" s="16" t="s">
        <v>74</v>
      </c>
      <c r="B48" s="16" t="s">
        <v>38</v>
      </c>
      <c r="C48" s="16">
        <f>VLOOKUP(A:A,[1]TDSheet!$A:$C,3,0)</f>
        <v>5038831</v>
      </c>
      <c r="D48" s="17">
        <v>126</v>
      </c>
      <c r="E48" s="17"/>
      <c r="F48" s="17">
        <v>0</v>
      </c>
      <c r="G48" s="17">
        <v>126</v>
      </c>
      <c r="H48" s="2">
        <f>VLOOKUP(A:A,[1]TDSheet!$A:$H,8,0)</f>
        <v>0.18</v>
      </c>
      <c r="I48" s="2">
        <f>VLOOKUP(A:A,[1]TDSheet!$A:$I,9,0)</f>
        <v>150</v>
      </c>
      <c r="L48" s="18">
        <f>VLOOKUP(A:A,[2]TDSheet!$A:$B,2,0)</f>
        <v>169</v>
      </c>
      <c r="M48" s="18">
        <f t="shared" si="1"/>
        <v>-169</v>
      </c>
      <c r="N48" s="18">
        <f>VLOOKUP(A:A,[1]TDSheet!$A:$O,15,0)</f>
        <v>0</v>
      </c>
      <c r="O48" s="18">
        <f>VLOOKUP(A:A,[1]TDSheet!$A:$Q,17,0)</f>
        <v>0</v>
      </c>
      <c r="P48" s="18">
        <f t="shared" si="2"/>
        <v>0</v>
      </c>
      <c r="Q48" s="19"/>
      <c r="R48" s="19"/>
      <c r="S48" s="18"/>
      <c r="T48" s="18" t="e">
        <f t="shared" si="3"/>
        <v>#DIV/0!</v>
      </c>
      <c r="U48" s="18" t="e">
        <f t="shared" si="4"/>
        <v>#DIV/0!</v>
      </c>
      <c r="V48" s="18">
        <f>VLOOKUP(A:A,[1]TDSheet!$A:$W,23,0)</f>
        <v>0.2</v>
      </c>
      <c r="W48" s="18">
        <f>VLOOKUP(A:A,[1]TDSheet!$A:$X,24,0)</f>
        <v>0</v>
      </c>
      <c r="X48" s="18">
        <f>VLOOKUP(A:A,[1]TDSheet!$A:$Y,25,0)</f>
        <v>-0.4</v>
      </c>
      <c r="Y48" s="18">
        <f>VLOOKUP(A:A,[1]TDSheet!$A:$P,16,0)</f>
        <v>-0.4</v>
      </c>
      <c r="Z48" s="18" t="str">
        <f>VLOOKUP(A:A,[1]TDSheet!$A:$Z,26,0)</f>
        <v>остатки?</v>
      </c>
      <c r="AA48" s="18">
        <f t="shared" si="5"/>
        <v>0</v>
      </c>
    </row>
    <row r="49" spans="1:27" ht="10.95" customHeight="1">
      <c r="A49" s="16" t="s">
        <v>75</v>
      </c>
      <c r="B49" s="16" t="s">
        <v>38</v>
      </c>
      <c r="C49" s="16">
        <f>VLOOKUP(A:A,[1]TDSheet!$A:$C,3,0)</f>
        <v>5038855</v>
      </c>
      <c r="D49" s="17">
        <v>115</v>
      </c>
      <c r="E49" s="17">
        <v>120</v>
      </c>
      <c r="F49" s="17">
        <v>135</v>
      </c>
      <c r="G49" s="17">
        <v>97</v>
      </c>
      <c r="H49" s="2">
        <f>VLOOKUP(A:A,[1]TDSheet!$A:$H,8,0)</f>
        <v>0.18</v>
      </c>
      <c r="I49" s="2">
        <f>VLOOKUP(A:A,[1]TDSheet!$A:$I,9,0)</f>
        <v>120</v>
      </c>
      <c r="L49" s="18">
        <f>VLOOKUP(A:A,[2]TDSheet!$A:$B,2,0)</f>
        <v>127</v>
      </c>
      <c r="M49" s="18">
        <f t="shared" si="1"/>
        <v>8</v>
      </c>
      <c r="N49" s="18">
        <f>VLOOKUP(A:A,[1]TDSheet!$A:$O,15,0)</f>
        <v>30</v>
      </c>
      <c r="O49" s="18">
        <f>VLOOKUP(A:A,[1]TDSheet!$A:$Q,17,0)</f>
        <v>183</v>
      </c>
      <c r="P49" s="18">
        <f t="shared" si="2"/>
        <v>27</v>
      </c>
      <c r="Q49" s="19">
        <f t="shared" si="6"/>
        <v>230</v>
      </c>
      <c r="R49" s="19"/>
      <c r="S49" s="18"/>
      <c r="T49" s="18">
        <f t="shared" si="3"/>
        <v>20</v>
      </c>
      <c r="U49" s="18">
        <f t="shared" si="4"/>
        <v>3.5925925925925899</v>
      </c>
      <c r="V49" s="18">
        <f>VLOOKUP(A:A,[1]TDSheet!$A:$W,23,0)</f>
        <v>17.399999999999999</v>
      </c>
      <c r="W49" s="18">
        <f>VLOOKUP(A:A,[1]TDSheet!$A:$X,24,0)</f>
        <v>19.2</v>
      </c>
      <c r="X49" s="18">
        <f>VLOOKUP(A:A,[1]TDSheet!$A:$Y,25,0)</f>
        <v>19.2</v>
      </c>
      <c r="Y49" s="18">
        <f>VLOOKUP(A:A,[1]TDSheet!$A:$P,16,0)</f>
        <v>22.4</v>
      </c>
      <c r="Z49" s="18" t="str">
        <f>VLOOKUP(A:A,[1]TDSheet!$A:$Z,26,0)</f>
        <v>остатки?</v>
      </c>
      <c r="AA49" s="18">
        <f t="shared" si="5"/>
        <v>41.4</v>
      </c>
    </row>
    <row r="50" spans="1:27" ht="10.95" customHeight="1">
      <c r="A50" s="20" t="s">
        <v>76</v>
      </c>
      <c r="B50" s="16" t="s">
        <v>38</v>
      </c>
      <c r="C50" s="16">
        <f>VLOOKUP(A:A,[1]TDSheet!$A:$C,3,0)</f>
        <v>5038435</v>
      </c>
      <c r="D50" s="17">
        <v>240</v>
      </c>
      <c r="E50" s="17">
        <v>8</v>
      </c>
      <c r="F50" s="17">
        <v>122</v>
      </c>
      <c r="G50" s="17">
        <v>117</v>
      </c>
      <c r="H50" s="2">
        <f>VLOOKUP(A:A,[1]TDSheet!$A:$H,8,0)</f>
        <v>0.18</v>
      </c>
      <c r="I50" s="2">
        <f>VLOOKUP(A:A,[1]TDSheet!$A:$I,9,0)</f>
        <v>150</v>
      </c>
      <c r="L50" s="18">
        <f>VLOOKUP(A:A,[2]TDSheet!$A:$B,2,0)</f>
        <v>284</v>
      </c>
      <c r="M50" s="18">
        <f t="shared" si="1"/>
        <v>-162</v>
      </c>
      <c r="N50" s="18">
        <f>VLOOKUP(A:A,[1]TDSheet!$A:$O,15,0)</f>
        <v>700</v>
      </c>
      <c r="O50" s="18">
        <f>VLOOKUP(A:A,[1]TDSheet!$A:$Q,17,0)</f>
        <v>0</v>
      </c>
      <c r="P50" s="18">
        <f t="shared" si="2"/>
        <v>24.4</v>
      </c>
      <c r="Q50" s="19"/>
      <c r="R50" s="19"/>
      <c r="S50" s="18"/>
      <c r="T50" s="18">
        <f t="shared" si="3"/>
        <v>33.483606557377101</v>
      </c>
      <c r="U50" s="18">
        <f t="shared" si="4"/>
        <v>4.7950819672131102</v>
      </c>
      <c r="V50" s="18">
        <f>VLOOKUP(A:A,[1]TDSheet!$A:$W,23,0)</f>
        <v>47.8</v>
      </c>
      <c r="W50" s="18">
        <f>VLOOKUP(A:A,[1]TDSheet!$A:$X,24,0)</f>
        <v>1.2</v>
      </c>
      <c r="X50" s="18">
        <f>VLOOKUP(A:A,[1]TDSheet!$A:$Y,25,0)</f>
        <v>78</v>
      </c>
      <c r="Y50" s="18">
        <f>VLOOKUP(A:A,[1]TDSheet!$A:$P,16,0)</f>
        <v>46</v>
      </c>
      <c r="Z50" s="18" t="str">
        <f>VLOOKUP(A:A,[1]TDSheet!$A:$Z,26,0)</f>
        <v>остатки?</v>
      </c>
      <c r="AA50" s="18">
        <f t="shared" si="5"/>
        <v>0</v>
      </c>
    </row>
    <row r="51" spans="1:27" ht="22.2" customHeight="1">
      <c r="A51" s="16" t="s">
        <v>77</v>
      </c>
      <c r="B51" s="16" t="s">
        <v>38</v>
      </c>
      <c r="C51" s="16">
        <f>VLOOKUP(A:A,[1]TDSheet!$A:$C,3,0)</f>
        <v>5038398</v>
      </c>
      <c r="D51" s="17">
        <v>317</v>
      </c>
      <c r="E51" s="17">
        <v>80</v>
      </c>
      <c r="F51" s="17">
        <v>184</v>
      </c>
      <c r="G51" s="17">
        <v>203</v>
      </c>
      <c r="H51" s="2">
        <f>VLOOKUP(A:A,[1]TDSheet!$A:$H,8,0)</f>
        <v>0.18</v>
      </c>
      <c r="I51" s="2">
        <f>VLOOKUP(A:A,[1]TDSheet!$A:$I,9,0)</f>
        <v>120</v>
      </c>
      <c r="L51" s="18">
        <f>VLOOKUP(A:A,[2]TDSheet!$A:$B,2,0)</f>
        <v>163</v>
      </c>
      <c r="M51" s="18">
        <f t="shared" si="1"/>
        <v>21</v>
      </c>
      <c r="N51" s="18">
        <f>VLOOKUP(A:A,[1]TDSheet!$A:$O,15,0)</f>
        <v>0</v>
      </c>
      <c r="O51" s="18">
        <f>VLOOKUP(A:A,[1]TDSheet!$A:$Q,17,0)</f>
        <v>55</v>
      </c>
      <c r="P51" s="18">
        <f t="shared" si="2"/>
        <v>36.799999999999997</v>
      </c>
      <c r="Q51" s="19">
        <f t="shared" si="6"/>
        <v>478</v>
      </c>
      <c r="R51" s="19"/>
      <c r="S51" s="18"/>
      <c r="T51" s="18">
        <f t="shared" si="3"/>
        <v>20</v>
      </c>
      <c r="U51" s="18">
        <f t="shared" si="4"/>
        <v>5.5163043478260896</v>
      </c>
      <c r="V51" s="18">
        <f>VLOOKUP(A:A,[1]TDSheet!$A:$W,23,0)</f>
        <v>31.4</v>
      </c>
      <c r="W51" s="18">
        <f>VLOOKUP(A:A,[1]TDSheet!$A:$X,24,0)</f>
        <v>28.4</v>
      </c>
      <c r="X51" s="18">
        <f>VLOOKUP(A:A,[1]TDSheet!$A:$Y,25,0)</f>
        <v>22</v>
      </c>
      <c r="Y51" s="18">
        <f>VLOOKUP(A:A,[1]TDSheet!$A:$P,16,0)</f>
        <v>22.6</v>
      </c>
      <c r="Z51" s="18" t="str">
        <f>VLOOKUP(A:A,[1]TDSheet!$A:$Z,26,0)</f>
        <v>увел продажи</v>
      </c>
      <c r="AA51" s="18">
        <f t="shared" si="5"/>
        <v>86.04</v>
      </c>
    </row>
    <row r="52" spans="1:27" ht="10.95" customHeight="1">
      <c r="A52" s="16" t="s">
        <v>78</v>
      </c>
      <c r="B52" s="16" t="s">
        <v>38</v>
      </c>
      <c r="C52" s="16"/>
      <c r="D52" s="21"/>
      <c r="E52" s="17"/>
      <c r="F52" s="17">
        <v>2</v>
      </c>
      <c r="G52" s="17">
        <v>-2</v>
      </c>
      <c r="H52" s="2">
        <v>0.2</v>
      </c>
      <c r="L52" s="18">
        <f>VLOOKUP(A:A,[2]TDSheet!$A:$B,2,0)</f>
        <v>2</v>
      </c>
      <c r="M52" s="18">
        <f t="shared" si="1"/>
        <v>0</v>
      </c>
      <c r="N52" s="18">
        <v>0</v>
      </c>
      <c r="O52" s="18">
        <v>0</v>
      </c>
      <c r="P52" s="18">
        <f t="shared" si="2"/>
        <v>0.4</v>
      </c>
      <c r="Q52" s="19">
        <f t="shared" si="6"/>
        <v>10</v>
      </c>
      <c r="R52" s="19"/>
      <c r="S52" s="18"/>
      <c r="T52" s="18">
        <f t="shared" si="3"/>
        <v>20</v>
      </c>
      <c r="U52" s="18">
        <f t="shared" si="4"/>
        <v>-5</v>
      </c>
      <c r="V52" s="18">
        <v>0</v>
      </c>
      <c r="W52" s="18">
        <v>0</v>
      </c>
      <c r="X52" s="18">
        <v>0</v>
      </c>
      <c r="Y52" s="18">
        <v>0</v>
      </c>
      <c r="Z52" s="18"/>
      <c r="AA52" s="18">
        <f t="shared" si="5"/>
        <v>2</v>
      </c>
    </row>
    <row r="53" spans="1:27" ht="10.95" customHeight="1">
      <c r="A53" s="16" t="s">
        <v>79</v>
      </c>
      <c r="B53" s="16" t="s">
        <v>38</v>
      </c>
      <c r="C53" s="16"/>
      <c r="D53" s="21"/>
      <c r="E53" s="17"/>
      <c r="F53" s="17">
        <v>2</v>
      </c>
      <c r="G53" s="17">
        <v>-2</v>
      </c>
      <c r="H53" s="2">
        <v>0.2</v>
      </c>
      <c r="L53" s="18">
        <f>VLOOKUP(A:A,[2]TDSheet!$A:$B,2,0)</f>
        <v>2</v>
      </c>
      <c r="M53" s="18">
        <f t="shared" si="1"/>
        <v>0</v>
      </c>
      <c r="N53" s="18">
        <v>0</v>
      </c>
      <c r="O53" s="18">
        <v>0</v>
      </c>
      <c r="P53" s="18">
        <f t="shared" si="2"/>
        <v>0.4</v>
      </c>
      <c r="Q53" s="19">
        <f t="shared" si="6"/>
        <v>10</v>
      </c>
      <c r="R53" s="19"/>
      <c r="S53" s="18"/>
      <c r="T53" s="18">
        <f t="shared" si="3"/>
        <v>20</v>
      </c>
      <c r="U53" s="18">
        <f t="shared" si="4"/>
        <v>-5</v>
      </c>
      <c r="V53" s="18">
        <v>0</v>
      </c>
      <c r="W53" s="18">
        <v>0</v>
      </c>
      <c r="X53" s="18">
        <v>0</v>
      </c>
      <c r="Y53" s="18">
        <v>0</v>
      </c>
      <c r="Z53" s="18"/>
      <c r="AA53" s="18">
        <f t="shared" si="5"/>
        <v>2</v>
      </c>
    </row>
    <row r="54" spans="1:27" ht="10.95" customHeight="1">
      <c r="A54" s="16" t="s">
        <v>80</v>
      </c>
      <c r="B54" s="16" t="s">
        <v>38</v>
      </c>
      <c r="C54" s="16">
        <f>VLOOKUP(A:A,[1]TDSheet!$A:$C,3,0)</f>
        <v>9988681</v>
      </c>
      <c r="D54" s="17">
        <v>280</v>
      </c>
      <c r="E54" s="17">
        <v>2</v>
      </c>
      <c r="F54" s="17">
        <v>93</v>
      </c>
      <c r="G54" s="17">
        <v>187</v>
      </c>
      <c r="H54" s="2">
        <f>VLOOKUP(A:A,[1]TDSheet!$A:$H,8,0)</f>
        <v>0.18</v>
      </c>
      <c r="I54" s="2">
        <f>VLOOKUP(A:A,[1]TDSheet!$A:$I,9,0)</f>
        <v>270</v>
      </c>
      <c r="L54" s="18">
        <f>VLOOKUP(A:A,[2]TDSheet!$A:$B,2,0)</f>
        <v>95</v>
      </c>
      <c r="M54" s="18">
        <f t="shared" si="1"/>
        <v>-2</v>
      </c>
      <c r="N54" s="18">
        <f>VLOOKUP(A:A,[1]TDSheet!$A:$O,15,0)</f>
        <v>0</v>
      </c>
      <c r="O54" s="18">
        <f>VLOOKUP(A:A,[1]TDSheet!$A:$Q,17,0)</f>
        <v>28</v>
      </c>
      <c r="P54" s="18">
        <f t="shared" si="2"/>
        <v>18.600000000000001</v>
      </c>
      <c r="Q54" s="19">
        <f t="shared" si="6"/>
        <v>157</v>
      </c>
      <c r="R54" s="19"/>
      <c r="S54" s="18"/>
      <c r="T54" s="18">
        <f t="shared" si="3"/>
        <v>20</v>
      </c>
      <c r="U54" s="18">
        <f t="shared" si="4"/>
        <v>10.0537634408602</v>
      </c>
      <c r="V54" s="18">
        <f>VLOOKUP(A:A,[1]TDSheet!$A:$W,23,0)</f>
        <v>8.8000000000000007</v>
      </c>
      <c r="W54" s="18">
        <f>VLOOKUP(A:A,[1]TDSheet!$A:$X,24,0)</f>
        <v>17</v>
      </c>
      <c r="X54" s="18">
        <f>VLOOKUP(A:A,[1]TDSheet!$A:$Y,25,0)</f>
        <v>13.4</v>
      </c>
      <c r="Y54" s="18">
        <f>VLOOKUP(A:A,[1]TDSheet!$A:$P,16,0)</f>
        <v>15.4</v>
      </c>
      <c r="Z54" s="18"/>
      <c r="AA54" s="18">
        <f t="shared" si="5"/>
        <v>28.26</v>
      </c>
    </row>
    <row r="55" spans="1:27" ht="22.2" customHeight="1">
      <c r="A55" s="20" t="s">
        <v>81</v>
      </c>
      <c r="B55" s="16" t="s">
        <v>36</v>
      </c>
      <c r="C55" s="16" t="str">
        <f>VLOOKUP(A:A,[1]TDSheet!$A:$C,3,0)</f>
        <v>дубль</v>
      </c>
      <c r="D55" s="17">
        <v>208.49799999999999</v>
      </c>
      <c r="E55" s="17"/>
      <c r="F55" s="17">
        <v>23.207999999999998</v>
      </c>
      <c r="G55" s="17">
        <v>185.29</v>
      </c>
      <c r="H55" s="2">
        <f>VLOOKUP(A:A,[1]TDSheet!$A:$H,8,0)</f>
        <v>1</v>
      </c>
      <c r="L55" s="18">
        <f>VLOOKUP(A:A,[2]TDSheet!$A:$B,2,0)</f>
        <v>22.8</v>
      </c>
      <c r="M55" s="18">
        <f t="shared" si="1"/>
        <v>0.40799999999999798</v>
      </c>
      <c r="N55" s="18">
        <f>VLOOKUP(A:A,[1]TDSheet!$A:$O,15,0)</f>
        <v>0</v>
      </c>
      <c r="O55" s="18">
        <f>VLOOKUP(A:A,[1]TDSheet!$A:$Q,17,0)</f>
        <v>0</v>
      </c>
      <c r="P55" s="18">
        <f t="shared" si="2"/>
        <v>4.6416000000000004</v>
      </c>
      <c r="Q55" s="19"/>
      <c r="R55" s="19"/>
      <c r="S55" s="18"/>
      <c r="T55" s="18">
        <f t="shared" si="3"/>
        <v>39.919424336435704</v>
      </c>
      <c r="U55" s="18">
        <f t="shared" si="4"/>
        <v>39.919424336435704</v>
      </c>
      <c r="V55" s="18">
        <f>VLOOKUP(A:A,[1]TDSheet!$A:$W,23,0)</f>
        <v>10.0892</v>
      </c>
      <c r="W55" s="18">
        <f>VLOOKUP(A:A,[1]TDSheet!$A:$X,24,0)</f>
        <v>5.3731999999999998</v>
      </c>
      <c r="X55" s="18">
        <f>VLOOKUP(A:A,[1]TDSheet!$A:$Y,25,0)</f>
        <v>3.3104</v>
      </c>
      <c r="Y55" s="18">
        <f>VLOOKUP(A:A,[1]TDSheet!$A:$P,16,0)</f>
        <v>1.8744000000000001</v>
      </c>
      <c r="Z55" s="18" t="str">
        <f>VLOOKUP(A:A,[1]TDSheet!$A:$Z,26,0)</f>
        <v>увел продажи</v>
      </c>
      <c r="AA55" s="18">
        <f t="shared" si="5"/>
        <v>0</v>
      </c>
    </row>
    <row r="56" spans="1:27" ht="22.2" customHeight="1">
      <c r="A56" s="20" t="s">
        <v>82</v>
      </c>
      <c r="B56" s="16" t="s">
        <v>36</v>
      </c>
      <c r="C56" s="16"/>
      <c r="D56" s="17">
        <v>169.86199999999999</v>
      </c>
      <c r="E56" s="17"/>
      <c r="F56" s="17">
        <v>9.8239999999999998</v>
      </c>
      <c r="G56" s="17">
        <v>160.03800000000001</v>
      </c>
      <c r="H56" s="2">
        <f>VLOOKUP(A:A,[1]TDSheet!$A:$H,8,0)</f>
        <v>1</v>
      </c>
      <c r="L56" s="18">
        <f>VLOOKUP(A:A,[2]TDSheet!$A:$B,2,0)</f>
        <v>10.5</v>
      </c>
      <c r="M56" s="18">
        <f t="shared" si="1"/>
        <v>-0.67600000000000005</v>
      </c>
      <c r="N56" s="18">
        <f>VLOOKUP(A:A,[1]TDSheet!$A:$O,15,0)</f>
        <v>0</v>
      </c>
      <c r="O56" s="18">
        <f>VLOOKUP(A:A,[1]TDSheet!$A:$Q,17,0)</f>
        <v>0</v>
      </c>
      <c r="P56" s="18">
        <f t="shared" si="2"/>
        <v>1.9648000000000001</v>
      </c>
      <c r="Q56" s="19"/>
      <c r="R56" s="19"/>
      <c r="S56" s="18"/>
      <c r="T56" s="18">
        <f t="shared" si="3"/>
        <v>81.452565146579801</v>
      </c>
      <c r="U56" s="18">
        <f t="shared" si="4"/>
        <v>81.452565146579801</v>
      </c>
      <c r="V56" s="18">
        <f>VLOOKUP(A:A,[1]TDSheet!$A:$W,23,0)</f>
        <v>0</v>
      </c>
      <c r="W56" s="18">
        <f>VLOOKUP(A:A,[1]TDSheet!$A:$X,24,0)</f>
        <v>0</v>
      </c>
      <c r="X56" s="18">
        <f>VLOOKUP(A:A,[1]TDSheet!$A:$Y,25,0)</f>
        <v>3.278</v>
      </c>
      <c r="Y56" s="18">
        <f>VLOOKUP(A:A,[1]TDSheet!$A:$P,16,0)</f>
        <v>5.1787999999999998</v>
      </c>
      <c r="Z56" s="18"/>
      <c r="AA56" s="18">
        <f t="shared" si="5"/>
        <v>0</v>
      </c>
    </row>
    <row r="57" spans="1:27" ht="22.2" customHeight="1">
      <c r="A57" s="20" t="s">
        <v>83</v>
      </c>
      <c r="B57" s="16" t="s">
        <v>36</v>
      </c>
      <c r="C57" s="16">
        <f>VLOOKUP(A:A,[1]TDSheet!$A:$C,3,0)</f>
        <v>8785198</v>
      </c>
      <c r="D57" s="17">
        <v>3.274</v>
      </c>
      <c r="E57" s="17">
        <v>255.69800000000001</v>
      </c>
      <c r="F57" s="17">
        <v>26.218</v>
      </c>
      <c r="G57" s="17">
        <v>232.75399999999999</v>
      </c>
      <c r="H57" s="2">
        <f>VLOOKUP(A:A,[1]TDSheet!$A:$H,8,0)</f>
        <v>1</v>
      </c>
      <c r="I57" s="2">
        <f>VLOOKUP(A:A,[1]TDSheet!$A:$I,9,0)</f>
        <v>120</v>
      </c>
      <c r="L57" s="18">
        <f>VLOOKUP(A:A,[2]TDSheet!$A:$B,2,0)</f>
        <v>26.6</v>
      </c>
      <c r="M57" s="18">
        <f t="shared" si="1"/>
        <v>-0.38200000000000101</v>
      </c>
      <c r="N57" s="18">
        <f>VLOOKUP(A:A,[1]TDSheet!$A:$O,15,0)</f>
        <v>0</v>
      </c>
      <c r="O57" s="18">
        <f>VLOOKUP(A:A,[1]TDSheet!$A:$Q,17,0)</f>
        <v>0</v>
      </c>
      <c r="P57" s="18">
        <f t="shared" si="2"/>
        <v>5.2435999999999998</v>
      </c>
      <c r="Q57" s="19"/>
      <c r="R57" s="19"/>
      <c r="S57" s="18"/>
      <c r="T57" s="18">
        <f t="shared" si="3"/>
        <v>44.388206575635103</v>
      </c>
      <c r="U57" s="18">
        <f t="shared" si="4"/>
        <v>44.388206575635103</v>
      </c>
      <c r="V57" s="18">
        <f>VLOOKUP(A:A,[1]TDSheet!$A:$W,23,0)</f>
        <v>6.5208000000000004</v>
      </c>
      <c r="W57" s="18">
        <f>VLOOKUP(A:A,[1]TDSheet!$A:$X,24,0)</f>
        <v>13.148400000000001</v>
      </c>
      <c r="X57" s="18">
        <f>VLOOKUP(A:A,[1]TDSheet!$A:$Y,25,0)</f>
        <v>11.757999999999999</v>
      </c>
      <c r="Y57" s="18">
        <f>VLOOKUP(A:A,[1]TDSheet!$A:$P,16,0)</f>
        <v>8.76</v>
      </c>
      <c r="Z57" s="18"/>
      <c r="AA57" s="18">
        <f t="shared" si="5"/>
        <v>0</v>
      </c>
    </row>
    <row r="58" spans="1:27" ht="22.2" customHeight="1">
      <c r="A58" s="20" t="s">
        <v>84</v>
      </c>
      <c r="B58" s="16" t="s">
        <v>36</v>
      </c>
      <c r="C58" s="16"/>
      <c r="D58" s="17">
        <v>170.55799999999999</v>
      </c>
      <c r="E58" s="17"/>
      <c r="F58" s="17">
        <v>12.071999999999999</v>
      </c>
      <c r="G58" s="17">
        <v>158.48599999999999</v>
      </c>
      <c r="H58" s="2">
        <f>VLOOKUP(A:A,[1]TDSheet!$A:$H,8,0)</f>
        <v>1</v>
      </c>
      <c r="L58" s="18">
        <f>VLOOKUP(A:A,[2]TDSheet!$A:$B,2,0)</f>
        <v>14</v>
      </c>
      <c r="M58" s="18">
        <f t="shared" si="1"/>
        <v>-1.9279999999999999</v>
      </c>
      <c r="N58" s="18">
        <f>VLOOKUP(A:A,[1]TDSheet!$A:$O,15,0)</f>
        <v>0</v>
      </c>
      <c r="O58" s="18">
        <f>VLOOKUP(A:A,[1]TDSheet!$A:$Q,17,0)</f>
        <v>0</v>
      </c>
      <c r="P58" s="18">
        <f t="shared" si="2"/>
        <v>2.4144000000000001</v>
      </c>
      <c r="Q58" s="19"/>
      <c r="R58" s="19"/>
      <c r="S58" s="18"/>
      <c r="T58" s="18">
        <f t="shared" si="3"/>
        <v>65.641981444665305</v>
      </c>
      <c r="U58" s="18">
        <f t="shared" si="4"/>
        <v>65.641981444665305</v>
      </c>
      <c r="V58" s="18">
        <f>VLOOKUP(A:A,[1]TDSheet!$A:$W,23,0)</f>
        <v>6.4363999999999999</v>
      </c>
      <c r="W58" s="18">
        <f>VLOOKUP(A:A,[1]TDSheet!$A:$X,24,0)</f>
        <v>0.59599999999999997</v>
      </c>
      <c r="X58" s="18">
        <f>VLOOKUP(A:A,[1]TDSheet!$A:$Y,25,0)</f>
        <v>1.24</v>
      </c>
      <c r="Y58" s="18">
        <f>VLOOKUP(A:A,[1]TDSheet!$A:$P,16,0)</f>
        <v>3.694</v>
      </c>
      <c r="Z58" s="18" t="str">
        <f>VLOOKUP(A:A,[1]TDSheet!$A:$Z,26,0)</f>
        <v>увел продажи</v>
      </c>
      <c r="AA58" s="18">
        <f t="shared" si="5"/>
        <v>0</v>
      </c>
    </row>
    <row r="59" spans="1:27" ht="10.95" customHeight="1">
      <c r="A59" s="16" t="s">
        <v>85</v>
      </c>
      <c r="B59" s="16" t="s">
        <v>38</v>
      </c>
      <c r="C59" s="16">
        <f>VLOOKUP(A:A,[1]TDSheet!$A:$C,3,0)</f>
        <v>8444187</v>
      </c>
      <c r="D59" s="17">
        <v>184</v>
      </c>
      <c r="E59" s="17">
        <v>2</v>
      </c>
      <c r="F59" s="17">
        <v>170</v>
      </c>
      <c r="G59" s="17">
        <v>-8</v>
      </c>
      <c r="H59" s="2">
        <f>VLOOKUP(A:A,[1]TDSheet!$A:$H,8,0)</f>
        <v>0.1</v>
      </c>
      <c r="I59" s="2">
        <f>VLOOKUP(A:A,[1]TDSheet!$A:$I,9,0)</f>
        <v>60</v>
      </c>
      <c r="L59" s="18">
        <f>VLOOKUP(A:A,[2]TDSheet!$A:$B,2,0)</f>
        <v>287</v>
      </c>
      <c r="M59" s="18">
        <f t="shared" si="1"/>
        <v>-117</v>
      </c>
      <c r="N59" s="18">
        <f>VLOOKUP(A:A,[1]TDSheet!$A:$O,15,0)</f>
        <v>0</v>
      </c>
      <c r="O59" s="18">
        <f>VLOOKUP(A:A,[1]TDSheet!$A:$Q,17,0)</f>
        <v>1176</v>
      </c>
      <c r="P59" s="18">
        <f t="shared" si="2"/>
        <v>34</v>
      </c>
      <c r="Q59" s="19"/>
      <c r="R59" s="19"/>
      <c r="S59" s="18"/>
      <c r="T59" s="18">
        <f t="shared" si="3"/>
        <v>34.352941176470601</v>
      </c>
      <c r="U59" s="18">
        <f t="shared" si="4"/>
        <v>-0.23529411764705899</v>
      </c>
      <c r="V59" s="18">
        <f>VLOOKUP(A:A,[1]TDSheet!$A:$W,23,0)</f>
        <v>87.8</v>
      </c>
      <c r="W59" s="18">
        <f>VLOOKUP(A:A,[1]TDSheet!$A:$X,24,0)</f>
        <v>13</v>
      </c>
      <c r="X59" s="18">
        <f>VLOOKUP(A:A,[1]TDSheet!$A:$Y,25,0)</f>
        <v>12.8</v>
      </c>
      <c r="Y59" s="18">
        <f>VLOOKUP(A:A,[1]TDSheet!$A:$P,16,0)</f>
        <v>68</v>
      </c>
      <c r="Z59" s="18" t="str">
        <f>VLOOKUP(A:A,[1]TDSheet!$A:$Z,26,0)</f>
        <v>остатки?</v>
      </c>
      <c r="AA59" s="18">
        <f t="shared" si="5"/>
        <v>0</v>
      </c>
    </row>
    <row r="60" spans="1:27" ht="10.95" customHeight="1">
      <c r="A60" s="16" t="s">
        <v>86</v>
      </c>
      <c r="B60" s="16" t="s">
        <v>38</v>
      </c>
      <c r="C60" s="16">
        <f>VLOOKUP(A:A,[1]TDSheet!$A:$C,3,0)</f>
        <v>8444194</v>
      </c>
      <c r="D60" s="17">
        <v>-18</v>
      </c>
      <c r="E60" s="17">
        <v>443</v>
      </c>
      <c r="F60" s="17">
        <v>166</v>
      </c>
      <c r="G60" s="17">
        <v>252</v>
      </c>
      <c r="H60" s="2">
        <f>VLOOKUP(A:A,[1]TDSheet!$A:$H,8,0)</f>
        <v>0.1</v>
      </c>
      <c r="I60" s="2">
        <f>VLOOKUP(A:A,[1]TDSheet!$A:$I,9,0)</f>
        <v>90</v>
      </c>
      <c r="L60" s="18">
        <f>VLOOKUP(A:A,[2]TDSheet!$A:$B,2,0)</f>
        <v>201</v>
      </c>
      <c r="M60" s="18">
        <f t="shared" si="1"/>
        <v>-35</v>
      </c>
      <c r="N60" s="18">
        <f>VLOOKUP(A:A,[1]TDSheet!$A:$O,15,0)</f>
        <v>0</v>
      </c>
      <c r="O60" s="18">
        <f>VLOOKUP(A:A,[1]TDSheet!$A:$Q,17,0)</f>
        <v>22</v>
      </c>
      <c r="P60" s="18">
        <f t="shared" si="2"/>
        <v>33.200000000000003</v>
      </c>
      <c r="Q60" s="19">
        <f t="shared" si="6"/>
        <v>390</v>
      </c>
      <c r="R60" s="19"/>
      <c r="S60" s="18"/>
      <c r="T60" s="18">
        <f t="shared" si="3"/>
        <v>20</v>
      </c>
      <c r="U60" s="18">
        <f t="shared" si="4"/>
        <v>7.5903614457831301</v>
      </c>
      <c r="V60" s="18">
        <f>VLOOKUP(A:A,[1]TDSheet!$A:$W,23,0)</f>
        <v>48.4</v>
      </c>
      <c r="W60" s="18">
        <f>VLOOKUP(A:A,[1]TDSheet!$A:$X,24,0)</f>
        <v>35.799999999999997</v>
      </c>
      <c r="X60" s="18">
        <f>VLOOKUP(A:A,[1]TDSheet!$A:$Y,25,0)</f>
        <v>30.2</v>
      </c>
      <c r="Y60" s="18">
        <f>VLOOKUP(A:A,[1]TDSheet!$A:$P,16,0)</f>
        <v>22.2</v>
      </c>
      <c r="Z60" s="18" t="str">
        <f>VLOOKUP(A:A,[1]TDSheet!$A:$Z,26,0)</f>
        <v>увел продажи</v>
      </c>
      <c r="AA60" s="18">
        <f t="shared" si="5"/>
        <v>39</v>
      </c>
    </row>
    <row r="61" spans="1:27" ht="10.95" customHeight="1">
      <c r="A61" s="16" t="s">
        <v>87</v>
      </c>
      <c r="B61" s="16" t="s">
        <v>38</v>
      </c>
      <c r="C61" s="16">
        <f>VLOOKUP(A:A,[1]TDSheet!$A:$C,3,0)</f>
        <v>8444170</v>
      </c>
      <c r="D61" s="17">
        <v>65</v>
      </c>
      <c r="E61" s="17">
        <v>1</v>
      </c>
      <c r="F61" s="17">
        <v>37</v>
      </c>
      <c r="G61" s="17">
        <v>24</v>
      </c>
      <c r="H61" s="2">
        <f>VLOOKUP(A:A,[1]TDSheet!$A:$H,8,0)</f>
        <v>0.1</v>
      </c>
      <c r="L61" s="18">
        <f>VLOOKUP(A:A,[2]TDSheet!$A:$B,2,0)</f>
        <v>38</v>
      </c>
      <c r="M61" s="18">
        <f t="shared" si="1"/>
        <v>-1</v>
      </c>
      <c r="N61" s="18">
        <f>VLOOKUP(A:A,[1]TDSheet!$A:$O,15,0)</f>
        <v>100</v>
      </c>
      <c r="O61" s="18">
        <f>VLOOKUP(A:A,[1]TDSheet!$A:$Q,17,0)</f>
        <v>0</v>
      </c>
      <c r="P61" s="18">
        <f t="shared" si="2"/>
        <v>7.4</v>
      </c>
      <c r="Q61" s="19">
        <f t="shared" si="6"/>
        <v>24</v>
      </c>
      <c r="R61" s="19"/>
      <c r="S61" s="18"/>
      <c r="T61" s="18">
        <f t="shared" si="3"/>
        <v>20</v>
      </c>
      <c r="U61" s="18">
        <f t="shared" si="4"/>
        <v>3.2432432432432399</v>
      </c>
      <c r="V61" s="18">
        <f>VLOOKUP(A:A,[1]TDSheet!$A:$W,23,0)</f>
        <v>3.2</v>
      </c>
      <c r="W61" s="18">
        <f>VLOOKUP(A:A,[1]TDSheet!$A:$X,24,0)</f>
        <v>3.8</v>
      </c>
      <c r="X61" s="18">
        <f>VLOOKUP(A:A,[1]TDSheet!$A:$Y,25,0)</f>
        <v>10.4</v>
      </c>
      <c r="Y61" s="18">
        <f>VLOOKUP(A:A,[1]TDSheet!$A:$P,16,0)</f>
        <v>7.2</v>
      </c>
      <c r="Z61" s="18" t="str">
        <f>VLOOKUP(A:A,[1]TDSheet!$A:$Z,26,0)</f>
        <v>увел продажи</v>
      </c>
      <c r="AA61" s="18">
        <f t="shared" si="5"/>
        <v>2.4</v>
      </c>
    </row>
    <row r="62" spans="1:27" ht="10.95" customHeight="1">
      <c r="A62" s="16" t="s">
        <v>88</v>
      </c>
      <c r="B62" s="16" t="s">
        <v>38</v>
      </c>
      <c r="C62" s="16">
        <f>VLOOKUP(A:A,[1]TDSheet!$A:$C,3,0)</f>
        <v>9988391</v>
      </c>
      <c r="D62" s="17">
        <v>114</v>
      </c>
      <c r="E62" s="17"/>
      <c r="F62" s="17">
        <v>28</v>
      </c>
      <c r="G62" s="17">
        <v>86</v>
      </c>
      <c r="H62" s="2">
        <f>VLOOKUP(A:A,[1]TDSheet!$A:$H,8,0)</f>
        <v>0.14000000000000001</v>
      </c>
      <c r="I62" s="2">
        <f>VLOOKUP(A:A,[1]TDSheet!$A:$I,9,0)</f>
        <v>180</v>
      </c>
      <c r="L62" s="18">
        <f>VLOOKUP(A:A,[2]TDSheet!$A:$B,2,0)</f>
        <v>28</v>
      </c>
      <c r="M62" s="18">
        <f t="shared" si="1"/>
        <v>0</v>
      </c>
      <c r="N62" s="18">
        <f>VLOOKUP(A:A,[1]TDSheet!$A:$O,15,0)</f>
        <v>0</v>
      </c>
      <c r="O62" s="18">
        <f>VLOOKUP(A:A,[1]TDSheet!$A:$Q,17,0)</f>
        <v>0</v>
      </c>
      <c r="P62" s="18">
        <f t="shared" si="2"/>
        <v>5.6</v>
      </c>
      <c r="Q62" s="19">
        <f t="shared" si="6"/>
        <v>26</v>
      </c>
      <c r="R62" s="19"/>
      <c r="S62" s="18"/>
      <c r="T62" s="18">
        <f t="shared" si="3"/>
        <v>20</v>
      </c>
      <c r="U62" s="18">
        <f t="shared" si="4"/>
        <v>15.3571428571429</v>
      </c>
      <c r="V62" s="18">
        <f>VLOOKUP(A:A,[1]TDSheet!$A:$W,23,0)</f>
        <v>2.4</v>
      </c>
      <c r="W62" s="18">
        <f>VLOOKUP(A:A,[1]TDSheet!$A:$X,24,0)</f>
        <v>7</v>
      </c>
      <c r="X62" s="18">
        <f>VLOOKUP(A:A,[1]TDSheet!$A:$Y,25,0)</f>
        <v>5.4</v>
      </c>
      <c r="Y62" s="18">
        <f>VLOOKUP(A:A,[1]TDSheet!$A:$P,16,0)</f>
        <v>1.8</v>
      </c>
      <c r="Z62" s="18"/>
      <c r="AA62" s="18">
        <f t="shared" si="5"/>
        <v>3.64</v>
      </c>
    </row>
    <row r="63" spans="1:27" ht="10.95" customHeight="1">
      <c r="A63" s="16" t="s">
        <v>89</v>
      </c>
      <c r="B63" s="16" t="s">
        <v>38</v>
      </c>
      <c r="C63" s="16">
        <f>VLOOKUP(A:A,[1]TDSheet!$A:$C,3,0)</f>
        <v>9988377</v>
      </c>
      <c r="D63" s="17">
        <v>160</v>
      </c>
      <c r="E63" s="17">
        <v>64</v>
      </c>
      <c r="F63" s="17">
        <v>53</v>
      </c>
      <c r="G63" s="17">
        <v>167</v>
      </c>
      <c r="H63" s="2">
        <f>VLOOKUP(A:A,[1]TDSheet!$A:$H,8,0)</f>
        <v>0.14000000000000001</v>
      </c>
      <c r="I63" s="2">
        <f>VLOOKUP(A:A,[1]TDSheet!$A:$I,9,0)</f>
        <v>180</v>
      </c>
      <c r="L63" s="18">
        <f>VLOOKUP(A:A,[2]TDSheet!$A:$B,2,0)</f>
        <v>57</v>
      </c>
      <c r="M63" s="18">
        <f t="shared" si="1"/>
        <v>-4</v>
      </c>
      <c r="N63" s="18">
        <f>VLOOKUP(A:A,[1]TDSheet!$A:$O,15,0)</f>
        <v>0</v>
      </c>
      <c r="O63" s="18">
        <f>VLOOKUP(A:A,[1]TDSheet!$A:$Q,17,0)</f>
        <v>0</v>
      </c>
      <c r="P63" s="18">
        <f t="shared" si="2"/>
        <v>10.6</v>
      </c>
      <c r="Q63" s="19">
        <f t="shared" si="6"/>
        <v>45</v>
      </c>
      <c r="R63" s="19"/>
      <c r="S63" s="18"/>
      <c r="T63" s="18">
        <f t="shared" si="3"/>
        <v>20</v>
      </c>
      <c r="U63" s="18">
        <f t="shared" si="4"/>
        <v>15.7547169811321</v>
      </c>
      <c r="V63" s="18">
        <f>VLOOKUP(A:A,[1]TDSheet!$A:$W,23,0)</f>
        <v>5</v>
      </c>
      <c r="W63" s="18">
        <f>VLOOKUP(A:A,[1]TDSheet!$A:$X,24,0)</f>
        <v>13.4</v>
      </c>
      <c r="X63" s="18">
        <f>VLOOKUP(A:A,[1]TDSheet!$A:$Y,25,0)</f>
        <v>6.2</v>
      </c>
      <c r="Y63" s="18">
        <f>VLOOKUP(A:A,[1]TDSheet!$A:$P,16,0)</f>
        <v>3.4</v>
      </c>
      <c r="Z63" s="18" t="str">
        <f>VLOOKUP(A:A,[1]TDSheet!$A:$Z,26,0)</f>
        <v>увел продажи</v>
      </c>
      <c r="AA63" s="18">
        <f t="shared" si="5"/>
        <v>6.3</v>
      </c>
    </row>
    <row r="64" spans="1:27" ht="10.95" customHeight="1">
      <c r="A64" s="16" t="s">
        <v>90</v>
      </c>
      <c r="B64" s="16" t="s">
        <v>38</v>
      </c>
      <c r="C64" s="16" t="str">
        <f>VLOOKUP(A:A,[1]TDSheet!$A:$C,3,0)</f>
        <v>783К798</v>
      </c>
      <c r="D64" s="17">
        <v>153</v>
      </c>
      <c r="E64" s="17">
        <v>40</v>
      </c>
      <c r="F64" s="17">
        <v>39</v>
      </c>
      <c r="G64" s="17">
        <v>154</v>
      </c>
      <c r="H64" s="2">
        <f>VLOOKUP(A:A,[1]TDSheet!$A:$H,8,0)</f>
        <v>0.2</v>
      </c>
      <c r="L64" s="18">
        <f>VLOOKUP(A:A,[2]TDSheet!$A:$B,2,0)</f>
        <v>39</v>
      </c>
      <c r="M64" s="18">
        <f t="shared" si="1"/>
        <v>0</v>
      </c>
      <c r="N64" s="18">
        <f>VLOOKUP(A:A,[1]TDSheet!$A:$O,15,0)</f>
        <v>0</v>
      </c>
      <c r="O64" s="18">
        <f>VLOOKUP(A:A,[1]TDSheet!$A:$Q,17,0)</f>
        <v>0</v>
      </c>
      <c r="P64" s="18">
        <f t="shared" si="2"/>
        <v>7.8</v>
      </c>
      <c r="Q64" s="19">
        <f t="shared" si="6"/>
        <v>2</v>
      </c>
      <c r="R64" s="19"/>
      <c r="S64" s="18"/>
      <c r="T64" s="18">
        <f t="shared" si="3"/>
        <v>20</v>
      </c>
      <c r="U64" s="18">
        <f t="shared" si="4"/>
        <v>19.743589743589698</v>
      </c>
      <c r="V64" s="18">
        <f>VLOOKUP(A:A,[1]TDSheet!$A:$W,23,0)</f>
        <v>9.1999999999999993</v>
      </c>
      <c r="W64" s="18">
        <f>VLOOKUP(A:A,[1]TDSheet!$A:$X,24,0)</f>
        <v>12</v>
      </c>
      <c r="X64" s="18">
        <f>VLOOKUP(A:A,[1]TDSheet!$A:$Y,25,0)</f>
        <v>2.2000000000000002</v>
      </c>
      <c r="Y64" s="18">
        <f>VLOOKUP(A:A,[1]TDSheet!$A:$P,16,0)</f>
        <v>7.4</v>
      </c>
      <c r="Z64" s="18" t="str">
        <f>VLOOKUP(A:A,[1]TDSheet!$A:$Z,26,0)</f>
        <v>увел продажи</v>
      </c>
      <c r="AA64" s="18">
        <f t="shared" si="5"/>
        <v>0.4</v>
      </c>
    </row>
    <row r="65" spans="1:27" ht="10.95" customHeight="1">
      <c r="A65" s="16" t="s">
        <v>91</v>
      </c>
      <c r="B65" s="16" t="s">
        <v>36</v>
      </c>
      <c r="C65" s="16" t="str">
        <f>VLOOKUP(A:A,[1]TDSheet!$A:$C,3,0)</f>
        <v>дубль798</v>
      </c>
      <c r="D65" s="17">
        <v>624.22500000000002</v>
      </c>
      <c r="E65" s="17">
        <v>3</v>
      </c>
      <c r="F65" s="17">
        <v>171.87</v>
      </c>
      <c r="G65" s="17">
        <v>452.35500000000002</v>
      </c>
      <c r="H65" s="2">
        <f>VLOOKUP(A:A,[1]TDSheet!$A:$H,8,0)</f>
        <v>1</v>
      </c>
      <c r="L65" s="18">
        <f>VLOOKUP(A:A,[2]TDSheet!$A:$B,2,0)</f>
        <v>176.8</v>
      </c>
      <c r="M65" s="18">
        <f t="shared" si="1"/>
        <v>-4.9300000000000104</v>
      </c>
      <c r="N65" s="18">
        <f>VLOOKUP(A:A,[1]TDSheet!$A:$O,15,0)</f>
        <v>0</v>
      </c>
      <c r="O65" s="18">
        <f>VLOOKUP(A:A,[1]TDSheet!$A:$Q,17,0)</f>
        <v>0</v>
      </c>
      <c r="P65" s="18">
        <f t="shared" si="2"/>
        <v>34.374000000000002</v>
      </c>
      <c r="Q65" s="19">
        <f t="shared" si="6"/>
        <v>235.125</v>
      </c>
      <c r="R65" s="19"/>
      <c r="S65" s="18"/>
      <c r="T65" s="18">
        <f t="shared" si="3"/>
        <v>20</v>
      </c>
      <c r="U65" s="18">
        <f t="shared" si="4"/>
        <v>13.1598010123931</v>
      </c>
      <c r="V65" s="18">
        <f>VLOOKUP(A:A,[1]TDSheet!$A:$W,23,0)</f>
        <v>2.7692000000000001</v>
      </c>
      <c r="W65" s="18">
        <f>VLOOKUP(A:A,[1]TDSheet!$A:$X,24,0)</f>
        <v>1.1095999999999999</v>
      </c>
      <c r="X65" s="18">
        <f>VLOOKUP(A:A,[1]TDSheet!$A:$Y,25,0)</f>
        <v>2.6507999999999998</v>
      </c>
      <c r="Y65" s="18">
        <f>VLOOKUP(A:A,[1]TDSheet!$A:$P,16,0)</f>
        <v>1.9136</v>
      </c>
      <c r="Z65" s="18" t="str">
        <f>VLOOKUP(A:A,[1]TDSheet!$A:$Z,26,0)</f>
        <v>увел продажи</v>
      </c>
      <c r="AA65" s="18">
        <f t="shared" si="5"/>
        <v>235.125</v>
      </c>
    </row>
    <row r="66" spans="1:27" ht="10.95" customHeight="1">
      <c r="A66" s="16" t="s">
        <v>92</v>
      </c>
      <c r="B66" s="16" t="s">
        <v>38</v>
      </c>
      <c r="C66" s="16" t="str">
        <f>VLOOKUP(A:A,[1]TDSheet!$A:$C,3,0)</f>
        <v>783К801</v>
      </c>
      <c r="D66" s="17">
        <v>33</v>
      </c>
      <c r="E66" s="17"/>
      <c r="F66" s="17">
        <v>27</v>
      </c>
      <c r="G66" s="17">
        <v>6</v>
      </c>
      <c r="H66" s="2">
        <f>VLOOKUP(A:A,[1]TDSheet!$A:$H,8,0)</f>
        <v>0.2</v>
      </c>
      <c r="L66" s="18">
        <f>VLOOKUP(A:A,[2]TDSheet!$A:$B,2,0)</f>
        <v>29</v>
      </c>
      <c r="M66" s="18">
        <f t="shared" si="1"/>
        <v>-2</v>
      </c>
      <c r="N66" s="18">
        <f>VLOOKUP(A:A,[1]TDSheet!$A:$O,15,0)</f>
        <v>0</v>
      </c>
      <c r="O66" s="18">
        <f>VLOOKUP(A:A,[1]TDSheet!$A:$Q,17,0)</f>
        <v>43</v>
      </c>
      <c r="P66" s="18">
        <f t="shared" si="2"/>
        <v>5.4</v>
      </c>
      <c r="Q66" s="19">
        <f t="shared" si="6"/>
        <v>59</v>
      </c>
      <c r="R66" s="19"/>
      <c r="S66" s="18"/>
      <c r="T66" s="18">
        <f t="shared" si="3"/>
        <v>20</v>
      </c>
      <c r="U66" s="18">
        <f t="shared" si="4"/>
        <v>1.1111111111111101</v>
      </c>
      <c r="V66" s="18">
        <f>VLOOKUP(A:A,[1]TDSheet!$A:$W,23,0)</f>
        <v>3.4</v>
      </c>
      <c r="W66" s="18">
        <f>VLOOKUP(A:A,[1]TDSheet!$A:$X,24,0)</f>
        <v>2.4</v>
      </c>
      <c r="X66" s="18">
        <f>VLOOKUP(A:A,[1]TDSheet!$A:$Y,25,0)</f>
        <v>2</v>
      </c>
      <c r="Y66" s="18">
        <f>VLOOKUP(A:A,[1]TDSheet!$A:$P,16,0)</f>
        <v>3.8</v>
      </c>
      <c r="Z66" s="18"/>
      <c r="AA66" s="18">
        <f t="shared" si="5"/>
        <v>11.8</v>
      </c>
    </row>
    <row r="67" spans="1:27" ht="22.2" customHeight="1">
      <c r="A67" s="16" t="s">
        <v>93</v>
      </c>
      <c r="B67" s="16" t="s">
        <v>36</v>
      </c>
      <c r="C67" s="16"/>
      <c r="D67" s="17">
        <v>48.642000000000003</v>
      </c>
      <c r="E67" s="17"/>
      <c r="F67" s="17">
        <v>33.576000000000001</v>
      </c>
      <c r="G67" s="17">
        <v>15.066000000000001</v>
      </c>
      <c r="H67" s="2">
        <f>VLOOKUP(A:A,[1]TDSheet!$A:$H,8,0)</f>
        <v>1</v>
      </c>
      <c r="L67" s="18">
        <f>VLOOKUP(A:A,[2]TDSheet!$A:$B,2,0)</f>
        <v>29.5</v>
      </c>
      <c r="M67" s="18">
        <f t="shared" si="1"/>
        <v>4.0759999999999996</v>
      </c>
      <c r="N67" s="18">
        <f>VLOOKUP(A:A,[1]TDSheet!$A:$O,15,0)</f>
        <v>100</v>
      </c>
      <c r="O67" s="18">
        <f>VLOOKUP(A:A,[1]TDSheet!$A:$Q,17,0)</f>
        <v>0</v>
      </c>
      <c r="P67" s="18">
        <f t="shared" si="2"/>
        <v>6.7152000000000003</v>
      </c>
      <c r="Q67" s="19">
        <f t="shared" si="6"/>
        <v>19.238</v>
      </c>
      <c r="R67" s="19"/>
      <c r="S67" s="18"/>
      <c r="T67" s="18">
        <f t="shared" si="3"/>
        <v>20</v>
      </c>
      <c r="U67" s="18">
        <f t="shared" si="4"/>
        <v>2.2435668334524701</v>
      </c>
      <c r="V67" s="18">
        <f>VLOOKUP(A:A,[1]TDSheet!$A:$W,23,0)</f>
        <v>6.3895999999999997</v>
      </c>
      <c r="W67" s="18">
        <f>VLOOKUP(A:A,[1]TDSheet!$A:$X,24,0)</f>
        <v>6.5612000000000004</v>
      </c>
      <c r="X67" s="18">
        <f>VLOOKUP(A:A,[1]TDSheet!$A:$Y,25,0)</f>
        <v>9.7072000000000003</v>
      </c>
      <c r="Y67" s="18">
        <f>VLOOKUP(A:A,[1]TDSheet!$A:$P,16,0)</f>
        <v>5.1492000000000004</v>
      </c>
      <c r="Z67" s="18" t="str">
        <f>VLOOKUP(A:A,[1]TDSheet!$A:$Z,26,0)</f>
        <v>увел продажи</v>
      </c>
      <c r="AA67" s="18">
        <f t="shared" si="5"/>
        <v>19.238</v>
      </c>
    </row>
    <row r="68" spans="1:27" ht="10.95" customHeight="1" outlineLevel="2">
      <c r="A68" s="22" t="s">
        <v>94</v>
      </c>
      <c r="B68" s="22"/>
      <c r="C68" s="16"/>
      <c r="D68" s="23"/>
      <c r="E68" s="2"/>
      <c r="F68" s="2">
        <v>145</v>
      </c>
      <c r="G68" s="2"/>
      <c r="H68" s="2">
        <v>0.7</v>
      </c>
      <c r="I68" s="2" t="e">
        <f>VLOOKUP(A:A,[1]TDSheet!$A:$I,9,0)</f>
        <v>#N/A</v>
      </c>
      <c r="L68" s="18">
        <f>VLOOKUP(A:A,[2]TDSheet!$A:$B,2,0)</f>
        <v>178</v>
      </c>
      <c r="M68" s="18">
        <f t="shared" si="1"/>
        <v>-33</v>
      </c>
      <c r="N68" s="24">
        <v>0</v>
      </c>
      <c r="O68" s="18">
        <v>0</v>
      </c>
      <c r="P68" s="18">
        <f t="shared" si="2"/>
        <v>29</v>
      </c>
      <c r="Q68" s="19"/>
      <c r="R68" s="19"/>
      <c r="S68" s="18"/>
      <c r="T68" s="18">
        <f t="shared" si="3"/>
        <v>0</v>
      </c>
      <c r="U68" s="18">
        <f t="shared" si="4"/>
        <v>0</v>
      </c>
      <c r="V68" s="18">
        <v>0</v>
      </c>
      <c r="W68" s="18">
        <v>0</v>
      </c>
      <c r="X68" s="18">
        <v>0</v>
      </c>
      <c r="Y68" s="18">
        <v>0</v>
      </c>
      <c r="Z68" s="18"/>
      <c r="AA68" s="18">
        <f t="shared" si="5"/>
        <v>0</v>
      </c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2026-06-23T07:21:00Z</dcterms:created>
  <dcterms:modified xsi:type="dcterms:W3CDTF">2026-06-23T09:28:33Z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D2AE6D620C974825AF209F98DE1B4D5E_13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