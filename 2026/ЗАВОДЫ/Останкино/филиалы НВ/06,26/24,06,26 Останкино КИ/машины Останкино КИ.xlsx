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6,26\24,06,26 Останкино КИ\"/>
    </mc:Choice>
  </mc:AlternateContent>
  <xr:revisionPtr revIDLastSave="0" documentId="13_ncr:1_{7F8C8EDE-5657-464B-B2D3-F2CFD7CD64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D11" i="1" l="1"/>
  <c r="D14" i="1" s="1"/>
  <c r="E11" i="1"/>
  <c r="E14" i="1" s="1"/>
  <c r="F11" i="1"/>
  <c r="F14" i="1" s="1"/>
  <c r="B11" i="1"/>
  <c r="G11" i="1" l="1"/>
</calcChain>
</file>

<file path=xl/sharedStrings.xml><?xml version="1.0" encoding="utf-8"?>
<sst xmlns="http://schemas.openxmlformats.org/spreadsheetml/2006/main" count="18" uniqueCount="18">
  <si>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</si>
  <si>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</si>
  <si>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</si>
  <si>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</si>
  <si>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</si>
  <si>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</si>
  <si>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</si>
  <si>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Поляков</t>
  </si>
  <si>
    <t>ПОЛУЧАТЕЛЬ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</si>
  <si>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</si>
  <si>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</si>
  <si>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</si>
  <si>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</si>
  <si>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</si>
  <si>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</si>
  <si>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</si>
  <si>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ВЕС КИ</t>
  </si>
  <si>
    <t>ВЕС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</si>
</sst>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1" fillId="2" borderId="6" xfId="0" applyFont="1" applyFill="1" applyBorder="1"/>
    <xf numFmtId="0" fontId="0" fillId="0" borderId="6" xfId="0" applyBorder="1"/>
    <xf numFmtId="0" fontId="1" fillId="0" borderId="6" xfId="0" applyFont="1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9" xfId="0" applyBorder="1"/>
    <xf numFmtId="0" fontId="0" fillId="0" borderId="10" xfId="0" applyBorder="1"/>
    <xf numFmtId="0" fontId="0" fillId="3" borderId="9" xfId="0" applyFill="1" applyBorder="1"/>
    <xf numFmtId="0" fontId="1" fillId="0" borderId="11" xfId="0" applyFont="1" applyBorder="1"/>
    <xf numFmtId="0" fontId="1" fillId="0" borderId="12" xfId="0" applyFont="1" applyBorder="1"/>
    <xf numFmtId="0" fontId="1" fillId="2" borderId="13" xfId="0" applyFont="1" applyFill="1" applyBorder="1"/>
    <xf numFmtId="0" fontId="1" fillId="0" borderId="14" xfId="0" applyFont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10" sqref="E10"/>
    </sheetView>
  </sheetViews>
  <sheetFormatPr defaultRowHeight="15" x14ac:dyDescent="0.25"/>
  <cols>
    <col min="1" max="1" width="19.7109375" bestFit="1" customWidth="1"/>
    <col min="2" max="3" width="9" customWidth="1"/>
    <col min="4" max="6" width="9.85546875" bestFit="1" customWidth="1"/>
    <col min="7" max="7" width="8.140625" bestFit="1" customWidth="1"/>
  </cols>
  <sheetData>
    <row r="1" spans="1:9" x14ac:dyDescent="0.25">
      <c r="A1" s="9" t="s">
        <v>8</v>
      </c>
      <c r="B1" s="16" t="s">
        <v>16</v>
      </c>
      <c r="C1" s="10" t="s">
        <v>17</v>
      </c>
      <c r="D1" s="6" t="s">
        <v>9</v>
      </c>
      <c r="E1" s="5" t="s">
        <v>10</v>
      </c>
      <c r="F1" s="5" t="s">
        <v>11</v>
      </c>
      <c r="G1" s="5" t="s">
        <v>12</v>
      </c>
    </row>
    <row r="2" spans="1:9" x14ac:dyDescent="0.25">
      <c r="A2" s="11" t="s">
        <v>0</v>
      </c>
      <c r="B2" s="2"/>
      <c r="C2" s="12"/>
      <c r="D2" s="7"/>
      <c r="E2" s="2"/>
      <c r="F2" s="2"/>
      <c r="G2" s="2">
        <f>B2+C2-D2-E2-F2</f>
        <v>0</v>
      </c>
    </row>
    <row r="3" spans="1:9" x14ac:dyDescent="0.25">
      <c r="A3" s="11" t="s">
        <v>6</v>
      </c>
      <c r="B3" s="2"/>
      <c r="C3" s="12"/>
      <c r="D3" s="7"/>
      <c r="E3" s="2"/>
      <c r="F3" s="2"/>
      <c r="G3" s="2">
        <f t="shared" ref="G3:G10" si="0">B3+C3-D3-E3-F3</f>
        <v>0</v>
      </c>
    </row>
    <row r="4" spans="1:9" x14ac:dyDescent="0.25">
      <c r="A4" s="11" t="s">
        <v>5</v>
      </c>
      <c r="B4" s="2">
        <v>1565</v>
      </c>
      <c r="C4" s="12"/>
      <c r="D4" s="7">
        <v>1565</v>
      </c>
      <c r="E4" s="2"/>
      <c r="F4" s="2"/>
      <c r="G4" s="2">
        <f t="shared" si="0"/>
        <v>0</v>
      </c>
    </row>
    <row r="5" spans="1:9" x14ac:dyDescent="0.25">
      <c r="A5" s="11" t="s">
        <v>15</v>
      </c>
      <c r="B5" s="2">
        <v>2020</v>
      </c>
      <c r="C5" s="12"/>
      <c r="D5" s="7">
        <v>2020</v>
      </c>
      <c r="E5" s="2"/>
      <c r="F5" s="2"/>
      <c r="G5" s="2">
        <f t="shared" si="0"/>
        <v>0</v>
      </c>
    </row>
    <row r="6" spans="1:9" x14ac:dyDescent="0.25">
      <c r="A6" s="11" t="s">
        <v>7</v>
      </c>
      <c r="B6" s="2"/>
      <c r="C6" s="12"/>
      <c r="D6" s="7"/>
      <c r="E6" s="2"/>
      <c r="F6" s="2"/>
      <c r="G6" s="2">
        <f t="shared" si="0"/>
        <v>0</v>
      </c>
    </row>
    <row r="7" spans="1:9" x14ac:dyDescent="0.25">
      <c r="A7" s="11" t="s">
        <v>1</v>
      </c>
      <c r="B7" s="2">
        <v>6421</v>
      </c>
      <c r="C7" s="12">
        <v>760</v>
      </c>
      <c r="D7" s="7">
        <v>3299</v>
      </c>
      <c r="E7" s="2"/>
      <c r="F7" s="2"/>
      <c r="G7" s="2">
        <f t="shared" si="0"/>
        <v>3882</v>
      </c>
      <c r="H7">
        <v>1123</v>
      </c>
      <c r="I7">
        <v>26</v>
      </c>
    </row>
    <row r="8" spans="1:9" x14ac:dyDescent="0.25">
      <c r="A8" s="13" t="s">
        <v>2</v>
      </c>
      <c r="B8" s="2"/>
      <c r="C8" s="12">
        <v>0</v>
      </c>
      <c r="D8" s="7">
        <v>5391</v>
      </c>
      <c r="E8" s="2"/>
      <c r="F8" s="2"/>
      <c r="G8" s="2">
        <f t="shared" si="0"/>
        <v>-5391</v>
      </c>
      <c r="I8">
        <v>0</v>
      </c>
    </row>
    <row r="9" spans="1:9" x14ac:dyDescent="0.25">
      <c r="A9" s="13" t="s">
        <v>3</v>
      </c>
      <c r="B9" s="2"/>
      <c r="C9" s="12">
        <v>30</v>
      </c>
      <c r="D9" s="7"/>
      <c r="E9" s="2">
        <v>8303</v>
      </c>
      <c r="F9" s="2"/>
      <c r="G9" s="2">
        <f t="shared" si="0"/>
        <v>-8273</v>
      </c>
      <c r="I9">
        <v>29</v>
      </c>
    </row>
    <row r="10" spans="1:9" x14ac:dyDescent="0.25">
      <c r="A10" s="11" t="s">
        <v>4</v>
      </c>
      <c r="B10" s="2">
        <v>6058</v>
      </c>
      <c r="C10" s="12">
        <v>560</v>
      </c>
      <c r="D10" s="7">
        <v>3094</v>
      </c>
      <c r="E10" s="2"/>
      <c r="F10" s="2"/>
      <c r="G10" s="2">
        <f t="shared" si="0"/>
        <v>3524</v>
      </c>
      <c r="H10">
        <v>1019</v>
      </c>
      <c r="I10">
        <v>0</v>
      </c>
    </row>
    <row r="11" spans="1:9" s="1" customFormat="1" ht="15.75" thickBot="1" x14ac:dyDescent="0.3">
      <c r="A11" s="14" t="s">
        <v>14</v>
      </c>
      <c r="B11" s="17">
        <f>SUM(B2:B10)</f>
        <v>16064</v>
      </c>
      <c r="C11" s="15"/>
      <c r="D11" s="8">
        <f>SUM(D2:D10)</f>
        <v>15369</v>
      </c>
      <c r="E11" s="4">
        <f>SUM(E2:E10)</f>
        <v>8303</v>
      </c>
      <c r="F11" s="4">
        <f>SUM(F2:F10)</f>
        <v>0</v>
      </c>
      <c r="G11" s="4">
        <f>SUM(G2:G10)</f>
        <v>-6258</v>
      </c>
    </row>
    <row r="12" spans="1:9" ht="15.75" thickBot="1" x14ac:dyDescent="0.3"/>
    <row r="13" spans="1:9" ht="15.75" thickBot="1" x14ac:dyDescent="0.3">
      <c r="D13" s="18" t="s">
        <v>13</v>
      </c>
      <c r="E13" s="19"/>
      <c r="F13" s="20"/>
    </row>
    <row r="14" spans="1:9" x14ac:dyDescent="0.25">
      <c r="D14" s="3">
        <f>IF(ROUNDUP(D11/500,0)&gt;32,32,ROUNDUP(D11/500,0))</f>
        <v>31</v>
      </c>
      <c r="E14" s="3">
        <f t="shared" ref="E14:F14" si="1">IF(ROUNDUP(E11/500,0)&gt;32,32,ROUNDUP(E11/500,0))</f>
        <v>17</v>
      </c>
      <c r="F14" s="3">
        <f t="shared" si="1"/>
        <v>0</v>
      </c>
    </row>
  </sheetData>
  <mergeCells count="1">
    <mergeCell ref="D13:F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2026-06-25T07:16:26Z</dcterms:modified>
</cp:coreProperties>
</file>