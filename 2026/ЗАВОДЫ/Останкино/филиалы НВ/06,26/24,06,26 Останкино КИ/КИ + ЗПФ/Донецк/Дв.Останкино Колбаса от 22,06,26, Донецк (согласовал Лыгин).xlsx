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КИ + ЗПФ\Донецк\"/>
    </mc:Choice>
  </mc:AlternateContent>
  <xr:revisionPtr revIDLastSave="0" documentId="13_ncr:1_{42EC3E92-5691-4269-B6AA-846AA2FECF2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2" i="1" l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1" i="1"/>
  <c r="AF10" i="1" s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1" i="1"/>
  <c r="T12" i="1"/>
  <c r="T13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1" i="1"/>
  <c r="T10" i="1" s="1"/>
  <c r="U10" i="1" l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100" i="1"/>
  <c r="W11" i="1"/>
  <c r="V33" i="1"/>
  <c r="V36" i="1"/>
  <c r="V47" i="1"/>
  <c r="V69" i="1"/>
  <c r="V71" i="1"/>
  <c r="V75" i="1"/>
  <c r="V92" i="1"/>
  <c r="V99" i="1"/>
  <c r="Y14" i="1" l="1"/>
  <c r="Y18" i="1"/>
  <c r="Y22" i="1"/>
  <c r="Y26" i="1"/>
  <c r="Y30" i="1"/>
  <c r="Y34" i="1"/>
  <c r="Y38" i="1"/>
  <c r="Y42" i="1"/>
  <c r="Y46" i="1"/>
  <c r="Y50" i="1"/>
  <c r="Y54" i="1"/>
  <c r="Y58" i="1"/>
  <c r="Y62" i="1"/>
  <c r="Y66" i="1"/>
  <c r="Y72" i="1"/>
  <c r="Y76" i="1"/>
  <c r="Y80" i="1"/>
  <c r="Y84" i="1"/>
  <c r="Y88" i="1"/>
  <c r="Y92" i="1"/>
  <c r="Y96" i="1"/>
  <c r="Y100" i="1"/>
  <c r="R12" i="1"/>
  <c r="R13" i="1"/>
  <c r="Y13" i="1" s="1"/>
  <c r="R14" i="1"/>
  <c r="R15" i="1"/>
  <c r="Y15" i="1" s="1"/>
  <c r="R16" i="1"/>
  <c r="Y16" i="1" s="1"/>
  <c r="R17" i="1"/>
  <c r="R18" i="1"/>
  <c r="R19" i="1"/>
  <c r="Y19" i="1" s="1"/>
  <c r="R20" i="1"/>
  <c r="Y20" i="1" s="1"/>
  <c r="R21" i="1"/>
  <c r="Y21" i="1" s="1"/>
  <c r="R22" i="1"/>
  <c r="R23" i="1"/>
  <c r="Y23" i="1" s="1"/>
  <c r="R24" i="1"/>
  <c r="Y24" i="1" s="1"/>
  <c r="R25" i="1"/>
  <c r="Y25" i="1" s="1"/>
  <c r="R26" i="1"/>
  <c r="R27" i="1"/>
  <c r="Y27" i="1" s="1"/>
  <c r="R28" i="1"/>
  <c r="Y28" i="1" s="1"/>
  <c r="R29" i="1"/>
  <c r="Y29" i="1" s="1"/>
  <c r="R30" i="1"/>
  <c r="R31" i="1"/>
  <c r="Y31" i="1" s="1"/>
  <c r="R32" i="1"/>
  <c r="R33" i="1"/>
  <c r="Y33" i="1" s="1"/>
  <c r="R34" i="1"/>
  <c r="R35" i="1"/>
  <c r="Y35" i="1" s="1"/>
  <c r="R36" i="1"/>
  <c r="R37" i="1"/>
  <c r="Y37" i="1" s="1"/>
  <c r="R38" i="1"/>
  <c r="R39" i="1"/>
  <c r="Y39" i="1" s="1"/>
  <c r="R40" i="1"/>
  <c r="Y40" i="1" s="1"/>
  <c r="R41" i="1"/>
  <c r="Y41" i="1" s="1"/>
  <c r="R42" i="1"/>
  <c r="R43" i="1"/>
  <c r="Y43" i="1" s="1"/>
  <c r="R44" i="1"/>
  <c r="Y44" i="1" s="1"/>
  <c r="R45" i="1"/>
  <c r="Y45" i="1" s="1"/>
  <c r="R46" i="1"/>
  <c r="R47" i="1"/>
  <c r="Y47" i="1" s="1"/>
  <c r="R48" i="1"/>
  <c r="Y48" i="1" s="1"/>
  <c r="R49" i="1"/>
  <c r="Y49" i="1" s="1"/>
  <c r="R50" i="1"/>
  <c r="R51" i="1"/>
  <c r="Y51" i="1" s="1"/>
  <c r="R52" i="1"/>
  <c r="Y52" i="1" s="1"/>
  <c r="R53" i="1"/>
  <c r="Y53" i="1" s="1"/>
  <c r="R54" i="1"/>
  <c r="R55" i="1"/>
  <c r="R56" i="1"/>
  <c r="Y56" i="1" s="1"/>
  <c r="R57" i="1"/>
  <c r="R58" i="1"/>
  <c r="R59" i="1"/>
  <c r="Y59" i="1" s="1"/>
  <c r="R60" i="1"/>
  <c r="R61" i="1"/>
  <c r="Y61" i="1" s="1"/>
  <c r="R62" i="1"/>
  <c r="R63" i="1"/>
  <c r="Y63" i="1" s="1"/>
  <c r="R64" i="1"/>
  <c r="Y64" i="1" s="1"/>
  <c r="R65" i="1"/>
  <c r="R66" i="1"/>
  <c r="R67" i="1"/>
  <c r="Y67" i="1" s="1"/>
  <c r="R68" i="1"/>
  <c r="Y68" i="1" s="1"/>
  <c r="R69" i="1"/>
  <c r="Y69" i="1" s="1"/>
  <c r="R70" i="1"/>
  <c r="R71" i="1"/>
  <c r="Y71" i="1" s="1"/>
  <c r="R72" i="1"/>
  <c r="R73" i="1"/>
  <c r="Y73" i="1" s="1"/>
  <c r="R74" i="1"/>
  <c r="Y74" i="1" s="1"/>
  <c r="R75" i="1"/>
  <c r="Y75" i="1" s="1"/>
  <c r="R76" i="1"/>
  <c r="R77" i="1"/>
  <c r="R78" i="1"/>
  <c r="Y78" i="1" s="1"/>
  <c r="R79" i="1"/>
  <c r="R80" i="1"/>
  <c r="R81" i="1"/>
  <c r="Y81" i="1" s="1"/>
  <c r="R82" i="1"/>
  <c r="Y82" i="1" s="1"/>
  <c r="R83" i="1"/>
  <c r="R84" i="1"/>
  <c r="R85" i="1"/>
  <c r="Y85" i="1" s="1"/>
  <c r="R86" i="1"/>
  <c r="Y86" i="1" s="1"/>
  <c r="R87" i="1"/>
  <c r="Y87" i="1" s="1"/>
  <c r="R88" i="1"/>
  <c r="R89" i="1"/>
  <c r="Y89" i="1" s="1"/>
  <c r="R90" i="1"/>
  <c r="Y90" i="1" s="1"/>
  <c r="R91" i="1"/>
  <c r="R92" i="1"/>
  <c r="R93" i="1"/>
  <c r="Y93" i="1" s="1"/>
  <c r="R94" i="1"/>
  <c r="Y94" i="1" s="1"/>
  <c r="R95" i="1"/>
  <c r="Y95" i="1" s="1"/>
  <c r="R96" i="1"/>
  <c r="R97" i="1"/>
  <c r="Y97" i="1" s="1"/>
  <c r="R98" i="1"/>
  <c r="Y98" i="1" s="1"/>
  <c r="R99" i="1"/>
  <c r="Y99" i="1" s="1"/>
  <c r="R100" i="1"/>
  <c r="R11" i="1"/>
  <c r="M74" i="1"/>
  <c r="M100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1" i="1"/>
  <c r="M11" i="1" s="1"/>
  <c r="Y91" i="1" l="1"/>
  <c r="Y83" i="1"/>
  <c r="Y79" i="1"/>
  <c r="Y65" i="1"/>
  <c r="Y57" i="1"/>
  <c r="Y17" i="1"/>
  <c r="Y60" i="1"/>
  <c r="Y36" i="1"/>
  <c r="Y32" i="1"/>
  <c r="Y12" i="1"/>
  <c r="Y11" i="1"/>
  <c r="Y77" i="1"/>
  <c r="Y55" i="1"/>
  <c r="Y7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1" i="1"/>
  <c r="P12" i="1"/>
  <c r="P13" i="1"/>
  <c r="X13" i="1" s="1"/>
  <c r="P14" i="1"/>
  <c r="P15" i="1"/>
  <c r="P16" i="1"/>
  <c r="X16" i="1" s="1"/>
  <c r="P17" i="1"/>
  <c r="P18" i="1"/>
  <c r="P19" i="1"/>
  <c r="P20" i="1"/>
  <c r="X20" i="1" s="1"/>
  <c r="P21" i="1"/>
  <c r="P22" i="1"/>
  <c r="P23" i="1"/>
  <c r="X23" i="1" s="1"/>
  <c r="P24" i="1"/>
  <c r="X24" i="1" s="1"/>
  <c r="P25" i="1"/>
  <c r="P26" i="1"/>
  <c r="P27" i="1"/>
  <c r="X27" i="1" s="1"/>
  <c r="P28" i="1"/>
  <c r="P29" i="1"/>
  <c r="P30" i="1"/>
  <c r="P31" i="1"/>
  <c r="X31" i="1" s="1"/>
  <c r="P32" i="1"/>
  <c r="P33" i="1"/>
  <c r="X33" i="1" s="1"/>
  <c r="P34" i="1"/>
  <c r="P35" i="1"/>
  <c r="X35" i="1" s="1"/>
  <c r="P36" i="1"/>
  <c r="P37" i="1"/>
  <c r="X37" i="1" s="1"/>
  <c r="P38" i="1"/>
  <c r="P39" i="1"/>
  <c r="X39" i="1" s="1"/>
  <c r="P40" i="1"/>
  <c r="X40" i="1" s="1"/>
  <c r="P41" i="1"/>
  <c r="X41" i="1" s="1"/>
  <c r="P42" i="1"/>
  <c r="P43" i="1"/>
  <c r="P44" i="1"/>
  <c r="P45" i="1"/>
  <c r="P46" i="1"/>
  <c r="P47" i="1"/>
  <c r="P48" i="1"/>
  <c r="X48" i="1" s="1"/>
  <c r="P49" i="1"/>
  <c r="P50" i="1"/>
  <c r="P51" i="1"/>
  <c r="P52" i="1"/>
  <c r="P53" i="1"/>
  <c r="P54" i="1"/>
  <c r="X54" i="1" s="1"/>
  <c r="P55" i="1"/>
  <c r="P56" i="1"/>
  <c r="X56" i="1" s="1"/>
  <c r="P57" i="1"/>
  <c r="P58" i="1"/>
  <c r="P59" i="1"/>
  <c r="X59" i="1" s="1"/>
  <c r="P60" i="1"/>
  <c r="P61" i="1"/>
  <c r="X61" i="1" s="1"/>
  <c r="P62" i="1"/>
  <c r="P63" i="1"/>
  <c r="X63" i="1" s="1"/>
  <c r="P64" i="1"/>
  <c r="X64" i="1" s="1"/>
  <c r="P65" i="1"/>
  <c r="P66" i="1"/>
  <c r="P67" i="1"/>
  <c r="P68" i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P78" i="1"/>
  <c r="X78" i="1" s="1"/>
  <c r="P79" i="1"/>
  <c r="P80" i="1"/>
  <c r="P81" i="1"/>
  <c r="P82" i="1"/>
  <c r="X82" i="1" s="1"/>
  <c r="P83" i="1"/>
  <c r="P84" i="1"/>
  <c r="X84" i="1" s="1"/>
  <c r="P85" i="1"/>
  <c r="P86" i="1"/>
  <c r="X86" i="1" s="1"/>
  <c r="P87" i="1"/>
  <c r="X87" i="1" s="1"/>
  <c r="P88" i="1"/>
  <c r="P89" i="1"/>
  <c r="X89" i="1" s="1"/>
  <c r="P90" i="1"/>
  <c r="X90" i="1" s="1"/>
  <c r="P91" i="1"/>
  <c r="P92" i="1"/>
  <c r="X92" i="1" s="1"/>
  <c r="P93" i="1"/>
  <c r="X93" i="1" s="1"/>
  <c r="P94" i="1"/>
  <c r="P95" i="1"/>
  <c r="X95" i="1" s="1"/>
  <c r="P96" i="1"/>
  <c r="P97" i="1"/>
  <c r="P98" i="1"/>
  <c r="X98" i="1" s="1"/>
  <c r="P99" i="1"/>
  <c r="X99" i="1" s="1"/>
  <c r="P100" i="1"/>
  <c r="X100" i="1" s="1"/>
  <c r="P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1" i="1"/>
  <c r="E10" i="1"/>
  <c r="F10" i="1"/>
  <c r="G10" i="1"/>
  <c r="D10" i="1"/>
  <c r="V10" i="1"/>
  <c r="R10" i="1"/>
  <c r="Q10" i="1"/>
  <c r="O10" i="1"/>
  <c r="M10" i="1"/>
  <c r="L10" i="1"/>
  <c r="X88" i="1" l="1"/>
  <c r="X60" i="1"/>
  <c r="X28" i="1"/>
  <c r="X12" i="1"/>
  <c r="X83" i="1"/>
  <c r="X51" i="1"/>
  <c r="X47" i="1"/>
  <c r="X15" i="1"/>
  <c r="X36" i="1"/>
  <c r="X96" i="1"/>
  <c r="X52" i="1"/>
  <c r="X11" i="1"/>
  <c r="X94" i="1"/>
  <c r="X62" i="1"/>
  <c r="X58" i="1"/>
  <c r="X46" i="1"/>
  <c r="X38" i="1"/>
  <c r="X30" i="1"/>
  <c r="X18" i="1"/>
  <c r="AA10" i="1"/>
  <c r="X97" i="1"/>
  <c r="X85" i="1"/>
  <c r="X81" i="1"/>
  <c r="X65" i="1"/>
  <c r="X57" i="1"/>
  <c r="X53" i="1"/>
  <c r="X49" i="1"/>
  <c r="X29" i="1"/>
  <c r="X25" i="1"/>
  <c r="X21" i="1"/>
  <c r="X17" i="1"/>
  <c r="AC10" i="1"/>
  <c r="AB10" i="1"/>
  <c r="Z10" i="1"/>
  <c r="P10" i="1"/>
  <c r="AE10" i="1" l="1"/>
  <c r="X42" i="1"/>
  <c r="X77" i="1"/>
  <c r="X67" i="1"/>
  <c r="X34" i="1"/>
  <c r="X50" i="1"/>
  <c r="X79" i="1"/>
  <c r="S10" i="1"/>
  <c r="X22" i="1"/>
  <c r="X43" i="1"/>
  <c r="X68" i="1"/>
  <c r="X26" i="1"/>
  <c r="X91" i="1"/>
  <c r="X32" i="1"/>
  <c r="X80" i="1"/>
  <c r="X45" i="1"/>
  <c r="X14" i="1"/>
  <c r="X66" i="1"/>
  <c r="X19" i="1"/>
  <c r="X44" i="1"/>
  <c r="X55" i="1"/>
</calcChain>
</file>

<file path=xl/sharedStrings.xml><?xml version="1.0" encoding="utf-8"?>
<sst xmlns="http://schemas.openxmlformats.org/spreadsheetml/2006/main" count="229" uniqueCount="131">
  <si>
    <t>Ведомость по товарам на складах</t>
  </si>
  <si>
    <t>Период: 15.06.2026 - 22.06.2026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</si>
  <si>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</si>
  <si>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</si>
  <si>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</si>
  <si>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</si>
  <si>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</si>
  <si>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</si>
  <si>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</si>
  <si>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</si>
  <si>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</si>
  <si>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</si>
  <si>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</si>
  <si>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</si>
  <si>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</si>
  <si>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</si>
  <si>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</si>
  <si>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</si>
  <si>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</si>
  <si>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</si>
  <si>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</si>
  <si>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</si>
  <si>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</si>
  <si>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</si>
  <si>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</si>
  <si>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</si>
  <si>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</si>
  <si>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</si>
  <si>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</si>
  <si>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</si>
  <si>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</si>
  <si>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</si>
  <si>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</si>
  <si>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</si>
  <si>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</si>
  <si>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</si>
  <si>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</si>
  <si>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</si>
  <si>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</si>
  <si>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</si>
  <si>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</si>
  <si>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</si>
  <si>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</si>
  <si>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</si>
  <si>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</si>
  <si>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</si>
  <si>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</si>
  <si>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</si>
  <si>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</si>
  <si>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</si>
  <si>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</si>
  <si>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</si>
  <si>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</si>
  <si>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</si>
  <si>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</si>
  <si>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</si>
  <si>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</si>
  <si>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</si>
  <si>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</si>
  <si>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</si>
  <si>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</si>
  <si>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</si>
  <si>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</si>
  <si>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</si>
  <si>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</si>
  <si>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</si>
  <si>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</si>
  <si>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</si>
  <si>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</si>
  <si>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</si>
  <si>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</si>
  <si>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</si>
  <si>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</si>
  <si>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</si>
  <si>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</si>
  <si>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</si>
  <si>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</si>
  <si>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</si>
  <si>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</si>
  <si>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</si>
  <si>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</si>
  <si>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</si>
  <si>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</si>
  <si>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</si>
  <si>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</si>
  <si>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</si>
  <si>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</si>
  <si>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</si>
  <si>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</si>
  <si>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</si>
  <si>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</si>
  <si>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</si>
  <si>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</si>
  <si>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</si>
  <si>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</si>
  <si>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</si>
  <si>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</si>
  <si>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</si>
  <si>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</si>
  <si>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</si>
  <si>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</si>
  <si>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</si>
  <si>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</si>
  <si>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</si>
  <si>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</si>
  <si>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</si>
  <si>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</si>
  <si>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</si>
  <si>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</si>
  <si>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</si>
  <si>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</si>
  <si>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</si>
  <si>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</si>
  <si>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</si>
  <si>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</si>
  <si>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</si>
  <si>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</si>
  <si>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</si>
  <si>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</si>
  <si>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</si>
  <si>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21,06,</t>
  </si>
  <si>
    <t>22,06,</t>
  </si>
  <si>
    <t>26,05,</t>
  </si>
  <si>
    <t>08,06,</t>
  </si>
  <si>
    <t>01,05,</t>
  </si>
  <si>
    <t>28,06,</t>
  </si>
  <si>
    <t>29,06,</t>
  </si>
  <si>
    <t>сз бнс</t>
  </si>
  <si>
    <t>осн скю</t>
  </si>
  <si>
    <t>заказ</t>
  </si>
  <si>
    <t>27,06,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</si>
</sst>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3" fillId="2" borderId="0" xfId="0" applyNumberFormat="1" applyFont="1" applyFill="1" applyAlignment="1">
      <alignment horizontal="left" vertical="top" wrapText="1"/>
    </xf>
    <xf numFmtId="164" fontId="4" fillId="3" borderId="0" xfId="1" applyNumberFormat="1" applyFont="1" applyFill="1"/>
    <xf numFmtId="164" fontId="4" fillId="3" borderId="0" xfId="1" applyNumberFormat="1" applyFont="1" applyFill="1" applyAlignment="1">
      <alignment wrapText="1"/>
    </xf>
    <xf numFmtId="164" fontId="5" fillId="3" borderId="0" xfId="1" applyNumberFormat="1" applyFont="1" applyFill="1" applyAlignment="1">
      <alignment wrapText="1"/>
    </xf>
    <xf numFmtId="164" fontId="4" fillId="4" borderId="0" xfId="1" applyNumberFormat="1" applyFont="1" applyFill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left" vertical="top"/>
    </xf>
    <xf numFmtId="164" fontId="3" fillId="0" borderId="0" xfId="1" applyNumberFormat="1"/>
    <xf numFmtId="164" fontId="3" fillId="5" borderId="0" xfId="1" applyNumberFormat="1" applyFill="1"/>
    <xf numFmtId="0" fontId="2" fillId="2" borderId="0" xfId="0" applyFont="1" applyFill="1" applyBorder="1" applyAlignment="1">
      <alignment horizontal="left" vertical="top"/>
    </xf>
    <xf numFmtId="165" fontId="0" fillId="0" borderId="0" xfId="0" applyNumberFormat="1" applyAlignment="1"/>
    <xf numFmtId="164" fontId="6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 applyAlignment="1"/>
    <xf numFmtId="164" fontId="0" fillId="6" borderId="0" xfId="0" applyNumberFormat="1" applyFill="1" applyAlignment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 applyAlignment="1"/>
    <xf numFmtId="164" fontId="0" fillId="7" borderId="0" xfId="0" applyNumberFormat="1" applyFill="1" applyAlignment="1"/>
    <xf numFmtId="0" fontId="0" fillId="8" borderId="2" xfId="0" applyFill="1" applyBorder="1" applyAlignment="1">
      <alignment horizontal="left" vertical="top"/>
    </xf>
    <xf numFmtId="164" fontId="0" fillId="8" borderId="2" xfId="0" applyNumberFormat="1" applyFill="1" applyBorder="1" applyAlignment="1">
      <alignment horizontal="right" vertical="top"/>
    </xf>
    <xf numFmtId="165" fontId="0" fillId="8" borderId="0" xfId="0" applyNumberFormat="1" applyFill="1" applyAlignment="1"/>
    <xf numFmtId="164" fontId="0" fillId="8" borderId="0" xfId="0" applyNumberFormat="1" applyFill="1" applyAlignment="1"/>
    <xf numFmtId="164" fontId="6" fillId="0" borderId="0" xfId="0" applyNumberFormat="1" applyFont="1" applyBorder="1" applyAlignment="1"/>
  </cellXfs>
  <cellStyles count="2">
    <cellStyle name="Arial10px" xfId="1" xr:uid="{5CAA6C9F-ACCC-474C-A609-8819DFF65FA3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0;&#1048;%20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&#1054;&#1089;&#1090;&#1072;&#1085;&#1082;&#1080;&#1085;&#1086;%20&#1050;&#1086;&#1083;&#1073;&#1072;&#1089;&#1072;%20&#1086;&#1090;%2022,06,26,%20&#1044;&#1086;&#1085;&#1077;&#1094;&#1082;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14158.376999999999</v>
          </cell>
          <cell r="E10">
            <v>25217.778999999999</v>
          </cell>
          <cell r="F10">
            <v>17621.192999999999</v>
          </cell>
          <cell r="G10">
            <v>19574.154999999999</v>
          </cell>
          <cell r="L10">
            <v>20979.152999999995</v>
          </cell>
          <cell r="M10">
            <v>-3357.9599999999996</v>
          </cell>
          <cell r="O10">
            <v>0</v>
          </cell>
          <cell r="P10">
            <v>12239.7</v>
          </cell>
          <cell r="Q10">
            <v>12239.7</v>
          </cell>
          <cell r="R10">
            <v>3524.2385999999997</v>
          </cell>
          <cell r="S10">
            <v>9953</v>
          </cell>
          <cell r="T10">
            <v>9953</v>
          </cell>
          <cell r="X10">
            <v>3147.4315999999999</v>
          </cell>
          <cell r="Y10">
            <v>3533.6551999999997</v>
          </cell>
          <cell r="Z10">
            <v>3708.2139999999995</v>
          </cell>
          <cell r="AA10">
            <v>3634.0737999999992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124</v>
          </cell>
          <cell r="E11">
            <v>700</v>
          </cell>
          <cell r="F11">
            <v>281</v>
          </cell>
          <cell r="G11">
            <v>523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330</v>
          </cell>
          <cell r="M11">
            <v>-49</v>
          </cell>
          <cell r="P11">
            <v>25</v>
          </cell>
          <cell r="Q11">
            <v>25</v>
          </cell>
          <cell r="R11">
            <v>56.2</v>
          </cell>
          <cell r="S11">
            <v>110</v>
          </cell>
          <cell r="T11">
            <v>110</v>
          </cell>
          <cell r="U11">
            <v>0</v>
          </cell>
          <cell r="V11">
            <v>12.153024911032027</v>
          </cell>
          <cell r="W11">
            <v>9.3060498220640557</v>
          </cell>
          <cell r="X11">
            <v>53.4</v>
          </cell>
          <cell r="Y11">
            <v>59.8</v>
          </cell>
          <cell r="Z11">
            <v>79.8</v>
          </cell>
          <cell r="AA11">
            <v>60.4</v>
          </cell>
          <cell r="AB11" t="str">
            <v>ТС Обжора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30.744</v>
          </cell>
          <cell r="F12">
            <v>7.8719999999999999</v>
          </cell>
          <cell r="G12">
            <v>22.356000000000002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8.6</v>
          </cell>
          <cell r="M12">
            <v>-0.72799999999999976</v>
          </cell>
          <cell r="P12">
            <v>0</v>
          </cell>
          <cell r="Q12">
            <v>0</v>
          </cell>
          <cell r="R12">
            <v>1.5744</v>
          </cell>
          <cell r="S12">
            <v>0</v>
          </cell>
          <cell r="T12">
            <v>0</v>
          </cell>
          <cell r="U12">
            <v>0</v>
          </cell>
          <cell r="V12">
            <v>14.199695121951221</v>
          </cell>
          <cell r="W12">
            <v>14.199695121951221</v>
          </cell>
          <cell r="X12">
            <v>0.2898</v>
          </cell>
          <cell r="Y12">
            <v>1.6341999999999999</v>
          </cell>
          <cell r="Z12">
            <v>1.167</v>
          </cell>
          <cell r="AA12">
            <v>0.98599999999999999</v>
          </cell>
          <cell r="AB12" t="str">
            <v>увел продажи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254</v>
          </cell>
          <cell r="E13">
            <v>152</v>
          </cell>
          <cell r="F13">
            <v>276</v>
          </cell>
          <cell r="G13">
            <v>95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351</v>
          </cell>
          <cell r="M13">
            <v>-75</v>
          </cell>
          <cell r="P13">
            <v>220</v>
          </cell>
          <cell r="Q13">
            <v>220</v>
          </cell>
          <cell r="R13">
            <v>55.2</v>
          </cell>
          <cell r="S13">
            <v>140</v>
          </cell>
          <cell r="T13">
            <v>140</v>
          </cell>
          <cell r="U13">
            <v>0</v>
          </cell>
          <cell r="V13">
            <v>12.228260869565217</v>
          </cell>
          <cell r="W13">
            <v>1.7210144927536231</v>
          </cell>
          <cell r="X13">
            <v>62.8</v>
          </cell>
          <cell r="Y13">
            <v>42.2</v>
          </cell>
          <cell r="Z13">
            <v>25.8</v>
          </cell>
          <cell r="AA13">
            <v>49.4</v>
          </cell>
          <cell r="AB13" t="str">
            <v>вместо 5706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445.63299999999998</v>
          </cell>
          <cell r="E14">
            <v>1914.03</v>
          </cell>
          <cell r="F14">
            <v>1114.2809999999999</v>
          </cell>
          <cell r="G14">
            <v>1136.1579999999999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1189.4000000000001</v>
          </cell>
          <cell r="M14">
            <v>-75.119000000000142</v>
          </cell>
          <cell r="P14">
            <v>275</v>
          </cell>
          <cell r="Q14">
            <v>275</v>
          </cell>
          <cell r="R14">
            <v>222.8562</v>
          </cell>
          <cell r="S14">
            <v>700</v>
          </cell>
          <cell r="T14">
            <v>700</v>
          </cell>
          <cell r="U14">
            <v>0</v>
          </cell>
          <cell r="V14">
            <v>10.707164530311474</v>
          </cell>
          <cell r="W14">
            <v>5.0981664409605827</v>
          </cell>
          <cell r="X14">
            <v>153.357</v>
          </cell>
          <cell r="Y14">
            <v>182.46039999999999</v>
          </cell>
          <cell r="Z14">
            <v>221.37100000000001</v>
          </cell>
          <cell r="AA14">
            <v>197.34700000000001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48.116</v>
          </cell>
          <cell r="E15">
            <v>8.9760000000000009</v>
          </cell>
          <cell r="F15">
            <v>19.358000000000001</v>
          </cell>
          <cell r="G15">
            <v>37.734000000000002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28.5</v>
          </cell>
          <cell r="M15">
            <v>-9.1419999999999995</v>
          </cell>
          <cell r="P15">
            <v>20</v>
          </cell>
          <cell r="Q15">
            <v>20</v>
          </cell>
          <cell r="R15">
            <v>3.8715999999999999</v>
          </cell>
          <cell r="S15">
            <v>0</v>
          </cell>
          <cell r="T15">
            <v>0</v>
          </cell>
          <cell r="U15">
            <v>0</v>
          </cell>
          <cell r="V15">
            <v>20.078003926025417</v>
          </cell>
          <cell r="W15">
            <v>9.7463580948445099</v>
          </cell>
          <cell r="X15">
            <v>3.7362000000000002</v>
          </cell>
          <cell r="Y15">
            <v>1.8820000000000001</v>
          </cell>
          <cell r="Z15">
            <v>0.79900000000000004</v>
          </cell>
          <cell r="AA15">
            <v>6.34</v>
          </cell>
          <cell r="AB15" t="str">
            <v>увел продажи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140.75</v>
          </cell>
          <cell r="E16">
            <v>64.540999999999997</v>
          </cell>
          <cell r="F16">
            <v>137.71100000000001</v>
          </cell>
          <cell r="G16">
            <v>57.837000000000003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141</v>
          </cell>
          <cell r="M16">
            <v>-3.2889999999999873</v>
          </cell>
          <cell r="P16">
            <v>110</v>
          </cell>
          <cell r="Q16">
            <v>110</v>
          </cell>
          <cell r="R16">
            <v>27.542200000000001</v>
          </cell>
          <cell r="S16">
            <v>75</v>
          </cell>
          <cell r="T16">
            <v>75</v>
          </cell>
          <cell r="U16">
            <v>0</v>
          </cell>
          <cell r="V16">
            <v>12.810777643035051</v>
          </cell>
          <cell r="W16">
            <v>2.0999411811692603</v>
          </cell>
          <cell r="X16">
            <v>32.6128</v>
          </cell>
          <cell r="Y16">
            <v>21.529199999999999</v>
          </cell>
          <cell r="Z16">
            <v>24.9114</v>
          </cell>
          <cell r="AA16">
            <v>29.545400000000001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52.497</v>
          </cell>
          <cell r="E17">
            <v>812.82799999999997</v>
          </cell>
          <cell r="F17">
            <v>433.911</v>
          </cell>
          <cell r="G17">
            <v>408.86900000000003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440.7</v>
          </cell>
          <cell r="M17">
            <v>-6.7889999999999873</v>
          </cell>
          <cell r="P17">
            <v>375</v>
          </cell>
          <cell r="Q17">
            <v>375</v>
          </cell>
          <cell r="R17">
            <v>86.782200000000003</v>
          </cell>
          <cell r="S17">
            <v>65</v>
          </cell>
          <cell r="T17">
            <v>65</v>
          </cell>
          <cell r="U17">
            <v>0</v>
          </cell>
          <cell r="V17">
            <v>14.102765313624223</v>
          </cell>
          <cell r="W17">
            <v>4.7114385208026528</v>
          </cell>
          <cell r="X17">
            <v>95.224999999999994</v>
          </cell>
          <cell r="Y17">
            <v>79.201400000000007</v>
          </cell>
          <cell r="Z17">
            <v>95.4328</v>
          </cell>
          <cell r="AA17">
            <v>114.4444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49</v>
          </cell>
          <cell r="E18">
            <v>48</v>
          </cell>
          <cell r="F18">
            <v>71</v>
          </cell>
          <cell r="G18">
            <v>26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79</v>
          </cell>
          <cell r="M18">
            <v>-8</v>
          </cell>
          <cell r="P18">
            <v>110</v>
          </cell>
          <cell r="Q18">
            <v>110</v>
          </cell>
          <cell r="R18">
            <v>14.2</v>
          </cell>
          <cell r="S18">
            <v>0</v>
          </cell>
          <cell r="T18">
            <v>0</v>
          </cell>
          <cell r="U18">
            <v>0</v>
          </cell>
          <cell r="V18">
            <v>17.323943661971832</v>
          </cell>
          <cell r="W18">
            <v>1.8309859154929577</v>
          </cell>
          <cell r="X18">
            <v>17.399999999999999</v>
          </cell>
          <cell r="Y18">
            <v>15.8</v>
          </cell>
          <cell r="Z18">
            <v>13.2</v>
          </cell>
          <cell r="AA18">
            <v>23</v>
          </cell>
          <cell r="AB18" t="str">
            <v>Обжора / Паллет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51.354999999999997</v>
          </cell>
          <cell r="E19">
            <v>83.194999999999993</v>
          </cell>
          <cell r="F19">
            <v>54.128</v>
          </cell>
          <cell r="G19">
            <v>74.631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54.3</v>
          </cell>
          <cell r="M19">
            <v>-0.17199999999999704</v>
          </cell>
          <cell r="P19">
            <v>25</v>
          </cell>
          <cell r="Q19">
            <v>25</v>
          </cell>
          <cell r="R19">
            <v>10.8256</v>
          </cell>
          <cell r="S19">
            <v>17.5</v>
          </cell>
          <cell r="T19">
            <v>17.5</v>
          </cell>
          <cell r="U19">
            <v>0</v>
          </cell>
          <cell r="V19">
            <v>13.129156813479161</v>
          </cell>
          <cell r="W19">
            <v>6.8939365947383981</v>
          </cell>
          <cell r="X19">
            <v>7.8748000000000005</v>
          </cell>
          <cell r="Y19">
            <v>7.8231999999999999</v>
          </cell>
          <cell r="Z19">
            <v>13.077400000000001</v>
          </cell>
          <cell r="AA19">
            <v>11.439400000000001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674</v>
          </cell>
          <cell r="E20">
            <v>20</v>
          </cell>
          <cell r="F20">
            <v>101</v>
          </cell>
          <cell r="G20">
            <v>573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122.3</v>
          </cell>
          <cell r="M20">
            <v>-21.299999999999997</v>
          </cell>
          <cell r="P20">
            <v>0</v>
          </cell>
          <cell r="Q20">
            <v>0</v>
          </cell>
          <cell r="R20">
            <v>20.2</v>
          </cell>
          <cell r="S20">
            <v>0</v>
          </cell>
          <cell r="T20">
            <v>0</v>
          </cell>
          <cell r="U20">
            <v>0</v>
          </cell>
          <cell r="V20">
            <v>28.366336633663366</v>
          </cell>
          <cell r="W20">
            <v>28.366336633663366</v>
          </cell>
          <cell r="X20">
            <v>18</v>
          </cell>
          <cell r="Y20">
            <v>61</v>
          </cell>
          <cell r="Z20">
            <v>10.4</v>
          </cell>
          <cell r="AA20">
            <v>34</v>
          </cell>
          <cell r="AB20" t="str">
            <v>Обжора / Паллет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230</v>
          </cell>
          <cell r="E21">
            <v>620</v>
          </cell>
          <cell r="F21">
            <v>374</v>
          </cell>
          <cell r="G21">
            <v>454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401</v>
          </cell>
          <cell r="M21">
            <v>-27</v>
          </cell>
          <cell r="P21">
            <v>45</v>
          </cell>
          <cell r="Q21">
            <v>45</v>
          </cell>
          <cell r="R21">
            <v>74.8</v>
          </cell>
          <cell r="S21">
            <v>270</v>
          </cell>
          <cell r="T21">
            <v>270</v>
          </cell>
          <cell r="U21">
            <v>0</v>
          </cell>
          <cell r="V21">
            <v>10.882352941176471</v>
          </cell>
          <cell r="W21">
            <v>6.0695187165775399</v>
          </cell>
          <cell r="X21">
            <v>72.400000000000006</v>
          </cell>
          <cell r="Y21">
            <v>68</v>
          </cell>
          <cell r="Z21">
            <v>82.4</v>
          </cell>
          <cell r="AA21">
            <v>65.400000000000006</v>
          </cell>
          <cell r="AB21" t="str">
            <v>Обжора / Паллет / 19,01,26 завод не отгрузил 250шт.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119.57299999999999</v>
          </cell>
          <cell r="E22">
            <v>481.32799999999997</v>
          </cell>
          <cell r="F22">
            <v>354.375</v>
          </cell>
          <cell r="G22">
            <v>241.53399999999999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356.2</v>
          </cell>
          <cell r="M22">
            <v>-1.8249999999999886</v>
          </cell>
          <cell r="P22">
            <v>150</v>
          </cell>
          <cell r="Q22">
            <v>150</v>
          </cell>
          <cell r="R22">
            <v>70.875</v>
          </cell>
          <cell r="S22">
            <v>225</v>
          </cell>
          <cell r="T22">
            <v>225</v>
          </cell>
          <cell r="U22">
            <v>0</v>
          </cell>
          <cell r="V22">
            <v>10.815294532627865</v>
          </cell>
          <cell r="W22">
            <v>3.4078871252204586</v>
          </cell>
          <cell r="X22">
            <v>48.085999999999999</v>
          </cell>
          <cell r="Y22">
            <v>56.423400000000001</v>
          </cell>
          <cell r="Z22">
            <v>67.234400000000008</v>
          </cell>
          <cell r="AA22">
            <v>65.8172</v>
          </cell>
          <cell r="AB22">
            <v>0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116.03100000000001</v>
          </cell>
          <cell r="F23">
            <v>0.49399999999999999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15.3</v>
          </cell>
          <cell r="M23">
            <v>-14.806000000000001</v>
          </cell>
          <cell r="P23">
            <v>0</v>
          </cell>
          <cell r="Q23">
            <v>0</v>
          </cell>
          <cell r="R23">
            <v>9.8799999999999999E-2</v>
          </cell>
          <cell r="S23">
            <v>12.5</v>
          </cell>
          <cell r="T23">
            <v>12.5</v>
          </cell>
          <cell r="U23">
            <v>0</v>
          </cell>
          <cell r="V23">
            <v>126.51821862348179</v>
          </cell>
          <cell r="W23">
            <v>0</v>
          </cell>
          <cell r="X23">
            <v>3.8247999999999998</v>
          </cell>
          <cell r="Y23">
            <v>2.8746</v>
          </cell>
          <cell r="Z23">
            <v>0.99380000000000002</v>
          </cell>
          <cell r="AA23">
            <v>3.379</v>
          </cell>
          <cell r="AB23">
            <v>0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431</v>
          </cell>
          <cell r="E24">
            <v>4</v>
          </cell>
          <cell r="F24">
            <v>356</v>
          </cell>
          <cell r="G24">
            <v>73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362</v>
          </cell>
          <cell r="M24">
            <v>-6</v>
          </cell>
          <cell r="P24">
            <v>170</v>
          </cell>
          <cell r="Q24">
            <v>170</v>
          </cell>
          <cell r="R24">
            <v>71.2</v>
          </cell>
          <cell r="S24">
            <v>275</v>
          </cell>
          <cell r="T24">
            <v>275</v>
          </cell>
          <cell r="U24">
            <v>0</v>
          </cell>
          <cell r="V24">
            <v>9.6629213483146064</v>
          </cell>
          <cell r="W24">
            <v>1.0252808988764044</v>
          </cell>
          <cell r="X24">
            <v>58</v>
          </cell>
          <cell r="Y24">
            <v>67.400000000000006</v>
          </cell>
          <cell r="Z24">
            <v>44</v>
          </cell>
          <cell r="AA24">
            <v>55</v>
          </cell>
          <cell r="AB24" t="str">
            <v>Обжора / Паллет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42.651000000000003</v>
          </cell>
          <cell r="E25">
            <v>409.79399999999998</v>
          </cell>
          <cell r="F25">
            <v>213.648</v>
          </cell>
          <cell r="G25">
            <v>235.44800000000001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208.9</v>
          </cell>
          <cell r="M25">
            <v>4.7479999999999905</v>
          </cell>
          <cell r="P25">
            <v>190</v>
          </cell>
          <cell r="Q25">
            <v>190</v>
          </cell>
          <cell r="R25">
            <v>42.729599999999998</v>
          </cell>
          <cell r="S25">
            <v>50</v>
          </cell>
          <cell r="T25">
            <v>50</v>
          </cell>
          <cell r="U25">
            <v>0</v>
          </cell>
          <cell r="V25">
            <v>15.573466636710851</v>
          </cell>
          <cell r="W25">
            <v>5.5101849771586915</v>
          </cell>
          <cell r="X25">
            <v>41.205799999999996</v>
          </cell>
          <cell r="Y25">
            <v>41.588000000000001</v>
          </cell>
          <cell r="Z25">
            <v>50.5824</v>
          </cell>
          <cell r="AA25">
            <v>56.876400000000004</v>
          </cell>
          <cell r="AB25">
            <v>0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218</v>
          </cell>
          <cell r="F26">
            <v>87</v>
          </cell>
          <cell r="G26">
            <v>131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87</v>
          </cell>
          <cell r="M26">
            <v>0</v>
          </cell>
          <cell r="P26">
            <v>100</v>
          </cell>
          <cell r="Q26">
            <v>100</v>
          </cell>
          <cell r="R26">
            <v>17.399999999999999</v>
          </cell>
          <cell r="S26">
            <v>30</v>
          </cell>
          <cell r="T26">
            <v>30</v>
          </cell>
          <cell r="U26">
            <v>0</v>
          </cell>
          <cell r="V26">
            <v>20.74712643678161</v>
          </cell>
          <cell r="W26">
            <v>7.528735632183909</v>
          </cell>
          <cell r="X26">
            <v>25</v>
          </cell>
          <cell r="Y26">
            <v>26.4</v>
          </cell>
          <cell r="Z26">
            <v>17.2</v>
          </cell>
          <cell r="AA26">
            <v>28.8</v>
          </cell>
          <cell r="AB26">
            <v>0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50</v>
          </cell>
          <cell r="E27">
            <v>60</v>
          </cell>
          <cell r="F27">
            <v>20</v>
          </cell>
          <cell r="G27">
            <v>90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68</v>
          </cell>
          <cell r="M27">
            <v>-48</v>
          </cell>
          <cell r="P27">
            <v>0</v>
          </cell>
          <cell r="Q27">
            <v>0</v>
          </cell>
          <cell r="R27">
            <v>4</v>
          </cell>
          <cell r="S27">
            <v>0</v>
          </cell>
          <cell r="T27">
            <v>0</v>
          </cell>
          <cell r="U27">
            <v>0</v>
          </cell>
          <cell r="V27">
            <v>22.5</v>
          </cell>
          <cell r="W27">
            <v>22.5</v>
          </cell>
          <cell r="X27">
            <v>1</v>
          </cell>
          <cell r="Y27">
            <v>1.8</v>
          </cell>
          <cell r="Z27">
            <v>9</v>
          </cell>
          <cell r="AA27">
            <v>2.8</v>
          </cell>
          <cell r="AB27" t="str">
            <v>остатки?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3.286</v>
          </cell>
          <cell r="E28">
            <v>430.35</v>
          </cell>
          <cell r="F28">
            <v>189.36699999999999</v>
          </cell>
          <cell r="G28">
            <v>240.21299999999999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215.7</v>
          </cell>
          <cell r="M28">
            <v>-26.332999999999998</v>
          </cell>
          <cell r="P28">
            <v>65</v>
          </cell>
          <cell r="Q28">
            <v>65</v>
          </cell>
          <cell r="R28">
            <v>37.873399999999997</v>
          </cell>
          <cell r="S28">
            <v>100</v>
          </cell>
          <cell r="T28">
            <v>100</v>
          </cell>
          <cell r="U28">
            <v>0</v>
          </cell>
          <cell r="V28">
            <v>12.415389164954824</v>
          </cell>
          <cell r="W28">
            <v>6.342525360807322</v>
          </cell>
          <cell r="X28">
            <v>43.532200000000003</v>
          </cell>
          <cell r="Y28">
            <v>33.980000000000004</v>
          </cell>
          <cell r="Z28">
            <v>58.654399999999995</v>
          </cell>
          <cell r="AA28">
            <v>38.292200000000001</v>
          </cell>
          <cell r="AB28" t="str">
            <v>новинка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140</v>
          </cell>
          <cell r="E29">
            <v>442</v>
          </cell>
          <cell r="F29">
            <v>359</v>
          </cell>
          <cell r="G29">
            <v>219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366</v>
          </cell>
          <cell r="M29">
            <v>-7</v>
          </cell>
          <cell r="P29">
            <v>380</v>
          </cell>
          <cell r="Q29">
            <v>380</v>
          </cell>
          <cell r="R29">
            <v>71.8</v>
          </cell>
          <cell r="S29">
            <v>0</v>
          </cell>
          <cell r="T29">
            <v>0</v>
          </cell>
          <cell r="U29">
            <v>0</v>
          </cell>
          <cell r="V29">
            <v>13.635097493036213</v>
          </cell>
          <cell r="W29">
            <v>3.0501392757660168</v>
          </cell>
          <cell r="X29">
            <v>80</v>
          </cell>
          <cell r="Y29">
            <v>72</v>
          </cell>
          <cell r="Z29">
            <v>76.599999999999994</v>
          </cell>
          <cell r="AA29">
            <v>96</v>
          </cell>
          <cell r="AB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35</v>
          </cell>
          <cell r="E30">
            <v>60</v>
          </cell>
          <cell r="F30">
            <v>66</v>
          </cell>
          <cell r="G30">
            <v>29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206</v>
          </cell>
          <cell r="M30">
            <v>-140</v>
          </cell>
          <cell r="P30">
            <v>90</v>
          </cell>
          <cell r="Q30">
            <v>90</v>
          </cell>
          <cell r="R30">
            <v>13.2</v>
          </cell>
          <cell r="S30">
            <v>25</v>
          </cell>
          <cell r="T30">
            <v>25</v>
          </cell>
          <cell r="U30">
            <v>0</v>
          </cell>
          <cell r="V30">
            <v>17.727272727272727</v>
          </cell>
          <cell r="W30">
            <v>2.1969696969696972</v>
          </cell>
          <cell r="X30">
            <v>9</v>
          </cell>
          <cell r="Y30">
            <v>19</v>
          </cell>
          <cell r="Z30">
            <v>14.8</v>
          </cell>
          <cell r="AA30">
            <v>20.2</v>
          </cell>
          <cell r="AB30" t="str">
            <v>Обжора / Паллет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129</v>
          </cell>
          <cell r="F31">
            <v>31</v>
          </cell>
          <cell r="G31">
            <v>98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186</v>
          </cell>
          <cell r="M31">
            <v>-155</v>
          </cell>
          <cell r="P31">
            <v>260</v>
          </cell>
          <cell r="Q31">
            <v>260</v>
          </cell>
          <cell r="R31">
            <v>6.2</v>
          </cell>
          <cell r="S31">
            <v>0</v>
          </cell>
          <cell r="T31">
            <v>0</v>
          </cell>
          <cell r="U31">
            <v>0</v>
          </cell>
          <cell r="V31">
            <v>99.677419354838705</v>
          </cell>
          <cell r="W31">
            <v>15.806451612903226</v>
          </cell>
          <cell r="X31">
            <v>15.2</v>
          </cell>
          <cell r="Y31">
            <v>16.600000000000001</v>
          </cell>
          <cell r="Z31">
            <v>24.6</v>
          </cell>
          <cell r="AA31">
            <v>45.6</v>
          </cell>
          <cell r="AB31" t="str">
            <v>Галактика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139.61500000000001</v>
          </cell>
          <cell r="E32">
            <v>338.93200000000002</v>
          </cell>
          <cell r="F32">
            <v>266.62400000000002</v>
          </cell>
          <cell r="G32">
            <v>205.36500000000001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265.89999999999998</v>
          </cell>
          <cell r="M32">
            <v>0.72400000000004638</v>
          </cell>
          <cell r="P32">
            <v>45</v>
          </cell>
          <cell r="Q32">
            <v>45</v>
          </cell>
          <cell r="R32">
            <v>53.324800000000003</v>
          </cell>
          <cell r="S32">
            <v>210</v>
          </cell>
          <cell r="T32">
            <v>210</v>
          </cell>
          <cell r="U32">
            <v>0</v>
          </cell>
          <cell r="V32">
            <v>9.4771100876140171</v>
          </cell>
          <cell r="W32">
            <v>3.8512099435909746</v>
          </cell>
          <cell r="X32">
            <v>44.929000000000002</v>
          </cell>
          <cell r="Y32">
            <v>25.926400000000001</v>
          </cell>
          <cell r="Z32">
            <v>46.323399999999999</v>
          </cell>
          <cell r="AA32">
            <v>37.568799999999996</v>
          </cell>
          <cell r="AB32">
            <v>0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F33">
            <v>0</v>
          </cell>
          <cell r="G33">
            <v>9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399</v>
          </cell>
          <cell r="M33">
            <v>-399</v>
          </cell>
          <cell r="P33">
            <v>20</v>
          </cell>
          <cell r="Q33">
            <v>20</v>
          </cell>
          <cell r="R33">
            <v>0</v>
          </cell>
          <cell r="S33">
            <v>30</v>
          </cell>
          <cell r="T33">
            <v>30</v>
          </cell>
          <cell r="U33">
            <v>0</v>
          </cell>
          <cell r="V33" t="e">
            <v>#DIV/0!</v>
          </cell>
          <cell r="W33" t="e">
            <v>#DIV/0!</v>
          </cell>
          <cell r="X33">
            <v>1.8</v>
          </cell>
          <cell r="Y33">
            <v>29</v>
          </cell>
          <cell r="Z33">
            <v>2.6</v>
          </cell>
          <cell r="AA33">
            <v>0.4</v>
          </cell>
          <cell r="AB33" t="str">
            <v>Обжора / Паллет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F34">
            <v>-1</v>
          </cell>
          <cell r="G34">
            <v>37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117</v>
          </cell>
          <cell r="M34">
            <v>-118</v>
          </cell>
          <cell r="P34">
            <v>30</v>
          </cell>
          <cell r="Q34">
            <v>30</v>
          </cell>
          <cell r="R34">
            <v>-0.2</v>
          </cell>
          <cell r="S34">
            <v>20</v>
          </cell>
          <cell r="T34">
            <v>20</v>
          </cell>
          <cell r="U34">
            <v>0</v>
          </cell>
          <cell r="V34">
            <v>-585</v>
          </cell>
          <cell r="W34">
            <v>-185</v>
          </cell>
          <cell r="X34">
            <v>14</v>
          </cell>
          <cell r="Y34">
            <v>5.2</v>
          </cell>
          <cell r="Z34">
            <v>-0.2</v>
          </cell>
          <cell r="AA34">
            <v>6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398.65499999999997</v>
          </cell>
          <cell r="E35">
            <v>813</v>
          </cell>
          <cell r="F35">
            <v>725</v>
          </cell>
          <cell r="G35">
            <v>463.65499999999997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752</v>
          </cell>
          <cell r="M35">
            <v>-27</v>
          </cell>
          <cell r="P35">
            <v>160</v>
          </cell>
          <cell r="Q35">
            <v>160</v>
          </cell>
          <cell r="R35">
            <v>145</v>
          </cell>
          <cell r="S35">
            <v>600</v>
          </cell>
          <cell r="T35">
            <v>600</v>
          </cell>
          <cell r="U35">
            <v>0</v>
          </cell>
          <cell r="V35">
            <v>9.5424482758620695</v>
          </cell>
          <cell r="W35">
            <v>3.1976206896551722</v>
          </cell>
          <cell r="X35">
            <v>85.2</v>
          </cell>
          <cell r="Y35">
            <v>108.6</v>
          </cell>
          <cell r="Z35">
            <v>119.2</v>
          </cell>
          <cell r="AA35">
            <v>106</v>
          </cell>
          <cell r="AB35" t="str">
            <v>Обжора / Паллет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571</v>
          </cell>
          <cell r="E36">
            <v>180</v>
          </cell>
          <cell r="F36">
            <v>659</v>
          </cell>
          <cell r="G36">
            <v>79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684</v>
          </cell>
          <cell r="M36">
            <v>-25</v>
          </cell>
          <cell r="P36">
            <v>360</v>
          </cell>
          <cell r="Q36">
            <v>360</v>
          </cell>
          <cell r="R36">
            <v>131.80000000000001</v>
          </cell>
          <cell r="S36">
            <v>500</v>
          </cell>
          <cell r="T36">
            <v>500</v>
          </cell>
          <cell r="U36">
            <v>0</v>
          </cell>
          <cell r="V36">
            <v>9.8558421851289832</v>
          </cell>
          <cell r="W36">
            <v>0.59939301972685888</v>
          </cell>
          <cell r="X36">
            <v>68.2</v>
          </cell>
          <cell r="Y36">
            <v>112.6</v>
          </cell>
          <cell r="Z36">
            <v>84</v>
          </cell>
          <cell r="AA36">
            <v>105.4</v>
          </cell>
          <cell r="AB36" t="str">
            <v>Обжора / Паллет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1262</v>
          </cell>
          <cell r="E37">
            <v>283</v>
          </cell>
          <cell r="F37">
            <v>947</v>
          </cell>
          <cell r="G37">
            <v>584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964</v>
          </cell>
          <cell r="M37">
            <v>-17</v>
          </cell>
          <cell r="P37">
            <v>200</v>
          </cell>
          <cell r="Q37">
            <v>200</v>
          </cell>
          <cell r="R37">
            <v>189.4</v>
          </cell>
          <cell r="S37">
            <v>800</v>
          </cell>
          <cell r="T37">
            <v>800</v>
          </cell>
          <cell r="U37">
            <v>0</v>
          </cell>
          <cell r="V37">
            <v>9.4192185850052788</v>
          </cell>
          <cell r="W37">
            <v>3.0834213305174232</v>
          </cell>
          <cell r="X37">
            <v>203.2</v>
          </cell>
          <cell r="Y37">
            <v>195.6</v>
          </cell>
          <cell r="Z37">
            <v>155.80000000000001</v>
          </cell>
          <cell r="AA37">
            <v>136.4</v>
          </cell>
          <cell r="AB37" t="str">
            <v>Обжора / Паллет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118</v>
          </cell>
          <cell r="E38">
            <v>197</v>
          </cell>
          <cell r="F38">
            <v>238</v>
          </cell>
          <cell r="G38">
            <v>75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248</v>
          </cell>
          <cell r="M38">
            <v>-10</v>
          </cell>
          <cell r="P38">
            <v>490</v>
          </cell>
          <cell r="Q38">
            <v>490</v>
          </cell>
          <cell r="R38">
            <v>47.6</v>
          </cell>
          <cell r="S38">
            <v>30</v>
          </cell>
          <cell r="T38">
            <v>30</v>
          </cell>
          <cell r="U38">
            <v>0</v>
          </cell>
          <cell r="V38">
            <v>22.794117647058822</v>
          </cell>
          <cell r="W38">
            <v>1.5756302521008403</v>
          </cell>
          <cell r="X38">
            <v>36</v>
          </cell>
          <cell r="Y38">
            <v>65.2</v>
          </cell>
          <cell r="Z38">
            <v>59</v>
          </cell>
          <cell r="AA38">
            <v>96.6</v>
          </cell>
          <cell r="AB38" t="str">
            <v>Обжора / Паллет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108</v>
          </cell>
          <cell r="E39">
            <v>361</v>
          </cell>
          <cell r="F39">
            <v>241</v>
          </cell>
          <cell r="G39">
            <v>227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242</v>
          </cell>
          <cell r="M39">
            <v>-1</v>
          </cell>
          <cell r="P39">
            <v>0</v>
          </cell>
          <cell r="Q39">
            <v>0</v>
          </cell>
          <cell r="R39">
            <v>48.2</v>
          </cell>
          <cell r="S39">
            <v>200</v>
          </cell>
          <cell r="T39">
            <v>200</v>
          </cell>
          <cell r="U39">
            <v>0</v>
          </cell>
          <cell r="V39">
            <v>8.8589211618257249</v>
          </cell>
          <cell r="W39">
            <v>4.7095435684647304</v>
          </cell>
          <cell r="X39">
            <v>37.200000000000003</v>
          </cell>
          <cell r="Y39">
            <v>32.799999999999997</v>
          </cell>
          <cell r="Z39">
            <v>42.6</v>
          </cell>
          <cell r="AA39">
            <v>28</v>
          </cell>
          <cell r="AB39" t="str">
            <v>Обжора / Паллет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61</v>
          </cell>
          <cell r="E40">
            <v>20</v>
          </cell>
          <cell r="F40">
            <v>66</v>
          </cell>
          <cell r="G40">
            <v>15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96</v>
          </cell>
          <cell r="M40">
            <v>-30</v>
          </cell>
          <cell r="P40">
            <v>99.700000000000017</v>
          </cell>
          <cell r="Q40">
            <v>99.700000000000017</v>
          </cell>
          <cell r="R40">
            <v>13.2</v>
          </cell>
          <cell r="S40">
            <v>35</v>
          </cell>
          <cell r="T40">
            <v>35</v>
          </cell>
          <cell r="U40">
            <v>0</v>
          </cell>
          <cell r="V40">
            <v>18.893939393939398</v>
          </cell>
          <cell r="W40">
            <v>1.1363636363636365</v>
          </cell>
          <cell r="X40">
            <v>1.4</v>
          </cell>
          <cell r="Y40">
            <v>13.4</v>
          </cell>
          <cell r="Z40">
            <v>5</v>
          </cell>
          <cell r="AA40">
            <v>20.6</v>
          </cell>
          <cell r="AB40">
            <v>0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E41">
            <v>36</v>
          </cell>
          <cell r="F41">
            <v>6</v>
          </cell>
          <cell r="G41">
            <v>23</v>
          </cell>
          <cell r="H41">
            <v>0.4</v>
          </cell>
          <cell r="I41">
            <v>0</v>
          </cell>
          <cell r="J41">
            <v>0</v>
          </cell>
          <cell r="L41">
            <v>83</v>
          </cell>
          <cell r="M41">
            <v>-77</v>
          </cell>
          <cell r="P41">
            <v>0</v>
          </cell>
          <cell r="Q41">
            <v>0</v>
          </cell>
          <cell r="R41">
            <v>1.2</v>
          </cell>
          <cell r="S41">
            <v>30</v>
          </cell>
          <cell r="T41">
            <v>30</v>
          </cell>
          <cell r="U41">
            <v>0</v>
          </cell>
          <cell r="V41">
            <v>44.166666666666671</v>
          </cell>
          <cell r="W41">
            <v>19.166666666666668</v>
          </cell>
          <cell r="X41">
            <v>11.4</v>
          </cell>
          <cell r="Y41">
            <v>7.4</v>
          </cell>
          <cell r="Z41">
            <v>1.6</v>
          </cell>
          <cell r="AA41">
            <v>0</v>
          </cell>
          <cell r="AB41" t="str">
            <v>Обжора / Паллет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434</v>
          </cell>
          <cell r="F42">
            <v>92</v>
          </cell>
          <cell r="G42">
            <v>334</v>
          </cell>
          <cell r="H42">
            <v>0.3</v>
          </cell>
          <cell r="I42" t="e">
            <v>#N/A</v>
          </cell>
          <cell r="J42" t="e">
            <v>#N/A</v>
          </cell>
          <cell r="L42">
            <v>101</v>
          </cell>
          <cell r="M42">
            <v>-9</v>
          </cell>
          <cell r="P42">
            <v>0</v>
          </cell>
          <cell r="Q42">
            <v>0</v>
          </cell>
          <cell r="R42">
            <v>18.399999999999999</v>
          </cell>
          <cell r="S42">
            <v>20</v>
          </cell>
          <cell r="T42">
            <v>20</v>
          </cell>
          <cell r="U42">
            <v>0</v>
          </cell>
          <cell r="V42">
            <v>19.239130434782609</v>
          </cell>
          <cell r="W42">
            <v>18.15217391304348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#N/A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284.82600000000002</v>
          </cell>
          <cell r="E43">
            <v>50.357999999999997</v>
          </cell>
          <cell r="F43">
            <v>74.385000000000005</v>
          </cell>
          <cell r="G43">
            <v>3.0310000000000001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128.80000000000001</v>
          </cell>
          <cell r="M43">
            <v>-54.415000000000006</v>
          </cell>
          <cell r="P43">
            <v>50</v>
          </cell>
          <cell r="Q43">
            <v>50</v>
          </cell>
          <cell r="R43">
            <v>14.877000000000001</v>
          </cell>
          <cell r="S43">
            <v>75</v>
          </cell>
          <cell r="T43">
            <v>75</v>
          </cell>
          <cell r="U43">
            <v>0</v>
          </cell>
          <cell r="V43">
            <v>11.966861598440545</v>
          </cell>
          <cell r="W43">
            <v>0.20373731263023459</v>
          </cell>
          <cell r="X43">
            <v>26.444799999999997</v>
          </cell>
          <cell r="Y43">
            <v>21.195799999999998</v>
          </cell>
          <cell r="Z43">
            <v>26.767200000000003</v>
          </cell>
          <cell r="AA43">
            <v>22.452999999999999</v>
          </cell>
          <cell r="AB43">
            <v>0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47.642000000000003</v>
          </cell>
          <cell r="E44">
            <v>160.66399999999999</v>
          </cell>
          <cell r="F44">
            <v>63.793999999999997</v>
          </cell>
          <cell r="G44">
            <v>135.21700000000001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72.522999999999996</v>
          </cell>
          <cell r="M44">
            <v>-8.7289999999999992</v>
          </cell>
          <cell r="P44">
            <v>20</v>
          </cell>
          <cell r="Q44">
            <v>20</v>
          </cell>
          <cell r="R44">
            <v>12.758799999999999</v>
          </cell>
          <cell r="S44">
            <v>10</v>
          </cell>
          <cell r="T44">
            <v>10</v>
          </cell>
          <cell r="U44">
            <v>0</v>
          </cell>
          <cell r="V44">
            <v>14.516804088158763</v>
          </cell>
          <cell r="W44">
            <v>10.597940245164123</v>
          </cell>
          <cell r="X44">
            <v>16.128999999999998</v>
          </cell>
          <cell r="Y44">
            <v>14.8492</v>
          </cell>
          <cell r="Z44">
            <v>17.9648</v>
          </cell>
          <cell r="AA44">
            <v>14.7774</v>
          </cell>
          <cell r="AB44">
            <v>0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97.769000000000005</v>
          </cell>
          <cell r="E45">
            <v>144.71799999999999</v>
          </cell>
          <cell r="F45">
            <v>103.16</v>
          </cell>
          <cell r="G45">
            <v>132.76900000000001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106.2</v>
          </cell>
          <cell r="M45">
            <v>-3.0400000000000063</v>
          </cell>
          <cell r="P45">
            <v>15</v>
          </cell>
          <cell r="Q45">
            <v>15</v>
          </cell>
          <cell r="R45">
            <v>20.631999999999998</v>
          </cell>
          <cell r="S45">
            <v>60</v>
          </cell>
          <cell r="T45">
            <v>60</v>
          </cell>
          <cell r="U45">
            <v>0</v>
          </cell>
          <cell r="V45">
            <v>10.797256688639008</v>
          </cell>
          <cell r="W45">
            <v>6.4351008142690977</v>
          </cell>
          <cell r="X45">
            <v>9.5447999999999986</v>
          </cell>
          <cell r="Y45">
            <v>17.996199999999998</v>
          </cell>
          <cell r="Z45">
            <v>17.272200000000002</v>
          </cell>
          <cell r="AA45">
            <v>10.6646</v>
          </cell>
          <cell r="AB45">
            <v>0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30.9</v>
          </cell>
          <cell r="E46">
            <v>416.58499999999998</v>
          </cell>
          <cell r="F46">
            <v>165.399</v>
          </cell>
          <cell r="G46">
            <v>276.68299999999999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173</v>
          </cell>
          <cell r="M46">
            <v>-7.6009999999999991</v>
          </cell>
          <cell r="P46">
            <v>15</v>
          </cell>
          <cell r="Q46">
            <v>15</v>
          </cell>
          <cell r="R46">
            <v>33.079799999999999</v>
          </cell>
          <cell r="S46">
            <v>85</v>
          </cell>
          <cell r="T46">
            <v>85</v>
          </cell>
          <cell r="U46">
            <v>0</v>
          </cell>
          <cell r="V46">
            <v>11.840549217347142</v>
          </cell>
          <cell r="W46">
            <v>8.3641074008911787</v>
          </cell>
          <cell r="X46">
            <v>34.709800000000001</v>
          </cell>
          <cell r="Y46">
            <v>27.579799999999999</v>
          </cell>
          <cell r="Z46">
            <v>40.957799999999999</v>
          </cell>
          <cell r="AA46">
            <v>29.583199999999998</v>
          </cell>
          <cell r="AB46">
            <v>0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328</v>
          </cell>
          <cell r="E47">
            <v>537</v>
          </cell>
          <cell r="F47">
            <v>376</v>
          </cell>
          <cell r="G47">
            <v>463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404</v>
          </cell>
          <cell r="M47">
            <v>-28</v>
          </cell>
          <cell r="P47">
            <v>3150</v>
          </cell>
          <cell r="Q47">
            <v>3150</v>
          </cell>
          <cell r="R47">
            <v>75.2</v>
          </cell>
          <cell r="S47">
            <v>1000</v>
          </cell>
          <cell r="T47">
            <v>1000</v>
          </cell>
          <cell r="U47" t="str">
            <v>листовка сеть ЮГТех</v>
          </cell>
          <cell r="V47">
            <v>103.2313829787234</v>
          </cell>
          <cell r="W47">
            <v>6.1569148936170208</v>
          </cell>
          <cell r="X47">
            <v>81.2</v>
          </cell>
          <cell r="Y47">
            <v>88.8</v>
          </cell>
          <cell r="Z47">
            <v>92.2</v>
          </cell>
          <cell r="AA47">
            <v>90.2</v>
          </cell>
          <cell r="AB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30.631</v>
          </cell>
          <cell r="E48">
            <v>12.478999999999999</v>
          </cell>
          <cell r="F48">
            <v>13.917</v>
          </cell>
          <cell r="G48">
            <v>4.6920000000000002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</v>
          </cell>
          <cell r="M48">
            <v>0.91699999999999982</v>
          </cell>
          <cell r="P48">
            <v>5</v>
          </cell>
          <cell r="Q48">
            <v>5</v>
          </cell>
          <cell r="R48">
            <v>2.7833999999999999</v>
          </cell>
          <cell r="S48">
            <v>5</v>
          </cell>
          <cell r="T48">
            <v>5</v>
          </cell>
          <cell r="U48">
            <v>0</v>
          </cell>
          <cell r="V48">
            <v>7.0748006035783577</v>
          </cell>
          <cell r="W48">
            <v>1.6857081267514551</v>
          </cell>
          <cell r="X48">
            <v>-0.17199999999999999</v>
          </cell>
          <cell r="Y48">
            <v>1.2428000000000001</v>
          </cell>
          <cell r="Z48">
            <v>1.234</v>
          </cell>
          <cell r="AA48">
            <v>3.0461999999999998</v>
          </cell>
          <cell r="AB48" t="str">
            <v>нужно увеличить продажи / 31,07,25 в уценку 25кг / 22,04,25 в уценку 25кг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1067</v>
          </cell>
          <cell r="E49">
            <v>273</v>
          </cell>
          <cell r="F49">
            <v>976</v>
          </cell>
          <cell r="G49">
            <v>298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1101</v>
          </cell>
          <cell r="M49">
            <v>-125</v>
          </cell>
          <cell r="P49">
            <v>1050</v>
          </cell>
          <cell r="Q49">
            <v>1050</v>
          </cell>
          <cell r="R49">
            <v>195.2</v>
          </cell>
          <cell r="S49">
            <v>225</v>
          </cell>
          <cell r="T49">
            <v>225</v>
          </cell>
          <cell r="U49">
            <v>0</v>
          </cell>
          <cell r="V49">
            <v>13.4375</v>
          </cell>
          <cell r="W49">
            <v>1.5266393442622952</v>
          </cell>
          <cell r="X49">
            <v>236.8</v>
          </cell>
          <cell r="Y49">
            <v>225.4</v>
          </cell>
          <cell r="Z49">
            <v>174.6</v>
          </cell>
          <cell r="AA49">
            <v>242.8</v>
          </cell>
          <cell r="AB49" t="str">
            <v>ТС Обжора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281</v>
          </cell>
          <cell r="E50">
            <v>268</v>
          </cell>
          <cell r="F50">
            <v>436</v>
          </cell>
          <cell r="G50">
            <v>101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472</v>
          </cell>
          <cell r="M50">
            <v>-36</v>
          </cell>
          <cell r="P50">
            <v>190</v>
          </cell>
          <cell r="Q50">
            <v>190</v>
          </cell>
          <cell r="R50">
            <v>87.2</v>
          </cell>
          <cell r="S50">
            <v>360</v>
          </cell>
          <cell r="T50">
            <v>360</v>
          </cell>
          <cell r="U50">
            <v>0</v>
          </cell>
          <cell r="V50">
            <v>9.6444954128440372</v>
          </cell>
          <cell r="W50">
            <v>1.1582568807339448</v>
          </cell>
          <cell r="X50">
            <v>48</v>
          </cell>
          <cell r="Y50">
            <v>70.8</v>
          </cell>
          <cell r="Z50">
            <v>61</v>
          </cell>
          <cell r="AA50">
            <v>64.599999999999994</v>
          </cell>
          <cell r="AB50" t="str">
            <v>Обжора / Паллет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163</v>
          </cell>
          <cell r="E51">
            <v>49</v>
          </cell>
          <cell r="F51">
            <v>99</v>
          </cell>
          <cell r="G51">
            <v>104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108</v>
          </cell>
          <cell r="M51">
            <v>-9</v>
          </cell>
          <cell r="P51">
            <v>25</v>
          </cell>
          <cell r="Q51">
            <v>25</v>
          </cell>
          <cell r="R51">
            <v>19.8</v>
          </cell>
          <cell r="S51">
            <v>60</v>
          </cell>
          <cell r="T51">
            <v>60</v>
          </cell>
          <cell r="U51">
            <v>0</v>
          </cell>
          <cell r="V51">
            <v>10.808080808080808</v>
          </cell>
          <cell r="W51">
            <v>5.2525252525252526</v>
          </cell>
          <cell r="X51">
            <v>16.2</v>
          </cell>
          <cell r="Y51">
            <v>24.6</v>
          </cell>
          <cell r="Z51">
            <v>19</v>
          </cell>
          <cell r="AA51">
            <v>12.2</v>
          </cell>
          <cell r="AB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87</v>
          </cell>
          <cell r="E52">
            <v>448</v>
          </cell>
          <cell r="F52">
            <v>229</v>
          </cell>
          <cell r="G52">
            <v>204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265</v>
          </cell>
          <cell r="M52">
            <v>-36</v>
          </cell>
          <cell r="P52">
            <v>25</v>
          </cell>
          <cell r="Q52">
            <v>25</v>
          </cell>
          <cell r="R52">
            <v>45.8</v>
          </cell>
          <cell r="S52">
            <v>180</v>
          </cell>
          <cell r="T52">
            <v>180</v>
          </cell>
          <cell r="U52">
            <v>0</v>
          </cell>
          <cell r="V52">
            <v>9.4759825327510931</v>
          </cell>
          <cell r="W52">
            <v>4.4541484716157207</v>
          </cell>
          <cell r="X52">
            <v>44.2</v>
          </cell>
          <cell r="Y52">
            <v>30.8</v>
          </cell>
          <cell r="Z52">
            <v>48.8</v>
          </cell>
          <cell r="AA52">
            <v>26.6</v>
          </cell>
          <cell r="AB52" t="str">
            <v>Обжора / Паллет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295</v>
          </cell>
          <cell r="E53">
            <v>37</v>
          </cell>
          <cell r="F53">
            <v>274</v>
          </cell>
          <cell r="G53">
            <v>51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281</v>
          </cell>
          <cell r="M53">
            <v>-7</v>
          </cell>
          <cell r="P53">
            <v>200</v>
          </cell>
          <cell r="Q53">
            <v>200</v>
          </cell>
          <cell r="R53">
            <v>54.8</v>
          </cell>
          <cell r="S53">
            <v>150</v>
          </cell>
          <cell r="T53">
            <v>150</v>
          </cell>
          <cell r="U53">
            <v>0</v>
          </cell>
          <cell r="V53">
            <v>10.967153284671534</v>
          </cell>
          <cell r="W53">
            <v>0.93065693430656937</v>
          </cell>
          <cell r="X53">
            <v>20.2</v>
          </cell>
          <cell r="Y53">
            <v>59.2</v>
          </cell>
          <cell r="Z53">
            <v>41.2</v>
          </cell>
          <cell r="AA53">
            <v>51.6</v>
          </cell>
          <cell r="AB53" t="str">
            <v>Обжора / Паллет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28</v>
          </cell>
          <cell r="F54">
            <v>36</v>
          </cell>
          <cell r="G54">
            <v>-8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118</v>
          </cell>
          <cell r="M54">
            <v>-82</v>
          </cell>
          <cell r="P54">
            <v>170</v>
          </cell>
          <cell r="Q54">
            <v>170</v>
          </cell>
          <cell r="R54">
            <v>7.2</v>
          </cell>
          <cell r="S54">
            <v>50</v>
          </cell>
          <cell r="T54">
            <v>50</v>
          </cell>
          <cell r="U54">
            <v>0</v>
          </cell>
          <cell r="V54">
            <v>53.055555555555557</v>
          </cell>
          <cell r="W54">
            <v>-1.1111111111111112</v>
          </cell>
          <cell r="X54">
            <v>-0.2</v>
          </cell>
          <cell r="Y54">
            <v>12.4</v>
          </cell>
          <cell r="Z54">
            <v>5.8</v>
          </cell>
          <cell r="AA54">
            <v>26.4</v>
          </cell>
          <cell r="AB54" t="str">
            <v>ТС Обжора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305</v>
          </cell>
          <cell r="E55">
            <v>308</v>
          </cell>
          <cell r="F55">
            <v>201</v>
          </cell>
          <cell r="G55">
            <v>400</v>
          </cell>
          <cell r="H55">
            <v>0.4</v>
          </cell>
          <cell r="I55" t="e">
            <v>#N/A</v>
          </cell>
          <cell r="J55" t="e">
            <v>#N/A</v>
          </cell>
          <cell r="L55">
            <v>215</v>
          </cell>
          <cell r="M55">
            <v>-14</v>
          </cell>
          <cell r="P55">
            <v>0</v>
          </cell>
          <cell r="Q55">
            <v>0</v>
          </cell>
          <cell r="R55">
            <v>40.200000000000003</v>
          </cell>
          <cell r="S55">
            <v>80</v>
          </cell>
          <cell r="T55">
            <v>80</v>
          </cell>
          <cell r="U55">
            <v>0</v>
          </cell>
          <cell r="V55">
            <v>11.940298507462686</v>
          </cell>
          <cell r="W55">
            <v>9.9502487562189046</v>
          </cell>
          <cell r="X55">
            <v>0</v>
          </cell>
          <cell r="Y55">
            <v>0</v>
          </cell>
          <cell r="Z55">
            <v>0</v>
          </cell>
          <cell r="AA55">
            <v>11.2</v>
          </cell>
          <cell r="AB55" t="e">
            <v>#N/A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30</v>
          </cell>
          <cell r="E56">
            <v>21</v>
          </cell>
          <cell r="F56">
            <v>24</v>
          </cell>
          <cell r="G56">
            <v>21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30</v>
          </cell>
          <cell r="M56">
            <v>-6</v>
          </cell>
          <cell r="P56">
            <v>160</v>
          </cell>
          <cell r="Q56">
            <v>160</v>
          </cell>
          <cell r="R56">
            <v>4.8</v>
          </cell>
          <cell r="S56">
            <v>25</v>
          </cell>
          <cell r="T56">
            <v>25</v>
          </cell>
          <cell r="U56">
            <v>0</v>
          </cell>
          <cell r="V56">
            <v>76.25</v>
          </cell>
          <cell r="W56">
            <v>4.375</v>
          </cell>
          <cell r="X56">
            <v>7.8</v>
          </cell>
          <cell r="Y56">
            <v>18</v>
          </cell>
          <cell r="Z56">
            <v>13</v>
          </cell>
          <cell r="AA56">
            <v>26.6</v>
          </cell>
          <cell r="AB56" t="str">
            <v>Обжора / Паллет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59.823999999999998</v>
          </cell>
          <cell r="E57">
            <v>469.20499999999998</v>
          </cell>
          <cell r="F57">
            <v>338.59</v>
          </cell>
          <cell r="G57">
            <v>180.94399999999999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341.9</v>
          </cell>
          <cell r="M57">
            <v>-3.3100000000000023</v>
          </cell>
          <cell r="P57">
            <v>210</v>
          </cell>
          <cell r="Q57">
            <v>210</v>
          </cell>
          <cell r="R57">
            <v>67.717999999999989</v>
          </cell>
          <cell r="S57">
            <v>200</v>
          </cell>
          <cell r="T57">
            <v>200</v>
          </cell>
          <cell r="U57">
            <v>0</v>
          </cell>
          <cell r="V57">
            <v>11.827638146430788</v>
          </cell>
          <cell r="W57">
            <v>2.6720222097522077</v>
          </cell>
          <cell r="X57">
            <v>62.043399999999998</v>
          </cell>
          <cell r="Y57">
            <v>55.942399999999999</v>
          </cell>
          <cell r="Z57">
            <v>66.259600000000006</v>
          </cell>
          <cell r="AA57">
            <v>76.353999999999999</v>
          </cell>
          <cell r="AB57">
            <v>0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D58">
            <v>11.932</v>
          </cell>
          <cell r="F58">
            <v>0.24</v>
          </cell>
          <cell r="H58">
            <v>1</v>
          </cell>
          <cell r="I58">
            <v>0</v>
          </cell>
          <cell r="J58">
            <v>0</v>
          </cell>
          <cell r="L58">
            <v>4.3</v>
          </cell>
          <cell r="M58">
            <v>-4.0599999999999996</v>
          </cell>
          <cell r="P58">
            <v>30</v>
          </cell>
          <cell r="Q58">
            <v>30</v>
          </cell>
          <cell r="R58">
            <v>4.8000000000000001E-2</v>
          </cell>
          <cell r="S58">
            <v>0</v>
          </cell>
          <cell r="T58">
            <v>0</v>
          </cell>
          <cell r="U58">
            <v>0</v>
          </cell>
          <cell r="V58">
            <v>1250</v>
          </cell>
          <cell r="W58">
            <v>0</v>
          </cell>
          <cell r="X58">
            <v>0.56779999999999997</v>
          </cell>
          <cell r="Y58">
            <v>5.4905999999999997</v>
          </cell>
          <cell r="Z58">
            <v>0.93459999999999999</v>
          </cell>
          <cell r="AA58">
            <v>5.4938000000000002</v>
          </cell>
          <cell r="AB58" t="str">
            <v>нужно увеличить продажи!!!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42</v>
          </cell>
          <cell r="F59">
            <v>17</v>
          </cell>
          <cell r="G59">
            <v>22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20</v>
          </cell>
          <cell r="M59">
            <v>-3</v>
          </cell>
          <cell r="P59">
            <v>0</v>
          </cell>
          <cell r="Q59">
            <v>0</v>
          </cell>
          <cell r="R59">
            <v>3.4</v>
          </cell>
          <cell r="S59">
            <v>25</v>
          </cell>
          <cell r="T59">
            <v>25</v>
          </cell>
          <cell r="U59">
            <v>0</v>
          </cell>
          <cell r="V59">
            <v>13.823529411764707</v>
          </cell>
          <cell r="W59">
            <v>6.4705882352941178</v>
          </cell>
          <cell r="X59">
            <v>4.2</v>
          </cell>
          <cell r="Y59">
            <v>2.4</v>
          </cell>
          <cell r="Z59">
            <v>2.2000000000000002</v>
          </cell>
          <cell r="AA59">
            <v>2</v>
          </cell>
          <cell r="AB59">
            <v>0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E60">
            <v>61</v>
          </cell>
          <cell r="F60">
            <v>13</v>
          </cell>
          <cell r="G60">
            <v>41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22</v>
          </cell>
          <cell r="M60">
            <v>-9</v>
          </cell>
          <cell r="P60">
            <v>20</v>
          </cell>
          <cell r="Q60">
            <v>20</v>
          </cell>
          <cell r="R60">
            <v>2.6</v>
          </cell>
          <cell r="S60">
            <v>0</v>
          </cell>
          <cell r="T60">
            <v>0</v>
          </cell>
          <cell r="U60">
            <v>0</v>
          </cell>
          <cell r="V60">
            <v>31.153846153846153</v>
          </cell>
          <cell r="W60">
            <v>15.769230769230768</v>
          </cell>
          <cell r="X60">
            <v>9</v>
          </cell>
          <cell r="Y60">
            <v>6.2</v>
          </cell>
          <cell r="Z60">
            <v>7.2</v>
          </cell>
          <cell r="AA60">
            <v>7.2</v>
          </cell>
          <cell r="AB60" t="str">
            <v>увел продажи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143.255</v>
          </cell>
          <cell r="E61">
            <v>3.9129999999999998</v>
          </cell>
          <cell r="F61">
            <v>21.599</v>
          </cell>
          <cell r="G61">
            <v>19.616</v>
          </cell>
          <cell r="H61">
            <v>1</v>
          </cell>
          <cell r="I61">
            <v>60</v>
          </cell>
          <cell r="J61" t="str">
            <v>новинка</v>
          </cell>
          <cell r="L61">
            <v>64.5</v>
          </cell>
          <cell r="M61">
            <v>-42.900999999999996</v>
          </cell>
          <cell r="P61">
            <v>0</v>
          </cell>
          <cell r="Q61">
            <v>0</v>
          </cell>
          <cell r="R61">
            <v>4.3197999999999999</v>
          </cell>
          <cell r="S61">
            <v>10</v>
          </cell>
          <cell r="T61">
            <v>10</v>
          </cell>
          <cell r="U61">
            <v>0</v>
          </cell>
          <cell r="V61">
            <v>6.8558729570813464</v>
          </cell>
          <cell r="W61">
            <v>4.5409509699523127</v>
          </cell>
          <cell r="X61">
            <v>4.7744</v>
          </cell>
          <cell r="Y61">
            <v>4.7548000000000004</v>
          </cell>
          <cell r="Z61">
            <v>5.0624000000000002</v>
          </cell>
          <cell r="AA61">
            <v>3.1055999999999999</v>
          </cell>
          <cell r="AB61" t="str">
            <v>увел продажи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16.484999999999999</v>
          </cell>
          <cell r="E62">
            <v>13.58</v>
          </cell>
          <cell r="F62">
            <v>14.266999999999999</v>
          </cell>
          <cell r="G62">
            <v>13.54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15.3</v>
          </cell>
          <cell r="M62">
            <v>-1.0330000000000013</v>
          </cell>
          <cell r="P62">
            <v>10</v>
          </cell>
          <cell r="Q62">
            <v>10</v>
          </cell>
          <cell r="R62">
            <v>2.8533999999999997</v>
          </cell>
          <cell r="S62">
            <v>3</v>
          </cell>
          <cell r="T62">
            <v>3</v>
          </cell>
          <cell r="U62">
            <v>0</v>
          </cell>
          <cell r="V62">
            <v>12.80577556599145</v>
          </cell>
          <cell r="W62">
            <v>4.7452162332655785</v>
          </cell>
          <cell r="X62">
            <v>2.7350000000000003</v>
          </cell>
          <cell r="Y62">
            <v>3.6310000000000002</v>
          </cell>
          <cell r="Z62">
            <v>3.617</v>
          </cell>
          <cell r="AA62">
            <v>1.8579999999999999</v>
          </cell>
          <cell r="AB62">
            <v>0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129</v>
          </cell>
          <cell r="F63">
            <v>24</v>
          </cell>
          <cell r="G63">
            <v>105</v>
          </cell>
          <cell r="H63">
            <v>0.6</v>
          </cell>
          <cell r="I63">
            <v>0</v>
          </cell>
          <cell r="J63" t="e">
            <v>#N/A</v>
          </cell>
          <cell r="L63">
            <v>31</v>
          </cell>
          <cell r="M63">
            <v>-7</v>
          </cell>
          <cell r="P63">
            <v>0</v>
          </cell>
          <cell r="Q63">
            <v>0</v>
          </cell>
          <cell r="R63">
            <v>4.8</v>
          </cell>
          <cell r="S63">
            <v>0</v>
          </cell>
          <cell r="T63">
            <v>0</v>
          </cell>
          <cell r="U63">
            <v>0</v>
          </cell>
          <cell r="V63">
            <v>21.875</v>
          </cell>
          <cell r="W63">
            <v>21.875</v>
          </cell>
          <cell r="X63">
            <v>0</v>
          </cell>
          <cell r="Y63">
            <v>10.4</v>
          </cell>
          <cell r="Z63">
            <v>6</v>
          </cell>
          <cell r="AA63">
            <v>7</v>
          </cell>
          <cell r="AB63" t="e">
            <v>#N/A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34</v>
          </cell>
          <cell r="E64">
            <v>16</v>
          </cell>
          <cell r="F64">
            <v>40</v>
          </cell>
          <cell r="G64">
            <v>8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58</v>
          </cell>
          <cell r="M64">
            <v>-18</v>
          </cell>
          <cell r="P64">
            <v>80</v>
          </cell>
          <cell r="Q64">
            <v>80</v>
          </cell>
          <cell r="R64">
            <v>8</v>
          </cell>
          <cell r="S64">
            <v>20</v>
          </cell>
          <cell r="T64">
            <v>20</v>
          </cell>
          <cell r="U64">
            <v>0</v>
          </cell>
          <cell r="V64">
            <v>23.5</v>
          </cell>
          <cell r="W64">
            <v>1</v>
          </cell>
          <cell r="X64">
            <v>9</v>
          </cell>
          <cell r="Y64">
            <v>7</v>
          </cell>
          <cell r="Z64">
            <v>8.8000000000000007</v>
          </cell>
          <cell r="AA64">
            <v>15.8</v>
          </cell>
          <cell r="AB64">
            <v>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22.059000000000001</v>
          </cell>
          <cell r="E65">
            <v>27.048999999999999</v>
          </cell>
          <cell r="F65">
            <v>15.9</v>
          </cell>
          <cell r="G65">
            <v>30.16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18.5</v>
          </cell>
          <cell r="M65">
            <v>-2.5999999999999996</v>
          </cell>
          <cell r="P65">
            <v>10</v>
          </cell>
          <cell r="Q65">
            <v>10</v>
          </cell>
          <cell r="R65">
            <v>3.18</v>
          </cell>
          <cell r="S65">
            <v>0</v>
          </cell>
          <cell r="T65">
            <v>0</v>
          </cell>
          <cell r="U65">
            <v>0</v>
          </cell>
          <cell r="V65">
            <v>15.773584905660375</v>
          </cell>
          <cell r="W65">
            <v>9.4842767295597472</v>
          </cell>
          <cell r="X65">
            <v>2.2763999999999998</v>
          </cell>
          <cell r="Y65">
            <v>3.7978000000000001</v>
          </cell>
          <cell r="Z65">
            <v>2.9956</v>
          </cell>
          <cell r="AA65">
            <v>3.9387999999999996</v>
          </cell>
          <cell r="AB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371</v>
          </cell>
          <cell r="E66">
            <v>35</v>
          </cell>
          <cell r="F66">
            <v>66</v>
          </cell>
          <cell r="G66">
            <v>337</v>
          </cell>
          <cell r="H66">
            <v>0.3</v>
          </cell>
          <cell r="I66">
            <v>0</v>
          </cell>
          <cell r="J66" t="e">
            <v>#N/A</v>
          </cell>
          <cell r="L66">
            <v>70</v>
          </cell>
          <cell r="M66">
            <v>-4</v>
          </cell>
          <cell r="P66">
            <v>0</v>
          </cell>
          <cell r="Q66">
            <v>0</v>
          </cell>
          <cell r="R66">
            <v>13.2</v>
          </cell>
          <cell r="S66">
            <v>0</v>
          </cell>
          <cell r="T66">
            <v>0</v>
          </cell>
          <cell r="U66">
            <v>0</v>
          </cell>
          <cell r="V66">
            <v>25.530303030303031</v>
          </cell>
          <cell r="W66">
            <v>25.530303030303031</v>
          </cell>
          <cell r="X66">
            <v>27.2</v>
          </cell>
          <cell r="Y66">
            <v>33.4</v>
          </cell>
          <cell r="Z66">
            <v>35.6</v>
          </cell>
          <cell r="AA66">
            <v>17.600000000000001</v>
          </cell>
          <cell r="AB66" t="e">
            <v>#N/A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1174</v>
          </cell>
          <cell r="E67">
            <v>1107</v>
          </cell>
          <cell r="F67">
            <v>1582</v>
          </cell>
          <cell r="G67">
            <v>674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1690.5</v>
          </cell>
          <cell r="M67">
            <v>-108.5</v>
          </cell>
          <cell r="P67">
            <v>600</v>
          </cell>
          <cell r="Q67">
            <v>600</v>
          </cell>
          <cell r="R67">
            <v>316.39999999999998</v>
          </cell>
          <cell r="S67">
            <v>1250</v>
          </cell>
          <cell r="T67">
            <v>1250</v>
          </cell>
          <cell r="U67">
            <v>0</v>
          </cell>
          <cell r="V67">
            <v>9.8735777496839443</v>
          </cell>
          <cell r="W67">
            <v>2.1302149178255374</v>
          </cell>
          <cell r="X67">
            <v>154.4</v>
          </cell>
          <cell r="Y67">
            <v>262.39999999999998</v>
          </cell>
          <cell r="Z67">
            <v>228</v>
          </cell>
          <cell r="AA67">
            <v>234</v>
          </cell>
          <cell r="AB67" t="str">
            <v>Обжора / Паллет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66.429000000000002</v>
          </cell>
          <cell r="E68">
            <v>1035.45</v>
          </cell>
          <cell r="F68">
            <v>258.46199999999999</v>
          </cell>
          <cell r="G68">
            <v>830.62099999999998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324.10000000000002</v>
          </cell>
          <cell r="M68">
            <v>-65.638000000000034</v>
          </cell>
          <cell r="P68">
            <v>125</v>
          </cell>
          <cell r="Q68">
            <v>125</v>
          </cell>
          <cell r="R68">
            <v>51.692399999999999</v>
          </cell>
          <cell r="S68">
            <v>50</v>
          </cell>
          <cell r="T68">
            <v>50</v>
          </cell>
          <cell r="U68">
            <v>0</v>
          </cell>
          <cell r="V68">
            <v>21.872093383166579</v>
          </cell>
          <cell r="W68">
            <v>16.068532318097052</v>
          </cell>
          <cell r="X68">
            <v>55.8</v>
          </cell>
          <cell r="Y68">
            <v>43.7624</v>
          </cell>
          <cell r="Z68">
            <v>79.599999999999994</v>
          </cell>
          <cell r="AA68">
            <v>20.056000000000001</v>
          </cell>
          <cell r="AB68">
            <v>0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7</v>
          </cell>
          <cell r="E69">
            <v>82</v>
          </cell>
          <cell r="F69">
            <v>27</v>
          </cell>
          <cell r="G69">
            <v>59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34</v>
          </cell>
          <cell r="M69">
            <v>-7</v>
          </cell>
          <cell r="P69">
            <v>40</v>
          </cell>
          <cell r="Q69">
            <v>40</v>
          </cell>
          <cell r="R69">
            <v>5.4</v>
          </cell>
          <cell r="S69">
            <v>10</v>
          </cell>
          <cell r="T69">
            <v>10</v>
          </cell>
          <cell r="U69">
            <v>0</v>
          </cell>
          <cell r="V69">
            <v>27.592592592592592</v>
          </cell>
          <cell r="W69">
            <v>10.925925925925926</v>
          </cell>
          <cell r="X69">
            <v>11.8</v>
          </cell>
          <cell r="Y69">
            <v>8</v>
          </cell>
          <cell r="Z69">
            <v>7.6</v>
          </cell>
          <cell r="AA69">
            <v>12.6</v>
          </cell>
          <cell r="AB69">
            <v>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54</v>
          </cell>
          <cell r="E70">
            <v>3215</v>
          </cell>
          <cell r="F70">
            <v>684</v>
          </cell>
          <cell r="G70">
            <v>2568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808</v>
          </cell>
          <cell r="M70">
            <v>-124</v>
          </cell>
          <cell r="P70">
            <v>0</v>
          </cell>
          <cell r="Q70">
            <v>0</v>
          </cell>
          <cell r="R70">
            <v>136.80000000000001</v>
          </cell>
          <cell r="S70">
            <v>0</v>
          </cell>
          <cell r="T70">
            <v>0</v>
          </cell>
          <cell r="U70">
            <v>0</v>
          </cell>
          <cell r="V70">
            <v>18.771929824561401</v>
          </cell>
          <cell r="W70">
            <v>18.771929824561401</v>
          </cell>
          <cell r="X70">
            <v>149.4</v>
          </cell>
          <cell r="Y70">
            <v>154.19999999999999</v>
          </cell>
          <cell r="Z70">
            <v>270.60000000000002</v>
          </cell>
          <cell r="AA70">
            <v>133</v>
          </cell>
          <cell r="AB70" t="str">
            <v>Обжора / Паллет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314.79199999999997</v>
          </cell>
          <cell r="E71">
            <v>52.905000000000001</v>
          </cell>
          <cell r="F71">
            <v>136.327</v>
          </cell>
          <cell r="G71">
            <v>143.43100000000001</v>
          </cell>
          <cell r="H71">
            <v>1</v>
          </cell>
          <cell r="I71">
            <v>0</v>
          </cell>
          <cell r="J71" t="e">
            <v>#N/A</v>
          </cell>
          <cell r="L71">
            <v>136.4</v>
          </cell>
          <cell r="M71">
            <v>-7.3000000000007503E-2</v>
          </cell>
          <cell r="P71">
            <v>0</v>
          </cell>
          <cell r="Q71">
            <v>0</v>
          </cell>
          <cell r="R71">
            <v>27.2654</v>
          </cell>
          <cell r="S71">
            <v>115</v>
          </cell>
          <cell r="T71">
            <v>115</v>
          </cell>
          <cell r="U71">
            <v>0</v>
          </cell>
          <cell r="V71">
            <v>9.4783498499930339</v>
          </cell>
          <cell r="W71">
            <v>5.2605500011002961</v>
          </cell>
          <cell r="X71">
            <v>28.627199999999998</v>
          </cell>
          <cell r="Y71">
            <v>44.2</v>
          </cell>
          <cell r="Z71">
            <v>23.9648</v>
          </cell>
          <cell r="AA71">
            <v>22.8184</v>
          </cell>
          <cell r="AB71" t="e">
            <v>#N/A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D72">
            <v>537</v>
          </cell>
          <cell r="F72">
            <v>6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144</v>
          </cell>
          <cell r="M72">
            <v>-138</v>
          </cell>
          <cell r="P72">
            <v>0</v>
          </cell>
          <cell r="Q72">
            <v>0</v>
          </cell>
          <cell r="R72">
            <v>1.2</v>
          </cell>
          <cell r="S72">
            <v>15</v>
          </cell>
          <cell r="T72">
            <v>15</v>
          </cell>
          <cell r="U72">
            <v>0</v>
          </cell>
          <cell r="V72">
            <v>12.5</v>
          </cell>
          <cell r="W72">
            <v>0</v>
          </cell>
          <cell r="X72">
            <v>58.6</v>
          </cell>
          <cell r="Y72">
            <v>7.2</v>
          </cell>
          <cell r="Z72">
            <v>39.799999999999997</v>
          </cell>
          <cell r="AA72">
            <v>10.6</v>
          </cell>
          <cell r="AB72">
            <v>0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-40</v>
          </cell>
          <cell r="E73">
            <v>160</v>
          </cell>
          <cell r="F73">
            <v>76</v>
          </cell>
          <cell r="G73">
            <v>37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101</v>
          </cell>
          <cell r="M73">
            <v>-25</v>
          </cell>
          <cell r="P73">
            <v>275</v>
          </cell>
          <cell r="Q73">
            <v>275</v>
          </cell>
          <cell r="R73">
            <v>15.2</v>
          </cell>
          <cell r="S73">
            <v>85</v>
          </cell>
          <cell r="T73">
            <v>85</v>
          </cell>
          <cell r="U73">
            <v>0</v>
          </cell>
          <cell r="V73">
            <v>44.210526315789473</v>
          </cell>
          <cell r="W73">
            <v>2.4342105263157894</v>
          </cell>
          <cell r="X73">
            <v>19.399999999999999</v>
          </cell>
          <cell r="Y73">
            <v>28</v>
          </cell>
          <cell r="Z73">
            <v>25.8</v>
          </cell>
          <cell r="AA73">
            <v>49.4</v>
          </cell>
          <cell r="AB73" t="str">
            <v>Обжора / Паллет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F74">
            <v>-0.84499999999999997</v>
          </cell>
          <cell r="G74">
            <v>-4.2999999999999997E-2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1.6</v>
          </cell>
          <cell r="M74">
            <v>-2.4450000000000003</v>
          </cell>
          <cell r="P74">
            <v>0</v>
          </cell>
          <cell r="Q74">
            <v>0</v>
          </cell>
          <cell r="R74">
            <v>-0.16899999999999998</v>
          </cell>
          <cell r="S74">
            <v>8</v>
          </cell>
          <cell r="T74">
            <v>8</v>
          </cell>
          <cell r="U74">
            <v>0</v>
          </cell>
          <cell r="V74">
            <v>-47.082840236686394</v>
          </cell>
          <cell r="W74">
            <v>0.25443786982248523</v>
          </cell>
          <cell r="X74">
            <v>1.345</v>
          </cell>
          <cell r="Y74">
            <v>2.0225999999999997</v>
          </cell>
          <cell r="Z74">
            <v>3.5729999999999995</v>
          </cell>
          <cell r="AA74">
            <v>0.34140000000000004</v>
          </cell>
          <cell r="AB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40</v>
          </cell>
          <cell r="F75">
            <v>26</v>
          </cell>
          <cell r="G75">
            <v>12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30</v>
          </cell>
          <cell r="M75">
            <v>-4</v>
          </cell>
          <cell r="P75">
            <v>15</v>
          </cell>
          <cell r="Q75">
            <v>15</v>
          </cell>
          <cell r="R75">
            <v>5.2</v>
          </cell>
          <cell r="S75">
            <v>0</v>
          </cell>
          <cell r="T75">
            <v>0</v>
          </cell>
          <cell r="U75">
            <v>0</v>
          </cell>
          <cell r="V75">
            <v>8.0769230769230766</v>
          </cell>
          <cell r="W75">
            <v>2.3076923076923075</v>
          </cell>
          <cell r="X75">
            <v>2.6</v>
          </cell>
          <cell r="Y75">
            <v>2.4</v>
          </cell>
          <cell r="Z75">
            <v>2.4</v>
          </cell>
          <cell r="AA75">
            <v>1.6</v>
          </cell>
          <cell r="AB75" t="str">
            <v>нужно увеличить продажи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527</v>
          </cell>
          <cell r="E76">
            <v>695</v>
          </cell>
          <cell r="F76">
            <v>695</v>
          </cell>
          <cell r="G76">
            <v>499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728</v>
          </cell>
          <cell r="M76">
            <v>-33</v>
          </cell>
          <cell r="P76">
            <v>550</v>
          </cell>
          <cell r="Q76">
            <v>550</v>
          </cell>
          <cell r="R76">
            <v>139</v>
          </cell>
          <cell r="S76">
            <v>195</v>
          </cell>
          <cell r="T76">
            <v>195</v>
          </cell>
          <cell r="U76">
            <v>0</v>
          </cell>
          <cell r="V76">
            <v>12.906474820143885</v>
          </cell>
          <cell r="W76">
            <v>3.5899280575539567</v>
          </cell>
          <cell r="X76">
            <v>122.2</v>
          </cell>
          <cell r="Y76">
            <v>152.4</v>
          </cell>
          <cell r="Z76">
            <v>142.6</v>
          </cell>
          <cell r="AA76">
            <v>166</v>
          </cell>
          <cell r="AB76" t="str">
            <v>ТС Обжора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24.693000000000001</v>
          </cell>
          <cell r="E77">
            <v>290.93</v>
          </cell>
          <cell r="F77">
            <v>97.521000000000001</v>
          </cell>
          <cell r="G77">
            <v>216.76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108.93</v>
          </cell>
          <cell r="M77">
            <v>-11.409000000000006</v>
          </cell>
          <cell r="P77">
            <v>0</v>
          </cell>
          <cell r="Q77">
            <v>0</v>
          </cell>
          <cell r="R77">
            <v>19.504200000000001</v>
          </cell>
          <cell r="S77">
            <v>30</v>
          </cell>
          <cell r="T77">
            <v>30</v>
          </cell>
          <cell r="U77">
            <v>0</v>
          </cell>
          <cell r="V77">
            <v>12.651634007034382</v>
          </cell>
          <cell r="W77">
            <v>11.113503758164907</v>
          </cell>
          <cell r="X77">
            <v>15.619800000000001</v>
          </cell>
          <cell r="Y77">
            <v>16.852399999999999</v>
          </cell>
          <cell r="Z77">
            <v>27.894400000000001</v>
          </cell>
          <cell r="AA77">
            <v>17.2348</v>
          </cell>
          <cell r="AB77">
            <v>0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2</v>
          </cell>
          <cell r="M78">
            <v>-2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e">
            <v>#DIV/0!</v>
          </cell>
          <cell r="W78" t="e">
            <v>#DIV/0!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#N/A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139.75800000000001</v>
          </cell>
          <cell r="E79">
            <v>458.94499999999999</v>
          </cell>
          <cell r="F79">
            <v>319.45699999999999</v>
          </cell>
          <cell r="G79">
            <v>273.642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330.9</v>
          </cell>
          <cell r="M79">
            <v>-11.442999999999984</v>
          </cell>
          <cell r="P79">
            <v>55</v>
          </cell>
          <cell r="Q79">
            <v>55</v>
          </cell>
          <cell r="R79">
            <v>63.891399999999997</v>
          </cell>
          <cell r="S79">
            <v>280</v>
          </cell>
          <cell r="T79">
            <v>280</v>
          </cell>
          <cell r="U79">
            <v>0</v>
          </cell>
          <cell r="V79">
            <v>10.387031744491436</v>
          </cell>
          <cell r="W79">
            <v>4.2829238363848656</v>
          </cell>
          <cell r="X79">
            <v>42.6556</v>
          </cell>
          <cell r="Y79">
            <v>51.933399999999992</v>
          </cell>
          <cell r="Z79">
            <v>61.083799999999997</v>
          </cell>
          <cell r="AA79">
            <v>50.800599999999996</v>
          </cell>
          <cell r="AB79">
            <v>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-21</v>
          </cell>
          <cell r="E80">
            <v>3004</v>
          </cell>
          <cell r="F80">
            <v>629</v>
          </cell>
          <cell r="G80">
            <v>2335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816.1</v>
          </cell>
          <cell r="M80">
            <v>-187.10000000000002</v>
          </cell>
          <cell r="P80">
            <v>75</v>
          </cell>
          <cell r="Q80">
            <v>75</v>
          </cell>
          <cell r="R80">
            <v>125.8</v>
          </cell>
          <cell r="S80">
            <v>0</v>
          </cell>
          <cell r="T80">
            <v>0</v>
          </cell>
          <cell r="U80">
            <v>0</v>
          </cell>
          <cell r="V80">
            <v>19.753577106518282</v>
          </cell>
          <cell r="W80">
            <v>18.56120826709062</v>
          </cell>
          <cell r="X80">
            <v>146.4</v>
          </cell>
          <cell r="Y80">
            <v>162.80000000000001</v>
          </cell>
          <cell r="Z80">
            <v>250.2</v>
          </cell>
          <cell r="AA80">
            <v>195.6</v>
          </cell>
          <cell r="AB80">
            <v>0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78</v>
          </cell>
          <cell r="E81">
            <v>49</v>
          </cell>
          <cell r="F81">
            <v>81</v>
          </cell>
          <cell r="G81">
            <v>45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82</v>
          </cell>
          <cell r="M81">
            <v>-1</v>
          </cell>
          <cell r="P81">
            <v>55</v>
          </cell>
          <cell r="Q81">
            <v>55</v>
          </cell>
          <cell r="R81">
            <v>16.2</v>
          </cell>
          <cell r="S81">
            <v>35</v>
          </cell>
          <cell r="T81">
            <v>35</v>
          </cell>
          <cell r="U81">
            <v>0</v>
          </cell>
          <cell r="V81">
            <v>11.728395061728396</v>
          </cell>
          <cell r="W81">
            <v>2.7777777777777777</v>
          </cell>
          <cell r="X81">
            <v>16</v>
          </cell>
          <cell r="Y81">
            <v>17.8</v>
          </cell>
          <cell r="Z81">
            <v>15.4</v>
          </cell>
          <cell r="AA81">
            <v>17.2</v>
          </cell>
          <cell r="AB81">
            <v>0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30</v>
          </cell>
          <cell r="E82">
            <v>103</v>
          </cell>
          <cell r="F82">
            <v>89</v>
          </cell>
          <cell r="G82">
            <v>41</v>
          </cell>
          <cell r="H82">
            <v>0.7</v>
          </cell>
          <cell r="I82" t="e">
            <v>#N/A</v>
          </cell>
          <cell r="J82" t="e">
            <v>#N/A</v>
          </cell>
          <cell r="L82">
            <v>92</v>
          </cell>
          <cell r="M82">
            <v>-3</v>
          </cell>
          <cell r="P82">
            <v>45</v>
          </cell>
          <cell r="Q82">
            <v>45</v>
          </cell>
          <cell r="R82">
            <v>17.8</v>
          </cell>
          <cell r="S82">
            <v>75</v>
          </cell>
          <cell r="T82">
            <v>75</v>
          </cell>
          <cell r="U82">
            <v>0</v>
          </cell>
          <cell r="V82">
            <v>11.573033707865168</v>
          </cell>
          <cell r="W82">
            <v>2.303370786516854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#N/A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-1</v>
          </cell>
          <cell r="E83">
            <v>244</v>
          </cell>
          <cell r="F83">
            <v>48</v>
          </cell>
          <cell r="G83">
            <v>190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53</v>
          </cell>
          <cell r="M83">
            <v>-5</v>
          </cell>
          <cell r="P83">
            <v>0</v>
          </cell>
          <cell r="Q83">
            <v>0</v>
          </cell>
          <cell r="R83">
            <v>9.6</v>
          </cell>
          <cell r="S83">
            <v>0</v>
          </cell>
          <cell r="T83">
            <v>0</v>
          </cell>
          <cell r="U83">
            <v>0</v>
          </cell>
          <cell r="V83">
            <v>19.791666666666668</v>
          </cell>
          <cell r="W83">
            <v>19.791666666666668</v>
          </cell>
          <cell r="X83">
            <v>13</v>
          </cell>
          <cell r="Y83">
            <v>7.6</v>
          </cell>
          <cell r="Z83">
            <v>19</v>
          </cell>
          <cell r="AA83">
            <v>10.199999999999999</v>
          </cell>
          <cell r="AB83">
            <v>0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51</v>
          </cell>
          <cell r="E84">
            <v>283</v>
          </cell>
          <cell r="F84">
            <v>185</v>
          </cell>
          <cell r="G84">
            <v>129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208</v>
          </cell>
          <cell r="M84">
            <v>-23</v>
          </cell>
          <cell r="P84">
            <v>25</v>
          </cell>
          <cell r="Q84">
            <v>25</v>
          </cell>
          <cell r="R84">
            <v>37</v>
          </cell>
          <cell r="S84">
            <v>170</v>
          </cell>
          <cell r="T84">
            <v>170</v>
          </cell>
          <cell r="U84">
            <v>0</v>
          </cell>
          <cell r="V84">
            <v>9.4324324324324316</v>
          </cell>
          <cell r="W84">
            <v>3.4864864864864864</v>
          </cell>
          <cell r="X84">
            <v>33.6</v>
          </cell>
          <cell r="Y84">
            <v>18.8</v>
          </cell>
          <cell r="Z84">
            <v>33.6</v>
          </cell>
          <cell r="AA84">
            <v>27</v>
          </cell>
          <cell r="AB84" t="str">
            <v>Обжора / Паллет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148</v>
          </cell>
          <cell r="E85">
            <v>336</v>
          </cell>
          <cell r="F85">
            <v>112</v>
          </cell>
          <cell r="G85">
            <v>204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428.8</v>
          </cell>
          <cell r="M85">
            <v>-316.8</v>
          </cell>
          <cell r="P85">
            <v>80</v>
          </cell>
          <cell r="Q85">
            <v>80</v>
          </cell>
          <cell r="R85">
            <v>22.4</v>
          </cell>
          <cell r="S85">
            <v>25</v>
          </cell>
          <cell r="T85">
            <v>25</v>
          </cell>
          <cell r="U85">
            <v>0</v>
          </cell>
          <cell r="V85">
            <v>17.366071428571431</v>
          </cell>
          <cell r="W85">
            <v>9.1071428571428577</v>
          </cell>
          <cell r="X85">
            <v>48.2</v>
          </cell>
          <cell r="Y85">
            <v>40.799999999999997</v>
          </cell>
          <cell r="Z85">
            <v>41.2</v>
          </cell>
          <cell r="AA85">
            <v>42.6</v>
          </cell>
          <cell r="AB85" t="str">
            <v>Обжора / Паллет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89</v>
          </cell>
          <cell r="E86">
            <v>12</v>
          </cell>
          <cell r="F86">
            <v>93</v>
          </cell>
          <cell r="G86">
            <v>-6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116</v>
          </cell>
          <cell r="M86">
            <v>-23</v>
          </cell>
          <cell r="P86">
            <v>70</v>
          </cell>
          <cell r="Q86">
            <v>70</v>
          </cell>
          <cell r="R86">
            <v>18.600000000000001</v>
          </cell>
          <cell r="S86">
            <v>60</v>
          </cell>
          <cell r="T86">
            <v>60</v>
          </cell>
          <cell r="U86">
            <v>0</v>
          </cell>
          <cell r="V86">
            <v>10.43010752688172</v>
          </cell>
          <cell r="W86">
            <v>-0.32258064516129031</v>
          </cell>
          <cell r="X86">
            <v>12</v>
          </cell>
          <cell r="Y86">
            <v>17.600000000000001</v>
          </cell>
          <cell r="Z86">
            <v>12</v>
          </cell>
          <cell r="AA86">
            <v>16.399999999999999</v>
          </cell>
          <cell r="AB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78</v>
          </cell>
          <cell r="E87">
            <v>26</v>
          </cell>
          <cell r="F87">
            <v>46</v>
          </cell>
          <cell r="G87">
            <v>31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237</v>
          </cell>
          <cell r="M87">
            <v>-191</v>
          </cell>
          <cell r="P87">
            <v>310</v>
          </cell>
          <cell r="Q87">
            <v>310</v>
          </cell>
          <cell r="R87">
            <v>9.1999999999999993</v>
          </cell>
          <cell r="S87">
            <v>0</v>
          </cell>
          <cell r="T87">
            <v>0</v>
          </cell>
          <cell r="U87">
            <v>0</v>
          </cell>
          <cell r="V87">
            <v>70.760869565217391</v>
          </cell>
          <cell r="W87">
            <v>3.3695652173913047</v>
          </cell>
          <cell r="X87">
            <v>18.8</v>
          </cell>
          <cell r="Y87">
            <v>34</v>
          </cell>
          <cell r="Z87">
            <v>10.8</v>
          </cell>
          <cell r="AA87">
            <v>50.6</v>
          </cell>
          <cell r="AB87" t="str">
            <v>Обжора / Паллет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3</v>
          </cell>
          <cell r="E88">
            <v>847</v>
          </cell>
          <cell r="F88">
            <v>263</v>
          </cell>
          <cell r="G88">
            <v>578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274</v>
          </cell>
          <cell r="M88">
            <v>-11</v>
          </cell>
          <cell r="P88">
            <v>50</v>
          </cell>
          <cell r="Q88">
            <v>50</v>
          </cell>
          <cell r="R88">
            <v>52.6</v>
          </cell>
          <cell r="S88">
            <v>30</v>
          </cell>
          <cell r="T88">
            <v>30</v>
          </cell>
          <cell r="U88">
            <v>0</v>
          </cell>
          <cell r="V88">
            <v>13.460076045627376</v>
          </cell>
          <cell r="W88">
            <v>10.988593155893536</v>
          </cell>
          <cell r="X88">
            <v>60.6</v>
          </cell>
          <cell r="Y88">
            <v>57.4</v>
          </cell>
          <cell r="Z88">
            <v>83.4</v>
          </cell>
          <cell r="AA88">
            <v>67</v>
          </cell>
          <cell r="AB88" t="str">
            <v>вместо 7077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50</v>
          </cell>
          <cell r="E89">
            <v>32</v>
          </cell>
          <cell r="F89">
            <v>68</v>
          </cell>
          <cell r="G89">
            <v>9</v>
          </cell>
          <cell r="H89">
            <v>0.3</v>
          </cell>
          <cell r="I89">
            <v>0</v>
          </cell>
          <cell r="J89">
            <v>0</v>
          </cell>
          <cell r="L89">
            <v>73</v>
          </cell>
          <cell r="M89">
            <v>-5</v>
          </cell>
          <cell r="P89">
            <v>35</v>
          </cell>
          <cell r="Q89">
            <v>35</v>
          </cell>
          <cell r="R89">
            <v>13.6</v>
          </cell>
          <cell r="S89">
            <v>55</v>
          </cell>
          <cell r="T89">
            <v>55</v>
          </cell>
          <cell r="U89">
            <v>0</v>
          </cell>
          <cell r="V89">
            <v>9.8529411764705888</v>
          </cell>
          <cell r="W89">
            <v>0.66176470588235292</v>
          </cell>
          <cell r="X89">
            <v>0.4</v>
          </cell>
          <cell r="Y89">
            <v>10.4</v>
          </cell>
          <cell r="Z89">
            <v>6.2</v>
          </cell>
          <cell r="AA89">
            <v>11.4</v>
          </cell>
          <cell r="AB89" t="str">
            <v>31,07,25 в уценку 232шт.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12</v>
          </cell>
          <cell r="F90">
            <v>7</v>
          </cell>
          <cell r="G90">
            <v>5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29</v>
          </cell>
          <cell r="M90">
            <v>-22</v>
          </cell>
          <cell r="P90">
            <v>25</v>
          </cell>
          <cell r="Q90">
            <v>25</v>
          </cell>
          <cell r="R90">
            <v>1.4</v>
          </cell>
          <cell r="S90">
            <v>0</v>
          </cell>
          <cell r="T90">
            <v>0</v>
          </cell>
          <cell r="U90">
            <v>0</v>
          </cell>
          <cell r="V90">
            <v>39.285714285714285</v>
          </cell>
          <cell r="W90">
            <v>3.5714285714285716</v>
          </cell>
          <cell r="X90">
            <v>8.1999999999999993</v>
          </cell>
          <cell r="Y90">
            <v>2.8</v>
          </cell>
          <cell r="Z90">
            <v>5.8</v>
          </cell>
          <cell r="AA90">
            <v>4</v>
          </cell>
          <cell r="AB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86</v>
          </cell>
          <cell r="E91">
            <v>60</v>
          </cell>
          <cell r="F91">
            <v>26</v>
          </cell>
          <cell r="G91">
            <v>120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29</v>
          </cell>
          <cell r="M91">
            <v>-3</v>
          </cell>
          <cell r="P91">
            <v>0</v>
          </cell>
          <cell r="Q91">
            <v>0</v>
          </cell>
          <cell r="R91">
            <v>5.2</v>
          </cell>
          <cell r="S91">
            <v>0</v>
          </cell>
          <cell r="T91">
            <v>0</v>
          </cell>
          <cell r="U91">
            <v>0</v>
          </cell>
          <cell r="V91">
            <v>23.076923076923077</v>
          </cell>
          <cell r="W91">
            <v>23.076923076923077</v>
          </cell>
          <cell r="X91">
            <v>12.8</v>
          </cell>
          <cell r="Y91">
            <v>9.1999999999999993</v>
          </cell>
          <cell r="Z91">
            <v>13.6</v>
          </cell>
          <cell r="AA91">
            <v>8.8000000000000007</v>
          </cell>
          <cell r="AB91" t="str">
            <v>нет потребности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7</v>
          </cell>
          <cell r="E92">
            <v>16</v>
          </cell>
          <cell r="F92">
            <v>18</v>
          </cell>
          <cell r="G92">
            <v>5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47</v>
          </cell>
          <cell r="M92">
            <v>-29</v>
          </cell>
          <cell r="P92">
            <v>35</v>
          </cell>
          <cell r="Q92">
            <v>35</v>
          </cell>
          <cell r="R92">
            <v>3.6</v>
          </cell>
          <cell r="S92">
            <v>0</v>
          </cell>
          <cell r="T92">
            <v>0</v>
          </cell>
          <cell r="U92">
            <v>0</v>
          </cell>
          <cell r="V92">
            <v>20.833333333333332</v>
          </cell>
          <cell r="W92">
            <v>1.3888888888888888</v>
          </cell>
          <cell r="X92">
            <v>3.6</v>
          </cell>
          <cell r="Y92">
            <v>0.4</v>
          </cell>
          <cell r="Z92">
            <v>3.2</v>
          </cell>
          <cell r="AA92">
            <v>6.4</v>
          </cell>
          <cell r="AB92">
            <v>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-2</v>
          </cell>
          <cell r="E93">
            <v>32</v>
          </cell>
          <cell r="F93">
            <v>17</v>
          </cell>
          <cell r="G93">
            <v>13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17</v>
          </cell>
          <cell r="M93">
            <v>0</v>
          </cell>
          <cell r="P93">
            <v>25</v>
          </cell>
          <cell r="Q93">
            <v>25</v>
          </cell>
          <cell r="R93">
            <v>3.4</v>
          </cell>
          <cell r="S93">
            <v>0</v>
          </cell>
          <cell r="T93">
            <v>0</v>
          </cell>
          <cell r="U93">
            <v>0</v>
          </cell>
          <cell r="V93">
            <v>18.529411764705884</v>
          </cell>
          <cell r="W93">
            <v>3.8235294117647061</v>
          </cell>
          <cell r="X93">
            <v>-0.2</v>
          </cell>
          <cell r="Y93">
            <v>0.2</v>
          </cell>
          <cell r="Z93">
            <v>4.5999999999999996</v>
          </cell>
          <cell r="AA93">
            <v>6</v>
          </cell>
          <cell r="AB93">
            <v>0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85</v>
          </cell>
          <cell r="E94">
            <v>251</v>
          </cell>
          <cell r="F94">
            <v>129</v>
          </cell>
          <cell r="G94">
            <v>194</v>
          </cell>
          <cell r="H94">
            <v>0.3</v>
          </cell>
          <cell r="I94">
            <v>0</v>
          </cell>
          <cell r="J94" t="e">
            <v>#N/A</v>
          </cell>
          <cell r="L94">
            <v>154</v>
          </cell>
          <cell r="M94">
            <v>-25</v>
          </cell>
          <cell r="P94">
            <v>30</v>
          </cell>
          <cell r="Q94">
            <v>30</v>
          </cell>
          <cell r="R94">
            <v>25.8</v>
          </cell>
          <cell r="S94">
            <v>70</v>
          </cell>
          <cell r="T94">
            <v>70</v>
          </cell>
          <cell r="U94">
            <v>0</v>
          </cell>
          <cell r="V94">
            <v>12.55813953488372</v>
          </cell>
          <cell r="W94">
            <v>7.5193798449612403</v>
          </cell>
          <cell r="X94">
            <v>0</v>
          </cell>
          <cell r="Y94">
            <v>21</v>
          </cell>
          <cell r="Z94">
            <v>33.6</v>
          </cell>
          <cell r="AA94">
            <v>28.4</v>
          </cell>
          <cell r="AB94" t="e">
            <v>#N/A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215</v>
          </cell>
          <cell r="E95">
            <v>2</v>
          </cell>
          <cell r="F95">
            <v>171</v>
          </cell>
          <cell r="G95">
            <v>42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175</v>
          </cell>
          <cell r="M95">
            <v>-4</v>
          </cell>
          <cell r="P95">
            <v>220</v>
          </cell>
          <cell r="Q95">
            <v>220</v>
          </cell>
          <cell r="R95">
            <v>34.200000000000003</v>
          </cell>
          <cell r="S95">
            <v>60</v>
          </cell>
          <cell r="T95">
            <v>60</v>
          </cell>
          <cell r="U95">
            <v>0</v>
          </cell>
          <cell r="V95">
            <v>15.847953216374268</v>
          </cell>
          <cell r="W95">
            <v>1.2280701754385963</v>
          </cell>
          <cell r="X95">
            <v>64.599999999999994</v>
          </cell>
          <cell r="Y95">
            <v>42.6</v>
          </cell>
          <cell r="Z95">
            <v>30.8</v>
          </cell>
          <cell r="AA95">
            <v>46.2</v>
          </cell>
          <cell r="AB95" t="str">
            <v>вместо 5682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297</v>
          </cell>
          <cell r="E96">
            <v>209</v>
          </cell>
          <cell r="F96">
            <v>214</v>
          </cell>
          <cell r="G96">
            <v>275</v>
          </cell>
          <cell r="H96">
            <v>0.33</v>
          </cell>
          <cell r="I96">
            <v>0</v>
          </cell>
          <cell r="J96" t="e">
            <v>#N/A</v>
          </cell>
          <cell r="L96">
            <v>233</v>
          </cell>
          <cell r="M96">
            <v>-19</v>
          </cell>
          <cell r="P96">
            <v>50</v>
          </cell>
          <cell r="Q96">
            <v>50</v>
          </cell>
          <cell r="R96">
            <v>42.8</v>
          </cell>
          <cell r="S96">
            <v>110</v>
          </cell>
          <cell r="T96">
            <v>110</v>
          </cell>
          <cell r="U96">
            <v>0</v>
          </cell>
          <cell r="V96">
            <v>11.33177570093458</v>
          </cell>
          <cell r="W96">
            <v>6.4252336448598131</v>
          </cell>
          <cell r="X96">
            <v>0</v>
          </cell>
          <cell r="Y96">
            <v>49.8</v>
          </cell>
          <cell r="Z96">
            <v>31</v>
          </cell>
          <cell r="AA96">
            <v>40.799999999999997</v>
          </cell>
          <cell r="AB96" t="e">
            <v>#N/A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83</v>
          </cell>
          <cell r="E97">
            <v>243</v>
          </cell>
          <cell r="F97">
            <v>94</v>
          </cell>
          <cell r="G97">
            <v>229</v>
          </cell>
          <cell r="H97">
            <v>0.4</v>
          </cell>
          <cell r="I97">
            <v>0</v>
          </cell>
          <cell r="J97" t="str">
            <v>ротация</v>
          </cell>
          <cell r="L97">
            <v>132</v>
          </cell>
          <cell r="M97">
            <v>-38</v>
          </cell>
          <cell r="P97">
            <v>0</v>
          </cell>
          <cell r="Q97">
            <v>0</v>
          </cell>
          <cell r="R97">
            <v>18.8</v>
          </cell>
          <cell r="S97">
            <v>25</v>
          </cell>
          <cell r="T97">
            <v>25</v>
          </cell>
          <cell r="U97">
            <v>0</v>
          </cell>
          <cell r="V97">
            <v>13.51063829787234</v>
          </cell>
          <cell r="W97">
            <v>12.180851063829786</v>
          </cell>
          <cell r="X97">
            <v>0</v>
          </cell>
          <cell r="Y97">
            <v>13</v>
          </cell>
          <cell r="Z97">
            <v>27.6</v>
          </cell>
          <cell r="AA97">
            <v>20.2</v>
          </cell>
          <cell r="AB97" t="e">
            <v>#N/A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E98">
            <v>40.024000000000001</v>
          </cell>
          <cell r="F98">
            <v>14.250999999999999</v>
          </cell>
          <cell r="G98">
            <v>25.773</v>
          </cell>
          <cell r="H98">
            <v>1</v>
          </cell>
          <cell r="I98" t="e">
            <v>#N/A</v>
          </cell>
          <cell r="J98" t="e">
            <v>#N/A</v>
          </cell>
          <cell r="L98">
            <v>14</v>
          </cell>
          <cell r="M98">
            <v>0.25099999999999945</v>
          </cell>
          <cell r="P98">
            <v>0</v>
          </cell>
          <cell r="Q98">
            <v>0</v>
          </cell>
          <cell r="R98">
            <v>2.8502000000000001</v>
          </cell>
          <cell r="S98">
            <v>7</v>
          </cell>
          <cell r="T98">
            <v>7</v>
          </cell>
          <cell r="U98">
            <v>0</v>
          </cell>
          <cell r="V98">
            <v>11.498491333941477</v>
          </cell>
          <cell r="W98">
            <v>9.042523331696021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#N/A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37</v>
          </cell>
          <cell r="E99">
            <v>6</v>
          </cell>
          <cell r="F99">
            <v>1</v>
          </cell>
          <cell r="G99">
            <v>40</v>
          </cell>
          <cell r="H99">
            <v>0</v>
          </cell>
          <cell r="I99">
            <v>0</v>
          </cell>
          <cell r="J99">
            <v>0</v>
          </cell>
          <cell r="L99">
            <v>28</v>
          </cell>
          <cell r="M99">
            <v>-27</v>
          </cell>
          <cell r="P99">
            <v>0</v>
          </cell>
          <cell r="Q99">
            <v>0</v>
          </cell>
          <cell r="R99">
            <v>0.2</v>
          </cell>
          <cell r="S99">
            <v>0</v>
          </cell>
          <cell r="T99">
            <v>0</v>
          </cell>
          <cell r="U99">
            <v>0</v>
          </cell>
          <cell r="V99">
            <v>200</v>
          </cell>
          <cell r="W99">
            <v>200</v>
          </cell>
          <cell r="X99">
            <v>24.2</v>
          </cell>
          <cell r="Y99">
            <v>18.2</v>
          </cell>
          <cell r="Z99">
            <v>13.6</v>
          </cell>
          <cell r="AA99">
            <v>1.4</v>
          </cell>
          <cell r="AB99" t="e">
            <v>#N/A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0</v>
          </cell>
          <cell r="G100">
            <v>-19.481000000000002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e">
            <v>#DIV/0!</v>
          </cell>
          <cell r="W100" t="e">
            <v>#DIV/0!</v>
          </cell>
          <cell r="X100">
            <v>14.857200000000001</v>
          </cell>
          <cell r="Y100">
            <v>14.881200000000002</v>
          </cell>
          <cell r="Z100">
            <v>13.2858</v>
          </cell>
          <cell r="AA100">
            <v>0.31219999999999998</v>
          </cell>
          <cell r="AB10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P9" t="str">
            <v>21,06,</v>
          </cell>
          <cell r="Q9" t="str">
            <v>22,06,</v>
          </cell>
          <cell r="R9" t="str">
            <v>22,06,</v>
          </cell>
          <cell r="S9" t="str">
            <v>28,06,</v>
          </cell>
          <cell r="T9" t="str">
            <v>29,06,</v>
          </cell>
        </row>
        <row r="10">
          <cell r="D10">
            <v>19570.662000000004</v>
          </cell>
          <cell r="E10">
            <v>42781.095000000001</v>
          </cell>
          <cell r="F10">
            <v>26548.022000000001</v>
          </cell>
          <cell r="G10">
            <v>26280.718000000001</v>
          </cell>
          <cell r="L10">
            <v>28222.245999999999</v>
          </cell>
          <cell r="M10">
            <v>-1674.2239999999999</v>
          </cell>
          <cell r="O10">
            <v>0</v>
          </cell>
          <cell r="P10">
            <v>9953</v>
          </cell>
          <cell r="Q10">
            <v>9953</v>
          </cell>
          <cell r="R10">
            <v>5309.6044000000011</v>
          </cell>
          <cell r="S10">
            <v>30366.854399999997</v>
          </cell>
          <cell r="T10">
            <v>2224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525</v>
          </cell>
          <cell r="E11">
            <v>195</v>
          </cell>
          <cell r="F11">
            <v>382</v>
          </cell>
          <cell r="G11">
            <v>310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392</v>
          </cell>
          <cell r="M11">
            <v>-10</v>
          </cell>
          <cell r="P11">
            <v>110</v>
          </cell>
          <cell r="Q11">
            <v>110</v>
          </cell>
          <cell r="R11">
            <v>76.400000000000006</v>
          </cell>
          <cell r="S11">
            <v>539.60000000000014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22.356000000000002</v>
          </cell>
          <cell r="F12">
            <v>9.8279999999999994</v>
          </cell>
          <cell r="G12">
            <v>12.528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10.1</v>
          </cell>
          <cell r="M12">
            <v>-0.27200000000000024</v>
          </cell>
          <cell r="P12">
            <v>0</v>
          </cell>
          <cell r="Q12">
            <v>0</v>
          </cell>
          <cell r="R12">
            <v>1.9655999999999998</v>
          </cell>
          <cell r="S12">
            <v>14.990399999999996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95</v>
          </cell>
          <cell r="E13">
            <v>584</v>
          </cell>
          <cell r="F13">
            <v>229</v>
          </cell>
          <cell r="G13">
            <v>430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230</v>
          </cell>
          <cell r="M13">
            <v>-1</v>
          </cell>
          <cell r="P13">
            <v>140</v>
          </cell>
          <cell r="Q13">
            <v>140</v>
          </cell>
          <cell r="R13">
            <v>45.8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1137.5119999999999</v>
          </cell>
          <cell r="E14">
            <v>1678.473</v>
          </cell>
          <cell r="F14">
            <v>1365.954</v>
          </cell>
          <cell r="G14">
            <v>1165.71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1358.326</v>
          </cell>
          <cell r="M14">
            <v>7.6279999999999291</v>
          </cell>
          <cell r="P14">
            <v>700</v>
          </cell>
          <cell r="Q14">
            <v>700</v>
          </cell>
          <cell r="R14">
            <v>273.19079999999997</v>
          </cell>
          <cell r="S14">
            <v>1258.9611999999997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37.734000000000002</v>
          </cell>
          <cell r="E15">
            <v>40.451999999999998</v>
          </cell>
          <cell r="F15">
            <v>34.307000000000002</v>
          </cell>
          <cell r="G15">
            <v>43.878999999999998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33.6</v>
          </cell>
          <cell r="M15">
            <v>0.70700000000000074</v>
          </cell>
          <cell r="P15">
            <v>0</v>
          </cell>
          <cell r="Q15">
            <v>0</v>
          </cell>
          <cell r="R15">
            <v>6.8614000000000006</v>
          </cell>
          <cell r="S15">
            <v>52.180600000000005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57.837000000000003</v>
          </cell>
          <cell r="E16">
            <v>385.13799999999998</v>
          </cell>
          <cell r="F16">
            <v>184.208</v>
          </cell>
          <cell r="G16">
            <v>185.91900000000001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187.298</v>
          </cell>
          <cell r="M16">
            <v>-3.0900000000000034</v>
          </cell>
          <cell r="P16">
            <v>75</v>
          </cell>
          <cell r="Q16">
            <v>75</v>
          </cell>
          <cell r="R16">
            <v>36.8416</v>
          </cell>
          <cell r="S16">
            <v>179.86340000000007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410.22300000000001</v>
          </cell>
          <cell r="E17">
            <v>947.46699999999998</v>
          </cell>
          <cell r="F17">
            <v>517.26499999999999</v>
          </cell>
          <cell r="G17">
            <v>740.43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517.83199999999999</v>
          </cell>
          <cell r="M17">
            <v>-0.56700000000000728</v>
          </cell>
          <cell r="P17">
            <v>65</v>
          </cell>
          <cell r="Q17">
            <v>65</v>
          </cell>
          <cell r="R17">
            <v>103.453</v>
          </cell>
          <cell r="S17">
            <v>577.91200000000015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26</v>
          </cell>
          <cell r="E18">
            <v>208</v>
          </cell>
          <cell r="F18">
            <v>100.486</v>
          </cell>
          <cell r="G18">
            <v>129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101</v>
          </cell>
          <cell r="M18">
            <v>-0.51399999999999579</v>
          </cell>
          <cell r="P18">
            <v>0</v>
          </cell>
          <cell r="Q18">
            <v>0</v>
          </cell>
          <cell r="R18">
            <v>20.097200000000001</v>
          </cell>
          <cell r="S18">
            <v>152.36080000000004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74.631</v>
          </cell>
          <cell r="E19">
            <v>85.763000000000005</v>
          </cell>
          <cell r="F19">
            <v>65.414000000000001</v>
          </cell>
          <cell r="G19">
            <v>64.863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62.4</v>
          </cell>
          <cell r="M19">
            <v>3.0140000000000029</v>
          </cell>
          <cell r="P19">
            <v>17.5</v>
          </cell>
          <cell r="Q19">
            <v>17.5</v>
          </cell>
          <cell r="R19">
            <v>13.082800000000001</v>
          </cell>
          <cell r="S19">
            <v>83.296199999999999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573</v>
          </cell>
          <cell r="E20">
            <v>25</v>
          </cell>
          <cell r="F20">
            <v>68</v>
          </cell>
          <cell r="G20">
            <v>499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70</v>
          </cell>
          <cell r="M20">
            <v>-2</v>
          </cell>
          <cell r="P20">
            <v>0</v>
          </cell>
          <cell r="Q20">
            <v>0</v>
          </cell>
          <cell r="R20">
            <v>13.6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456</v>
          </cell>
          <cell r="E21">
            <v>479</v>
          </cell>
          <cell r="F21">
            <v>452</v>
          </cell>
          <cell r="G21">
            <v>396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461</v>
          </cell>
          <cell r="M21">
            <v>-9</v>
          </cell>
          <cell r="P21">
            <v>270</v>
          </cell>
          <cell r="Q21">
            <v>270</v>
          </cell>
          <cell r="R21">
            <v>90.4</v>
          </cell>
          <cell r="S21">
            <v>329.60000000000014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241.53399999999999</v>
          </cell>
          <cell r="E22">
            <v>592.40599999999995</v>
          </cell>
          <cell r="F22">
            <v>381.92700000000002</v>
          </cell>
          <cell r="G22">
            <v>392.62599999999998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372.71</v>
          </cell>
          <cell r="M22">
            <v>9.2170000000000414</v>
          </cell>
          <cell r="P22">
            <v>225</v>
          </cell>
          <cell r="Q22">
            <v>225</v>
          </cell>
          <cell r="R22">
            <v>76.385400000000004</v>
          </cell>
          <cell r="S22">
            <v>226.76960000000008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E23">
            <v>20.079999999999998</v>
          </cell>
          <cell r="F23">
            <v>3.411</v>
          </cell>
          <cell r="G23">
            <v>12.151999999999999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20.626000000000001</v>
          </cell>
          <cell r="M23">
            <v>-17.215</v>
          </cell>
          <cell r="P23">
            <v>12.5</v>
          </cell>
          <cell r="Q23">
            <v>12.5</v>
          </cell>
          <cell r="R23">
            <v>0.68220000000000003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73</v>
          </cell>
          <cell r="E24">
            <v>609</v>
          </cell>
          <cell r="F24">
            <v>283</v>
          </cell>
          <cell r="G24">
            <v>397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284</v>
          </cell>
          <cell r="M24">
            <v>-1</v>
          </cell>
          <cell r="P24">
            <v>275</v>
          </cell>
          <cell r="Q24">
            <v>275</v>
          </cell>
          <cell r="R24">
            <v>56.6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235.44800000000001</v>
          </cell>
          <cell r="E25">
            <v>540.44200000000001</v>
          </cell>
          <cell r="F25">
            <v>342.51299999999998</v>
          </cell>
          <cell r="G25">
            <v>370.75599999999997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331.32299999999998</v>
          </cell>
          <cell r="M25">
            <v>11.189999999999998</v>
          </cell>
          <cell r="P25">
            <v>50</v>
          </cell>
          <cell r="Q25">
            <v>50</v>
          </cell>
          <cell r="R25">
            <v>68.502600000000001</v>
          </cell>
          <cell r="S25">
            <v>488.28039999999999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131</v>
          </cell>
          <cell r="E26">
            <v>232</v>
          </cell>
          <cell r="F26">
            <v>220</v>
          </cell>
          <cell r="G26">
            <v>132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220</v>
          </cell>
          <cell r="M26">
            <v>0</v>
          </cell>
          <cell r="P26">
            <v>30</v>
          </cell>
          <cell r="Q26">
            <v>30</v>
          </cell>
          <cell r="R26">
            <v>44</v>
          </cell>
          <cell r="S26">
            <v>424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90</v>
          </cell>
          <cell r="F27">
            <v>11</v>
          </cell>
          <cell r="G27">
            <v>76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11</v>
          </cell>
          <cell r="M27">
            <v>0</v>
          </cell>
          <cell r="P27">
            <v>0</v>
          </cell>
          <cell r="Q27">
            <v>0</v>
          </cell>
          <cell r="R27">
            <v>2.2000000000000002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240.21299999999999</v>
          </cell>
          <cell r="E28">
            <v>362.10199999999998</v>
          </cell>
          <cell r="F28">
            <v>361.02100000000002</v>
          </cell>
          <cell r="G28">
            <v>159.71600000000001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359.65800000000002</v>
          </cell>
          <cell r="M28">
            <v>1.3629999999999995</v>
          </cell>
          <cell r="P28">
            <v>100</v>
          </cell>
          <cell r="Q28">
            <v>100</v>
          </cell>
          <cell r="R28">
            <v>72.2042</v>
          </cell>
          <cell r="S28">
            <v>651.14279999999997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219</v>
          </cell>
          <cell r="E29">
            <v>800</v>
          </cell>
          <cell r="F29">
            <v>444</v>
          </cell>
          <cell r="G29">
            <v>551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455</v>
          </cell>
          <cell r="M29">
            <v>-11</v>
          </cell>
          <cell r="P29">
            <v>0</v>
          </cell>
          <cell r="Q29">
            <v>0</v>
          </cell>
          <cell r="R29">
            <v>88.8</v>
          </cell>
          <cell r="S29">
            <v>692.2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29</v>
          </cell>
          <cell r="E30">
            <v>454</v>
          </cell>
          <cell r="F30">
            <v>204</v>
          </cell>
          <cell r="G30">
            <v>18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213</v>
          </cell>
          <cell r="M30">
            <v>-9</v>
          </cell>
          <cell r="P30">
            <v>25</v>
          </cell>
          <cell r="Q30">
            <v>25</v>
          </cell>
          <cell r="R30">
            <v>40.799999999999997</v>
          </cell>
          <cell r="S30">
            <v>503.19999999999993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98</v>
          </cell>
          <cell r="E31">
            <v>564</v>
          </cell>
          <cell r="F31">
            <v>147</v>
          </cell>
          <cell r="G31">
            <v>475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161</v>
          </cell>
          <cell r="M31">
            <v>-14</v>
          </cell>
          <cell r="P31">
            <v>0</v>
          </cell>
          <cell r="Q31">
            <v>0</v>
          </cell>
          <cell r="R31">
            <v>29.4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205.36500000000001</v>
          </cell>
          <cell r="E32">
            <v>539.65800000000002</v>
          </cell>
          <cell r="F32">
            <v>368.84199999999998</v>
          </cell>
          <cell r="G32">
            <v>273.45999999999998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360.91199999999998</v>
          </cell>
          <cell r="M32">
            <v>7.9300000000000068</v>
          </cell>
          <cell r="P32">
            <v>210</v>
          </cell>
          <cell r="Q32">
            <v>210</v>
          </cell>
          <cell r="R32">
            <v>73.7684</v>
          </cell>
          <cell r="S32">
            <v>339.29759999999987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E33">
            <v>118</v>
          </cell>
          <cell r="F33">
            <v>0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390</v>
          </cell>
          <cell r="M33">
            <v>-390</v>
          </cell>
          <cell r="P33">
            <v>30</v>
          </cell>
          <cell r="Q33">
            <v>30</v>
          </cell>
          <cell r="R33">
            <v>0</v>
          </cell>
          <cell r="U33" t="str">
            <v>ротация на код 7539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E34">
            <v>128</v>
          </cell>
          <cell r="F34">
            <v>46</v>
          </cell>
          <cell r="G34">
            <v>18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149</v>
          </cell>
          <cell r="M34">
            <v>-103</v>
          </cell>
          <cell r="P34">
            <v>20</v>
          </cell>
          <cell r="Q34">
            <v>20</v>
          </cell>
          <cell r="R34">
            <v>9.1999999999999993</v>
          </cell>
          <cell r="S34">
            <v>70.799999999999983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464.65499999999997</v>
          </cell>
          <cell r="E35">
            <v>952</v>
          </cell>
          <cell r="F35">
            <v>658</v>
          </cell>
          <cell r="G35">
            <v>729.65499999999997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669.3</v>
          </cell>
          <cell r="M35">
            <v>-11.299999999999955</v>
          </cell>
          <cell r="P35">
            <v>600</v>
          </cell>
          <cell r="Q35">
            <v>600</v>
          </cell>
          <cell r="R35">
            <v>131.6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80</v>
          </cell>
          <cell r="E36">
            <v>786</v>
          </cell>
          <cell r="F36">
            <v>555</v>
          </cell>
          <cell r="G36">
            <v>265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572.6</v>
          </cell>
          <cell r="M36">
            <v>-17.600000000000023</v>
          </cell>
          <cell r="P36">
            <v>500</v>
          </cell>
          <cell r="Q36">
            <v>500</v>
          </cell>
          <cell r="R36">
            <v>111</v>
          </cell>
          <cell r="S36">
            <v>289</v>
          </cell>
          <cell r="T36">
            <v>0</v>
          </cell>
          <cell r="U36" t="str">
            <v>ротация на код 7632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585</v>
          </cell>
          <cell r="E37">
            <v>1294</v>
          </cell>
          <cell r="F37">
            <v>813</v>
          </cell>
          <cell r="G37">
            <v>988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826</v>
          </cell>
          <cell r="M37">
            <v>-13</v>
          </cell>
          <cell r="P37">
            <v>800</v>
          </cell>
          <cell r="Q37">
            <v>800</v>
          </cell>
          <cell r="R37">
            <v>162.6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75</v>
          </cell>
          <cell r="E38">
            <v>1056</v>
          </cell>
          <cell r="F38">
            <v>362</v>
          </cell>
          <cell r="G38">
            <v>718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376</v>
          </cell>
          <cell r="M38">
            <v>-14</v>
          </cell>
          <cell r="P38">
            <v>30</v>
          </cell>
          <cell r="Q38">
            <v>30</v>
          </cell>
          <cell r="R38">
            <v>72.400000000000006</v>
          </cell>
          <cell r="S38">
            <v>235.60000000000014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227</v>
          </cell>
          <cell r="E39">
            <v>258</v>
          </cell>
          <cell r="F39">
            <v>220</v>
          </cell>
          <cell r="G39">
            <v>235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246</v>
          </cell>
          <cell r="M39">
            <v>-26</v>
          </cell>
          <cell r="P39">
            <v>200</v>
          </cell>
          <cell r="Q39">
            <v>200</v>
          </cell>
          <cell r="R39">
            <v>44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15</v>
          </cell>
          <cell r="E40">
            <v>237</v>
          </cell>
          <cell r="F40">
            <v>126</v>
          </cell>
          <cell r="G40">
            <v>118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134</v>
          </cell>
          <cell r="M40">
            <v>-8</v>
          </cell>
          <cell r="P40">
            <v>35</v>
          </cell>
          <cell r="Q40">
            <v>35</v>
          </cell>
          <cell r="R40">
            <v>25.2</v>
          </cell>
          <cell r="S40">
            <v>164.8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D41">
            <v>23</v>
          </cell>
          <cell r="E41">
            <v>39</v>
          </cell>
          <cell r="F41">
            <v>15</v>
          </cell>
          <cell r="G41">
            <v>31</v>
          </cell>
          <cell r="H41">
            <v>0.4</v>
          </cell>
          <cell r="I41">
            <v>0</v>
          </cell>
          <cell r="J41">
            <v>0</v>
          </cell>
          <cell r="L41">
            <v>66</v>
          </cell>
          <cell r="M41">
            <v>-51</v>
          </cell>
          <cell r="P41">
            <v>30</v>
          </cell>
          <cell r="Q41">
            <v>30</v>
          </cell>
          <cell r="R41">
            <v>3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D42">
            <v>335</v>
          </cell>
          <cell r="E42">
            <v>21</v>
          </cell>
          <cell r="F42">
            <v>210</v>
          </cell>
          <cell r="G42">
            <v>119</v>
          </cell>
          <cell r="H42">
            <v>0.3</v>
          </cell>
          <cell r="I42" t="e">
            <v>#N/A</v>
          </cell>
          <cell r="J42" t="e">
            <v>#N/A</v>
          </cell>
          <cell r="L42">
            <v>212</v>
          </cell>
          <cell r="M42">
            <v>-2</v>
          </cell>
          <cell r="P42">
            <v>20</v>
          </cell>
          <cell r="Q42">
            <v>20</v>
          </cell>
          <cell r="R42">
            <v>42</v>
          </cell>
          <cell r="S42">
            <v>429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3.0310000000000001</v>
          </cell>
          <cell r="E43">
            <v>236.71299999999999</v>
          </cell>
          <cell r="F43">
            <v>114.22799999999999</v>
          </cell>
          <cell r="G43">
            <v>73.822000000000003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159.19300000000001</v>
          </cell>
          <cell r="M43">
            <v>-44.965000000000018</v>
          </cell>
          <cell r="P43">
            <v>75</v>
          </cell>
          <cell r="Q43">
            <v>75</v>
          </cell>
          <cell r="R43">
            <v>22.845599999999997</v>
          </cell>
          <cell r="S43">
            <v>96.016399999999976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135.21700000000001</v>
          </cell>
          <cell r="E44">
            <v>47.067999999999998</v>
          </cell>
          <cell r="F44">
            <v>72.197999999999993</v>
          </cell>
          <cell r="G44">
            <v>104.116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78.099999999999994</v>
          </cell>
          <cell r="M44">
            <v>-5.902000000000001</v>
          </cell>
          <cell r="P44">
            <v>10</v>
          </cell>
          <cell r="Q44">
            <v>10</v>
          </cell>
          <cell r="R44">
            <v>14.439599999999999</v>
          </cell>
          <cell r="S44">
            <v>78.038399999999982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132.76900000000001</v>
          </cell>
          <cell r="E45">
            <v>162.06899999999999</v>
          </cell>
          <cell r="F45">
            <v>123.408</v>
          </cell>
          <cell r="G45">
            <v>122.992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136.03399999999999</v>
          </cell>
          <cell r="M45">
            <v>-12.625999999999991</v>
          </cell>
          <cell r="P45">
            <v>60</v>
          </cell>
          <cell r="Q45">
            <v>60</v>
          </cell>
          <cell r="R45">
            <v>24.6816</v>
          </cell>
          <cell r="S45">
            <v>102.55039999999997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277.726</v>
          </cell>
          <cell r="E46">
            <v>184.40100000000001</v>
          </cell>
          <cell r="F46">
            <v>212.54900000000001</v>
          </cell>
          <cell r="G46">
            <v>194.066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217.93100000000001</v>
          </cell>
          <cell r="M46">
            <v>-5.382000000000005</v>
          </cell>
          <cell r="P46">
            <v>85</v>
          </cell>
          <cell r="Q46">
            <v>85</v>
          </cell>
          <cell r="R46">
            <v>42.509799999999998</v>
          </cell>
          <cell r="S46">
            <v>231.07119999999998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463</v>
          </cell>
          <cell r="E47">
            <v>7378</v>
          </cell>
          <cell r="F47">
            <v>5625</v>
          </cell>
          <cell r="G47">
            <v>2022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5795</v>
          </cell>
          <cell r="M47">
            <v>-170</v>
          </cell>
          <cell r="P47">
            <v>1000</v>
          </cell>
          <cell r="Q47">
            <v>1000</v>
          </cell>
          <cell r="R47">
            <v>1125</v>
          </cell>
          <cell r="S47">
            <v>11728</v>
          </cell>
          <cell r="T47">
            <v>1700</v>
          </cell>
          <cell r="U47" t="str">
            <v>прошлый заказ 5300шт был под сеть ЮгТех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4.6920000000000002</v>
          </cell>
          <cell r="E48">
            <v>31.140999999999998</v>
          </cell>
          <cell r="F48">
            <v>13.323</v>
          </cell>
          <cell r="G48">
            <v>15.605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13.663</v>
          </cell>
          <cell r="M48">
            <v>-0.33999999999999986</v>
          </cell>
          <cell r="P48">
            <v>5</v>
          </cell>
          <cell r="Q48">
            <v>5</v>
          </cell>
          <cell r="R48">
            <v>2.6646000000000001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301</v>
          </cell>
          <cell r="E49">
            <v>2435</v>
          </cell>
          <cell r="F49">
            <v>1272</v>
          </cell>
          <cell r="G49">
            <v>1322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1311</v>
          </cell>
          <cell r="M49">
            <v>-39</v>
          </cell>
          <cell r="P49">
            <v>225</v>
          </cell>
          <cell r="Q49">
            <v>225</v>
          </cell>
          <cell r="R49">
            <v>254.4</v>
          </cell>
          <cell r="S49">
            <v>1789.6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102</v>
          </cell>
          <cell r="E50">
            <v>800</v>
          </cell>
          <cell r="F50">
            <v>450</v>
          </cell>
          <cell r="G50">
            <v>373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466</v>
          </cell>
          <cell r="M50">
            <v>-16</v>
          </cell>
          <cell r="P50">
            <v>360</v>
          </cell>
          <cell r="Q50">
            <v>360</v>
          </cell>
          <cell r="R50">
            <v>90</v>
          </cell>
          <cell r="S50">
            <v>167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105</v>
          </cell>
          <cell r="E51">
            <v>104</v>
          </cell>
          <cell r="F51">
            <v>123</v>
          </cell>
          <cell r="G51">
            <v>71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132</v>
          </cell>
          <cell r="M51">
            <v>-9</v>
          </cell>
          <cell r="P51">
            <v>60</v>
          </cell>
          <cell r="Q51">
            <v>60</v>
          </cell>
          <cell r="R51">
            <v>24.6</v>
          </cell>
          <cell r="S51">
            <v>153.40000000000003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204</v>
          </cell>
          <cell r="E52">
            <v>965</v>
          </cell>
          <cell r="F52">
            <v>309</v>
          </cell>
          <cell r="G52">
            <v>181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342</v>
          </cell>
          <cell r="M52">
            <v>-33</v>
          </cell>
          <cell r="P52">
            <v>180</v>
          </cell>
          <cell r="Q52">
            <v>180</v>
          </cell>
          <cell r="R52">
            <v>61.8</v>
          </cell>
          <cell r="S52">
            <v>324.19999999999993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51</v>
          </cell>
          <cell r="E53">
            <v>548</v>
          </cell>
          <cell r="F53">
            <v>271</v>
          </cell>
          <cell r="G53">
            <v>314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282</v>
          </cell>
          <cell r="M53">
            <v>-11</v>
          </cell>
          <cell r="P53">
            <v>150</v>
          </cell>
          <cell r="Q53">
            <v>150</v>
          </cell>
          <cell r="R53">
            <v>54.2</v>
          </cell>
          <cell r="S53">
            <v>144.80000000000007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-8</v>
          </cell>
          <cell r="E54">
            <v>128</v>
          </cell>
          <cell r="F54">
            <v>-1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140</v>
          </cell>
          <cell r="M54">
            <v>-141</v>
          </cell>
          <cell r="P54">
            <v>50</v>
          </cell>
          <cell r="Q54">
            <v>50</v>
          </cell>
          <cell r="R54">
            <v>-0.2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401</v>
          </cell>
          <cell r="E55">
            <v>87</v>
          </cell>
          <cell r="F55">
            <v>187</v>
          </cell>
          <cell r="G55">
            <v>279</v>
          </cell>
          <cell r="H55">
            <v>0.4</v>
          </cell>
          <cell r="I55" t="e">
            <v>#N/A</v>
          </cell>
          <cell r="J55" t="e">
            <v>#N/A</v>
          </cell>
          <cell r="L55">
            <v>193</v>
          </cell>
          <cell r="M55">
            <v>-6</v>
          </cell>
          <cell r="P55">
            <v>80</v>
          </cell>
          <cell r="Q55">
            <v>80</v>
          </cell>
          <cell r="R55">
            <v>37.4</v>
          </cell>
          <cell r="S55">
            <v>84.600000000000023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21</v>
          </cell>
          <cell r="E56">
            <v>347</v>
          </cell>
          <cell r="F56">
            <v>31</v>
          </cell>
          <cell r="G56">
            <v>330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36</v>
          </cell>
          <cell r="M56">
            <v>-5</v>
          </cell>
          <cell r="P56">
            <v>25</v>
          </cell>
          <cell r="Q56">
            <v>25</v>
          </cell>
          <cell r="R56">
            <v>6.2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180.94399999999999</v>
          </cell>
          <cell r="E57">
            <v>745.44600000000003</v>
          </cell>
          <cell r="F57">
            <v>466.47800000000001</v>
          </cell>
          <cell r="G57">
            <v>373.649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472.25599999999997</v>
          </cell>
          <cell r="M57">
            <v>-5.7779999999999632</v>
          </cell>
          <cell r="P57">
            <v>200</v>
          </cell>
          <cell r="Q57">
            <v>200</v>
          </cell>
          <cell r="R57">
            <v>93.295600000000007</v>
          </cell>
          <cell r="S57">
            <v>532.48940000000005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E58">
            <v>60.999000000000002</v>
          </cell>
          <cell r="F58">
            <v>42.953000000000003</v>
          </cell>
          <cell r="G58">
            <v>18.045999999999999</v>
          </cell>
          <cell r="H58">
            <v>1</v>
          </cell>
          <cell r="I58">
            <v>0</v>
          </cell>
          <cell r="J58">
            <v>0</v>
          </cell>
          <cell r="L58">
            <v>42.4</v>
          </cell>
          <cell r="M58">
            <v>0.55300000000000438</v>
          </cell>
          <cell r="P58">
            <v>0</v>
          </cell>
          <cell r="Q58">
            <v>0</v>
          </cell>
          <cell r="R58">
            <v>8.5906000000000002</v>
          </cell>
          <cell r="S58">
            <v>102.22239999999999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22</v>
          </cell>
          <cell r="F59">
            <v>14</v>
          </cell>
          <cell r="G59">
            <v>5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14</v>
          </cell>
          <cell r="M59">
            <v>0</v>
          </cell>
          <cell r="P59">
            <v>25</v>
          </cell>
          <cell r="Q59">
            <v>25</v>
          </cell>
          <cell r="R59">
            <v>2.8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D60">
            <v>41</v>
          </cell>
          <cell r="E60">
            <v>37</v>
          </cell>
          <cell r="F60">
            <v>45</v>
          </cell>
          <cell r="G60">
            <v>22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54</v>
          </cell>
          <cell r="M60">
            <v>-9</v>
          </cell>
          <cell r="P60">
            <v>0</v>
          </cell>
          <cell r="Q60">
            <v>0</v>
          </cell>
          <cell r="R60">
            <v>9</v>
          </cell>
          <cell r="S60">
            <v>104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19.616</v>
          </cell>
          <cell r="E61">
            <v>7.8570000000000002</v>
          </cell>
          <cell r="F61">
            <v>3.8290000000000002</v>
          </cell>
          <cell r="G61">
            <v>11.795</v>
          </cell>
          <cell r="H61">
            <v>1</v>
          </cell>
          <cell r="I61">
            <v>60</v>
          </cell>
          <cell r="J61" t="str">
            <v>новинка</v>
          </cell>
          <cell r="L61">
            <v>33.5</v>
          </cell>
          <cell r="M61">
            <v>-29.670999999999999</v>
          </cell>
          <cell r="P61">
            <v>10</v>
          </cell>
          <cell r="Q61">
            <v>10</v>
          </cell>
          <cell r="R61">
            <v>0.76580000000000004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13.54</v>
          </cell>
          <cell r="E62">
            <v>18.085000000000001</v>
          </cell>
          <cell r="F62">
            <v>22.64</v>
          </cell>
          <cell r="G62">
            <v>5.9749999999999996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22.4</v>
          </cell>
          <cell r="M62">
            <v>0.24000000000000199</v>
          </cell>
          <cell r="P62">
            <v>3</v>
          </cell>
          <cell r="Q62">
            <v>3</v>
          </cell>
          <cell r="R62">
            <v>4.5280000000000005</v>
          </cell>
          <cell r="S62">
            <v>51.417000000000009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105</v>
          </cell>
          <cell r="F63">
            <v>15</v>
          </cell>
          <cell r="G63">
            <v>89</v>
          </cell>
          <cell r="H63">
            <v>0.6</v>
          </cell>
          <cell r="I63">
            <v>0</v>
          </cell>
          <cell r="J63" t="e">
            <v>#N/A</v>
          </cell>
          <cell r="L63">
            <v>17</v>
          </cell>
          <cell r="M63">
            <v>-2</v>
          </cell>
          <cell r="P63">
            <v>0</v>
          </cell>
          <cell r="Q63">
            <v>0</v>
          </cell>
          <cell r="R63">
            <v>3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8</v>
          </cell>
          <cell r="E64">
            <v>176</v>
          </cell>
          <cell r="F64">
            <v>23</v>
          </cell>
          <cell r="G64">
            <v>159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24</v>
          </cell>
          <cell r="M64">
            <v>-1</v>
          </cell>
          <cell r="P64">
            <v>20</v>
          </cell>
          <cell r="Q64">
            <v>20</v>
          </cell>
          <cell r="R64">
            <v>4.5999999999999996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30.16</v>
          </cell>
          <cell r="E65">
            <v>18.667000000000002</v>
          </cell>
          <cell r="F65">
            <v>17.103000000000002</v>
          </cell>
          <cell r="G65">
            <v>30.068999999999999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18.600000000000001</v>
          </cell>
          <cell r="M65">
            <v>-1.4969999999999999</v>
          </cell>
          <cell r="P65">
            <v>0</v>
          </cell>
          <cell r="Q65">
            <v>0</v>
          </cell>
          <cell r="R65">
            <v>3.4206000000000003</v>
          </cell>
          <cell r="S65">
            <v>17.819400000000005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337</v>
          </cell>
          <cell r="E66">
            <v>1</v>
          </cell>
          <cell r="F66">
            <v>131</v>
          </cell>
          <cell r="G66">
            <v>200</v>
          </cell>
          <cell r="H66">
            <v>0.3</v>
          </cell>
          <cell r="I66">
            <v>0</v>
          </cell>
          <cell r="J66" t="e">
            <v>#N/A</v>
          </cell>
          <cell r="L66">
            <v>138</v>
          </cell>
          <cell r="M66">
            <v>-7</v>
          </cell>
          <cell r="P66">
            <v>0</v>
          </cell>
          <cell r="Q66">
            <v>0</v>
          </cell>
          <cell r="R66">
            <v>26.2</v>
          </cell>
          <cell r="S66">
            <v>166.8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639</v>
          </cell>
          <cell r="E67">
            <v>6267</v>
          </cell>
          <cell r="F67">
            <v>1410</v>
          </cell>
          <cell r="G67">
            <v>1389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1452</v>
          </cell>
          <cell r="M67">
            <v>-42</v>
          </cell>
          <cell r="P67">
            <v>1250</v>
          </cell>
          <cell r="Q67">
            <v>1250</v>
          </cell>
          <cell r="R67">
            <v>282</v>
          </cell>
          <cell r="S67">
            <v>59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836.83199999999999</v>
          </cell>
          <cell r="E68">
            <v>685.10400000000004</v>
          </cell>
          <cell r="F68">
            <v>474.55500000000001</v>
          </cell>
          <cell r="G68">
            <v>634.01400000000001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469.07400000000001</v>
          </cell>
          <cell r="M68">
            <v>5.4809999999999945</v>
          </cell>
          <cell r="P68">
            <v>50</v>
          </cell>
          <cell r="Q68">
            <v>50</v>
          </cell>
          <cell r="R68">
            <v>94.911000000000001</v>
          </cell>
          <cell r="S68">
            <v>594.7399999999999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59</v>
          </cell>
          <cell r="E69">
            <v>88</v>
          </cell>
          <cell r="F69">
            <v>47</v>
          </cell>
          <cell r="G69">
            <v>97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50</v>
          </cell>
          <cell r="M69">
            <v>-3</v>
          </cell>
          <cell r="P69">
            <v>10</v>
          </cell>
          <cell r="Q69">
            <v>10</v>
          </cell>
          <cell r="R69">
            <v>9.4</v>
          </cell>
          <cell r="T69">
            <v>50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2571</v>
          </cell>
          <cell r="E70">
            <v>25</v>
          </cell>
          <cell r="F70">
            <v>620</v>
          </cell>
          <cell r="G70">
            <v>1945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638.1</v>
          </cell>
          <cell r="M70">
            <v>-18.100000000000023</v>
          </cell>
          <cell r="P70">
            <v>0</v>
          </cell>
          <cell r="Q70">
            <v>0</v>
          </cell>
          <cell r="R70">
            <v>124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144.976</v>
          </cell>
          <cell r="E71">
            <v>241.316</v>
          </cell>
          <cell r="F71">
            <v>195</v>
          </cell>
          <cell r="G71">
            <v>127.062</v>
          </cell>
          <cell r="H71">
            <v>1</v>
          </cell>
          <cell r="I71">
            <v>0</v>
          </cell>
          <cell r="J71" t="e">
            <v>#N/A</v>
          </cell>
          <cell r="L71">
            <v>133.065</v>
          </cell>
          <cell r="M71">
            <v>61.935000000000002</v>
          </cell>
          <cell r="P71">
            <v>115</v>
          </cell>
          <cell r="Q71">
            <v>115</v>
          </cell>
          <cell r="R71">
            <v>39</v>
          </cell>
          <cell r="T71">
            <v>120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E72">
            <v>12</v>
          </cell>
          <cell r="F72">
            <v>-3</v>
          </cell>
          <cell r="G72">
            <v>12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163</v>
          </cell>
          <cell r="M72">
            <v>-166</v>
          </cell>
          <cell r="P72">
            <v>15</v>
          </cell>
          <cell r="Q72">
            <v>15</v>
          </cell>
          <cell r="R72">
            <v>-0.6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37</v>
          </cell>
          <cell r="E73">
            <v>1229</v>
          </cell>
          <cell r="F73">
            <v>243</v>
          </cell>
          <cell r="G73">
            <v>479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255</v>
          </cell>
          <cell r="M73">
            <v>-12</v>
          </cell>
          <cell r="P73">
            <v>85</v>
          </cell>
          <cell r="Q73">
            <v>85</v>
          </cell>
          <cell r="R73">
            <v>48.6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E74">
            <v>0.93700000000000006</v>
          </cell>
          <cell r="F74">
            <v>0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0</v>
          </cell>
          <cell r="M74">
            <v>0</v>
          </cell>
          <cell r="P74">
            <v>8</v>
          </cell>
          <cell r="Q74">
            <v>8</v>
          </cell>
          <cell r="R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12</v>
          </cell>
          <cell r="E75">
            <v>16</v>
          </cell>
          <cell r="F75">
            <v>15</v>
          </cell>
          <cell r="G75">
            <v>9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16</v>
          </cell>
          <cell r="M75">
            <v>-1</v>
          </cell>
          <cell r="P75">
            <v>0</v>
          </cell>
          <cell r="Q75">
            <v>0</v>
          </cell>
          <cell r="R75">
            <v>3</v>
          </cell>
          <cell r="T75">
            <v>24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500</v>
          </cell>
          <cell r="E76">
            <v>1398</v>
          </cell>
          <cell r="F76">
            <v>883.34400000000005</v>
          </cell>
          <cell r="G76">
            <v>919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900</v>
          </cell>
          <cell r="M76">
            <v>-16.655999999999949</v>
          </cell>
          <cell r="P76">
            <v>195</v>
          </cell>
          <cell r="Q76">
            <v>195</v>
          </cell>
          <cell r="R76">
            <v>176.6688</v>
          </cell>
          <cell r="S76">
            <v>1164.3632000000002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216.76</v>
          </cell>
          <cell r="E77">
            <v>65.977999999999994</v>
          </cell>
          <cell r="F77">
            <v>122.435</v>
          </cell>
          <cell r="G77">
            <v>153.51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121.447</v>
          </cell>
          <cell r="M77">
            <v>0.98799999999999955</v>
          </cell>
          <cell r="P77">
            <v>30</v>
          </cell>
          <cell r="Q77">
            <v>30</v>
          </cell>
          <cell r="R77">
            <v>24.487000000000002</v>
          </cell>
          <cell r="S77">
            <v>129.30800000000005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6.22</v>
          </cell>
          <cell r="M78">
            <v>-6.22</v>
          </cell>
          <cell r="P78">
            <v>0</v>
          </cell>
          <cell r="Q78">
            <v>0</v>
          </cell>
          <cell r="R78">
            <v>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273.642</v>
          </cell>
          <cell r="E79">
            <v>491.245</v>
          </cell>
          <cell r="F79">
            <v>388.30700000000002</v>
          </cell>
          <cell r="G79">
            <v>300.95499999999998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388.24299999999999</v>
          </cell>
          <cell r="M79">
            <v>6.4000000000021373E-2</v>
          </cell>
          <cell r="P79">
            <v>280</v>
          </cell>
          <cell r="Q79">
            <v>280</v>
          </cell>
          <cell r="R79">
            <v>77.6614</v>
          </cell>
          <cell r="S79">
            <v>226.30460000000016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2336</v>
          </cell>
          <cell r="E80">
            <v>276</v>
          </cell>
          <cell r="F80">
            <v>867</v>
          </cell>
          <cell r="G80">
            <v>1624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890.7</v>
          </cell>
          <cell r="M80">
            <v>-23.700000000000045</v>
          </cell>
          <cell r="P80">
            <v>0</v>
          </cell>
          <cell r="Q80">
            <v>0</v>
          </cell>
          <cell r="R80">
            <v>173.4</v>
          </cell>
          <cell r="S80">
            <v>803.59999999999991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45</v>
          </cell>
          <cell r="E81">
            <v>140</v>
          </cell>
          <cell r="F81">
            <v>110</v>
          </cell>
          <cell r="G81">
            <v>61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117</v>
          </cell>
          <cell r="M81">
            <v>-7</v>
          </cell>
          <cell r="P81">
            <v>35</v>
          </cell>
          <cell r="Q81">
            <v>35</v>
          </cell>
          <cell r="R81">
            <v>22</v>
          </cell>
          <cell r="S81">
            <v>177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41</v>
          </cell>
          <cell r="F82">
            <v>5</v>
          </cell>
          <cell r="G82">
            <v>36</v>
          </cell>
          <cell r="H82">
            <v>0.7</v>
          </cell>
          <cell r="I82" t="e">
            <v>#N/A</v>
          </cell>
          <cell r="J82" t="e">
            <v>#N/A</v>
          </cell>
          <cell r="L82">
            <v>87</v>
          </cell>
          <cell r="M82">
            <v>-82</v>
          </cell>
          <cell r="P82">
            <v>75</v>
          </cell>
          <cell r="Q82">
            <v>75</v>
          </cell>
          <cell r="R82">
            <v>1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190</v>
          </cell>
          <cell r="F83">
            <v>75</v>
          </cell>
          <cell r="G83">
            <v>111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81</v>
          </cell>
          <cell r="M83">
            <v>-6</v>
          </cell>
          <cell r="P83">
            <v>0</v>
          </cell>
          <cell r="Q83">
            <v>0</v>
          </cell>
          <cell r="R83">
            <v>15</v>
          </cell>
          <cell r="S83">
            <v>99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129</v>
          </cell>
          <cell r="E84">
            <v>248</v>
          </cell>
          <cell r="F84">
            <v>163</v>
          </cell>
          <cell r="G84">
            <v>188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165</v>
          </cell>
          <cell r="M84">
            <v>-2</v>
          </cell>
          <cell r="P84">
            <v>170</v>
          </cell>
          <cell r="Q84">
            <v>170</v>
          </cell>
          <cell r="R84">
            <v>32.6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204</v>
          </cell>
          <cell r="E85">
            <v>291</v>
          </cell>
          <cell r="F85">
            <v>302</v>
          </cell>
          <cell r="G85">
            <v>138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336</v>
          </cell>
          <cell r="M85">
            <v>-34</v>
          </cell>
          <cell r="P85">
            <v>25</v>
          </cell>
          <cell r="Q85">
            <v>25</v>
          </cell>
          <cell r="R85">
            <v>60.4</v>
          </cell>
          <cell r="S85">
            <v>657.6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-6</v>
          </cell>
          <cell r="E86">
            <v>185</v>
          </cell>
          <cell r="F86">
            <v>54</v>
          </cell>
          <cell r="G86">
            <v>113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64</v>
          </cell>
          <cell r="M86">
            <v>-10</v>
          </cell>
          <cell r="P86">
            <v>60</v>
          </cell>
          <cell r="Q86">
            <v>60</v>
          </cell>
          <cell r="R86">
            <v>10.8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31</v>
          </cell>
          <cell r="E87">
            <v>696</v>
          </cell>
          <cell r="F87">
            <v>255</v>
          </cell>
          <cell r="G87">
            <v>419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298</v>
          </cell>
          <cell r="M87">
            <v>-43</v>
          </cell>
          <cell r="P87">
            <v>0</v>
          </cell>
          <cell r="Q87">
            <v>0</v>
          </cell>
          <cell r="R87">
            <v>51</v>
          </cell>
          <cell r="S87">
            <v>295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579</v>
          </cell>
          <cell r="E88">
            <v>255</v>
          </cell>
          <cell r="F88">
            <v>448</v>
          </cell>
          <cell r="G88">
            <v>302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453</v>
          </cell>
          <cell r="M88">
            <v>-5</v>
          </cell>
          <cell r="P88">
            <v>30</v>
          </cell>
          <cell r="Q88">
            <v>30</v>
          </cell>
          <cell r="R88">
            <v>89.6</v>
          </cell>
          <cell r="S88">
            <v>892.39999999999986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9</v>
          </cell>
          <cell r="E89">
            <v>119</v>
          </cell>
          <cell r="F89">
            <v>12</v>
          </cell>
          <cell r="G89">
            <v>116</v>
          </cell>
          <cell r="H89">
            <v>0.3</v>
          </cell>
          <cell r="I89">
            <v>0</v>
          </cell>
          <cell r="J89">
            <v>0</v>
          </cell>
          <cell r="L89">
            <v>12</v>
          </cell>
          <cell r="M89">
            <v>0</v>
          </cell>
          <cell r="P89">
            <v>55</v>
          </cell>
          <cell r="Q89">
            <v>55</v>
          </cell>
          <cell r="R89">
            <v>2.4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5</v>
          </cell>
          <cell r="E90">
            <v>48</v>
          </cell>
          <cell r="F90">
            <v>18</v>
          </cell>
          <cell r="G90">
            <v>30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49</v>
          </cell>
          <cell r="M90">
            <v>-31</v>
          </cell>
          <cell r="P90">
            <v>0</v>
          </cell>
          <cell r="Q90">
            <v>0</v>
          </cell>
          <cell r="R90">
            <v>3.6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120</v>
          </cell>
          <cell r="E91">
            <v>59</v>
          </cell>
          <cell r="F91">
            <v>65</v>
          </cell>
          <cell r="G91">
            <v>44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76</v>
          </cell>
          <cell r="M91">
            <v>-11</v>
          </cell>
          <cell r="P91">
            <v>0</v>
          </cell>
          <cell r="Q91">
            <v>0</v>
          </cell>
          <cell r="R91">
            <v>13</v>
          </cell>
          <cell r="S91">
            <v>138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5</v>
          </cell>
          <cell r="E92">
            <v>64</v>
          </cell>
          <cell r="F92">
            <v>22</v>
          </cell>
          <cell r="G92">
            <v>39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33</v>
          </cell>
          <cell r="M92">
            <v>-11</v>
          </cell>
          <cell r="P92">
            <v>0</v>
          </cell>
          <cell r="Q92">
            <v>0</v>
          </cell>
          <cell r="R92">
            <v>4.4000000000000004</v>
          </cell>
          <cell r="T92">
            <v>30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13</v>
          </cell>
          <cell r="E93">
            <v>48</v>
          </cell>
          <cell r="F93">
            <v>20</v>
          </cell>
          <cell r="G93">
            <v>41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20</v>
          </cell>
          <cell r="M93">
            <v>0</v>
          </cell>
          <cell r="P93">
            <v>0</v>
          </cell>
          <cell r="Q93">
            <v>0</v>
          </cell>
          <cell r="R93">
            <v>4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194</v>
          </cell>
          <cell r="E94">
            <v>116</v>
          </cell>
          <cell r="F94">
            <v>163</v>
          </cell>
          <cell r="G94">
            <v>131</v>
          </cell>
          <cell r="H94">
            <v>0.3</v>
          </cell>
          <cell r="I94">
            <v>0</v>
          </cell>
          <cell r="J94" t="e">
            <v>#N/A</v>
          </cell>
          <cell r="L94">
            <v>173</v>
          </cell>
          <cell r="M94">
            <v>-10</v>
          </cell>
          <cell r="P94">
            <v>70</v>
          </cell>
          <cell r="Q94">
            <v>70</v>
          </cell>
          <cell r="R94">
            <v>32.6</v>
          </cell>
          <cell r="S94">
            <v>185.40000000000003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42</v>
          </cell>
          <cell r="E95">
            <v>551</v>
          </cell>
          <cell r="F95">
            <v>253</v>
          </cell>
          <cell r="G95">
            <v>297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267</v>
          </cell>
          <cell r="M95">
            <v>-14</v>
          </cell>
          <cell r="P95">
            <v>60</v>
          </cell>
          <cell r="Q95">
            <v>60</v>
          </cell>
          <cell r="R95">
            <v>50.6</v>
          </cell>
          <cell r="S95">
            <v>291.39999999999998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275</v>
          </cell>
          <cell r="E96">
            <v>206</v>
          </cell>
          <cell r="F96">
            <v>281</v>
          </cell>
          <cell r="G96">
            <v>176</v>
          </cell>
          <cell r="H96">
            <v>0.33</v>
          </cell>
          <cell r="I96">
            <v>0</v>
          </cell>
          <cell r="J96" t="e">
            <v>#N/A</v>
          </cell>
          <cell r="L96">
            <v>296</v>
          </cell>
          <cell r="M96">
            <v>-15</v>
          </cell>
          <cell r="P96">
            <v>110</v>
          </cell>
          <cell r="Q96">
            <v>110</v>
          </cell>
          <cell r="R96">
            <v>56.2</v>
          </cell>
          <cell r="S96">
            <v>390.80000000000007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229</v>
          </cell>
          <cell r="E97">
            <v>205</v>
          </cell>
          <cell r="F97">
            <v>176</v>
          </cell>
          <cell r="G97">
            <v>24</v>
          </cell>
          <cell r="H97">
            <v>0.4</v>
          </cell>
          <cell r="I97">
            <v>0</v>
          </cell>
          <cell r="J97" t="str">
            <v>ротация</v>
          </cell>
          <cell r="L97">
            <v>181</v>
          </cell>
          <cell r="M97">
            <v>-5</v>
          </cell>
          <cell r="P97">
            <v>25</v>
          </cell>
          <cell r="Q97">
            <v>25</v>
          </cell>
          <cell r="R97">
            <v>35.200000000000003</v>
          </cell>
          <cell r="S97">
            <v>418.80000000000007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D98">
            <v>25.773</v>
          </cell>
          <cell r="E98">
            <v>5.0880000000000001</v>
          </cell>
          <cell r="F98">
            <v>23.315999999999999</v>
          </cell>
          <cell r="G98">
            <v>6.7030000000000003</v>
          </cell>
          <cell r="H98">
            <v>1</v>
          </cell>
          <cell r="I98" t="e">
            <v>#N/A</v>
          </cell>
          <cell r="J98" t="e">
            <v>#N/A</v>
          </cell>
          <cell r="L98">
            <v>22.635000000000002</v>
          </cell>
          <cell r="M98">
            <v>0.68099999999999739</v>
          </cell>
          <cell r="P98">
            <v>7</v>
          </cell>
          <cell r="Q98">
            <v>7</v>
          </cell>
          <cell r="R98">
            <v>4.6631999999999998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40</v>
          </cell>
          <cell r="F99">
            <v>13</v>
          </cell>
          <cell r="G99">
            <v>21</v>
          </cell>
          <cell r="H99">
            <v>0</v>
          </cell>
          <cell r="I99">
            <v>0</v>
          </cell>
          <cell r="J99">
            <v>0</v>
          </cell>
          <cell r="L99">
            <v>17</v>
          </cell>
          <cell r="M99">
            <v>-4</v>
          </cell>
          <cell r="P99">
            <v>0</v>
          </cell>
          <cell r="Q99">
            <v>0</v>
          </cell>
          <cell r="R99">
            <v>2.6</v>
          </cell>
          <cell r="T99">
            <v>300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63.18</v>
          </cell>
          <cell r="G100">
            <v>-90.355000000000004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63.18</v>
          </cell>
          <cell r="P100">
            <v>0</v>
          </cell>
          <cell r="Q100">
            <v>0</v>
          </cell>
          <cell r="R100">
            <v>12.635999999999999</v>
          </cell>
          <cell r="S100">
            <v>267.25900000000001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E390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F6" sqref="AF6"/>
    </sheetView>
  </sheetViews>
  <sheetFormatPr defaultColWidth="10.5" defaultRowHeight="11.45" customHeight="1" outlineLevelRow="1" x14ac:dyDescent="0.2"/>
  <cols>
    <col min="1" max="1" width="54.5" style="1" customWidth="1"/>
    <col min="2" max="3" width="5.1640625" style="1" customWidth="1"/>
    <col min="4" max="4" width="9" style="1" customWidth="1"/>
    <col min="5" max="6" width="9.1640625" style="1" bestFit="1" customWidth="1"/>
    <col min="7" max="7" width="9.83203125" style="1" customWidth="1"/>
    <col min="8" max="32" width="7.33203125" style="6" customWidth="1"/>
    <col min="33" max="16384" width="10.5" style="6"/>
  </cols>
  <sheetData>
    <row r="1" spans="1:83" s="1" customFormat="1" ht="9.9499999999999993" customHeight="1" x14ac:dyDescent="0.2"/>
    <row r="2" spans="1:83" ht="24.95" customHeight="1" x14ac:dyDescent="0.2">
      <c r="A2" s="2" t="s">
        <v>0</v>
      </c>
    </row>
    <row r="3" spans="1:83" s="1" customFormat="1" ht="9.9499999999999993" customHeight="1" x14ac:dyDescent="0.2"/>
    <row r="4" spans="1:83" ht="12.95" customHeight="1" outlineLevel="1" x14ac:dyDescent="0.2">
      <c r="A4" s="3" t="s">
        <v>1</v>
      </c>
      <c r="B4" s="3"/>
      <c r="C4" s="3"/>
      <c r="D4" s="3"/>
    </row>
    <row r="5" spans="1:83" ht="12.95" customHeight="1" outlineLevel="1" x14ac:dyDescent="0.2">
      <c r="B5" s="3"/>
      <c r="C5" s="3"/>
      <c r="D5" s="3"/>
    </row>
    <row r="6" spans="1:83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83" s="1" customFormat="1" ht="9.9499999999999993" customHeight="1" x14ac:dyDescent="0.2"/>
    <row r="8" spans="1:83" ht="12.95" customHeight="1" x14ac:dyDescent="0.25">
      <c r="A8" s="7" t="s">
        <v>3</v>
      </c>
      <c r="B8" s="7" t="s">
        <v>4</v>
      </c>
      <c r="C8" s="7"/>
      <c r="D8" s="5" t="s">
        <v>5</v>
      </c>
      <c r="E8" s="5" t="s">
        <v>6</v>
      </c>
      <c r="F8" s="5" t="s">
        <v>7</v>
      </c>
      <c r="G8" s="5" t="s">
        <v>8</v>
      </c>
      <c r="H8" s="13" t="s">
        <v>101</v>
      </c>
      <c r="I8" s="13" t="s">
        <v>102</v>
      </c>
      <c r="J8" s="14" t="s">
        <v>103</v>
      </c>
      <c r="K8" s="15" t="s">
        <v>104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109</v>
      </c>
      <c r="Q8" s="15" t="s">
        <v>109</v>
      </c>
      <c r="R8" s="15" t="s">
        <v>110</v>
      </c>
      <c r="S8" s="16" t="s">
        <v>111</v>
      </c>
      <c r="T8" s="16" t="s">
        <v>129</v>
      </c>
      <c r="U8" s="16" t="s">
        <v>129</v>
      </c>
      <c r="V8" s="17" t="s">
        <v>112</v>
      </c>
      <c r="W8" s="17" t="s">
        <v>113</v>
      </c>
      <c r="X8" s="15" t="s">
        <v>114</v>
      </c>
      <c r="Y8" s="15" t="s">
        <v>115</v>
      </c>
      <c r="Z8" s="15" t="s">
        <v>116</v>
      </c>
      <c r="AA8" s="15" t="s">
        <v>116</v>
      </c>
      <c r="AB8" s="15" t="s">
        <v>116</v>
      </c>
      <c r="AC8" s="15" t="s">
        <v>116</v>
      </c>
      <c r="AD8" s="15" t="s">
        <v>117</v>
      </c>
      <c r="AE8" s="15" t="s">
        <v>118</v>
      </c>
      <c r="AF8" s="15" t="s">
        <v>118</v>
      </c>
    </row>
    <row r="9" spans="1:83" ht="12.95" customHeight="1" x14ac:dyDescent="0.2">
      <c r="A9" s="7"/>
      <c r="B9" s="7"/>
      <c r="C9" s="7"/>
      <c r="D9" s="5"/>
      <c r="E9" s="5"/>
      <c r="F9" s="5"/>
      <c r="G9" s="5"/>
      <c r="H9" s="18"/>
      <c r="I9" s="18"/>
      <c r="J9" s="19"/>
      <c r="K9" s="18"/>
      <c r="L9" s="18"/>
      <c r="M9" s="18"/>
      <c r="N9" s="18"/>
      <c r="O9" s="18"/>
      <c r="P9" s="18" t="s">
        <v>120</v>
      </c>
      <c r="Q9" s="18" t="s">
        <v>121</v>
      </c>
      <c r="R9" s="18" t="s">
        <v>121</v>
      </c>
      <c r="S9" s="18" t="s">
        <v>125</v>
      </c>
      <c r="T9" s="18" t="s">
        <v>130</v>
      </c>
      <c r="U9" s="18" t="s">
        <v>126</v>
      </c>
      <c r="V9" s="18" t="s">
        <v>126</v>
      </c>
      <c r="W9" s="18"/>
      <c r="X9" s="18"/>
      <c r="Y9" s="18"/>
      <c r="Z9" s="20" t="s">
        <v>122</v>
      </c>
      <c r="AA9" s="20" t="s">
        <v>124</v>
      </c>
      <c r="AB9" s="20" t="s">
        <v>123</v>
      </c>
      <c r="AC9" s="20" t="s">
        <v>119</v>
      </c>
      <c r="AD9" s="18"/>
      <c r="AE9" s="18" t="s">
        <v>130</v>
      </c>
      <c r="AF9" s="18" t="s">
        <v>126</v>
      </c>
    </row>
    <row r="10" spans="1:83" ht="12.95" customHeight="1" x14ac:dyDescent="0.2">
      <c r="A10" s="7"/>
      <c r="B10" s="7"/>
      <c r="C10" s="22"/>
      <c r="D10" s="21">
        <f>SUM(D11:D358)</f>
        <v>19570.662000000004</v>
      </c>
      <c r="E10" s="21">
        <f t="shared" ref="E10:G10" si="0">SUM(E11:E358)</f>
        <v>42781.095000000001</v>
      </c>
      <c r="F10" s="21">
        <f t="shared" si="0"/>
        <v>26548.022000000001</v>
      </c>
      <c r="G10" s="21">
        <f t="shared" si="0"/>
        <v>26280.718000000001</v>
      </c>
      <c r="H10" s="18"/>
      <c r="I10" s="18"/>
      <c r="J10" s="19"/>
      <c r="K10" s="18"/>
      <c r="L10" s="21">
        <f>SUM(L11:L358)</f>
        <v>28222.245999999999</v>
      </c>
      <c r="M10" s="21">
        <f>SUM(M11:M358)</f>
        <v>-1674.2239999999999</v>
      </c>
      <c r="N10" s="18"/>
      <c r="O10" s="21">
        <f t="shared" ref="O10:V10" si="1">SUM(O11:O358)</f>
        <v>0</v>
      </c>
      <c r="P10" s="21">
        <f t="shared" si="1"/>
        <v>9953</v>
      </c>
      <c r="Q10" s="21">
        <f t="shared" si="1"/>
        <v>9953</v>
      </c>
      <c r="R10" s="21">
        <f t="shared" si="1"/>
        <v>5309.6044000000011</v>
      </c>
      <c r="S10" s="21">
        <f t="shared" si="1"/>
        <v>20284</v>
      </c>
      <c r="T10" s="21">
        <f t="shared" si="1"/>
        <v>10292</v>
      </c>
      <c r="U10" s="21">
        <f t="shared" ref="U10" si="2">SUM(U11:U358)</f>
        <v>9992</v>
      </c>
      <c r="V10" s="21">
        <f t="shared" si="1"/>
        <v>2224</v>
      </c>
      <c r="W10" s="18"/>
      <c r="X10" s="18"/>
      <c r="Y10" s="18"/>
      <c r="Z10" s="21">
        <f>SUM(Z11:Z358)</f>
        <v>3533.6551999999997</v>
      </c>
      <c r="AA10" s="21">
        <f>SUM(AA11:AA358)</f>
        <v>3708.2139999999995</v>
      </c>
      <c r="AB10" s="21">
        <f>SUM(AB11:AB358)</f>
        <v>3634.0737999999992</v>
      </c>
      <c r="AC10" s="21">
        <f>SUM(AC11:AC358)</f>
        <v>3524.2385999999997</v>
      </c>
      <c r="AD10" s="18"/>
      <c r="AE10" s="21">
        <f>SUM(AE11:AE358)</f>
        <v>5391.9900000000007</v>
      </c>
      <c r="AF10" s="21">
        <f>SUM(AF11:AF358)</f>
        <v>5091.99</v>
      </c>
    </row>
    <row r="11" spans="1:83" ht="11.1" customHeight="1" x14ac:dyDescent="0.2">
      <c r="A11" s="8" t="s">
        <v>9</v>
      </c>
      <c r="B11" s="8" t="s">
        <v>10</v>
      </c>
      <c r="C11" s="8">
        <f>VLOOKUP(A:A,[1]TDSheet!$A:$C,3,0)</f>
        <v>3215</v>
      </c>
      <c r="D11" s="9">
        <v>525</v>
      </c>
      <c r="E11" s="9">
        <v>195</v>
      </c>
      <c r="F11" s="9">
        <v>382</v>
      </c>
      <c r="G11" s="9">
        <v>310</v>
      </c>
      <c r="H11" s="23">
        <f>VLOOKUP(A:A,[1]TDSheet!$A:$H,8,0)</f>
        <v>0.4</v>
      </c>
      <c r="I11" s="10">
        <f>VLOOKUP(A:A,[1]TDSheet!$A:$I,9,0)</f>
        <v>60</v>
      </c>
      <c r="J11" s="10" t="str">
        <f>VLOOKUP(A:A,[1]TDSheet!$A:$J,10,0)</f>
        <v>в матрице</v>
      </c>
      <c r="K11" s="10"/>
      <c r="L11" s="10">
        <f>VLOOKUP(A:A,[2]TDSheet!$A:$B,2,0)</f>
        <v>392</v>
      </c>
      <c r="M11" s="10">
        <f>F11-L11</f>
        <v>-10</v>
      </c>
      <c r="N11" s="10"/>
      <c r="O11" s="10"/>
      <c r="P11" s="10">
        <f>VLOOKUP(A:A,[1]TDSheet!$A:$S,19,0)</f>
        <v>110</v>
      </c>
      <c r="Q11" s="10">
        <v>110</v>
      </c>
      <c r="R11" s="10">
        <f>F11/5</f>
        <v>76.400000000000006</v>
      </c>
      <c r="S11" s="24">
        <v>540</v>
      </c>
      <c r="T11" s="24">
        <f>ROUND(S11/2,0)</f>
        <v>270</v>
      </c>
      <c r="U11" s="24">
        <f>S11-T11</f>
        <v>270</v>
      </c>
      <c r="V11" s="24"/>
      <c r="W11" s="10">
        <f>VLOOKUP(A:A,[3]TDSheet!$A:$U,21,0)</f>
        <v>0</v>
      </c>
      <c r="X11" s="10">
        <f>(G11+P11+Q11+S11)/R11</f>
        <v>14.00523560209424</v>
      </c>
      <c r="Y11" s="10">
        <f>G11/R11</f>
        <v>4.0575916230366493</v>
      </c>
      <c r="Z11" s="10">
        <f>VLOOKUP(A:A,[1]TDSheet!$A:$Y,25,0)</f>
        <v>59.8</v>
      </c>
      <c r="AA11" s="10">
        <f>VLOOKUP(A:A,[1]TDSheet!$A:$Z,26,0)</f>
        <v>79.8</v>
      </c>
      <c r="AB11" s="10">
        <f>VLOOKUP(A:A,[1]TDSheet!$A:$AA,27,0)</f>
        <v>60.4</v>
      </c>
      <c r="AC11" s="10">
        <f>VLOOKUP(A:A,[1]TDSheet!$A:$R,18,0)</f>
        <v>56.2</v>
      </c>
      <c r="AD11" s="10" t="str">
        <f>VLOOKUP(A:A,[1]TDSheet!$A:$AB,28,0)</f>
        <v>ТС Обжора</v>
      </c>
      <c r="AE11" s="10">
        <f>T11*H11</f>
        <v>108</v>
      </c>
      <c r="AF11" s="10">
        <f>U11*H11</f>
        <v>108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</row>
    <row r="12" spans="1:83" ht="11.1" customHeight="1" x14ac:dyDescent="0.2">
      <c r="A12" s="8" t="s">
        <v>11</v>
      </c>
      <c r="B12" s="8" t="s">
        <v>12</v>
      </c>
      <c r="C12" s="8">
        <f>VLOOKUP(A:A,[1]TDSheet!$A:$C,3,0)</f>
        <v>3287</v>
      </c>
      <c r="D12" s="9">
        <v>22.356000000000002</v>
      </c>
      <c r="E12" s="9"/>
      <c r="F12" s="9">
        <v>9.8279999999999994</v>
      </c>
      <c r="G12" s="9">
        <v>12.528</v>
      </c>
      <c r="H12" s="23">
        <f>VLOOKUP(A:A,[1]TDSheet!$A:$H,8,0)</f>
        <v>1</v>
      </c>
      <c r="I12" s="10">
        <f>VLOOKUP(A:A,[1]TDSheet!$A:$I,9,0)</f>
        <v>120</v>
      </c>
      <c r="J12" s="10" t="str">
        <f>VLOOKUP(A:A,[1]TDSheet!$A:$J,10,0)</f>
        <v>в матрице</v>
      </c>
      <c r="K12" s="10"/>
      <c r="L12" s="10">
        <f>VLOOKUP(A:A,[2]TDSheet!$A:$B,2,0)</f>
        <v>10.1</v>
      </c>
      <c r="M12" s="10">
        <f t="shared" ref="M12:M75" si="3">F12-L12</f>
        <v>-0.27200000000000024</v>
      </c>
      <c r="N12" s="10"/>
      <c r="O12" s="10"/>
      <c r="P12" s="10">
        <f>VLOOKUP(A:A,[1]TDSheet!$A:$S,19,0)</f>
        <v>0</v>
      </c>
      <c r="Q12" s="10">
        <v>0</v>
      </c>
      <c r="R12" s="10">
        <f t="shared" ref="R12:R75" si="4">F12/5</f>
        <v>1.9655999999999998</v>
      </c>
      <c r="S12" s="24">
        <v>20</v>
      </c>
      <c r="T12" s="24">
        <f t="shared" ref="T12:T75" si="5">ROUND(S12/2,0)</f>
        <v>10</v>
      </c>
      <c r="U12" s="24">
        <f t="shared" ref="U12:U75" si="6">S12-T12</f>
        <v>10</v>
      </c>
      <c r="V12" s="24"/>
      <c r="W12" s="10">
        <f>VLOOKUP(A:A,[3]TDSheet!$A:$U,21,0)</f>
        <v>0</v>
      </c>
      <c r="X12" s="10">
        <f t="shared" ref="X12:X75" si="7">(G12+P12+Q12+S12)/R12</f>
        <v>16.548636548636551</v>
      </c>
      <c r="Y12" s="10">
        <f t="shared" ref="Y12:Y75" si="8">G12/R12</f>
        <v>6.373626373626375</v>
      </c>
      <c r="Z12" s="10">
        <f>VLOOKUP(A:A,[1]TDSheet!$A:$Y,25,0)</f>
        <v>1.6341999999999999</v>
      </c>
      <c r="AA12" s="10">
        <f>VLOOKUP(A:A,[1]TDSheet!$A:$Z,26,0)</f>
        <v>1.167</v>
      </c>
      <c r="AB12" s="10">
        <f>VLOOKUP(A:A,[1]TDSheet!$A:$AA,27,0)</f>
        <v>0.98599999999999999</v>
      </c>
      <c r="AC12" s="10">
        <f>VLOOKUP(A:A,[1]TDSheet!$A:$R,18,0)</f>
        <v>1.5744</v>
      </c>
      <c r="AD12" s="10" t="str">
        <f>VLOOKUP(A:A,[1]TDSheet!$A:$AB,28,0)</f>
        <v>увел продажи</v>
      </c>
      <c r="AE12" s="10">
        <f t="shared" ref="AE12:AE75" si="9">T12*H12</f>
        <v>10</v>
      </c>
      <c r="AF12" s="10">
        <f t="shared" ref="AF12:AF75" si="10">U12*H12</f>
        <v>10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83" ht="11.1" customHeight="1" x14ac:dyDescent="0.2">
      <c r="A13" s="8" t="s">
        <v>13</v>
      </c>
      <c r="B13" s="8" t="s">
        <v>10</v>
      </c>
      <c r="C13" s="8">
        <f>VLOOKUP(A:A,[1]TDSheet!$A:$C,3,0)</f>
        <v>3986</v>
      </c>
      <c r="D13" s="9">
        <v>95</v>
      </c>
      <c r="E13" s="9">
        <v>584</v>
      </c>
      <c r="F13" s="9">
        <v>229</v>
      </c>
      <c r="G13" s="9">
        <v>430</v>
      </c>
      <c r="H13" s="23">
        <f>VLOOKUP(A:A,[1]TDSheet!$A:$H,8,0)</f>
        <v>0.25</v>
      </c>
      <c r="I13" s="10">
        <f>VLOOKUP(A:A,[1]TDSheet!$A:$I,9,0)</f>
        <v>120</v>
      </c>
      <c r="J13" s="10" t="str">
        <f>VLOOKUP(A:A,[1]TDSheet!$A:$J,10,0)</f>
        <v>ВНИМАНИЕ / в матрице</v>
      </c>
      <c r="K13" s="10"/>
      <c r="L13" s="10">
        <f>VLOOKUP(A:A,[2]TDSheet!$A:$B,2,0)</f>
        <v>230</v>
      </c>
      <c r="M13" s="10">
        <f t="shared" si="3"/>
        <v>-1</v>
      </c>
      <c r="N13" s="10"/>
      <c r="O13" s="10"/>
      <c r="P13" s="10">
        <f>VLOOKUP(A:A,[1]TDSheet!$A:$S,19,0)</f>
        <v>140</v>
      </c>
      <c r="Q13" s="10">
        <v>140</v>
      </c>
      <c r="R13" s="10">
        <f t="shared" si="4"/>
        <v>45.8</v>
      </c>
      <c r="S13" s="24"/>
      <c r="T13" s="24">
        <f t="shared" si="5"/>
        <v>0</v>
      </c>
      <c r="U13" s="24">
        <f t="shared" si="6"/>
        <v>0</v>
      </c>
      <c r="V13" s="24"/>
      <c r="W13" s="10">
        <f>VLOOKUP(A:A,[3]TDSheet!$A:$U,21,0)</f>
        <v>0</v>
      </c>
      <c r="X13" s="10">
        <f t="shared" si="7"/>
        <v>15.502183406113538</v>
      </c>
      <c r="Y13" s="10">
        <f t="shared" si="8"/>
        <v>9.3886462882096069</v>
      </c>
      <c r="Z13" s="10">
        <f>VLOOKUP(A:A,[1]TDSheet!$A:$Y,25,0)</f>
        <v>42.2</v>
      </c>
      <c r="AA13" s="10">
        <f>VLOOKUP(A:A,[1]TDSheet!$A:$Z,26,0)</f>
        <v>25.8</v>
      </c>
      <c r="AB13" s="10">
        <f>VLOOKUP(A:A,[1]TDSheet!$A:$AA,27,0)</f>
        <v>49.4</v>
      </c>
      <c r="AC13" s="10">
        <f>VLOOKUP(A:A,[1]TDSheet!$A:$R,18,0)</f>
        <v>55.2</v>
      </c>
      <c r="AD13" s="10" t="str">
        <f>VLOOKUP(A:A,[1]TDSheet!$A:$AB,28,0)</f>
        <v>вместо 5706</v>
      </c>
      <c r="AE13" s="10">
        <f t="shared" si="9"/>
        <v>0</v>
      </c>
      <c r="AF13" s="10">
        <f t="shared" si="10"/>
        <v>0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</row>
    <row r="14" spans="1:83" ht="11.1" customHeight="1" x14ac:dyDescent="0.2">
      <c r="A14" s="8" t="s">
        <v>14</v>
      </c>
      <c r="B14" s="8" t="s">
        <v>12</v>
      </c>
      <c r="C14" s="8">
        <f>VLOOKUP(A:A,[1]TDSheet!$A:$C,3,0)</f>
        <v>4063</v>
      </c>
      <c r="D14" s="9">
        <v>1137.5119999999999</v>
      </c>
      <c r="E14" s="9">
        <v>1678.473</v>
      </c>
      <c r="F14" s="9">
        <v>1365.954</v>
      </c>
      <c r="G14" s="9">
        <v>1165.71</v>
      </c>
      <c r="H14" s="23">
        <f>VLOOKUP(A:A,[1]TDSheet!$A:$H,8,0)</f>
        <v>1</v>
      </c>
      <c r="I14" s="10">
        <f>VLOOKUP(A:A,[1]TDSheet!$A:$I,9,0)</f>
        <v>60</v>
      </c>
      <c r="J14" s="10" t="str">
        <f>VLOOKUP(A:A,[1]TDSheet!$A:$J,10,0)</f>
        <v>в матрице</v>
      </c>
      <c r="K14" s="10"/>
      <c r="L14" s="10">
        <f>VLOOKUP(A:A,[2]TDSheet!$A:$B,2,0)</f>
        <v>1358.326</v>
      </c>
      <c r="M14" s="10">
        <f t="shared" si="3"/>
        <v>7.6279999999999291</v>
      </c>
      <c r="N14" s="10"/>
      <c r="O14" s="10"/>
      <c r="P14" s="10">
        <f>VLOOKUP(A:A,[1]TDSheet!$A:$S,19,0)</f>
        <v>700</v>
      </c>
      <c r="Q14" s="10">
        <v>700</v>
      </c>
      <c r="R14" s="10">
        <f t="shared" si="4"/>
        <v>273.19079999999997</v>
      </c>
      <c r="S14" s="24">
        <v>1300</v>
      </c>
      <c r="T14" s="24">
        <v>800</v>
      </c>
      <c r="U14" s="24">
        <f t="shared" si="6"/>
        <v>500</v>
      </c>
      <c r="V14" s="24"/>
      <c r="W14" s="10">
        <f>VLOOKUP(A:A,[3]TDSheet!$A:$U,21,0)</f>
        <v>0</v>
      </c>
      <c r="X14" s="10">
        <f t="shared" si="7"/>
        <v>14.150220285602591</v>
      </c>
      <c r="Y14" s="10">
        <f t="shared" si="8"/>
        <v>4.2670177765869139</v>
      </c>
      <c r="Z14" s="10">
        <f>VLOOKUP(A:A,[1]TDSheet!$A:$Y,25,0)</f>
        <v>182.46039999999999</v>
      </c>
      <c r="AA14" s="10">
        <f>VLOOKUP(A:A,[1]TDSheet!$A:$Z,26,0)</f>
        <v>221.37100000000001</v>
      </c>
      <c r="AB14" s="10">
        <f>VLOOKUP(A:A,[1]TDSheet!$A:$AA,27,0)</f>
        <v>197.34700000000001</v>
      </c>
      <c r="AC14" s="10">
        <f>VLOOKUP(A:A,[1]TDSheet!$A:$R,18,0)</f>
        <v>222.8562</v>
      </c>
      <c r="AD14" s="10">
        <f>VLOOKUP(A:A,[1]TDSheet!$A:$AB,28,0)</f>
        <v>0</v>
      </c>
      <c r="AE14" s="10">
        <f t="shared" si="9"/>
        <v>800</v>
      </c>
      <c r="AF14" s="10">
        <f t="shared" si="10"/>
        <v>500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</row>
    <row r="15" spans="1:83" ht="11.1" customHeight="1" x14ac:dyDescent="0.2">
      <c r="A15" s="8" t="s">
        <v>15</v>
      </c>
      <c r="B15" s="8" t="s">
        <v>12</v>
      </c>
      <c r="C15" s="8">
        <f>VLOOKUP(A:A,[1]TDSheet!$A:$C,3,0)</f>
        <v>4117</v>
      </c>
      <c r="D15" s="9">
        <v>37.734000000000002</v>
      </c>
      <c r="E15" s="9">
        <v>40.451999999999998</v>
      </c>
      <c r="F15" s="9">
        <v>34.307000000000002</v>
      </c>
      <c r="G15" s="9">
        <v>43.878999999999998</v>
      </c>
      <c r="H15" s="23">
        <f>VLOOKUP(A:A,[1]TDSheet!$A:$H,8,0)</f>
        <v>1</v>
      </c>
      <c r="I15" s="10">
        <f>VLOOKUP(A:A,[1]TDSheet!$A:$I,9,0)</f>
        <v>120</v>
      </c>
      <c r="J15" s="10" t="str">
        <f>VLOOKUP(A:A,[1]TDSheet!$A:$J,10,0)</f>
        <v>в матрице</v>
      </c>
      <c r="K15" s="10"/>
      <c r="L15" s="10">
        <f>VLOOKUP(A:A,[2]TDSheet!$A:$B,2,0)</f>
        <v>33.6</v>
      </c>
      <c r="M15" s="10">
        <f t="shared" si="3"/>
        <v>0.70700000000000074</v>
      </c>
      <c r="N15" s="10"/>
      <c r="O15" s="10"/>
      <c r="P15" s="10">
        <f>VLOOKUP(A:A,[1]TDSheet!$A:$S,19,0)</f>
        <v>0</v>
      </c>
      <c r="Q15" s="10">
        <v>0</v>
      </c>
      <c r="R15" s="10">
        <f t="shared" si="4"/>
        <v>6.8614000000000006</v>
      </c>
      <c r="S15" s="24">
        <v>60</v>
      </c>
      <c r="T15" s="24">
        <f t="shared" si="5"/>
        <v>30</v>
      </c>
      <c r="U15" s="24">
        <f t="shared" si="6"/>
        <v>30</v>
      </c>
      <c r="V15" s="24"/>
      <c r="W15" s="10">
        <f>VLOOKUP(A:A,[3]TDSheet!$A:$U,21,0)</f>
        <v>0</v>
      </c>
      <c r="X15" s="10">
        <f t="shared" si="7"/>
        <v>15.139621651557988</v>
      </c>
      <c r="Y15" s="10">
        <f t="shared" si="8"/>
        <v>6.3950505727694047</v>
      </c>
      <c r="Z15" s="10">
        <f>VLOOKUP(A:A,[1]TDSheet!$A:$Y,25,0)</f>
        <v>1.8820000000000001</v>
      </c>
      <c r="AA15" s="10">
        <f>VLOOKUP(A:A,[1]TDSheet!$A:$Z,26,0)</f>
        <v>0.79900000000000004</v>
      </c>
      <c r="AB15" s="10">
        <f>VLOOKUP(A:A,[1]TDSheet!$A:$AA,27,0)</f>
        <v>6.34</v>
      </c>
      <c r="AC15" s="10">
        <f>VLOOKUP(A:A,[1]TDSheet!$A:$R,18,0)</f>
        <v>3.8715999999999999</v>
      </c>
      <c r="AD15" s="10" t="str">
        <f>VLOOKUP(A:A,[1]TDSheet!$A:$AB,28,0)</f>
        <v>увел продажи</v>
      </c>
      <c r="AE15" s="10">
        <f t="shared" si="9"/>
        <v>30</v>
      </c>
      <c r="AF15" s="10">
        <f t="shared" si="10"/>
        <v>30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</row>
    <row r="16" spans="1:83" ht="11.1" customHeight="1" x14ac:dyDescent="0.2">
      <c r="A16" s="8" t="s">
        <v>16</v>
      </c>
      <c r="B16" s="8" t="s">
        <v>12</v>
      </c>
      <c r="C16" s="8">
        <f>VLOOKUP(A:A,[1]TDSheet!$A:$C,3,0)</f>
        <v>4574</v>
      </c>
      <c r="D16" s="9">
        <v>57.837000000000003</v>
      </c>
      <c r="E16" s="9">
        <v>385.13799999999998</v>
      </c>
      <c r="F16" s="9">
        <v>184.208</v>
      </c>
      <c r="G16" s="9">
        <v>185.91900000000001</v>
      </c>
      <c r="H16" s="23">
        <f>VLOOKUP(A:A,[1]TDSheet!$A:$H,8,0)</f>
        <v>1</v>
      </c>
      <c r="I16" s="10">
        <f>VLOOKUP(A:A,[1]TDSheet!$A:$I,9,0)</f>
        <v>60</v>
      </c>
      <c r="J16" s="10" t="str">
        <f>VLOOKUP(A:A,[1]TDSheet!$A:$J,10,0)</f>
        <v>в матрице</v>
      </c>
      <c r="K16" s="10"/>
      <c r="L16" s="10">
        <f>VLOOKUP(A:A,[2]TDSheet!$A:$B,2,0)</f>
        <v>187.298</v>
      </c>
      <c r="M16" s="10">
        <f t="shared" si="3"/>
        <v>-3.0900000000000034</v>
      </c>
      <c r="N16" s="10"/>
      <c r="O16" s="10"/>
      <c r="P16" s="10">
        <f>VLOOKUP(A:A,[1]TDSheet!$A:$S,19,0)</f>
        <v>75</v>
      </c>
      <c r="Q16" s="10">
        <v>75</v>
      </c>
      <c r="R16" s="10">
        <f t="shared" si="4"/>
        <v>36.8416</v>
      </c>
      <c r="S16" s="24">
        <v>180</v>
      </c>
      <c r="T16" s="24">
        <f t="shared" si="5"/>
        <v>90</v>
      </c>
      <c r="U16" s="24">
        <f t="shared" si="6"/>
        <v>90</v>
      </c>
      <c r="V16" s="24"/>
      <c r="W16" s="10">
        <f>VLOOKUP(A:A,[3]TDSheet!$A:$U,21,0)</f>
        <v>0</v>
      </c>
      <c r="X16" s="10">
        <f t="shared" si="7"/>
        <v>14.003707765135065</v>
      </c>
      <c r="Y16" s="10">
        <f t="shared" si="8"/>
        <v>5.0464420654911839</v>
      </c>
      <c r="Z16" s="10">
        <f>VLOOKUP(A:A,[1]TDSheet!$A:$Y,25,0)</f>
        <v>21.529199999999999</v>
      </c>
      <c r="AA16" s="10">
        <f>VLOOKUP(A:A,[1]TDSheet!$A:$Z,26,0)</f>
        <v>24.9114</v>
      </c>
      <c r="AB16" s="10">
        <f>VLOOKUP(A:A,[1]TDSheet!$A:$AA,27,0)</f>
        <v>29.545400000000001</v>
      </c>
      <c r="AC16" s="10">
        <f>VLOOKUP(A:A,[1]TDSheet!$A:$R,18,0)</f>
        <v>27.542200000000001</v>
      </c>
      <c r="AD16" s="10">
        <f>VLOOKUP(A:A,[1]TDSheet!$A:$AB,28,0)</f>
        <v>0</v>
      </c>
      <c r="AE16" s="10">
        <f t="shared" si="9"/>
        <v>90</v>
      </c>
      <c r="AF16" s="10">
        <f t="shared" si="10"/>
        <v>90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ht="11.1" customHeight="1" x14ac:dyDescent="0.2">
      <c r="A17" s="8" t="s">
        <v>17</v>
      </c>
      <c r="B17" s="8" t="s">
        <v>12</v>
      </c>
      <c r="C17" s="8">
        <f>VLOOKUP(A:A,[1]TDSheet!$A:$C,3,0)</f>
        <v>4813</v>
      </c>
      <c r="D17" s="9">
        <v>410.22300000000001</v>
      </c>
      <c r="E17" s="9">
        <v>947.46699999999998</v>
      </c>
      <c r="F17" s="9">
        <v>517.26499999999999</v>
      </c>
      <c r="G17" s="9">
        <v>740.43</v>
      </c>
      <c r="H17" s="23">
        <f>VLOOKUP(A:A,[1]TDSheet!$A:$H,8,0)</f>
        <v>1</v>
      </c>
      <c r="I17" s="10">
        <f>VLOOKUP(A:A,[1]TDSheet!$A:$I,9,0)</f>
        <v>60</v>
      </c>
      <c r="J17" s="10" t="str">
        <f>VLOOKUP(A:A,[1]TDSheet!$A:$J,10,0)</f>
        <v>в матрице</v>
      </c>
      <c r="K17" s="10"/>
      <c r="L17" s="10">
        <f>VLOOKUP(A:A,[2]TDSheet!$A:$B,2,0)</f>
        <v>517.83199999999999</v>
      </c>
      <c r="M17" s="10">
        <f t="shared" si="3"/>
        <v>-0.56700000000000728</v>
      </c>
      <c r="N17" s="10"/>
      <c r="O17" s="10"/>
      <c r="P17" s="10">
        <f>VLOOKUP(A:A,[1]TDSheet!$A:$S,19,0)</f>
        <v>65</v>
      </c>
      <c r="Q17" s="10">
        <v>65</v>
      </c>
      <c r="R17" s="10">
        <f t="shared" si="4"/>
        <v>103.453</v>
      </c>
      <c r="S17" s="24">
        <v>580</v>
      </c>
      <c r="T17" s="24">
        <f t="shared" si="5"/>
        <v>290</v>
      </c>
      <c r="U17" s="24">
        <f t="shared" si="6"/>
        <v>290</v>
      </c>
      <c r="V17" s="24"/>
      <c r="W17" s="10">
        <f>VLOOKUP(A:A,[3]TDSheet!$A:$U,21,0)</f>
        <v>0</v>
      </c>
      <c r="X17" s="10">
        <f t="shared" si="7"/>
        <v>14.020183078306088</v>
      </c>
      <c r="Y17" s="10">
        <f t="shared" si="8"/>
        <v>7.1571631562158657</v>
      </c>
      <c r="Z17" s="10">
        <f>VLOOKUP(A:A,[1]TDSheet!$A:$Y,25,0)</f>
        <v>79.201400000000007</v>
      </c>
      <c r="AA17" s="10">
        <f>VLOOKUP(A:A,[1]TDSheet!$A:$Z,26,0)</f>
        <v>95.4328</v>
      </c>
      <c r="AB17" s="10">
        <f>VLOOKUP(A:A,[1]TDSheet!$A:$AA,27,0)</f>
        <v>114.4444</v>
      </c>
      <c r="AC17" s="10">
        <f>VLOOKUP(A:A,[1]TDSheet!$A:$R,18,0)</f>
        <v>86.782200000000003</v>
      </c>
      <c r="AD17" s="10">
        <f>VLOOKUP(A:A,[1]TDSheet!$A:$AB,28,0)</f>
        <v>0</v>
      </c>
      <c r="AE17" s="10">
        <f t="shared" si="9"/>
        <v>290</v>
      </c>
      <c r="AF17" s="10">
        <f t="shared" si="10"/>
        <v>290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ht="11.1" customHeight="1" x14ac:dyDescent="0.2">
      <c r="A18" s="8" t="s">
        <v>18</v>
      </c>
      <c r="B18" s="8" t="s">
        <v>10</v>
      </c>
      <c r="C18" s="8">
        <f>VLOOKUP(A:A,[1]TDSheet!$A:$C,3,0)</f>
        <v>4993</v>
      </c>
      <c r="D18" s="9">
        <v>26</v>
      </c>
      <c r="E18" s="9">
        <v>208</v>
      </c>
      <c r="F18" s="9">
        <v>100.486</v>
      </c>
      <c r="G18" s="9">
        <v>129</v>
      </c>
      <c r="H18" s="23">
        <f>VLOOKUP(A:A,[1]TDSheet!$A:$H,8,0)</f>
        <v>0.25</v>
      </c>
      <c r="I18" s="10">
        <f>VLOOKUP(A:A,[1]TDSheet!$A:$I,9,0)</f>
        <v>120</v>
      </c>
      <c r="J18" s="10" t="str">
        <f>VLOOKUP(A:A,[1]TDSheet!$A:$J,10,0)</f>
        <v>ВНИМАНИЕ / в матрице</v>
      </c>
      <c r="K18" s="10"/>
      <c r="L18" s="10">
        <f>VLOOKUP(A:A,[2]TDSheet!$A:$B,2,0)</f>
        <v>101</v>
      </c>
      <c r="M18" s="10">
        <f t="shared" si="3"/>
        <v>-0.51399999999999579</v>
      </c>
      <c r="N18" s="10"/>
      <c r="O18" s="10"/>
      <c r="P18" s="10">
        <f>VLOOKUP(A:A,[1]TDSheet!$A:$S,19,0)</f>
        <v>0</v>
      </c>
      <c r="Q18" s="10">
        <v>0</v>
      </c>
      <c r="R18" s="10">
        <f t="shared" si="4"/>
        <v>20.097200000000001</v>
      </c>
      <c r="S18" s="24">
        <v>150</v>
      </c>
      <c r="T18" s="24">
        <f t="shared" si="5"/>
        <v>75</v>
      </c>
      <c r="U18" s="24">
        <f t="shared" si="6"/>
        <v>75</v>
      </c>
      <c r="V18" s="24"/>
      <c r="W18" s="10">
        <f>VLOOKUP(A:A,[3]TDSheet!$A:$U,21,0)</f>
        <v>0</v>
      </c>
      <c r="X18" s="10">
        <f t="shared" si="7"/>
        <v>13.882530899826842</v>
      </c>
      <c r="Y18" s="10">
        <f t="shared" si="8"/>
        <v>6.4188046095973563</v>
      </c>
      <c r="Z18" s="10">
        <f>VLOOKUP(A:A,[1]TDSheet!$A:$Y,25,0)</f>
        <v>15.8</v>
      </c>
      <c r="AA18" s="10">
        <f>VLOOKUP(A:A,[1]TDSheet!$A:$Z,26,0)</f>
        <v>13.2</v>
      </c>
      <c r="AB18" s="10">
        <f>VLOOKUP(A:A,[1]TDSheet!$A:$AA,27,0)</f>
        <v>23</v>
      </c>
      <c r="AC18" s="10">
        <f>VLOOKUP(A:A,[1]TDSheet!$A:$R,18,0)</f>
        <v>14.2</v>
      </c>
      <c r="AD18" s="10" t="str">
        <f>VLOOKUP(A:A,[1]TDSheet!$A:$AB,28,0)</f>
        <v>Обжора / Паллет</v>
      </c>
      <c r="AE18" s="10">
        <f t="shared" si="9"/>
        <v>18.75</v>
      </c>
      <c r="AF18" s="10">
        <f t="shared" si="10"/>
        <v>18.75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ht="11.1" customHeight="1" x14ac:dyDescent="0.2">
      <c r="A19" s="8" t="s">
        <v>19</v>
      </c>
      <c r="B19" s="8" t="s">
        <v>12</v>
      </c>
      <c r="C19" s="8">
        <f>VLOOKUP(A:A,[1]TDSheet!$A:$C,3,0)</f>
        <v>5452</v>
      </c>
      <c r="D19" s="9">
        <v>74.631</v>
      </c>
      <c r="E19" s="9">
        <v>85.763000000000005</v>
      </c>
      <c r="F19" s="9">
        <v>65.414000000000001</v>
      </c>
      <c r="G19" s="9">
        <v>64.863</v>
      </c>
      <c r="H19" s="23">
        <f>VLOOKUP(A:A,[1]TDSheet!$A:$H,8,0)</f>
        <v>1</v>
      </c>
      <c r="I19" s="10">
        <f>VLOOKUP(A:A,[1]TDSheet!$A:$I,9,0)</f>
        <v>60</v>
      </c>
      <c r="J19" s="10" t="str">
        <f>VLOOKUP(A:A,[1]TDSheet!$A:$J,10,0)</f>
        <v>в матрице</v>
      </c>
      <c r="K19" s="10"/>
      <c r="L19" s="10">
        <f>VLOOKUP(A:A,[2]TDSheet!$A:$B,2,0)</f>
        <v>62.4</v>
      </c>
      <c r="M19" s="10">
        <f t="shared" si="3"/>
        <v>3.0140000000000029</v>
      </c>
      <c r="N19" s="10"/>
      <c r="O19" s="10"/>
      <c r="P19" s="10">
        <f>VLOOKUP(A:A,[1]TDSheet!$A:$S,19,0)</f>
        <v>17.5</v>
      </c>
      <c r="Q19" s="10">
        <v>17.5</v>
      </c>
      <c r="R19" s="10">
        <f t="shared" si="4"/>
        <v>13.082800000000001</v>
      </c>
      <c r="S19" s="24">
        <v>80</v>
      </c>
      <c r="T19" s="24">
        <f t="shared" si="5"/>
        <v>40</v>
      </c>
      <c r="U19" s="24">
        <f t="shared" si="6"/>
        <v>40</v>
      </c>
      <c r="V19" s="24"/>
      <c r="W19" s="10">
        <f>VLOOKUP(A:A,[3]TDSheet!$A:$U,21,0)</f>
        <v>0</v>
      </c>
      <c r="X19" s="10">
        <f t="shared" si="7"/>
        <v>13.748050875959274</v>
      </c>
      <c r="Y19" s="10">
        <f t="shared" si="8"/>
        <v>4.9578836334729566</v>
      </c>
      <c r="Z19" s="10">
        <f>VLOOKUP(A:A,[1]TDSheet!$A:$Y,25,0)</f>
        <v>7.8231999999999999</v>
      </c>
      <c r="AA19" s="10">
        <f>VLOOKUP(A:A,[1]TDSheet!$A:$Z,26,0)</f>
        <v>13.077400000000001</v>
      </c>
      <c r="AB19" s="10">
        <f>VLOOKUP(A:A,[1]TDSheet!$A:$AA,27,0)</f>
        <v>11.439400000000001</v>
      </c>
      <c r="AC19" s="10">
        <f>VLOOKUP(A:A,[1]TDSheet!$A:$R,18,0)</f>
        <v>10.8256</v>
      </c>
      <c r="AD19" s="10">
        <f>VLOOKUP(A:A,[1]TDSheet!$A:$AB,28,0)</f>
        <v>0</v>
      </c>
      <c r="AE19" s="10">
        <f t="shared" si="9"/>
        <v>40</v>
      </c>
      <c r="AF19" s="10">
        <f t="shared" si="10"/>
        <v>40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ht="11.1" customHeight="1" x14ac:dyDescent="0.2">
      <c r="A20" s="25" t="s">
        <v>20</v>
      </c>
      <c r="B20" s="25" t="s">
        <v>10</v>
      </c>
      <c r="C20" s="25">
        <f>VLOOKUP(A:A,[1]TDSheet!$A:$C,3,0)</f>
        <v>5483</v>
      </c>
      <c r="D20" s="26">
        <v>573</v>
      </c>
      <c r="E20" s="26">
        <v>25</v>
      </c>
      <c r="F20" s="26">
        <v>68</v>
      </c>
      <c r="G20" s="26">
        <v>499</v>
      </c>
      <c r="H20" s="27">
        <f>VLOOKUP(A:A,[1]TDSheet!$A:$H,8,0)</f>
        <v>0.25</v>
      </c>
      <c r="I20" s="28">
        <f>VLOOKUP(A:A,[1]TDSheet!$A:$I,9,0)</f>
        <v>120</v>
      </c>
      <c r="J20" s="28" t="str">
        <f>VLOOKUP(A:A,[1]TDSheet!$A:$J,10,0)</f>
        <v>в матрице</v>
      </c>
      <c r="K20" s="10"/>
      <c r="L20" s="10">
        <f>VLOOKUP(A:A,[2]TDSheet!$A:$B,2,0)</f>
        <v>70</v>
      </c>
      <c r="M20" s="10">
        <f t="shared" si="3"/>
        <v>-2</v>
      </c>
      <c r="N20" s="10"/>
      <c r="O20" s="10"/>
      <c r="P20" s="10">
        <f>VLOOKUP(A:A,[1]TDSheet!$A:$S,19,0)</f>
        <v>0</v>
      </c>
      <c r="Q20" s="10">
        <v>0</v>
      </c>
      <c r="R20" s="10">
        <f t="shared" si="4"/>
        <v>13.6</v>
      </c>
      <c r="S20" s="24"/>
      <c r="T20" s="24">
        <f t="shared" si="5"/>
        <v>0</v>
      </c>
      <c r="U20" s="24">
        <f t="shared" si="6"/>
        <v>0</v>
      </c>
      <c r="V20" s="24"/>
      <c r="W20" s="10">
        <f>VLOOKUP(A:A,[3]TDSheet!$A:$U,21,0)</f>
        <v>0</v>
      </c>
      <c r="X20" s="10">
        <f t="shared" si="7"/>
        <v>36.691176470588239</v>
      </c>
      <c r="Y20" s="10">
        <f t="shared" si="8"/>
        <v>36.691176470588239</v>
      </c>
      <c r="Z20" s="10">
        <f>VLOOKUP(A:A,[1]TDSheet!$A:$Y,25,0)</f>
        <v>61</v>
      </c>
      <c r="AA20" s="10">
        <f>VLOOKUP(A:A,[1]TDSheet!$A:$Z,26,0)</f>
        <v>10.4</v>
      </c>
      <c r="AB20" s="10">
        <f>VLOOKUP(A:A,[1]TDSheet!$A:$AA,27,0)</f>
        <v>34</v>
      </c>
      <c r="AC20" s="10">
        <f>VLOOKUP(A:A,[1]TDSheet!$A:$R,18,0)</f>
        <v>20.2</v>
      </c>
      <c r="AD20" s="10" t="str">
        <f>VLOOKUP(A:A,[1]TDSheet!$A:$AB,28,0)</f>
        <v>Обжора / Паллет</v>
      </c>
      <c r="AE20" s="10">
        <f t="shared" si="9"/>
        <v>0</v>
      </c>
      <c r="AF20" s="10">
        <f t="shared" si="10"/>
        <v>0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ht="11.1" customHeight="1" x14ac:dyDescent="0.2">
      <c r="A21" s="8" t="s">
        <v>21</v>
      </c>
      <c r="B21" s="8" t="s">
        <v>10</v>
      </c>
      <c r="C21" s="8">
        <f>VLOOKUP(A:A,[1]TDSheet!$A:$C,3,0)</f>
        <v>5495</v>
      </c>
      <c r="D21" s="9">
        <v>456</v>
      </c>
      <c r="E21" s="9">
        <v>479</v>
      </c>
      <c r="F21" s="9">
        <v>452</v>
      </c>
      <c r="G21" s="9">
        <v>396</v>
      </c>
      <c r="H21" s="23">
        <f>VLOOKUP(A:A,[1]TDSheet!$A:$H,8,0)</f>
        <v>0.4</v>
      </c>
      <c r="I21" s="10">
        <f>VLOOKUP(A:A,[1]TDSheet!$A:$I,9,0)</f>
        <v>60</v>
      </c>
      <c r="J21" s="10" t="str">
        <f>VLOOKUP(A:A,[1]TDSheet!$A:$J,10,0)</f>
        <v>в матрице</v>
      </c>
      <c r="K21" s="10"/>
      <c r="L21" s="10">
        <f>VLOOKUP(A:A,[2]TDSheet!$A:$B,2,0)</f>
        <v>461</v>
      </c>
      <c r="M21" s="10">
        <f t="shared" si="3"/>
        <v>-9</v>
      </c>
      <c r="N21" s="10"/>
      <c r="O21" s="10"/>
      <c r="P21" s="10">
        <f>VLOOKUP(A:A,[1]TDSheet!$A:$S,19,0)</f>
        <v>270</v>
      </c>
      <c r="Q21" s="10">
        <v>270</v>
      </c>
      <c r="R21" s="10">
        <f t="shared" si="4"/>
        <v>90.4</v>
      </c>
      <c r="S21" s="24">
        <v>330</v>
      </c>
      <c r="T21" s="24">
        <f t="shared" si="5"/>
        <v>165</v>
      </c>
      <c r="U21" s="24">
        <f t="shared" si="6"/>
        <v>165</v>
      </c>
      <c r="V21" s="24"/>
      <c r="W21" s="10">
        <f>VLOOKUP(A:A,[3]TDSheet!$A:$U,21,0)</f>
        <v>0</v>
      </c>
      <c r="X21" s="10">
        <f t="shared" si="7"/>
        <v>14.004424778761061</v>
      </c>
      <c r="Y21" s="10">
        <f t="shared" si="8"/>
        <v>4.3805309734513269</v>
      </c>
      <c r="Z21" s="10">
        <f>VLOOKUP(A:A,[1]TDSheet!$A:$Y,25,0)</f>
        <v>68</v>
      </c>
      <c r="AA21" s="10">
        <f>VLOOKUP(A:A,[1]TDSheet!$A:$Z,26,0)</f>
        <v>82.4</v>
      </c>
      <c r="AB21" s="10">
        <f>VLOOKUP(A:A,[1]TDSheet!$A:$AA,27,0)</f>
        <v>65.400000000000006</v>
      </c>
      <c r="AC21" s="10">
        <f>VLOOKUP(A:A,[1]TDSheet!$A:$R,18,0)</f>
        <v>74.8</v>
      </c>
      <c r="AD21" s="10" t="str">
        <f>VLOOKUP(A:A,[1]TDSheet!$A:$AB,28,0)</f>
        <v>Обжора / Паллет / 19,01,26 завод не отгрузил 250шт.</v>
      </c>
      <c r="AE21" s="10">
        <f t="shared" si="9"/>
        <v>66</v>
      </c>
      <c r="AF21" s="10">
        <f t="shared" si="10"/>
        <v>66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ht="11.1" customHeight="1" x14ac:dyDescent="0.2">
      <c r="A22" s="8" t="s">
        <v>22</v>
      </c>
      <c r="B22" s="8" t="s">
        <v>12</v>
      </c>
      <c r="C22" s="8">
        <f>VLOOKUP(A:A,[1]TDSheet!$A:$C,3,0)</f>
        <v>5544</v>
      </c>
      <c r="D22" s="9">
        <v>241.53399999999999</v>
      </c>
      <c r="E22" s="9">
        <v>592.40599999999995</v>
      </c>
      <c r="F22" s="9">
        <v>381.92700000000002</v>
      </c>
      <c r="G22" s="9">
        <v>392.62599999999998</v>
      </c>
      <c r="H22" s="23">
        <f>VLOOKUP(A:A,[1]TDSheet!$A:$H,8,0)</f>
        <v>1</v>
      </c>
      <c r="I22" s="10">
        <f>VLOOKUP(A:A,[1]TDSheet!$A:$I,9,0)</f>
        <v>45</v>
      </c>
      <c r="J22" s="10" t="str">
        <f>VLOOKUP(A:A,[1]TDSheet!$A:$J,10,0)</f>
        <v>в матрице</v>
      </c>
      <c r="K22" s="10"/>
      <c r="L22" s="10">
        <f>VLOOKUP(A:A,[2]TDSheet!$A:$B,2,0)</f>
        <v>372.71</v>
      </c>
      <c r="M22" s="10">
        <f t="shared" si="3"/>
        <v>9.2170000000000414</v>
      </c>
      <c r="N22" s="10"/>
      <c r="O22" s="10"/>
      <c r="P22" s="10">
        <f>VLOOKUP(A:A,[1]TDSheet!$A:$S,19,0)</f>
        <v>225</v>
      </c>
      <c r="Q22" s="10">
        <v>225</v>
      </c>
      <c r="R22" s="10">
        <f t="shared" si="4"/>
        <v>76.385400000000004</v>
      </c>
      <c r="S22" s="24">
        <v>230</v>
      </c>
      <c r="T22" s="24">
        <f t="shared" si="5"/>
        <v>115</v>
      </c>
      <c r="U22" s="24">
        <f t="shared" si="6"/>
        <v>115</v>
      </c>
      <c r="V22" s="24"/>
      <c r="W22" s="10">
        <f>VLOOKUP(A:A,[3]TDSheet!$A:$U,21,0)</f>
        <v>0</v>
      </c>
      <c r="X22" s="10">
        <f t="shared" si="7"/>
        <v>14.04229080426364</v>
      </c>
      <c r="Y22" s="10">
        <f t="shared" si="8"/>
        <v>5.1400660335613866</v>
      </c>
      <c r="Z22" s="10">
        <f>VLOOKUP(A:A,[1]TDSheet!$A:$Y,25,0)</f>
        <v>56.423400000000001</v>
      </c>
      <c r="AA22" s="10">
        <f>VLOOKUP(A:A,[1]TDSheet!$A:$Z,26,0)</f>
        <v>67.234400000000008</v>
      </c>
      <c r="AB22" s="10">
        <f>VLOOKUP(A:A,[1]TDSheet!$A:$AA,27,0)</f>
        <v>65.8172</v>
      </c>
      <c r="AC22" s="10">
        <f>VLOOKUP(A:A,[1]TDSheet!$A:$R,18,0)</f>
        <v>70.875</v>
      </c>
      <c r="AD22" s="10">
        <f>VLOOKUP(A:A,[1]TDSheet!$A:$AB,28,0)</f>
        <v>0</v>
      </c>
      <c r="AE22" s="10">
        <f t="shared" si="9"/>
        <v>115</v>
      </c>
      <c r="AF22" s="10">
        <f t="shared" si="10"/>
        <v>115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ht="11.1" customHeight="1" x14ac:dyDescent="0.2">
      <c r="A23" s="8" t="s">
        <v>23</v>
      </c>
      <c r="B23" s="8" t="s">
        <v>12</v>
      </c>
      <c r="C23" s="8">
        <f>VLOOKUP(A:A,[1]TDSheet!$A:$C,3,0)</f>
        <v>5708</v>
      </c>
      <c r="D23" s="11"/>
      <c r="E23" s="9">
        <v>20.079999999999998</v>
      </c>
      <c r="F23" s="9">
        <v>3.411</v>
      </c>
      <c r="G23" s="9">
        <v>12.151999999999999</v>
      </c>
      <c r="H23" s="23">
        <f>VLOOKUP(A:A,[1]TDSheet!$A:$H,8,0)</f>
        <v>1</v>
      </c>
      <c r="I23" s="10">
        <f>VLOOKUP(A:A,[1]TDSheet!$A:$I,9,0)</f>
        <v>120</v>
      </c>
      <c r="J23" s="10" t="str">
        <f>VLOOKUP(A:A,[1]TDSheet!$A:$J,10,0)</f>
        <v>в матрице</v>
      </c>
      <c r="K23" s="10"/>
      <c r="L23" s="10">
        <f>VLOOKUP(A:A,[2]TDSheet!$A:$B,2,0)</f>
        <v>20.626000000000001</v>
      </c>
      <c r="M23" s="10">
        <f t="shared" si="3"/>
        <v>-17.215</v>
      </c>
      <c r="N23" s="10"/>
      <c r="O23" s="10"/>
      <c r="P23" s="10">
        <f>VLOOKUP(A:A,[1]TDSheet!$A:$S,19,0)</f>
        <v>12.5</v>
      </c>
      <c r="Q23" s="10">
        <v>12.5</v>
      </c>
      <c r="R23" s="10">
        <f t="shared" si="4"/>
        <v>0.68220000000000003</v>
      </c>
      <c r="S23" s="24"/>
      <c r="T23" s="24">
        <f t="shared" si="5"/>
        <v>0</v>
      </c>
      <c r="U23" s="24">
        <f t="shared" si="6"/>
        <v>0</v>
      </c>
      <c r="V23" s="24"/>
      <c r="W23" s="10">
        <f>VLOOKUP(A:A,[3]TDSheet!$A:$U,21,0)</f>
        <v>0</v>
      </c>
      <c r="X23" s="10">
        <f t="shared" si="7"/>
        <v>54.459102902374667</v>
      </c>
      <c r="Y23" s="10">
        <f t="shared" si="8"/>
        <v>17.812958076810318</v>
      </c>
      <c r="Z23" s="10">
        <f>VLOOKUP(A:A,[1]TDSheet!$A:$Y,25,0)</f>
        <v>2.8746</v>
      </c>
      <c r="AA23" s="10">
        <f>VLOOKUP(A:A,[1]TDSheet!$A:$Z,26,0)</f>
        <v>0.99380000000000002</v>
      </c>
      <c r="AB23" s="10">
        <f>VLOOKUP(A:A,[1]TDSheet!$A:$AA,27,0)</f>
        <v>3.379</v>
      </c>
      <c r="AC23" s="10">
        <f>VLOOKUP(A:A,[1]TDSheet!$A:$R,18,0)</f>
        <v>9.8799999999999999E-2</v>
      </c>
      <c r="AD23" s="10">
        <f>VLOOKUP(A:A,[1]TDSheet!$A:$AB,28,0)</f>
        <v>0</v>
      </c>
      <c r="AE23" s="10">
        <f t="shared" si="9"/>
        <v>0</v>
      </c>
      <c r="AF23" s="10">
        <f t="shared" si="10"/>
        <v>0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ht="11.1" customHeight="1" x14ac:dyDescent="0.2">
      <c r="A24" s="8" t="s">
        <v>24</v>
      </c>
      <c r="B24" s="8" t="s">
        <v>10</v>
      </c>
      <c r="C24" s="8">
        <f>VLOOKUP(A:A,[1]TDSheet!$A:$C,3,0)</f>
        <v>5819</v>
      </c>
      <c r="D24" s="9">
        <v>73</v>
      </c>
      <c r="E24" s="9">
        <v>609</v>
      </c>
      <c r="F24" s="9">
        <v>283</v>
      </c>
      <c r="G24" s="9">
        <v>397</v>
      </c>
      <c r="H24" s="23">
        <f>VLOOKUP(A:A,[1]TDSheet!$A:$H,8,0)</f>
        <v>0.4</v>
      </c>
      <c r="I24" s="10">
        <f>VLOOKUP(A:A,[1]TDSheet!$A:$I,9,0)</f>
        <v>45</v>
      </c>
      <c r="J24" s="10" t="str">
        <f>VLOOKUP(A:A,[1]TDSheet!$A:$J,10,0)</f>
        <v>в матрице</v>
      </c>
      <c r="K24" s="10"/>
      <c r="L24" s="10">
        <f>VLOOKUP(A:A,[2]TDSheet!$A:$B,2,0)</f>
        <v>284</v>
      </c>
      <c r="M24" s="10">
        <f t="shared" si="3"/>
        <v>-1</v>
      </c>
      <c r="N24" s="10"/>
      <c r="O24" s="10"/>
      <c r="P24" s="10">
        <f>VLOOKUP(A:A,[1]TDSheet!$A:$S,19,0)</f>
        <v>275</v>
      </c>
      <c r="Q24" s="10">
        <v>275</v>
      </c>
      <c r="R24" s="10">
        <f t="shared" si="4"/>
        <v>56.6</v>
      </c>
      <c r="S24" s="24"/>
      <c r="T24" s="24">
        <f t="shared" si="5"/>
        <v>0</v>
      </c>
      <c r="U24" s="24">
        <f t="shared" si="6"/>
        <v>0</v>
      </c>
      <c r="V24" s="24"/>
      <c r="W24" s="10">
        <f>VLOOKUP(A:A,[3]TDSheet!$A:$U,21,0)</f>
        <v>0</v>
      </c>
      <c r="X24" s="10">
        <f t="shared" si="7"/>
        <v>16.731448763250881</v>
      </c>
      <c r="Y24" s="10">
        <f t="shared" si="8"/>
        <v>7.0141342756183747</v>
      </c>
      <c r="Z24" s="10">
        <f>VLOOKUP(A:A,[1]TDSheet!$A:$Y,25,0)</f>
        <v>67.400000000000006</v>
      </c>
      <c r="AA24" s="10">
        <f>VLOOKUP(A:A,[1]TDSheet!$A:$Z,26,0)</f>
        <v>44</v>
      </c>
      <c r="AB24" s="10">
        <f>VLOOKUP(A:A,[1]TDSheet!$A:$AA,27,0)</f>
        <v>55</v>
      </c>
      <c r="AC24" s="10">
        <f>VLOOKUP(A:A,[1]TDSheet!$A:$R,18,0)</f>
        <v>71.2</v>
      </c>
      <c r="AD24" s="10" t="str">
        <f>VLOOKUP(A:A,[1]TDSheet!$A:$AB,28,0)</f>
        <v>Обжора / Паллет</v>
      </c>
      <c r="AE24" s="10">
        <f t="shared" si="9"/>
        <v>0</v>
      </c>
      <c r="AF24" s="10">
        <f t="shared" si="10"/>
        <v>0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</row>
    <row r="25" spans="1:83" ht="11.1" customHeight="1" x14ac:dyDescent="0.2">
      <c r="A25" s="8" t="s">
        <v>25</v>
      </c>
      <c r="B25" s="8" t="s">
        <v>12</v>
      </c>
      <c r="C25" s="8">
        <f>VLOOKUP(A:A,[1]TDSheet!$A:$C,3,0)</f>
        <v>5851</v>
      </c>
      <c r="D25" s="9">
        <v>235.44800000000001</v>
      </c>
      <c r="E25" s="9">
        <v>540.44200000000001</v>
      </c>
      <c r="F25" s="9">
        <v>342.51299999999998</v>
      </c>
      <c r="G25" s="9">
        <v>370.75599999999997</v>
      </c>
      <c r="H25" s="23">
        <f>VLOOKUP(A:A,[1]TDSheet!$A:$H,8,0)</f>
        <v>1</v>
      </c>
      <c r="I25" s="10">
        <f>VLOOKUP(A:A,[1]TDSheet!$A:$I,9,0)</f>
        <v>60</v>
      </c>
      <c r="J25" s="10" t="str">
        <f>VLOOKUP(A:A,[1]TDSheet!$A:$J,10,0)</f>
        <v>в матрице</v>
      </c>
      <c r="K25" s="10"/>
      <c r="L25" s="10">
        <f>VLOOKUP(A:A,[2]TDSheet!$A:$B,2,0)</f>
        <v>331.32299999999998</v>
      </c>
      <c r="M25" s="10">
        <f t="shared" si="3"/>
        <v>11.189999999999998</v>
      </c>
      <c r="N25" s="10"/>
      <c r="O25" s="10"/>
      <c r="P25" s="10">
        <f>VLOOKUP(A:A,[1]TDSheet!$A:$S,19,0)</f>
        <v>50</v>
      </c>
      <c r="Q25" s="10">
        <v>50</v>
      </c>
      <c r="R25" s="10">
        <f t="shared" si="4"/>
        <v>68.502600000000001</v>
      </c>
      <c r="S25" s="24">
        <v>490</v>
      </c>
      <c r="T25" s="24">
        <f t="shared" si="5"/>
        <v>245</v>
      </c>
      <c r="U25" s="24">
        <f t="shared" si="6"/>
        <v>245</v>
      </c>
      <c r="V25" s="24"/>
      <c r="W25" s="10">
        <f>VLOOKUP(A:A,[3]TDSheet!$A:$U,21,0)</f>
        <v>0</v>
      </c>
      <c r="X25" s="10">
        <f t="shared" si="7"/>
        <v>14.025102696831944</v>
      </c>
      <c r="Y25" s="10">
        <f t="shared" si="8"/>
        <v>5.4122909203446286</v>
      </c>
      <c r="Z25" s="10">
        <f>VLOOKUP(A:A,[1]TDSheet!$A:$Y,25,0)</f>
        <v>41.588000000000001</v>
      </c>
      <c r="AA25" s="10">
        <f>VLOOKUP(A:A,[1]TDSheet!$A:$Z,26,0)</f>
        <v>50.5824</v>
      </c>
      <c r="AB25" s="10">
        <f>VLOOKUP(A:A,[1]TDSheet!$A:$AA,27,0)</f>
        <v>56.876400000000004</v>
      </c>
      <c r="AC25" s="10">
        <f>VLOOKUP(A:A,[1]TDSheet!$A:$R,18,0)</f>
        <v>42.729599999999998</v>
      </c>
      <c r="AD25" s="10">
        <f>VLOOKUP(A:A,[1]TDSheet!$A:$AB,28,0)</f>
        <v>0</v>
      </c>
      <c r="AE25" s="10">
        <f t="shared" si="9"/>
        <v>245</v>
      </c>
      <c r="AF25" s="10">
        <f t="shared" si="10"/>
        <v>245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ht="11.1" customHeight="1" x14ac:dyDescent="0.2">
      <c r="A26" s="8" t="s">
        <v>26</v>
      </c>
      <c r="B26" s="8" t="s">
        <v>10</v>
      </c>
      <c r="C26" s="8">
        <f>VLOOKUP(A:A,[1]TDSheet!$A:$C,3,0)</f>
        <v>5931</v>
      </c>
      <c r="D26" s="9">
        <v>131</v>
      </c>
      <c r="E26" s="9">
        <v>232</v>
      </c>
      <c r="F26" s="9">
        <v>220</v>
      </c>
      <c r="G26" s="9">
        <v>132</v>
      </c>
      <c r="H26" s="23">
        <f>VLOOKUP(A:A,[1]TDSheet!$A:$H,8,0)</f>
        <v>0.22</v>
      </c>
      <c r="I26" s="10">
        <f>VLOOKUP(A:A,[1]TDSheet!$A:$I,9,0)</f>
        <v>120</v>
      </c>
      <c r="J26" s="10" t="str">
        <f>VLOOKUP(A:A,[1]TDSheet!$A:$J,10,0)</f>
        <v>в матрице</v>
      </c>
      <c r="K26" s="10"/>
      <c r="L26" s="10">
        <f>VLOOKUP(A:A,[2]TDSheet!$A:$B,2,0)</f>
        <v>220</v>
      </c>
      <c r="M26" s="10">
        <f t="shared" si="3"/>
        <v>0</v>
      </c>
      <c r="N26" s="10"/>
      <c r="O26" s="10"/>
      <c r="P26" s="10">
        <f>VLOOKUP(A:A,[1]TDSheet!$A:$S,19,0)</f>
        <v>30</v>
      </c>
      <c r="Q26" s="10">
        <v>30</v>
      </c>
      <c r="R26" s="10">
        <f t="shared" si="4"/>
        <v>44</v>
      </c>
      <c r="S26" s="24">
        <v>430</v>
      </c>
      <c r="T26" s="24">
        <f t="shared" si="5"/>
        <v>215</v>
      </c>
      <c r="U26" s="24">
        <f t="shared" si="6"/>
        <v>215</v>
      </c>
      <c r="V26" s="24"/>
      <c r="W26" s="10">
        <f>VLOOKUP(A:A,[3]TDSheet!$A:$U,21,0)</f>
        <v>0</v>
      </c>
      <c r="X26" s="10">
        <f t="shared" si="7"/>
        <v>14.136363636363637</v>
      </c>
      <c r="Y26" s="10">
        <f t="shared" si="8"/>
        <v>3</v>
      </c>
      <c r="Z26" s="10">
        <f>VLOOKUP(A:A,[1]TDSheet!$A:$Y,25,0)</f>
        <v>26.4</v>
      </c>
      <c r="AA26" s="10">
        <f>VLOOKUP(A:A,[1]TDSheet!$A:$Z,26,0)</f>
        <v>17.2</v>
      </c>
      <c r="AB26" s="10">
        <f>VLOOKUP(A:A,[1]TDSheet!$A:$AA,27,0)</f>
        <v>28.8</v>
      </c>
      <c r="AC26" s="10">
        <f>VLOOKUP(A:A,[1]TDSheet!$A:$R,18,0)</f>
        <v>17.399999999999999</v>
      </c>
      <c r="AD26" s="10">
        <f>VLOOKUP(A:A,[1]TDSheet!$A:$AB,28,0)</f>
        <v>0</v>
      </c>
      <c r="AE26" s="10">
        <f t="shared" si="9"/>
        <v>47.3</v>
      </c>
      <c r="AF26" s="10">
        <f t="shared" si="10"/>
        <v>47.3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1:83" ht="11.1" customHeight="1" x14ac:dyDescent="0.2">
      <c r="A27" s="25" t="s">
        <v>27</v>
      </c>
      <c r="B27" s="25" t="s">
        <v>10</v>
      </c>
      <c r="C27" s="25">
        <f>VLOOKUP(A:A,[1]TDSheet!$A:$C,3,0)</f>
        <v>6208</v>
      </c>
      <c r="D27" s="26">
        <v>90</v>
      </c>
      <c r="E27" s="26"/>
      <c r="F27" s="26">
        <v>11</v>
      </c>
      <c r="G27" s="26">
        <v>76</v>
      </c>
      <c r="H27" s="27">
        <f>VLOOKUP(A:A,[1]TDSheet!$A:$H,8,0)</f>
        <v>0.15</v>
      </c>
      <c r="I27" s="28">
        <f>VLOOKUP(A:A,[1]TDSheet!$A:$I,9,0)</f>
        <v>45</v>
      </c>
      <c r="J27" s="28" t="str">
        <f>VLOOKUP(A:A,[1]TDSheet!$A:$J,10,0)</f>
        <v>ВНИМАНИЕ / в матрице</v>
      </c>
      <c r="K27" s="10"/>
      <c r="L27" s="10">
        <f>VLOOKUP(A:A,[2]TDSheet!$A:$B,2,0)</f>
        <v>11</v>
      </c>
      <c r="M27" s="10">
        <f t="shared" si="3"/>
        <v>0</v>
      </c>
      <c r="N27" s="10"/>
      <c r="O27" s="10"/>
      <c r="P27" s="10">
        <f>VLOOKUP(A:A,[1]TDSheet!$A:$S,19,0)</f>
        <v>0</v>
      </c>
      <c r="Q27" s="10">
        <v>0</v>
      </c>
      <c r="R27" s="10">
        <f t="shared" si="4"/>
        <v>2.2000000000000002</v>
      </c>
      <c r="S27" s="24"/>
      <c r="T27" s="24">
        <f t="shared" si="5"/>
        <v>0</v>
      </c>
      <c r="U27" s="24">
        <f t="shared" si="6"/>
        <v>0</v>
      </c>
      <c r="V27" s="24"/>
      <c r="W27" s="10">
        <f>VLOOKUP(A:A,[3]TDSheet!$A:$U,21,0)</f>
        <v>0</v>
      </c>
      <c r="X27" s="10">
        <f t="shared" si="7"/>
        <v>34.54545454545454</v>
      </c>
      <c r="Y27" s="10">
        <f t="shared" si="8"/>
        <v>34.54545454545454</v>
      </c>
      <c r="Z27" s="10">
        <f>VLOOKUP(A:A,[1]TDSheet!$A:$Y,25,0)</f>
        <v>1.8</v>
      </c>
      <c r="AA27" s="10">
        <f>VLOOKUP(A:A,[1]TDSheet!$A:$Z,26,0)</f>
        <v>9</v>
      </c>
      <c r="AB27" s="10">
        <f>VLOOKUP(A:A,[1]TDSheet!$A:$AA,27,0)</f>
        <v>2.8</v>
      </c>
      <c r="AC27" s="10">
        <f>VLOOKUP(A:A,[1]TDSheet!$A:$R,18,0)</f>
        <v>4</v>
      </c>
      <c r="AD27" s="10" t="str">
        <f>VLOOKUP(A:A,[1]TDSheet!$A:$AB,28,0)</f>
        <v>остатки?</v>
      </c>
      <c r="AE27" s="10">
        <f t="shared" si="9"/>
        <v>0</v>
      </c>
      <c r="AF27" s="10">
        <f t="shared" si="10"/>
        <v>0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1:83" ht="11.1" customHeight="1" x14ac:dyDescent="0.2">
      <c r="A28" s="8" t="s">
        <v>28</v>
      </c>
      <c r="B28" s="8" t="s">
        <v>12</v>
      </c>
      <c r="C28" s="8">
        <f>VLOOKUP(A:A,[1]TDSheet!$A:$C,3,0)</f>
        <v>6220</v>
      </c>
      <c r="D28" s="9">
        <v>240.21299999999999</v>
      </c>
      <c r="E28" s="9">
        <v>362.10199999999998</v>
      </c>
      <c r="F28" s="9">
        <v>361.02100000000002</v>
      </c>
      <c r="G28" s="9">
        <v>159.71600000000001</v>
      </c>
      <c r="H28" s="23">
        <f>VLOOKUP(A:A,[1]TDSheet!$A:$H,8,0)</f>
        <v>1</v>
      </c>
      <c r="I28" s="10">
        <f>VLOOKUP(A:A,[1]TDSheet!$A:$I,9,0)</f>
        <v>60</v>
      </c>
      <c r="J28" s="10" t="str">
        <f>VLOOKUP(A:A,[1]TDSheet!$A:$J,10,0)</f>
        <v>в матрице</v>
      </c>
      <c r="K28" s="10"/>
      <c r="L28" s="10">
        <f>VLOOKUP(A:A,[2]TDSheet!$A:$B,2,0)</f>
        <v>359.65800000000002</v>
      </c>
      <c r="M28" s="10">
        <f t="shared" si="3"/>
        <v>1.3629999999999995</v>
      </c>
      <c r="N28" s="10"/>
      <c r="O28" s="10"/>
      <c r="P28" s="10">
        <f>VLOOKUP(A:A,[1]TDSheet!$A:$S,19,0)</f>
        <v>100</v>
      </c>
      <c r="Q28" s="10">
        <v>100</v>
      </c>
      <c r="R28" s="10">
        <f t="shared" si="4"/>
        <v>72.2042</v>
      </c>
      <c r="S28" s="24">
        <v>650</v>
      </c>
      <c r="T28" s="24">
        <f t="shared" si="5"/>
        <v>325</v>
      </c>
      <c r="U28" s="24">
        <f t="shared" si="6"/>
        <v>325</v>
      </c>
      <c r="V28" s="24"/>
      <c r="W28" s="10">
        <f>VLOOKUP(A:A,[3]TDSheet!$A:$U,21,0)</f>
        <v>0</v>
      </c>
      <c r="X28" s="10">
        <f t="shared" si="7"/>
        <v>13.984172665856002</v>
      </c>
      <c r="Y28" s="10">
        <f t="shared" si="8"/>
        <v>2.2120042878392119</v>
      </c>
      <c r="Z28" s="10">
        <f>VLOOKUP(A:A,[1]TDSheet!$A:$Y,25,0)</f>
        <v>33.980000000000004</v>
      </c>
      <c r="AA28" s="10">
        <f>VLOOKUP(A:A,[1]TDSheet!$A:$Z,26,0)</f>
        <v>58.654399999999995</v>
      </c>
      <c r="AB28" s="10">
        <f>VLOOKUP(A:A,[1]TDSheet!$A:$AA,27,0)</f>
        <v>38.292200000000001</v>
      </c>
      <c r="AC28" s="10">
        <f>VLOOKUP(A:A,[1]TDSheet!$A:$R,18,0)</f>
        <v>37.873399999999997</v>
      </c>
      <c r="AD28" s="10" t="str">
        <f>VLOOKUP(A:A,[1]TDSheet!$A:$AB,28,0)</f>
        <v>новинка</v>
      </c>
      <c r="AE28" s="10">
        <f t="shared" si="9"/>
        <v>325</v>
      </c>
      <c r="AF28" s="10">
        <f t="shared" si="10"/>
        <v>325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1:83" ht="11.1" customHeight="1" x14ac:dyDescent="0.2">
      <c r="A29" s="8" t="s">
        <v>29</v>
      </c>
      <c r="B29" s="8" t="s">
        <v>10</v>
      </c>
      <c r="C29" s="8">
        <f>VLOOKUP(A:A,[1]TDSheet!$A:$C,3,0)</f>
        <v>6221</v>
      </c>
      <c r="D29" s="9">
        <v>219</v>
      </c>
      <c r="E29" s="9">
        <v>800</v>
      </c>
      <c r="F29" s="9">
        <v>444</v>
      </c>
      <c r="G29" s="9">
        <v>551</v>
      </c>
      <c r="H29" s="23">
        <f>VLOOKUP(A:A,[1]TDSheet!$A:$H,8,0)</f>
        <v>0.09</v>
      </c>
      <c r="I29" s="10">
        <f>VLOOKUP(A:A,[1]TDSheet!$A:$I,9,0)</f>
        <v>60</v>
      </c>
      <c r="J29" s="10" t="str">
        <f>VLOOKUP(A:A,[1]TDSheet!$A:$J,10,0)</f>
        <v>ВНИМАНИЕ / в матрице</v>
      </c>
      <c r="K29" s="10"/>
      <c r="L29" s="10">
        <f>VLOOKUP(A:A,[2]TDSheet!$A:$B,2,0)</f>
        <v>455</v>
      </c>
      <c r="M29" s="10">
        <f t="shared" si="3"/>
        <v>-11</v>
      </c>
      <c r="N29" s="10"/>
      <c r="O29" s="10"/>
      <c r="P29" s="10">
        <f>VLOOKUP(A:A,[1]TDSheet!$A:$S,19,0)</f>
        <v>0</v>
      </c>
      <c r="Q29" s="10">
        <v>0</v>
      </c>
      <c r="R29" s="10">
        <f t="shared" si="4"/>
        <v>88.8</v>
      </c>
      <c r="S29" s="24">
        <v>690</v>
      </c>
      <c r="T29" s="24">
        <f t="shared" si="5"/>
        <v>345</v>
      </c>
      <c r="U29" s="24">
        <f t="shared" si="6"/>
        <v>345</v>
      </c>
      <c r="V29" s="24"/>
      <c r="W29" s="10">
        <f>VLOOKUP(A:A,[3]TDSheet!$A:$U,21,0)</f>
        <v>0</v>
      </c>
      <c r="X29" s="10">
        <f t="shared" si="7"/>
        <v>13.975225225225225</v>
      </c>
      <c r="Y29" s="10">
        <f t="shared" si="8"/>
        <v>6.204954954954955</v>
      </c>
      <c r="Z29" s="10">
        <f>VLOOKUP(A:A,[1]TDSheet!$A:$Y,25,0)</f>
        <v>72</v>
      </c>
      <c r="AA29" s="10">
        <f>VLOOKUP(A:A,[1]TDSheet!$A:$Z,26,0)</f>
        <v>76.599999999999994</v>
      </c>
      <c r="AB29" s="10">
        <f>VLOOKUP(A:A,[1]TDSheet!$A:$AA,27,0)</f>
        <v>96</v>
      </c>
      <c r="AC29" s="10">
        <f>VLOOKUP(A:A,[1]TDSheet!$A:$R,18,0)</f>
        <v>71.8</v>
      </c>
      <c r="AD29" s="10">
        <f>VLOOKUP(A:A,[1]TDSheet!$A:$AB,28,0)</f>
        <v>0</v>
      </c>
      <c r="AE29" s="10">
        <f t="shared" si="9"/>
        <v>31.049999999999997</v>
      </c>
      <c r="AF29" s="10">
        <f t="shared" si="10"/>
        <v>31.049999999999997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</row>
    <row r="30" spans="1:83" ht="11.1" customHeight="1" x14ac:dyDescent="0.2">
      <c r="A30" s="8" t="s">
        <v>30</v>
      </c>
      <c r="B30" s="8" t="s">
        <v>10</v>
      </c>
      <c r="C30" s="8">
        <f>VLOOKUP(A:A,[1]TDSheet!$A:$C,3,0)</f>
        <v>6228</v>
      </c>
      <c r="D30" s="9">
        <v>29</v>
      </c>
      <c r="E30" s="9">
        <v>454</v>
      </c>
      <c r="F30" s="9">
        <v>204</v>
      </c>
      <c r="G30" s="9">
        <v>18</v>
      </c>
      <c r="H30" s="23">
        <f>VLOOKUP(A:A,[1]TDSheet!$A:$H,8,0)</f>
        <v>0.09</v>
      </c>
      <c r="I30" s="10">
        <f>VLOOKUP(A:A,[1]TDSheet!$A:$I,9,0)</f>
        <v>45</v>
      </c>
      <c r="J30" s="10" t="str">
        <f>VLOOKUP(A:A,[1]TDSheet!$A:$J,10,0)</f>
        <v>в матрице</v>
      </c>
      <c r="K30" s="10"/>
      <c r="L30" s="10">
        <f>VLOOKUP(A:A,[2]TDSheet!$A:$B,2,0)</f>
        <v>213</v>
      </c>
      <c r="M30" s="10">
        <f t="shared" si="3"/>
        <v>-9</v>
      </c>
      <c r="N30" s="10"/>
      <c r="O30" s="10"/>
      <c r="P30" s="10">
        <f>VLOOKUP(A:A,[1]TDSheet!$A:$S,19,0)</f>
        <v>25</v>
      </c>
      <c r="Q30" s="10">
        <v>25</v>
      </c>
      <c r="R30" s="10">
        <f t="shared" si="4"/>
        <v>40.799999999999997</v>
      </c>
      <c r="S30" s="24">
        <v>500</v>
      </c>
      <c r="T30" s="24">
        <f t="shared" si="5"/>
        <v>250</v>
      </c>
      <c r="U30" s="24">
        <f t="shared" si="6"/>
        <v>250</v>
      </c>
      <c r="V30" s="24"/>
      <c r="W30" s="10">
        <f>VLOOKUP(A:A,[3]TDSheet!$A:$U,21,0)</f>
        <v>0</v>
      </c>
      <c r="X30" s="10">
        <f t="shared" si="7"/>
        <v>13.921568627450981</v>
      </c>
      <c r="Y30" s="10">
        <f t="shared" si="8"/>
        <v>0.44117647058823534</v>
      </c>
      <c r="Z30" s="10">
        <f>VLOOKUP(A:A,[1]TDSheet!$A:$Y,25,0)</f>
        <v>19</v>
      </c>
      <c r="AA30" s="10">
        <f>VLOOKUP(A:A,[1]TDSheet!$A:$Z,26,0)</f>
        <v>14.8</v>
      </c>
      <c r="AB30" s="10">
        <f>VLOOKUP(A:A,[1]TDSheet!$A:$AA,27,0)</f>
        <v>20.2</v>
      </c>
      <c r="AC30" s="10">
        <f>VLOOKUP(A:A,[1]TDSheet!$A:$R,18,0)</f>
        <v>13.2</v>
      </c>
      <c r="AD30" s="10" t="str">
        <f>VLOOKUP(A:A,[1]TDSheet!$A:$AB,28,0)</f>
        <v>Обжора / Паллет</v>
      </c>
      <c r="AE30" s="10">
        <f t="shared" si="9"/>
        <v>22.5</v>
      </c>
      <c r="AF30" s="10">
        <f t="shared" si="10"/>
        <v>22.5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</row>
    <row r="31" spans="1:83" ht="11.1" customHeight="1" x14ac:dyDescent="0.2">
      <c r="A31" s="8" t="s">
        <v>31</v>
      </c>
      <c r="B31" s="8" t="s">
        <v>10</v>
      </c>
      <c r="C31" s="8">
        <f>VLOOKUP(A:A,[1]TDSheet!$A:$C,3,0)</f>
        <v>6279</v>
      </c>
      <c r="D31" s="9">
        <v>98</v>
      </c>
      <c r="E31" s="9">
        <v>564</v>
      </c>
      <c r="F31" s="9">
        <v>147</v>
      </c>
      <c r="G31" s="9">
        <v>475</v>
      </c>
      <c r="H31" s="23">
        <f>VLOOKUP(A:A,[1]TDSheet!$A:$H,8,0)</f>
        <v>0.15</v>
      </c>
      <c r="I31" s="10">
        <f>VLOOKUP(A:A,[1]TDSheet!$A:$I,9,0)</f>
        <v>45</v>
      </c>
      <c r="J31" s="10" t="str">
        <f>VLOOKUP(A:A,[1]TDSheet!$A:$J,10,0)</f>
        <v>в матрице</v>
      </c>
      <c r="K31" s="10"/>
      <c r="L31" s="10">
        <f>VLOOKUP(A:A,[2]TDSheet!$A:$B,2,0)</f>
        <v>161</v>
      </c>
      <c r="M31" s="10">
        <f t="shared" si="3"/>
        <v>-14</v>
      </c>
      <c r="N31" s="10"/>
      <c r="O31" s="10"/>
      <c r="P31" s="10">
        <f>VLOOKUP(A:A,[1]TDSheet!$A:$S,19,0)</f>
        <v>0</v>
      </c>
      <c r="Q31" s="10">
        <v>0</v>
      </c>
      <c r="R31" s="10">
        <f t="shared" si="4"/>
        <v>29.4</v>
      </c>
      <c r="S31" s="24"/>
      <c r="T31" s="24">
        <f t="shared" si="5"/>
        <v>0</v>
      </c>
      <c r="U31" s="24">
        <f t="shared" si="6"/>
        <v>0</v>
      </c>
      <c r="V31" s="24"/>
      <c r="W31" s="10">
        <f>VLOOKUP(A:A,[3]TDSheet!$A:$U,21,0)</f>
        <v>0</v>
      </c>
      <c r="X31" s="10">
        <f t="shared" si="7"/>
        <v>16.156462585034014</v>
      </c>
      <c r="Y31" s="10">
        <f t="shared" si="8"/>
        <v>16.156462585034014</v>
      </c>
      <c r="Z31" s="10">
        <f>VLOOKUP(A:A,[1]TDSheet!$A:$Y,25,0)</f>
        <v>16.600000000000001</v>
      </c>
      <c r="AA31" s="10">
        <f>VLOOKUP(A:A,[1]TDSheet!$A:$Z,26,0)</f>
        <v>24.6</v>
      </c>
      <c r="AB31" s="10">
        <f>VLOOKUP(A:A,[1]TDSheet!$A:$AA,27,0)</f>
        <v>45.6</v>
      </c>
      <c r="AC31" s="10">
        <f>VLOOKUP(A:A,[1]TDSheet!$A:$R,18,0)</f>
        <v>6.2</v>
      </c>
      <c r="AD31" s="10" t="str">
        <f>VLOOKUP(A:A,[1]TDSheet!$A:$AB,28,0)</f>
        <v>Галактика</v>
      </c>
      <c r="AE31" s="10">
        <f t="shared" si="9"/>
        <v>0</v>
      </c>
      <c r="AF31" s="10">
        <f t="shared" si="10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</row>
    <row r="32" spans="1:83" ht="11.1" customHeight="1" x14ac:dyDescent="0.2">
      <c r="A32" s="8" t="s">
        <v>32</v>
      </c>
      <c r="B32" s="8" t="s">
        <v>12</v>
      </c>
      <c r="C32" s="8">
        <f>VLOOKUP(A:A,[1]TDSheet!$A:$C,3,0)</f>
        <v>6303</v>
      </c>
      <c r="D32" s="9">
        <v>205.36500000000001</v>
      </c>
      <c r="E32" s="9">
        <v>539.65800000000002</v>
      </c>
      <c r="F32" s="9">
        <v>368.84199999999998</v>
      </c>
      <c r="G32" s="9">
        <v>273.45999999999998</v>
      </c>
      <c r="H32" s="23">
        <f>VLOOKUP(A:A,[1]TDSheet!$A:$H,8,0)</f>
        <v>1</v>
      </c>
      <c r="I32" s="10">
        <f>VLOOKUP(A:A,[1]TDSheet!$A:$I,9,0)</f>
        <v>45</v>
      </c>
      <c r="J32" s="10" t="str">
        <f>VLOOKUP(A:A,[1]TDSheet!$A:$J,10,0)</f>
        <v>в матрице</v>
      </c>
      <c r="K32" s="10"/>
      <c r="L32" s="10">
        <f>VLOOKUP(A:A,[2]TDSheet!$A:$B,2,0)</f>
        <v>360.91199999999998</v>
      </c>
      <c r="M32" s="10">
        <f t="shared" si="3"/>
        <v>7.9300000000000068</v>
      </c>
      <c r="N32" s="10"/>
      <c r="O32" s="10"/>
      <c r="P32" s="10">
        <f>VLOOKUP(A:A,[1]TDSheet!$A:$S,19,0)</f>
        <v>210</v>
      </c>
      <c r="Q32" s="10">
        <v>210</v>
      </c>
      <c r="R32" s="10">
        <f t="shared" si="4"/>
        <v>73.7684</v>
      </c>
      <c r="S32" s="24">
        <v>340</v>
      </c>
      <c r="T32" s="24">
        <f t="shared" si="5"/>
        <v>170</v>
      </c>
      <c r="U32" s="24">
        <f t="shared" si="6"/>
        <v>170</v>
      </c>
      <c r="V32" s="24"/>
      <c r="W32" s="10">
        <f>VLOOKUP(A:A,[3]TDSheet!$A:$U,21,0)</f>
        <v>0</v>
      </c>
      <c r="X32" s="10">
        <f t="shared" si="7"/>
        <v>14.009521692215095</v>
      </c>
      <c r="Y32" s="10">
        <f t="shared" si="8"/>
        <v>3.707007336474696</v>
      </c>
      <c r="Z32" s="10">
        <f>VLOOKUP(A:A,[1]TDSheet!$A:$Y,25,0)</f>
        <v>25.926400000000001</v>
      </c>
      <c r="AA32" s="10">
        <f>VLOOKUP(A:A,[1]TDSheet!$A:$Z,26,0)</f>
        <v>46.323399999999999</v>
      </c>
      <c r="AB32" s="10">
        <f>VLOOKUP(A:A,[1]TDSheet!$A:$AA,27,0)</f>
        <v>37.568799999999996</v>
      </c>
      <c r="AC32" s="10">
        <f>VLOOKUP(A:A,[1]TDSheet!$A:$R,18,0)</f>
        <v>53.324800000000003</v>
      </c>
      <c r="AD32" s="10">
        <f>VLOOKUP(A:A,[1]TDSheet!$A:$AB,28,0)</f>
        <v>0</v>
      </c>
      <c r="AE32" s="10">
        <f t="shared" si="9"/>
        <v>170</v>
      </c>
      <c r="AF32" s="10">
        <f t="shared" si="10"/>
        <v>170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</row>
    <row r="33" spans="1:83" ht="11.1" customHeight="1" x14ac:dyDescent="0.2">
      <c r="A33" s="8" t="s">
        <v>33</v>
      </c>
      <c r="B33" s="8" t="s">
        <v>10</v>
      </c>
      <c r="C33" s="8">
        <f>VLOOKUP(A:A,[1]TDSheet!$A:$C,3,0)</f>
        <v>6324</v>
      </c>
      <c r="D33" s="9">
        <v>9</v>
      </c>
      <c r="E33" s="9">
        <v>118</v>
      </c>
      <c r="F33" s="9">
        <v>0</v>
      </c>
      <c r="G33" s="9"/>
      <c r="H33" s="23">
        <f>VLOOKUP(A:A,[1]TDSheet!$A:$H,8,0)</f>
        <v>0.4</v>
      </c>
      <c r="I33" s="10">
        <f>VLOOKUP(A:A,[1]TDSheet!$A:$I,9,0)</f>
        <v>60</v>
      </c>
      <c r="J33" s="10" t="str">
        <f>VLOOKUP(A:A,[1]TDSheet!$A:$J,10,0)</f>
        <v>в матрице</v>
      </c>
      <c r="K33" s="10"/>
      <c r="L33" s="10">
        <f>VLOOKUP(A:A,[2]TDSheet!$A:$B,2,0)</f>
        <v>390</v>
      </c>
      <c r="M33" s="10">
        <f t="shared" si="3"/>
        <v>-390</v>
      </c>
      <c r="N33" s="10"/>
      <c r="O33" s="10"/>
      <c r="P33" s="10">
        <f>VLOOKUP(A:A,[1]TDSheet!$A:$S,19,0)</f>
        <v>30</v>
      </c>
      <c r="Q33" s="10">
        <v>30</v>
      </c>
      <c r="R33" s="10">
        <f t="shared" si="4"/>
        <v>0</v>
      </c>
      <c r="S33" s="24"/>
      <c r="T33" s="24">
        <f t="shared" si="5"/>
        <v>0</v>
      </c>
      <c r="U33" s="24">
        <f t="shared" si="6"/>
        <v>0</v>
      </c>
      <c r="V33" s="24">
        <f>VLOOKUP(A:A,[3]TDSheet!$A:$T,20,0)</f>
        <v>0</v>
      </c>
      <c r="W33" s="10" t="str">
        <f>VLOOKUP(A:A,[3]TDSheet!$A:$U,21,0)</f>
        <v>ротация на код 7539</v>
      </c>
      <c r="X33" s="10" t="e">
        <f t="shared" si="7"/>
        <v>#DIV/0!</v>
      </c>
      <c r="Y33" s="10" t="e">
        <f t="shared" si="8"/>
        <v>#DIV/0!</v>
      </c>
      <c r="Z33" s="10">
        <f>VLOOKUP(A:A,[1]TDSheet!$A:$Y,25,0)</f>
        <v>29</v>
      </c>
      <c r="AA33" s="10">
        <f>VLOOKUP(A:A,[1]TDSheet!$A:$Z,26,0)</f>
        <v>2.6</v>
      </c>
      <c r="AB33" s="10">
        <f>VLOOKUP(A:A,[1]TDSheet!$A:$AA,27,0)</f>
        <v>0.4</v>
      </c>
      <c r="AC33" s="10">
        <f>VLOOKUP(A:A,[1]TDSheet!$A:$R,18,0)</f>
        <v>0</v>
      </c>
      <c r="AD33" s="10" t="str">
        <f>VLOOKUP(A:A,[1]TDSheet!$A:$AB,28,0)</f>
        <v>Обжора / Паллет</v>
      </c>
      <c r="AE33" s="10">
        <f t="shared" si="9"/>
        <v>0</v>
      </c>
      <c r="AF33" s="10">
        <f t="shared" si="10"/>
        <v>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</row>
    <row r="34" spans="1:83" ht="11.1" customHeight="1" x14ac:dyDescent="0.2">
      <c r="A34" s="8" t="s">
        <v>34</v>
      </c>
      <c r="B34" s="8" t="s">
        <v>10</v>
      </c>
      <c r="C34" s="8">
        <f>VLOOKUP(A:A,[1]TDSheet!$A:$C,3,0)</f>
        <v>6325</v>
      </c>
      <c r="D34" s="9">
        <v>37</v>
      </c>
      <c r="E34" s="9">
        <v>128</v>
      </c>
      <c r="F34" s="9">
        <v>46</v>
      </c>
      <c r="G34" s="9">
        <v>18</v>
      </c>
      <c r="H34" s="23">
        <f>VLOOKUP(A:A,[1]TDSheet!$A:$H,8,0)</f>
        <v>0.4</v>
      </c>
      <c r="I34" s="10">
        <f>VLOOKUP(A:A,[1]TDSheet!$A:$I,9,0)</f>
        <v>60</v>
      </c>
      <c r="J34" s="10" t="str">
        <f>VLOOKUP(A:A,[1]TDSheet!$A:$J,10,0)</f>
        <v>в матрице</v>
      </c>
      <c r="K34" s="10"/>
      <c r="L34" s="10">
        <f>VLOOKUP(A:A,[2]TDSheet!$A:$B,2,0)</f>
        <v>149</v>
      </c>
      <c r="M34" s="10">
        <f t="shared" si="3"/>
        <v>-103</v>
      </c>
      <c r="N34" s="10"/>
      <c r="O34" s="10"/>
      <c r="P34" s="10">
        <f>VLOOKUP(A:A,[1]TDSheet!$A:$S,19,0)</f>
        <v>20</v>
      </c>
      <c r="Q34" s="10">
        <v>20</v>
      </c>
      <c r="R34" s="10">
        <f t="shared" si="4"/>
        <v>9.1999999999999993</v>
      </c>
      <c r="S34" s="24">
        <v>80</v>
      </c>
      <c r="T34" s="24">
        <f t="shared" si="5"/>
        <v>40</v>
      </c>
      <c r="U34" s="24">
        <f t="shared" si="6"/>
        <v>40</v>
      </c>
      <c r="V34" s="24"/>
      <c r="W34" s="10">
        <f>VLOOKUP(A:A,[3]TDSheet!$A:$U,21,0)</f>
        <v>0</v>
      </c>
      <c r="X34" s="10">
        <f t="shared" si="7"/>
        <v>15.000000000000002</v>
      </c>
      <c r="Y34" s="10">
        <f t="shared" si="8"/>
        <v>1.956521739130435</v>
      </c>
      <c r="Z34" s="10">
        <f>VLOOKUP(A:A,[1]TDSheet!$A:$Y,25,0)</f>
        <v>5.2</v>
      </c>
      <c r="AA34" s="10">
        <f>VLOOKUP(A:A,[1]TDSheet!$A:$Z,26,0)</f>
        <v>-0.2</v>
      </c>
      <c r="AB34" s="10">
        <f>VLOOKUP(A:A,[1]TDSheet!$A:$AA,27,0)</f>
        <v>6</v>
      </c>
      <c r="AC34" s="10">
        <f>VLOOKUP(A:A,[1]TDSheet!$A:$R,18,0)</f>
        <v>-0.2</v>
      </c>
      <c r="AD34" s="10">
        <f>VLOOKUP(A:A,[1]TDSheet!$A:$AB,28,0)</f>
        <v>0</v>
      </c>
      <c r="AE34" s="10">
        <f t="shared" si="9"/>
        <v>16</v>
      </c>
      <c r="AF34" s="10">
        <f t="shared" si="10"/>
        <v>16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ht="11.1" customHeight="1" x14ac:dyDescent="0.2">
      <c r="A35" s="8" t="s">
        <v>35</v>
      </c>
      <c r="B35" s="8" t="s">
        <v>10</v>
      </c>
      <c r="C35" s="8">
        <f>VLOOKUP(A:A,[1]TDSheet!$A:$C,3,0)</f>
        <v>6333</v>
      </c>
      <c r="D35" s="9">
        <v>464.65499999999997</v>
      </c>
      <c r="E35" s="9">
        <v>952</v>
      </c>
      <c r="F35" s="9">
        <v>658</v>
      </c>
      <c r="G35" s="9">
        <v>729.65499999999997</v>
      </c>
      <c r="H35" s="23">
        <f>VLOOKUP(A:A,[1]TDSheet!$A:$H,8,0)</f>
        <v>0.4</v>
      </c>
      <c r="I35" s="10">
        <f>VLOOKUP(A:A,[1]TDSheet!$A:$I,9,0)</f>
        <v>60</v>
      </c>
      <c r="J35" s="10" t="str">
        <f>VLOOKUP(A:A,[1]TDSheet!$A:$J,10,0)</f>
        <v>ВНИМАНИЕ / в матрице</v>
      </c>
      <c r="K35" s="10"/>
      <c r="L35" s="10">
        <f>VLOOKUP(A:A,[2]TDSheet!$A:$B,2,0)</f>
        <v>669.3</v>
      </c>
      <c r="M35" s="10">
        <f t="shared" si="3"/>
        <v>-11.299999999999955</v>
      </c>
      <c r="N35" s="10"/>
      <c r="O35" s="10"/>
      <c r="P35" s="10">
        <f>VLOOKUP(A:A,[1]TDSheet!$A:$S,19,0)</f>
        <v>600</v>
      </c>
      <c r="Q35" s="10">
        <v>600</v>
      </c>
      <c r="R35" s="10">
        <f t="shared" si="4"/>
        <v>131.6</v>
      </c>
      <c r="S35" s="24"/>
      <c r="T35" s="24">
        <f t="shared" si="5"/>
        <v>0</v>
      </c>
      <c r="U35" s="24">
        <f t="shared" si="6"/>
        <v>0</v>
      </c>
      <c r="V35" s="24"/>
      <c r="W35" s="10">
        <f>VLOOKUP(A:A,[3]TDSheet!$A:$U,21,0)</f>
        <v>0</v>
      </c>
      <c r="X35" s="10">
        <f t="shared" si="7"/>
        <v>14.663031914893617</v>
      </c>
      <c r="Y35" s="10">
        <f t="shared" si="8"/>
        <v>5.5444908814589668</v>
      </c>
      <c r="Z35" s="10">
        <f>VLOOKUP(A:A,[1]TDSheet!$A:$Y,25,0)</f>
        <v>108.6</v>
      </c>
      <c r="AA35" s="10">
        <f>VLOOKUP(A:A,[1]TDSheet!$A:$Z,26,0)</f>
        <v>119.2</v>
      </c>
      <c r="AB35" s="10">
        <f>VLOOKUP(A:A,[1]TDSheet!$A:$AA,27,0)</f>
        <v>106</v>
      </c>
      <c r="AC35" s="10">
        <f>VLOOKUP(A:A,[1]TDSheet!$A:$R,18,0)</f>
        <v>145</v>
      </c>
      <c r="AD35" s="10" t="str">
        <f>VLOOKUP(A:A,[1]TDSheet!$A:$AB,28,0)</f>
        <v>Обжора / Паллет</v>
      </c>
      <c r="AE35" s="10">
        <f t="shared" si="9"/>
        <v>0</v>
      </c>
      <c r="AF35" s="10">
        <f t="shared" si="10"/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ht="11.1" customHeight="1" x14ac:dyDescent="0.2">
      <c r="A36" s="8" t="s">
        <v>36</v>
      </c>
      <c r="B36" s="8" t="s">
        <v>10</v>
      </c>
      <c r="C36" s="8">
        <f>VLOOKUP(A:A,[1]TDSheet!$A:$C,3,0)</f>
        <v>6353</v>
      </c>
      <c r="D36" s="9">
        <v>80</v>
      </c>
      <c r="E36" s="9">
        <v>786</v>
      </c>
      <c r="F36" s="9">
        <v>555</v>
      </c>
      <c r="G36" s="9">
        <v>265</v>
      </c>
      <c r="H36" s="23">
        <f>VLOOKUP(A:A,[1]TDSheet!$A:$H,8,0)</f>
        <v>0.4</v>
      </c>
      <c r="I36" s="10">
        <f>VLOOKUP(A:A,[1]TDSheet!$A:$I,9,0)</f>
        <v>60</v>
      </c>
      <c r="J36" s="10" t="str">
        <f>VLOOKUP(A:A,[1]TDSheet!$A:$J,10,0)</f>
        <v>ВНИМАНИЕ / в матрице</v>
      </c>
      <c r="K36" s="10"/>
      <c r="L36" s="10">
        <f>VLOOKUP(A:A,[2]TDSheet!$A:$B,2,0)</f>
        <v>572.6</v>
      </c>
      <c r="M36" s="10">
        <f t="shared" si="3"/>
        <v>-17.600000000000023</v>
      </c>
      <c r="N36" s="10"/>
      <c r="O36" s="10"/>
      <c r="P36" s="10">
        <f>VLOOKUP(A:A,[1]TDSheet!$A:$S,19,0)</f>
        <v>500</v>
      </c>
      <c r="Q36" s="10">
        <v>500</v>
      </c>
      <c r="R36" s="10">
        <f t="shared" si="4"/>
        <v>111</v>
      </c>
      <c r="S36" s="24"/>
      <c r="T36" s="24">
        <f t="shared" si="5"/>
        <v>0</v>
      </c>
      <c r="U36" s="24">
        <f t="shared" si="6"/>
        <v>0</v>
      </c>
      <c r="V36" s="24">
        <f>VLOOKUP(A:A,[3]TDSheet!$A:$T,20,0)</f>
        <v>0</v>
      </c>
      <c r="W36" s="10" t="str">
        <f>VLOOKUP(A:A,[3]TDSheet!$A:$U,21,0)</f>
        <v>ротация на код 7632</v>
      </c>
      <c r="X36" s="10">
        <f t="shared" si="7"/>
        <v>11.396396396396396</v>
      </c>
      <c r="Y36" s="10">
        <f t="shared" si="8"/>
        <v>2.3873873873873874</v>
      </c>
      <c r="Z36" s="10">
        <f>VLOOKUP(A:A,[1]TDSheet!$A:$Y,25,0)</f>
        <v>112.6</v>
      </c>
      <c r="AA36" s="10">
        <f>VLOOKUP(A:A,[1]TDSheet!$A:$Z,26,0)</f>
        <v>84</v>
      </c>
      <c r="AB36" s="10">
        <f>VLOOKUP(A:A,[1]TDSheet!$A:$AA,27,0)</f>
        <v>105.4</v>
      </c>
      <c r="AC36" s="10">
        <f>VLOOKUP(A:A,[1]TDSheet!$A:$R,18,0)</f>
        <v>131.80000000000001</v>
      </c>
      <c r="AD36" s="10" t="str">
        <f>VLOOKUP(A:A,[1]TDSheet!$A:$AB,28,0)</f>
        <v>Обжора / Паллет</v>
      </c>
      <c r="AE36" s="10">
        <f t="shared" si="9"/>
        <v>0</v>
      </c>
      <c r="AF36" s="10">
        <f t="shared" si="10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</row>
    <row r="37" spans="1:83" ht="11.1" customHeight="1" x14ac:dyDescent="0.2">
      <c r="A37" s="8" t="s">
        <v>37</v>
      </c>
      <c r="B37" s="8" t="s">
        <v>10</v>
      </c>
      <c r="C37" s="8">
        <f>VLOOKUP(A:A,[1]TDSheet!$A:$C,3,0)</f>
        <v>6392</v>
      </c>
      <c r="D37" s="9">
        <v>585</v>
      </c>
      <c r="E37" s="9">
        <v>1294</v>
      </c>
      <c r="F37" s="9">
        <v>813</v>
      </c>
      <c r="G37" s="9">
        <v>988</v>
      </c>
      <c r="H37" s="23">
        <f>VLOOKUP(A:A,[1]TDSheet!$A:$H,8,0)</f>
        <v>0.4</v>
      </c>
      <c r="I37" s="10">
        <f>VLOOKUP(A:A,[1]TDSheet!$A:$I,9,0)</f>
        <v>60</v>
      </c>
      <c r="J37" s="10" t="str">
        <f>VLOOKUP(A:A,[1]TDSheet!$A:$J,10,0)</f>
        <v>ВНИМАНИЕ / в матрице</v>
      </c>
      <c r="K37" s="10"/>
      <c r="L37" s="10">
        <f>VLOOKUP(A:A,[2]TDSheet!$A:$B,2,0)</f>
        <v>826</v>
      </c>
      <c r="M37" s="10">
        <f t="shared" si="3"/>
        <v>-13</v>
      </c>
      <c r="N37" s="10"/>
      <c r="O37" s="10"/>
      <c r="P37" s="10">
        <f>VLOOKUP(A:A,[1]TDSheet!$A:$S,19,0)</f>
        <v>800</v>
      </c>
      <c r="Q37" s="10">
        <v>800</v>
      </c>
      <c r="R37" s="10">
        <f t="shared" si="4"/>
        <v>162.6</v>
      </c>
      <c r="S37" s="24"/>
      <c r="T37" s="24">
        <f t="shared" si="5"/>
        <v>0</v>
      </c>
      <c r="U37" s="24">
        <f t="shared" si="6"/>
        <v>0</v>
      </c>
      <c r="V37" s="24"/>
      <c r="W37" s="10">
        <f>VLOOKUP(A:A,[3]TDSheet!$A:$U,21,0)</f>
        <v>0</v>
      </c>
      <c r="X37" s="10">
        <f t="shared" si="7"/>
        <v>15.916359163591636</v>
      </c>
      <c r="Y37" s="10">
        <f t="shared" si="8"/>
        <v>6.0762607626076264</v>
      </c>
      <c r="Z37" s="10">
        <f>VLOOKUP(A:A,[1]TDSheet!$A:$Y,25,0)</f>
        <v>195.6</v>
      </c>
      <c r="AA37" s="10">
        <f>VLOOKUP(A:A,[1]TDSheet!$A:$Z,26,0)</f>
        <v>155.80000000000001</v>
      </c>
      <c r="AB37" s="10">
        <f>VLOOKUP(A:A,[1]TDSheet!$A:$AA,27,0)</f>
        <v>136.4</v>
      </c>
      <c r="AC37" s="10">
        <f>VLOOKUP(A:A,[1]TDSheet!$A:$R,18,0)</f>
        <v>189.4</v>
      </c>
      <c r="AD37" s="10" t="str">
        <f>VLOOKUP(A:A,[1]TDSheet!$A:$AB,28,0)</f>
        <v>Обжора / Паллет</v>
      </c>
      <c r="AE37" s="10">
        <f t="shared" si="9"/>
        <v>0</v>
      </c>
      <c r="AF37" s="10">
        <f t="shared" si="10"/>
        <v>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</row>
    <row r="38" spans="1:83" ht="11.1" customHeight="1" x14ac:dyDescent="0.2">
      <c r="A38" s="8" t="s">
        <v>38</v>
      </c>
      <c r="B38" s="8" t="s">
        <v>10</v>
      </c>
      <c r="C38" s="8">
        <f>VLOOKUP(A:A,[1]TDSheet!$A:$C,3,0)</f>
        <v>6453</v>
      </c>
      <c r="D38" s="9">
        <v>75</v>
      </c>
      <c r="E38" s="9">
        <v>1056</v>
      </c>
      <c r="F38" s="9">
        <v>362</v>
      </c>
      <c r="G38" s="9">
        <v>718</v>
      </c>
      <c r="H38" s="23">
        <f>VLOOKUP(A:A,[1]TDSheet!$A:$H,8,0)</f>
        <v>0.1</v>
      </c>
      <c r="I38" s="10">
        <f>VLOOKUP(A:A,[1]TDSheet!$A:$I,9,0)</f>
        <v>60</v>
      </c>
      <c r="J38" s="10" t="str">
        <f>VLOOKUP(A:A,[1]TDSheet!$A:$J,10,0)</f>
        <v>в матрице</v>
      </c>
      <c r="K38" s="10"/>
      <c r="L38" s="10">
        <f>VLOOKUP(A:A,[2]TDSheet!$A:$B,2,0)</f>
        <v>376</v>
      </c>
      <c r="M38" s="10">
        <f t="shared" si="3"/>
        <v>-14</v>
      </c>
      <c r="N38" s="10"/>
      <c r="O38" s="10"/>
      <c r="P38" s="10">
        <f>VLOOKUP(A:A,[1]TDSheet!$A:$S,19,0)</f>
        <v>30</v>
      </c>
      <c r="Q38" s="10">
        <v>30</v>
      </c>
      <c r="R38" s="10">
        <f t="shared" si="4"/>
        <v>72.400000000000006</v>
      </c>
      <c r="S38" s="24">
        <v>240</v>
      </c>
      <c r="T38" s="24">
        <f t="shared" si="5"/>
        <v>120</v>
      </c>
      <c r="U38" s="24">
        <f t="shared" si="6"/>
        <v>120</v>
      </c>
      <c r="V38" s="24"/>
      <c r="W38" s="10">
        <f>VLOOKUP(A:A,[3]TDSheet!$A:$U,21,0)</f>
        <v>0</v>
      </c>
      <c r="X38" s="10">
        <f t="shared" si="7"/>
        <v>14.060773480662982</v>
      </c>
      <c r="Y38" s="10">
        <f t="shared" si="8"/>
        <v>9.9171270718232041</v>
      </c>
      <c r="Z38" s="10">
        <f>VLOOKUP(A:A,[1]TDSheet!$A:$Y,25,0)</f>
        <v>65.2</v>
      </c>
      <c r="AA38" s="10">
        <f>VLOOKUP(A:A,[1]TDSheet!$A:$Z,26,0)</f>
        <v>59</v>
      </c>
      <c r="AB38" s="10">
        <f>VLOOKUP(A:A,[1]TDSheet!$A:$AA,27,0)</f>
        <v>96.6</v>
      </c>
      <c r="AC38" s="10">
        <f>VLOOKUP(A:A,[1]TDSheet!$A:$R,18,0)</f>
        <v>47.6</v>
      </c>
      <c r="AD38" s="10" t="str">
        <f>VLOOKUP(A:A,[1]TDSheet!$A:$AB,28,0)</f>
        <v>Обжора / Паллет</v>
      </c>
      <c r="AE38" s="10">
        <f t="shared" si="9"/>
        <v>12</v>
      </c>
      <c r="AF38" s="10">
        <f t="shared" si="10"/>
        <v>12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</row>
    <row r="39" spans="1:83" ht="11.1" customHeight="1" x14ac:dyDescent="0.2">
      <c r="A39" s="8" t="s">
        <v>39</v>
      </c>
      <c r="B39" s="8" t="s">
        <v>10</v>
      </c>
      <c r="C39" s="8">
        <f>VLOOKUP(A:A,[1]TDSheet!$A:$C,3,0)</f>
        <v>6454</v>
      </c>
      <c r="D39" s="9">
        <v>227</v>
      </c>
      <c r="E39" s="9">
        <v>258</v>
      </c>
      <c r="F39" s="9">
        <v>220</v>
      </c>
      <c r="G39" s="9">
        <v>235</v>
      </c>
      <c r="H39" s="23">
        <f>VLOOKUP(A:A,[1]TDSheet!$A:$H,8,0)</f>
        <v>0.1</v>
      </c>
      <c r="I39" s="10">
        <f>VLOOKUP(A:A,[1]TDSheet!$A:$I,9,0)</f>
        <v>60</v>
      </c>
      <c r="J39" s="10" t="str">
        <f>VLOOKUP(A:A,[1]TDSheet!$A:$J,10,0)</f>
        <v>в матрице</v>
      </c>
      <c r="K39" s="10"/>
      <c r="L39" s="10">
        <f>VLOOKUP(A:A,[2]TDSheet!$A:$B,2,0)</f>
        <v>246</v>
      </c>
      <c r="M39" s="10">
        <f t="shared" si="3"/>
        <v>-26</v>
      </c>
      <c r="N39" s="10"/>
      <c r="O39" s="10"/>
      <c r="P39" s="10">
        <f>VLOOKUP(A:A,[1]TDSheet!$A:$S,19,0)</f>
        <v>200</v>
      </c>
      <c r="Q39" s="10">
        <v>200</v>
      </c>
      <c r="R39" s="10">
        <f t="shared" si="4"/>
        <v>44</v>
      </c>
      <c r="S39" s="24"/>
      <c r="T39" s="24">
        <f t="shared" si="5"/>
        <v>0</v>
      </c>
      <c r="U39" s="24">
        <f t="shared" si="6"/>
        <v>0</v>
      </c>
      <c r="V39" s="24"/>
      <c r="W39" s="10">
        <f>VLOOKUP(A:A,[3]TDSheet!$A:$U,21,0)</f>
        <v>0</v>
      </c>
      <c r="X39" s="10">
        <f t="shared" si="7"/>
        <v>14.431818181818182</v>
      </c>
      <c r="Y39" s="10">
        <f t="shared" si="8"/>
        <v>5.3409090909090908</v>
      </c>
      <c r="Z39" s="10">
        <f>VLOOKUP(A:A,[1]TDSheet!$A:$Y,25,0)</f>
        <v>32.799999999999997</v>
      </c>
      <c r="AA39" s="10">
        <f>VLOOKUP(A:A,[1]TDSheet!$A:$Z,26,0)</f>
        <v>42.6</v>
      </c>
      <c r="AB39" s="10">
        <f>VLOOKUP(A:A,[1]TDSheet!$A:$AA,27,0)</f>
        <v>28</v>
      </c>
      <c r="AC39" s="10">
        <f>VLOOKUP(A:A,[1]TDSheet!$A:$R,18,0)</f>
        <v>48.2</v>
      </c>
      <c r="AD39" s="10" t="str">
        <f>VLOOKUP(A:A,[1]TDSheet!$A:$AB,28,0)</f>
        <v>Обжора / Паллет</v>
      </c>
      <c r="AE39" s="10">
        <f t="shared" si="9"/>
        <v>0</v>
      </c>
      <c r="AF39" s="10">
        <f t="shared" si="10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</row>
    <row r="40" spans="1:83" ht="11.1" customHeight="1" x14ac:dyDescent="0.2">
      <c r="A40" s="8" t="s">
        <v>40</v>
      </c>
      <c r="B40" s="8" t="s">
        <v>10</v>
      </c>
      <c r="C40" s="8">
        <f>VLOOKUP(A:A,[1]TDSheet!$A:$C,3,0)</f>
        <v>6459</v>
      </c>
      <c r="D40" s="9">
        <v>15</v>
      </c>
      <c r="E40" s="9">
        <v>237</v>
      </c>
      <c r="F40" s="9">
        <v>126</v>
      </c>
      <c r="G40" s="9">
        <v>118</v>
      </c>
      <c r="H40" s="23">
        <f>VLOOKUP(A:A,[1]TDSheet!$A:$H,8,0)</f>
        <v>0.1</v>
      </c>
      <c r="I40" s="10">
        <f>VLOOKUP(A:A,[1]TDSheet!$A:$I,9,0)</f>
        <v>45</v>
      </c>
      <c r="J40" s="10" t="str">
        <f>VLOOKUP(A:A,[1]TDSheet!$A:$J,10,0)</f>
        <v>в матрице</v>
      </c>
      <c r="K40" s="10"/>
      <c r="L40" s="10">
        <f>VLOOKUP(A:A,[2]TDSheet!$A:$B,2,0)</f>
        <v>134</v>
      </c>
      <c r="M40" s="10">
        <f t="shared" si="3"/>
        <v>-8</v>
      </c>
      <c r="N40" s="10"/>
      <c r="O40" s="10"/>
      <c r="P40" s="10">
        <f>VLOOKUP(A:A,[1]TDSheet!$A:$S,19,0)</f>
        <v>35</v>
      </c>
      <c r="Q40" s="10">
        <v>35</v>
      </c>
      <c r="R40" s="10">
        <f t="shared" si="4"/>
        <v>25.2</v>
      </c>
      <c r="S40" s="24">
        <v>160</v>
      </c>
      <c r="T40" s="24">
        <f t="shared" si="5"/>
        <v>80</v>
      </c>
      <c r="U40" s="24">
        <f t="shared" si="6"/>
        <v>80</v>
      </c>
      <c r="V40" s="24"/>
      <c r="W40" s="10">
        <f>VLOOKUP(A:A,[3]TDSheet!$A:$U,21,0)</f>
        <v>0</v>
      </c>
      <c r="X40" s="10">
        <f t="shared" si="7"/>
        <v>13.80952380952381</v>
      </c>
      <c r="Y40" s="10">
        <f t="shared" si="8"/>
        <v>4.6825396825396828</v>
      </c>
      <c r="Z40" s="10">
        <f>VLOOKUP(A:A,[1]TDSheet!$A:$Y,25,0)</f>
        <v>13.4</v>
      </c>
      <c r="AA40" s="10">
        <f>VLOOKUP(A:A,[1]TDSheet!$A:$Z,26,0)</f>
        <v>5</v>
      </c>
      <c r="AB40" s="10">
        <f>VLOOKUP(A:A,[1]TDSheet!$A:$AA,27,0)</f>
        <v>20.6</v>
      </c>
      <c r="AC40" s="10">
        <f>VLOOKUP(A:A,[1]TDSheet!$A:$R,18,0)</f>
        <v>13.2</v>
      </c>
      <c r="AD40" s="10">
        <f>VLOOKUP(A:A,[1]TDSheet!$A:$AB,28,0)</f>
        <v>0</v>
      </c>
      <c r="AE40" s="10">
        <f t="shared" si="9"/>
        <v>8</v>
      </c>
      <c r="AF40" s="10">
        <f t="shared" si="10"/>
        <v>8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</row>
    <row r="41" spans="1:83" ht="11.1" customHeight="1" x14ac:dyDescent="0.2">
      <c r="A41" s="8" t="s">
        <v>41</v>
      </c>
      <c r="B41" s="8" t="s">
        <v>10</v>
      </c>
      <c r="C41" s="8">
        <f>VLOOKUP(A:A,[1]TDSheet!$A:$C,3,0)</f>
        <v>6475</v>
      </c>
      <c r="D41" s="9">
        <v>23</v>
      </c>
      <c r="E41" s="9">
        <v>39</v>
      </c>
      <c r="F41" s="9">
        <v>15</v>
      </c>
      <c r="G41" s="9">
        <v>31</v>
      </c>
      <c r="H41" s="23">
        <f>VLOOKUP(A:A,[1]TDSheet!$A:$H,8,0)</f>
        <v>0.4</v>
      </c>
      <c r="I41" s="10">
        <f>VLOOKUP(A:A,[1]TDSheet!$A:$I,9,0)</f>
        <v>0</v>
      </c>
      <c r="J41" s="10">
        <f>VLOOKUP(A:A,[1]TDSheet!$A:$J,10,0)</f>
        <v>0</v>
      </c>
      <c r="K41" s="10"/>
      <c r="L41" s="10">
        <f>VLOOKUP(A:A,[2]TDSheet!$A:$B,2,0)</f>
        <v>66</v>
      </c>
      <c r="M41" s="10">
        <f t="shared" si="3"/>
        <v>-51</v>
      </c>
      <c r="N41" s="10"/>
      <c r="O41" s="10"/>
      <c r="P41" s="10">
        <f>VLOOKUP(A:A,[1]TDSheet!$A:$S,19,0)</f>
        <v>30</v>
      </c>
      <c r="Q41" s="10">
        <v>30</v>
      </c>
      <c r="R41" s="10">
        <f t="shared" si="4"/>
        <v>3</v>
      </c>
      <c r="S41" s="24"/>
      <c r="T41" s="24">
        <f t="shared" si="5"/>
        <v>0</v>
      </c>
      <c r="U41" s="24">
        <f t="shared" si="6"/>
        <v>0</v>
      </c>
      <c r="V41" s="24"/>
      <c r="W41" s="10">
        <f>VLOOKUP(A:A,[3]TDSheet!$A:$U,21,0)</f>
        <v>0</v>
      </c>
      <c r="X41" s="10">
        <f t="shared" si="7"/>
        <v>30.333333333333332</v>
      </c>
      <c r="Y41" s="10">
        <f t="shared" si="8"/>
        <v>10.333333333333334</v>
      </c>
      <c r="Z41" s="10">
        <f>VLOOKUP(A:A,[1]TDSheet!$A:$Y,25,0)</f>
        <v>7.4</v>
      </c>
      <c r="AA41" s="10">
        <f>VLOOKUP(A:A,[1]TDSheet!$A:$Z,26,0)</f>
        <v>1.6</v>
      </c>
      <c r="AB41" s="10">
        <f>VLOOKUP(A:A,[1]TDSheet!$A:$AA,27,0)</f>
        <v>0</v>
      </c>
      <c r="AC41" s="10">
        <f>VLOOKUP(A:A,[1]TDSheet!$A:$R,18,0)</f>
        <v>1.2</v>
      </c>
      <c r="AD41" s="10" t="str">
        <f>VLOOKUP(A:A,[1]TDSheet!$A:$AB,28,0)</f>
        <v>Обжора / Паллет</v>
      </c>
      <c r="AE41" s="10">
        <f t="shared" si="9"/>
        <v>0</v>
      </c>
      <c r="AF41" s="10">
        <f t="shared" si="10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</row>
    <row r="42" spans="1:83" ht="11.1" customHeight="1" x14ac:dyDescent="0.2">
      <c r="A42" s="8" t="s">
        <v>42</v>
      </c>
      <c r="B42" s="8" t="s">
        <v>10</v>
      </c>
      <c r="C42" s="8">
        <f>VLOOKUP(A:A,[1]TDSheet!$A:$C,3,0)</f>
        <v>6495</v>
      </c>
      <c r="D42" s="9">
        <v>335</v>
      </c>
      <c r="E42" s="9">
        <v>21</v>
      </c>
      <c r="F42" s="9">
        <v>210</v>
      </c>
      <c r="G42" s="9">
        <v>119</v>
      </c>
      <c r="H42" s="23">
        <f>VLOOKUP(A:A,[1]TDSheet!$A:$H,8,0)</f>
        <v>0.3</v>
      </c>
      <c r="I42" s="10" t="e">
        <f>VLOOKUP(A:A,[1]TDSheet!$A:$I,9,0)</f>
        <v>#N/A</v>
      </c>
      <c r="J42" s="10" t="e">
        <f>VLOOKUP(A:A,[1]TDSheet!$A:$J,10,0)</f>
        <v>#N/A</v>
      </c>
      <c r="K42" s="10"/>
      <c r="L42" s="10">
        <f>VLOOKUP(A:A,[2]TDSheet!$A:$B,2,0)</f>
        <v>212</v>
      </c>
      <c r="M42" s="10">
        <f t="shared" si="3"/>
        <v>-2</v>
      </c>
      <c r="N42" s="10"/>
      <c r="O42" s="10"/>
      <c r="P42" s="10">
        <f>VLOOKUP(A:A,[1]TDSheet!$A:$S,19,0)</f>
        <v>20</v>
      </c>
      <c r="Q42" s="10">
        <v>20</v>
      </c>
      <c r="R42" s="10">
        <f t="shared" si="4"/>
        <v>42</v>
      </c>
      <c r="S42" s="24">
        <v>420</v>
      </c>
      <c r="T42" s="24">
        <f t="shared" si="5"/>
        <v>210</v>
      </c>
      <c r="U42" s="24">
        <f t="shared" si="6"/>
        <v>210</v>
      </c>
      <c r="V42" s="24"/>
      <c r="W42" s="10">
        <f>VLOOKUP(A:A,[3]TDSheet!$A:$U,21,0)</f>
        <v>0</v>
      </c>
      <c r="X42" s="10">
        <f t="shared" si="7"/>
        <v>13.785714285714286</v>
      </c>
      <c r="Y42" s="10">
        <f t="shared" si="8"/>
        <v>2.8333333333333335</v>
      </c>
      <c r="Z42" s="10">
        <f>VLOOKUP(A:A,[1]TDSheet!$A:$Y,25,0)</f>
        <v>0</v>
      </c>
      <c r="AA42" s="10">
        <f>VLOOKUP(A:A,[1]TDSheet!$A:$Z,26,0)</f>
        <v>0</v>
      </c>
      <c r="AB42" s="10">
        <f>VLOOKUP(A:A,[1]TDSheet!$A:$AA,27,0)</f>
        <v>0</v>
      </c>
      <c r="AC42" s="10">
        <f>VLOOKUP(A:A,[1]TDSheet!$A:$R,18,0)</f>
        <v>18.399999999999999</v>
      </c>
      <c r="AD42" s="10" t="e">
        <f>VLOOKUP(A:A,[1]TDSheet!$A:$AB,28,0)</f>
        <v>#N/A</v>
      </c>
      <c r="AE42" s="10">
        <f t="shared" si="9"/>
        <v>63</v>
      </c>
      <c r="AF42" s="10">
        <f t="shared" si="10"/>
        <v>63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</row>
    <row r="43" spans="1:83" ht="11.1" customHeight="1" x14ac:dyDescent="0.2">
      <c r="A43" s="8" t="s">
        <v>43</v>
      </c>
      <c r="B43" s="8" t="s">
        <v>12</v>
      </c>
      <c r="C43" s="8">
        <f>VLOOKUP(A:A,[1]TDSheet!$A:$C,3,0)</f>
        <v>6498</v>
      </c>
      <c r="D43" s="9">
        <v>3.0310000000000001</v>
      </c>
      <c r="E43" s="9">
        <v>236.71299999999999</v>
      </c>
      <c r="F43" s="9">
        <v>114.22799999999999</v>
      </c>
      <c r="G43" s="9">
        <v>73.822000000000003</v>
      </c>
      <c r="H43" s="23">
        <f>VLOOKUP(A:A,[1]TDSheet!$A:$H,8,0)</f>
        <v>1</v>
      </c>
      <c r="I43" s="10">
        <f>VLOOKUP(A:A,[1]TDSheet!$A:$I,9,0)</f>
        <v>60</v>
      </c>
      <c r="J43" s="10" t="str">
        <f>VLOOKUP(A:A,[1]TDSheet!$A:$J,10,0)</f>
        <v>в матрице</v>
      </c>
      <c r="K43" s="10"/>
      <c r="L43" s="10">
        <f>VLOOKUP(A:A,[2]TDSheet!$A:$B,2,0)</f>
        <v>159.19300000000001</v>
      </c>
      <c r="M43" s="10">
        <f t="shared" si="3"/>
        <v>-44.965000000000018</v>
      </c>
      <c r="N43" s="10"/>
      <c r="O43" s="10"/>
      <c r="P43" s="10">
        <f>VLOOKUP(A:A,[1]TDSheet!$A:$S,19,0)</f>
        <v>75</v>
      </c>
      <c r="Q43" s="10">
        <v>75</v>
      </c>
      <c r="R43" s="10">
        <f t="shared" si="4"/>
        <v>22.845599999999997</v>
      </c>
      <c r="S43" s="24">
        <v>100</v>
      </c>
      <c r="T43" s="24">
        <f t="shared" si="5"/>
        <v>50</v>
      </c>
      <c r="U43" s="24">
        <f t="shared" si="6"/>
        <v>50</v>
      </c>
      <c r="V43" s="24"/>
      <c r="W43" s="10">
        <f>VLOOKUP(A:A,[3]TDSheet!$A:$U,21,0)</f>
        <v>0</v>
      </c>
      <c r="X43" s="10">
        <f t="shared" si="7"/>
        <v>14.174370557131352</v>
      </c>
      <c r="Y43" s="10">
        <f t="shared" si="8"/>
        <v>3.2313443288860881</v>
      </c>
      <c r="Z43" s="10">
        <f>VLOOKUP(A:A,[1]TDSheet!$A:$Y,25,0)</f>
        <v>21.195799999999998</v>
      </c>
      <c r="AA43" s="10">
        <f>VLOOKUP(A:A,[1]TDSheet!$A:$Z,26,0)</f>
        <v>26.767200000000003</v>
      </c>
      <c r="AB43" s="10">
        <f>VLOOKUP(A:A,[1]TDSheet!$A:$AA,27,0)</f>
        <v>22.452999999999999</v>
      </c>
      <c r="AC43" s="10">
        <f>VLOOKUP(A:A,[1]TDSheet!$A:$R,18,0)</f>
        <v>14.877000000000001</v>
      </c>
      <c r="AD43" s="10">
        <f>VLOOKUP(A:A,[1]TDSheet!$A:$AB,28,0)</f>
        <v>0</v>
      </c>
      <c r="AE43" s="10">
        <f t="shared" si="9"/>
        <v>50</v>
      </c>
      <c r="AF43" s="10">
        <f t="shared" si="10"/>
        <v>50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</row>
    <row r="44" spans="1:83" ht="11.1" customHeight="1" x14ac:dyDescent="0.2">
      <c r="A44" s="8" t="s">
        <v>44</v>
      </c>
      <c r="B44" s="8" t="s">
        <v>12</v>
      </c>
      <c r="C44" s="8">
        <f>VLOOKUP(A:A,[1]TDSheet!$A:$C,3,0)</f>
        <v>6527</v>
      </c>
      <c r="D44" s="9">
        <v>135.21700000000001</v>
      </c>
      <c r="E44" s="9">
        <v>47.067999999999998</v>
      </c>
      <c r="F44" s="9">
        <v>72.197999999999993</v>
      </c>
      <c r="G44" s="9">
        <v>104.116</v>
      </c>
      <c r="H44" s="23">
        <f>VLOOKUP(A:A,[1]TDSheet!$A:$H,8,0)</f>
        <v>1</v>
      </c>
      <c r="I44" s="10">
        <f>VLOOKUP(A:A,[1]TDSheet!$A:$I,9,0)</f>
        <v>45</v>
      </c>
      <c r="J44" s="10" t="str">
        <f>VLOOKUP(A:A,[1]TDSheet!$A:$J,10,0)</f>
        <v>в матрице</v>
      </c>
      <c r="K44" s="10"/>
      <c r="L44" s="10">
        <f>VLOOKUP(A:A,[2]TDSheet!$A:$B,2,0)</f>
        <v>78.099999999999994</v>
      </c>
      <c r="M44" s="10">
        <f t="shared" si="3"/>
        <v>-5.902000000000001</v>
      </c>
      <c r="N44" s="10"/>
      <c r="O44" s="10"/>
      <c r="P44" s="10">
        <f>VLOOKUP(A:A,[1]TDSheet!$A:$S,19,0)</f>
        <v>10</v>
      </c>
      <c r="Q44" s="10">
        <v>10</v>
      </c>
      <c r="R44" s="10">
        <f t="shared" si="4"/>
        <v>14.439599999999999</v>
      </c>
      <c r="S44" s="24">
        <v>80</v>
      </c>
      <c r="T44" s="24">
        <f t="shared" si="5"/>
        <v>40</v>
      </c>
      <c r="U44" s="24">
        <f t="shared" si="6"/>
        <v>40</v>
      </c>
      <c r="V44" s="24"/>
      <c r="W44" s="10">
        <f>VLOOKUP(A:A,[3]TDSheet!$A:$U,21,0)</f>
        <v>0</v>
      </c>
      <c r="X44" s="10">
        <f t="shared" si="7"/>
        <v>14.13584863846644</v>
      </c>
      <c r="Y44" s="10">
        <f t="shared" si="8"/>
        <v>7.2104490429097767</v>
      </c>
      <c r="Z44" s="10">
        <f>VLOOKUP(A:A,[1]TDSheet!$A:$Y,25,0)</f>
        <v>14.8492</v>
      </c>
      <c r="AA44" s="10">
        <f>VLOOKUP(A:A,[1]TDSheet!$A:$Z,26,0)</f>
        <v>17.9648</v>
      </c>
      <c r="AB44" s="10">
        <f>VLOOKUP(A:A,[1]TDSheet!$A:$AA,27,0)</f>
        <v>14.7774</v>
      </c>
      <c r="AC44" s="10">
        <f>VLOOKUP(A:A,[1]TDSheet!$A:$R,18,0)</f>
        <v>12.758799999999999</v>
      </c>
      <c r="AD44" s="10">
        <f>VLOOKUP(A:A,[1]TDSheet!$A:$AB,28,0)</f>
        <v>0</v>
      </c>
      <c r="AE44" s="10">
        <f t="shared" si="9"/>
        <v>40</v>
      </c>
      <c r="AF44" s="10">
        <f t="shared" si="10"/>
        <v>40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</row>
    <row r="45" spans="1:83" ht="11.1" customHeight="1" x14ac:dyDescent="0.2">
      <c r="A45" s="8" t="s">
        <v>45</v>
      </c>
      <c r="B45" s="8" t="s">
        <v>12</v>
      </c>
      <c r="C45" s="8">
        <f>VLOOKUP(A:A,[1]TDSheet!$A:$C,3,0)</f>
        <v>6550</v>
      </c>
      <c r="D45" s="9">
        <v>132.76900000000001</v>
      </c>
      <c r="E45" s="9">
        <v>162.06899999999999</v>
      </c>
      <c r="F45" s="9">
        <v>123.408</v>
      </c>
      <c r="G45" s="9">
        <v>122.992</v>
      </c>
      <c r="H45" s="23">
        <f>VLOOKUP(A:A,[1]TDSheet!$A:$H,8,0)</f>
        <v>1</v>
      </c>
      <c r="I45" s="10">
        <f>VLOOKUP(A:A,[1]TDSheet!$A:$I,9,0)</f>
        <v>45</v>
      </c>
      <c r="J45" s="10" t="str">
        <f>VLOOKUP(A:A,[1]TDSheet!$A:$J,10,0)</f>
        <v>в матрице</v>
      </c>
      <c r="K45" s="10"/>
      <c r="L45" s="10">
        <f>VLOOKUP(A:A,[2]TDSheet!$A:$B,2,0)</f>
        <v>136.03399999999999</v>
      </c>
      <c r="M45" s="10">
        <f t="shared" si="3"/>
        <v>-12.625999999999991</v>
      </c>
      <c r="N45" s="10"/>
      <c r="O45" s="10"/>
      <c r="P45" s="10">
        <f>VLOOKUP(A:A,[1]TDSheet!$A:$S,19,0)</f>
        <v>60</v>
      </c>
      <c r="Q45" s="10">
        <v>60</v>
      </c>
      <c r="R45" s="10">
        <f t="shared" si="4"/>
        <v>24.6816</v>
      </c>
      <c r="S45" s="24">
        <v>100</v>
      </c>
      <c r="T45" s="24">
        <f t="shared" si="5"/>
        <v>50</v>
      </c>
      <c r="U45" s="24">
        <f t="shared" si="6"/>
        <v>50</v>
      </c>
      <c r="V45" s="24"/>
      <c r="W45" s="10">
        <f>VLOOKUP(A:A,[3]TDSheet!$A:$U,21,0)</f>
        <v>0</v>
      </c>
      <c r="X45" s="10">
        <f t="shared" si="7"/>
        <v>13.89666796317905</v>
      </c>
      <c r="Y45" s="10">
        <f t="shared" si="8"/>
        <v>4.9831453390379883</v>
      </c>
      <c r="Z45" s="10">
        <f>VLOOKUP(A:A,[1]TDSheet!$A:$Y,25,0)</f>
        <v>17.996199999999998</v>
      </c>
      <c r="AA45" s="10">
        <f>VLOOKUP(A:A,[1]TDSheet!$A:$Z,26,0)</f>
        <v>17.272200000000002</v>
      </c>
      <c r="AB45" s="10">
        <f>VLOOKUP(A:A,[1]TDSheet!$A:$AA,27,0)</f>
        <v>10.6646</v>
      </c>
      <c r="AC45" s="10">
        <f>VLOOKUP(A:A,[1]TDSheet!$A:$R,18,0)</f>
        <v>20.631999999999998</v>
      </c>
      <c r="AD45" s="10">
        <f>VLOOKUP(A:A,[1]TDSheet!$A:$AB,28,0)</f>
        <v>0</v>
      </c>
      <c r="AE45" s="10">
        <f t="shared" si="9"/>
        <v>50</v>
      </c>
      <c r="AF45" s="10">
        <f t="shared" si="10"/>
        <v>50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</row>
    <row r="46" spans="1:83" ht="11.1" customHeight="1" x14ac:dyDescent="0.2">
      <c r="A46" s="8" t="s">
        <v>46</v>
      </c>
      <c r="B46" s="8" t="s">
        <v>12</v>
      </c>
      <c r="C46" s="8">
        <f>VLOOKUP(A:A,[1]TDSheet!$A:$C,3,0)</f>
        <v>6608</v>
      </c>
      <c r="D46" s="9">
        <v>277.726</v>
      </c>
      <c r="E46" s="9">
        <v>184.40100000000001</v>
      </c>
      <c r="F46" s="9">
        <v>212.54900000000001</v>
      </c>
      <c r="G46" s="9">
        <v>194.066</v>
      </c>
      <c r="H46" s="23">
        <f>VLOOKUP(A:A,[1]TDSheet!$A:$H,8,0)</f>
        <v>1</v>
      </c>
      <c r="I46" s="10">
        <f>VLOOKUP(A:A,[1]TDSheet!$A:$I,9,0)</f>
        <v>45</v>
      </c>
      <c r="J46" s="10" t="str">
        <f>VLOOKUP(A:A,[1]TDSheet!$A:$J,10,0)</f>
        <v>в матрице</v>
      </c>
      <c r="K46" s="10"/>
      <c r="L46" s="10">
        <f>VLOOKUP(A:A,[2]TDSheet!$A:$B,2,0)</f>
        <v>217.93100000000001</v>
      </c>
      <c r="M46" s="10">
        <f t="shared" si="3"/>
        <v>-5.382000000000005</v>
      </c>
      <c r="N46" s="10"/>
      <c r="O46" s="10"/>
      <c r="P46" s="10">
        <f>VLOOKUP(A:A,[1]TDSheet!$A:$S,19,0)</f>
        <v>85</v>
      </c>
      <c r="Q46" s="10">
        <v>85</v>
      </c>
      <c r="R46" s="10">
        <f t="shared" si="4"/>
        <v>42.509799999999998</v>
      </c>
      <c r="S46" s="24">
        <v>220</v>
      </c>
      <c r="T46" s="24">
        <f t="shared" si="5"/>
        <v>110</v>
      </c>
      <c r="U46" s="24">
        <f t="shared" si="6"/>
        <v>110</v>
      </c>
      <c r="V46" s="24"/>
      <c r="W46" s="10">
        <f>VLOOKUP(A:A,[3]TDSheet!$A:$U,21,0)</f>
        <v>0</v>
      </c>
      <c r="X46" s="10">
        <f t="shared" si="7"/>
        <v>13.73956123058683</v>
      </c>
      <c r="Y46" s="10">
        <f t="shared" si="8"/>
        <v>4.5652061407016733</v>
      </c>
      <c r="Z46" s="10">
        <f>VLOOKUP(A:A,[1]TDSheet!$A:$Y,25,0)</f>
        <v>27.579799999999999</v>
      </c>
      <c r="AA46" s="10">
        <f>VLOOKUP(A:A,[1]TDSheet!$A:$Z,26,0)</f>
        <v>40.957799999999999</v>
      </c>
      <c r="AB46" s="10">
        <f>VLOOKUP(A:A,[1]TDSheet!$A:$AA,27,0)</f>
        <v>29.583199999999998</v>
      </c>
      <c r="AC46" s="10">
        <f>VLOOKUP(A:A,[1]TDSheet!$A:$R,18,0)</f>
        <v>33.079799999999999</v>
      </c>
      <c r="AD46" s="10">
        <f>VLOOKUP(A:A,[1]TDSheet!$A:$AB,28,0)</f>
        <v>0</v>
      </c>
      <c r="AE46" s="10">
        <f t="shared" si="9"/>
        <v>110</v>
      </c>
      <c r="AF46" s="10">
        <f t="shared" si="10"/>
        <v>110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</row>
    <row r="47" spans="1:83" ht="11.1" customHeight="1" x14ac:dyDescent="0.2">
      <c r="A47" s="8" t="s">
        <v>47</v>
      </c>
      <c r="B47" s="8" t="s">
        <v>10</v>
      </c>
      <c r="C47" s="8">
        <f>VLOOKUP(A:A,[1]TDSheet!$A:$C,3,0)</f>
        <v>6616</v>
      </c>
      <c r="D47" s="9">
        <v>463</v>
      </c>
      <c r="E47" s="9">
        <v>7378</v>
      </c>
      <c r="F47" s="9">
        <v>5625</v>
      </c>
      <c r="G47" s="9">
        <v>2022</v>
      </c>
      <c r="H47" s="23">
        <f>VLOOKUP(A:A,[1]TDSheet!$A:$H,8,0)</f>
        <v>0.3</v>
      </c>
      <c r="I47" s="10">
        <f>VLOOKUP(A:A,[1]TDSheet!$A:$I,9,0)</f>
        <v>45</v>
      </c>
      <c r="J47" s="10" t="str">
        <f>VLOOKUP(A:A,[1]TDSheet!$A:$J,10,0)</f>
        <v>в матрице</v>
      </c>
      <c r="K47" s="10"/>
      <c r="L47" s="10">
        <f>VLOOKUP(A:A,[2]TDSheet!$A:$B,2,0)</f>
        <v>5795</v>
      </c>
      <c r="M47" s="10">
        <f t="shared" si="3"/>
        <v>-170</v>
      </c>
      <c r="N47" s="10"/>
      <c r="O47" s="10"/>
      <c r="P47" s="10">
        <f>VLOOKUP(A:A,[1]TDSheet!$A:$S,19,0)</f>
        <v>1000</v>
      </c>
      <c r="Q47" s="10">
        <v>1000</v>
      </c>
      <c r="R47" s="10">
        <f t="shared" si="4"/>
        <v>1125</v>
      </c>
      <c r="S47" s="24">
        <v>1700</v>
      </c>
      <c r="T47" s="24">
        <f t="shared" si="5"/>
        <v>850</v>
      </c>
      <c r="U47" s="24">
        <f t="shared" si="6"/>
        <v>850</v>
      </c>
      <c r="V47" s="24">
        <f>VLOOKUP(A:A,[3]TDSheet!$A:$T,20,0)</f>
        <v>1700</v>
      </c>
      <c r="W47" s="10" t="str">
        <f>VLOOKUP(A:A,[3]TDSheet!$A:$U,21,0)</f>
        <v>прошлый заказ 5300шт был под сеть ЮгТех</v>
      </c>
      <c r="X47" s="10">
        <f t="shared" si="7"/>
        <v>5.0862222222222222</v>
      </c>
      <c r="Y47" s="10">
        <f t="shared" si="8"/>
        <v>1.7973333333333332</v>
      </c>
      <c r="Z47" s="10">
        <f>VLOOKUP(A:A,[1]TDSheet!$A:$Y,25,0)</f>
        <v>88.8</v>
      </c>
      <c r="AA47" s="10">
        <f>VLOOKUP(A:A,[1]TDSheet!$A:$Z,26,0)</f>
        <v>92.2</v>
      </c>
      <c r="AB47" s="10">
        <f>VLOOKUP(A:A,[1]TDSheet!$A:$AA,27,0)</f>
        <v>90.2</v>
      </c>
      <c r="AC47" s="10">
        <f>VLOOKUP(A:A,[1]TDSheet!$A:$R,18,0)</f>
        <v>75.2</v>
      </c>
      <c r="AD47" s="10">
        <f>VLOOKUP(A:A,[1]TDSheet!$A:$AB,28,0)</f>
        <v>0</v>
      </c>
      <c r="AE47" s="10">
        <f t="shared" si="9"/>
        <v>255</v>
      </c>
      <c r="AF47" s="10">
        <f t="shared" si="10"/>
        <v>255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</row>
    <row r="48" spans="1:83" ht="11.1" customHeight="1" x14ac:dyDescent="0.2">
      <c r="A48" s="8" t="s">
        <v>48</v>
      </c>
      <c r="B48" s="8" t="s">
        <v>12</v>
      </c>
      <c r="C48" s="8">
        <f>VLOOKUP(A:A,[1]TDSheet!$A:$C,3,0)</f>
        <v>6661</v>
      </c>
      <c r="D48" s="9">
        <v>4.6920000000000002</v>
      </c>
      <c r="E48" s="9">
        <v>31.140999999999998</v>
      </c>
      <c r="F48" s="9">
        <v>13.323</v>
      </c>
      <c r="G48" s="9">
        <v>15.605</v>
      </c>
      <c r="H48" s="23">
        <f>VLOOKUP(A:A,[1]TDSheet!$A:$H,8,0)</f>
        <v>1</v>
      </c>
      <c r="I48" s="10">
        <f>VLOOKUP(A:A,[1]TDSheet!$A:$I,9,0)</f>
        <v>45</v>
      </c>
      <c r="J48" s="10" t="str">
        <f>VLOOKUP(A:A,[1]TDSheet!$A:$J,10,0)</f>
        <v>в матрице</v>
      </c>
      <c r="K48" s="10"/>
      <c r="L48" s="10">
        <f>VLOOKUP(A:A,[2]TDSheet!$A:$B,2,0)</f>
        <v>13.663</v>
      </c>
      <c r="M48" s="10">
        <f t="shared" si="3"/>
        <v>-0.33999999999999986</v>
      </c>
      <c r="N48" s="10"/>
      <c r="O48" s="10"/>
      <c r="P48" s="10">
        <f>VLOOKUP(A:A,[1]TDSheet!$A:$S,19,0)</f>
        <v>5</v>
      </c>
      <c r="Q48" s="10">
        <v>5</v>
      </c>
      <c r="R48" s="10">
        <f t="shared" si="4"/>
        <v>2.6646000000000001</v>
      </c>
      <c r="S48" s="24"/>
      <c r="T48" s="24">
        <f t="shared" si="5"/>
        <v>0</v>
      </c>
      <c r="U48" s="24">
        <f t="shared" si="6"/>
        <v>0</v>
      </c>
      <c r="V48" s="24"/>
      <c r="W48" s="10">
        <f>VLOOKUP(A:A,[3]TDSheet!$A:$U,21,0)</f>
        <v>0</v>
      </c>
      <c r="X48" s="10">
        <f t="shared" si="7"/>
        <v>9.6093222247241616</v>
      </c>
      <c r="Y48" s="10">
        <f t="shared" si="8"/>
        <v>5.8564137206334905</v>
      </c>
      <c r="Z48" s="10">
        <f>VLOOKUP(A:A,[1]TDSheet!$A:$Y,25,0)</f>
        <v>1.2428000000000001</v>
      </c>
      <c r="AA48" s="10">
        <f>VLOOKUP(A:A,[1]TDSheet!$A:$Z,26,0)</f>
        <v>1.234</v>
      </c>
      <c r="AB48" s="10">
        <f>VLOOKUP(A:A,[1]TDSheet!$A:$AA,27,0)</f>
        <v>3.0461999999999998</v>
      </c>
      <c r="AC48" s="10">
        <f>VLOOKUP(A:A,[1]TDSheet!$A:$R,18,0)</f>
        <v>2.7833999999999999</v>
      </c>
      <c r="AD48" s="10" t="str">
        <f>VLOOKUP(A:A,[1]TDSheet!$A:$AB,28,0)</f>
        <v>нужно увеличить продажи / 31,07,25 в уценку 25кг / 22,04,25 в уценку 25кг</v>
      </c>
      <c r="AE48" s="10">
        <f t="shared" si="9"/>
        <v>0</v>
      </c>
      <c r="AF48" s="10">
        <f t="shared" si="10"/>
        <v>0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</row>
    <row r="49" spans="1:83" ht="11.1" customHeight="1" x14ac:dyDescent="0.2">
      <c r="A49" s="8" t="s">
        <v>49</v>
      </c>
      <c r="B49" s="8" t="s">
        <v>10</v>
      </c>
      <c r="C49" s="8">
        <f>VLOOKUP(A:A,[1]TDSheet!$A:$C,3,0)</f>
        <v>6697</v>
      </c>
      <c r="D49" s="9">
        <v>301</v>
      </c>
      <c r="E49" s="9">
        <v>2435</v>
      </c>
      <c r="F49" s="9">
        <v>1272</v>
      </c>
      <c r="G49" s="9">
        <v>1322</v>
      </c>
      <c r="H49" s="23">
        <f>VLOOKUP(A:A,[1]TDSheet!$A:$H,8,0)</f>
        <v>0.35</v>
      </c>
      <c r="I49" s="10">
        <f>VLOOKUP(A:A,[1]TDSheet!$A:$I,9,0)</f>
        <v>45</v>
      </c>
      <c r="J49" s="10" t="str">
        <f>VLOOKUP(A:A,[1]TDSheet!$A:$J,10,0)</f>
        <v>ВНИМАНИЕ / в матрице</v>
      </c>
      <c r="K49" s="10"/>
      <c r="L49" s="10">
        <f>VLOOKUP(A:A,[2]TDSheet!$A:$B,2,0)</f>
        <v>1311</v>
      </c>
      <c r="M49" s="10">
        <f t="shared" si="3"/>
        <v>-39</v>
      </c>
      <c r="N49" s="10"/>
      <c r="O49" s="10"/>
      <c r="P49" s="10">
        <f>VLOOKUP(A:A,[1]TDSheet!$A:$S,19,0)</f>
        <v>225</v>
      </c>
      <c r="Q49" s="10">
        <v>225</v>
      </c>
      <c r="R49" s="10">
        <f t="shared" si="4"/>
        <v>254.4</v>
      </c>
      <c r="S49" s="24">
        <v>1800</v>
      </c>
      <c r="T49" s="24">
        <f t="shared" si="5"/>
        <v>900</v>
      </c>
      <c r="U49" s="24">
        <f t="shared" si="6"/>
        <v>900</v>
      </c>
      <c r="V49" s="24"/>
      <c r="W49" s="10">
        <f>VLOOKUP(A:A,[3]TDSheet!$A:$U,21,0)</f>
        <v>0</v>
      </c>
      <c r="X49" s="10">
        <f t="shared" si="7"/>
        <v>14.040880503144654</v>
      </c>
      <c r="Y49" s="10">
        <f t="shared" si="8"/>
        <v>5.1965408805031448</v>
      </c>
      <c r="Z49" s="10">
        <f>VLOOKUP(A:A,[1]TDSheet!$A:$Y,25,0)</f>
        <v>225.4</v>
      </c>
      <c r="AA49" s="10">
        <f>VLOOKUP(A:A,[1]TDSheet!$A:$Z,26,0)</f>
        <v>174.6</v>
      </c>
      <c r="AB49" s="10">
        <f>VLOOKUP(A:A,[1]TDSheet!$A:$AA,27,0)</f>
        <v>242.8</v>
      </c>
      <c r="AC49" s="10">
        <f>VLOOKUP(A:A,[1]TDSheet!$A:$R,18,0)</f>
        <v>195.2</v>
      </c>
      <c r="AD49" s="10" t="str">
        <f>VLOOKUP(A:A,[1]TDSheet!$A:$AB,28,0)</f>
        <v>ТС Обжора</v>
      </c>
      <c r="AE49" s="10">
        <f t="shared" si="9"/>
        <v>315</v>
      </c>
      <c r="AF49" s="10">
        <f t="shared" si="10"/>
        <v>315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</row>
    <row r="50" spans="1:83" ht="11.1" customHeight="1" x14ac:dyDescent="0.2">
      <c r="A50" s="8" t="s">
        <v>50</v>
      </c>
      <c r="B50" s="8" t="s">
        <v>10</v>
      </c>
      <c r="C50" s="8">
        <f>VLOOKUP(A:A,[1]TDSheet!$A:$C,3,0)</f>
        <v>6713</v>
      </c>
      <c r="D50" s="9">
        <v>102</v>
      </c>
      <c r="E50" s="9">
        <v>800</v>
      </c>
      <c r="F50" s="9">
        <v>450</v>
      </c>
      <c r="G50" s="9">
        <v>373</v>
      </c>
      <c r="H50" s="23">
        <f>VLOOKUP(A:A,[1]TDSheet!$A:$H,8,0)</f>
        <v>0.41</v>
      </c>
      <c r="I50" s="10">
        <f>VLOOKUP(A:A,[1]TDSheet!$A:$I,9,0)</f>
        <v>45</v>
      </c>
      <c r="J50" s="10" t="str">
        <f>VLOOKUP(A:A,[1]TDSheet!$A:$J,10,0)</f>
        <v>в матрице</v>
      </c>
      <c r="K50" s="10"/>
      <c r="L50" s="10">
        <f>VLOOKUP(A:A,[2]TDSheet!$A:$B,2,0)</f>
        <v>466</v>
      </c>
      <c r="M50" s="10">
        <f t="shared" si="3"/>
        <v>-16</v>
      </c>
      <c r="N50" s="10"/>
      <c r="O50" s="10"/>
      <c r="P50" s="10">
        <f>VLOOKUP(A:A,[1]TDSheet!$A:$S,19,0)</f>
        <v>360</v>
      </c>
      <c r="Q50" s="10">
        <v>360</v>
      </c>
      <c r="R50" s="10">
        <f t="shared" si="4"/>
        <v>90</v>
      </c>
      <c r="S50" s="24">
        <v>160</v>
      </c>
      <c r="T50" s="24">
        <f t="shared" si="5"/>
        <v>80</v>
      </c>
      <c r="U50" s="24">
        <f t="shared" si="6"/>
        <v>80</v>
      </c>
      <c r="V50" s="24"/>
      <c r="W50" s="10">
        <f>VLOOKUP(A:A,[3]TDSheet!$A:$U,21,0)</f>
        <v>0</v>
      </c>
      <c r="X50" s="10">
        <f t="shared" si="7"/>
        <v>13.922222222222222</v>
      </c>
      <c r="Y50" s="10">
        <f t="shared" si="8"/>
        <v>4.1444444444444448</v>
      </c>
      <c r="Z50" s="10">
        <f>VLOOKUP(A:A,[1]TDSheet!$A:$Y,25,0)</f>
        <v>70.8</v>
      </c>
      <c r="AA50" s="10">
        <f>VLOOKUP(A:A,[1]TDSheet!$A:$Z,26,0)</f>
        <v>61</v>
      </c>
      <c r="AB50" s="10">
        <f>VLOOKUP(A:A,[1]TDSheet!$A:$AA,27,0)</f>
        <v>64.599999999999994</v>
      </c>
      <c r="AC50" s="10">
        <f>VLOOKUP(A:A,[1]TDSheet!$A:$R,18,0)</f>
        <v>87.2</v>
      </c>
      <c r="AD50" s="10" t="str">
        <f>VLOOKUP(A:A,[1]TDSheet!$A:$AB,28,0)</f>
        <v>Обжора / Паллет</v>
      </c>
      <c r="AE50" s="10">
        <f t="shared" si="9"/>
        <v>32.799999999999997</v>
      </c>
      <c r="AF50" s="10">
        <f t="shared" si="10"/>
        <v>32.799999999999997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</row>
    <row r="51" spans="1:83" ht="11.1" customHeight="1" x14ac:dyDescent="0.2">
      <c r="A51" s="8" t="s">
        <v>51</v>
      </c>
      <c r="B51" s="8" t="s">
        <v>10</v>
      </c>
      <c r="C51" s="8">
        <f>VLOOKUP(A:A,[1]TDSheet!$A:$C,3,0)</f>
        <v>6724</v>
      </c>
      <c r="D51" s="9">
        <v>105</v>
      </c>
      <c r="E51" s="9">
        <v>104</v>
      </c>
      <c r="F51" s="9">
        <v>123</v>
      </c>
      <c r="G51" s="9">
        <v>71</v>
      </c>
      <c r="H51" s="23">
        <f>VLOOKUP(A:A,[1]TDSheet!$A:$H,8,0)</f>
        <v>0.41</v>
      </c>
      <c r="I51" s="10">
        <f>VLOOKUP(A:A,[1]TDSheet!$A:$I,9,0)</f>
        <v>45</v>
      </c>
      <c r="J51" s="10" t="str">
        <f>VLOOKUP(A:A,[1]TDSheet!$A:$J,10,0)</f>
        <v>в матрице</v>
      </c>
      <c r="K51" s="10"/>
      <c r="L51" s="10">
        <f>VLOOKUP(A:A,[2]TDSheet!$A:$B,2,0)</f>
        <v>132</v>
      </c>
      <c r="M51" s="10">
        <f t="shared" si="3"/>
        <v>-9</v>
      </c>
      <c r="N51" s="10"/>
      <c r="O51" s="10"/>
      <c r="P51" s="10">
        <f>VLOOKUP(A:A,[1]TDSheet!$A:$S,19,0)</f>
        <v>60</v>
      </c>
      <c r="Q51" s="10">
        <v>60</v>
      </c>
      <c r="R51" s="10">
        <f t="shared" si="4"/>
        <v>24.6</v>
      </c>
      <c r="S51" s="24">
        <v>160</v>
      </c>
      <c r="T51" s="24">
        <f t="shared" si="5"/>
        <v>80</v>
      </c>
      <c r="U51" s="24">
        <f t="shared" si="6"/>
        <v>80</v>
      </c>
      <c r="V51" s="24"/>
      <c r="W51" s="10">
        <f>VLOOKUP(A:A,[3]TDSheet!$A:$U,21,0)</f>
        <v>0</v>
      </c>
      <c r="X51" s="10">
        <f t="shared" si="7"/>
        <v>14.268292682926829</v>
      </c>
      <c r="Y51" s="10">
        <f t="shared" si="8"/>
        <v>2.8861788617886179</v>
      </c>
      <c r="Z51" s="10">
        <f>VLOOKUP(A:A,[1]TDSheet!$A:$Y,25,0)</f>
        <v>24.6</v>
      </c>
      <c r="AA51" s="10">
        <f>VLOOKUP(A:A,[1]TDSheet!$A:$Z,26,0)</f>
        <v>19</v>
      </c>
      <c r="AB51" s="10">
        <f>VLOOKUP(A:A,[1]TDSheet!$A:$AA,27,0)</f>
        <v>12.2</v>
      </c>
      <c r="AC51" s="10">
        <f>VLOOKUP(A:A,[1]TDSheet!$A:$R,18,0)</f>
        <v>19.8</v>
      </c>
      <c r="AD51" s="10">
        <f>VLOOKUP(A:A,[1]TDSheet!$A:$AB,28,0)</f>
        <v>0</v>
      </c>
      <c r="AE51" s="10">
        <f t="shared" si="9"/>
        <v>32.799999999999997</v>
      </c>
      <c r="AF51" s="10">
        <f t="shared" si="10"/>
        <v>32.799999999999997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</row>
    <row r="52" spans="1:83" ht="11.1" customHeight="1" x14ac:dyDescent="0.2">
      <c r="A52" s="8" t="s">
        <v>52</v>
      </c>
      <c r="B52" s="8" t="s">
        <v>10</v>
      </c>
      <c r="C52" s="8">
        <f>VLOOKUP(A:A,[1]TDSheet!$A:$C,3,0)</f>
        <v>6765</v>
      </c>
      <c r="D52" s="9">
        <v>204</v>
      </c>
      <c r="E52" s="9">
        <v>965</v>
      </c>
      <c r="F52" s="9">
        <v>309</v>
      </c>
      <c r="G52" s="9">
        <v>181</v>
      </c>
      <c r="H52" s="23">
        <f>VLOOKUP(A:A,[1]TDSheet!$A:$H,8,0)</f>
        <v>0.36</v>
      </c>
      <c r="I52" s="10">
        <f>VLOOKUP(A:A,[1]TDSheet!$A:$I,9,0)</f>
        <v>45</v>
      </c>
      <c r="J52" s="10" t="str">
        <f>VLOOKUP(A:A,[1]TDSheet!$A:$J,10,0)</f>
        <v>в матрице</v>
      </c>
      <c r="K52" s="10"/>
      <c r="L52" s="10">
        <f>VLOOKUP(A:A,[2]TDSheet!$A:$B,2,0)</f>
        <v>342</v>
      </c>
      <c r="M52" s="10">
        <f t="shared" si="3"/>
        <v>-33</v>
      </c>
      <c r="N52" s="10"/>
      <c r="O52" s="10"/>
      <c r="P52" s="10">
        <f>VLOOKUP(A:A,[1]TDSheet!$A:$S,19,0)</f>
        <v>180</v>
      </c>
      <c r="Q52" s="10">
        <v>180</v>
      </c>
      <c r="R52" s="10">
        <f t="shared" si="4"/>
        <v>61.8</v>
      </c>
      <c r="S52" s="24">
        <v>320</v>
      </c>
      <c r="T52" s="24">
        <f t="shared" si="5"/>
        <v>160</v>
      </c>
      <c r="U52" s="24">
        <f t="shared" si="6"/>
        <v>160</v>
      </c>
      <c r="V52" s="24"/>
      <c r="W52" s="10">
        <f>VLOOKUP(A:A,[3]TDSheet!$A:$U,21,0)</f>
        <v>0</v>
      </c>
      <c r="X52" s="10">
        <f t="shared" si="7"/>
        <v>13.932038834951458</v>
      </c>
      <c r="Y52" s="10">
        <f t="shared" si="8"/>
        <v>2.9288025889967639</v>
      </c>
      <c r="Z52" s="10">
        <f>VLOOKUP(A:A,[1]TDSheet!$A:$Y,25,0)</f>
        <v>30.8</v>
      </c>
      <c r="AA52" s="10">
        <f>VLOOKUP(A:A,[1]TDSheet!$A:$Z,26,0)</f>
        <v>48.8</v>
      </c>
      <c r="AB52" s="10">
        <f>VLOOKUP(A:A,[1]TDSheet!$A:$AA,27,0)</f>
        <v>26.6</v>
      </c>
      <c r="AC52" s="10">
        <f>VLOOKUP(A:A,[1]TDSheet!$A:$R,18,0)</f>
        <v>45.8</v>
      </c>
      <c r="AD52" s="10" t="str">
        <f>VLOOKUP(A:A,[1]TDSheet!$A:$AB,28,0)</f>
        <v>Обжора / Паллет</v>
      </c>
      <c r="AE52" s="10">
        <f t="shared" si="9"/>
        <v>57.599999999999994</v>
      </c>
      <c r="AF52" s="10">
        <f t="shared" si="10"/>
        <v>57.599999999999994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</row>
    <row r="53" spans="1:83" ht="11.1" customHeight="1" x14ac:dyDescent="0.2">
      <c r="A53" s="8" t="s">
        <v>53</v>
      </c>
      <c r="B53" s="8" t="s">
        <v>10</v>
      </c>
      <c r="C53" s="8">
        <f>VLOOKUP(A:A,[1]TDSheet!$A:$C,3,0)</f>
        <v>6787</v>
      </c>
      <c r="D53" s="9">
        <v>51</v>
      </c>
      <c r="E53" s="9">
        <v>548</v>
      </c>
      <c r="F53" s="9">
        <v>271</v>
      </c>
      <c r="G53" s="9">
        <v>314</v>
      </c>
      <c r="H53" s="23">
        <f>VLOOKUP(A:A,[1]TDSheet!$A:$H,8,0)</f>
        <v>0.33</v>
      </c>
      <c r="I53" s="10">
        <f>VLOOKUP(A:A,[1]TDSheet!$A:$I,9,0)</f>
        <v>45</v>
      </c>
      <c r="J53" s="10" t="str">
        <f>VLOOKUP(A:A,[1]TDSheet!$A:$J,10,0)</f>
        <v>в матрице</v>
      </c>
      <c r="K53" s="10"/>
      <c r="L53" s="10">
        <f>VLOOKUP(A:A,[2]TDSheet!$A:$B,2,0)</f>
        <v>282</v>
      </c>
      <c r="M53" s="10">
        <f t="shared" si="3"/>
        <v>-11</v>
      </c>
      <c r="N53" s="10"/>
      <c r="O53" s="10"/>
      <c r="P53" s="10">
        <f>VLOOKUP(A:A,[1]TDSheet!$A:$S,19,0)</f>
        <v>150</v>
      </c>
      <c r="Q53" s="10">
        <v>150</v>
      </c>
      <c r="R53" s="10">
        <f t="shared" si="4"/>
        <v>54.2</v>
      </c>
      <c r="S53" s="24">
        <v>140</v>
      </c>
      <c r="T53" s="24">
        <f t="shared" si="5"/>
        <v>70</v>
      </c>
      <c r="U53" s="24">
        <f t="shared" si="6"/>
        <v>70</v>
      </c>
      <c r="V53" s="24"/>
      <c r="W53" s="10">
        <f>VLOOKUP(A:A,[3]TDSheet!$A:$U,21,0)</f>
        <v>0</v>
      </c>
      <c r="X53" s="10">
        <f t="shared" si="7"/>
        <v>13.911439114391143</v>
      </c>
      <c r="Y53" s="10">
        <f t="shared" si="8"/>
        <v>5.7933579335793359</v>
      </c>
      <c r="Z53" s="10">
        <f>VLOOKUP(A:A,[1]TDSheet!$A:$Y,25,0)</f>
        <v>59.2</v>
      </c>
      <c r="AA53" s="10">
        <f>VLOOKUP(A:A,[1]TDSheet!$A:$Z,26,0)</f>
        <v>41.2</v>
      </c>
      <c r="AB53" s="10">
        <f>VLOOKUP(A:A,[1]TDSheet!$A:$AA,27,0)</f>
        <v>51.6</v>
      </c>
      <c r="AC53" s="10">
        <f>VLOOKUP(A:A,[1]TDSheet!$A:$R,18,0)</f>
        <v>54.8</v>
      </c>
      <c r="AD53" s="10" t="str">
        <f>VLOOKUP(A:A,[1]TDSheet!$A:$AB,28,0)</f>
        <v>Обжора / Паллет</v>
      </c>
      <c r="AE53" s="10">
        <f t="shared" si="9"/>
        <v>23.1</v>
      </c>
      <c r="AF53" s="10">
        <f t="shared" si="10"/>
        <v>23.1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</row>
    <row r="54" spans="1:83" ht="11.1" customHeight="1" x14ac:dyDescent="0.2">
      <c r="A54" s="8" t="s">
        <v>54</v>
      </c>
      <c r="B54" s="8" t="s">
        <v>10</v>
      </c>
      <c r="C54" s="8">
        <f>VLOOKUP(A:A,[1]TDSheet!$A:$C,3,0)</f>
        <v>6793</v>
      </c>
      <c r="D54" s="9">
        <v>-8</v>
      </c>
      <c r="E54" s="9">
        <v>128</v>
      </c>
      <c r="F54" s="9">
        <v>-1</v>
      </c>
      <c r="G54" s="9"/>
      <c r="H54" s="23">
        <f>VLOOKUP(A:A,[1]TDSheet!$A:$H,8,0)</f>
        <v>0.33</v>
      </c>
      <c r="I54" s="10">
        <f>VLOOKUP(A:A,[1]TDSheet!$A:$I,9,0)</f>
        <v>45</v>
      </c>
      <c r="J54" s="10" t="str">
        <f>VLOOKUP(A:A,[1]TDSheet!$A:$J,10,0)</f>
        <v>в матрице</v>
      </c>
      <c r="K54" s="10"/>
      <c r="L54" s="10">
        <f>VLOOKUP(A:A,[2]TDSheet!$A:$B,2,0)</f>
        <v>140</v>
      </c>
      <c r="M54" s="10">
        <f t="shared" si="3"/>
        <v>-141</v>
      </c>
      <c r="N54" s="10"/>
      <c r="O54" s="10"/>
      <c r="P54" s="10">
        <f>VLOOKUP(A:A,[1]TDSheet!$A:$S,19,0)</f>
        <v>50</v>
      </c>
      <c r="Q54" s="10">
        <v>50</v>
      </c>
      <c r="R54" s="10">
        <f t="shared" si="4"/>
        <v>-0.2</v>
      </c>
      <c r="S54" s="24"/>
      <c r="T54" s="24">
        <f t="shared" si="5"/>
        <v>0</v>
      </c>
      <c r="U54" s="24">
        <f t="shared" si="6"/>
        <v>0</v>
      </c>
      <c r="V54" s="24"/>
      <c r="W54" s="10">
        <f>VLOOKUP(A:A,[3]TDSheet!$A:$U,21,0)</f>
        <v>0</v>
      </c>
      <c r="X54" s="10">
        <f t="shared" si="7"/>
        <v>-500</v>
      </c>
      <c r="Y54" s="10">
        <f t="shared" si="8"/>
        <v>0</v>
      </c>
      <c r="Z54" s="10">
        <f>VLOOKUP(A:A,[1]TDSheet!$A:$Y,25,0)</f>
        <v>12.4</v>
      </c>
      <c r="AA54" s="10">
        <f>VLOOKUP(A:A,[1]TDSheet!$A:$Z,26,0)</f>
        <v>5.8</v>
      </c>
      <c r="AB54" s="10">
        <f>VLOOKUP(A:A,[1]TDSheet!$A:$AA,27,0)</f>
        <v>26.4</v>
      </c>
      <c r="AC54" s="10">
        <f>VLOOKUP(A:A,[1]TDSheet!$A:$R,18,0)</f>
        <v>7.2</v>
      </c>
      <c r="AD54" s="10" t="str">
        <f>VLOOKUP(A:A,[1]TDSheet!$A:$AB,28,0)</f>
        <v>ТС Обжора</v>
      </c>
      <c r="AE54" s="10">
        <f t="shared" si="9"/>
        <v>0</v>
      </c>
      <c r="AF54" s="10">
        <f t="shared" si="10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</row>
    <row r="55" spans="1:83" ht="11.1" customHeight="1" x14ac:dyDescent="0.2">
      <c r="A55" s="8" t="s">
        <v>55</v>
      </c>
      <c r="B55" s="8" t="s">
        <v>10</v>
      </c>
      <c r="C55" s="8">
        <f>VLOOKUP(A:A,[1]TDSheet!$A:$C,3,0)</f>
        <v>6797</v>
      </c>
      <c r="D55" s="9">
        <v>401</v>
      </c>
      <c r="E55" s="9">
        <v>87</v>
      </c>
      <c r="F55" s="9">
        <v>187</v>
      </c>
      <c r="G55" s="9">
        <v>279</v>
      </c>
      <c r="H55" s="23">
        <f>VLOOKUP(A:A,[1]TDSheet!$A:$H,8,0)</f>
        <v>0.4</v>
      </c>
      <c r="I55" s="10" t="e">
        <f>VLOOKUP(A:A,[1]TDSheet!$A:$I,9,0)</f>
        <v>#N/A</v>
      </c>
      <c r="J55" s="10" t="e">
        <f>VLOOKUP(A:A,[1]TDSheet!$A:$J,10,0)</f>
        <v>#N/A</v>
      </c>
      <c r="K55" s="10"/>
      <c r="L55" s="10">
        <f>VLOOKUP(A:A,[2]TDSheet!$A:$B,2,0)</f>
        <v>193</v>
      </c>
      <c r="M55" s="10">
        <f t="shared" si="3"/>
        <v>-6</v>
      </c>
      <c r="N55" s="10"/>
      <c r="O55" s="10"/>
      <c r="P55" s="10">
        <f>VLOOKUP(A:A,[1]TDSheet!$A:$S,19,0)</f>
        <v>80</v>
      </c>
      <c r="Q55" s="10">
        <v>80</v>
      </c>
      <c r="R55" s="10">
        <f t="shared" si="4"/>
        <v>37.4</v>
      </c>
      <c r="S55" s="24">
        <v>80</v>
      </c>
      <c r="T55" s="24">
        <f t="shared" si="5"/>
        <v>40</v>
      </c>
      <c r="U55" s="24">
        <f t="shared" si="6"/>
        <v>40</v>
      </c>
      <c r="V55" s="24"/>
      <c r="W55" s="10">
        <f>VLOOKUP(A:A,[3]TDSheet!$A:$U,21,0)</f>
        <v>0</v>
      </c>
      <c r="X55" s="10">
        <f t="shared" si="7"/>
        <v>13.877005347593583</v>
      </c>
      <c r="Y55" s="10">
        <f t="shared" si="8"/>
        <v>7.4598930481283423</v>
      </c>
      <c r="Z55" s="10">
        <f>VLOOKUP(A:A,[1]TDSheet!$A:$Y,25,0)</f>
        <v>0</v>
      </c>
      <c r="AA55" s="10">
        <f>VLOOKUP(A:A,[1]TDSheet!$A:$Z,26,0)</f>
        <v>0</v>
      </c>
      <c r="AB55" s="10">
        <f>VLOOKUP(A:A,[1]TDSheet!$A:$AA,27,0)</f>
        <v>11.2</v>
      </c>
      <c r="AC55" s="10">
        <f>VLOOKUP(A:A,[1]TDSheet!$A:$R,18,0)</f>
        <v>40.200000000000003</v>
      </c>
      <c r="AD55" s="10" t="e">
        <f>VLOOKUP(A:A,[1]TDSheet!$A:$AB,28,0)</f>
        <v>#N/A</v>
      </c>
      <c r="AE55" s="10">
        <f t="shared" si="9"/>
        <v>16</v>
      </c>
      <c r="AF55" s="10">
        <f t="shared" si="10"/>
        <v>16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</row>
    <row r="56" spans="1:83" ht="11.1" customHeight="1" x14ac:dyDescent="0.2">
      <c r="A56" s="8" t="s">
        <v>56</v>
      </c>
      <c r="B56" s="8" t="s">
        <v>10</v>
      </c>
      <c r="C56" s="8">
        <f>VLOOKUP(A:A,[1]TDSheet!$A:$C,3,0)</f>
        <v>6807</v>
      </c>
      <c r="D56" s="9">
        <v>21</v>
      </c>
      <c r="E56" s="9">
        <v>347</v>
      </c>
      <c r="F56" s="9">
        <v>31</v>
      </c>
      <c r="G56" s="9">
        <v>330</v>
      </c>
      <c r="H56" s="23">
        <f>VLOOKUP(A:A,[1]TDSheet!$A:$H,8,0)</f>
        <v>0.33</v>
      </c>
      <c r="I56" s="10">
        <f>VLOOKUP(A:A,[1]TDSheet!$A:$I,9,0)</f>
        <v>45</v>
      </c>
      <c r="J56" s="10" t="str">
        <f>VLOOKUP(A:A,[1]TDSheet!$A:$J,10,0)</f>
        <v>в матрице</v>
      </c>
      <c r="K56" s="10"/>
      <c r="L56" s="10">
        <f>VLOOKUP(A:A,[2]TDSheet!$A:$B,2,0)</f>
        <v>36</v>
      </c>
      <c r="M56" s="10">
        <f t="shared" si="3"/>
        <v>-5</v>
      </c>
      <c r="N56" s="10"/>
      <c r="O56" s="10"/>
      <c r="P56" s="10">
        <f>VLOOKUP(A:A,[1]TDSheet!$A:$S,19,0)</f>
        <v>25</v>
      </c>
      <c r="Q56" s="10">
        <v>25</v>
      </c>
      <c r="R56" s="10">
        <f t="shared" si="4"/>
        <v>6.2</v>
      </c>
      <c r="S56" s="24"/>
      <c r="T56" s="24">
        <f t="shared" si="5"/>
        <v>0</v>
      </c>
      <c r="U56" s="24">
        <f t="shared" si="6"/>
        <v>0</v>
      </c>
      <c r="V56" s="24"/>
      <c r="W56" s="10">
        <f>VLOOKUP(A:A,[3]TDSheet!$A:$U,21,0)</f>
        <v>0</v>
      </c>
      <c r="X56" s="10">
        <f t="shared" si="7"/>
        <v>61.29032258064516</v>
      </c>
      <c r="Y56" s="10">
        <f t="shared" si="8"/>
        <v>53.225806451612904</v>
      </c>
      <c r="Z56" s="10">
        <f>VLOOKUP(A:A,[1]TDSheet!$A:$Y,25,0)</f>
        <v>18</v>
      </c>
      <c r="AA56" s="10">
        <f>VLOOKUP(A:A,[1]TDSheet!$A:$Z,26,0)</f>
        <v>13</v>
      </c>
      <c r="AB56" s="10">
        <f>VLOOKUP(A:A,[1]TDSheet!$A:$AA,27,0)</f>
        <v>26.6</v>
      </c>
      <c r="AC56" s="10">
        <f>VLOOKUP(A:A,[1]TDSheet!$A:$R,18,0)</f>
        <v>4.8</v>
      </c>
      <c r="AD56" s="10" t="str">
        <f>VLOOKUP(A:A,[1]TDSheet!$A:$AB,28,0)</f>
        <v>Обжора / Паллет</v>
      </c>
      <c r="AE56" s="10">
        <f t="shared" si="9"/>
        <v>0</v>
      </c>
      <c r="AF56" s="10">
        <f t="shared" si="10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</row>
    <row r="57" spans="1:83" ht="11.1" customHeight="1" x14ac:dyDescent="0.2">
      <c r="A57" s="8" t="s">
        <v>57</v>
      </c>
      <c r="B57" s="8" t="s">
        <v>12</v>
      </c>
      <c r="C57" s="8">
        <f>VLOOKUP(A:A,[1]TDSheet!$A:$C,3,0)</f>
        <v>6829</v>
      </c>
      <c r="D57" s="9">
        <v>180.94399999999999</v>
      </c>
      <c r="E57" s="9">
        <v>745.44600000000003</v>
      </c>
      <c r="F57" s="9">
        <v>466.47800000000001</v>
      </c>
      <c r="G57" s="9">
        <v>373.649</v>
      </c>
      <c r="H57" s="23">
        <f>VLOOKUP(A:A,[1]TDSheet!$A:$H,8,0)</f>
        <v>1</v>
      </c>
      <c r="I57" s="10">
        <f>VLOOKUP(A:A,[1]TDSheet!$A:$I,9,0)</f>
        <v>45</v>
      </c>
      <c r="J57" s="10" t="str">
        <f>VLOOKUP(A:A,[1]TDSheet!$A:$J,10,0)</f>
        <v>в матрице</v>
      </c>
      <c r="K57" s="10"/>
      <c r="L57" s="10">
        <f>VLOOKUP(A:A,[2]TDSheet!$A:$B,2,0)</f>
        <v>472.25599999999997</v>
      </c>
      <c r="M57" s="10">
        <f t="shared" si="3"/>
        <v>-5.7779999999999632</v>
      </c>
      <c r="N57" s="10"/>
      <c r="O57" s="10"/>
      <c r="P57" s="10">
        <f>VLOOKUP(A:A,[1]TDSheet!$A:$S,19,0)</f>
        <v>200</v>
      </c>
      <c r="Q57" s="10">
        <v>200</v>
      </c>
      <c r="R57" s="10">
        <f t="shared" si="4"/>
        <v>93.295600000000007</v>
      </c>
      <c r="S57" s="24">
        <v>520</v>
      </c>
      <c r="T57" s="24">
        <f t="shared" si="5"/>
        <v>260</v>
      </c>
      <c r="U57" s="24">
        <f t="shared" si="6"/>
        <v>260</v>
      </c>
      <c r="V57" s="24"/>
      <c r="W57" s="10">
        <f>VLOOKUP(A:A,[3]TDSheet!$A:$U,21,0)</f>
        <v>0</v>
      </c>
      <c r="X57" s="10">
        <f t="shared" si="7"/>
        <v>13.866130878626642</v>
      </c>
      <c r="Y57" s="10">
        <f t="shared" si="8"/>
        <v>4.0050013076715301</v>
      </c>
      <c r="Z57" s="10">
        <f>VLOOKUP(A:A,[1]TDSheet!$A:$Y,25,0)</f>
        <v>55.942399999999999</v>
      </c>
      <c r="AA57" s="10">
        <f>VLOOKUP(A:A,[1]TDSheet!$A:$Z,26,0)</f>
        <v>66.259600000000006</v>
      </c>
      <c r="AB57" s="10">
        <f>VLOOKUP(A:A,[1]TDSheet!$A:$AA,27,0)</f>
        <v>76.353999999999999</v>
      </c>
      <c r="AC57" s="10">
        <f>VLOOKUP(A:A,[1]TDSheet!$A:$R,18,0)</f>
        <v>67.717999999999989</v>
      </c>
      <c r="AD57" s="10">
        <f>VLOOKUP(A:A,[1]TDSheet!$A:$AB,28,0)</f>
        <v>0</v>
      </c>
      <c r="AE57" s="10">
        <f t="shared" si="9"/>
        <v>260</v>
      </c>
      <c r="AF57" s="10">
        <f t="shared" si="10"/>
        <v>260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</row>
    <row r="58" spans="1:83" ht="11.1" customHeight="1" x14ac:dyDescent="0.2">
      <c r="A58" s="8" t="s">
        <v>58</v>
      </c>
      <c r="B58" s="8" t="s">
        <v>12</v>
      </c>
      <c r="C58" s="8">
        <f>VLOOKUP(A:A,[1]TDSheet!$A:$C,3,0)</f>
        <v>6832</v>
      </c>
      <c r="D58" s="11"/>
      <c r="E58" s="9">
        <v>60.999000000000002</v>
      </c>
      <c r="F58" s="9">
        <v>42.953000000000003</v>
      </c>
      <c r="G58" s="9">
        <v>18.045999999999999</v>
      </c>
      <c r="H58" s="23">
        <f>VLOOKUP(A:A,[1]TDSheet!$A:$H,8,0)</f>
        <v>1</v>
      </c>
      <c r="I58" s="10">
        <f>VLOOKUP(A:A,[1]TDSheet!$A:$I,9,0)</f>
        <v>0</v>
      </c>
      <c r="J58" s="10">
        <f>VLOOKUP(A:A,[1]TDSheet!$A:$J,10,0)</f>
        <v>0</v>
      </c>
      <c r="K58" s="10"/>
      <c r="L58" s="10">
        <f>VLOOKUP(A:A,[2]TDSheet!$A:$B,2,0)</f>
        <v>42.4</v>
      </c>
      <c r="M58" s="10">
        <f t="shared" si="3"/>
        <v>0.55300000000000438</v>
      </c>
      <c r="N58" s="10"/>
      <c r="O58" s="10"/>
      <c r="P58" s="10">
        <f>VLOOKUP(A:A,[1]TDSheet!$A:$S,19,0)</f>
        <v>0</v>
      </c>
      <c r="Q58" s="10">
        <v>0</v>
      </c>
      <c r="R58" s="10">
        <f t="shared" si="4"/>
        <v>8.5906000000000002</v>
      </c>
      <c r="S58" s="24">
        <v>100</v>
      </c>
      <c r="T58" s="24">
        <f t="shared" si="5"/>
        <v>50</v>
      </c>
      <c r="U58" s="24">
        <f t="shared" si="6"/>
        <v>50</v>
      </c>
      <c r="V58" s="24"/>
      <c r="W58" s="10">
        <f>VLOOKUP(A:A,[3]TDSheet!$A:$U,21,0)</f>
        <v>0</v>
      </c>
      <c r="X58" s="10">
        <f t="shared" si="7"/>
        <v>13.74129862873373</v>
      </c>
      <c r="Y58" s="10">
        <f t="shared" si="8"/>
        <v>2.1006681721882057</v>
      </c>
      <c r="Z58" s="10">
        <f>VLOOKUP(A:A,[1]TDSheet!$A:$Y,25,0)</f>
        <v>5.4905999999999997</v>
      </c>
      <c r="AA58" s="10">
        <f>VLOOKUP(A:A,[1]TDSheet!$A:$Z,26,0)</f>
        <v>0.93459999999999999</v>
      </c>
      <c r="AB58" s="10">
        <f>VLOOKUP(A:A,[1]TDSheet!$A:$AA,27,0)</f>
        <v>5.4938000000000002</v>
      </c>
      <c r="AC58" s="10">
        <f>VLOOKUP(A:A,[1]TDSheet!$A:$R,18,0)</f>
        <v>4.8000000000000001E-2</v>
      </c>
      <c r="AD58" s="10" t="str">
        <f>VLOOKUP(A:A,[1]TDSheet!$A:$AB,28,0)</f>
        <v>нужно увеличить продажи!!!</v>
      </c>
      <c r="AE58" s="10">
        <f t="shared" si="9"/>
        <v>50</v>
      </c>
      <c r="AF58" s="10">
        <f t="shared" si="10"/>
        <v>50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</row>
    <row r="59" spans="1:83" ht="11.1" customHeight="1" x14ac:dyDescent="0.2">
      <c r="A59" s="8" t="s">
        <v>59</v>
      </c>
      <c r="B59" s="8" t="s">
        <v>10</v>
      </c>
      <c r="C59" s="8">
        <f>VLOOKUP(A:A,[1]TDSheet!$A:$C,3,0)</f>
        <v>6834</v>
      </c>
      <c r="D59" s="9">
        <v>22</v>
      </c>
      <c r="E59" s="9"/>
      <c r="F59" s="9">
        <v>14</v>
      </c>
      <c r="G59" s="9">
        <v>5</v>
      </c>
      <c r="H59" s="23">
        <f>VLOOKUP(A:A,[1]TDSheet!$A:$H,8,0)</f>
        <v>0.1</v>
      </c>
      <c r="I59" s="10">
        <f>VLOOKUP(A:A,[1]TDSheet!$A:$I,9,0)</f>
        <v>60</v>
      </c>
      <c r="J59" s="10" t="str">
        <f>VLOOKUP(A:A,[1]TDSheet!$A:$J,10,0)</f>
        <v>в матрице</v>
      </c>
      <c r="K59" s="10"/>
      <c r="L59" s="10">
        <f>VLOOKUP(A:A,[2]TDSheet!$A:$B,2,0)</f>
        <v>14</v>
      </c>
      <c r="M59" s="10">
        <f t="shared" si="3"/>
        <v>0</v>
      </c>
      <c r="N59" s="10"/>
      <c r="O59" s="10"/>
      <c r="P59" s="10">
        <f>VLOOKUP(A:A,[1]TDSheet!$A:$S,19,0)</f>
        <v>25</v>
      </c>
      <c r="Q59" s="10">
        <v>25</v>
      </c>
      <c r="R59" s="10">
        <f t="shared" si="4"/>
        <v>2.8</v>
      </c>
      <c r="S59" s="24"/>
      <c r="T59" s="24">
        <f t="shared" si="5"/>
        <v>0</v>
      </c>
      <c r="U59" s="24">
        <f t="shared" si="6"/>
        <v>0</v>
      </c>
      <c r="V59" s="24"/>
      <c r="W59" s="10">
        <f>VLOOKUP(A:A,[3]TDSheet!$A:$U,21,0)</f>
        <v>0</v>
      </c>
      <c r="X59" s="10">
        <f t="shared" si="7"/>
        <v>19.642857142857142</v>
      </c>
      <c r="Y59" s="10">
        <f t="shared" si="8"/>
        <v>1.7857142857142858</v>
      </c>
      <c r="Z59" s="10">
        <f>VLOOKUP(A:A,[1]TDSheet!$A:$Y,25,0)</f>
        <v>2.4</v>
      </c>
      <c r="AA59" s="10">
        <f>VLOOKUP(A:A,[1]TDSheet!$A:$Z,26,0)</f>
        <v>2.2000000000000002</v>
      </c>
      <c r="AB59" s="10">
        <f>VLOOKUP(A:A,[1]TDSheet!$A:$AA,27,0)</f>
        <v>2</v>
      </c>
      <c r="AC59" s="10">
        <f>VLOOKUP(A:A,[1]TDSheet!$A:$R,18,0)</f>
        <v>3.4</v>
      </c>
      <c r="AD59" s="10">
        <f>VLOOKUP(A:A,[1]TDSheet!$A:$AB,28,0)</f>
        <v>0</v>
      </c>
      <c r="AE59" s="10">
        <f t="shared" si="9"/>
        <v>0</v>
      </c>
      <c r="AF59" s="10">
        <f t="shared" si="10"/>
        <v>0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</row>
    <row r="60" spans="1:83" ht="11.1" customHeight="1" x14ac:dyDescent="0.2">
      <c r="A60" s="8" t="s">
        <v>60</v>
      </c>
      <c r="B60" s="8" t="s">
        <v>10</v>
      </c>
      <c r="C60" s="8">
        <f>VLOOKUP(A:A,[1]TDSheet!$A:$C,3,0)</f>
        <v>6837</v>
      </c>
      <c r="D60" s="9">
        <v>41</v>
      </c>
      <c r="E60" s="9">
        <v>37</v>
      </c>
      <c r="F60" s="9">
        <v>45</v>
      </c>
      <c r="G60" s="9">
        <v>22</v>
      </c>
      <c r="H60" s="23">
        <f>VLOOKUP(A:A,[1]TDSheet!$A:$H,8,0)</f>
        <v>0.4</v>
      </c>
      <c r="I60" s="10">
        <f>VLOOKUP(A:A,[1]TDSheet!$A:$I,9,0)</f>
        <v>45</v>
      </c>
      <c r="J60" s="10" t="str">
        <f>VLOOKUP(A:A,[1]TDSheet!$A:$J,10,0)</f>
        <v>в матрице</v>
      </c>
      <c r="K60" s="10"/>
      <c r="L60" s="10">
        <f>VLOOKUP(A:A,[2]TDSheet!$A:$B,2,0)</f>
        <v>54</v>
      </c>
      <c r="M60" s="10">
        <f t="shared" si="3"/>
        <v>-9</v>
      </c>
      <c r="N60" s="10"/>
      <c r="O60" s="10"/>
      <c r="P60" s="10">
        <f>VLOOKUP(A:A,[1]TDSheet!$A:$S,19,0)</f>
        <v>0</v>
      </c>
      <c r="Q60" s="10">
        <v>0</v>
      </c>
      <c r="R60" s="10">
        <f t="shared" si="4"/>
        <v>9</v>
      </c>
      <c r="S60" s="24">
        <v>100</v>
      </c>
      <c r="T60" s="24">
        <f t="shared" si="5"/>
        <v>50</v>
      </c>
      <c r="U60" s="24">
        <f t="shared" si="6"/>
        <v>50</v>
      </c>
      <c r="V60" s="24"/>
      <c r="W60" s="10">
        <f>VLOOKUP(A:A,[3]TDSheet!$A:$U,21,0)</f>
        <v>0</v>
      </c>
      <c r="X60" s="10">
        <f t="shared" si="7"/>
        <v>13.555555555555555</v>
      </c>
      <c r="Y60" s="10">
        <f t="shared" si="8"/>
        <v>2.4444444444444446</v>
      </c>
      <c r="Z60" s="10">
        <f>VLOOKUP(A:A,[1]TDSheet!$A:$Y,25,0)</f>
        <v>6.2</v>
      </c>
      <c r="AA60" s="10">
        <f>VLOOKUP(A:A,[1]TDSheet!$A:$Z,26,0)</f>
        <v>7.2</v>
      </c>
      <c r="AB60" s="10">
        <f>VLOOKUP(A:A,[1]TDSheet!$A:$AA,27,0)</f>
        <v>7.2</v>
      </c>
      <c r="AC60" s="10">
        <f>VLOOKUP(A:A,[1]TDSheet!$A:$R,18,0)</f>
        <v>2.6</v>
      </c>
      <c r="AD60" s="10" t="str">
        <f>VLOOKUP(A:A,[1]TDSheet!$A:$AB,28,0)</f>
        <v>увел продажи</v>
      </c>
      <c r="AE60" s="10">
        <f t="shared" si="9"/>
        <v>20</v>
      </c>
      <c r="AF60" s="10">
        <f t="shared" si="10"/>
        <v>20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</row>
    <row r="61" spans="1:83" ht="11.1" customHeight="1" x14ac:dyDescent="0.2">
      <c r="A61" s="25" t="s">
        <v>61</v>
      </c>
      <c r="B61" s="25" t="s">
        <v>12</v>
      </c>
      <c r="C61" s="25">
        <f>VLOOKUP(A:A,[1]TDSheet!$A:$C,3,0)</f>
        <v>6861</v>
      </c>
      <c r="D61" s="26">
        <v>19.616</v>
      </c>
      <c r="E61" s="26">
        <v>7.8570000000000002</v>
      </c>
      <c r="F61" s="26">
        <v>3.8290000000000002</v>
      </c>
      <c r="G61" s="26">
        <v>11.795</v>
      </c>
      <c r="H61" s="27">
        <f>VLOOKUP(A:A,[1]TDSheet!$A:$H,8,0)</f>
        <v>1</v>
      </c>
      <c r="I61" s="28">
        <f>VLOOKUP(A:A,[1]TDSheet!$A:$I,9,0)</f>
        <v>60</v>
      </c>
      <c r="J61" s="28" t="str">
        <f>VLOOKUP(A:A,[1]TDSheet!$A:$J,10,0)</f>
        <v>новинка</v>
      </c>
      <c r="K61" s="10"/>
      <c r="L61" s="10">
        <f>VLOOKUP(A:A,[2]TDSheet!$A:$B,2,0)</f>
        <v>33.5</v>
      </c>
      <c r="M61" s="10">
        <f t="shared" si="3"/>
        <v>-29.670999999999999</v>
      </c>
      <c r="N61" s="10"/>
      <c r="O61" s="10"/>
      <c r="P61" s="10">
        <f>VLOOKUP(A:A,[1]TDSheet!$A:$S,19,0)</f>
        <v>10</v>
      </c>
      <c r="Q61" s="10">
        <v>10</v>
      </c>
      <c r="R61" s="10">
        <f t="shared" si="4"/>
        <v>0.76580000000000004</v>
      </c>
      <c r="S61" s="24"/>
      <c r="T61" s="24">
        <f t="shared" si="5"/>
        <v>0</v>
      </c>
      <c r="U61" s="24">
        <f t="shared" si="6"/>
        <v>0</v>
      </c>
      <c r="V61" s="24"/>
      <c r="W61" s="10">
        <f>VLOOKUP(A:A,[3]TDSheet!$A:$U,21,0)</f>
        <v>0</v>
      </c>
      <c r="X61" s="10">
        <f t="shared" si="7"/>
        <v>41.518673282841476</v>
      </c>
      <c r="Y61" s="10">
        <f t="shared" si="8"/>
        <v>15.402193784277879</v>
      </c>
      <c r="Z61" s="10">
        <f>VLOOKUP(A:A,[1]TDSheet!$A:$Y,25,0)</f>
        <v>4.7548000000000004</v>
      </c>
      <c r="AA61" s="10">
        <f>VLOOKUP(A:A,[1]TDSheet!$A:$Z,26,0)</f>
        <v>5.0624000000000002</v>
      </c>
      <c r="AB61" s="10">
        <f>VLOOKUP(A:A,[1]TDSheet!$A:$AA,27,0)</f>
        <v>3.1055999999999999</v>
      </c>
      <c r="AC61" s="10">
        <f>VLOOKUP(A:A,[1]TDSheet!$A:$R,18,0)</f>
        <v>4.3197999999999999</v>
      </c>
      <c r="AD61" s="10" t="str">
        <f>VLOOKUP(A:A,[1]TDSheet!$A:$AB,28,0)</f>
        <v>увел продажи</v>
      </c>
      <c r="AE61" s="10">
        <f t="shared" si="9"/>
        <v>0</v>
      </c>
      <c r="AF61" s="10">
        <f t="shared" si="10"/>
        <v>0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</row>
    <row r="62" spans="1:83" ht="11.1" customHeight="1" x14ac:dyDescent="0.2">
      <c r="A62" s="8" t="s">
        <v>62</v>
      </c>
      <c r="B62" s="8" t="s">
        <v>12</v>
      </c>
      <c r="C62" s="8">
        <f>VLOOKUP(A:A,[1]TDSheet!$A:$C,3,0)</f>
        <v>6866</v>
      </c>
      <c r="D62" s="9">
        <v>13.54</v>
      </c>
      <c r="E62" s="9">
        <v>18.085000000000001</v>
      </c>
      <c r="F62" s="9">
        <v>22.64</v>
      </c>
      <c r="G62" s="9">
        <v>5.9749999999999996</v>
      </c>
      <c r="H62" s="23">
        <f>VLOOKUP(A:A,[1]TDSheet!$A:$H,8,0)</f>
        <v>1</v>
      </c>
      <c r="I62" s="10">
        <f>VLOOKUP(A:A,[1]TDSheet!$A:$I,9,0)</f>
        <v>60</v>
      </c>
      <c r="J62" s="10" t="str">
        <f>VLOOKUP(A:A,[1]TDSheet!$A:$J,10,0)</f>
        <v>в матрице</v>
      </c>
      <c r="K62" s="10"/>
      <c r="L62" s="10">
        <f>VLOOKUP(A:A,[2]TDSheet!$A:$B,2,0)</f>
        <v>22.4</v>
      </c>
      <c r="M62" s="10">
        <f t="shared" si="3"/>
        <v>0.24000000000000199</v>
      </c>
      <c r="N62" s="10"/>
      <c r="O62" s="10"/>
      <c r="P62" s="10">
        <f>VLOOKUP(A:A,[1]TDSheet!$A:$S,19,0)</f>
        <v>3</v>
      </c>
      <c r="Q62" s="10">
        <v>3</v>
      </c>
      <c r="R62" s="10">
        <f t="shared" si="4"/>
        <v>4.5280000000000005</v>
      </c>
      <c r="S62" s="24">
        <v>50</v>
      </c>
      <c r="T62" s="24">
        <f t="shared" si="5"/>
        <v>25</v>
      </c>
      <c r="U62" s="24">
        <f t="shared" si="6"/>
        <v>25</v>
      </c>
      <c r="V62" s="24"/>
      <c r="W62" s="10">
        <f>VLOOKUP(A:A,[3]TDSheet!$A:$U,21,0)</f>
        <v>0</v>
      </c>
      <c r="X62" s="10">
        <f t="shared" si="7"/>
        <v>13.687058303886925</v>
      </c>
      <c r="Y62" s="10">
        <f t="shared" si="8"/>
        <v>1.3195671378091871</v>
      </c>
      <c r="Z62" s="10">
        <f>VLOOKUP(A:A,[1]TDSheet!$A:$Y,25,0)</f>
        <v>3.6310000000000002</v>
      </c>
      <c r="AA62" s="10">
        <f>VLOOKUP(A:A,[1]TDSheet!$A:$Z,26,0)</f>
        <v>3.617</v>
      </c>
      <c r="AB62" s="10">
        <f>VLOOKUP(A:A,[1]TDSheet!$A:$AA,27,0)</f>
        <v>1.8579999999999999</v>
      </c>
      <c r="AC62" s="10">
        <f>VLOOKUP(A:A,[1]TDSheet!$A:$R,18,0)</f>
        <v>2.8533999999999997</v>
      </c>
      <c r="AD62" s="10">
        <f>VLOOKUP(A:A,[1]TDSheet!$A:$AB,28,0)</f>
        <v>0</v>
      </c>
      <c r="AE62" s="10">
        <f t="shared" si="9"/>
        <v>25</v>
      </c>
      <c r="AF62" s="10">
        <f t="shared" si="10"/>
        <v>25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</row>
    <row r="63" spans="1:83" ht="11.1" customHeight="1" x14ac:dyDescent="0.2">
      <c r="A63" s="8" t="s">
        <v>63</v>
      </c>
      <c r="B63" s="8" t="s">
        <v>10</v>
      </c>
      <c r="C63" s="8">
        <f>VLOOKUP(A:A,[1]TDSheet!$A:$C,3,0)</f>
        <v>6925</v>
      </c>
      <c r="D63" s="9">
        <v>105</v>
      </c>
      <c r="E63" s="9"/>
      <c r="F63" s="9">
        <v>15</v>
      </c>
      <c r="G63" s="9">
        <v>89</v>
      </c>
      <c r="H63" s="23">
        <f>VLOOKUP(A:A,[1]TDSheet!$A:$H,8,0)</f>
        <v>0.6</v>
      </c>
      <c r="I63" s="10">
        <f>VLOOKUP(A:A,[1]TDSheet!$A:$I,9,0)</f>
        <v>0</v>
      </c>
      <c r="J63" s="10" t="e">
        <f>VLOOKUP(A:A,[1]TDSheet!$A:$J,10,0)</f>
        <v>#N/A</v>
      </c>
      <c r="K63" s="10"/>
      <c r="L63" s="10">
        <f>VLOOKUP(A:A,[2]TDSheet!$A:$B,2,0)</f>
        <v>17</v>
      </c>
      <c r="M63" s="10">
        <f t="shared" si="3"/>
        <v>-2</v>
      </c>
      <c r="N63" s="10"/>
      <c r="O63" s="10"/>
      <c r="P63" s="10">
        <f>VLOOKUP(A:A,[1]TDSheet!$A:$S,19,0)</f>
        <v>0</v>
      </c>
      <c r="Q63" s="10">
        <v>0</v>
      </c>
      <c r="R63" s="10">
        <f t="shared" si="4"/>
        <v>3</v>
      </c>
      <c r="S63" s="24"/>
      <c r="T63" s="24">
        <f t="shared" si="5"/>
        <v>0</v>
      </c>
      <c r="U63" s="24">
        <f t="shared" si="6"/>
        <v>0</v>
      </c>
      <c r="V63" s="24"/>
      <c r="W63" s="10">
        <f>VLOOKUP(A:A,[3]TDSheet!$A:$U,21,0)</f>
        <v>0</v>
      </c>
      <c r="X63" s="10">
        <f t="shared" si="7"/>
        <v>29.666666666666668</v>
      </c>
      <c r="Y63" s="10">
        <f t="shared" si="8"/>
        <v>29.666666666666668</v>
      </c>
      <c r="Z63" s="10">
        <f>VLOOKUP(A:A,[1]TDSheet!$A:$Y,25,0)</f>
        <v>10.4</v>
      </c>
      <c r="AA63" s="10">
        <f>VLOOKUP(A:A,[1]TDSheet!$A:$Z,26,0)</f>
        <v>6</v>
      </c>
      <c r="AB63" s="10">
        <f>VLOOKUP(A:A,[1]TDSheet!$A:$AA,27,0)</f>
        <v>7</v>
      </c>
      <c r="AC63" s="10">
        <f>VLOOKUP(A:A,[1]TDSheet!$A:$R,18,0)</f>
        <v>4.8</v>
      </c>
      <c r="AD63" s="10" t="e">
        <f>VLOOKUP(A:A,[1]TDSheet!$A:$AB,28,0)</f>
        <v>#N/A</v>
      </c>
      <c r="AE63" s="10">
        <f t="shared" si="9"/>
        <v>0</v>
      </c>
      <c r="AF63" s="10">
        <f t="shared" si="10"/>
        <v>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</row>
    <row r="64" spans="1:83" ht="11.1" customHeight="1" x14ac:dyDescent="0.2">
      <c r="A64" s="8" t="s">
        <v>64</v>
      </c>
      <c r="B64" s="8" t="s">
        <v>10</v>
      </c>
      <c r="C64" s="8">
        <f>VLOOKUP(A:A,[1]TDSheet!$A:$C,3,0)</f>
        <v>6967</v>
      </c>
      <c r="D64" s="9">
        <v>8</v>
      </c>
      <c r="E64" s="9">
        <v>176</v>
      </c>
      <c r="F64" s="9">
        <v>23</v>
      </c>
      <c r="G64" s="9">
        <v>159</v>
      </c>
      <c r="H64" s="23">
        <f>VLOOKUP(A:A,[1]TDSheet!$A:$H,8,0)</f>
        <v>0.25</v>
      </c>
      <c r="I64" s="10">
        <f>VLOOKUP(A:A,[1]TDSheet!$A:$I,9,0)</f>
        <v>120</v>
      </c>
      <c r="J64" s="10" t="str">
        <f>VLOOKUP(A:A,[1]TDSheet!$A:$J,10,0)</f>
        <v>в матрице</v>
      </c>
      <c r="K64" s="10"/>
      <c r="L64" s="10">
        <f>VLOOKUP(A:A,[2]TDSheet!$A:$B,2,0)</f>
        <v>24</v>
      </c>
      <c r="M64" s="10">
        <f t="shared" si="3"/>
        <v>-1</v>
      </c>
      <c r="N64" s="10"/>
      <c r="O64" s="10"/>
      <c r="P64" s="10">
        <f>VLOOKUP(A:A,[1]TDSheet!$A:$S,19,0)</f>
        <v>20</v>
      </c>
      <c r="Q64" s="10">
        <v>20</v>
      </c>
      <c r="R64" s="10">
        <f t="shared" si="4"/>
        <v>4.5999999999999996</v>
      </c>
      <c r="S64" s="24"/>
      <c r="T64" s="24">
        <f t="shared" si="5"/>
        <v>0</v>
      </c>
      <c r="U64" s="24">
        <f t="shared" si="6"/>
        <v>0</v>
      </c>
      <c r="V64" s="24"/>
      <c r="W64" s="10">
        <f>VLOOKUP(A:A,[3]TDSheet!$A:$U,21,0)</f>
        <v>0</v>
      </c>
      <c r="X64" s="10">
        <f t="shared" si="7"/>
        <v>43.260869565217398</v>
      </c>
      <c r="Y64" s="10">
        <f t="shared" si="8"/>
        <v>34.565217391304351</v>
      </c>
      <c r="Z64" s="10">
        <f>VLOOKUP(A:A,[1]TDSheet!$A:$Y,25,0)</f>
        <v>7</v>
      </c>
      <c r="AA64" s="10">
        <f>VLOOKUP(A:A,[1]TDSheet!$A:$Z,26,0)</f>
        <v>8.8000000000000007</v>
      </c>
      <c r="AB64" s="10">
        <f>VLOOKUP(A:A,[1]TDSheet!$A:$AA,27,0)</f>
        <v>15.8</v>
      </c>
      <c r="AC64" s="10">
        <f>VLOOKUP(A:A,[1]TDSheet!$A:$R,18,0)</f>
        <v>8</v>
      </c>
      <c r="AD64" s="10">
        <f>VLOOKUP(A:A,[1]TDSheet!$A:$AB,28,0)</f>
        <v>0</v>
      </c>
      <c r="AE64" s="10">
        <f t="shared" si="9"/>
        <v>0</v>
      </c>
      <c r="AF64" s="10">
        <f t="shared" si="10"/>
        <v>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</row>
    <row r="65" spans="1:83" ht="11.1" customHeight="1" x14ac:dyDescent="0.2">
      <c r="A65" s="8" t="s">
        <v>65</v>
      </c>
      <c r="B65" s="8" t="s">
        <v>12</v>
      </c>
      <c r="C65" s="8">
        <f>VLOOKUP(A:A,[1]TDSheet!$A:$C,3,0)</f>
        <v>7001</v>
      </c>
      <c r="D65" s="9">
        <v>30.16</v>
      </c>
      <c r="E65" s="9">
        <v>18.667000000000002</v>
      </c>
      <c r="F65" s="9">
        <v>17.103000000000002</v>
      </c>
      <c r="G65" s="9">
        <v>30.068999999999999</v>
      </c>
      <c r="H65" s="23">
        <f>VLOOKUP(A:A,[1]TDSheet!$A:$H,8,0)</f>
        <v>1</v>
      </c>
      <c r="I65" s="10">
        <f>VLOOKUP(A:A,[1]TDSheet!$A:$I,9,0)</f>
        <v>45</v>
      </c>
      <c r="J65" s="10" t="str">
        <f>VLOOKUP(A:A,[1]TDSheet!$A:$J,10,0)</f>
        <v>в матрице</v>
      </c>
      <c r="K65" s="10"/>
      <c r="L65" s="10">
        <f>VLOOKUP(A:A,[2]TDSheet!$A:$B,2,0)</f>
        <v>18.600000000000001</v>
      </c>
      <c r="M65" s="10">
        <f t="shared" si="3"/>
        <v>-1.4969999999999999</v>
      </c>
      <c r="N65" s="10"/>
      <c r="O65" s="10"/>
      <c r="P65" s="10">
        <f>VLOOKUP(A:A,[1]TDSheet!$A:$S,19,0)</f>
        <v>0</v>
      </c>
      <c r="Q65" s="10">
        <v>0</v>
      </c>
      <c r="R65" s="10">
        <f t="shared" si="4"/>
        <v>3.4206000000000003</v>
      </c>
      <c r="S65" s="24">
        <v>20</v>
      </c>
      <c r="T65" s="24">
        <f t="shared" si="5"/>
        <v>10</v>
      </c>
      <c r="U65" s="24">
        <f t="shared" si="6"/>
        <v>10</v>
      </c>
      <c r="V65" s="24"/>
      <c r="W65" s="10">
        <f>VLOOKUP(A:A,[3]TDSheet!$A:$U,21,0)</f>
        <v>0</v>
      </c>
      <c r="X65" s="10">
        <f t="shared" si="7"/>
        <v>14.63749049874291</v>
      </c>
      <c r="Y65" s="10">
        <f t="shared" si="8"/>
        <v>8.7905630591124346</v>
      </c>
      <c r="Z65" s="10">
        <f>VLOOKUP(A:A,[1]TDSheet!$A:$Y,25,0)</f>
        <v>3.7978000000000001</v>
      </c>
      <c r="AA65" s="10">
        <f>VLOOKUP(A:A,[1]TDSheet!$A:$Z,26,0)</f>
        <v>2.9956</v>
      </c>
      <c r="AB65" s="10">
        <f>VLOOKUP(A:A,[1]TDSheet!$A:$AA,27,0)</f>
        <v>3.9387999999999996</v>
      </c>
      <c r="AC65" s="10">
        <f>VLOOKUP(A:A,[1]TDSheet!$A:$R,18,0)</f>
        <v>3.18</v>
      </c>
      <c r="AD65" s="10">
        <f>VLOOKUP(A:A,[1]TDSheet!$A:$AB,28,0)</f>
        <v>0</v>
      </c>
      <c r="AE65" s="10">
        <f t="shared" si="9"/>
        <v>10</v>
      </c>
      <c r="AF65" s="10">
        <f t="shared" si="10"/>
        <v>10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</row>
    <row r="66" spans="1:83" ht="11.1" customHeight="1" x14ac:dyDescent="0.2">
      <c r="A66" s="8" t="s">
        <v>66</v>
      </c>
      <c r="B66" s="8" t="s">
        <v>10</v>
      </c>
      <c r="C66" s="8">
        <f>VLOOKUP(A:A,[1]TDSheet!$A:$C,3,0)</f>
        <v>7059</v>
      </c>
      <c r="D66" s="9">
        <v>337</v>
      </c>
      <c r="E66" s="9">
        <v>1</v>
      </c>
      <c r="F66" s="9">
        <v>131</v>
      </c>
      <c r="G66" s="9">
        <v>200</v>
      </c>
      <c r="H66" s="23">
        <f>VLOOKUP(A:A,[1]TDSheet!$A:$H,8,0)</f>
        <v>0.3</v>
      </c>
      <c r="I66" s="10">
        <f>VLOOKUP(A:A,[1]TDSheet!$A:$I,9,0)</f>
        <v>0</v>
      </c>
      <c r="J66" s="10" t="e">
        <f>VLOOKUP(A:A,[1]TDSheet!$A:$J,10,0)</f>
        <v>#N/A</v>
      </c>
      <c r="K66" s="10"/>
      <c r="L66" s="10">
        <f>VLOOKUP(A:A,[2]TDSheet!$A:$B,2,0)</f>
        <v>138</v>
      </c>
      <c r="M66" s="10">
        <f t="shared" si="3"/>
        <v>-7</v>
      </c>
      <c r="N66" s="10"/>
      <c r="O66" s="10"/>
      <c r="P66" s="10">
        <f>VLOOKUP(A:A,[1]TDSheet!$A:$S,19,0)</f>
        <v>0</v>
      </c>
      <c r="Q66" s="10">
        <v>0</v>
      </c>
      <c r="R66" s="10">
        <f t="shared" si="4"/>
        <v>26.2</v>
      </c>
      <c r="S66" s="24">
        <v>170</v>
      </c>
      <c r="T66" s="24">
        <f t="shared" si="5"/>
        <v>85</v>
      </c>
      <c r="U66" s="24">
        <f t="shared" si="6"/>
        <v>85</v>
      </c>
      <c r="V66" s="24"/>
      <c r="W66" s="10">
        <f>VLOOKUP(A:A,[3]TDSheet!$A:$U,21,0)</f>
        <v>0</v>
      </c>
      <c r="X66" s="10">
        <f t="shared" si="7"/>
        <v>14.122137404580153</v>
      </c>
      <c r="Y66" s="10">
        <f t="shared" si="8"/>
        <v>7.6335877862595423</v>
      </c>
      <c r="Z66" s="10">
        <f>VLOOKUP(A:A,[1]TDSheet!$A:$Y,25,0)</f>
        <v>33.4</v>
      </c>
      <c r="AA66" s="10">
        <f>VLOOKUP(A:A,[1]TDSheet!$A:$Z,26,0)</f>
        <v>35.6</v>
      </c>
      <c r="AB66" s="10">
        <f>VLOOKUP(A:A,[1]TDSheet!$A:$AA,27,0)</f>
        <v>17.600000000000001</v>
      </c>
      <c r="AC66" s="10">
        <f>VLOOKUP(A:A,[1]TDSheet!$A:$R,18,0)</f>
        <v>13.2</v>
      </c>
      <c r="AD66" s="10" t="e">
        <f>VLOOKUP(A:A,[1]TDSheet!$A:$AB,28,0)</f>
        <v>#N/A</v>
      </c>
      <c r="AE66" s="10">
        <f t="shared" si="9"/>
        <v>25.5</v>
      </c>
      <c r="AF66" s="10">
        <f t="shared" si="10"/>
        <v>25.5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</row>
    <row r="67" spans="1:83" ht="11.1" customHeight="1" x14ac:dyDescent="0.2">
      <c r="A67" s="29" t="s">
        <v>67</v>
      </c>
      <c r="B67" s="29" t="s">
        <v>10</v>
      </c>
      <c r="C67" s="29">
        <f>VLOOKUP(A:A,[1]TDSheet!$A:$C,3,0)</f>
        <v>7066</v>
      </c>
      <c r="D67" s="30">
        <v>639</v>
      </c>
      <c r="E67" s="30">
        <v>6267</v>
      </c>
      <c r="F67" s="30">
        <v>1410</v>
      </c>
      <c r="G67" s="30">
        <v>1389</v>
      </c>
      <c r="H67" s="31">
        <f>VLOOKUP(A:A,[1]TDSheet!$A:$H,8,0)</f>
        <v>0.41</v>
      </c>
      <c r="I67" s="32">
        <f>VLOOKUP(A:A,[1]TDSheet!$A:$I,9,0)</f>
        <v>50</v>
      </c>
      <c r="J67" s="32" t="str">
        <f>VLOOKUP(A:A,[1]TDSheet!$A:$J,10,0)</f>
        <v>в матрице</v>
      </c>
      <c r="K67" s="10"/>
      <c r="L67" s="10">
        <f>VLOOKUP(A:A,[2]TDSheet!$A:$B,2,0)</f>
        <v>1452</v>
      </c>
      <c r="M67" s="10">
        <f t="shared" si="3"/>
        <v>-42</v>
      </c>
      <c r="N67" s="10"/>
      <c r="O67" s="10"/>
      <c r="P67" s="10">
        <f>VLOOKUP(A:A,[1]TDSheet!$A:$S,19,0)</f>
        <v>1250</v>
      </c>
      <c r="Q67" s="10">
        <v>1250</v>
      </c>
      <c r="R67" s="10">
        <f t="shared" si="4"/>
        <v>282</v>
      </c>
      <c r="S67" s="24">
        <v>400</v>
      </c>
      <c r="T67" s="24">
        <f t="shared" si="5"/>
        <v>200</v>
      </c>
      <c r="U67" s="24">
        <f t="shared" si="6"/>
        <v>200</v>
      </c>
      <c r="V67" s="24"/>
      <c r="W67" s="10" t="s">
        <v>127</v>
      </c>
      <c r="X67" s="10">
        <f t="shared" si="7"/>
        <v>15.209219858156029</v>
      </c>
      <c r="Y67" s="10">
        <f t="shared" si="8"/>
        <v>4.9255319148936172</v>
      </c>
      <c r="Z67" s="10">
        <f>VLOOKUP(A:A,[1]TDSheet!$A:$Y,25,0)</f>
        <v>262.39999999999998</v>
      </c>
      <c r="AA67" s="10">
        <f>VLOOKUP(A:A,[1]TDSheet!$A:$Z,26,0)</f>
        <v>228</v>
      </c>
      <c r="AB67" s="10">
        <f>VLOOKUP(A:A,[1]TDSheet!$A:$AA,27,0)</f>
        <v>234</v>
      </c>
      <c r="AC67" s="10">
        <f>VLOOKUP(A:A,[1]TDSheet!$A:$R,18,0)</f>
        <v>316.39999999999998</v>
      </c>
      <c r="AD67" s="10" t="str">
        <f>VLOOKUP(A:A,[1]TDSheet!$A:$AB,28,0)</f>
        <v>Обжора / Паллет</v>
      </c>
      <c r="AE67" s="10">
        <f t="shared" si="9"/>
        <v>82</v>
      </c>
      <c r="AF67" s="10">
        <f t="shared" si="10"/>
        <v>82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</row>
    <row r="68" spans="1:83" ht="11.1" customHeight="1" x14ac:dyDescent="0.2">
      <c r="A68" s="29" t="s">
        <v>68</v>
      </c>
      <c r="B68" s="29" t="s">
        <v>12</v>
      </c>
      <c r="C68" s="29">
        <f>VLOOKUP(A:A,[1]TDSheet!$A:$C,3,0)</f>
        <v>7070</v>
      </c>
      <c r="D68" s="30">
        <v>836.83199999999999</v>
      </c>
      <c r="E68" s="30">
        <v>685.10400000000004</v>
      </c>
      <c r="F68" s="30">
        <v>474.55500000000001</v>
      </c>
      <c r="G68" s="30">
        <v>634.01400000000001</v>
      </c>
      <c r="H68" s="31">
        <f>VLOOKUP(A:A,[1]TDSheet!$A:$H,8,0)</f>
        <v>1</v>
      </c>
      <c r="I68" s="32">
        <f>VLOOKUP(A:A,[1]TDSheet!$A:$I,9,0)</f>
        <v>50</v>
      </c>
      <c r="J68" s="32" t="str">
        <f>VLOOKUP(A:A,[1]TDSheet!$A:$J,10,0)</f>
        <v>в матрице</v>
      </c>
      <c r="K68" s="10"/>
      <c r="L68" s="10">
        <f>VLOOKUP(A:A,[2]TDSheet!$A:$B,2,0)</f>
        <v>469.07400000000001</v>
      </c>
      <c r="M68" s="10">
        <f t="shared" si="3"/>
        <v>5.4809999999999945</v>
      </c>
      <c r="N68" s="10"/>
      <c r="O68" s="10"/>
      <c r="P68" s="10">
        <f>VLOOKUP(A:A,[1]TDSheet!$A:$S,19,0)</f>
        <v>50</v>
      </c>
      <c r="Q68" s="10">
        <v>50</v>
      </c>
      <c r="R68" s="10">
        <f t="shared" si="4"/>
        <v>94.911000000000001</v>
      </c>
      <c r="S68" s="24">
        <v>600</v>
      </c>
      <c r="T68" s="24">
        <f t="shared" si="5"/>
        <v>300</v>
      </c>
      <c r="U68" s="24">
        <f t="shared" si="6"/>
        <v>300</v>
      </c>
      <c r="V68" s="24"/>
      <c r="W68" s="10">
        <f>VLOOKUP(A:A,[3]TDSheet!$A:$U,21,0)</f>
        <v>0</v>
      </c>
      <c r="X68" s="10">
        <f t="shared" si="7"/>
        <v>14.055420341161721</v>
      </c>
      <c r="Y68" s="10">
        <f t="shared" si="8"/>
        <v>6.6800897683092577</v>
      </c>
      <c r="Z68" s="10">
        <f>VLOOKUP(A:A,[1]TDSheet!$A:$Y,25,0)</f>
        <v>43.7624</v>
      </c>
      <c r="AA68" s="10">
        <f>VLOOKUP(A:A,[1]TDSheet!$A:$Z,26,0)</f>
        <v>79.599999999999994</v>
      </c>
      <c r="AB68" s="10">
        <f>VLOOKUP(A:A,[1]TDSheet!$A:$AA,27,0)</f>
        <v>20.056000000000001</v>
      </c>
      <c r="AC68" s="10">
        <f>VLOOKUP(A:A,[1]TDSheet!$A:$R,18,0)</f>
        <v>51.692399999999999</v>
      </c>
      <c r="AD68" s="10">
        <f>VLOOKUP(A:A,[1]TDSheet!$A:$AB,28,0)</f>
        <v>0</v>
      </c>
      <c r="AE68" s="10">
        <f t="shared" si="9"/>
        <v>300</v>
      </c>
      <c r="AF68" s="10">
        <f t="shared" si="10"/>
        <v>300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</row>
    <row r="69" spans="1:83" ht="11.1" customHeight="1" x14ac:dyDescent="0.2">
      <c r="A69" s="8" t="s">
        <v>69</v>
      </c>
      <c r="B69" s="8" t="s">
        <v>10</v>
      </c>
      <c r="C69" s="8">
        <f>VLOOKUP(A:A,[1]TDSheet!$A:$C,3,0)</f>
        <v>7073</v>
      </c>
      <c r="D69" s="9">
        <v>59</v>
      </c>
      <c r="E69" s="9">
        <v>88</v>
      </c>
      <c r="F69" s="9">
        <v>47</v>
      </c>
      <c r="G69" s="9">
        <v>97</v>
      </c>
      <c r="H69" s="23">
        <f>VLOOKUP(A:A,[1]TDSheet!$A:$H,8,0)</f>
        <v>0.35</v>
      </c>
      <c r="I69" s="10">
        <f>VLOOKUP(A:A,[1]TDSheet!$A:$I,9,0)</f>
        <v>50</v>
      </c>
      <c r="J69" s="10" t="str">
        <f>VLOOKUP(A:A,[1]TDSheet!$A:$J,10,0)</f>
        <v>в матрице</v>
      </c>
      <c r="K69" s="10"/>
      <c r="L69" s="10">
        <f>VLOOKUP(A:A,[2]TDSheet!$A:$B,2,0)</f>
        <v>50</v>
      </c>
      <c r="M69" s="10">
        <f t="shared" si="3"/>
        <v>-3</v>
      </c>
      <c r="N69" s="10"/>
      <c r="O69" s="10"/>
      <c r="P69" s="10">
        <f>VLOOKUP(A:A,[1]TDSheet!$A:$S,19,0)</f>
        <v>10</v>
      </c>
      <c r="Q69" s="10">
        <v>10</v>
      </c>
      <c r="R69" s="10">
        <f t="shared" si="4"/>
        <v>9.4</v>
      </c>
      <c r="S69" s="24">
        <v>50</v>
      </c>
      <c r="T69" s="24">
        <f t="shared" si="5"/>
        <v>25</v>
      </c>
      <c r="U69" s="24">
        <f t="shared" si="6"/>
        <v>25</v>
      </c>
      <c r="V69" s="24">
        <f>VLOOKUP(A:A,[3]TDSheet!$A:$T,20,0)</f>
        <v>50</v>
      </c>
      <c r="W69" s="10">
        <f>VLOOKUP(A:A,[3]TDSheet!$A:$U,21,0)</f>
        <v>0</v>
      </c>
      <c r="X69" s="10">
        <f t="shared" si="7"/>
        <v>17.76595744680851</v>
      </c>
      <c r="Y69" s="10">
        <f t="shared" si="8"/>
        <v>10.319148936170212</v>
      </c>
      <c r="Z69" s="10">
        <f>VLOOKUP(A:A,[1]TDSheet!$A:$Y,25,0)</f>
        <v>8</v>
      </c>
      <c r="AA69" s="10">
        <f>VLOOKUP(A:A,[1]TDSheet!$A:$Z,26,0)</f>
        <v>7.6</v>
      </c>
      <c r="AB69" s="10">
        <f>VLOOKUP(A:A,[1]TDSheet!$A:$AA,27,0)</f>
        <v>12.6</v>
      </c>
      <c r="AC69" s="10">
        <f>VLOOKUP(A:A,[1]TDSheet!$A:$R,18,0)</f>
        <v>5.4</v>
      </c>
      <c r="AD69" s="10">
        <f>VLOOKUP(A:A,[1]TDSheet!$A:$AB,28,0)</f>
        <v>0</v>
      </c>
      <c r="AE69" s="10">
        <f t="shared" si="9"/>
        <v>8.75</v>
      </c>
      <c r="AF69" s="10">
        <f t="shared" si="10"/>
        <v>8.75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</row>
    <row r="70" spans="1:83" ht="11.1" customHeight="1" x14ac:dyDescent="0.2">
      <c r="A70" s="33" t="s">
        <v>70</v>
      </c>
      <c r="B70" s="33" t="s">
        <v>10</v>
      </c>
      <c r="C70" s="33">
        <f>VLOOKUP(A:A,[1]TDSheet!$A:$C,3,0)</f>
        <v>7080</v>
      </c>
      <c r="D70" s="34">
        <v>2571</v>
      </c>
      <c r="E70" s="34">
        <v>25</v>
      </c>
      <c r="F70" s="34">
        <v>620</v>
      </c>
      <c r="G70" s="34">
        <v>1945</v>
      </c>
      <c r="H70" s="35">
        <f>VLOOKUP(A:A,[1]TDSheet!$A:$H,8,0)</f>
        <v>0.41</v>
      </c>
      <c r="I70" s="36">
        <f>VLOOKUP(A:A,[1]TDSheet!$A:$I,9,0)</f>
        <v>50</v>
      </c>
      <c r="J70" s="36" t="str">
        <f>VLOOKUP(A:A,[1]TDSheet!$A:$J,10,0)</f>
        <v>в матрице</v>
      </c>
      <c r="K70" s="10"/>
      <c r="L70" s="10">
        <f>VLOOKUP(A:A,[2]TDSheet!$A:$B,2,0)</f>
        <v>638.1</v>
      </c>
      <c r="M70" s="10">
        <f t="shared" si="3"/>
        <v>-18.100000000000023</v>
      </c>
      <c r="N70" s="10"/>
      <c r="O70" s="10"/>
      <c r="P70" s="10">
        <f>VLOOKUP(A:A,[1]TDSheet!$A:$S,19,0)</f>
        <v>0</v>
      </c>
      <c r="Q70" s="10">
        <v>0</v>
      </c>
      <c r="R70" s="10">
        <f t="shared" si="4"/>
        <v>124</v>
      </c>
      <c r="S70" s="24"/>
      <c r="T70" s="24">
        <f t="shared" si="5"/>
        <v>0</v>
      </c>
      <c r="U70" s="24">
        <f t="shared" si="6"/>
        <v>0</v>
      </c>
      <c r="V70" s="24"/>
      <c r="W70" s="10">
        <f>VLOOKUP(A:A,[3]TDSheet!$A:$U,21,0)</f>
        <v>0</v>
      </c>
      <c r="X70" s="10">
        <f t="shared" si="7"/>
        <v>15.685483870967742</v>
      </c>
      <c r="Y70" s="10">
        <f t="shared" si="8"/>
        <v>15.685483870967742</v>
      </c>
      <c r="Z70" s="10">
        <f>VLOOKUP(A:A,[1]TDSheet!$A:$Y,25,0)</f>
        <v>154.19999999999999</v>
      </c>
      <c r="AA70" s="10">
        <f>VLOOKUP(A:A,[1]TDSheet!$A:$Z,26,0)</f>
        <v>270.60000000000002</v>
      </c>
      <c r="AB70" s="10">
        <f>VLOOKUP(A:A,[1]TDSheet!$A:$AA,27,0)</f>
        <v>133</v>
      </c>
      <c r="AC70" s="10">
        <f>VLOOKUP(A:A,[1]TDSheet!$A:$R,18,0)</f>
        <v>136.80000000000001</v>
      </c>
      <c r="AD70" s="10" t="str">
        <f>VLOOKUP(A:A,[1]TDSheet!$A:$AB,28,0)</f>
        <v>Обжора / Паллет</v>
      </c>
      <c r="AE70" s="10">
        <f t="shared" si="9"/>
        <v>0</v>
      </c>
      <c r="AF70" s="10">
        <f t="shared" si="10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</row>
    <row r="71" spans="1:83" ht="11.1" customHeight="1" x14ac:dyDescent="0.2">
      <c r="A71" s="33" t="s">
        <v>71</v>
      </c>
      <c r="B71" s="33" t="s">
        <v>12</v>
      </c>
      <c r="C71" s="33">
        <f>VLOOKUP(A:A,[1]TDSheet!$A:$C,3,0)</f>
        <v>7083</v>
      </c>
      <c r="D71" s="34">
        <v>144.976</v>
      </c>
      <c r="E71" s="34">
        <v>241.316</v>
      </c>
      <c r="F71" s="34">
        <v>195</v>
      </c>
      <c r="G71" s="34">
        <v>127.062</v>
      </c>
      <c r="H71" s="35">
        <f>VLOOKUP(A:A,[1]TDSheet!$A:$H,8,0)</f>
        <v>1</v>
      </c>
      <c r="I71" s="36">
        <f>VLOOKUP(A:A,[1]TDSheet!$A:$I,9,0)</f>
        <v>0</v>
      </c>
      <c r="J71" s="36" t="e">
        <f>VLOOKUP(A:A,[1]TDSheet!$A:$J,10,0)</f>
        <v>#N/A</v>
      </c>
      <c r="K71" s="10"/>
      <c r="L71" s="10">
        <f>VLOOKUP(A:A,[2]TDSheet!$A:$B,2,0)</f>
        <v>133.065</v>
      </c>
      <c r="M71" s="10">
        <f t="shared" si="3"/>
        <v>61.935000000000002</v>
      </c>
      <c r="N71" s="10"/>
      <c r="O71" s="10"/>
      <c r="P71" s="10">
        <f>VLOOKUP(A:A,[1]TDSheet!$A:$S,19,0)</f>
        <v>115</v>
      </c>
      <c r="Q71" s="10">
        <v>115</v>
      </c>
      <c r="R71" s="10">
        <f t="shared" si="4"/>
        <v>39</v>
      </c>
      <c r="S71" s="24">
        <v>120</v>
      </c>
      <c r="T71" s="24">
        <f t="shared" si="5"/>
        <v>60</v>
      </c>
      <c r="U71" s="24">
        <f t="shared" si="6"/>
        <v>60</v>
      </c>
      <c r="V71" s="24">
        <f>VLOOKUP(A:A,[3]TDSheet!$A:$T,20,0)</f>
        <v>120</v>
      </c>
      <c r="W71" s="10">
        <f>VLOOKUP(A:A,[3]TDSheet!$A:$U,21,0)</f>
        <v>0</v>
      </c>
      <c r="X71" s="10">
        <f t="shared" si="7"/>
        <v>12.232358974358975</v>
      </c>
      <c r="Y71" s="10">
        <f t="shared" si="8"/>
        <v>3.258</v>
      </c>
      <c r="Z71" s="10">
        <f>VLOOKUP(A:A,[1]TDSheet!$A:$Y,25,0)</f>
        <v>44.2</v>
      </c>
      <c r="AA71" s="10">
        <f>VLOOKUP(A:A,[1]TDSheet!$A:$Z,26,0)</f>
        <v>23.9648</v>
      </c>
      <c r="AB71" s="10">
        <f>VLOOKUP(A:A,[1]TDSheet!$A:$AA,27,0)</f>
        <v>22.8184</v>
      </c>
      <c r="AC71" s="10">
        <f>VLOOKUP(A:A,[1]TDSheet!$A:$R,18,0)</f>
        <v>27.2654</v>
      </c>
      <c r="AD71" s="10" t="e">
        <f>VLOOKUP(A:A,[1]TDSheet!$A:$AB,28,0)</f>
        <v>#N/A</v>
      </c>
      <c r="AE71" s="10">
        <f t="shared" si="9"/>
        <v>60</v>
      </c>
      <c r="AF71" s="10">
        <f t="shared" si="10"/>
        <v>60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</row>
    <row r="72" spans="1:83" ht="11.1" customHeight="1" x14ac:dyDescent="0.2">
      <c r="A72" s="8" t="s">
        <v>72</v>
      </c>
      <c r="B72" s="8" t="s">
        <v>10</v>
      </c>
      <c r="C72" s="8">
        <f>VLOOKUP(A:A,[1]TDSheet!$A:$C,3,0)</f>
        <v>7090</v>
      </c>
      <c r="D72" s="11"/>
      <c r="E72" s="9">
        <v>12</v>
      </c>
      <c r="F72" s="9">
        <v>-3</v>
      </c>
      <c r="G72" s="9">
        <v>12</v>
      </c>
      <c r="H72" s="23">
        <f>VLOOKUP(A:A,[1]TDSheet!$A:$H,8,0)</f>
        <v>0.3</v>
      </c>
      <c r="I72" s="10">
        <f>VLOOKUP(A:A,[1]TDSheet!$A:$I,9,0)</f>
        <v>50</v>
      </c>
      <c r="J72" s="10" t="str">
        <f>VLOOKUP(A:A,[1]TDSheet!$A:$J,10,0)</f>
        <v>в матрице</v>
      </c>
      <c r="K72" s="10"/>
      <c r="L72" s="10">
        <f>VLOOKUP(A:A,[2]TDSheet!$A:$B,2,0)</f>
        <v>163</v>
      </c>
      <c r="M72" s="10">
        <f t="shared" si="3"/>
        <v>-166</v>
      </c>
      <c r="N72" s="10"/>
      <c r="O72" s="10"/>
      <c r="P72" s="10">
        <f>VLOOKUP(A:A,[1]TDSheet!$A:$S,19,0)</f>
        <v>15</v>
      </c>
      <c r="Q72" s="10">
        <v>15</v>
      </c>
      <c r="R72" s="10">
        <f t="shared" si="4"/>
        <v>-0.6</v>
      </c>
      <c r="S72" s="24"/>
      <c r="T72" s="24">
        <f t="shared" si="5"/>
        <v>0</v>
      </c>
      <c r="U72" s="24">
        <f t="shared" si="6"/>
        <v>0</v>
      </c>
      <c r="V72" s="24"/>
      <c r="W72" s="10">
        <f>VLOOKUP(A:A,[3]TDSheet!$A:$U,21,0)</f>
        <v>0</v>
      </c>
      <c r="X72" s="10">
        <f t="shared" si="7"/>
        <v>-70</v>
      </c>
      <c r="Y72" s="10">
        <f t="shared" si="8"/>
        <v>-20</v>
      </c>
      <c r="Z72" s="10">
        <f>VLOOKUP(A:A,[1]TDSheet!$A:$Y,25,0)</f>
        <v>7.2</v>
      </c>
      <c r="AA72" s="10">
        <f>VLOOKUP(A:A,[1]TDSheet!$A:$Z,26,0)</f>
        <v>39.799999999999997</v>
      </c>
      <c r="AB72" s="10">
        <f>VLOOKUP(A:A,[1]TDSheet!$A:$AA,27,0)</f>
        <v>10.6</v>
      </c>
      <c r="AC72" s="10">
        <f>VLOOKUP(A:A,[1]TDSheet!$A:$R,18,0)</f>
        <v>1.2</v>
      </c>
      <c r="AD72" s="10">
        <f>VLOOKUP(A:A,[1]TDSheet!$A:$AB,28,0)</f>
        <v>0</v>
      </c>
      <c r="AE72" s="10">
        <f t="shared" si="9"/>
        <v>0</v>
      </c>
      <c r="AF72" s="10">
        <f t="shared" si="10"/>
        <v>0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</row>
    <row r="73" spans="1:83" ht="11.1" customHeight="1" x14ac:dyDescent="0.2">
      <c r="A73" s="8" t="s">
        <v>73</v>
      </c>
      <c r="B73" s="8" t="s">
        <v>10</v>
      </c>
      <c r="C73" s="8">
        <f>VLOOKUP(A:A,[1]TDSheet!$A:$C,3,0)</f>
        <v>7103</v>
      </c>
      <c r="D73" s="9">
        <v>37</v>
      </c>
      <c r="E73" s="9">
        <v>1229</v>
      </c>
      <c r="F73" s="9">
        <v>243</v>
      </c>
      <c r="G73" s="9">
        <v>479</v>
      </c>
      <c r="H73" s="23">
        <f>VLOOKUP(A:A,[1]TDSheet!$A:$H,8,0)</f>
        <v>0.18</v>
      </c>
      <c r="I73" s="10">
        <f>VLOOKUP(A:A,[1]TDSheet!$A:$I,9,0)</f>
        <v>50</v>
      </c>
      <c r="J73" s="10" t="str">
        <f>VLOOKUP(A:A,[1]TDSheet!$A:$J,10,0)</f>
        <v>в матрице</v>
      </c>
      <c r="K73" s="10"/>
      <c r="L73" s="10">
        <f>VLOOKUP(A:A,[2]TDSheet!$A:$B,2,0)</f>
        <v>255</v>
      </c>
      <c r="M73" s="10">
        <f t="shared" si="3"/>
        <v>-12</v>
      </c>
      <c r="N73" s="10"/>
      <c r="O73" s="10"/>
      <c r="P73" s="10">
        <f>VLOOKUP(A:A,[1]TDSheet!$A:$S,19,0)</f>
        <v>85</v>
      </c>
      <c r="Q73" s="10">
        <v>85</v>
      </c>
      <c r="R73" s="10">
        <f t="shared" si="4"/>
        <v>48.6</v>
      </c>
      <c r="S73" s="24"/>
      <c r="T73" s="24">
        <f t="shared" si="5"/>
        <v>0</v>
      </c>
      <c r="U73" s="24">
        <f t="shared" si="6"/>
        <v>0</v>
      </c>
      <c r="V73" s="24"/>
      <c r="W73" s="10">
        <f>VLOOKUP(A:A,[3]TDSheet!$A:$U,21,0)</f>
        <v>0</v>
      </c>
      <c r="X73" s="10">
        <f t="shared" si="7"/>
        <v>13.353909465020577</v>
      </c>
      <c r="Y73" s="10">
        <f t="shared" si="8"/>
        <v>9.8559670781893001</v>
      </c>
      <c r="Z73" s="10">
        <f>VLOOKUP(A:A,[1]TDSheet!$A:$Y,25,0)</f>
        <v>28</v>
      </c>
      <c r="AA73" s="10">
        <f>VLOOKUP(A:A,[1]TDSheet!$A:$Z,26,0)</f>
        <v>25.8</v>
      </c>
      <c r="AB73" s="10">
        <f>VLOOKUP(A:A,[1]TDSheet!$A:$AA,27,0)</f>
        <v>49.4</v>
      </c>
      <c r="AC73" s="10">
        <f>VLOOKUP(A:A,[1]TDSheet!$A:$R,18,0)</f>
        <v>15.2</v>
      </c>
      <c r="AD73" s="10" t="str">
        <f>VLOOKUP(A:A,[1]TDSheet!$A:$AB,28,0)</f>
        <v>Обжора / Паллет</v>
      </c>
      <c r="AE73" s="10">
        <f t="shared" si="9"/>
        <v>0</v>
      </c>
      <c r="AF73" s="10">
        <f t="shared" si="10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</row>
    <row r="74" spans="1:83" ht="11.1" customHeight="1" x14ac:dyDescent="0.2">
      <c r="A74" s="8" t="s">
        <v>74</v>
      </c>
      <c r="B74" s="8" t="s">
        <v>12</v>
      </c>
      <c r="C74" s="8">
        <f>VLOOKUP(A:A,[1]TDSheet!$A:$C,3,0)</f>
        <v>7131</v>
      </c>
      <c r="D74" s="9">
        <v>-4.2999999999999997E-2</v>
      </c>
      <c r="E74" s="9">
        <v>0.93700000000000006</v>
      </c>
      <c r="F74" s="9">
        <v>0</v>
      </c>
      <c r="G74" s="9"/>
      <c r="H74" s="23">
        <f>VLOOKUP(A:A,[1]TDSheet!$A:$H,8,0)</f>
        <v>1</v>
      </c>
      <c r="I74" s="10">
        <f>VLOOKUP(A:A,[1]TDSheet!$A:$I,9,0)</f>
        <v>45</v>
      </c>
      <c r="J74" s="10" t="str">
        <f>VLOOKUP(A:A,[1]TDSheet!$A:$J,10,0)</f>
        <v>в матрице</v>
      </c>
      <c r="K74" s="10"/>
      <c r="L74" s="10">
        <v>0</v>
      </c>
      <c r="M74" s="10">
        <f t="shared" si="3"/>
        <v>0</v>
      </c>
      <c r="N74" s="10"/>
      <c r="O74" s="10"/>
      <c r="P74" s="10">
        <f>VLOOKUP(A:A,[1]TDSheet!$A:$S,19,0)</f>
        <v>8</v>
      </c>
      <c r="Q74" s="10">
        <v>8</v>
      </c>
      <c r="R74" s="10">
        <f t="shared" si="4"/>
        <v>0</v>
      </c>
      <c r="S74" s="24"/>
      <c r="T74" s="24">
        <f t="shared" si="5"/>
        <v>0</v>
      </c>
      <c r="U74" s="24">
        <f t="shared" si="6"/>
        <v>0</v>
      </c>
      <c r="V74" s="24"/>
      <c r="W74" s="10">
        <f>VLOOKUP(A:A,[3]TDSheet!$A:$U,21,0)</f>
        <v>0</v>
      </c>
      <c r="X74" s="10" t="e">
        <f t="shared" si="7"/>
        <v>#DIV/0!</v>
      </c>
      <c r="Y74" s="10" t="e">
        <f t="shared" si="8"/>
        <v>#DIV/0!</v>
      </c>
      <c r="Z74" s="10">
        <f>VLOOKUP(A:A,[1]TDSheet!$A:$Y,25,0)</f>
        <v>2.0225999999999997</v>
      </c>
      <c r="AA74" s="10">
        <f>VLOOKUP(A:A,[1]TDSheet!$A:$Z,26,0)</f>
        <v>3.5729999999999995</v>
      </c>
      <c r="AB74" s="10">
        <f>VLOOKUP(A:A,[1]TDSheet!$A:$AA,27,0)</f>
        <v>0.34140000000000004</v>
      </c>
      <c r="AC74" s="10">
        <f>VLOOKUP(A:A,[1]TDSheet!$A:$R,18,0)</f>
        <v>-0.16899999999999998</v>
      </c>
      <c r="AD74" s="10">
        <f>VLOOKUP(A:A,[1]TDSheet!$A:$AB,28,0)</f>
        <v>0</v>
      </c>
      <c r="AE74" s="10">
        <f t="shared" si="9"/>
        <v>0</v>
      </c>
      <c r="AF74" s="10">
        <f t="shared" si="10"/>
        <v>0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</row>
    <row r="75" spans="1:83" ht="11.1" customHeight="1" x14ac:dyDescent="0.2">
      <c r="A75" s="8" t="s">
        <v>75</v>
      </c>
      <c r="B75" s="8" t="s">
        <v>10</v>
      </c>
      <c r="C75" s="8">
        <f>VLOOKUP(A:A,[1]TDSheet!$A:$C,3,0)</f>
        <v>7147</v>
      </c>
      <c r="D75" s="9">
        <v>12</v>
      </c>
      <c r="E75" s="9">
        <v>16</v>
      </c>
      <c r="F75" s="9">
        <v>15</v>
      </c>
      <c r="G75" s="9">
        <v>9</v>
      </c>
      <c r="H75" s="23">
        <f>VLOOKUP(A:A,[1]TDSheet!$A:$H,8,0)</f>
        <v>0.22</v>
      </c>
      <c r="I75" s="10">
        <f>VLOOKUP(A:A,[1]TDSheet!$A:$I,9,0)</f>
        <v>120</v>
      </c>
      <c r="J75" s="10" t="str">
        <f>VLOOKUP(A:A,[1]TDSheet!$A:$J,10,0)</f>
        <v>ВНИМАНИЕ / в матрице</v>
      </c>
      <c r="K75" s="10"/>
      <c r="L75" s="10">
        <f>VLOOKUP(A:A,[2]TDSheet!$A:$B,2,0)</f>
        <v>16</v>
      </c>
      <c r="M75" s="10">
        <f t="shared" si="3"/>
        <v>-1</v>
      </c>
      <c r="N75" s="10"/>
      <c r="O75" s="10"/>
      <c r="P75" s="10">
        <f>VLOOKUP(A:A,[1]TDSheet!$A:$S,19,0)</f>
        <v>0</v>
      </c>
      <c r="Q75" s="10">
        <v>0</v>
      </c>
      <c r="R75" s="10">
        <f t="shared" si="4"/>
        <v>3</v>
      </c>
      <c r="S75" s="24">
        <v>24</v>
      </c>
      <c r="T75" s="24">
        <f t="shared" si="5"/>
        <v>12</v>
      </c>
      <c r="U75" s="24">
        <f t="shared" si="6"/>
        <v>12</v>
      </c>
      <c r="V75" s="24">
        <f>VLOOKUP(A:A,[3]TDSheet!$A:$T,20,0)</f>
        <v>24</v>
      </c>
      <c r="W75" s="10">
        <f>VLOOKUP(A:A,[3]TDSheet!$A:$U,21,0)</f>
        <v>0</v>
      </c>
      <c r="X75" s="10">
        <f t="shared" si="7"/>
        <v>11</v>
      </c>
      <c r="Y75" s="10">
        <f t="shared" si="8"/>
        <v>3</v>
      </c>
      <c r="Z75" s="10">
        <f>VLOOKUP(A:A,[1]TDSheet!$A:$Y,25,0)</f>
        <v>2.4</v>
      </c>
      <c r="AA75" s="10">
        <f>VLOOKUP(A:A,[1]TDSheet!$A:$Z,26,0)</f>
        <v>2.4</v>
      </c>
      <c r="AB75" s="10">
        <f>VLOOKUP(A:A,[1]TDSheet!$A:$AA,27,0)</f>
        <v>1.6</v>
      </c>
      <c r="AC75" s="10">
        <f>VLOOKUP(A:A,[1]TDSheet!$A:$R,18,0)</f>
        <v>5.2</v>
      </c>
      <c r="AD75" s="10" t="str">
        <f>VLOOKUP(A:A,[1]TDSheet!$A:$AB,28,0)</f>
        <v>нужно увеличить продажи</v>
      </c>
      <c r="AE75" s="10">
        <f t="shared" si="9"/>
        <v>2.64</v>
      </c>
      <c r="AF75" s="10">
        <f t="shared" si="10"/>
        <v>2.64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</row>
    <row r="76" spans="1:83" ht="11.1" customHeight="1" x14ac:dyDescent="0.2">
      <c r="A76" s="8" t="s">
        <v>76</v>
      </c>
      <c r="B76" s="8" t="s">
        <v>10</v>
      </c>
      <c r="C76" s="8">
        <f>VLOOKUP(A:A,[1]TDSheet!$A:$C,3,0)</f>
        <v>7154</v>
      </c>
      <c r="D76" s="9">
        <v>500</v>
      </c>
      <c r="E76" s="9">
        <v>1398</v>
      </c>
      <c r="F76" s="9">
        <v>883.34400000000005</v>
      </c>
      <c r="G76" s="9">
        <v>919</v>
      </c>
      <c r="H76" s="23">
        <f>VLOOKUP(A:A,[1]TDSheet!$A:$H,8,0)</f>
        <v>0.35</v>
      </c>
      <c r="I76" s="10">
        <f>VLOOKUP(A:A,[1]TDSheet!$A:$I,9,0)</f>
        <v>50</v>
      </c>
      <c r="J76" s="10" t="str">
        <f>VLOOKUP(A:A,[1]TDSheet!$A:$J,10,0)</f>
        <v>ВНИМАНИЕ / в матрице</v>
      </c>
      <c r="K76" s="10"/>
      <c r="L76" s="10">
        <f>VLOOKUP(A:A,[2]TDSheet!$A:$B,2,0)</f>
        <v>900</v>
      </c>
      <c r="M76" s="10">
        <f t="shared" ref="M76:M100" si="11">F76-L76</f>
        <v>-16.655999999999949</v>
      </c>
      <c r="N76" s="10"/>
      <c r="O76" s="10"/>
      <c r="P76" s="10">
        <f>VLOOKUP(A:A,[1]TDSheet!$A:$S,19,0)</f>
        <v>195</v>
      </c>
      <c r="Q76" s="10">
        <v>195</v>
      </c>
      <c r="R76" s="10">
        <f t="shared" ref="R76:R100" si="12">F76/5</f>
        <v>176.6688</v>
      </c>
      <c r="S76" s="24">
        <v>1200</v>
      </c>
      <c r="T76" s="24">
        <f t="shared" ref="T76:T100" si="13">ROUND(S76/2,0)</f>
        <v>600</v>
      </c>
      <c r="U76" s="24">
        <f t="shared" ref="U76:U100" si="14">S76-T76</f>
        <v>600</v>
      </c>
      <c r="V76" s="24"/>
      <c r="W76" s="10">
        <f>VLOOKUP(A:A,[3]TDSheet!$A:$U,21,0)</f>
        <v>0</v>
      </c>
      <c r="X76" s="10">
        <f t="shared" ref="X76:X100" si="15">(G76+P76+Q76+S76)/R76</f>
        <v>14.201715300041659</v>
      </c>
      <c r="Y76" s="10">
        <f t="shared" ref="Y76:Y100" si="16">G76/R76</f>
        <v>5.2018239779746054</v>
      </c>
      <c r="Z76" s="10">
        <f>VLOOKUP(A:A,[1]TDSheet!$A:$Y,25,0)</f>
        <v>152.4</v>
      </c>
      <c r="AA76" s="10">
        <f>VLOOKUP(A:A,[1]TDSheet!$A:$Z,26,0)</f>
        <v>142.6</v>
      </c>
      <c r="AB76" s="10">
        <f>VLOOKUP(A:A,[1]TDSheet!$A:$AA,27,0)</f>
        <v>166</v>
      </c>
      <c r="AC76" s="10">
        <f>VLOOKUP(A:A,[1]TDSheet!$A:$R,18,0)</f>
        <v>139</v>
      </c>
      <c r="AD76" s="10" t="str">
        <f>VLOOKUP(A:A,[1]TDSheet!$A:$AB,28,0)</f>
        <v>ТС Обжора</v>
      </c>
      <c r="AE76" s="10">
        <f t="shared" ref="AE76:AE100" si="17">T76*H76</f>
        <v>210</v>
      </c>
      <c r="AF76" s="10">
        <f t="shared" ref="AF76:AF100" si="18">U76*H76</f>
        <v>210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</row>
    <row r="77" spans="1:83" ht="11.1" customHeight="1" x14ac:dyDescent="0.2">
      <c r="A77" s="8" t="s">
        <v>77</v>
      </c>
      <c r="B77" s="8" t="s">
        <v>12</v>
      </c>
      <c r="C77" s="8">
        <f>VLOOKUP(A:A,[1]TDSheet!$A:$C,3,0)</f>
        <v>7157</v>
      </c>
      <c r="D77" s="9">
        <v>216.76</v>
      </c>
      <c r="E77" s="9">
        <v>65.977999999999994</v>
      </c>
      <c r="F77" s="9">
        <v>122.435</v>
      </c>
      <c r="G77" s="9">
        <v>153.51</v>
      </c>
      <c r="H77" s="23">
        <f>VLOOKUP(A:A,[1]TDSheet!$A:$H,8,0)</f>
        <v>1</v>
      </c>
      <c r="I77" s="10">
        <f>VLOOKUP(A:A,[1]TDSheet!$A:$I,9,0)</f>
        <v>50</v>
      </c>
      <c r="J77" s="10" t="str">
        <f>VLOOKUP(A:A,[1]TDSheet!$A:$J,10,0)</f>
        <v>в матрице</v>
      </c>
      <c r="K77" s="10"/>
      <c r="L77" s="10">
        <f>VLOOKUP(A:A,[2]TDSheet!$A:$B,2,0)</f>
        <v>121.447</v>
      </c>
      <c r="M77" s="10">
        <f t="shared" si="11"/>
        <v>0.98799999999999955</v>
      </c>
      <c r="N77" s="10"/>
      <c r="O77" s="10"/>
      <c r="P77" s="10">
        <f>VLOOKUP(A:A,[1]TDSheet!$A:$S,19,0)</f>
        <v>30</v>
      </c>
      <c r="Q77" s="10">
        <v>30</v>
      </c>
      <c r="R77" s="10">
        <f t="shared" si="12"/>
        <v>24.487000000000002</v>
      </c>
      <c r="S77" s="24">
        <v>120</v>
      </c>
      <c r="T77" s="24">
        <f t="shared" si="13"/>
        <v>60</v>
      </c>
      <c r="U77" s="24">
        <f t="shared" si="14"/>
        <v>60</v>
      </c>
      <c r="V77" s="24"/>
      <c r="W77" s="10">
        <f>VLOOKUP(A:A,[3]TDSheet!$A:$U,21,0)</f>
        <v>0</v>
      </c>
      <c r="X77" s="10">
        <f t="shared" si="15"/>
        <v>13.619879936292726</v>
      </c>
      <c r="Y77" s="10">
        <f t="shared" si="16"/>
        <v>6.2690407154816832</v>
      </c>
      <c r="Z77" s="10">
        <f>VLOOKUP(A:A,[1]TDSheet!$A:$Y,25,0)</f>
        <v>16.852399999999999</v>
      </c>
      <c r="AA77" s="10">
        <f>VLOOKUP(A:A,[1]TDSheet!$A:$Z,26,0)</f>
        <v>27.894400000000001</v>
      </c>
      <c r="AB77" s="10">
        <f>VLOOKUP(A:A,[1]TDSheet!$A:$AA,27,0)</f>
        <v>17.2348</v>
      </c>
      <c r="AC77" s="10">
        <f>VLOOKUP(A:A,[1]TDSheet!$A:$R,18,0)</f>
        <v>19.504200000000001</v>
      </c>
      <c r="AD77" s="10">
        <f>VLOOKUP(A:A,[1]TDSheet!$A:$AB,28,0)</f>
        <v>0</v>
      </c>
      <c r="AE77" s="10">
        <f t="shared" si="17"/>
        <v>60</v>
      </c>
      <c r="AF77" s="10">
        <f t="shared" si="18"/>
        <v>60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</row>
    <row r="78" spans="1:83" ht="11.1" customHeight="1" x14ac:dyDescent="0.2">
      <c r="A78" s="8" t="s">
        <v>78</v>
      </c>
      <c r="B78" s="8" t="s">
        <v>10</v>
      </c>
      <c r="C78" s="8">
        <f>VLOOKUP(A:A,[1]TDSheet!$A:$C,3,0)</f>
        <v>7163</v>
      </c>
      <c r="D78" s="9">
        <v>14</v>
      </c>
      <c r="E78" s="9"/>
      <c r="F78" s="9">
        <v>0</v>
      </c>
      <c r="G78" s="9">
        <v>14</v>
      </c>
      <c r="H78" s="23">
        <f>VLOOKUP(A:A,[1]TDSheet!$A:$H,8,0)</f>
        <v>0.62</v>
      </c>
      <c r="I78" s="10">
        <f>VLOOKUP(A:A,[1]TDSheet!$A:$I,9,0)</f>
        <v>0</v>
      </c>
      <c r="J78" s="10" t="e">
        <f>VLOOKUP(A:A,[1]TDSheet!$A:$J,10,0)</f>
        <v>#N/A</v>
      </c>
      <c r="K78" s="10"/>
      <c r="L78" s="10">
        <f>VLOOKUP(A:A,[2]TDSheet!$A:$B,2,0)</f>
        <v>6.22</v>
      </c>
      <c r="M78" s="10">
        <f t="shared" si="11"/>
        <v>-6.22</v>
      </c>
      <c r="N78" s="10"/>
      <c r="O78" s="10"/>
      <c r="P78" s="10">
        <f>VLOOKUP(A:A,[1]TDSheet!$A:$S,19,0)</f>
        <v>0</v>
      </c>
      <c r="Q78" s="10">
        <v>0</v>
      </c>
      <c r="R78" s="10">
        <f t="shared" si="12"/>
        <v>0</v>
      </c>
      <c r="S78" s="24"/>
      <c r="T78" s="24">
        <f t="shared" si="13"/>
        <v>0</v>
      </c>
      <c r="U78" s="24">
        <f t="shared" si="14"/>
        <v>0</v>
      </c>
      <c r="V78" s="24"/>
      <c r="W78" s="10">
        <f>VLOOKUP(A:A,[3]TDSheet!$A:$U,21,0)</f>
        <v>0</v>
      </c>
      <c r="X78" s="10" t="e">
        <f t="shared" si="15"/>
        <v>#DIV/0!</v>
      </c>
      <c r="Y78" s="10" t="e">
        <f t="shared" si="16"/>
        <v>#DIV/0!</v>
      </c>
      <c r="Z78" s="10">
        <f>VLOOKUP(A:A,[1]TDSheet!$A:$Y,25,0)</f>
        <v>0</v>
      </c>
      <c r="AA78" s="10">
        <f>VLOOKUP(A:A,[1]TDSheet!$A:$Z,26,0)</f>
        <v>0</v>
      </c>
      <c r="AB78" s="10">
        <f>VLOOKUP(A:A,[1]TDSheet!$A:$AA,27,0)</f>
        <v>0</v>
      </c>
      <c r="AC78" s="10">
        <f>VLOOKUP(A:A,[1]TDSheet!$A:$R,18,0)</f>
        <v>0</v>
      </c>
      <c r="AD78" s="10" t="e">
        <f>VLOOKUP(A:A,[1]TDSheet!$A:$AB,28,0)</f>
        <v>#N/A</v>
      </c>
      <c r="AE78" s="10">
        <f t="shared" si="17"/>
        <v>0</v>
      </c>
      <c r="AF78" s="10">
        <f t="shared" si="18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</row>
    <row r="79" spans="1:83" ht="11.1" customHeight="1" x14ac:dyDescent="0.2">
      <c r="A79" s="8" t="s">
        <v>79</v>
      </c>
      <c r="B79" s="8" t="s">
        <v>12</v>
      </c>
      <c r="C79" s="8">
        <f>VLOOKUP(A:A,[1]TDSheet!$A:$C,3,0)</f>
        <v>7166</v>
      </c>
      <c r="D79" s="9">
        <v>273.642</v>
      </c>
      <c r="E79" s="9">
        <v>491.245</v>
      </c>
      <c r="F79" s="9">
        <v>388.30700000000002</v>
      </c>
      <c r="G79" s="9">
        <v>300.95499999999998</v>
      </c>
      <c r="H79" s="23">
        <f>VLOOKUP(A:A,[1]TDSheet!$A:$H,8,0)</f>
        <v>1</v>
      </c>
      <c r="I79" s="10">
        <f>VLOOKUP(A:A,[1]TDSheet!$A:$I,9,0)</f>
        <v>50</v>
      </c>
      <c r="J79" s="10" t="str">
        <f>VLOOKUP(A:A,[1]TDSheet!$A:$J,10,0)</f>
        <v>в матрице</v>
      </c>
      <c r="K79" s="10"/>
      <c r="L79" s="10">
        <f>VLOOKUP(A:A,[2]TDSheet!$A:$B,2,0)</f>
        <v>388.24299999999999</v>
      </c>
      <c r="M79" s="10">
        <f t="shared" si="11"/>
        <v>6.4000000000021373E-2</v>
      </c>
      <c r="N79" s="10"/>
      <c r="O79" s="10"/>
      <c r="P79" s="10">
        <f>VLOOKUP(A:A,[1]TDSheet!$A:$S,19,0)</f>
        <v>280</v>
      </c>
      <c r="Q79" s="10">
        <v>280</v>
      </c>
      <c r="R79" s="10">
        <f t="shared" si="12"/>
        <v>77.6614</v>
      </c>
      <c r="S79" s="24">
        <v>220</v>
      </c>
      <c r="T79" s="24">
        <f t="shared" si="13"/>
        <v>110</v>
      </c>
      <c r="U79" s="24">
        <f t="shared" si="14"/>
        <v>110</v>
      </c>
      <c r="V79" s="24"/>
      <c r="W79" s="10">
        <f>VLOOKUP(A:A,[3]TDSheet!$A:$U,21,0)</f>
        <v>0</v>
      </c>
      <c r="X79" s="10">
        <f t="shared" si="15"/>
        <v>13.918819387752473</v>
      </c>
      <c r="Y79" s="10">
        <f t="shared" si="16"/>
        <v>3.8752198646946874</v>
      </c>
      <c r="Z79" s="10">
        <f>VLOOKUP(A:A,[1]TDSheet!$A:$Y,25,0)</f>
        <v>51.933399999999992</v>
      </c>
      <c r="AA79" s="10">
        <f>VLOOKUP(A:A,[1]TDSheet!$A:$Z,26,0)</f>
        <v>61.083799999999997</v>
      </c>
      <c r="AB79" s="10">
        <f>VLOOKUP(A:A,[1]TDSheet!$A:$AA,27,0)</f>
        <v>50.800599999999996</v>
      </c>
      <c r="AC79" s="10">
        <f>VLOOKUP(A:A,[1]TDSheet!$A:$R,18,0)</f>
        <v>63.891399999999997</v>
      </c>
      <c r="AD79" s="10">
        <f>VLOOKUP(A:A,[1]TDSheet!$A:$AB,28,0)</f>
        <v>0</v>
      </c>
      <c r="AE79" s="10">
        <f t="shared" si="17"/>
        <v>110</v>
      </c>
      <c r="AF79" s="10">
        <f t="shared" si="18"/>
        <v>110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</row>
    <row r="80" spans="1:83" ht="11.1" customHeight="1" x14ac:dyDescent="0.2">
      <c r="A80" s="8" t="s">
        <v>80</v>
      </c>
      <c r="B80" s="8" t="s">
        <v>10</v>
      </c>
      <c r="C80" s="8">
        <f>VLOOKUP(A:A,[1]TDSheet!$A:$C,3,0)</f>
        <v>7169</v>
      </c>
      <c r="D80" s="9">
        <v>2336</v>
      </c>
      <c r="E80" s="9">
        <v>276</v>
      </c>
      <c r="F80" s="9">
        <v>867</v>
      </c>
      <c r="G80" s="9">
        <v>1624</v>
      </c>
      <c r="H80" s="23">
        <f>VLOOKUP(A:A,[1]TDSheet!$A:$H,8,0)</f>
        <v>0.35</v>
      </c>
      <c r="I80" s="10">
        <f>VLOOKUP(A:A,[1]TDSheet!$A:$I,9,0)</f>
        <v>50</v>
      </c>
      <c r="J80" s="10" t="str">
        <f>VLOOKUP(A:A,[1]TDSheet!$A:$J,10,0)</f>
        <v>в матрице</v>
      </c>
      <c r="K80" s="10"/>
      <c r="L80" s="10">
        <f>VLOOKUP(A:A,[2]TDSheet!$A:$B,2,0)</f>
        <v>890.7</v>
      </c>
      <c r="M80" s="10">
        <f t="shared" si="11"/>
        <v>-23.700000000000045</v>
      </c>
      <c r="N80" s="10"/>
      <c r="O80" s="10"/>
      <c r="P80" s="10">
        <f>VLOOKUP(A:A,[1]TDSheet!$A:$S,19,0)</f>
        <v>0</v>
      </c>
      <c r="Q80" s="10">
        <v>0</v>
      </c>
      <c r="R80" s="10">
        <f t="shared" si="12"/>
        <v>173.4</v>
      </c>
      <c r="S80" s="24">
        <v>800</v>
      </c>
      <c r="T80" s="24">
        <f t="shared" si="13"/>
        <v>400</v>
      </c>
      <c r="U80" s="24">
        <f t="shared" si="14"/>
        <v>400</v>
      </c>
      <c r="V80" s="24"/>
      <c r="W80" s="10">
        <f>VLOOKUP(A:A,[3]TDSheet!$A:$U,21,0)</f>
        <v>0</v>
      </c>
      <c r="X80" s="10">
        <f t="shared" si="15"/>
        <v>13.979238754325259</v>
      </c>
      <c r="Y80" s="10">
        <f t="shared" si="16"/>
        <v>9.3656286043829287</v>
      </c>
      <c r="Z80" s="10">
        <f>VLOOKUP(A:A,[1]TDSheet!$A:$Y,25,0)</f>
        <v>162.80000000000001</v>
      </c>
      <c r="AA80" s="10">
        <f>VLOOKUP(A:A,[1]TDSheet!$A:$Z,26,0)</f>
        <v>250.2</v>
      </c>
      <c r="AB80" s="10">
        <f>VLOOKUP(A:A,[1]TDSheet!$A:$AA,27,0)</f>
        <v>195.6</v>
      </c>
      <c r="AC80" s="10">
        <f>VLOOKUP(A:A,[1]TDSheet!$A:$R,18,0)</f>
        <v>125.8</v>
      </c>
      <c r="AD80" s="10">
        <f>VLOOKUP(A:A,[1]TDSheet!$A:$AB,28,0)</f>
        <v>0</v>
      </c>
      <c r="AE80" s="10">
        <f t="shared" si="17"/>
        <v>140</v>
      </c>
      <c r="AF80" s="10">
        <f t="shared" si="18"/>
        <v>140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</row>
    <row r="81" spans="1:83" ht="11.1" customHeight="1" x14ac:dyDescent="0.2">
      <c r="A81" s="8" t="s">
        <v>81</v>
      </c>
      <c r="B81" s="8" t="s">
        <v>10</v>
      </c>
      <c r="C81" s="8">
        <f>VLOOKUP(A:A,[1]TDSheet!$A:$C,3,0)</f>
        <v>7187</v>
      </c>
      <c r="D81" s="9">
        <v>45</v>
      </c>
      <c r="E81" s="9">
        <v>140</v>
      </c>
      <c r="F81" s="9">
        <v>110</v>
      </c>
      <c r="G81" s="9">
        <v>61</v>
      </c>
      <c r="H81" s="23">
        <f>VLOOKUP(A:A,[1]TDSheet!$A:$H,8,0)</f>
        <v>0.3</v>
      </c>
      <c r="I81" s="10">
        <f>VLOOKUP(A:A,[1]TDSheet!$A:$I,9,0)</f>
        <v>50</v>
      </c>
      <c r="J81" s="10" t="str">
        <f>VLOOKUP(A:A,[1]TDSheet!$A:$J,10,0)</f>
        <v>ВНИМАНИЕ / в матрице</v>
      </c>
      <c r="K81" s="10"/>
      <c r="L81" s="10">
        <f>VLOOKUP(A:A,[2]TDSheet!$A:$B,2,0)</f>
        <v>117</v>
      </c>
      <c r="M81" s="10">
        <f t="shared" si="11"/>
        <v>-7</v>
      </c>
      <c r="N81" s="10"/>
      <c r="O81" s="10"/>
      <c r="P81" s="10">
        <f>VLOOKUP(A:A,[1]TDSheet!$A:$S,19,0)</f>
        <v>35</v>
      </c>
      <c r="Q81" s="10">
        <v>35</v>
      </c>
      <c r="R81" s="10">
        <f t="shared" si="12"/>
        <v>22</v>
      </c>
      <c r="S81" s="24">
        <v>160</v>
      </c>
      <c r="T81" s="24">
        <f t="shared" si="13"/>
        <v>80</v>
      </c>
      <c r="U81" s="24">
        <f t="shared" si="14"/>
        <v>80</v>
      </c>
      <c r="V81" s="24"/>
      <c r="W81" s="10">
        <f>VLOOKUP(A:A,[3]TDSheet!$A:$U,21,0)</f>
        <v>0</v>
      </c>
      <c r="X81" s="10">
        <f t="shared" si="15"/>
        <v>13.227272727272727</v>
      </c>
      <c r="Y81" s="10">
        <f t="shared" si="16"/>
        <v>2.7727272727272729</v>
      </c>
      <c r="Z81" s="10">
        <f>VLOOKUP(A:A,[1]TDSheet!$A:$Y,25,0)</f>
        <v>17.8</v>
      </c>
      <c r="AA81" s="10">
        <f>VLOOKUP(A:A,[1]TDSheet!$A:$Z,26,0)</f>
        <v>15.4</v>
      </c>
      <c r="AB81" s="10">
        <f>VLOOKUP(A:A,[1]TDSheet!$A:$AA,27,0)</f>
        <v>17.2</v>
      </c>
      <c r="AC81" s="10">
        <f>VLOOKUP(A:A,[1]TDSheet!$A:$R,18,0)</f>
        <v>16.2</v>
      </c>
      <c r="AD81" s="10">
        <f>VLOOKUP(A:A,[1]TDSheet!$A:$AB,28,0)</f>
        <v>0</v>
      </c>
      <c r="AE81" s="10">
        <f t="shared" si="17"/>
        <v>24</v>
      </c>
      <c r="AF81" s="10">
        <f t="shared" si="18"/>
        <v>24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</row>
    <row r="82" spans="1:83" ht="11.1" customHeight="1" x14ac:dyDescent="0.2">
      <c r="A82" s="25" t="s">
        <v>82</v>
      </c>
      <c r="B82" s="25" t="s">
        <v>10</v>
      </c>
      <c r="C82" s="25">
        <f>VLOOKUP(A:A,[1]TDSheet!$A:$C,3,0)</f>
        <v>7216</v>
      </c>
      <c r="D82" s="26">
        <v>41</v>
      </c>
      <c r="E82" s="26"/>
      <c r="F82" s="26">
        <v>5</v>
      </c>
      <c r="G82" s="26">
        <v>36</v>
      </c>
      <c r="H82" s="27">
        <f>VLOOKUP(A:A,[1]TDSheet!$A:$H,8,0)</f>
        <v>0.7</v>
      </c>
      <c r="I82" s="28" t="e">
        <f>VLOOKUP(A:A,[1]TDSheet!$A:$I,9,0)</f>
        <v>#N/A</v>
      </c>
      <c r="J82" s="28" t="e">
        <f>VLOOKUP(A:A,[1]TDSheet!$A:$J,10,0)</f>
        <v>#N/A</v>
      </c>
      <c r="K82" s="10"/>
      <c r="L82" s="10">
        <f>VLOOKUP(A:A,[2]TDSheet!$A:$B,2,0)</f>
        <v>87</v>
      </c>
      <c r="M82" s="10">
        <f t="shared" si="11"/>
        <v>-82</v>
      </c>
      <c r="N82" s="10"/>
      <c r="O82" s="10"/>
      <c r="P82" s="10">
        <f>VLOOKUP(A:A,[1]TDSheet!$A:$S,19,0)</f>
        <v>75</v>
      </c>
      <c r="Q82" s="10">
        <v>75</v>
      </c>
      <c r="R82" s="10">
        <f t="shared" si="12"/>
        <v>1</v>
      </c>
      <c r="S82" s="24"/>
      <c r="T82" s="24">
        <f t="shared" si="13"/>
        <v>0</v>
      </c>
      <c r="U82" s="24">
        <f t="shared" si="14"/>
        <v>0</v>
      </c>
      <c r="V82" s="24"/>
      <c r="W82" s="10">
        <f>VLOOKUP(A:A,[3]TDSheet!$A:$U,21,0)</f>
        <v>0</v>
      </c>
      <c r="X82" s="10">
        <f t="shared" si="15"/>
        <v>186</v>
      </c>
      <c r="Y82" s="10">
        <f t="shared" si="16"/>
        <v>36</v>
      </c>
      <c r="Z82" s="10">
        <f>VLOOKUP(A:A,[1]TDSheet!$A:$Y,25,0)</f>
        <v>0</v>
      </c>
      <c r="AA82" s="10">
        <f>VLOOKUP(A:A,[1]TDSheet!$A:$Z,26,0)</f>
        <v>0</v>
      </c>
      <c r="AB82" s="10">
        <f>VLOOKUP(A:A,[1]TDSheet!$A:$AA,27,0)</f>
        <v>0</v>
      </c>
      <c r="AC82" s="10">
        <f>VLOOKUP(A:A,[1]TDSheet!$A:$R,18,0)</f>
        <v>17.8</v>
      </c>
      <c r="AD82" s="10" t="e">
        <f>VLOOKUP(A:A,[1]TDSheet!$A:$AB,28,0)</f>
        <v>#N/A</v>
      </c>
      <c r="AE82" s="10">
        <f t="shared" si="17"/>
        <v>0</v>
      </c>
      <c r="AF82" s="10">
        <f t="shared" si="18"/>
        <v>0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</row>
    <row r="83" spans="1:83" ht="11.1" customHeight="1" x14ac:dyDescent="0.2">
      <c r="A83" s="8" t="s">
        <v>83</v>
      </c>
      <c r="B83" s="8" t="s">
        <v>10</v>
      </c>
      <c r="C83" s="8">
        <f>VLOOKUP(A:A,[1]TDSheet!$A:$C,3,0)</f>
        <v>7231</v>
      </c>
      <c r="D83" s="9">
        <v>190</v>
      </c>
      <c r="E83" s="9"/>
      <c r="F83" s="9">
        <v>75</v>
      </c>
      <c r="G83" s="9">
        <v>111</v>
      </c>
      <c r="H83" s="23">
        <f>VLOOKUP(A:A,[1]TDSheet!$A:$H,8,0)</f>
        <v>0.3</v>
      </c>
      <c r="I83" s="10">
        <f>VLOOKUP(A:A,[1]TDSheet!$A:$I,9,0)</f>
        <v>60</v>
      </c>
      <c r="J83" s="10" t="str">
        <f>VLOOKUP(A:A,[1]TDSheet!$A:$J,10,0)</f>
        <v>в матрице</v>
      </c>
      <c r="K83" s="10"/>
      <c r="L83" s="10">
        <f>VLOOKUP(A:A,[2]TDSheet!$A:$B,2,0)</f>
        <v>81</v>
      </c>
      <c r="M83" s="10">
        <f t="shared" si="11"/>
        <v>-6</v>
      </c>
      <c r="N83" s="10"/>
      <c r="O83" s="10"/>
      <c r="P83" s="10">
        <f>VLOOKUP(A:A,[1]TDSheet!$A:$S,19,0)</f>
        <v>0</v>
      </c>
      <c r="Q83" s="10">
        <v>0</v>
      </c>
      <c r="R83" s="10">
        <f t="shared" si="12"/>
        <v>15</v>
      </c>
      <c r="S83" s="24">
        <v>100</v>
      </c>
      <c r="T83" s="24">
        <f t="shared" si="13"/>
        <v>50</v>
      </c>
      <c r="U83" s="24">
        <f t="shared" si="14"/>
        <v>50</v>
      </c>
      <c r="V83" s="24"/>
      <c r="W83" s="10">
        <f>VLOOKUP(A:A,[3]TDSheet!$A:$U,21,0)</f>
        <v>0</v>
      </c>
      <c r="X83" s="10">
        <f t="shared" si="15"/>
        <v>14.066666666666666</v>
      </c>
      <c r="Y83" s="10">
        <f t="shared" si="16"/>
        <v>7.4</v>
      </c>
      <c r="Z83" s="10">
        <f>VLOOKUP(A:A,[1]TDSheet!$A:$Y,25,0)</f>
        <v>7.6</v>
      </c>
      <c r="AA83" s="10">
        <f>VLOOKUP(A:A,[1]TDSheet!$A:$Z,26,0)</f>
        <v>19</v>
      </c>
      <c r="AB83" s="10">
        <f>VLOOKUP(A:A,[1]TDSheet!$A:$AA,27,0)</f>
        <v>10.199999999999999</v>
      </c>
      <c r="AC83" s="10">
        <f>VLOOKUP(A:A,[1]TDSheet!$A:$R,18,0)</f>
        <v>9.6</v>
      </c>
      <c r="AD83" s="10">
        <f>VLOOKUP(A:A,[1]TDSheet!$A:$AB,28,0)</f>
        <v>0</v>
      </c>
      <c r="AE83" s="10">
        <f t="shared" si="17"/>
        <v>15</v>
      </c>
      <c r="AF83" s="10">
        <f t="shared" si="18"/>
        <v>15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</row>
    <row r="84" spans="1:83" ht="11.1" customHeight="1" x14ac:dyDescent="0.2">
      <c r="A84" s="8" t="s">
        <v>84</v>
      </c>
      <c r="B84" s="8" t="s">
        <v>10</v>
      </c>
      <c r="C84" s="8">
        <f>VLOOKUP(A:A,[1]TDSheet!$A:$C,3,0)</f>
        <v>7232</v>
      </c>
      <c r="D84" s="9">
        <v>129</v>
      </c>
      <c r="E84" s="9">
        <v>248</v>
      </c>
      <c r="F84" s="9">
        <v>163</v>
      </c>
      <c r="G84" s="9">
        <v>188</v>
      </c>
      <c r="H84" s="23">
        <f>VLOOKUP(A:A,[1]TDSheet!$A:$H,8,0)</f>
        <v>0.28000000000000003</v>
      </c>
      <c r="I84" s="10">
        <f>VLOOKUP(A:A,[1]TDSheet!$A:$I,9,0)</f>
        <v>50</v>
      </c>
      <c r="J84" s="10" t="str">
        <f>VLOOKUP(A:A,[1]TDSheet!$A:$J,10,0)</f>
        <v>в матрице</v>
      </c>
      <c r="K84" s="10"/>
      <c r="L84" s="10">
        <f>VLOOKUP(A:A,[2]TDSheet!$A:$B,2,0)</f>
        <v>165</v>
      </c>
      <c r="M84" s="10">
        <f t="shared" si="11"/>
        <v>-2</v>
      </c>
      <c r="N84" s="10"/>
      <c r="O84" s="10"/>
      <c r="P84" s="10">
        <f>VLOOKUP(A:A,[1]TDSheet!$A:$S,19,0)</f>
        <v>170</v>
      </c>
      <c r="Q84" s="10">
        <v>170</v>
      </c>
      <c r="R84" s="10">
        <f t="shared" si="12"/>
        <v>32.6</v>
      </c>
      <c r="S84" s="24"/>
      <c r="T84" s="24">
        <f t="shared" si="13"/>
        <v>0</v>
      </c>
      <c r="U84" s="24">
        <f t="shared" si="14"/>
        <v>0</v>
      </c>
      <c r="V84" s="24"/>
      <c r="W84" s="10">
        <f>VLOOKUP(A:A,[3]TDSheet!$A:$U,21,0)</f>
        <v>0</v>
      </c>
      <c r="X84" s="10">
        <f t="shared" si="15"/>
        <v>16.196319018404907</v>
      </c>
      <c r="Y84" s="10">
        <f t="shared" si="16"/>
        <v>5.7668711656441713</v>
      </c>
      <c r="Z84" s="10">
        <f>VLOOKUP(A:A,[1]TDSheet!$A:$Y,25,0)</f>
        <v>18.8</v>
      </c>
      <c r="AA84" s="10">
        <f>VLOOKUP(A:A,[1]TDSheet!$A:$Z,26,0)</f>
        <v>33.6</v>
      </c>
      <c r="AB84" s="10">
        <f>VLOOKUP(A:A,[1]TDSheet!$A:$AA,27,0)</f>
        <v>27</v>
      </c>
      <c r="AC84" s="10">
        <f>VLOOKUP(A:A,[1]TDSheet!$A:$R,18,0)</f>
        <v>37</v>
      </c>
      <c r="AD84" s="10" t="str">
        <f>VLOOKUP(A:A,[1]TDSheet!$A:$AB,28,0)</f>
        <v>Обжора / Паллет</v>
      </c>
      <c r="AE84" s="10">
        <f t="shared" si="17"/>
        <v>0</v>
      </c>
      <c r="AF84" s="10">
        <f t="shared" si="18"/>
        <v>0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</row>
    <row r="85" spans="1:83" ht="11.1" customHeight="1" x14ac:dyDescent="0.2">
      <c r="A85" s="8" t="s">
        <v>85</v>
      </c>
      <c r="B85" s="8" t="s">
        <v>10</v>
      </c>
      <c r="C85" s="8">
        <f>VLOOKUP(A:A,[1]TDSheet!$A:$C,3,0)</f>
        <v>7236</v>
      </c>
      <c r="D85" s="9">
        <v>204</v>
      </c>
      <c r="E85" s="9">
        <v>291</v>
      </c>
      <c r="F85" s="9">
        <v>302</v>
      </c>
      <c r="G85" s="9">
        <v>138</v>
      </c>
      <c r="H85" s="23">
        <f>VLOOKUP(A:A,[1]TDSheet!$A:$H,8,0)</f>
        <v>0.28000000000000003</v>
      </c>
      <c r="I85" s="10">
        <f>VLOOKUP(A:A,[1]TDSheet!$A:$I,9,0)</f>
        <v>45</v>
      </c>
      <c r="J85" s="10" t="str">
        <f>VLOOKUP(A:A,[1]TDSheet!$A:$J,10,0)</f>
        <v>в матрице</v>
      </c>
      <c r="K85" s="10"/>
      <c r="L85" s="10">
        <f>VLOOKUP(A:A,[2]TDSheet!$A:$B,2,0)</f>
        <v>336</v>
      </c>
      <c r="M85" s="10">
        <f t="shared" si="11"/>
        <v>-34</v>
      </c>
      <c r="N85" s="10"/>
      <c r="O85" s="10"/>
      <c r="P85" s="10">
        <f>VLOOKUP(A:A,[1]TDSheet!$A:$S,19,0)</f>
        <v>25</v>
      </c>
      <c r="Q85" s="10">
        <v>25</v>
      </c>
      <c r="R85" s="10">
        <f t="shared" si="12"/>
        <v>60.4</v>
      </c>
      <c r="S85" s="24">
        <v>660</v>
      </c>
      <c r="T85" s="24">
        <f t="shared" si="13"/>
        <v>330</v>
      </c>
      <c r="U85" s="24">
        <f t="shared" si="14"/>
        <v>330</v>
      </c>
      <c r="V85" s="24"/>
      <c r="W85" s="10">
        <f>VLOOKUP(A:A,[3]TDSheet!$A:$U,21,0)</f>
        <v>0</v>
      </c>
      <c r="X85" s="10">
        <f t="shared" si="15"/>
        <v>14.039735099337749</v>
      </c>
      <c r="Y85" s="10">
        <f t="shared" si="16"/>
        <v>2.2847682119205297</v>
      </c>
      <c r="Z85" s="10">
        <f>VLOOKUP(A:A,[1]TDSheet!$A:$Y,25,0)</f>
        <v>40.799999999999997</v>
      </c>
      <c r="AA85" s="10">
        <f>VLOOKUP(A:A,[1]TDSheet!$A:$Z,26,0)</f>
        <v>41.2</v>
      </c>
      <c r="AB85" s="10">
        <f>VLOOKUP(A:A,[1]TDSheet!$A:$AA,27,0)</f>
        <v>42.6</v>
      </c>
      <c r="AC85" s="10">
        <f>VLOOKUP(A:A,[1]TDSheet!$A:$R,18,0)</f>
        <v>22.4</v>
      </c>
      <c r="AD85" s="10" t="str">
        <f>VLOOKUP(A:A,[1]TDSheet!$A:$AB,28,0)</f>
        <v>Обжора / Паллет</v>
      </c>
      <c r="AE85" s="10">
        <f t="shared" si="17"/>
        <v>92.4</v>
      </c>
      <c r="AF85" s="10">
        <f t="shared" si="18"/>
        <v>92.4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</row>
    <row r="86" spans="1:83" ht="11.1" customHeight="1" x14ac:dyDescent="0.2">
      <c r="A86" s="8" t="s">
        <v>86</v>
      </c>
      <c r="B86" s="8" t="s">
        <v>10</v>
      </c>
      <c r="C86" s="8">
        <f>VLOOKUP(A:A,[1]TDSheet!$A:$C,3,0)</f>
        <v>7237</v>
      </c>
      <c r="D86" s="9">
        <v>-6</v>
      </c>
      <c r="E86" s="9">
        <v>185</v>
      </c>
      <c r="F86" s="9">
        <v>54</v>
      </c>
      <c r="G86" s="9">
        <v>113</v>
      </c>
      <c r="H86" s="23">
        <f>VLOOKUP(A:A,[1]TDSheet!$A:$H,8,0)</f>
        <v>0.28000000000000003</v>
      </c>
      <c r="I86" s="10">
        <f>VLOOKUP(A:A,[1]TDSheet!$A:$I,9,0)</f>
        <v>45</v>
      </c>
      <c r="J86" s="10" t="str">
        <f>VLOOKUP(A:A,[1]TDSheet!$A:$J,10,0)</f>
        <v>в матрице</v>
      </c>
      <c r="K86" s="10"/>
      <c r="L86" s="10">
        <f>VLOOKUP(A:A,[2]TDSheet!$A:$B,2,0)</f>
        <v>64</v>
      </c>
      <c r="M86" s="10">
        <f t="shared" si="11"/>
        <v>-10</v>
      </c>
      <c r="N86" s="10"/>
      <c r="O86" s="10"/>
      <c r="P86" s="10">
        <f>VLOOKUP(A:A,[1]TDSheet!$A:$S,19,0)</f>
        <v>60</v>
      </c>
      <c r="Q86" s="10">
        <v>60</v>
      </c>
      <c r="R86" s="10">
        <f t="shared" si="12"/>
        <v>10.8</v>
      </c>
      <c r="S86" s="24"/>
      <c r="T86" s="24">
        <f t="shared" si="13"/>
        <v>0</v>
      </c>
      <c r="U86" s="24">
        <f t="shared" si="14"/>
        <v>0</v>
      </c>
      <c r="V86" s="24"/>
      <c r="W86" s="10">
        <f>VLOOKUP(A:A,[3]TDSheet!$A:$U,21,0)</f>
        <v>0</v>
      </c>
      <c r="X86" s="10">
        <f t="shared" si="15"/>
        <v>21.574074074074073</v>
      </c>
      <c r="Y86" s="10">
        <f t="shared" si="16"/>
        <v>10.462962962962962</v>
      </c>
      <c r="Z86" s="10">
        <f>VLOOKUP(A:A,[1]TDSheet!$A:$Y,25,0)</f>
        <v>17.600000000000001</v>
      </c>
      <c r="AA86" s="10">
        <f>VLOOKUP(A:A,[1]TDSheet!$A:$Z,26,0)</f>
        <v>12</v>
      </c>
      <c r="AB86" s="10">
        <f>VLOOKUP(A:A,[1]TDSheet!$A:$AA,27,0)</f>
        <v>16.399999999999999</v>
      </c>
      <c r="AC86" s="10">
        <f>VLOOKUP(A:A,[1]TDSheet!$A:$R,18,0)</f>
        <v>18.600000000000001</v>
      </c>
      <c r="AD86" s="10">
        <f>VLOOKUP(A:A,[1]TDSheet!$A:$AB,28,0)</f>
        <v>0</v>
      </c>
      <c r="AE86" s="10">
        <f t="shared" si="17"/>
        <v>0</v>
      </c>
      <c r="AF86" s="10">
        <f t="shared" si="18"/>
        <v>0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</row>
    <row r="87" spans="1:83" ht="11.1" customHeight="1" x14ac:dyDescent="0.2">
      <c r="A87" s="8" t="s">
        <v>87</v>
      </c>
      <c r="B87" s="8" t="s">
        <v>10</v>
      </c>
      <c r="C87" s="8">
        <f>VLOOKUP(A:A,[1]TDSheet!$A:$C,3,0)</f>
        <v>7241</v>
      </c>
      <c r="D87" s="9">
        <v>31</v>
      </c>
      <c r="E87" s="9">
        <v>696</v>
      </c>
      <c r="F87" s="9">
        <v>255</v>
      </c>
      <c r="G87" s="9">
        <v>419</v>
      </c>
      <c r="H87" s="23">
        <f>VLOOKUP(A:A,[1]TDSheet!$A:$H,8,0)</f>
        <v>0.28000000000000003</v>
      </c>
      <c r="I87" s="10">
        <f>VLOOKUP(A:A,[1]TDSheet!$A:$I,9,0)</f>
        <v>45</v>
      </c>
      <c r="J87" s="10" t="str">
        <f>VLOOKUP(A:A,[1]TDSheet!$A:$J,10,0)</f>
        <v>в матрице</v>
      </c>
      <c r="K87" s="10"/>
      <c r="L87" s="10">
        <f>VLOOKUP(A:A,[2]TDSheet!$A:$B,2,0)</f>
        <v>298</v>
      </c>
      <c r="M87" s="10">
        <f t="shared" si="11"/>
        <v>-43</v>
      </c>
      <c r="N87" s="10"/>
      <c r="O87" s="10"/>
      <c r="P87" s="10">
        <f>VLOOKUP(A:A,[1]TDSheet!$A:$S,19,0)</f>
        <v>0</v>
      </c>
      <c r="Q87" s="10">
        <v>0</v>
      </c>
      <c r="R87" s="10">
        <f t="shared" si="12"/>
        <v>51</v>
      </c>
      <c r="S87" s="24">
        <v>300</v>
      </c>
      <c r="T87" s="24">
        <f t="shared" si="13"/>
        <v>150</v>
      </c>
      <c r="U87" s="24">
        <f t="shared" si="14"/>
        <v>150</v>
      </c>
      <c r="V87" s="24"/>
      <c r="W87" s="10">
        <f>VLOOKUP(A:A,[3]TDSheet!$A:$U,21,0)</f>
        <v>0</v>
      </c>
      <c r="X87" s="10">
        <f t="shared" si="15"/>
        <v>14.098039215686274</v>
      </c>
      <c r="Y87" s="10">
        <f t="shared" si="16"/>
        <v>8.2156862745098032</v>
      </c>
      <c r="Z87" s="10">
        <f>VLOOKUP(A:A,[1]TDSheet!$A:$Y,25,0)</f>
        <v>34</v>
      </c>
      <c r="AA87" s="10">
        <f>VLOOKUP(A:A,[1]TDSheet!$A:$Z,26,0)</f>
        <v>10.8</v>
      </c>
      <c r="AB87" s="10">
        <f>VLOOKUP(A:A,[1]TDSheet!$A:$AA,27,0)</f>
        <v>50.6</v>
      </c>
      <c r="AC87" s="10">
        <f>VLOOKUP(A:A,[1]TDSheet!$A:$R,18,0)</f>
        <v>9.1999999999999993</v>
      </c>
      <c r="AD87" s="10" t="str">
        <f>VLOOKUP(A:A,[1]TDSheet!$A:$AB,28,0)</f>
        <v>Обжора / Паллет</v>
      </c>
      <c r="AE87" s="10">
        <f t="shared" si="17"/>
        <v>42.000000000000007</v>
      </c>
      <c r="AF87" s="10">
        <f t="shared" si="18"/>
        <v>42.000000000000007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</row>
    <row r="88" spans="1:83" ht="11.1" customHeight="1" x14ac:dyDescent="0.2">
      <c r="A88" s="8" t="s">
        <v>88</v>
      </c>
      <c r="B88" s="8" t="s">
        <v>10</v>
      </c>
      <c r="C88" s="8">
        <f>VLOOKUP(A:A,[1]TDSheet!$A:$C,3,0)</f>
        <v>7255</v>
      </c>
      <c r="D88" s="9">
        <v>579</v>
      </c>
      <c r="E88" s="9">
        <v>255</v>
      </c>
      <c r="F88" s="9">
        <v>448</v>
      </c>
      <c r="G88" s="9">
        <v>302</v>
      </c>
      <c r="H88" s="23">
        <f>VLOOKUP(A:A,[1]TDSheet!$A:$H,8,0)</f>
        <v>0.4</v>
      </c>
      <c r="I88" s="10">
        <f>VLOOKUP(A:A,[1]TDSheet!$A:$I,9,0)</f>
        <v>50</v>
      </c>
      <c r="J88" s="10" t="str">
        <f>VLOOKUP(A:A,[1]TDSheet!$A:$J,10,0)</f>
        <v>в матрице</v>
      </c>
      <c r="K88" s="10"/>
      <c r="L88" s="10">
        <f>VLOOKUP(A:A,[2]TDSheet!$A:$B,2,0)</f>
        <v>453</v>
      </c>
      <c r="M88" s="10">
        <f t="shared" si="11"/>
        <v>-5</v>
      </c>
      <c r="N88" s="10"/>
      <c r="O88" s="10"/>
      <c r="P88" s="10">
        <f>VLOOKUP(A:A,[1]TDSheet!$A:$S,19,0)</f>
        <v>30</v>
      </c>
      <c r="Q88" s="10">
        <v>30</v>
      </c>
      <c r="R88" s="10">
        <f t="shared" si="12"/>
        <v>89.6</v>
      </c>
      <c r="S88" s="24">
        <v>840</v>
      </c>
      <c r="T88" s="24">
        <f t="shared" si="13"/>
        <v>420</v>
      </c>
      <c r="U88" s="24">
        <f t="shared" si="14"/>
        <v>420</v>
      </c>
      <c r="V88" s="24"/>
      <c r="W88" s="10">
        <f>VLOOKUP(A:A,[3]TDSheet!$A:$U,21,0)</f>
        <v>0</v>
      </c>
      <c r="X88" s="10">
        <f t="shared" si="15"/>
        <v>13.415178571428573</v>
      </c>
      <c r="Y88" s="10">
        <f t="shared" si="16"/>
        <v>3.3705357142857144</v>
      </c>
      <c r="Z88" s="10">
        <f>VLOOKUP(A:A,[1]TDSheet!$A:$Y,25,0)</f>
        <v>57.4</v>
      </c>
      <c r="AA88" s="10">
        <f>VLOOKUP(A:A,[1]TDSheet!$A:$Z,26,0)</f>
        <v>83.4</v>
      </c>
      <c r="AB88" s="10">
        <f>VLOOKUP(A:A,[1]TDSheet!$A:$AA,27,0)</f>
        <v>67</v>
      </c>
      <c r="AC88" s="10">
        <f>VLOOKUP(A:A,[1]TDSheet!$A:$R,18,0)</f>
        <v>52.6</v>
      </c>
      <c r="AD88" s="10" t="str">
        <f>VLOOKUP(A:A,[1]TDSheet!$A:$AB,28,0)</f>
        <v>вместо 7077</v>
      </c>
      <c r="AE88" s="10">
        <f t="shared" si="17"/>
        <v>168</v>
      </c>
      <c r="AF88" s="10">
        <f t="shared" si="18"/>
        <v>168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</row>
    <row r="89" spans="1:83" ht="11.1" customHeight="1" x14ac:dyDescent="0.2">
      <c r="A89" s="8" t="s">
        <v>89</v>
      </c>
      <c r="B89" s="8" t="s">
        <v>10</v>
      </c>
      <c r="C89" s="8">
        <f>VLOOKUP(A:A,[1]TDSheet!$A:$C,3,0)</f>
        <v>7276</v>
      </c>
      <c r="D89" s="9">
        <v>9</v>
      </c>
      <c r="E89" s="9">
        <v>119</v>
      </c>
      <c r="F89" s="9">
        <v>12</v>
      </c>
      <c r="G89" s="9">
        <v>116</v>
      </c>
      <c r="H89" s="23">
        <f>VLOOKUP(A:A,[1]TDSheet!$A:$H,8,0)</f>
        <v>0.3</v>
      </c>
      <c r="I89" s="10">
        <f>VLOOKUP(A:A,[1]TDSheet!$A:$I,9,0)</f>
        <v>0</v>
      </c>
      <c r="J89" s="10">
        <f>VLOOKUP(A:A,[1]TDSheet!$A:$J,10,0)</f>
        <v>0</v>
      </c>
      <c r="K89" s="10"/>
      <c r="L89" s="10">
        <f>VLOOKUP(A:A,[2]TDSheet!$A:$B,2,0)</f>
        <v>12</v>
      </c>
      <c r="M89" s="10">
        <f t="shared" si="11"/>
        <v>0</v>
      </c>
      <c r="N89" s="10"/>
      <c r="O89" s="10"/>
      <c r="P89" s="10">
        <f>VLOOKUP(A:A,[1]TDSheet!$A:$S,19,0)</f>
        <v>55</v>
      </c>
      <c r="Q89" s="10">
        <v>55</v>
      </c>
      <c r="R89" s="10">
        <f t="shared" si="12"/>
        <v>2.4</v>
      </c>
      <c r="S89" s="24"/>
      <c r="T89" s="24">
        <f t="shared" si="13"/>
        <v>0</v>
      </c>
      <c r="U89" s="24">
        <f t="shared" si="14"/>
        <v>0</v>
      </c>
      <c r="V89" s="24"/>
      <c r="W89" s="10">
        <f>VLOOKUP(A:A,[3]TDSheet!$A:$U,21,0)</f>
        <v>0</v>
      </c>
      <c r="X89" s="10">
        <f t="shared" si="15"/>
        <v>94.166666666666671</v>
      </c>
      <c r="Y89" s="10">
        <f t="shared" si="16"/>
        <v>48.333333333333336</v>
      </c>
      <c r="Z89" s="10">
        <f>VLOOKUP(A:A,[1]TDSheet!$A:$Y,25,0)</f>
        <v>10.4</v>
      </c>
      <c r="AA89" s="10">
        <f>VLOOKUP(A:A,[1]TDSheet!$A:$Z,26,0)</f>
        <v>6.2</v>
      </c>
      <c r="AB89" s="10">
        <f>VLOOKUP(A:A,[1]TDSheet!$A:$AA,27,0)</f>
        <v>11.4</v>
      </c>
      <c r="AC89" s="10">
        <f>VLOOKUP(A:A,[1]TDSheet!$A:$R,18,0)</f>
        <v>13.6</v>
      </c>
      <c r="AD89" s="10" t="str">
        <f>VLOOKUP(A:A,[1]TDSheet!$A:$AB,28,0)</f>
        <v>31,07,25 в уценку 232шт.</v>
      </c>
      <c r="AE89" s="10">
        <f t="shared" si="17"/>
        <v>0</v>
      </c>
      <c r="AF89" s="10">
        <f t="shared" si="18"/>
        <v>0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</row>
    <row r="90" spans="1:83" ht="11.1" customHeight="1" x14ac:dyDescent="0.2">
      <c r="A90" s="8" t="s">
        <v>90</v>
      </c>
      <c r="B90" s="8" t="s">
        <v>10</v>
      </c>
      <c r="C90" s="8">
        <f>VLOOKUP(A:A,[1]TDSheet!$A:$C,3,0)</f>
        <v>7284</v>
      </c>
      <c r="D90" s="9">
        <v>5</v>
      </c>
      <c r="E90" s="9">
        <v>48</v>
      </c>
      <c r="F90" s="9">
        <v>18</v>
      </c>
      <c r="G90" s="9">
        <v>30</v>
      </c>
      <c r="H90" s="23">
        <f>VLOOKUP(A:A,[1]TDSheet!$A:$H,8,0)</f>
        <v>0.33</v>
      </c>
      <c r="I90" s="10">
        <f>VLOOKUP(A:A,[1]TDSheet!$A:$I,9,0)</f>
        <v>30</v>
      </c>
      <c r="J90" s="10" t="str">
        <f>VLOOKUP(A:A,[1]TDSheet!$A:$J,10,0)</f>
        <v>ВНИМАНИЕ / в матрице</v>
      </c>
      <c r="K90" s="10"/>
      <c r="L90" s="10">
        <f>VLOOKUP(A:A,[2]TDSheet!$A:$B,2,0)</f>
        <v>49</v>
      </c>
      <c r="M90" s="10">
        <f t="shared" si="11"/>
        <v>-31</v>
      </c>
      <c r="N90" s="10"/>
      <c r="O90" s="10"/>
      <c r="P90" s="10">
        <f>VLOOKUP(A:A,[1]TDSheet!$A:$S,19,0)</f>
        <v>0</v>
      </c>
      <c r="Q90" s="10">
        <v>0</v>
      </c>
      <c r="R90" s="10">
        <f t="shared" si="12"/>
        <v>3.6</v>
      </c>
      <c r="S90" s="24"/>
      <c r="T90" s="24">
        <f t="shared" si="13"/>
        <v>0</v>
      </c>
      <c r="U90" s="24">
        <f t="shared" si="14"/>
        <v>0</v>
      </c>
      <c r="V90" s="24"/>
      <c r="W90" s="10">
        <f>VLOOKUP(A:A,[3]TDSheet!$A:$U,21,0)</f>
        <v>0</v>
      </c>
      <c r="X90" s="10">
        <f t="shared" si="15"/>
        <v>8.3333333333333339</v>
      </c>
      <c r="Y90" s="10">
        <f t="shared" si="16"/>
        <v>8.3333333333333339</v>
      </c>
      <c r="Z90" s="10">
        <f>VLOOKUP(A:A,[1]TDSheet!$A:$Y,25,0)</f>
        <v>2.8</v>
      </c>
      <c r="AA90" s="10">
        <f>VLOOKUP(A:A,[1]TDSheet!$A:$Z,26,0)</f>
        <v>5.8</v>
      </c>
      <c r="AB90" s="10">
        <f>VLOOKUP(A:A,[1]TDSheet!$A:$AA,27,0)</f>
        <v>4</v>
      </c>
      <c r="AC90" s="10">
        <f>VLOOKUP(A:A,[1]TDSheet!$A:$R,18,0)</f>
        <v>1.4</v>
      </c>
      <c r="AD90" s="10">
        <f>VLOOKUP(A:A,[1]TDSheet!$A:$AB,28,0)</f>
        <v>0</v>
      </c>
      <c r="AE90" s="10">
        <f t="shared" si="17"/>
        <v>0</v>
      </c>
      <c r="AF90" s="10">
        <f t="shared" si="18"/>
        <v>0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</row>
    <row r="91" spans="1:83" ht="11.1" customHeight="1" x14ac:dyDescent="0.2">
      <c r="A91" s="8" t="s">
        <v>91</v>
      </c>
      <c r="B91" s="8" t="s">
        <v>10</v>
      </c>
      <c r="C91" s="8">
        <f>VLOOKUP(A:A,[1]TDSheet!$A:$C,3,0)</f>
        <v>7288</v>
      </c>
      <c r="D91" s="9">
        <v>120</v>
      </c>
      <c r="E91" s="9">
        <v>59</v>
      </c>
      <c r="F91" s="9">
        <v>65</v>
      </c>
      <c r="G91" s="9">
        <v>44</v>
      </c>
      <c r="H91" s="23">
        <f>VLOOKUP(A:A,[1]TDSheet!$A:$H,8,0)</f>
        <v>0.1</v>
      </c>
      <c r="I91" s="10">
        <f>VLOOKUP(A:A,[1]TDSheet!$A:$I,9,0)</f>
        <v>60</v>
      </c>
      <c r="J91" s="10" t="str">
        <f>VLOOKUP(A:A,[1]TDSheet!$A:$J,10,0)</f>
        <v>в матрице</v>
      </c>
      <c r="K91" s="10"/>
      <c r="L91" s="10">
        <f>VLOOKUP(A:A,[2]TDSheet!$A:$B,2,0)</f>
        <v>76</v>
      </c>
      <c r="M91" s="10">
        <f t="shared" si="11"/>
        <v>-11</v>
      </c>
      <c r="N91" s="10"/>
      <c r="O91" s="10"/>
      <c r="P91" s="10">
        <f>VLOOKUP(A:A,[1]TDSheet!$A:$S,19,0)</f>
        <v>0</v>
      </c>
      <c r="Q91" s="10">
        <v>0</v>
      </c>
      <c r="R91" s="10">
        <f t="shared" si="12"/>
        <v>13</v>
      </c>
      <c r="S91" s="24">
        <v>140</v>
      </c>
      <c r="T91" s="24">
        <f t="shared" si="13"/>
        <v>70</v>
      </c>
      <c r="U91" s="24">
        <f t="shared" si="14"/>
        <v>70</v>
      </c>
      <c r="V91" s="24"/>
      <c r="W91" s="10">
        <f>VLOOKUP(A:A,[3]TDSheet!$A:$U,21,0)</f>
        <v>0</v>
      </c>
      <c r="X91" s="10">
        <f t="shared" si="15"/>
        <v>14.153846153846153</v>
      </c>
      <c r="Y91" s="10">
        <f t="shared" si="16"/>
        <v>3.3846153846153846</v>
      </c>
      <c r="Z91" s="10">
        <f>VLOOKUP(A:A,[1]TDSheet!$A:$Y,25,0)</f>
        <v>9.1999999999999993</v>
      </c>
      <c r="AA91" s="10">
        <f>VLOOKUP(A:A,[1]TDSheet!$A:$Z,26,0)</f>
        <v>13.6</v>
      </c>
      <c r="AB91" s="10">
        <f>VLOOKUP(A:A,[1]TDSheet!$A:$AA,27,0)</f>
        <v>8.8000000000000007</v>
      </c>
      <c r="AC91" s="10">
        <f>VLOOKUP(A:A,[1]TDSheet!$A:$R,18,0)</f>
        <v>5.2</v>
      </c>
      <c r="AD91" s="10" t="str">
        <f>VLOOKUP(A:A,[1]TDSheet!$A:$AB,28,0)</f>
        <v>нет потребности</v>
      </c>
      <c r="AE91" s="10">
        <f t="shared" si="17"/>
        <v>7</v>
      </c>
      <c r="AF91" s="10">
        <f t="shared" si="18"/>
        <v>7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</row>
    <row r="92" spans="1:83" ht="11.1" customHeight="1" x14ac:dyDescent="0.2">
      <c r="A92" s="8" t="s">
        <v>92</v>
      </c>
      <c r="B92" s="8" t="s">
        <v>10</v>
      </c>
      <c r="C92" s="8">
        <f>VLOOKUP(A:A,[1]TDSheet!$A:$C,3,0)</f>
        <v>7332</v>
      </c>
      <c r="D92" s="9">
        <v>5</v>
      </c>
      <c r="E92" s="9">
        <v>64</v>
      </c>
      <c r="F92" s="9">
        <v>22</v>
      </c>
      <c r="G92" s="9">
        <v>39</v>
      </c>
      <c r="H92" s="23">
        <f>VLOOKUP(A:A,[1]TDSheet!$A:$H,8,0)</f>
        <v>0.28000000000000003</v>
      </c>
      <c r="I92" s="10">
        <f>VLOOKUP(A:A,[1]TDSheet!$A:$I,9,0)</f>
        <v>50</v>
      </c>
      <c r="J92" s="10" t="str">
        <f>VLOOKUP(A:A,[1]TDSheet!$A:$J,10,0)</f>
        <v>в матрице</v>
      </c>
      <c r="K92" s="10"/>
      <c r="L92" s="10">
        <f>VLOOKUP(A:A,[2]TDSheet!$A:$B,2,0)</f>
        <v>33</v>
      </c>
      <c r="M92" s="10">
        <f t="shared" si="11"/>
        <v>-11</v>
      </c>
      <c r="N92" s="10"/>
      <c r="O92" s="10"/>
      <c r="P92" s="10">
        <f>VLOOKUP(A:A,[1]TDSheet!$A:$S,19,0)</f>
        <v>0</v>
      </c>
      <c r="Q92" s="10">
        <v>0</v>
      </c>
      <c r="R92" s="10">
        <f t="shared" si="12"/>
        <v>4.4000000000000004</v>
      </c>
      <c r="S92" s="24"/>
      <c r="T92" s="24">
        <f t="shared" si="13"/>
        <v>0</v>
      </c>
      <c r="U92" s="24">
        <f t="shared" si="14"/>
        <v>0</v>
      </c>
      <c r="V92" s="24">
        <f>VLOOKUP(A:A,[3]TDSheet!$A:$T,20,0)</f>
        <v>30</v>
      </c>
      <c r="W92" s="10">
        <f>VLOOKUP(A:A,[3]TDSheet!$A:$U,21,0)</f>
        <v>0</v>
      </c>
      <c r="X92" s="10">
        <f t="shared" si="15"/>
        <v>8.8636363636363633</v>
      </c>
      <c r="Y92" s="10">
        <f t="shared" si="16"/>
        <v>8.8636363636363633</v>
      </c>
      <c r="Z92" s="10">
        <f>VLOOKUP(A:A,[1]TDSheet!$A:$Y,25,0)</f>
        <v>0.4</v>
      </c>
      <c r="AA92" s="10">
        <f>VLOOKUP(A:A,[1]TDSheet!$A:$Z,26,0)</f>
        <v>3.2</v>
      </c>
      <c r="AB92" s="10">
        <f>VLOOKUP(A:A,[1]TDSheet!$A:$AA,27,0)</f>
        <v>6.4</v>
      </c>
      <c r="AC92" s="10">
        <f>VLOOKUP(A:A,[1]TDSheet!$A:$R,18,0)</f>
        <v>3.6</v>
      </c>
      <c r="AD92" s="10">
        <f>VLOOKUP(A:A,[1]TDSheet!$A:$AB,28,0)</f>
        <v>0</v>
      </c>
      <c r="AE92" s="10">
        <f t="shared" si="17"/>
        <v>0</v>
      </c>
      <c r="AF92" s="10">
        <f t="shared" si="18"/>
        <v>0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</row>
    <row r="93" spans="1:83" ht="11.1" customHeight="1" x14ac:dyDescent="0.2">
      <c r="A93" s="8" t="s">
        <v>93</v>
      </c>
      <c r="B93" s="8" t="s">
        <v>10</v>
      </c>
      <c r="C93" s="8">
        <f>VLOOKUP(A:A,[1]TDSheet!$A:$C,3,0)</f>
        <v>7333</v>
      </c>
      <c r="D93" s="9">
        <v>13</v>
      </c>
      <c r="E93" s="9">
        <v>48</v>
      </c>
      <c r="F93" s="9">
        <v>20</v>
      </c>
      <c r="G93" s="9">
        <v>41</v>
      </c>
      <c r="H93" s="23">
        <f>VLOOKUP(A:A,[1]TDSheet!$A:$H,8,0)</f>
        <v>0.28000000000000003</v>
      </c>
      <c r="I93" s="10">
        <f>VLOOKUP(A:A,[1]TDSheet!$A:$I,9,0)</f>
        <v>50</v>
      </c>
      <c r="J93" s="10" t="str">
        <f>VLOOKUP(A:A,[1]TDSheet!$A:$J,10,0)</f>
        <v>в матрице</v>
      </c>
      <c r="K93" s="10"/>
      <c r="L93" s="10">
        <f>VLOOKUP(A:A,[2]TDSheet!$A:$B,2,0)</f>
        <v>20</v>
      </c>
      <c r="M93" s="10">
        <f t="shared" si="11"/>
        <v>0</v>
      </c>
      <c r="N93" s="10"/>
      <c r="O93" s="10"/>
      <c r="P93" s="10">
        <f>VLOOKUP(A:A,[1]TDSheet!$A:$S,19,0)</f>
        <v>0</v>
      </c>
      <c r="Q93" s="10">
        <v>0</v>
      </c>
      <c r="R93" s="10">
        <f t="shared" si="12"/>
        <v>4</v>
      </c>
      <c r="S93" s="24"/>
      <c r="T93" s="24">
        <f t="shared" si="13"/>
        <v>0</v>
      </c>
      <c r="U93" s="24">
        <f t="shared" si="14"/>
        <v>0</v>
      </c>
      <c r="V93" s="24"/>
      <c r="W93" s="10">
        <f>VLOOKUP(A:A,[3]TDSheet!$A:$U,21,0)</f>
        <v>0</v>
      </c>
      <c r="X93" s="10">
        <f t="shared" si="15"/>
        <v>10.25</v>
      </c>
      <c r="Y93" s="10">
        <f t="shared" si="16"/>
        <v>10.25</v>
      </c>
      <c r="Z93" s="10">
        <f>VLOOKUP(A:A,[1]TDSheet!$A:$Y,25,0)</f>
        <v>0.2</v>
      </c>
      <c r="AA93" s="10">
        <f>VLOOKUP(A:A,[1]TDSheet!$A:$Z,26,0)</f>
        <v>4.5999999999999996</v>
      </c>
      <c r="AB93" s="10">
        <f>VLOOKUP(A:A,[1]TDSheet!$A:$AA,27,0)</f>
        <v>6</v>
      </c>
      <c r="AC93" s="10">
        <f>VLOOKUP(A:A,[1]TDSheet!$A:$R,18,0)</f>
        <v>3.4</v>
      </c>
      <c r="AD93" s="10">
        <f>VLOOKUP(A:A,[1]TDSheet!$A:$AB,28,0)</f>
        <v>0</v>
      </c>
      <c r="AE93" s="10">
        <f t="shared" si="17"/>
        <v>0</v>
      </c>
      <c r="AF93" s="10">
        <f t="shared" si="18"/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</row>
    <row r="94" spans="1:83" ht="11.1" customHeight="1" x14ac:dyDescent="0.2">
      <c r="A94" s="8" t="s">
        <v>94</v>
      </c>
      <c r="B94" s="8" t="s">
        <v>10</v>
      </c>
      <c r="C94" s="8">
        <f>VLOOKUP(A:A,[1]TDSheet!$A:$C,3,0)</f>
        <v>7371</v>
      </c>
      <c r="D94" s="9">
        <v>194</v>
      </c>
      <c r="E94" s="9">
        <v>116</v>
      </c>
      <c r="F94" s="9">
        <v>163</v>
      </c>
      <c r="G94" s="9">
        <v>131</v>
      </c>
      <c r="H94" s="23">
        <f>VLOOKUP(A:A,[1]TDSheet!$A:$H,8,0)</f>
        <v>0.3</v>
      </c>
      <c r="I94" s="10">
        <f>VLOOKUP(A:A,[1]TDSheet!$A:$I,9,0)</f>
        <v>0</v>
      </c>
      <c r="J94" s="10" t="e">
        <f>VLOOKUP(A:A,[1]TDSheet!$A:$J,10,0)</f>
        <v>#N/A</v>
      </c>
      <c r="K94" s="10"/>
      <c r="L94" s="10">
        <f>VLOOKUP(A:A,[2]TDSheet!$A:$B,2,0)</f>
        <v>173</v>
      </c>
      <c r="M94" s="10">
        <f t="shared" si="11"/>
        <v>-10</v>
      </c>
      <c r="N94" s="10"/>
      <c r="O94" s="10"/>
      <c r="P94" s="10">
        <f>VLOOKUP(A:A,[1]TDSheet!$A:$S,19,0)</f>
        <v>70</v>
      </c>
      <c r="Q94" s="10">
        <v>70</v>
      </c>
      <c r="R94" s="10">
        <f t="shared" si="12"/>
        <v>32.6</v>
      </c>
      <c r="S94" s="24">
        <v>180</v>
      </c>
      <c r="T94" s="24">
        <f t="shared" si="13"/>
        <v>90</v>
      </c>
      <c r="U94" s="24">
        <f t="shared" si="14"/>
        <v>90</v>
      </c>
      <c r="V94" s="24"/>
      <c r="W94" s="10">
        <f>VLOOKUP(A:A,[3]TDSheet!$A:$U,21,0)</f>
        <v>0</v>
      </c>
      <c r="X94" s="10">
        <f t="shared" si="15"/>
        <v>13.834355828220858</v>
      </c>
      <c r="Y94" s="10">
        <f t="shared" si="16"/>
        <v>4.0184049079754596</v>
      </c>
      <c r="Z94" s="10">
        <f>VLOOKUP(A:A,[1]TDSheet!$A:$Y,25,0)</f>
        <v>21</v>
      </c>
      <c r="AA94" s="10">
        <f>VLOOKUP(A:A,[1]TDSheet!$A:$Z,26,0)</f>
        <v>33.6</v>
      </c>
      <c r="AB94" s="10">
        <f>VLOOKUP(A:A,[1]TDSheet!$A:$AA,27,0)</f>
        <v>28.4</v>
      </c>
      <c r="AC94" s="10">
        <f>VLOOKUP(A:A,[1]TDSheet!$A:$R,18,0)</f>
        <v>25.8</v>
      </c>
      <c r="AD94" s="10" t="e">
        <f>VLOOKUP(A:A,[1]TDSheet!$A:$AB,28,0)</f>
        <v>#N/A</v>
      </c>
      <c r="AE94" s="10">
        <f t="shared" si="17"/>
        <v>27</v>
      </c>
      <c r="AF94" s="10">
        <f t="shared" si="18"/>
        <v>27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</row>
    <row r="95" spans="1:83" ht="11.1" customHeight="1" x14ac:dyDescent="0.2">
      <c r="A95" s="8" t="s">
        <v>95</v>
      </c>
      <c r="B95" s="8" t="s">
        <v>10</v>
      </c>
      <c r="C95" s="8">
        <f>VLOOKUP(A:A,[1]TDSheet!$A:$C,3,0)</f>
        <v>7382</v>
      </c>
      <c r="D95" s="9">
        <v>42</v>
      </c>
      <c r="E95" s="9">
        <v>551</v>
      </c>
      <c r="F95" s="9">
        <v>253</v>
      </c>
      <c r="G95" s="9">
        <v>297</v>
      </c>
      <c r="H95" s="23">
        <f>VLOOKUP(A:A,[1]TDSheet!$A:$H,8,0)</f>
        <v>0.12</v>
      </c>
      <c r="I95" s="10">
        <f>VLOOKUP(A:A,[1]TDSheet!$A:$I,9,0)</f>
        <v>60</v>
      </c>
      <c r="J95" s="10" t="str">
        <f>VLOOKUP(A:A,[1]TDSheet!$A:$J,10,0)</f>
        <v>в матрице</v>
      </c>
      <c r="K95" s="10"/>
      <c r="L95" s="10">
        <f>VLOOKUP(A:A,[2]TDSheet!$A:$B,2,0)</f>
        <v>267</v>
      </c>
      <c r="M95" s="10">
        <f t="shared" si="11"/>
        <v>-14</v>
      </c>
      <c r="N95" s="10"/>
      <c r="O95" s="10"/>
      <c r="P95" s="10">
        <f>VLOOKUP(A:A,[1]TDSheet!$A:$S,19,0)</f>
        <v>60</v>
      </c>
      <c r="Q95" s="10">
        <v>60</v>
      </c>
      <c r="R95" s="10">
        <f t="shared" si="12"/>
        <v>50.6</v>
      </c>
      <c r="S95" s="24">
        <v>280</v>
      </c>
      <c r="T95" s="24">
        <f t="shared" si="13"/>
        <v>140</v>
      </c>
      <c r="U95" s="24">
        <f t="shared" si="14"/>
        <v>140</v>
      </c>
      <c r="V95" s="24"/>
      <c r="W95" s="10">
        <f>VLOOKUP(A:A,[3]TDSheet!$A:$U,21,0)</f>
        <v>0</v>
      </c>
      <c r="X95" s="10">
        <f t="shared" si="15"/>
        <v>13.774703557312252</v>
      </c>
      <c r="Y95" s="10">
        <f t="shared" si="16"/>
        <v>5.8695652173913038</v>
      </c>
      <c r="Z95" s="10">
        <f>VLOOKUP(A:A,[1]TDSheet!$A:$Y,25,0)</f>
        <v>42.6</v>
      </c>
      <c r="AA95" s="10">
        <f>VLOOKUP(A:A,[1]TDSheet!$A:$Z,26,0)</f>
        <v>30.8</v>
      </c>
      <c r="AB95" s="10">
        <f>VLOOKUP(A:A,[1]TDSheet!$A:$AA,27,0)</f>
        <v>46.2</v>
      </c>
      <c r="AC95" s="10">
        <f>VLOOKUP(A:A,[1]TDSheet!$A:$R,18,0)</f>
        <v>34.200000000000003</v>
      </c>
      <c r="AD95" s="10" t="str">
        <f>VLOOKUP(A:A,[1]TDSheet!$A:$AB,28,0)</f>
        <v>вместо 5682</v>
      </c>
      <c r="AE95" s="10">
        <f t="shared" si="17"/>
        <v>16.8</v>
      </c>
      <c r="AF95" s="10">
        <f t="shared" si="18"/>
        <v>16.8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</row>
    <row r="96" spans="1:83" ht="11.1" customHeight="1" x14ac:dyDescent="0.2">
      <c r="A96" s="8" t="s">
        <v>96</v>
      </c>
      <c r="B96" s="8" t="s">
        <v>10</v>
      </c>
      <c r="C96" s="8">
        <f>VLOOKUP(A:A,[1]TDSheet!$A:$C,3,0)</f>
        <v>7461</v>
      </c>
      <c r="D96" s="9">
        <v>275</v>
      </c>
      <c r="E96" s="9">
        <v>206</v>
      </c>
      <c r="F96" s="9">
        <v>281</v>
      </c>
      <c r="G96" s="9">
        <v>176</v>
      </c>
      <c r="H96" s="23">
        <f>VLOOKUP(A:A,[1]TDSheet!$A:$H,8,0)</f>
        <v>0.33</v>
      </c>
      <c r="I96" s="10">
        <f>VLOOKUP(A:A,[1]TDSheet!$A:$I,9,0)</f>
        <v>0</v>
      </c>
      <c r="J96" s="10" t="e">
        <f>VLOOKUP(A:A,[1]TDSheet!$A:$J,10,0)</f>
        <v>#N/A</v>
      </c>
      <c r="K96" s="10"/>
      <c r="L96" s="10">
        <f>VLOOKUP(A:A,[2]TDSheet!$A:$B,2,0)</f>
        <v>296</v>
      </c>
      <c r="M96" s="10">
        <f t="shared" si="11"/>
        <v>-15</v>
      </c>
      <c r="N96" s="10"/>
      <c r="O96" s="10"/>
      <c r="P96" s="10">
        <f>VLOOKUP(A:A,[1]TDSheet!$A:$S,19,0)</f>
        <v>110</v>
      </c>
      <c r="Q96" s="10">
        <v>110</v>
      </c>
      <c r="R96" s="10">
        <f t="shared" si="12"/>
        <v>56.2</v>
      </c>
      <c r="S96" s="24">
        <v>400</v>
      </c>
      <c r="T96" s="24">
        <f t="shared" si="13"/>
        <v>200</v>
      </c>
      <c r="U96" s="24">
        <f t="shared" si="14"/>
        <v>200</v>
      </c>
      <c r="V96" s="24"/>
      <c r="W96" s="10">
        <f>VLOOKUP(A:A,[3]TDSheet!$A:$U,21,0)</f>
        <v>0</v>
      </c>
      <c r="X96" s="10">
        <f t="shared" si="15"/>
        <v>14.163701067615659</v>
      </c>
      <c r="Y96" s="10">
        <f t="shared" si="16"/>
        <v>3.1316725978647684</v>
      </c>
      <c r="Z96" s="10">
        <f>VLOOKUP(A:A,[1]TDSheet!$A:$Y,25,0)</f>
        <v>49.8</v>
      </c>
      <c r="AA96" s="10">
        <f>VLOOKUP(A:A,[1]TDSheet!$A:$Z,26,0)</f>
        <v>31</v>
      </c>
      <c r="AB96" s="10">
        <f>VLOOKUP(A:A,[1]TDSheet!$A:$AA,27,0)</f>
        <v>40.799999999999997</v>
      </c>
      <c r="AC96" s="10">
        <f>VLOOKUP(A:A,[1]TDSheet!$A:$R,18,0)</f>
        <v>42.8</v>
      </c>
      <c r="AD96" s="10" t="e">
        <f>VLOOKUP(A:A,[1]TDSheet!$A:$AB,28,0)</f>
        <v>#N/A</v>
      </c>
      <c r="AE96" s="10">
        <f t="shared" si="17"/>
        <v>66</v>
      </c>
      <c r="AF96" s="10">
        <f t="shared" si="18"/>
        <v>66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</row>
    <row r="97" spans="1:83" ht="11.1" customHeight="1" x14ac:dyDescent="0.2">
      <c r="A97" s="8" t="s">
        <v>97</v>
      </c>
      <c r="B97" s="8" t="s">
        <v>10</v>
      </c>
      <c r="C97" s="8">
        <f>VLOOKUP(A:A,[1]TDSheet!$A:$C,3,0)</f>
        <v>7523</v>
      </c>
      <c r="D97" s="9">
        <v>229</v>
      </c>
      <c r="E97" s="9">
        <v>205</v>
      </c>
      <c r="F97" s="9">
        <v>176</v>
      </c>
      <c r="G97" s="9">
        <v>24</v>
      </c>
      <c r="H97" s="23">
        <f>VLOOKUP(A:A,[1]TDSheet!$A:$H,8,0)</f>
        <v>0.4</v>
      </c>
      <c r="I97" s="10">
        <f>VLOOKUP(A:A,[1]TDSheet!$A:$I,9,0)</f>
        <v>0</v>
      </c>
      <c r="J97" s="10" t="str">
        <f>VLOOKUP(A:A,[1]TDSheet!$A:$J,10,0)</f>
        <v>ротация</v>
      </c>
      <c r="K97" s="10"/>
      <c r="L97" s="10">
        <f>VLOOKUP(A:A,[2]TDSheet!$A:$B,2,0)</f>
        <v>181</v>
      </c>
      <c r="M97" s="10">
        <f t="shared" si="11"/>
        <v>-5</v>
      </c>
      <c r="N97" s="10"/>
      <c r="O97" s="10"/>
      <c r="P97" s="10">
        <f>VLOOKUP(A:A,[1]TDSheet!$A:$S,19,0)</f>
        <v>25</v>
      </c>
      <c r="Q97" s="10">
        <v>25</v>
      </c>
      <c r="R97" s="10">
        <f t="shared" si="12"/>
        <v>35.200000000000003</v>
      </c>
      <c r="S97" s="24">
        <v>400</v>
      </c>
      <c r="T97" s="24">
        <f t="shared" si="13"/>
        <v>200</v>
      </c>
      <c r="U97" s="24">
        <f t="shared" si="14"/>
        <v>200</v>
      </c>
      <c r="V97" s="24"/>
      <c r="W97" s="10">
        <f>VLOOKUP(A:A,[3]TDSheet!$A:$U,21,0)</f>
        <v>0</v>
      </c>
      <c r="X97" s="10">
        <f t="shared" si="15"/>
        <v>13.46590909090909</v>
      </c>
      <c r="Y97" s="10">
        <f t="shared" si="16"/>
        <v>0.68181818181818177</v>
      </c>
      <c r="Z97" s="10">
        <f>VLOOKUP(A:A,[1]TDSheet!$A:$Y,25,0)</f>
        <v>13</v>
      </c>
      <c r="AA97" s="10">
        <f>VLOOKUP(A:A,[1]TDSheet!$A:$Z,26,0)</f>
        <v>27.6</v>
      </c>
      <c r="AB97" s="10">
        <f>VLOOKUP(A:A,[1]TDSheet!$A:$AA,27,0)</f>
        <v>20.2</v>
      </c>
      <c r="AC97" s="10">
        <f>VLOOKUP(A:A,[1]TDSheet!$A:$R,18,0)</f>
        <v>18.8</v>
      </c>
      <c r="AD97" s="10" t="e">
        <f>VLOOKUP(A:A,[1]TDSheet!$A:$AB,28,0)</f>
        <v>#N/A</v>
      </c>
      <c r="AE97" s="10">
        <f t="shared" si="17"/>
        <v>80</v>
      </c>
      <c r="AF97" s="10">
        <f t="shared" si="18"/>
        <v>80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</row>
    <row r="98" spans="1:83" ht="11.1" customHeight="1" x14ac:dyDescent="0.2">
      <c r="A98" s="8" t="s">
        <v>98</v>
      </c>
      <c r="B98" s="8" t="s">
        <v>12</v>
      </c>
      <c r="C98" s="8">
        <f>VLOOKUP(A:A,[1]TDSheet!$A:$C,3,0)</f>
        <v>7564</v>
      </c>
      <c r="D98" s="9">
        <v>25.773</v>
      </c>
      <c r="E98" s="9">
        <v>5.0880000000000001</v>
      </c>
      <c r="F98" s="9">
        <v>23.315999999999999</v>
      </c>
      <c r="G98" s="9">
        <v>6.7030000000000003</v>
      </c>
      <c r="H98" s="23">
        <f>VLOOKUP(A:A,[1]TDSheet!$A:$H,8,0)</f>
        <v>1</v>
      </c>
      <c r="I98" s="10" t="e">
        <f>VLOOKUP(A:A,[1]TDSheet!$A:$I,9,0)</f>
        <v>#N/A</v>
      </c>
      <c r="J98" s="10" t="e">
        <f>VLOOKUP(A:A,[1]TDSheet!$A:$J,10,0)</f>
        <v>#N/A</v>
      </c>
      <c r="K98" s="10"/>
      <c r="L98" s="10">
        <f>VLOOKUP(A:A,[2]TDSheet!$A:$B,2,0)</f>
        <v>22.635000000000002</v>
      </c>
      <c r="M98" s="10">
        <f t="shared" si="11"/>
        <v>0.68099999999999739</v>
      </c>
      <c r="N98" s="10"/>
      <c r="O98" s="10"/>
      <c r="P98" s="10">
        <f>VLOOKUP(A:A,[1]TDSheet!$A:$S,19,0)</f>
        <v>7</v>
      </c>
      <c r="Q98" s="10">
        <v>7</v>
      </c>
      <c r="R98" s="10">
        <f t="shared" si="12"/>
        <v>4.6631999999999998</v>
      </c>
      <c r="S98" s="24"/>
      <c r="T98" s="24">
        <f t="shared" si="13"/>
        <v>0</v>
      </c>
      <c r="U98" s="24">
        <f t="shared" si="14"/>
        <v>0</v>
      </c>
      <c r="V98" s="24"/>
      <c r="W98" s="10">
        <f>VLOOKUP(A:A,[3]TDSheet!$A:$U,21,0)</f>
        <v>0</v>
      </c>
      <c r="X98" s="10">
        <f t="shared" si="15"/>
        <v>4.4396551724137936</v>
      </c>
      <c r="Y98" s="10">
        <f t="shared" si="16"/>
        <v>1.4374249442442959</v>
      </c>
      <c r="Z98" s="10">
        <f>VLOOKUP(A:A,[1]TDSheet!$A:$Y,25,0)</f>
        <v>0</v>
      </c>
      <c r="AA98" s="10">
        <f>VLOOKUP(A:A,[1]TDSheet!$A:$Z,26,0)</f>
        <v>0</v>
      </c>
      <c r="AB98" s="10">
        <f>VLOOKUP(A:A,[1]TDSheet!$A:$AA,27,0)</f>
        <v>0</v>
      </c>
      <c r="AC98" s="10">
        <f>VLOOKUP(A:A,[1]TDSheet!$A:$R,18,0)</f>
        <v>2.8502000000000001</v>
      </c>
      <c r="AD98" s="10" t="e">
        <f>VLOOKUP(A:A,[1]TDSheet!$A:$AB,28,0)</f>
        <v>#N/A</v>
      </c>
      <c r="AE98" s="10">
        <f t="shared" si="17"/>
        <v>0</v>
      </c>
      <c r="AF98" s="10">
        <f t="shared" si="18"/>
        <v>0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</row>
    <row r="99" spans="1:83" ht="11.1" customHeight="1" x14ac:dyDescent="0.2">
      <c r="A99" s="29" t="s">
        <v>99</v>
      </c>
      <c r="B99" s="29" t="s">
        <v>10</v>
      </c>
      <c r="C99" s="29">
        <f>VLOOKUP(A:A,[1]TDSheet!$A:$C,3,0)</f>
        <v>0</v>
      </c>
      <c r="D99" s="30">
        <v>40</v>
      </c>
      <c r="E99" s="30"/>
      <c r="F99" s="30">
        <v>13</v>
      </c>
      <c r="G99" s="30">
        <v>21</v>
      </c>
      <c r="H99" s="31">
        <f>VLOOKUP(A:A,[1]TDSheet!$A:$H,8,0)</f>
        <v>0</v>
      </c>
      <c r="I99" s="32">
        <f>VLOOKUP(A:A,[1]TDSheet!$A:$I,9,0)</f>
        <v>0</v>
      </c>
      <c r="J99" s="32">
        <f>VLOOKUP(A:A,[1]TDSheet!$A:$J,10,0)</f>
        <v>0</v>
      </c>
      <c r="K99" s="10"/>
      <c r="L99" s="10">
        <f>VLOOKUP(A:A,[2]TDSheet!$A:$B,2,0)</f>
        <v>17</v>
      </c>
      <c r="M99" s="10">
        <f t="shared" si="11"/>
        <v>-4</v>
      </c>
      <c r="N99" s="10"/>
      <c r="O99" s="10"/>
      <c r="P99" s="10">
        <f>VLOOKUP(A:A,[1]TDSheet!$A:$S,19,0)</f>
        <v>0</v>
      </c>
      <c r="Q99" s="10">
        <v>0</v>
      </c>
      <c r="R99" s="10">
        <f t="shared" si="12"/>
        <v>2.6</v>
      </c>
      <c r="S99" s="24"/>
      <c r="T99" s="24">
        <f t="shared" si="13"/>
        <v>0</v>
      </c>
      <c r="U99" s="24">
        <f t="shared" si="14"/>
        <v>0</v>
      </c>
      <c r="V99" s="24">
        <f>VLOOKUP(A:A,[3]TDSheet!$A:$T,20,0)</f>
        <v>300</v>
      </c>
      <c r="W99" s="10" t="s">
        <v>128</v>
      </c>
      <c r="X99" s="10">
        <f t="shared" si="15"/>
        <v>8.0769230769230766</v>
      </c>
      <c r="Y99" s="10">
        <f t="shared" si="16"/>
        <v>8.0769230769230766</v>
      </c>
      <c r="Z99" s="10">
        <f>VLOOKUP(A:A,[1]TDSheet!$A:$Y,25,0)</f>
        <v>18.2</v>
      </c>
      <c r="AA99" s="10">
        <f>VLOOKUP(A:A,[1]TDSheet!$A:$Z,26,0)</f>
        <v>13.6</v>
      </c>
      <c r="AB99" s="10">
        <f>VLOOKUP(A:A,[1]TDSheet!$A:$AA,27,0)</f>
        <v>1.4</v>
      </c>
      <c r="AC99" s="10">
        <f>VLOOKUP(A:A,[1]TDSheet!$A:$R,18,0)</f>
        <v>0.2</v>
      </c>
      <c r="AD99" s="10" t="e">
        <f>VLOOKUP(A:A,[1]TDSheet!$A:$AB,28,0)</f>
        <v>#N/A</v>
      </c>
      <c r="AE99" s="10">
        <f t="shared" si="17"/>
        <v>0</v>
      </c>
      <c r="AF99" s="10">
        <f t="shared" si="18"/>
        <v>0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</row>
    <row r="100" spans="1:83" ht="11.1" customHeight="1" x14ac:dyDescent="0.2">
      <c r="A100" s="29" t="s">
        <v>100</v>
      </c>
      <c r="B100" s="29" t="s">
        <v>12</v>
      </c>
      <c r="C100" s="29">
        <f>VLOOKUP(A:A,[1]TDSheet!$A:$C,3,0)</f>
        <v>0</v>
      </c>
      <c r="D100" s="30">
        <v>-19.481000000000002</v>
      </c>
      <c r="E100" s="30"/>
      <c r="F100" s="30">
        <v>63.18</v>
      </c>
      <c r="G100" s="30">
        <v>-90.355000000000004</v>
      </c>
      <c r="H100" s="31">
        <f>VLOOKUP(A:A,[1]TDSheet!$A:$H,8,0)</f>
        <v>0</v>
      </c>
      <c r="I100" s="32">
        <f>VLOOKUP(A:A,[1]TDSheet!$A:$I,9,0)</f>
        <v>0</v>
      </c>
      <c r="J100" s="32">
        <f>VLOOKUP(A:A,[1]TDSheet!$A:$J,10,0)</f>
        <v>0</v>
      </c>
      <c r="K100" s="10"/>
      <c r="L100" s="10">
        <v>0</v>
      </c>
      <c r="M100" s="10">
        <f t="shared" si="11"/>
        <v>63.18</v>
      </c>
      <c r="N100" s="10"/>
      <c r="O100" s="10"/>
      <c r="P100" s="10">
        <f>VLOOKUP(A:A,[1]TDSheet!$A:$S,19,0)</f>
        <v>0</v>
      </c>
      <c r="Q100" s="10">
        <v>0</v>
      </c>
      <c r="R100" s="10">
        <f t="shared" si="12"/>
        <v>12.635999999999999</v>
      </c>
      <c r="S100" s="24"/>
      <c r="T100" s="24">
        <f t="shared" si="13"/>
        <v>0</v>
      </c>
      <c r="U100" s="24">
        <f t="shared" si="14"/>
        <v>0</v>
      </c>
      <c r="V100" s="24"/>
      <c r="W100" s="10">
        <f>VLOOKUP(A:A,[3]TDSheet!$A:$U,21,0)</f>
        <v>0</v>
      </c>
      <c r="X100" s="10">
        <f t="shared" si="15"/>
        <v>-7.1506014561570126</v>
      </c>
      <c r="Y100" s="10">
        <f t="shared" si="16"/>
        <v>-7.1506014561570126</v>
      </c>
      <c r="Z100" s="10">
        <f>VLOOKUP(A:A,[1]TDSheet!$A:$Y,25,0)</f>
        <v>14.881200000000002</v>
      </c>
      <c r="AA100" s="10">
        <f>VLOOKUP(A:A,[1]TDSheet!$A:$Z,26,0)</f>
        <v>13.2858</v>
      </c>
      <c r="AB100" s="10">
        <f>VLOOKUP(A:A,[1]TDSheet!$A:$AA,27,0)</f>
        <v>0.31219999999999998</v>
      </c>
      <c r="AC100" s="10">
        <f>VLOOKUP(A:A,[1]TDSheet!$A:$R,18,0)</f>
        <v>0</v>
      </c>
      <c r="AD100" s="10" t="e">
        <f>VLOOKUP(A:A,[1]TDSheet!$A:$AB,28,0)</f>
        <v>#N/A</v>
      </c>
      <c r="AE100" s="10">
        <f t="shared" si="17"/>
        <v>0</v>
      </c>
      <c r="AF100" s="10">
        <f t="shared" si="18"/>
        <v>0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</row>
    <row r="101" spans="1:83" ht="11.45" customHeight="1" x14ac:dyDescent="0.2">
      <c r="D101" s="12"/>
      <c r="E101" s="12"/>
      <c r="F101" s="12"/>
      <c r="G101" s="1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24"/>
      <c r="T101" s="37"/>
      <c r="U101" s="37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</row>
    <row r="102" spans="1:83" ht="11.45" customHeight="1" x14ac:dyDescent="0.2">
      <c r="D102" s="12"/>
      <c r="E102" s="12"/>
      <c r="F102" s="12"/>
      <c r="G102" s="12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</row>
    <row r="103" spans="1:83" ht="11.45" customHeight="1" x14ac:dyDescent="0.2">
      <c r="D103" s="12"/>
      <c r="E103" s="12"/>
      <c r="F103" s="12"/>
      <c r="G103" s="12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</row>
    <row r="104" spans="1:83" ht="11.45" customHeight="1" x14ac:dyDescent="0.2">
      <c r="D104" s="12"/>
      <c r="E104" s="12"/>
      <c r="F104" s="12"/>
      <c r="G104" s="1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</row>
    <row r="105" spans="1:83" ht="11.45" customHeight="1" x14ac:dyDescent="0.2">
      <c r="D105" s="12"/>
      <c r="E105" s="12"/>
      <c r="F105" s="12"/>
      <c r="G105" s="12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</row>
    <row r="106" spans="1:83" ht="11.45" customHeight="1" x14ac:dyDescent="0.2">
      <c r="D106" s="12"/>
      <c r="E106" s="12"/>
      <c r="F106" s="12"/>
      <c r="G106" s="1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</row>
    <row r="107" spans="1:83" ht="11.45" customHeight="1" x14ac:dyDescent="0.2">
      <c r="D107" s="12"/>
      <c r="E107" s="12"/>
      <c r="F107" s="12"/>
      <c r="G107" s="1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</row>
    <row r="108" spans="1:83" ht="11.45" customHeight="1" x14ac:dyDescent="0.2">
      <c r="D108" s="12"/>
      <c r="E108" s="12"/>
      <c r="F108" s="12"/>
      <c r="G108" s="12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</row>
    <row r="109" spans="1:83" ht="11.45" customHeight="1" x14ac:dyDescent="0.2">
      <c r="D109" s="12"/>
      <c r="E109" s="12"/>
      <c r="F109" s="12"/>
      <c r="G109" s="12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</row>
    <row r="110" spans="1:83" ht="11.45" customHeight="1" x14ac:dyDescent="0.2">
      <c r="D110" s="12"/>
      <c r="E110" s="12"/>
      <c r="F110" s="12"/>
      <c r="G110" s="12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</row>
    <row r="111" spans="1:83" ht="11.45" customHeight="1" x14ac:dyDescent="0.2">
      <c r="D111" s="12"/>
      <c r="E111" s="12"/>
      <c r="F111" s="12"/>
      <c r="G111" s="12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</row>
    <row r="112" spans="1:83" ht="11.45" customHeight="1" x14ac:dyDescent="0.2">
      <c r="D112" s="12"/>
      <c r="E112" s="12"/>
      <c r="F112" s="12"/>
      <c r="G112" s="12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</row>
    <row r="113" spans="4:83" ht="11.45" customHeight="1" x14ac:dyDescent="0.2">
      <c r="D113" s="12"/>
      <c r="E113" s="12"/>
      <c r="F113" s="12"/>
      <c r="G113" s="12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</row>
    <row r="114" spans="4:83" ht="11.45" customHeight="1" x14ac:dyDescent="0.2">
      <c r="D114" s="12"/>
      <c r="E114" s="12"/>
      <c r="F114" s="12"/>
      <c r="G114" s="12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</row>
    <row r="115" spans="4:83" ht="11.45" customHeight="1" x14ac:dyDescent="0.2">
      <c r="D115" s="12"/>
      <c r="E115" s="12"/>
      <c r="F115" s="12"/>
      <c r="G115" s="12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</row>
    <row r="116" spans="4:83" ht="11.45" customHeight="1" x14ac:dyDescent="0.2">
      <c r="D116" s="12"/>
      <c r="E116" s="12"/>
      <c r="F116" s="12"/>
      <c r="G116" s="12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</row>
    <row r="117" spans="4:83" ht="11.45" customHeight="1" x14ac:dyDescent="0.2">
      <c r="D117" s="12"/>
      <c r="E117" s="12"/>
      <c r="F117" s="12"/>
      <c r="G117" s="12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</row>
    <row r="118" spans="4:83" ht="11.45" customHeight="1" x14ac:dyDescent="0.2">
      <c r="D118" s="12"/>
      <c r="E118" s="12"/>
      <c r="F118" s="12"/>
      <c r="G118" s="12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</row>
    <row r="119" spans="4:83" ht="11.45" customHeight="1" x14ac:dyDescent="0.2">
      <c r="D119" s="12"/>
      <c r="E119" s="12"/>
      <c r="F119" s="12"/>
      <c r="G119" s="12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</row>
    <row r="120" spans="4:83" ht="11.45" customHeight="1" x14ac:dyDescent="0.2">
      <c r="D120" s="12"/>
      <c r="E120" s="12"/>
      <c r="F120" s="12"/>
      <c r="G120" s="12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</row>
    <row r="121" spans="4:83" ht="11.45" customHeight="1" x14ac:dyDescent="0.2">
      <c r="D121" s="12"/>
      <c r="E121" s="12"/>
      <c r="F121" s="12"/>
      <c r="G121" s="12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</row>
    <row r="122" spans="4:83" ht="11.45" customHeight="1" x14ac:dyDescent="0.2">
      <c r="D122" s="12"/>
      <c r="E122" s="12"/>
      <c r="F122" s="12"/>
      <c r="G122" s="12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</row>
    <row r="123" spans="4:83" ht="11.45" customHeight="1" x14ac:dyDescent="0.2">
      <c r="D123" s="12"/>
      <c r="E123" s="12"/>
      <c r="F123" s="12"/>
      <c r="G123" s="12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</row>
    <row r="124" spans="4:83" ht="11.45" customHeight="1" x14ac:dyDescent="0.2">
      <c r="D124" s="12"/>
      <c r="E124" s="12"/>
      <c r="F124" s="12"/>
      <c r="G124" s="12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</row>
    <row r="125" spans="4:83" ht="11.45" customHeight="1" x14ac:dyDescent="0.2">
      <c r="D125" s="12"/>
      <c r="E125" s="12"/>
      <c r="F125" s="12"/>
      <c r="G125" s="12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</row>
    <row r="126" spans="4:83" ht="11.45" customHeight="1" x14ac:dyDescent="0.2">
      <c r="D126" s="12"/>
      <c r="E126" s="12"/>
      <c r="F126" s="12"/>
      <c r="G126" s="12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</row>
    <row r="127" spans="4:83" ht="11.45" customHeight="1" x14ac:dyDescent="0.2">
      <c r="D127" s="12"/>
      <c r="E127" s="12"/>
      <c r="F127" s="12"/>
      <c r="G127" s="12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</row>
    <row r="128" spans="4:83" ht="11.45" customHeight="1" x14ac:dyDescent="0.2">
      <c r="D128" s="12"/>
      <c r="E128" s="12"/>
      <c r="F128" s="12"/>
      <c r="G128" s="12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</row>
    <row r="129" spans="4:83" ht="11.45" customHeight="1" x14ac:dyDescent="0.2">
      <c r="D129" s="12"/>
      <c r="E129" s="12"/>
      <c r="F129" s="12"/>
      <c r="G129" s="12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</row>
    <row r="130" spans="4:83" ht="11.45" customHeight="1" x14ac:dyDescent="0.2">
      <c r="D130" s="12"/>
      <c r="E130" s="12"/>
      <c r="F130" s="12"/>
      <c r="G130" s="12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</row>
    <row r="131" spans="4:83" ht="11.45" customHeight="1" x14ac:dyDescent="0.2">
      <c r="D131" s="12"/>
      <c r="E131" s="12"/>
      <c r="F131" s="12"/>
      <c r="G131" s="12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</row>
    <row r="132" spans="4:83" ht="11.45" customHeight="1" x14ac:dyDescent="0.2">
      <c r="D132" s="12"/>
      <c r="E132" s="12"/>
      <c r="F132" s="12"/>
      <c r="G132" s="12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</row>
    <row r="133" spans="4:83" ht="11.45" customHeight="1" x14ac:dyDescent="0.2">
      <c r="D133" s="12"/>
      <c r="E133" s="12"/>
      <c r="F133" s="12"/>
      <c r="G133" s="12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</row>
    <row r="134" spans="4:83" ht="11.45" customHeight="1" x14ac:dyDescent="0.2">
      <c r="D134" s="12"/>
      <c r="E134" s="12"/>
      <c r="F134" s="12"/>
      <c r="G134" s="12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</row>
    <row r="135" spans="4:83" ht="11.45" customHeight="1" x14ac:dyDescent="0.2">
      <c r="D135" s="12"/>
      <c r="E135" s="12"/>
      <c r="F135" s="12"/>
      <c r="G135" s="12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</row>
    <row r="136" spans="4:83" ht="11.45" customHeight="1" x14ac:dyDescent="0.2">
      <c r="D136" s="12"/>
      <c r="E136" s="12"/>
      <c r="F136" s="12"/>
      <c r="G136" s="12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</row>
    <row r="137" spans="4:83" ht="11.45" customHeight="1" x14ac:dyDescent="0.2">
      <c r="D137" s="12"/>
      <c r="E137" s="12"/>
      <c r="F137" s="12"/>
      <c r="G137" s="12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</row>
    <row r="138" spans="4:83" ht="11.45" customHeight="1" x14ac:dyDescent="0.2">
      <c r="D138" s="12"/>
      <c r="E138" s="12"/>
      <c r="F138" s="12"/>
      <c r="G138" s="12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</row>
    <row r="139" spans="4:83" ht="11.45" customHeight="1" x14ac:dyDescent="0.2">
      <c r="D139" s="12"/>
      <c r="E139" s="12"/>
      <c r="F139" s="12"/>
      <c r="G139" s="12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</row>
    <row r="140" spans="4:83" ht="11.45" customHeight="1" x14ac:dyDescent="0.2">
      <c r="D140" s="12"/>
      <c r="E140" s="12"/>
      <c r="F140" s="12"/>
      <c r="G140" s="12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</row>
    <row r="141" spans="4:83" ht="11.45" customHeight="1" x14ac:dyDescent="0.2">
      <c r="D141" s="12"/>
      <c r="E141" s="12"/>
      <c r="F141" s="12"/>
      <c r="G141" s="12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</row>
    <row r="142" spans="4:83" ht="11.45" customHeight="1" x14ac:dyDescent="0.2">
      <c r="D142" s="12"/>
      <c r="E142" s="12"/>
      <c r="F142" s="12"/>
      <c r="G142" s="12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</row>
    <row r="143" spans="4:83" ht="11.45" customHeight="1" x14ac:dyDescent="0.2">
      <c r="D143" s="12"/>
      <c r="E143" s="12"/>
      <c r="F143" s="12"/>
      <c r="G143" s="12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</row>
    <row r="144" spans="4:83" ht="11.45" customHeight="1" x14ac:dyDescent="0.2">
      <c r="D144" s="12"/>
      <c r="E144" s="12"/>
      <c r="F144" s="12"/>
      <c r="G144" s="12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</row>
    <row r="145" spans="4:83" ht="11.45" customHeight="1" x14ac:dyDescent="0.2">
      <c r="D145" s="12"/>
      <c r="E145" s="12"/>
      <c r="F145" s="12"/>
      <c r="G145" s="12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</row>
    <row r="146" spans="4:83" ht="11.45" customHeight="1" x14ac:dyDescent="0.2">
      <c r="D146" s="12"/>
      <c r="E146" s="12"/>
      <c r="F146" s="12"/>
      <c r="G146" s="12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</row>
    <row r="147" spans="4:83" ht="11.45" customHeight="1" x14ac:dyDescent="0.2">
      <c r="D147" s="12"/>
      <c r="E147" s="12"/>
      <c r="F147" s="12"/>
      <c r="G147" s="12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</row>
    <row r="148" spans="4:83" ht="11.45" customHeight="1" x14ac:dyDescent="0.2">
      <c r="D148" s="12"/>
      <c r="E148" s="12"/>
      <c r="F148" s="12"/>
      <c r="G148" s="12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</row>
    <row r="149" spans="4:83" ht="11.45" customHeight="1" x14ac:dyDescent="0.2">
      <c r="D149" s="12"/>
      <c r="E149" s="12"/>
      <c r="F149" s="12"/>
      <c r="G149" s="12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</row>
    <row r="150" spans="4:83" ht="11.45" customHeight="1" x14ac:dyDescent="0.2">
      <c r="D150" s="12"/>
      <c r="E150" s="12"/>
      <c r="F150" s="12"/>
      <c r="G150" s="12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</row>
    <row r="151" spans="4:83" ht="11.45" customHeight="1" x14ac:dyDescent="0.2">
      <c r="D151" s="12"/>
      <c r="E151" s="12"/>
      <c r="F151" s="12"/>
      <c r="G151" s="12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</row>
    <row r="152" spans="4:83" ht="11.45" customHeight="1" x14ac:dyDescent="0.2">
      <c r="D152" s="12"/>
      <c r="E152" s="12"/>
      <c r="F152" s="12"/>
      <c r="G152" s="12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</row>
    <row r="153" spans="4:83" ht="11.45" customHeight="1" x14ac:dyDescent="0.2">
      <c r="D153" s="12"/>
      <c r="E153" s="12"/>
      <c r="F153" s="12"/>
      <c r="G153" s="12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</row>
    <row r="154" spans="4:83" ht="11.45" customHeight="1" x14ac:dyDescent="0.2">
      <c r="D154" s="12"/>
      <c r="E154" s="12"/>
      <c r="F154" s="12"/>
      <c r="G154" s="12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</row>
    <row r="155" spans="4:83" ht="11.45" customHeight="1" x14ac:dyDescent="0.2">
      <c r="D155" s="12"/>
      <c r="E155" s="12"/>
      <c r="F155" s="12"/>
      <c r="G155" s="12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</row>
    <row r="156" spans="4:83" ht="11.45" customHeight="1" x14ac:dyDescent="0.2">
      <c r="D156" s="12"/>
      <c r="E156" s="12"/>
      <c r="F156" s="12"/>
      <c r="G156" s="12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</row>
    <row r="157" spans="4:83" ht="11.45" customHeight="1" x14ac:dyDescent="0.2">
      <c r="D157" s="12"/>
      <c r="E157" s="12"/>
      <c r="F157" s="12"/>
      <c r="G157" s="12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</row>
    <row r="158" spans="4:83" ht="11.45" customHeight="1" x14ac:dyDescent="0.2">
      <c r="D158" s="12"/>
      <c r="E158" s="12"/>
      <c r="F158" s="12"/>
      <c r="G158" s="12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</row>
    <row r="159" spans="4:83" ht="11.45" customHeight="1" x14ac:dyDescent="0.2">
      <c r="D159" s="12"/>
      <c r="E159" s="12"/>
      <c r="F159" s="12"/>
      <c r="G159" s="12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</row>
    <row r="160" spans="4:83" ht="11.45" customHeight="1" x14ac:dyDescent="0.2">
      <c r="D160" s="12"/>
      <c r="E160" s="12"/>
      <c r="F160" s="12"/>
      <c r="G160" s="12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</row>
    <row r="161" spans="4:83" ht="11.45" customHeight="1" x14ac:dyDescent="0.2">
      <c r="D161" s="12"/>
      <c r="E161" s="12"/>
      <c r="F161" s="12"/>
      <c r="G161" s="12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</row>
    <row r="162" spans="4:83" ht="11.45" customHeight="1" x14ac:dyDescent="0.2">
      <c r="D162" s="12"/>
      <c r="E162" s="12"/>
      <c r="F162" s="12"/>
      <c r="G162" s="12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</row>
    <row r="163" spans="4:83" ht="11.45" customHeight="1" x14ac:dyDescent="0.2">
      <c r="D163" s="12"/>
      <c r="E163" s="12"/>
      <c r="F163" s="12"/>
      <c r="G163" s="12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</row>
    <row r="164" spans="4:83" ht="11.45" customHeight="1" x14ac:dyDescent="0.2">
      <c r="D164" s="12"/>
      <c r="E164" s="12"/>
      <c r="F164" s="12"/>
      <c r="G164" s="12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</row>
    <row r="165" spans="4:83" ht="11.45" customHeight="1" x14ac:dyDescent="0.2">
      <c r="D165" s="12"/>
      <c r="E165" s="12"/>
      <c r="F165" s="12"/>
      <c r="G165" s="12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</row>
    <row r="166" spans="4:83" ht="11.45" customHeight="1" x14ac:dyDescent="0.2">
      <c r="D166" s="12"/>
      <c r="E166" s="12"/>
      <c r="F166" s="12"/>
      <c r="G166" s="12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</row>
    <row r="167" spans="4:83" ht="11.45" customHeight="1" x14ac:dyDescent="0.2">
      <c r="D167" s="12"/>
      <c r="E167" s="12"/>
      <c r="F167" s="12"/>
      <c r="G167" s="12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</row>
    <row r="168" spans="4:83" ht="11.45" customHeight="1" x14ac:dyDescent="0.2">
      <c r="D168" s="12"/>
      <c r="E168" s="12"/>
      <c r="F168" s="12"/>
      <c r="G168" s="12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</row>
    <row r="169" spans="4:83" ht="11.45" customHeight="1" x14ac:dyDescent="0.2">
      <c r="D169" s="12"/>
      <c r="E169" s="12"/>
      <c r="F169" s="12"/>
      <c r="G169" s="12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</row>
    <row r="170" spans="4:83" ht="11.45" customHeight="1" x14ac:dyDescent="0.2">
      <c r="D170" s="12"/>
      <c r="E170" s="12"/>
      <c r="F170" s="12"/>
      <c r="G170" s="12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</row>
    <row r="171" spans="4:83" ht="11.45" customHeight="1" x14ac:dyDescent="0.2">
      <c r="D171" s="12"/>
      <c r="E171" s="12"/>
      <c r="F171" s="12"/>
      <c r="G171" s="12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</row>
    <row r="172" spans="4:83" ht="11.45" customHeight="1" x14ac:dyDescent="0.2">
      <c r="D172" s="12"/>
      <c r="E172" s="12"/>
      <c r="F172" s="12"/>
      <c r="G172" s="12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</row>
    <row r="173" spans="4:83" ht="11.45" customHeight="1" x14ac:dyDescent="0.2">
      <c r="D173" s="12"/>
      <c r="E173" s="12"/>
      <c r="F173" s="12"/>
      <c r="G173" s="12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</row>
    <row r="174" spans="4:83" ht="11.45" customHeight="1" x14ac:dyDescent="0.2">
      <c r="D174" s="12"/>
      <c r="E174" s="12"/>
      <c r="F174" s="12"/>
      <c r="G174" s="12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</row>
    <row r="175" spans="4:83" ht="11.45" customHeight="1" x14ac:dyDescent="0.2">
      <c r="D175" s="12"/>
      <c r="E175" s="12"/>
      <c r="F175" s="12"/>
      <c r="G175" s="12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</row>
    <row r="176" spans="4:83" ht="11.45" customHeight="1" x14ac:dyDescent="0.2">
      <c r="D176" s="12"/>
      <c r="E176" s="12"/>
      <c r="F176" s="12"/>
      <c r="G176" s="12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</row>
    <row r="177" spans="4:83" ht="11.45" customHeight="1" x14ac:dyDescent="0.2">
      <c r="D177" s="12"/>
      <c r="E177" s="12"/>
      <c r="F177" s="12"/>
      <c r="G177" s="12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</row>
    <row r="178" spans="4:83" ht="11.45" customHeight="1" x14ac:dyDescent="0.2">
      <c r="D178" s="12"/>
      <c r="E178" s="12"/>
      <c r="F178" s="12"/>
      <c r="G178" s="12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</row>
    <row r="179" spans="4:83" ht="11.45" customHeight="1" x14ac:dyDescent="0.2">
      <c r="D179" s="12"/>
      <c r="E179" s="12"/>
      <c r="F179" s="12"/>
      <c r="G179" s="12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</row>
    <row r="180" spans="4:83" ht="11.45" customHeight="1" x14ac:dyDescent="0.2">
      <c r="D180" s="12"/>
      <c r="E180" s="12"/>
      <c r="F180" s="12"/>
      <c r="G180" s="12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</row>
    <row r="181" spans="4:83" ht="11.45" customHeight="1" x14ac:dyDescent="0.2">
      <c r="D181" s="12"/>
      <c r="E181" s="12"/>
      <c r="F181" s="12"/>
      <c r="G181" s="12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</row>
    <row r="182" spans="4:83" ht="11.45" customHeight="1" x14ac:dyDescent="0.2">
      <c r="D182" s="12"/>
      <c r="E182" s="12"/>
      <c r="F182" s="12"/>
      <c r="G182" s="12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</row>
    <row r="183" spans="4:83" ht="11.45" customHeight="1" x14ac:dyDescent="0.2">
      <c r="D183" s="12"/>
      <c r="E183" s="12"/>
      <c r="F183" s="12"/>
      <c r="G183" s="12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</row>
    <row r="184" spans="4:83" ht="11.45" customHeight="1" x14ac:dyDescent="0.2">
      <c r="D184" s="12"/>
      <c r="E184" s="12"/>
      <c r="F184" s="12"/>
      <c r="G184" s="12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</row>
    <row r="185" spans="4:83" ht="11.45" customHeight="1" x14ac:dyDescent="0.2">
      <c r="D185" s="12"/>
      <c r="E185" s="12"/>
      <c r="F185" s="12"/>
      <c r="G185" s="12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</row>
    <row r="186" spans="4:83" ht="11.45" customHeight="1" x14ac:dyDescent="0.2">
      <c r="D186" s="12"/>
      <c r="E186" s="12"/>
      <c r="F186" s="12"/>
      <c r="G186" s="12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</row>
    <row r="187" spans="4:83" ht="11.45" customHeight="1" x14ac:dyDescent="0.2">
      <c r="D187" s="12"/>
      <c r="E187" s="12"/>
      <c r="F187" s="12"/>
      <c r="G187" s="12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</row>
    <row r="188" spans="4:83" ht="11.45" customHeight="1" x14ac:dyDescent="0.2">
      <c r="D188" s="12"/>
      <c r="E188" s="12"/>
      <c r="F188" s="12"/>
      <c r="G188" s="12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</row>
    <row r="189" spans="4:83" ht="11.45" customHeight="1" x14ac:dyDescent="0.2">
      <c r="D189" s="12"/>
      <c r="E189" s="12"/>
      <c r="F189" s="12"/>
      <c r="G189" s="12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</row>
    <row r="190" spans="4:83" ht="11.45" customHeight="1" x14ac:dyDescent="0.2">
      <c r="D190" s="12"/>
      <c r="E190" s="12"/>
      <c r="F190" s="12"/>
      <c r="G190" s="12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</row>
    <row r="191" spans="4:83" ht="11.45" customHeight="1" x14ac:dyDescent="0.2">
      <c r="D191" s="12"/>
      <c r="E191" s="12"/>
      <c r="F191" s="12"/>
      <c r="G191" s="12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</row>
    <row r="192" spans="4:83" ht="11.45" customHeight="1" x14ac:dyDescent="0.2">
      <c r="D192" s="12"/>
      <c r="E192" s="12"/>
      <c r="F192" s="12"/>
      <c r="G192" s="12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</row>
    <row r="193" spans="4:83" ht="11.45" customHeight="1" x14ac:dyDescent="0.2">
      <c r="D193" s="12"/>
      <c r="E193" s="12"/>
      <c r="F193" s="12"/>
      <c r="G193" s="12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</row>
    <row r="194" spans="4:83" ht="11.45" customHeight="1" x14ac:dyDescent="0.2">
      <c r="D194" s="12"/>
      <c r="E194" s="12"/>
      <c r="F194" s="12"/>
      <c r="G194" s="12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</row>
    <row r="195" spans="4:83" ht="11.45" customHeight="1" x14ac:dyDescent="0.2">
      <c r="D195" s="12"/>
      <c r="E195" s="12"/>
      <c r="F195" s="12"/>
      <c r="G195" s="12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</row>
    <row r="196" spans="4:83" ht="11.45" customHeight="1" x14ac:dyDescent="0.2">
      <c r="D196" s="12"/>
      <c r="E196" s="12"/>
      <c r="F196" s="12"/>
      <c r="G196" s="12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</row>
    <row r="197" spans="4:83" ht="11.45" customHeight="1" x14ac:dyDescent="0.2">
      <c r="D197" s="12"/>
      <c r="E197" s="12"/>
      <c r="F197" s="12"/>
      <c r="G197" s="12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</row>
    <row r="198" spans="4:83" ht="11.45" customHeight="1" x14ac:dyDescent="0.2">
      <c r="D198" s="12"/>
      <c r="E198" s="12"/>
      <c r="F198" s="12"/>
      <c r="G198" s="12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</row>
    <row r="199" spans="4:83" ht="11.45" customHeight="1" x14ac:dyDescent="0.2">
      <c r="D199" s="12"/>
      <c r="E199" s="12"/>
      <c r="F199" s="12"/>
      <c r="G199" s="12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</row>
    <row r="200" spans="4:83" ht="11.45" customHeight="1" x14ac:dyDescent="0.2">
      <c r="D200" s="12"/>
      <c r="E200" s="12"/>
      <c r="F200" s="12"/>
      <c r="G200" s="12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</row>
    <row r="201" spans="4:83" ht="11.45" customHeight="1" x14ac:dyDescent="0.2">
      <c r="D201" s="12"/>
      <c r="E201" s="12"/>
      <c r="F201" s="12"/>
      <c r="G201" s="12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</row>
    <row r="202" spans="4:83" ht="11.45" customHeight="1" x14ac:dyDescent="0.2">
      <c r="D202" s="12"/>
      <c r="E202" s="12"/>
      <c r="F202" s="12"/>
      <c r="G202" s="12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</row>
    <row r="203" spans="4:83" ht="11.45" customHeight="1" x14ac:dyDescent="0.2">
      <c r="D203" s="12"/>
      <c r="E203" s="12"/>
      <c r="F203" s="12"/>
      <c r="G203" s="12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</row>
    <row r="204" spans="4:83" ht="11.45" customHeight="1" x14ac:dyDescent="0.2">
      <c r="D204" s="12"/>
      <c r="E204" s="12"/>
      <c r="F204" s="12"/>
      <c r="G204" s="12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</row>
    <row r="205" spans="4:83" ht="11.45" customHeight="1" x14ac:dyDescent="0.2">
      <c r="D205" s="12"/>
      <c r="E205" s="12"/>
      <c r="F205" s="12"/>
      <c r="G205" s="12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</row>
    <row r="206" spans="4:83" ht="11.45" customHeight="1" x14ac:dyDescent="0.2">
      <c r="D206" s="12"/>
      <c r="E206" s="12"/>
      <c r="F206" s="12"/>
      <c r="G206" s="12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</row>
    <row r="207" spans="4:83" ht="11.45" customHeight="1" x14ac:dyDescent="0.2">
      <c r="D207" s="12"/>
      <c r="E207" s="12"/>
      <c r="F207" s="12"/>
      <c r="G207" s="1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</row>
    <row r="208" spans="4:83" ht="11.45" customHeight="1" x14ac:dyDescent="0.2">
      <c r="D208" s="12"/>
      <c r="E208" s="12"/>
      <c r="F208" s="12"/>
      <c r="G208" s="12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</row>
    <row r="209" spans="4:83" ht="11.45" customHeight="1" x14ac:dyDescent="0.2">
      <c r="D209" s="12"/>
      <c r="E209" s="12"/>
      <c r="F209" s="12"/>
      <c r="G209" s="12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</row>
    <row r="210" spans="4:83" ht="11.45" customHeight="1" x14ac:dyDescent="0.2">
      <c r="D210" s="12"/>
      <c r="E210" s="12"/>
      <c r="F210" s="12"/>
      <c r="G210" s="12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</row>
    <row r="211" spans="4:83" ht="11.45" customHeight="1" x14ac:dyDescent="0.2">
      <c r="D211" s="12"/>
      <c r="E211" s="12"/>
      <c r="F211" s="12"/>
      <c r="G211" s="12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</row>
    <row r="212" spans="4:83" ht="11.45" customHeight="1" x14ac:dyDescent="0.2">
      <c r="D212" s="12"/>
      <c r="E212" s="12"/>
      <c r="F212" s="12"/>
      <c r="G212" s="12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</row>
    <row r="213" spans="4:83" ht="11.45" customHeight="1" x14ac:dyDescent="0.2">
      <c r="D213" s="12"/>
      <c r="E213" s="12"/>
      <c r="F213" s="12"/>
      <c r="G213" s="12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</row>
    <row r="214" spans="4:83" ht="11.45" customHeight="1" x14ac:dyDescent="0.2">
      <c r="D214" s="12"/>
      <c r="E214" s="12"/>
      <c r="F214" s="12"/>
      <c r="G214" s="12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</row>
    <row r="215" spans="4:83" ht="11.45" customHeight="1" x14ac:dyDescent="0.2">
      <c r="D215" s="12"/>
      <c r="E215" s="12"/>
      <c r="F215" s="12"/>
      <c r="G215" s="12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</row>
    <row r="216" spans="4:83" ht="11.45" customHeight="1" x14ac:dyDescent="0.2">
      <c r="D216" s="12"/>
      <c r="E216" s="12"/>
      <c r="F216" s="12"/>
      <c r="G216" s="12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</row>
    <row r="217" spans="4:83" ht="11.45" customHeight="1" x14ac:dyDescent="0.2">
      <c r="D217" s="12"/>
      <c r="E217" s="12"/>
      <c r="F217" s="12"/>
      <c r="G217" s="12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</row>
    <row r="218" spans="4:83" ht="11.45" customHeight="1" x14ac:dyDescent="0.2">
      <c r="D218" s="12"/>
      <c r="E218" s="12"/>
      <c r="F218" s="12"/>
      <c r="G218" s="12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</row>
    <row r="219" spans="4:83" ht="11.45" customHeight="1" x14ac:dyDescent="0.2">
      <c r="D219" s="12"/>
      <c r="E219" s="12"/>
      <c r="F219" s="12"/>
      <c r="G219" s="12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</row>
    <row r="220" spans="4:83" ht="11.45" customHeight="1" x14ac:dyDescent="0.2">
      <c r="D220" s="12"/>
      <c r="E220" s="12"/>
      <c r="F220" s="12"/>
      <c r="G220" s="12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</row>
    <row r="221" spans="4:83" ht="11.45" customHeight="1" x14ac:dyDescent="0.2">
      <c r="D221" s="12"/>
      <c r="E221" s="12"/>
      <c r="F221" s="12"/>
      <c r="G221" s="12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</row>
    <row r="222" spans="4:83" ht="11.45" customHeight="1" x14ac:dyDescent="0.2">
      <c r="D222" s="12"/>
      <c r="E222" s="12"/>
      <c r="F222" s="12"/>
      <c r="G222" s="12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</row>
    <row r="223" spans="4:83" ht="11.45" customHeight="1" x14ac:dyDescent="0.2">
      <c r="D223" s="12"/>
      <c r="E223" s="12"/>
      <c r="F223" s="12"/>
      <c r="G223" s="12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</row>
    <row r="224" spans="4:83" ht="11.45" customHeight="1" x14ac:dyDescent="0.2">
      <c r="D224" s="12"/>
      <c r="E224" s="12"/>
      <c r="F224" s="12"/>
      <c r="G224" s="12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</row>
    <row r="225" spans="4:83" ht="11.45" customHeight="1" x14ac:dyDescent="0.2">
      <c r="D225" s="12"/>
      <c r="E225" s="12"/>
      <c r="F225" s="12"/>
      <c r="G225" s="12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</row>
    <row r="226" spans="4:83" ht="11.45" customHeight="1" x14ac:dyDescent="0.2">
      <c r="D226" s="12"/>
      <c r="E226" s="12"/>
      <c r="F226" s="12"/>
      <c r="G226" s="12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</row>
    <row r="227" spans="4:83" ht="11.45" customHeight="1" x14ac:dyDescent="0.2">
      <c r="D227" s="12"/>
      <c r="E227" s="12"/>
      <c r="F227" s="12"/>
      <c r="G227" s="12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</row>
    <row r="228" spans="4:83" ht="11.45" customHeight="1" x14ac:dyDescent="0.2">
      <c r="D228" s="12"/>
      <c r="E228" s="12"/>
      <c r="F228" s="12"/>
      <c r="G228" s="12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</row>
    <row r="229" spans="4:83" ht="11.45" customHeight="1" x14ac:dyDescent="0.2">
      <c r="D229" s="12"/>
      <c r="E229" s="12"/>
      <c r="F229" s="12"/>
      <c r="G229" s="12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</row>
    <row r="230" spans="4:83" ht="11.45" customHeight="1" x14ac:dyDescent="0.2">
      <c r="D230" s="12"/>
      <c r="E230" s="12"/>
      <c r="F230" s="12"/>
      <c r="G230" s="12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</row>
    <row r="231" spans="4:83" ht="11.45" customHeight="1" x14ac:dyDescent="0.2">
      <c r="D231" s="12"/>
      <c r="E231" s="12"/>
      <c r="F231" s="12"/>
      <c r="G231" s="12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</row>
    <row r="232" spans="4:83" ht="11.45" customHeight="1" x14ac:dyDescent="0.2">
      <c r="D232" s="12"/>
      <c r="E232" s="12"/>
      <c r="F232" s="12"/>
      <c r="G232" s="1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</row>
    <row r="233" spans="4:83" ht="11.45" customHeight="1" x14ac:dyDescent="0.2">
      <c r="D233" s="12"/>
      <c r="E233" s="12"/>
      <c r="F233" s="12"/>
      <c r="G233" s="12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</row>
    <row r="234" spans="4:83" ht="11.45" customHeight="1" x14ac:dyDescent="0.2">
      <c r="D234" s="12"/>
      <c r="E234" s="12"/>
      <c r="F234" s="12"/>
      <c r="G234" s="12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</row>
    <row r="235" spans="4:83" ht="11.45" customHeight="1" x14ac:dyDescent="0.2">
      <c r="D235" s="12"/>
      <c r="E235" s="12"/>
      <c r="F235" s="12"/>
      <c r="G235" s="12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</row>
    <row r="236" spans="4:83" ht="11.45" customHeight="1" x14ac:dyDescent="0.2">
      <c r="D236" s="12"/>
      <c r="E236" s="12"/>
      <c r="F236" s="12"/>
      <c r="G236" s="12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</row>
    <row r="237" spans="4:83" ht="11.45" customHeight="1" x14ac:dyDescent="0.2">
      <c r="D237" s="12"/>
      <c r="E237" s="12"/>
      <c r="F237" s="12"/>
      <c r="G237" s="12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</row>
    <row r="238" spans="4:83" ht="11.45" customHeight="1" x14ac:dyDescent="0.2">
      <c r="D238" s="12"/>
      <c r="E238" s="12"/>
      <c r="F238" s="12"/>
      <c r="G238" s="12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</row>
    <row r="239" spans="4:83" ht="11.45" customHeight="1" x14ac:dyDescent="0.2">
      <c r="D239" s="12"/>
      <c r="E239" s="12"/>
      <c r="F239" s="12"/>
      <c r="G239" s="12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</row>
    <row r="240" spans="4:83" ht="11.45" customHeight="1" x14ac:dyDescent="0.2">
      <c r="D240" s="12"/>
      <c r="E240" s="12"/>
      <c r="F240" s="12"/>
      <c r="G240" s="12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</row>
    <row r="241" spans="4:83" ht="11.45" customHeight="1" x14ac:dyDescent="0.2">
      <c r="D241" s="12"/>
      <c r="E241" s="12"/>
      <c r="F241" s="12"/>
      <c r="G241" s="12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</row>
    <row r="242" spans="4:83" ht="11.45" customHeight="1" x14ac:dyDescent="0.2">
      <c r="D242" s="12"/>
      <c r="E242" s="12"/>
      <c r="F242" s="12"/>
      <c r="G242" s="12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</row>
    <row r="243" spans="4:83" ht="11.45" customHeight="1" x14ac:dyDescent="0.2">
      <c r="D243" s="12"/>
      <c r="E243" s="12"/>
      <c r="F243" s="12"/>
      <c r="G243" s="12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</row>
    <row r="244" spans="4:83" ht="11.45" customHeight="1" x14ac:dyDescent="0.2">
      <c r="D244" s="12"/>
      <c r="E244" s="12"/>
      <c r="F244" s="12"/>
      <c r="G244" s="12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</row>
    <row r="245" spans="4:83" ht="11.45" customHeight="1" x14ac:dyDescent="0.2">
      <c r="D245" s="12"/>
      <c r="E245" s="12"/>
      <c r="F245" s="12"/>
      <c r="G245" s="12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</row>
    <row r="246" spans="4:83" ht="11.45" customHeight="1" x14ac:dyDescent="0.2">
      <c r="D246" s="12"/>
      <c r="E246" s="12"/>
      <c r="F246" s="12"/>
      <c r="G246" s="12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</row>
    <row r="247" spans="4:83" ht="11.45" customHeight="1" x14ac:dyDescent="0.2">
      <c r="D247" s="12"/>
      <c r="E247" s="12"/>
      <c r="F247" s="12"/>
      <c r="G247" s="12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</row>
    <row r="248" spans="4:83" ht="11.45" customHeight="1" x14ac:dyDescent="0.2">
      <c r="D248" s="12"/>
      <c r="E248" s="12"/>
      <c r="F248" s="12"/>
      <c r="G248" s="12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</row>
    <row r="249" spans="4:83" ht="11.45" customHeight="1" x14ac:dyDescent="0.2">
      <c r="D249" s="12"/>
      <c r="E249" s="12"/>
      <c r="F249" s="12"/>
      <c r="G249" s="12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</row>
    <row r="250" spans="4:83" ht="11.45" customHeight="1" x14ac:dyDescent="0.2">
      <c r="D250" s="12"/>
      <c r="E250" s="12"/>
      <c r="F250" s="12"/>
      <c r="G250" s="12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</row>
    <row r="251" spans="4:83" ht="11.45" customHeight="1" x14ac:dyDescent="0.2">
      <c r="D251" s="12"/>
      <c r="E251" s="12"/>
      <c r="F251" s="12"/>
      <c r="G251" s="12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</row>
    <row r="252" spans="4:83" ht="11.45" customHeight="1" x14ac:dyDescent="0.2">
      <c r="D252" s="12"/>
      <c r="E252" s="12"/>
      <c r="F252" s="12"/>
      <c r="G252" s="12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</row>
    <row r="253" spans="4:83" ht="11.45" customHeight="1" x14ac:dyDescent="0.2">
      <c r="D253" s="12"/>
      <c r="E253" s="12"/>
      <c r="F253" s="12"/>
      <c r="G253" s="12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</row>
    <row r="254" spans="4:83" ht="11.45" customHeight="1" x14ac:dyDescent="0.2">
      <c r="D254" s="12"/>
      <c r="E254" s="12"/>
      <c r="F254" s="12"/>
      <c r="G254" s="12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</row>
    <row r="255" spans="4:83" ht="11.45" customHeight="1" x14ac:dyDescent="0.2">
      <c r="D255" s="12"/>
      <c r="E255" s="12"/>
      <c r="F255" s="12"/>
      <c r="G255" s="12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</row>
    <row r="256" spans="4:83" ht="11.45" customHeight="1" x14ac:dyDescent="0.2">
      <c r="D256" s="12"/>
      <c r="E256" s="12"/>
      <c r="F256" s="12"/>
      <c r="G256" s="12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</row>
    <row r="257" spans="4:83" ht="11.45" customHeight="1" x14ac:dyDescent="0.2">
      <c r="D257" s="12"/>
      <c r="E257" s="12"/>
      <c r="F257" s="12"/>
      <c r="G257" s="12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</row>
    <row r="258" spans="4:83" ht="11.45" customHeight="1" x14ac:dyDescent="0.2">
      <c r="D258" s="12"/>
      <c r="E258" s="12"/>
      <c r="F258" s="12"/>
      <c r="G258" s="12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</row>
    <row r="259" spans="4:83" ht="11.45" customHeight="1" x14ac:dyDescent="0.2">
      <c r="D259" s="12"/>
      <c r="E259" s="12"/>
      <c r="F259" s="12"/>
      <c r="G259" s="12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</row>
    <row r="260" spans="4:83" ht="11.45" customHeight="1" x14ac:dyDescent="0.2">
      <c r="D260" s="12"/>
      <c r="E260" s="12"/>
      <c r="F260" s="12"/>
      <c r="G260" s="12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</row>
    <row r="261" spans="4:83" ht="11.45" customHeight="1" x14ac:dyDescent="0.2">
      <c r="D261" s="12"/>
      <c r="E261" s="12"/>
      <c r="F261" s="12"/>
      <c r="G261" s="12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</row>
    <row r="262" spans="4:83" ht="11.45" customHeight="1" x14ac:dyDescent="0.2">
      <c r="D262" s="12"/>
      <c r="E262" s="12"/>
      <c r="F262" s="12"/>
      <c r="G262" s="12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</row>
    <row r="263" spans="4:83" ht="11.45" customHeight="1" x14ac:dyDescent="0.2">
      <c r="D263" s="12"/>
      <c r="E263" s="12"/>
      <c r="F263" s="12"/>
      <c r="G263" s="12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</row>
    <row r="264" spans="4:83" ht="11.45" customHeight="1" x14ac:dyDescent="0.2">
      <c r="D264" s="12"/>
      <c r="E264" s="12"/>
      <c r="F264" s="12"/>
      <c r="G264" s="1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</row>
    <row r="265" spans="4:83" ht="11.45" customHeight="1" x14ac:dyDescent="0.2">
      <c r="D265" s="12"/>
      <c r="E265" s="12"/>
      <c r="F265" s="12"/>
      <c r="G265" s="12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</row>
    <row r="266" spans="4:83" ht="11.45" customHeight="1" x14ac:dyDescent="0.2">
      <c r="D266" s="12"/>
      <c r="E266" s="12"/>
      <c r="F266" s="12"/>
      <c r="G266" s="12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</row>
    <row r="267" spans="4:83" ht="11.45" customHeight="1" x14ac:dyDescent="0.2">
      <c r="D267" s="12"/>
      <c r="E267" s="12"/>
      <c r="F267" s="12"/>
      <c r="G267" s="12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</row>
    <row r="268" spans="4:83" ht="11.45" customHeight="1" x14ac:dyDescent="0.2">
      <c r="D268" s="12"/>
      <c r="E268" s="12"/>
      <c r="F268" s="12"/>
      <c r="G268" s="12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</row>
    <row r="269" spans="4:83" ht="11.45" customHeight="1" x14ac:dyDescent="0.2">
      <c r="D269" s="12"/>
      <c r="E269" s="12"/>
      <c r="F269" s="12"/>
      <c r="G269" s="12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</row>
    <row r="270" spans="4:83" ht="11.45" customHeight="1" x14ac:dyDescent="0.2">
      <c r="D270" s="12"/>
      <c r="E270" s="12"/>
      <c r="F270" s="12"/>
      <c r="G270" s="12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</row>
    <row r="271" spans="4:83" ht="11.45" customHeight="1" x14ac:dyDescent="0.2">
      <c r="D271" s="12"/>
      <c r="E271" s="12"/>
      <c r="F271" s="12"/>
      <c r="G271" s="12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</row>
    <row r="272" spans="4:83" ht="11.45" customHeight="1" x14ac:dyDescent="0.2">
      <c r="D272" s="12"/>
      <c r="E272" s="12"/>
      <c r="F272" s="12"/>
      <c r="G272" s="12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</row>
    <row r="273" spans="4:83" ht="11.45" customHeight="1" x14ac:dyDescent="0.2">
      <c r="D273" s="12"/>
      <c r="E273" s="12"/>
      <c r="F273" s="12"/>
      <c r="G273" s="12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</row>
    <row r="274" spans="4:83" ht="11.45" customHeight="1" x14ac:dyDescent="0.2">
      <c r="D274" s="12"/>
      <c r="E274" s="12"/>
      <c r="F274" s="12"/>
      <c r="G274" s="12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</row>
    <row r="275" spans="4:83" ht="11.45" customHeight="1" x14ac:dyDescent="0.2">
      <c r="D275" s="12"/>
      <c r="E275" s="12"/>
      <c r="F275" s="12"/>
      <c r="G275" s="12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</row>
    <row r="276" spans="4:83" ht="11.45" customHeight="1" x14ac:dyDescent="0.2">
      <c r="D276" s="12"/>
      <c r="E276" s="12"/>
      <c r="F276" s="12"/>
      <c r="G276" s="12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</row>
    <row r="277" spans="4:83" ht="11.45" customHeight="1" x14ac:dyDescent="0.2">
      <c r="D277" s="12"/>
      <c r="E277" s="12"/>
      <c r="F277" s="12"/>
      <c r="G277" s="12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</row>
    <row r="278" spans="4:83" ht="11.45" customHeight="1" x14ac:dyDescent="0.2">
      <c r="D278" s="12"/>
      <c r="E278" s="12"/>
      <c r="F278" s="12"/>
      <c r="G278" s="12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</row>
    <row r="279" spans="4:83" ht="11.45" customHeight="1" x14ac:dyDescent="0.2">
      <c r="D279" s="12"/>
      <c r="E279" s="12"/>
      <c r="F279" s="12"/>
      <c r="G279" s="12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</row>
    <row r="280" spans="4:83" ht="11.45" customHeight="1" x14ac:dyDescent="0.2">
      <c r="D280" s="12"/>
      <c r="E280" s="12"/>
      <c r="F280" s="12"/>
      <c r="G280" s="12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</row>
    <row r="281" spans="4:83" ht="11.45" customHeight="1" x14ac:dyDescent="0.2">
      <c r="D281" s="12"/>
      <c r="E281" s="12"/>
      <c r="F281" s="12"/>
      <c r="G281" s="12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</row>
    <row r="282" spans="4:83" ht="11.45" customHeight="1" x14ac:dyDescent="0.2">
      <c r="D282" s="12"/>
      <c r="E282" s="12"/>
      <c r="F282" s="12"/>
      <c r="G282" s="12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</row>
    <row r="283" spans="4:83" ht="11.45" customHeight="1" x14ac:dyDescent="0.2">
      <c r="D283" s="12"/>
      <c r="E283" s="12"/>
      <c r="F283" s="12"/>
      <c r="G283" s="12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</row>
    <row r="284" spans="4:83" ht="11.45" customHeight="1" x14ac:dyDescent="0.2">
      <c r="D284" s="12"/>
      <c r="E284" s="12"/>
      <c r="F284" s="12"/>
      <c r="G284" s="12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</row>
    <row r="285" spans="4:83" ht="11.45" customHeight="1" x14ac:dyDescent="0.2">
      <c r="D285" s="12"/>
      <c r="E285" s="12"/>
      <c r="F285" s="12"/>
      <c r="G285" s="12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</row>
    <row r="286" spans="4:83" ht="11.45" customHeight="1" x14ac:dyDescent="0.2">
      <c r="D286" s="12"/>
      <c r="E286" s="12"/>
      <c r="F286" s="12"/>
      <c r="G286" s="12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</row>
    <row r="287" spans="4:83" ht="11.45" customHeight="1" x14ac:dyDescent="0.2">
      <c r="D287" s="12"/>
      <c r="E287" s="12"/>
      <c r="F287" s="12"/>
      <c r="G287" s="12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</row>
    <row r="288" spans="4:83" ht="11.45" customHeight="1" x14ac:dyDescent="0.2">
      <c r="D288" s="12"/>
      <c r="E288" s="12"/>
      <c r="F288" s="12"/>
      <c r="G288" s="12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</row>
    <row r="289" spans="4:83" ht="11.45" customHeight="1" x14ac:dyDescent="0.2">
      <c r="D289" s="12"/>
      <c r="E289" s="12"/>
      <c r="F289" s="12"/>
      <c r="G289" s="12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</row>
    <row r="290" spans="4:83" ht="11.45" customHeight="1" x14ac:dyDescent="0.2">
      <c r="D290" s="12"/>
      <c r="E290" s="12"/>
      <c r="F290" s="12"/>
      <c r="G290" s="12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</row>
    <row r="291" spans="4:83" ht="11.45" customHeight="1" x14ac:dyDescent="0.2">
      <c r="D291" s="12"/>
      <c r="E291" s="12"/>
      <c r="F291" s="12"/>
      <c r="G291" s="12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</row>
    <row r="292" spans="4:83" ht="11.45" customHeight="1" x14ac:dyDescent="0.2">
      <c r="D292" s="12"/>
      <c r="E292" s="12"/>
      <c r="F292" s="12"/>
      <c r="G292" s="12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</row>
    <row r="293" spans="4:83" ht="11.45" customHeight="1" x14ac:dyDescent="0.2">
      <c r="D293" s="12"/>
      <c r="E293" s="12"/>
      <c r="F293" s="12"/>
      <c r="G293" s="12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</row>
    <row r="294" spans="4:83" ht="11.45" customHeight="1" x14ac:dyDescent="0.2">
      <c r="D294" s="12"/>
      <c r="E294" s="12"/>
      <c r="F294" s="12"/>
      <c r="G294" s="12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</row>
    <row r="295" spans="4:83" ht="11.45" customHeight="1" x14ac:dyDescent="0.2">
      <c r="D295" s="12"/>
      <c r="E295" s="12"/>
      <c r="F295" s="12"/>
      <c r="G295" s="12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</row>
    <row r="296" spans="4:83" ht="11.45" customHeight="1" x14ac:dyDescent="0.2">
      <c r="D296" s="12"/>
      <c r="E296" s="12"/>
      <c r="F296" s="12"/>
      <c r="G296" s="12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</row>
    <row r="297" spans="4:83" ht="11.45" customHeight="1" x14ac:dyDescent="0.2">
      <c r="D297" s="12"/>
      <c r="E297" s="12"/>
      <c r="F297" s="12"/>
      <c r="G297" s="12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</row>
    <row r="298" spans="4:83" ht="11.45" customHeight="1" x14ac:dyDescent="0.2">
      <c r="D298" s="12"/>
      <c r="E298" s="12"/>
      <c r="F298" s="12"/>
      <c r="G298" s="12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</row>
    <row r="299" spans="4:83" ht="11.45" customHeight="1" x14ac:dyDescent="0.2">
      <c r="D299" s="12"/>
      <c r="E299" s="12"/>
      <c r="F299" s="12"/>
      <c r="G299" s="12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</row>
    <row r="300" spans="4:83" ht="11.45" customHeight="1" x14ac:dyDescent="0.2">
      <c r="D300" s="12"/>
      <c r="E300" s="12"/>
      <c r="F300" s="12"/>
      <c r="G300" s="12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</row>
    <row r="301" spans="4:83" ht="11.45" customHeight="1" x14ac:dyDescent="0.2">
      <c r="D301" s="12"/>
      <c r="E301" s="12"/>
      <c r="F301" s="12"/>
      <c r="G301" s="1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</row>
    <row r="302" spans="4:83" ht="11.45" customHeight="1" x14ac:dyDescent="0.2">
      <c r="D302" s="12"/>
      <c r="E302" s="12"/>
      <c r="F302" s="12"/>
      <c r="G302" s="1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</row>
    <row r="303" spans="4:83" ht="11.45" customHeight="1" x14ac:dyDescent="0.2">
      <c r="D303" s="12"/>
      <c r="E303" s="12"/>
      <c r="F303" s="12"/>
      <c r="G303" s="12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</row>
    <row r="304" spans="4:83" ht="11.45" customHeight="1" x14ac:dyDescent="0.2">
      <c r="D304" s="12"/>
      <c r="E304" s="12"/>
      <c r="F304" s="12"/>
      <c r="G304" s="12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</row>
    <row r="305" spans="4:83" ht="11.45" customHeight="1" x14ac:dyDescent="0.2">
      <c r="D305" s="12"/>
      <c r="E305" s="12"/>
      <c r="F305" s="12"/>
      <c r="G305" s="12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</row>
    <row r="306" spans="4:83" ht="11.45" customHeight="1" x14ac:dyDescent="0.2">
      <c r="D306" s="12"/>
      <c r="E306" s="12"/>
      <c r="F306" s="12"/>
      <c r="G306" s="12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</row>
    <row r="307" spans="4:83" ht="11.45" customHeight="1" x14ac:dyDescent="0.2">
      <c r="D307" s="12"/>
      <c r="E307" s="12"/>
      <c r="F307" s="12"/>
      <c r="G307" s="12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</row>
    <row r="308" spans="4:83" ht="11.45" customHeight="1" x14ac:dyDescent="0.2">
      <c r="D308" s="12"/>
      <c r="E308" s="12"/>
      <c r="F308" s="12"/>
      <c r="G308" s="12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</row>
    <row r="309" spans="4:83" ht="11.45" customHeight="1" x14ac:dyDescent="0.2">
      <c r="D309" s="12"/>
      <c r="E309" s="12"/>
      <c r="F309" s="12"/>
      <c r="G309" s="12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</row>
    <row r="310" spans="4:83" ht="11.45" customHeight="1" x14ac:dyDescent="0.2">
      <c r="D310" s="12"/>
      <c r="E310" s="12"/>
      <c r="F310" s="12"/>
      <c r="G310" s="12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</row>
    <row r="311" spans="4:83" ht="11.45" customHeight="1" x14ac:dyDescent="0.2">
      <c r="D311" s="12"/>
      <c r="E311" s="12"/>
      <c r="F311" s="12"/>
      <c r="G311" s="12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</row>
    <row r="312" spans="4:83" ht="11.45" customHeight="1" x14ac:dyDescent="0.2">
      <c r="D312" s="12"/>
      <c r="E312" s="12"/>
      <c r="F312" s="12"/>
      <c r="G312" s="12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</row>
    <row r="313" spans="4:83" ht="11.45" customHeight="1" x14ac:dyDescent="0.2">
      <c r="D313" s="12"/>
      <c r="E313" s="12"/>
      <c r="F313" s="12"/>
      <c r="G313" s="12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</row>
    <row r="314" spans="4:83" ht="11.45" customHeight="1" x14ac:dyDescent="0.2">
      <c r="D314" s="12"/>
      <c r="E314" s="12"/>
      <c r="F314" s="12"/>
      <c r="G314" s="12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</row>
    <row r="315" spans="4:83" ht="11.45" customHeight="1" x14ac:dyDescent="0.2">
      <c r="D315" s="12"/>
      <c r="E315" s="12"/>
      <c r="F315" s="12"/>
      <c r="G315" s="12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</row>
    <row r="316" spans="4:83" ht="11.45" customHeight="1" x14ac:dyDescent="0.2">
      <c r="D316" s="12"/>
      <c r="E316" s="12"/>
      <c r="F316" s="12"/>
      <c r="G316" s="12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</row>
    <row r="317" spans="4:83" ht="11.45" customHeight="1" x14ac:dyDescent="0.2">
      <c r="D317" s="12"/>
      <c r="E317" s="12"/>
      <c r="F317" s="12"/>
      <c r="G317" s="12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</row>
    <row r="318" spans="4:83" ht="11.45" customHeight="1" x14ac:dyDescent="0.2">
      <c r="D318" s="12"/>
      <c r="E318" s="12"/>
      <c r="F318" s="12"/>
      <c r="G318" s="12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</row>
    <row r="319" spans="4:83" ht="11.45" customHeight="1" x14ac:dyDescent="0.2">
      <c r="D319" s="12"/>
      <c r="E319" s="12"/>
      <c r="F319" s="12"/>
      <c r="G319" s="12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</row>
    <row r="320" spans="4:83" ht="11.45" customHeight="1" x14ac:dyDescent="0.2">
      <c r="D320" s="12"/>
      <c r="E320" s="12"/>
      <c r="F320" s="12"/>
      <c r="G320" s="12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</row>
    <row r="321" spans="4:83" ht="11.45" customHeight="1" x14ac:dyDescent="0.2">
      <c r="D321" s="12"/>
      <c r="E321" s="12"/>
      <c r="F321" s="12"/>
      <c r="G321" s="12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</row>
    <row r="322" spans="4:83" ht="11.45" customHeight="1" x14ac:dyDescent="0.2">
      <c r="D322" s="12"/>
      <c r="E322" s="12"/>
      <c r="F322" s="12"/>
      <c r="G322" s="12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</row>
    <row r="323" spans="4:83" ht="11.45" customHeight="1" x14ac:dyDescent="0.2">
      <c r="D323" s="12"/>
      <c r="E323" s="12"/>
      <c r="F323" s="12"/>
      <c r="G323" s="12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</row>
    <row r="324" spans="4:83" ht="11.45" customHeight="1" x14ac:dyDescent="0.2">
      <c r="D324" s="12"/>
      <c r="E324" s="12"/>
      <c r="F324" s="12"/>
      <c r="G324" s="12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</row>
    <row r="325" spans="4:83" ht="11.45" customHeight="1" x14ac:dyDescent="0.2">
      <c r="D325" s="12"/>
      <c r="E325" s="12"/>
      <c r="F325" s="12"/>
      <c r="G325" s="12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</row>
    <row r="326" spans="4:83" ht="11.45" customHeight="1" x14ac:dyDescent="0.2">
      <c r="D326" s="12"/>
      <c r="E326" s="12"/>
      <c r="F326" s="12"/>
      <c r="G326" s="12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</row>
    <row r="327" spans="4:83" ht="11.45" customHeight="1" x14ac:dyDescent="0.2">
      <c r="D327" s="12"/>
      <c r="E327" s="12"/>
      <c r="F327" s="12"/>
      <c r="G327" s="12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</row>
    <row r="328" spans="4:83" ht="11.45" customHeight="1" x14ac:dyDescent="0.2">
      <c r="D328" s="12"/>
      <c r="E328" s="12"/>
      <c r="F328" s="12"/>
      <c r="G328" s="12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</row>
    <row r="329" spans="4:83" ht="11.45" customHeight="1" x14ac:dyDescent="0.2">
      <c r="D329" s="12"/>
      <c r="E329" s="12"/>
      <c r="F329" s="12"/>
      <c r="G329" s="12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</row>
    <row r="330" spans="4:83" ht="11.45" customHeight="1" x14ac:dyDescent="0.2">
      <c r="D330" s="12"/>
      <c r="E330" s="12"/>
      <c r="F330" s="12"/>
      <c r="G330" s="12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</row>
    <row r="331" spans="4:83" ht="11.45" customHeight="1" x14ac:dyDescent="0.2">
      <c r="D331" s="12"/>
      <c r="E331" s="12"/>
      <c r="F331" s="12"/>
      <c r="G331" s="12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</row>
    <row r="332" spans="4:83" ht="11.45" customHeight="1" x14ac:dyDescent="0.2">
      <c r="D332" s="12"/>
      <c r="E332" s="12"/>
      <c r="F332" s="12"/>
      <c r="G332" s="12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</row>
    <row r="333" spans="4:83" ht="11.45" customHeight="1" x14ac:dyDescent="0.2">
      <c r="D333" s="12"/>
      <c r="E333" s="12"/>
      <c r="F333" s="12"/>
      <c r="G333" s="12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</row>
    <row r="334" spans="4:83" ht="11.45" customHeight="1" x14ac:dyDescent="0.2">
      <c r="D334" s="12"/>
      <c r="E334" s="12"/>
      <c r="F334" s="12"/>
      <c r="G334" s="12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</row>
    <row r="335" spans="4:83" ht="11.45" customHeight="1" x14ac:dyDescent="0.2">
      <c r="D335" s="12"/>
      <c r="E335" s="12"/>
      <c r="F335" s="12"/>
      <c r="G335" s="12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</row>
    <row r="336" spans="4:83" ht="11.45" customHeight="1" x14ac:dyDescent="0.2">
      <c r="D336" s="12"/>
      <c r="E336" s="12"/>
      <c r="F336" s="12"/>
      <c r="G336" s="12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</row>
    <row r="337" spans="4:83" ht="11.45" customHeight="1" x14ac:dyDescent="0.2">
      <c r="D337" s="12"/>
      <c r="E337" s="12"/>
      <c r="F337" s="12"/>
      <c r="G337" s="12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</row>
    <row r="338" spans="4:83" ht="11.45" customHeight="1" x14ac:dyDescent="0.2">
      <c r="D338" s="12"/>
      <c r="E338" s="12"/>
      <c r="F338" s="12"/>
      <c r="G338" s="12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</row>
    <row r="339" spans="4:83" ht="11.45" customHeight="1" x14ac:dyDescent="0.2">
      <c r="D339" s="12"/>
      <c r="E339" s="12"/>
      <c r="F339" s="12"/>
      <c r="G339" s="12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</row>
    <row r="340" spans="4:83" ht="11.45" customHeight="1" x14ac:dyDescent="0.2">
      <c r="D340" s="12"/>
      <c r="E340" s="12"/>
      <c r="F340" s="12"/>
      <c r="G340" s="12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</row>
    <row r="341" spans="4:83" ht="11.45" customHeight="1" x14ac:dyDescent="0.2">
      <c r="D341" s="12"/>
      <c r="E341" s="12"/>
      <c r="F341" s="12"/>
      <c r="G341" s="12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</row>
    <row r="342" spans="4:83" ht="11.45" customHeight="1" x14ac:dyDescent="0.2">
      <c r="D342" s="12"/>
      <c r="E342" s="12"/>
      <c r="F342" s="12"/>
      <c r="G342" s="12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</row>
    <row r="343" spans="4:83" ht="11.45" customHeight="1" x14ac:dyDescent="0.2">
      <c r="D343" s="12"/>
      <c r="E343" s="12"/>
      <c r="F343" s="12"/>
      <c r="G343" s="12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</row>
    <row r="344" spans="4:83" ht="11.45" customHeight="1" x14ac:dyDescent="0.2">
      <c r="D344" s="12"/>
      <c r="E344" s="12"/>
      <c r="F344" s="12"/>
      <c r="G344" s="12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</row>
    <row r="345" spans="4:83" ht="11.45" customHeight="1" x14ac:dyDescent="0.2">
      <c r="D345" s="12"/>
      <c r="E345" s="12"/>
      <c r="F345" s="12"/>
      <c r="G345" s="12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</row>
    <row r="346" spans="4:83" ht="11.45" customHeight="1" x14ac:dyDescent="0.2">
      <c r="D346" s="12"/>
      <c r="E346" s="12"/>
      <c r="F346" s="12"/>
      <c r="G346" s="12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</row>
    <row r="347" spans="4:83" ht="11.45" customHeight="1" x14ac:dyDescent="0.2">
      <c r="D347" s="12"/>
      <c r="E347" s="12"/>
      <c r="F347" s="12"/>
      <c r="G347" s="12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</row>
    <row r="348" spans="4:83" ht="11.45" customHeight="1" x14ac:dyDescent="0.2">
      <c r="D348" s="12"/>
      <c r="E348" s="12"/>
      <c r="F348" s="12"/>
      <c r="G348" s="12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</row>
    <row r="349" spans="4:83" ht="11.45" customHeight="1" x14ac:dyDescent="0.2">
      <c r="D349" s="12"/>
      <c r="E349" s="12"/>
      <c r="F349" s="12"/>
      <c r="G349" s="12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</row>
    <row r="350" spans="4:83" ht="11.45" customHeight="1" x14ac:dyDescent="0.2">
      <c r="D350" s="12"/>
      <c r="E350" s="12"/>
      <c r="F350" s="12"/>
      <c r="G350" s="12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</row>
    <row r="351" spans="4:83" ht="11.45" customHeight="1" x14ac:dyDescent="0.2">
      <c r="D351" s="12"/>
      <c r="E351" s="12"/>
      <c r="F351" s="12"/>
      <c r="G351" s="12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</row>
    <row r="352" spans="4:83" ht="11.45" customHeight="1" x14ac:dyDescent="0.2">
      <c r="D352" s="12"/>
      <c r="E352" s="12"/>
      <c r="F352" s="12"/>
      <c r="G352" s="12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</row>
    <row r="353" spans="4:83" ht="11.45" customHeight="1" x14ac:dyDescent="0.2">
      <c r="D353" s="12"/>
      <c r="E353" s="12"/>
      <c r="F353" s="12"/>
      <c r="G353" s="12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</row>
    <row r="354" spans="4:83" ht="11.45" customHeight="1" x14ac:dyDescent="0.2">
      <c r="D354" s="12"/>
      <c r="E354" s="12"/>
      <c r="F354" s="12"/>
      <c r="G354" s="12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</row>
    <row r="355" spans="4:83" ht="11.45" customHeight="1" x14ac:dyDescent="0.2">
      <c r="D355" s="12"/>
      <c r="E355" s="12"/>
      <c r="F355" s="12"/>
      <c r="G355" s="12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</row>
    <row r="356" spans="4:83" ht="11.45" customHeight="1" x14ac:dyDescent="0.2">
      <c r="D356" s="12"/>
      <c r="E356" s="12"/>
      <c r="F356" s="12"/>
      <c r="G356" s="12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</row>
    <row r="357" spans="4:83" ht="11.45" customHeight="1" x14ac:dyDescent="0.2">
      <c r="D357" s="12"/>
      <c r="E357" s="12"/>
      <c r="F357" s="12"/>
      <c r="G357" s="12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</row>
    <row r="358" spans="4:83" ht="11.45" customHeight="1" x14ac:dyDescent="0.2">
      <c r="D358" s="12"/>
      <c r="E358" s="12"/>
      <c r="F358" s="12"/>
      <c r="G358" s="12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</row>
    <row r="359" spans="4:83" ht="11.45" customHeight="1" x14ac:dyDescent="0.2">
      <c r="D359" s="12"/>
      <c r="E359" s="12"/>
      <c r="F359" s="12"/>
      <c r="G359" s="12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</row>
    <row r="360" spans="4:83" ht="11.45" customHeight="1" x14ac:dyDescent="0.2">
      <c r="D360" s="12"/>
      <c r="E360" s="12"/>
      <c r="F360" s="12"/>
      <c r="G360" s="12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</row>
    <row r="361" spans="4:83" ht="11.45" customHeight="1" x14ac:dyDescent="0.2">
      <c r="D361" s="12"/>
      <c r="E361" s="12"/>
      <c r="F361" s="12"/>
      <c r="G361" s="12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</row>
    <row r="362" spans="4:83" ht="11.45" customHeight="1" x14ac:dyDescent="0.2">
      <c r="D362" s="12"/>
      <c r="E362" s="12"/>
      <c r="F362" s="12"/>
      <c r="G362" s="12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</row>
    <row r="363" spans="4:83" ht="11.45" customHeight="1" x14ac:dyDescent="0.2">
      <c r="D363" s="12"/>
      <c r="E363" s="12"/>
      <c r="F363" s="12"/>
      <c r="G363" s="12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</row>
    <row r="364" spans="4:83" ht="11.45" customHeight="1" x14ac:dyDescent="0.2">
      <c r="D364" s="12"/>
      <c r="E364" s="12"/>
      <c r="F364" s="12"/>
      <c r="G364" s="12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</row>
    <row r="365" spans="4:83" ht="11.45" customHeight="1" x14ac:dyDescent="0.2">
      <c r="D365" s="12"/>
      <c r="E365" s="12"/>
      <c r="F365" s="12"/>
      <c r="G365" s="12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</row>
    <row r="366" spans="4:83" ht="11.45" customHeight="1" x14ac:dyDescent="0.2">
      <c r="D366" s="12"/>
      <c r="E366" s="12"/>
      <c r="F366" s="12"/>
      <c r="G366" s="12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</row>
    <row r="367" spans="4:83" ht="11.45" customHeight="1" x14ac:dyDescent="0.2">
      <c r="D367" s="12"/>
      <c r="E367" s="12"/>
      <c r="F367" s="12"/>
      <c r="G367" s="12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</row>
    <row r="368" spans="4:83" ht="11.45" customHeight="1" x14ac:dyDescent="0.2">
      <c r="D368" s="12"/>
      <c r="E368" s="12"/>
      <c r="F368" s="12"/>
      <c r="G368" s="12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</row>
    <row r="369" spans="4:83" ht="11.45" customHeight="1" x14ac:dyDescent="0.2">
      <c r="D369" s="12"/>
      <c r="E369" s="12"/>
      <c r="F369" s="12"/>
      <c r="G369" s="12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</row>
    <row r="370" spans="4:83" ht="11.45" customHeight="1" x14ac:dyDescent="0.2">
      <c r="D370" s="12"/>
      <c r="E370" s="12"/>
      <c r="F370" s="12"/>
      <c r="G370" s="12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</row>
    <row r="371" spans="4:83" ht="11.45" customHeight="1" x14ac:dyDescent="0.2">
      <c r="D371" s="12"/>
      <c r="E371" s="12"/>
      <c r="F371" s="12"/>
      <c r="G371" s="12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</row>
    <row r="372" spans="4:83" ht="11.45" customHeight="1" x14ac:dyDescent="0.2">
      <c r="D372" s="12"/>
      <c r="E372" s="12"/>
      <c r="F372" s="12"/>
      <c r="G372" s="12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</row>
    <row r="373" spans="4:83" ht="11.45" customHeight="1" x14ac:dyDescent="0.2">
      <c r="D373" s="12"/>
      <c r="E373" s="12"/>
      <c r="F373" s="12"/>
      <c r="G373" s="12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</row>
    <row r="374" spans="4:83" ht="11.45" customHeight="1" x14ac:dyDescent="0.2">
      <c r="D374" s="12"/>
      <c r="E374" s="12"/>
      <c r="F374" s="12"/>
      <c r="G374" s="12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</row>
    <row r="375" spans="4:83" ht="11.45" customHeight="1" x14ac:dyDescent="0.2">
      <c r="D375" s="12"/>
      <c r="E375" s="12"/>
      <c r="F375" s="12"/>
      <c r="G375" s="12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</row>
    <row r="376" spans="4:83" ht="11.45" customHeight="1" x14ac:dyDescent="0.2">
      <c r="D376" s="12"/>
      <c r="E376" s="12"/>
      <c r="F376" s="12"/>
      <c r="G376" s="12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</row>
    <row r="377" spans="4:83" ht="11.45" customHeight="1" x14ac:dyDescent="0.2">
      <c r="D377" s="12"/>
      <c r="E377" s="12"/>
      <c r="F377" s="12"/>
      <c r="G377" s="12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</row>
    <row r="378" spans="4:83" ht="11.45" customHeight="1" x14ac:dyDescent="0.2">
      <c r="D378" s="12"/>
      <c r="E378" s="12"/>
      <c r="F378" s="12"/>
      <c r="G378" s="12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</row>
    <row r="379" spans="4:83" ht="11.45" customHeight="1" x14ac:dyDescent="0.2">
      <c r="D379" s="12"/>
      <c r="E379" s="12"/>
      <c r="F379" s="12"/>
      <c r="G379" s="12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</row>
    <row r="380" spans="4:83" ht="11.45" customHeight="1" x14ac:dyDescent="0.2">
      <c r="D380" s="12"/>
      <c r="E380" s="12"/>
      <c r="F380" s="12"/>
      <c r="G380" s="12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</row>
    <row r="381" spans="4:83" ht="11.45" customHeight="1" x14ac:dyDescent="0.2">
      <c r="D381" s="12"/>
      <c r="E381" s="12"/>
      <c r="F381" s="12"/>
      <c r="G381" s="12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</row>
    <row r="382" spans="4:83" ht="11.45" customHeight="1" x14ac:dyDescent="0.2">
      <c r="D382" s="12"/>
      <c r="E382" s="12"/>
      <c r="F382" s="12"/>
      <c r="G382" s="12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</row>
    <row r="383" spans="4:83" ht="11.45" customHeight="1" x14ac:dyDescent="0.2">
      <c r="D383" s="12"/>
      <c r="E383" s="12"/>
      <c r="F383" s="12"/>
      <c r="G383" s="12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</row>
    <row r="384" spans="4:83" ht="11.45" customHeight="1" x14ac:dyDescent="0.2">
      <c r="D384" s="12"/>
      <c r="E384" s="12"/>
      <c r="F384" s="12"/>
      <c r="G384" s="12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</row>
    <row r="385" spans="4:83" ht="11.45" customHeight="1" x14ac:dyDescent="0.2">
      <c r="D385" s="12"/>
      <c r="E385" s="12"/>
      <c r="F385" s="12"/>
      <c r="G385" s="1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</row>
    <row r="386" spans="4:83" ht="11.45" customHeight="1" x14ac:dyDescent="0.2">
      <c r="D386" s="12"/>
      <c r="E386" s="12"/>
      <c r="F386" s="12"/>
      <c r="G386" s="12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</row>
    <row r="387" spans="4:83" ht="11.45" customHeight="1" x14ac:dyDescent="0.2">
      <c r="D387" s="12"/>
      <c r="E387" s="12"/>
      <c r="F387" s="12"/>
      <c r="G387" s="1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</row>
    <row r="388" spans="4:83" ht="11.45" customHeight="1" x14ac:dyDescent="0.2">
      <c r="D388" s="12"/>
      <c r="E388" s="12"/>
      <c r="F388" s="12"/>
      <c r="G388" s="1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</row>
    <row r="389" spans="4:83" ht="11.45" customHeight="1" x14ac:dyDescent="0.2">
      <c r="D389" s="12"/>
      <c r="E389" s="12"/>
      <c r="F389" s="12"/>
      <c r="G389" s="1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</row>
    <row r="390" spans="4:83" ht="11.45" customHeight="1" x14ac:dyDescent="0.2">
      <c r="D390" s="12"/>
      <c r="E390" s="12"/>
      <c r="F390" s="12"/>
      <c r="G390" s="1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2026-06-24T13:07:08Z</dcterms:modified>
</cp:coreProperties>
</file>