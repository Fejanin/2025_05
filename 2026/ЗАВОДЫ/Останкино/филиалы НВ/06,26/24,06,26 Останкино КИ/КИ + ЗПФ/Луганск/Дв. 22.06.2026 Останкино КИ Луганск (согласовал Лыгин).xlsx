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Останкино исходники\КИ + ЗПФ\Луганск\"/>
    </mc:Choice>
  </mc:AlternateContent>
  <xr:revisionPtr revIDLastSave="0" documentId="13_ncr:1_{9F38236C-B927-4B2E-AF5E-BE884377FFF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98" i="1" l="1"/>
  <c r="M63" i="1"/>
  <c r="M81" i="1"/>
  <c r="AB14" i="1"/>
  <c r="AB29" i="1"/>
  <c r="AB33" i="1"/>
  <c r="AB39" i="1"/>
  <c r="AB49" i="1"/>
  <c r="AB52" i="1"/>
  <c r="AB58" i="1"/>
  <c r="AB68" i="1"/>
  <c r="AB75" i="1"/>
  <c r="AB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11" i="1"/>
  <c r="L12" i="1" l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11" i="1"/>
  <c r="M11" i="1" s="1"/>
  <c r="AA12" i="1" l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11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4" i="1"/>
  <c r="J45" i="1"/>
  <c r="J47" i="1"/>
  <c r="J48" i="1"/>
  <c r="J49" i="1"/>
  <c r="J50" i="1"/>
  <c r="J51" i="1"/>
  <c r="J52" i="1"/>
  <c r="J53" i="1"/>
  <c r="J54" i="1"/>
  <c r="J55" i="1"/>
  <c r="J57" i="1"/>
  <c r="J58" i="1"/>
  <c r="J60" i="1"/>
  <c r="J62" i="1"/>
  <c r="J64" i="1"/>
  <c r="J65" i="1"/>
  <c r="J67" i="1"/>
  <c r="J68" i="1"/>
  <c r="J69" i="1"/>
  <c r="J70" i="1"/>
  <c r="J71" i="1"/>
  <c r="J73" i="1"/>
  <c r="J74" i="1"/>
  <c r="J76" i="1"/>
  <c r="J77" i="1"/>
  <c r="J78" i="1"/>
  <c r="J79" i="1"/>
  <c r="J80" i="1"/>
  <c r="J82" i="1"/>
  <c r="J83" i="1"/>
  <c r="J84" i="1"/>
  <c r="J85" i="1"/>
  <c r="J86" i="1"/>
  <c r="J87" i="1"/>
  <c r="J88" i="1"/>
  <c r="J89" i="1"/>
  <c r="J91" i="1"/>
  <c r="J93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60" i="1"/>
  <c r="I62" i="1"/>
  <c r="I64" i="1"/>
  <c r="I65" i="1"/>
  <c r="I67" i="1"/>
  <c r="I68" i="1"/>
  <c r="I69" i="1"/>
  <c r="I70" i="1"/>
  <c r="I71" i="1"/>
  <c r="I73" i="1"/>
  <c r="I74" i="1"/>
  <c r="I75" i="1"/>
  <c r="I76" i="1"/>
  <c r="I77" i="1"/>
  <c r="I78" i="1"/>
  <c r="I79" i="1"/>
  <c r="I80" i="1"/>
  <c r="I82" i="1"/>
  <c r="I83" i="1"/>
  <c r="I84" i="1"/>
  <c r="I85" i="1"/>
  <c r="I86" i="1"/>
  <c r="I87" i="1"/>
  <c r="I88" i="1"/>
  <c r="I89" i="1"/>
  <c r="I90" i="1"/>
  <c r="I91" i="1"/>
  <c r="I93" i="1"/>
  <c r="I11" i="1"/>
  <c r="H12" i="1"/>
  <c r="AC12" i="1" s="1"/>
  <c r="H13" i="1"/>
  <c r="H14" i="1"/>
  <c r="H15" i="1"/>
  <c r="AC15" i="1" s="1"/>
  <c r="H16" i="1"/>
  <c r="H17" i="1"/>
  <c r="H18" i="1"/>
  <c r="AC18" i="1" s="1"/>
  <c r="H19" i="1"/>
  <c r="H20" i="1"/>
  <c r="H21" i="1"/>
  <c r="AC21" i="1" s="1"/>
  <c r="H22" i="1"/>
  <c r="H23" i="1"/>
  <c r="AC23" i="1" s="1"/>
  <c r="H24" i="1"/>
  <c r="AC24" i="1" s="1"/>
  <c r="H25" i="1"/>
  <c r="H26" i="1"/>
  <c r="H27" i="1"/>
  <c r="AC27" i="1" s="1"/>
  <c r="H28" i="1"/>
  <c r="AC28" i="1" s="1"/>
  <c r="H29" i="1"/>
  <c r="H30" i="1"/>
  <c r="H31" i="1"/>
  <c r="H32" i="1"/>
  <c r="H33" i="1"/>
  <c r="AC33" i="1" s="1"/>
  <c r="H34" i="1"/>
  <c r="H35" i="1"/>
  <c r="H36" i="1"/>
  <c r="H37" i="1"/>
  <c r="H38" i="1"/>
  <c r="H39" i="1"/>
  <c r="H40" i="1"/>
  <c r="AC40" i="1" s="1"/>
  <c r="H41" i="1"/>
  <c r="H42" i="1"/>
  <c r="AC42" i="1" s="1"/>
  <c r="H43" i="1"/>
  <c r="H44" i="1"/>
  <c r="H45" i="1"/>
  <c r="H46" i="1"/>
  <c r="H47" i="1"/>
  <c r="H48" i="1"/>
  <c r="H49" i="1"/>
  <c r="H50" i="1"/>
  <c r="H51" i="1"/>
  <c r="H52" i="1"/>
  <c r="AC52" i="1" s="1"/>
  <c r="H53" i="1"/>
  <c r="AC53" i="1" s="1"/>
  <c r="H54" i="1"/>
  <c r="H55" i="1"/>
  <c r="AC55" i="1" s="1"/>
  <c r="H56" i="1"/>
  <c r="H57" i="1"/>
  <c r="AC57" i="1" s="1"/>
  <c r="H58" i="1"/>
  <c r="H59" i="1"/>
  <c r="AC59" i="1" s="1"/>
  <c r="H60" i="1"/>
  <c r="H61" i="1"/>
  <c r="AC61" i="1" s="1"/>
  <c r="H62" i="1"/>
  <c r="H63" i="1"/>
  <c r="AC63" i="1" s="1"/>
  <c r="H64" i="1"/>
  <c r="AC64" i="1" s="1"/>
  <c r="H65" i="1"/>
  <c r="H66" i="1"/>
  <c r="H67" i="1"/>
  <c r="H68" i="1"/>
  <c r="H69" i="1"/>
  <c r="H70" i="1"/>
  <c r="AC70" i="1" s="1"/>
  <c r="H71" i="1"/>
  <c r="H72" i="1"/>
  <c r="H73" i="1"/>
  <c r="H74" i="1"/>
  <c r="H75" i="1"/>
  <c r="H76" i="1"/>
  <c r="H77" i="1"/>
  <c r="H78" i="1"/>
  <c r="H79" i="1"/>
  <c r="AC79" i="1" s="1"/>
  <c r="H80" i="1"/>
  <c r="H81" i="1"/>
  <c r="AC81" i="1" s="1"/>
  <c r="H82" i="1"/>
  <c r="H83" i="1"/>
  <c r="AC83" i="1" s="1"/>
  <c r="H84" i="1"/>
  <c r="H85" i="1"/>
  <c r="AC85" i="1" s="1"/>
  <c r="H86" i="1"/>
  <c r="H87" i="1"/>
  <c r="H88" i="1"/>
  <c r="AC88" i="1" s="1"/>
  <c r="H89" i="1"/>
  <c r="AC89" i="1" s="1"/>
  <c r="H90" i="1"/>
  <c r="AC90" i="1" s="1"/>
  <c r="H91" i="1"/>
  <c r="AC91" i="1" s="1"/>
  <c r="H92" i="1"/>
  <c r="AC92" i="1" s="1"/>
  <c r="H93" i="1"/>
  <c r="H94" i="1"/>
  <c r="H95" i="1"/>
  <c r="H96" i="1"/>
  <c r="H97" i="1"/>
  <c r="AC97" i="1" s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11" i="1"/>
  <c r="D10" i="1"/>
  <c r="E10" i="1"/>
  <c r="F10" i="1"/>
  <c r="G10" i="1"/>
  <c r="T10" i="1"/>
  <c r="Q10" i="1"/>
  <c r="P10" i="1"/>
  <c r="O10" i="1"/>
  <c r="N10" i="1"/>
  <c r="M10" i="1"/>
  <c r="L10" i="1"/>
  <c r="W89" i="1" l="1"/>
  <c r="V89" i="1"/>
  <c r="W81" i="1"/>
  <c r="V81" i="1"/>
  <c r="W73" i="1"/>
  <c r="W65" i="1"/>
  <c r="W57" i="1"/>
  <c r="V57" i="1"/>
  <c r="W49" i="1"/>
  <c r="W45" i="1"/>
  <c r="W37" i="1"/>
  <c r="W33" i="1"/>
  <c r="V33" i="1"/>
  <c r="W29" i="1"/>
  <c r="W25" i="1"/>
  <c r="W17" i="1"/>
  <c r="W13" i="1"/>
  <c r="W92" i="1"/>
  <c r="V92" i="1"/>
  <c r="W88" i="1"/>
  <c r="V88" i="1"/>
  <c r="W84" i="1"/>
  <c r="W76" i="1"/>
  <c r="W72" i="1"/>
  <c r="W68" i="1"/>
  <c r="W64" i="1"/>
  <c r="V64" i="1"/>
  <c r="W60" i="1"/>
  <c r="W56" i="1"/>
  <c r="W48" i="1"/>
  <c r="W44" i="1"/>
  <c r="W40" i="1"/>
  <c r="V40" i="1"/>
  <c r="W36" i="1"/>
  <c r="W32" i="1"/>
  <c r="W28" i="1"/>
  <c r="V28" i="1"/>
  <c r="W24" i="1"/>
  <c r="V24" i="1"/>
  <c r="W20" i="1"/>
  <c r="W16" i="1"/>
  <c r="W12" i="1"/>
  <c r="V12" i="1"/>
  <c r="W95" i="1"/>
  <c r="W91" i="1"/>
  <c r="V91" i="1"/>
  <c r="W87" i="1"/>
  <c r="W83" i="1"/>
  <c r="V83" i="1"/>
  <c r="W79" i="1"/>
  <c r="V79" i="1"/>
  <c r="W75" i="1"/>
  <c r="W67" i="1"/>
  <c r="W63" i="1"/>
  <c r="V63" i="1"/>
  <c r="W59" i="1"/>
  <c r="V59" i="1"/>
  <c r="W55" i="1"/>
  <c r="V55" i="1"/>
  <c r="W51" i="1"/>
  <c r="W47" i="1"/>
  <c r="W43" i="1"/>
  <c r="W39" i="1"/>
  <c r="W31" i="1"/>
  <c r="W27" i="1"/>
  <c r="V27" i="1"/>
  <c r="W23" i="1"/>
  <c r="V23" i="1"/>
  <c r="W19" i="1"/>
  <c r="W15" i="1"/>
  <c r="V15" i="1"/>
  <c r="V98" i="1"/>
  <c r="W98" i="1"/>
  <c r="W94" i="1"/>
  <c r="W90" i="1"/>
  <c r="V90" i="1"/>
  <c r="W86" i="1"/>
  <c r="W82" i="1"/>
  <c r="W78" i="1"/>
  <c r="W74" i="1"/>
  <c r="W70" i="1"/>
  <c r="V70" i="1"/>
  <c r="W66" i="1"/>
  <c r="W62" i="1"/>
  <c r="W58" i="1"/>
  <c r="W54" i="1"/>
  <c r="W50" i="1"/>
  <c r="W46" i="1"/>
  <c r="W42" i="1"/>
  <c r="V42" i="1"/>
  <c r="W38" i="1"/>
  <c r="W34" i="1"/>
  <c r="W30" i="1"/>
  <c r="W26" i="1"/>
  <c r="W22" i="1"/>
  <c r="W18" i="1"/>
  <c r="V18" i="1"/>
  <c r="W14" i="1"/>
  <c r="Y10" i="1"/>
  <c r="W97" i="1"/>
  <c r="V97" i="1"/>
  <c r="W93" i="1"/>
  <c r="W85" i="1"/>
  <c r="V85" i="1"/>
  <c r="W77" i="1"/>
  <c r="W69" i="1"/>
  <c r="W61" i="1"/>
  <c r="V61" i="1"/>
  <c r="W53" i="1"/>
  <c r="V53" i="1"/>
  <c r="W41" i="1"/>
  <c r="W21" i="1"/>
  <c r="V21" i="1"/>
  <c r="W96" i="1"/>
  <c r="W80" i="1"/>
  <c r="W52" i="1"/>
  <c r="V52" i="1"/>
  <c r="W11" i="1"/>
  <c r="W71" i="1"/>
  <c r="W35" i="1"/>
  <c r="R10" i="1"/>
  <c r="Z10" i="1"/>
  <c r="X10" i="1"/>
  <c r="AA10" i="1"/>
  <c r="AC41" i="1" l="1"/>
  <c r="V41" i="1"/>
  <c r="AC93" i="1"/>
  <c r="V93" i="1"/>
  <c r="AC31" i="1"/>
  <c r="V31" i="1"/>
  <c r="AC95" i="1"/>
  <c r="V95" i="1"/>
  <c r="AC35" i="1"/>
  <c r="V35" i="1"/>
  <c r="AC80" i="1"/>
  <c r="V80" i="1"/>
  <c r="AC14" i="1"/>
  <c r="V14" i="1"/>
  <c r="AC30" i="1"/>
  <c r="V30" i="1"/>
  <c r="AC46" i="1"/>
  <c r="V46" i="1"/>
  <c r="AC62" i="1"/>
  <c r="V62" i="1"/>
  <c r="AC86" i="1"/>
  <c r="V86" i="1"/>
  <c r="AC43" i="1"/>
  <c r="V43" i="1"/>
  <c r="AC67" i="1"/>
  <c r="V67" i="1"/>
  <c r="AC32" i="1"/>
  <c r="V32" i="1"/>
  <c r="AC48" i="1"/>
  <c r="V48" i="1"/>
  <c r="AC68" i="1"/>
  <c r="V68" i="1"/>
  <c r="AC25" i="1"/>
  <c r="V25" i="1"/>
  <c r="AC45" i="1"/>
  <c r="V45" i="1"/>
  <c r="AC11" i="1"/>
  <c r="V11" i="1"/>
  <c r="S10" i="1"/>
  <c r="AC69" i="1"/>
  <c r="V69" i="1"/>
  <c r="AC50" i="1"/>
  <c r="V50" i="1"/>
  <c r="AC58" i="1"/>
  <c r="V58" i="1"/>
  <c r="AC66" i="1"/>
  <c r="V66" i="1"/>
  <c r="AC39" i="1"/>
  <c r="V39" i="1"/>
  <c r="AC75" i="1"/>
  <c r="V75" i="1"/>
  <c r="AC36" i="1"/>
  <c r="V36" i="1"/>
  <c r="AC56" i="1"/>
  <c r="V56" i="1"/>
  <c r="AC87" i="1"/>
  <c r="V87" i="1"/>
  <c r="AC22" i="1"/>
  <c r="V22" i="1"/>
  <c r="AC38" i="1"/>
  <c r="V38" i="1"/>
  <c r="AC54" i="1"/>
  <c r="V54" i="1"/>
  <c r="AC78" i="1"/>
  <c r="V78" i="1"/>
  <c r="AC94" i="1"/>
  <c r="V94" i="1"/>
  <c r="AC51" i="1"/>
  <c r="V51" i="1"/>
  <c r="AC60" i="1"/>
  <c r="V60" i="1"/>
  <c r="AC76" i="1"/>
  <c r="V76" i="1"/>
  <c r="AC13" i="1"/>
  <c r="V13" i="1"/>
  <c r="AC73" i="1"/>
  <c r="V73" i="1"/>
  <c r="AC71" i="1"/>
  <c r="V71" i="1"/>
  <c r="AC96" i="1"/>
  <c r="V96" i="1"/>
  <c r="AC26" i="1"/>
  <c r="V26" i="1"/>
  <c r="AC34" i="1"/>
  <c r="V34" i="1"/>
  <c r="AC74" i="1"/>
  <c r="V74" i="1"/>
  <c r="AC82" i="1"/>
  <c r="V82" i="1"/>
  <c r="AC19" i="1"/>
  <c r="V19" i="1"/>
  <c r="AC47" i="1"/>
  <c r="V47" i="1"/>
  <c r="AC20" i="1"/>
  <c r="V20" i="1"/>
  <c r="AC44" i="1"/>
  <c r="V44" i="1"/>
  <c r="AC72" i="1"/>
  <c r="V72" i="1"/>
  <c r="AC84" i="1"/>
  <c r="V84" i="1"/>
  <c r="AC17" i="1"/>
  <c r="V17" i="1"/>
  <c r="AC29" i="1"/>
  <c r="V29" i="1"/>
  <c r="AC37" i="1"/>
  <c r="V37" i="1"/>
  <c r="AC49" i="1"/>
  <c r="V49" i="1"/>
  <c r="AC65" i="1"/>
  <c r="V65" i="1"/>
  <c r="AC77" i="1"/>
  <c r="V77" i="1"/>
  <c r="AC16" i="1"/>
  <c r="V16" i="1"/>
  <c r="AC10" i="1" l="1"/>
</calcChain>
</file>

<file path=xl/sharedStrings.xml><?xml version="1.0" encoding="utf-8"?>
<sst xmlns="http://schemas.openxmlformats.org/spreadsheetml/2006/main" count="222" uniqueCount="130">
  <si>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</si>
  <si>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</si>
  <si>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</si>
  <si>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</si>
  <si>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</si>
  <si>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</si>
  <si>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</si>
  <si>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</si>
  <si>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</si>
  <si>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</si>
  <si>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</si>
  <si>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</si>
  <si>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</si>
  <si>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</si>
  <si>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</si>
  <si>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</si>
  <si>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</si>
  <si>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</si>
  <si>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</si>
  <si>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</si>
  <si>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</si>
  <si>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</si>
  <si>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</si>
  <si>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</si>
  <si>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</si>
  <si>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</si>
  <si>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</si>
  <si>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</si>
  <si>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</si>
  <si>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</si>
  <si>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</si>
  <si>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</si>
  <si>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</si>
  <si>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</si>
  <si>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</si>
  <si>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</si>
  <si>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</si>
  <si>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</si>
  <si>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</si>
  <si>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</si>
  <si>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</si>
  <si>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</si>
  <si>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</si>
  <si>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</si>
  <si>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</si>
  <si>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</si>
  <si>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</si>
  <si>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</si>
  <si>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</si>
  <si>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</si>
  <si>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</si>
  <si>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</si>
  <si>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</si>
  <si>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</si>
  <si>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</si>
  <si>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</si>
  <si>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</si>
  <si>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</si>
  <si>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</si>
  <si>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</si>
  <si>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</si>
  <si>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</si>
  <si>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</si>
  <si>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</si>
  <si>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</si>
  <si>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</si>
  <si>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</si>
  <si>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</si>
  <si>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</si>
  <si>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</si>
  <si>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</si>
  <si>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</si>
  <si>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</si>
  <si>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</si>
  <si>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</si>
  <si>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</si>
  <si>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</si>
  <si>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</si>
  <si>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</si>
  <si>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</si>
  <si>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</si>
  <si>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</si>
  <si>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</si>
  <si>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</si>
  <si>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</si>
  <si>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</si>
  <si>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</si>
  <si>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</si>
  <si>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</si>
  <si>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</si>
  <si>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</si>
  <si>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</si>
  <si>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</si>
  <si>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</si>
  <si>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</si>
  <si>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</si>
  <si>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</si>
  <si>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</si>
  <si>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</si>
  <si>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</si>
  <si>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</si>
  <si>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</si>
  <si>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</si>
  <si>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</si>
  <si>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</si>
  <si>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</si>
  <si>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</si>
  <si>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</si>
  <si>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</si>
  <si>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</si>
  <si>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</si>
  <si>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</si>
  <si>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</si>
  <si>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</si>
  <si>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</si>
  <si>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</si>
  <si>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</si>
  <si>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</si>
  <si>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</si>
  <si>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</si>
  <si>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25,05,</t>
  </si>
  <si>
    <t>01,06,</t>
  </si>
  <si>
    <t>08,06,</t>
  </si>
  <si>
    <t>22,06,</t>
  </si>
  <si>
    <t>21,06,</t>
  </si>
  <si>
    <t>нет кор</t>
  </si>
  <si>
    <t>ротация 0,35</t>
  </si>
  <si>
    <t>заказ</t>
  </si>
  <si>
    <t>29,06,</t>
  </si>
  <si>
    <t>код не верный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</si>
</sst>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164" fontId="3" fillId="2" borderId="0" xfId="0" applyNumberFormat="1" applyFont="1" applyFill="1" applyAlignment="1">
      <alignment horizontal="left" vertical="top"/>
    </xf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164" fontId="3" fillId="2" borderId="4" xfId="0" applyNumberFormat="1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164" fontId="2" fillId="2" borderId="4" xfId="0" applyNumberFormat="1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 applyAlignment="1"/>
    <xf numFmtId="164" fontId="0" fillId="7" borderId="0" xfId="0" applyNumberFormat="1" applyFill="1" applyAlignment="1"/>
    <xf numFmtId="164" fontId="0" fillId="7" borderId="6" xfId="0" applyNumberFormat="1" applyFill="1" applyBorder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5.06.2026%20&#1054;&#1089;&#1090;&#1072;&#1085;&#1082;&#1080;&#1085;&#1086;%20&#1050;&#1048;%20&#1051;&#1091;&#1075;&#1072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2.06.2026%20&#1054;&#1089;&#1090;&#1072;&#1085;&#1082;&#1080;&#1085;&#1086;%20&#1050;&#104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"Останкино ООО"</v>
          </cell>
        </row>
        <row r="7">
          <cell r="Q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P9" t="str">
            <v>нак 16.06.</v>
          </cell>
          <cell r="Q9" t="str">
            <v>14,06,</v>
          </cell>
          <cell r="R9" t="str">
            <v>15,06,</v>
          </cell>
          <cell r="S9" t="str">
            <v>21,06,</v>
          </cell>
          <cell r="X9" t="str">
            <v>18,05,</v>
          </cell>
          <cell r="Y9" t="str">
            <v>25,05,</v>
          </cell>
          <cell r="Z9" t="str">
            <v>01,06,</v>
          </cell>
          <cell r="AA9" t="str">
            <v>08,06,</v>
          </cell>
        </row>
        <row r="10">
          <cell r="D10">
            <v>8828.384</v>
          </cell>
          <cell r="E10">
            <v>11649.99</v>
          </cell>
          <cell r="F10">
            <v>10488.330999999998</v>
          </cell>
          <cell r="G10">
            <v>9535.2510000000002</v>
          </cell>
          <cell r="L10">
            <v>12345.023000000003</v>
          </cell>
          <cell r="M10">
            <v>-1856.692</v>
          </cell>
          <cell r="N10">
            <v>0</v>
          </cell>
          <cell r="O10">
            <v>0</v>
          </cell>
          <cell r="P10">
            <v>18739.400000000001</v>
          </cell>
          <cell r="Q10">
            <v>19503.8</v>
          </cell>
          <cell r="R10">
            <v>2097.6662000000006</v>
          </cell>
          <cell r="S10">
            <v>8389</v>
          </cell>
          <cell r="T10">
            <v>8377.1550000000007</v>
          </cell>
          <cell r="X10">
            <v>1634.4645999999998</v>
          </cell>
          <cell r="Y10">
            <v>2044.0587999999987</v>
          </cell>
          <cell r="Z10">
            <v>1951.5749999999991</v>
          </cell>
          <cell r="AA10">
            <v>2229.1319999999996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E11">
            <v>161</v>
          </cell>
          <cell r="F11">
            <v>88</v>
          </cell>
          <cell r="G11">
            <v>70</v>
          </cell>
          <cell r="H11">
            <v>0.4</v>
          </cell>
          <cell r="I11">
            <v>60</v>
          </cell>
          <cell r="L11">
            <v>92</v>
          </cell>
          <cell r="M11">
            <v>-4</v>
          </cell>
          <cell r="P11">
            <v>400</v>
          </cell>
          <cell r="Q11">
            <v>400</v>
          </cell>
          <cell r="R11">
            <v>17.600000000000001</v>
          </cell>
          <cell r="S11">
            <v>150</v>
          </cell>
          <cell r="T11">
            <v>150</v>
          </cell>
          <cell r="V11">
            <v>35.227272727272727</v>
          </cell>
          <cell r="W11">
            <v>3.9772727272727271</v>
          </cell>
          <cell r="X11">
            <v>20.6</v>
          </cell>
          <cell r="Y11">
            <v>14.8</v>
          </cell>
          <cell r="Z11">
            <v>22.8</v>
          </cell>
          <cell r="AA11">
            <v>27.6</v>
          </cell>
          <cell r="AB11" t="str">
            <v>увел продажи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42.923000000000002</v>
          </cell>
          <cell r="F12">
            <v>3.4969999999999999</v>
          </cell>
          <cell r="G12">
            <v>39.426000000000002</v>
          </cell>
          <cell r="H12">
            <v>1</v>
          </cell>
          <cell r="I12">
            <v>120</v>
          </cell>
          <cell r="L12">
            <v>3.5</v>
          </cell>
          <cell r="M12">
            <v>-3.0000000000001137E-3</v>
          </cell>
          <cell r="P12">
            <v>0</v>
          </cell>
          <cell r="Q12">
            <v>0</v>
          </cell>
          <cell r="R12">
            <v>0.69940000000000002</v>
          </cell>
          <cell r="T12">
            <v>0</v>
          </cell>
          <cell r="V12">
            <v>56.371175293108379</v>
          </cell>
          <cell r="W12">
            <v>56.371175293108379</v>
          </cell>
          <cell r="X12">
            <v>0.39479999999999998</v>
          </cell>
          <cell r="Y12">
            <v>1.4689999999999999</v>
          </cell>
          <cell r="Z12">
            <v>1.9788000000000001</v>
          </cell>
          <cell r="AA12">
            <v>0.79620000000000002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152</v>
          </cell>
          <cell r="E13">
            <v>1</v>
          </cell>
          <cell r="F13">
            <v>39</v>
          </cell>
          <cell r="G13">
            <v>113</v>
          </cell>
          <cell r="H13">
            <v>0.25</v>
          </cell>
          <cell r="I13">
            <v>120</v>
          </cell>
          <cell r="L13">
            <v>40</v>
          </cell>
          <cell r="M13">
            <v>-1</v>
          </cell>
          <cell r="P13">
            <v>0</v>
          </cell>
          <cell r="Q13">
            <v>0</v>
          </cell>
          <cell r="R13">
            <v>7.8</v>
          </cell>
          <cell r="S13">
            <v>8</v>
          </cell>
          <cell r="T13">
            <v>5</v>
          </cell>
          <cell r="V13">
            <v>15.512820512820513</v>
          </cell>
          <cell r="W13">
            <v>14.487179487179487</v>
          </cell>
          <cell r="X13">
            <v>6</v>
          </cell>
          <cell r="Y13">
            <v>11.2</v>
          </cell>
          <cell r="Z13">
            <v>7</v>
          </cell>
          <cell r="AA13">
            <v>11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103.226</v>
          </cell>
          <cell r="E14">
            <v>454.91899999999998</v>
          </cell>
          <cell r="F14">
            <v>409.38200000000001</v>
          </cell>
          <cell r="G14">
            <v>145.471</v>
          </cell>
          <cell r="H14">
            <v>1</v>
          </cell>
          <cell r="I14">
            <v>60</v>
          </cell>
          <cell r="L14">
            <v>435.6</v>
          </cell>
          <cell r="M14">
            <v>-26.218000000000018</v>
          </cell>
          <cell r="P14">
            <v>1252.56</v>
          </cell>
          <cell r="Q14">
            <v>1280</v>
          </cell>
          <cell r="R14">
            <v>81.876400000000004</v>
          </cell>
          <cell r="S14">
            <v>100</v>
          </cell>
          <cell r="T14">
            <v>100</v>
          </cell>
          <cell r="V14">
            <v>18.631388287711722</v>
          </cell>
          <cell r="W14">
            <v>1.7767146577035628</v>
          </cell>
          <cell r="X14">
            <v>74.794000000000011</v>
          </cell>
          <cell r="Y14">
            <v>100.3278</v>
          </cell>
          <cell r="Z14">
            <v>96.980999999999995</v>
          </cell>
          <cell r="AA14">
            <v>131.26579999999998</v>
          </cell>
          <cell r="AB14" t="str">
            <v>зв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16.946000000000002</v>
          </cell>
          <cell r="E15">
            <v>19.91</v>
          </cell>
          <cell r="F15">
            <v>12.904999999999999</v>
          </cell>
          <cell r="G15">
            <v>23.951000000000001</v>
          </cell>
          <cell r="H15">
            <v>1</v>
          </cell>
          <cell r="I15">
            <v>120</v>
          </cell>
          <cell r="L15">
            <v>12.6</v>
          </cell>
          <cell r="M15">
            <v>0.30499999999999972</v>
          </cell>
          <cell r="P15">
            <v>101.438</v>
          </cell>
          <cell r="Q15">
            <v>100</v>
          </cell>
          <cell r="R15">
            <v>2.581</v>
          </cell>
          <cell r="T15">
            <v>0</v>
          </cell>
          <cell r="V15">
            <v>48.02440914374273</v>
          </cell>
          <cell r="W15">
            <v>9.2797365362262685</v>
          </cell>
          <cell r="X15">
            <v>2.9815999999999998</v>
          </cell>
          <cell r="Y15">
            <v>5.0541999999999998</v>
          </cell>
          <cell r="Z15">
            <v>3.0813999999999999</v>
          </cell>
          <cell r="AA15">
            <v>2.4818000000000002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386.04500000000002</v>
          </cell>
          <cell r="E16">
            <v>2.7029999999999998</v>
          </cell>
          <cell r="F16">
            <v>161.60900000000001</v>
          </cell>
          <cell r="G16">
            <v>223.11500000000001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159.75</v>
          </cell>
          <cell r="M16">
            <v>1.8590000000000089</v>
          </cell>
          <cell r="P16">
            <v>47.968000000000004</v>
          </cell>
          <cell r="Q16">
            <v>50</v>
          </cell>
          <cell r="R16">
            <v>32.321800000000003</v>
          </cell>
          <cell r="S16">
            <v>180</v>
          </cell>
          <cell r="T16">
            <v>179.39020000000005</v>
          </cell>
          <cell r="V16">
            <v>14.018866523522822</v>
          </cell>
          <cell r="W16">
            <v>6.902926198417167</v>
          </cell>
          <cell r="X16">
            <v>39.246200000000002</v>
          </cell>
          <cell r="Y16">
            <v>41.835999999999999</v>
          </cell>
          <cell r="Z16">
            <v>27.650799999999997</v>
          </cell>
          <cell r="AA16">
            <v>31.226999999999997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217.53200000000001</v>
          </cell>
          <cell r="E17">
            <v>407.12299999999999</v>
          </cell>
          <cell r="F17">
            <v>295.29899999999998</v>
          </cell>
          <cell r="G17">
            <v>323.93400000000003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298.95</v>
          </cell>
          <cell r="M17">
            <v>-3.6510000000000105</v>
          </cell>
          <cell r="P17">
            <v>235.48699999999999</v>
          </cell>
          <cell r="Q17">
            <v>300</v>
          </cell>
          <cell r="R17">
            <v>59.059799999999996</v>
          </cell>
          <cell r="S17">
            <v>200</v>
          </cell>
          <cell r="T17">
            <v>202.90319999999991</v>
          </cell>
          <cell r="V17">
            <v>13.950843043830153</v>
          </cell>
          <cell r="W17">
            <v>5.484847561285342</v>
          </cell>
          <cell r="X17">
            <v>41.79</v>
          </cell>
          <cell r="Y17">
            <v>67.736800000000002</v>
          </cell>
          <cell r="Z17">
            <v>58.387800000000006</v>
          </cell>
          <cell r="AA17">
            <v>42.698599999999999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85</v>
          </cell>
          <cell r="E18">
            <v>50</v>
          </cell>
          <cell r="F18">
            <v>58</v>
          </cell>
          <cell r="G18">
            <v>75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60</v>
          </cell>
          <cell r="M18">
            <v>-2</v>
          </cell>
          <cell r="P18">
            <v>96</v>
          </cell>
          <cell r="Q18">
            <v>100</v>
          </cell>
          <cell r="R18">
            <v>11.6</v>
          </cell>
          <cell r="S18">
            <v>100</v>
          </cell>
          <cell r="T18">
            <v>100</v>
          </cell>
          <cell r="V18">
            <v>23.706896551724139</v>
          </cell>
          <cell r="W18">
            <v>6.4655172413793105</v>
          </cell>
          <cell r="X18">
            <v>10.8</v>
          </cell>
          <cell r="Y18">
            <v>6.6</v>
          </cell>
          <cell r="Z18">
            <v>10.6</v>
          </cell>
          <cell r="AA18">
            <v>14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8.2370000000000001</v>
          </cell>
          <cell r="E19">
            <v>109.252</v>
          </cell>
          <cell r="F19">
            <v>36.209000000000003</v>
          </cell>
          <cell r="G19">
            <v>81.013999999999996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32.9</v>
          </cell>
          <cell r="M19">
            <v>3.3090000000000046</v>
          </cell>
          <cell r="P19">
            <v>118.488</v>
          </cell>
          <cell r="Q19">
            <v>120</v>
          </cell>
          <cell r="R19">
            <v>7.2418000000000005</v>
          </cell>
          <cell r="S19">
            <v>100</v>
          </cell>
          <cell r="T19">
            <v>100</v>
          </cell>
          <cell r="V19">
            <v>41.566185202573948</v>
          </cell>
          <cell r="W19">
            <v>11.186997707752216</v>
          </cell>
          <cell r="X19">
            <v>13.679400000000001</v>
          </cell>
          <cell r="Y19">
            <v>12.536799999999999</v>
          </cell>
          <cell r="Z19">
            <v>14.352399999999999</v>
          </cell>
          <cell r="AA19">
            <v>17.0852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13</v>
          </cell>
          <cell r="E20">
            <v>120</v>
          </cell>
          <cell r="F20">
            <v>81</v>
          </cell>
          <cell r="G20">
            <v>51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82</v>
          </cell>
          <cell r="M20">
            <v>-1</v>
          </cell>
          <cell r="P20">
            <v>200</v>
          </cell>
          <cell r="Q20">
            <v>200</v>
          </cell>
          <cell r="R20">
            <v>16.2</v>
          </cell>
          <cell r="S20">
            <v>100</v>
          </cell>
          <cell r="T20">
            <v>100</v>
          </cell>
          <cell r="V20">
            <v>21.666666666666668</v>
          </cell>
          <cell r="W20">
            <v>3.1481481481481484</v>
          </cell>
          <cell r="X20">
            <v>16.8</v>
          </cell>
          <cell r="Y20">
            <v>18.600000000000001</v>
          </cell>
          <cell r="Z20">
            <v>17.600000000000001</v>
          </cell>
          <cell r="AA20">
            <v>23.4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114</v>
          </cell>
          <cell r="E21">
            <v>4</v>
          </cell>
          <cell r="F21">
            <v>117</v>
          </cell>
          <cell r="G21">
            <v>-3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189</v>
          </cell>
          <cell r="M21">
            <v>-72</v>
          </cell>
          <cell r="P21">
            <v>396</v>
          </cell>
          <cell r="Q21">
            <v>400</v>
          </cell>
          <cell r="R21">
            <v>23.4</v>
          </cell>
          <cell r="S21">
            <v>200</v>
          </cell>
          <cell r="T21">
            <v>200</v>
          </cell>
          <cell r="V21">
            <v>25.512820512820515</v>
          </cell>
          <cell r="W21">
            <v>-0.12820512820512822</v>
          </cell>
          <cell r="X21">
            <v>19.600000000000001</v>
          </cell>
          <cell r="Y21">
            <v>21.8</v>
          </cell>
          <cell r="Z21">
            <v>9.1999999999999993</v>
          </cell>
          <cell r="AA21">
            <v>27.8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177.62</v>
          </cell>
          <cell r="E22">
            <v>284.73</v>
          </cell>
          <cell r="F22">
            <v>195.43100000000001</v>
          </cell>
          <cell r="G22">
            <v>264.39499999999998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195.2</v>
          </cell>
          <cell r="M22">
            <v>0.23100000000002296</v>
          </cell>
          <cell r="P22">
            <v>256.40800000000002</v>
          </cell>
          <cell r="Q22">
            <v>250</v>
          </cell>
          <cell r="R22">
            <v>39.086200000000005</v>
          </cell>
          <cell r="S22">
            <v>40</v>
          </cell>
          <cell r="T22">
            <v>32.811800000000062</v>
          </cell>
          <cell r="V22">
            <v>14.183906340345183</v>
          </cell>
          <cell r="W22">
            <v>6.764407898439857</v>
          </cell>
          <cell r="X22">
            <v>33.907200000000003</v>
          </cell>
          <cell r="Y22">
            <v>50.519400000000005</v>
          </cell>
          <cell r="Z22">
            <v>51.383799999999994</v>
          </cell>
          <cell r="AA22">
            <v>50.156999999999996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34.042000000000002</v>
          </cell>
          <cell r="E23">
            <v>19.91</v>
          </cell>
          <cell r="F23">
            <v>10.554</v>
          </cell>
          <cell r="G23">
            <v>43.398000000000003</v>
          </cell>
          <cell r="H23">
            <v>1</v>
          </cell>
          <cell r="I23">
            <v>0</v>
          </cell>
          <cell r="J23" t="str">
            <v>в матрице</v>
          </cell>
          <cell r="L23">
            <v>10.5</v>
          </cell>
          <cell r="M23">
            <v>5.400000000000027E-2</v>
          </cell>
          <cell r="P23">
            <v>47.222000000000001</v>
          </cell>
          <cell r="Q23">
            <v>50</v>
          </cell>
          <cell r="R23">
            <v>2.1108000000000002</v>
          </cell>
          <cell r="S23">
            <v>50</v>
          </cell>
          <cell r="T23">
            <v>50</v>
          </cell>
          <cell r="V23">
            <v>67.935379950729569</v>
          </cell>
          <cell r="W23">
            <v>20.559977259806708</v>
          </cell>
          <cell r="X23">
            <v>0.40039999999999998</v>
          </cell>
          <cell r="Y23">
            <v>5.4109999999999996</v>
          </cell>
          <cell r="Z23">
            <v>4.4054000000000002</v>
          </cell>
          <cell r="AA23">
            <v>4.2176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144</v>
          </cell>
          <cell r="E24">
            <v>3</v>
          </cell>
          <cell r="F24">
            <v>76</v>
          </cell>
          <cell r="G24">
            <v>67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81</v>
          </cell>
          <cell r="M24">
            <v>-5</v>
          </cell>
          <cell r="P24">
            <v>200</v>
          </cell>
          <cell r="Q24">
            <v>200</v>
          </cell>
          <cell r="R24">
            <v>15.2</v>
          </cell>
          <cell r="S24">
            <v>100</v>
          </cell>
          <cell r="T24">
            <v>100</v>
          </cell>
          <cell r="V24">
            <v>24.144736842105264</v>
          </cell>
          <cell r="W24">
            <v>4.4078947368421053</v>
          </cell>
          <cell r="X24">
            <v>1.2</v>
          </cell>
          <cell r="Y24">
            <v>7.2</v>
          </cell>
          <cell r="Z24">
            <v>16.600000000000001</v>
          </cell>
          <cell r="AA24">
            <v>20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168.10300000000001</v>
          </cell>
          <cell r="E25">
            <v>290.42899999999997</v>
          </cell>
          <cell r="F25">
            <v>230.38399999999999</v>
          </cell>
          <cell r="G25">
            <v>225.08199999999999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226.2</v>
          </cell>
          <cell r="M25">
            <v>4.1839999999999975</v>
          </cell>
          <cell r="P25">
            <v>0</v>
          </cell>
          <cell r="Q25">
            <v>0</v>
          </cell>
          <cell r="R25">
            <v>46.076799999999999</v>
          </cell>
          <cell r="S25">
            <v>420</v>
          </cell>
          <cell r="T25">
            <v>419.9932</v>
          </cell>
          <cell r="V25">
            <v>14.000147579693035</v>
          </cell>
          <cell r="W25">
            <v>4.8849312452253626</v>
          </cell>
          <cell r="X25">
            <v>25.718</v>
          </cell>
          <cell r="Y25">
            <v>53.187199999999997</v>
          </cell>
          <cell r="Z25">
            <v>53.370600000000003</v>
          </cell>
          <cell r="AA25">
            <v>37.865400000000001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E26">
            <v>480</v>
          </cell>
          <cell r="F26">
            <v>189</v>
          </cell>
          <cell r="G26">
            <v>291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218</v>
          </cell>
          <cell r="M26">
            <v>-29</v>
          </cell>
          <cell r="P26">
            <v>88</v>
          </cell>
          <cell r="Q26">
            <v>90</v>
          </cell>
          <cell r="R26">
            <v>37.799999999999997</v>
          </cell>
          <cell r="S26">
            <v>150</v>
          </cell>
          <cell r="T26">
            <v>148.19999999999993</v>
          </cell>
          <cell r="V26">
            <v>14.047619047619049</v>
          </cell>
          <cell r="W26">
            <v>7.6984126984126986</v>
          </cell>
          <cell r="X26">
            <v>47.2</v>
          </cell>
          <cell r="Y26">
            <v>27.2</v>
          </cell>
          <cell r="Z26">
            <v>41</v>
          </cell>
          <cell r="AA26">
            <v>40.6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178</v>
          </cell>
          <cell r="F27">
            <v>26</v>
          </cell>
          <cell r="G27">
            <v>151</v>
          </cell>
          <cell r="H27">
            <v>0.15</v>
          </cell>
          <cell r="I27">
            <v>0</v>
          </cell>
          <cell r="J27" t="str">
            <v>в матрице</v>
          </cell>
          <cell r="L27">
            <v>27</v>
          </cell>
          <cell r="M27">
            <v>-1</v>
          </cell>
          <cell r="P27">
            <v>0</v>
          </cell>
          <cell r="Q27">
            <v>0</v>
          </cell>
          <cell r="R27">
            <v>5.2</v>
          </cell>
          <cell r="T27">
            <v>0</v>
          </cell>
          <cell r="V27">
            <v>29.038461538461537</v>
          </cell>
          <cell r="W27">
            <v>29.038461538461537</v>
          </cell>
          <cell r="X27">
            <v>3</v>
          </cell>
          <cell r="Y27">
            <v>4.4000000000000004</v>
          </cell>
          <cell r="Z27">
            <v>5.4</v>
          </cell>
          <cell r="AA27">
            <v>8.1999999999999993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82.034000000000006</v>
          </cell>
          <cell r="E28">
            <v>2.6890000000000001</v>
          </cell>
          <cell r="F28">
            <v>79.37</v>
          </cell>
          <cell r="G28">
            <v>2.6640000000000001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119.2</v>
          </cell>
          <cell r="M28">
            <v>-39.83</v>
          </cell>
          <cell r="P28">
            <v>389.899</v>
          </cell>
          <cell r="Q28">
            <v>460</v>
          </cell>
          <cell r="R28">
            <v>15.874000000000001</v>
          </cell>
          <cell r="S28">
            <v>200</v>
          </cell>
          <cell r="T28">
            <v>200</v>
          </cell>
          <cell r="V28">
            <v>41.745243794884715</v>
          </cell>
          <cell r="W28">
            <v>0.16782159506110622</v>
          </cell>
          <cell r="X28">
            <v>18.710599999999999</v>
          </cell>
          <cell r="Y28">
            <v>28.644600000000004</v>
          </cell>
          <cell r="Z28">
            <v>18.7226</v>
          </cell>
          <cell r="AA28">
            <v>38.290199999999999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375</v>
          </cell>
          <cell r="E29">
            <v>1</v>
          </cell>
          <cell r="F29">
            <v>153</v>
          </cell>
          <cell r="G29">
            <v>222</v>
          </cell>
          <cell r="H29">
            <v>0.09</v>
          </cell>
          <cell r="I29">
            <v>60</v>
          </cell>
          <cell r="J29" t="str">
            <v>в матрице</v>
          </cell>
          <cell r="L29">
            <v>154</v>
          </cell>
          <cell r="M29">
            <v>-1</v>
          </cell>
          <cell r="P29">
            <v>400</v>
          </cell>
          <cell r="Q29">
            <v>400</v>
          </cell>
          <cell r="R29">
            <v>30.6</v>
          </cell>
          <cell r="T29">
            <v>0</v>
          </cell>
          <cell r="V29">
            <v>20.326797385620914</v>
          </cell>
          <cell r="W29">
            <v>7.2549019607843137</v>
          </cell>
          <cell r="X29">
            <v>36.6</v>
          </cell>
          <cell r="Y29">
            <v>35.200000000000003</v>
          </cell>
          <cell r="Z29">
            <v>32.200000000000003</v>
          </cell>
          <cell r="AA29">
            <v>55.2</v>
          </cell>
          <cell r="AB29" t="str">
            <v>зв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153</v>
          </cell>
          <cell r="E30">
            <v>320</v>
          </cell>
          <cell r="F30">
            <v>114</v>
          </cell>
          <cell r="G30">
            <v>351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122</v>
          </cell>
          <cell r="M30">
            <v>-8</v>
          </cell>
          <cell r="P30">
            <v>0</v>
          </cell>
          <cell r="Q30">
            <v>0</v>
          </cell>
          <cell r="R30">
            <v>22.8</v>
          </cell>
          <cell r="T30">
            <v>0</v>
          </cell>
          <cell r="V30">
            <v>15.394736842105262</v>
          </cell>
          <cell r="W30">
            <v>15.394736842105262</v>
          </cell>
          <cell r="X30">
            <v>24</v>
          </cell>
          <cell r="Y30">
            <v>18.8</v>
          </cell>
          <cell r="Z30">
            <v>29.2</v>
          </cell>
          <cell r="AA30">
            <v>31.2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58</v>
          </cell>
          <cell r="E31">
            <v>160</v>
          </cell>
          <cell r="F31">
            <v>113</v>
          </cell>
          <cell r="G31">
            <v>104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114</v>
          </cell>
          <cell r="M31">
            <v>-1</v>
          </cell>
          <cell r="P31">
            <v>96</v>
          </cell>
          <cell r="Q31">
            <v>100</v>
          </cell>
          <cell r="R31">
            <v>22.6</v>
          </cell>
          <cell r="S31">
            <v>120</v>
          </cell>
          <cell r="T31">
            <v>112.40000000000003</v>
          </cell>
          <cell r="V31">
            <v>14.336283185840706</v>
          </cell>
          <cell r="W31">
            <v>4.6017699115044248</v>
          </cell>
          <cell r="X31">
            <v>14.8</v>
          </cell>
          <cell r="Y31">
            <v>23.6</v>
          </cell>
          <cell r="Z31">
            <v>24.4</v>
          </cell>
          <cell r="AA31">
            <v>17.8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197.072</v>
          </cell>
          <cell r="E32">
            <v>28.033999999999999</v>
          </cell>
          <cell r="F32">
            <v>229.68799999999999</v>
          </cell>
          <cell r="G32">
            <v>-6.1210000000000004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270</v>
          </cell>
          <cell r="M32">
            <v>-40.312000000000012</v>
          </cell>
          <cell r="P32">
            <v>723.93899999999996</v>
          </cell>
          <cell r="Q32">
            <v>680</v>
          </cell>
          <cell r="R32">
            <v>45.937599999999996</v>
          </cell>
          <cell r="S32">
            <v>200</v>
          </cell>
          <cell r="T32">
            <v>200</v>
          </cell>
          <cell r="V32">
            <v>19.023174915537602</v>
          </cell>
          <cell r="W32">
            <v>-0.13324596844415035</v>
          </cell>
          <cell r="X32">
            <v>57.500399999999999</v>
          </cell>
          <cell r="Y32">
            <v>59.9726</v>
          </cell>
          <cell r="Z32">
            <v>43.668400000000005</v>
          </cell>
          <cell r="AA32">
            <v>65.234200000000001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56</v>
          </cell>
          <cell r="E33">
            <v>7</v>
          </cell>
          <cell r="F33">
            <v>54</v>
          </cell>
          <cell r="G33">
            <v>2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96</v>
          </cell>
          <cell r="M33">
            <v>-42</v>
          </cell>
          <cell r="P33">
            <v>0</v>
          </cell>
          <cell r="Q33">
            <v>100</v>
          </cell>
          <cell r="R33">
            <v>10.8</v>
          </cell>
          <cell r="S33">
            <v>50</v>
          </cell>
          <cell r="T33">
            <v>49.200000000000017</v>
          </cell>
          <cell r="V33">
            <v>14.074074074074073</v>
          </cell>
          <cell r="W33">
            <v>0.18518518518518517</v>
          </cell>
          <cell r="X33">
            <v>7.4</v>
          </cell>
          <cell r="Y33">
            <v>15.4</v>
          </cell>
          <cell r="Z33">
            <v>2.8</v>
          </cell>
          <cell r="AA33">
            <v>11.2</v>
          </cell>
          <cell r="AB33" t="str">
            <v>увел продажи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14</v>
          </cell>
          <cell r="E34">
            <v>307</v>
          </cell>
          <cell r="F34">
            <v>65</v>
          </cell>
          <cell r="G34">
            <v>252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106</v>
          </cell>
          <cell r="M34">
            <v>-41</v>
          </cell>
          <cell r="P34">
            <v>0</v>
          </cell>
          <cell r="Q34">
            <v>0</v>
          </cell>
          <cell r="R34">
            <v>13</v>
          </cell>
          <cell r="T34">
            <v>0</v>
          </cell>
          <cell r="V34">
            <v>19.384615384615383</v>
          </cell>
          <cell r="W34">
            <v>19.384615384615383</v>
          </cell>
          <cell r="X34">
            <v>9.8000000000000007</v>
          </cell>
          <cell r="Y34">
            <v>19.8</v>
          </cell>
          <cell r="Z34">
            <v>31</v>
          </cell>
          <cell r="AA34">
            <v>18.600000000000001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191</v>
          </cell>
          <cell r="E35">
            <v>256</v>
          </cell>
          <cell r="F35">
            <v>208</v>
          </cell>
          <cell r="G35">
            <v>223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227</v>
          </cell>
          <cell r="M35">
            <v>-19</v>
          </cell>
          <cell r="P35">
            <v>272</v>
          </cell>
          <cell r="Q35">
            <v>300</v>
          </cell>
          <cell r="R35">
            <v>41.6</v>
          </cell>
          <cell r="S35">
            <v>60</v>
          </cell>
          <cell r="T35">
            <v>59.399999999999977</v>
          </cell>
          <cell r="V35">
            <v>14.014423076923077</v>
          </cell>
          <cell r="W35">
            <v>5.3605769230769225</v>
          </cell>
          <cell r="X35">
            <v>38.200000000000003</v>
          </cell>
          <cell r="Y35">
            <v>44.8</v>
          </cell>
          <cell r="Z35">
            <v>44.8</v>
          </cell>
          <cell r="AA35">
            <v>39.4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6</v>
          </cell>
          <cell r="E36">
            <v>4</v>
          </cell>
          <cell r="F36">
            <v>7</v>
          </cell>
          <cell r="G36">
            <v>1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88</v>
          </cell>
          <cell r="M36">
            <v>-81</v>
          </cell>
          <cell r="P36">
            <v>544</v>
          </cell>
          <cell r="Q36">
            <v>550</v>
          </cell>
          <cell r="R36">
            <v>1.4</v>
          </cell>
          <cell r="T36">
            <v>0</v>
          </cell>
          <cell r="V36">
            <v>393.57142857142861</v>
          </cell>
          <cell r="W36">
            <v>0.7142857142857143</v>
          </cell>
          <cell r="X36">
            <v>23</v>
          </cell>
          <cell r="Y36">
            <v>21</v>
          </cell>
          <cell r="Z36">
            <v>14.4</v>
          </cell>
          <cell r="AA36">
            <v>39.200000000000003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2</v>
          </cell>
          <cell r="E37">
            <v>422</v>
          </cell>
          <cell r="F37">
            <v>171</v>
          </cell>
          <cell r="G37">
            <v>247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231</v>
          </cell>
          <cell r="M37">
            <v>-60</v>
          </cell>
          <cell r="P37">
            <v>120</v>
          </cell>
          <cell r="Q37">
            <v>120</v>
          </cell>
          <cell r="R37">
            <v>34.200000000000003</v>
          </cell>
          <cell r="S37">
            <v>120</v>
          </cell>
          <cell r="T37">
            <v>111.80000000000007</v>
          </cell>
          <cell r="V37">
            <v>14.239766081871343</v>
          </cell>
          <cell r="W37">
            <v>7.2222222222222214</v>
          </cell>
          <cell r="X37">
            <v>27.2</v>
          </cell>
          <cell r="Y37">
            <v>48.2</v>
          </cell>
          <cell r="Z37">
            <v>44.2</v>
          </cell>
          <cell r="AA37">
            <v>37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231</v>
          </cell>
          <cell r="F38">
            <v>104</v>
          </cell>
          <cell r="G38">
            <v>124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107</v>
          </cell>
          <cell r="M38">
            <v>-3</v>
          </cell>
          <cell r="P38">
            <v>588</v>
          </cell>
          <cell r="Q38">
            <v>600</v>
          </cell>
          <cell r="R38">
            <v>20.8</v>
          </cell>
          <cell r="T38">
            <v>0</v>
          </cell>
          <cell r="V38">
            <v>34.807692307692307</v>
          </cell>
          <cell r="W38">
            <v>5.9615384615384617</v>
          </cell>
          <cell r="X38">
            <v>40.200000000000003</v>
          </cell>
          <cell r="Y38">
            <v>31.8</v>
          </cell>
          <cell r="Z38">
            <v>30.4</v>
          </cell>
          <cell r="AA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371</v>
          </cell>
          <cell r="E39">
            <v>3</v>
          </cell>
          <cell r="F39">
            <v>247</v>
          </cell>
          <cell r="G39">
            <v>124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250</v>
          </cell>
          <cell r="M39">
            <v>-3</v>
          </cell>
          <cell r="P39">
            <v>360</v>
          </cell>
          <cell r="Q39">
            <v>360</v>
          </cell>
          <cell r="R39">
            <v>49.4</v>
          </cell>
          <cell r="S39">
            <v>210</v>
          </cell>
          <cell r="T39">
            <v>207.60000000000002</v>
          </cell>
          <cell r="V39">
            <v>14.048582995951417</v>
          </cell>
          <cell r="W39">
            <v>2.5101214574898787</v>
          </cell>
          <cell r="X39">
            <v>38.6</v>
          </cell>
          <cell r="Y39">
            <v>42.2</v>
          </cell>
          <cell r="Z39">
            <v>38</v>
          </cell>
          <cell r="AA39">
            <v>52</v>
          </cell>
          <cell r="AB39" t="str">
            <v>???заявки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131</v>
          </cell>
          <cell r="E40">
            <v>60</v>
          </cell>
          <cell r="F40">
            <v>22</v>
          </cell>
          <cell r="G40">
            <v>169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22</v>
          </cell>
          <cell r="M40">
            <v>0</v>
          </cell>
          <cell r="P40">
            <v>100</v>
          </cell>
          <cell r="Q40">
            <v>100</v>
          </cell>
          <cell r="R40">
            <v>4.4000000000000004</v>
          </cell>
          <cell r="T40">
            <v>0</v>
          </cell>
          <cell r="V40">
            <v>61.136363636363633</v>
          </cell>
          <cell r="W40">
            <v>38.409090909090907</v>
          </cell>
          <cell r="X40">
            <v>10.4</v>
          </cell>
          <cell r="Y40">
            <v>16.600000000000001</v>
          </cell>
          <cell r="Z40">
            <v>16.2</v>
          </cell>
          <cell r="AA40">
            <v>11.6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D41">
            <v>14</v>
          </cell>
          <cell r="E41">
            <v>159</v>
          </cell>
          <cell r="F41">
            <v>100</v>
          </cell>
          <cell r="G41">
            <v>69</v>
          </cell>
          <cell r="H41">
            <v>0.4</v>
          </cell>
          <cell r="I41">
            <v>45</v>
          </cell>
          <cell r="J41" t="str">
            <v>в матрице</v>
          </cell>
          <cell r="L41">
            <v>105</v>
          </cell>
          <cell r="M41">
            <v>-5</v>
          </cell>
          <cell r="P41">
            <v>0</v>
          </cell>
          <cell r="Q41">
            <v>60</v>
          </cell>
          <cell r="R41">
            <v>20</v>
          </cell>
          <cell r="S41">
            <v>150</v>
          </cell>
          <cell r="T41">
            <v>151</v>
          </cell>
          <cell r="V41">
            <v>13.95</v>
          </cell>
          <cell r="W41">
            <v>3.45</v>
          </cell>
          <cell r="X41">
            <v>7.2</v>
          </cell>
          <cell r="Y41">
            <v>12.4</v>
          </cell>
          <cell r="Z41">
            <v>18.8</v>
          </cell>
          <cell r="AA41">
            <v>16.600000000000001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91</v>
          </cell>
          <cell r="F42">
            <v>88</v>
          </cell>
          <cell r="G42">
            <v>1</v>
          </cell>
          <cell r="H42">
            <v>0.3</v>
          </cell>
          <cell r="L42">
            <v>143</v>
          </cell>
          <cell r="M42">
            <v>-55</v>
          </cell>
          <cell r="P42">
            <v>450</v>
          </cell>
          <cell r="Q42">
            <v>450</v>
          </cell>
          <cell r="R42">
            <v>17.600000000000001</v>
          </cell>
          <cell r="S42">
            <v>200</v>
          </cell>
          <cell r="T42">
            <v>200</v>
          </cell>
          <cell r="V42">
            <v>36.98863636363636</v>
          </cell>
          <cell r="W42">
            <v>5.6818181818181816E-2</v>
          </cell>
          <cell r="X42">
            <v>4.8</v>
          </cell>
          <cell r="Y42">
            <v>6</v>
          </cell>
          <cell r="Z42">
            <v>8.8000000000000007</v>
          </cell>
          <cell r="AA42">
            <v>2.4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88.073999999999998</v>
          </cell>
          <cell r="E43">
            <v>7.9669999999999996</v>
          </cell>
          <cell r="F43">
            <v>86.953999999999994</v>
          </cell>
          <cell r="G43">
            <v>9.0869999999999997</v>
          </cell>
          <cell r="H43">
            <v>1</v>
          </cell>
          <cell r="I43">
            <v>60</v>
          </cell>
          <cell r="L43">
            <v>88.6</v>
          </cell>
          <cell r="M43">
            <v>-1.6460000000000008</v>
          </cell>
          <cell r="P43">
            <v>200.898</v>
          </cell>
          <cell r="Q43">
            <v>200</v>
          </cell>
          <cell r="R43">
            <v>17.390799999999999</v>
          </cell>
          <cell r="S43">
            <v>40</v>
          </cell>
          <cell r="T43">
            <v>34.384199999999993</v>
          </cell>
          <cell r="V43">
            <v>14.322917864618073</v>
          </cell>
          <cell r="W43">
            <v>0.52251765301193742</v>
          </cell>
          <cell r="X43">
            <v>11.179</v>
          </cell>
          <cell r="Y43">
            <v>20.904199999999999</v>
          </cell>
          <cell r="Z43">
            <v>15.313599999999999</v>
          </cell>
          <cell r="AA43">
            <v>21.086000000000002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32.351999999999997</v>
          </cell>
          <cell r="E44">
            <v>249.55</v>
          </cell>
          <cell r="F44">
            <v>70.971999999999994</v>
          </cell>
          <cell r="G44">
            <v>209.25299999999999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73.7</v>
          </cell>
          <cell r="M44">
            <v>-2.7280000000000086</v>
          </cell>
          <cell r="P44">
            <v>103.92100000000001</v>
          </cell>
          <cell r="Q44">
            <v>100</v>
          </cell>
          <cell r="R44">
            <v>14.194399999999998</v>
          </cell>
          <cell r="T44">
            <v>0</v>
          </cell>
          <cell r="V44">
            <v>21.78697232711492</v>
          </cell>
          <cell r="W44">
            <v>14.741940483570987</v>
          </cell>
          <cell r="X44">
            <v>22.925599999999999</v>
          </cell>
          <cell r="Y44">
            <v>12.3764</v>
          </cell>
          <cell r="Z44">
            <v>25.958800000000004</v>
          </cell>
          <cell r="AA44">
            <v>18.4634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116.032</v>
          </cell>
          <cell r="E45">
            <v>39.953000000000003</v>
          </cell>
          <cell r="F45">
            <v>106.348</v>
          </cell>
          <cell r="G45">
            <v>47.088999999999999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105.6</v>
          </cell>
          <cell r="M45">
            <v>0.74800000000000466</v>
          </cell>
          <cell r="P45">
            <v>155.06700000000001</v>
          </cell>
          <cell r="Q45">
            <v>150</v>
          </cell>
          <cell r="R45">
            <v>21.269600000000001</v>
          </cell>
          <cell r="S45">
            <v>150</v>
          </cell>
          <cell r="T45">
            <v>150</v>
          </cell>
          <cell r="V45">
            <v>16.318548538759543</v>
          </cell>
          <cell r="W45">
            <v>2.2139109339150713</v>
          </cell>
          <cell r="X45">
            <v>24.296399999999998</v>
          </cell>
          <cell r="Y45">
            <v>18.083400000000001</v>
          </cell>
          <cell r="Z45">
            <v>18.827000000000002</v>
          </cell>
          <cell r="AA45">
            <v>21.2666</v>
          </cell>
        </row>
        <row r="46">
          <cell r="A46" t="str">
            <v>6602 БАВАРСКИЕ ПМ сос ц/о мгс 0,35кг 8шт  Останкино</v>
          </cell>
          <cell r="B46" t="str">
            <v>шт</v>
          </cell>
          <cell r="C46">
            <v>6602</v>
          </cell>
          <cell r="E46">
            <v>202</v>
          </cell>
          <cell r="F46">
            <v>23</v>
          </cell>
          <cell r="G46">
            <v>177</v>
          </cell>
          <cell r="H46">
            <v>0.35</v>
          </cell>
          <cell r="I46">
            <v>45</v>
          </cell>
          <cell r="L46">
            <v>25</v>
          </cell>
          <cell r="M46">
            <v>-2</v>
          </cell>
          <cell r="P46">
            <v>96</v>
          </cell>
          <cell r="Q46">
            <v>100</v>
          </cell>
          <cell r="R46">
            <v>4.5999999999999996</v>
          </cell>
          <cell r="T46">
            <v>0</v>
          </cell>
          <cell r="V46">
            <v>60.217391304347828</v>
          </cell>
          <cell r="W46">
            <v>38.478260869565219</v>
          </cell>
          <cell r="X46">
            <v>6</v>
          </cell>
          <cell r="Y46">
            <v>4.2</v>
          </cell>
          <cell r="Z46">
            <v>15</v>
          </cell>
          <cell r="AA46">
            <v>-1.4</v>
          </cell>
        </row>
        <row r="47">
          <cell r="A47" t="str">
            <v>6608 С ГОВЯДИНОЙ ОРИГИН. сар б/о мгс 1*3_45с  ОСТАНКИНО</v>
          </cell>
          <cell r="B47" t="str">
            <v>кг</v>
          </cell>
          <cell r="C47">
            <v>6608</v>
          </cell>
          <cell r="D47">
            <v>57.570999999999998</v>
          </cell>
          <cell r="E47">
            <v>165.874</v>
          </cell>
          <cell r="F47">
            <v>171.83699999999999</v>
          </cell>
          <cell r="G47">
            <v>49.835999999999999</v>
          </cell>
          <cell r="H47">
            <v>1</v>
          </cell>
          <cell r="I47">
            <v>45</v>
          </cell>
          <cell r="J47" t="str">
            <v>в матрице</v>
          </cell>
          <cell r="L47">
            <v>169.8</v>
          </cell>
          <cell r="M47">
            <v>2.0369999999999777</v>
          </cell>
          <cell r="P47">
            <v>361.12400000000002</v>
          </cell>
          <cell r="Q47">
            <v>350</v>
          </cell>
          <cell r="R47">
            <v>34.367399999999996</v>
          </cell>
          <cell r="S47">
            <v>80</v>
          </cell>
          <cell r="T47">
            <v>81.307599999999923</v>
          </cell>
          <cell r="V47">
            <v>13.961952315275525</v>
          </cell>
          <cell r="W47">
            <v>1.4500951483091535</v>
          </cell>
          <cell r="X47">
            <v>28.162400000000002</v>
          </cell>
          <cell r="Y47">
            <v>24.531200000000002</v>
          </cell>
          <cell r="Z47">
            <v>31.277200000000001</v>
          </cell>
          <cell r="AA47">
            <v>40.723599999999998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6616</v>
          </cell>
          <cell r="D48">
            <v>5</v>
          </cell>
          <cell r="E48">
            <v>219</v>
          </cell>
          <cell r="F48">
            <v>140</v>
          </cell>
          <cell r="G48">
            <v>80</v>
          </cell>
          <cell r="H48">
            <v>0.3</v>
          </cell>
          <cell r="I48">
            <v>45</v>
          </cell>
          <cell r="J48" t="str">
            <v>в матрице</v>
          </cell>
          <cell r="L48">
            <v>155</v>
          </cell>
          <cell r="M48">
            <v>-15</v>
          </cell>
          <cell r="P48">
            <v>40</v>
          </cell>
          <cell r="Q48">
            <v>40</v>
          </cell>
          <cell r="R48">
            <v>28</v>
          </cell>
          <cell r="S48">
            <v>270</v>
          </cell>
          <cell r="T48">
            <v>272</v>
          </cell>
          <cell r="V48">
            <v>13.928571428571429</v>
          </cell>
          <cell r="W48">
            <v>2.8571428571428572</v>
          </cell>
          <cell r="X48">
            <v>17.8</v>
          </cell>
          <cell r="Y48">
            <v>24.4</v>
          </cell>
          <cell r="Z48">
            <v>21.6</v>
          </cell>
          <cell r="AA48">
            <v>19.2</v>
          </cell>
        </row>
        <row r="49">
          <cell r="A49" t="str">
            <v>6620 РЕБРЫШКИ к/в в/у_30с  Останкино</v>
          </cell>
          <cell r="B49" t="str">
            <v>кг</v>
          </cell>
          <cell r="C49">
            <v>6620</v>
          </cell>
          <cell r="D49">
            <v>75.727999999999994</v>
          </cell>
          <cell r="F49">
            <v>26.963999999999999</v>
          </cell>
          <cell r="G49">
            <v>48.264000000000003</v>
          </cell>
          <cell r="H49">
            <v>1</v>
          </cell>
          <cell r="I49">
            <v>0</v>
          </cell>
          <cell r="J49" t="str">
            <v>опты</v>
          </cell>
          <cell r="L49">
            <v>27</v>
          </cell>
          <cell r="M49">
            <v>-3.6000000000001364E-2</v>
          </cell>
          <cell r="P49">
            <v>218.97800000000001</v>
          </cell>
          <cell r="Q49">
            <v>200</v>
          </cell>
          <cell r="R49">
            <v>5.3927999999999994</v>
          </cell>
          <cell r="T49">
            <v>0</v>
          </cell>
          <cell r="V49">
            <v>46.03619641002819</v>
          </cell>
          <cell r="W49">
            <v>8.949710725411661</v>
          </cell>
          <cell r="X49">
            <v>15.457599999999999</v>
          </cell>
          <cell r="Y49">
            <v>10.706799999999999</v>
          </cell>
          <cell r="Z49">
            <v>12.626000000000001</v>
          </cell>
          <cell r="AA49">
            <v>30.823200000000003</v>
          </cell>
          <cell r="AB49" t="str">
            <v>зв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381.298</v>
          </cell>
          <cell r="E50">
            <v>3.1459999999999999</v>
          </cell>
          <cell r="F50">
            <v>168.624</v>
          </cell>
          <cell r="G50">
            <v>212.67400000000001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162.6</v>
          </cell>
          <cell r="M50">
            <v>6.0240000000000009</v>
          </cell>
          <cell r="P50">
            <v>157.46</v>
          </cell>
          <cell r="Q50">
            <v>150</v>
          </cell>
          <cell r="R50">
            <v>33.724800000000002</v>
          </cell>
          <cell r="S50">
            <v>110</v>
          </cell>
          <cell r="T50">
            <v>109.47320000000002</v>
          </cell>
          <cell r="V50">
            <v>14.015620552234555</v>
          </cell>
          <cell r="W50">
            <v>6.3061604516557548</v>
          </cell>
          <cell r="X50">
            <v>30.360800000000001</v>
          </cell>
          <cell r="Y50">
            <v>45.942</v>
          </cell>
          <cell r="Z50">
            <v>37.513400000000004</v>
          </cell>
          <cell r="AA50">
            <v>37.8416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131</v>
          </cell>
          <cell r="E51">
            <v>211</v>
          </cell>
          <cell r="F51">
            <v>332</v>
          </cell>
          <cell r="G51">
            <v>-5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348</v>
          </cell>
          <cell r="M51">
            <v>-16</v>
          </cell>
          <cell r="P51">
            <v>720</v>
          </cell>
          <cell r="Q51">
            <v>720</v>
          </cell>
          <cell r="R51">
            <v>66.400000000000006</v>
          </cell>
          <cell r="S51">
            <v>400</v>
          </cell>
          <cell r="T51">
            <v>400</v>
          </cell>
          <cell r="V51">
            <v>16.792168674698793</v>
          </cell>
          <cell r="W51">
            <v>-7.5301204819277101E-2</v>
          </cell>
          <cell r="X51">
            <v>34.799999999999997</v>
          </cell>
          <cell r="Y51">
            <v>68.599999999999994</v>
          </cell>
          <cell r="Z51">
            <v>52.8</v>
          </cell>
          <cell r="AA51">
            <v>74.8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38</v>
          </cell>
          <cell r="F52">
            <v>31</v>
          </cell>
          <cell r="G52">
            <v>3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225</v>
          </cell>
          <cell r="M52">
            <v>-194</v>
          </cell>
          <cell r="P52">
            <v>720</v>
          </cell>
          <cell r="Q52">
            <v>720</v>
          </cell>
          <cell r="R52">
            <v>6.2</v>
          </cell>
          <cell r="S52">
            <v>160</v>
          </cell>
          <cell r="T52">
            <v>150</v>
          </cell>
          <cell r="V52">
            <v>142.41935483870967</v>
          </cell>
          <cell r="W52">
            <v>0.48387096774193544</v>
          </cell>
          <cell r="X52">
            <v>47.4</v>
          </cell>
          <cell r="Y52">
            <v>39.4</v>
          </cell>
          <cell r="Z52">
            <v>22.6</v>
          </cell>
          <cell r="AA52">
            <v>55.4</v>
          </cell>
          <cell r="AB52" t="str">
            <v>300тф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D53">
            <v>92</v>
          </cell>
          <cell r="E53">
            <v>27</v>
          </cell>
          <cell r="F53">
            <v>111</v>
          </cell>
          <cell r="G53">
            <v>1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178</v>
          </cell>
          <cell r="M53">
            <v>-67</v>
          </cell>
          <cell r="P53">
            <v>420</v>
          </cell>
          <cell r="Q53">
            <v>420</v>
          </cell>
          <cell r="R53">
            <v>22.2</v>
          </cell>
          <cell r="S53">
            <v>150</v>
          </cell>
          <cell r="T53">
            <v>150</v>
          </cell>
          <cell r="V53">
            <v>25.72072072072072</v>
          </cell>
          <cell r="W53">
            <v>4.504504504504505E-2</v>
          </cell>
          <cell r="X53">
            <v>18.8</v>
          </cell>
          <cell r="Y53">
            <v>28.6</v>
          </cell>
          <cell r="Z53">
            <v>21.4</v>
          </cell>
          <cell r="AA53">
            <v>38.6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14</v>
          </cell>
          <cell r="F54">
            <v>13</v>
          </cell>
          <cell r="G54">
            <v>1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58</v>
          </cell>
          <cell r="M54">
            <v>-45</v>
          </cell>
          <cell r="P54">
            <v>558</v>
          </cell>
          <cell r="Q54">
            <v>560</v>
          </cell>
          <cell r="R54">
            <v>2.6</v>
          </cell>
          <cell r="S54">
            <v>100</v>
          </cell>
          <cell r="T54">
            <v>100</v>
          </cell>
          <cell r="V54">
            <v>254.23076923076923</v>
          </cell>
          <cell r="W54">
            <v>0.38461538461538458</v>
          </cell>
          <cell r="X54">
            <v>11.4</v>
          </cell>
          <cell r="Y54">
            <v>19.399999999999999</v>
          </cell>
          <cell r="Z54">
            <v>11</v>
          </cell>
          <cell r="AA54">
            <v>41.8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6787</v>
          </cell>
          <cell r="D55">
            <v>54</v>
          </cell>
          <cell r="E55">
            <v>4</v>
          </cell>
          <cell r="F55">
            <v>51</v>
          </cell>
          <cell r="G55">
            <v>2</v>
          </cell>
          <cell r="H55">
            <v>0.33</v>
          </cell>
          <cell r="I55">
            <v>45</v>
          </cell>
          <cell r="J55" t="str">
            <v>в матрице</v>
          </cell>
          <cell r="L55">
            <v>70</v>
          </cell>
          <cell r="M55">
            <v>-19</v>
          </cell>
          <cell r="P55">
            <v>320</v>
          </cell>
          <cell r="Q55">
            <v>320</v>
          </cell>
          <cell r="R55">
            <v>10.199999999999999</v>
          </cell>
          <cell r="S55">
            <v>120</v>
          </cell>
          <cell r="T55">
            <v>150</v>
          </cell>
          <cell r="V55">
            <v>43.333333333333336</v>
          </cell>
          <cell r="W55">
            <v>0.19607843137254904</v>
          </cell>
          <cell r="X55">
            <v>5</v>
          </cell>
          <cell r="Y55">
            <v>16.8</v>
          </cell>
          <cell r="Z55">
            <v>8.8000000000000007</v>
          </cell>
          <cell r="AA55">
            <v>26.4</v>
          </cell>
        </row>
        <row r="56">
          <cell r="A56" t="str">
            <v>6793 БАЛЫКОВАЯ в/к в/у 0,33кг 8шт  Останкино</v>
          </cell>
          <cell r="B56" t="str">
            <v>шт</v>
          </cell>
          <cell r="C56">
            <v>6793</v>
          </cell>
          <cell r="E56">
            <v>16</v>
          </cell>
          <cell r="F56">
            <v>13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64</v>
          </cell>
          <cell r="M56">
            <v>-51</v>
          </cell>
          <cell r="P56">
            <v>0</v>
          </cell>
          <cell r="Q56">
            <v>80</v>
          </cell>
          <cell r="R56">
            <v>2.6</v>
          </cell>
          <cell r="S56">
            <v>150</v>
          </cell>
          <cell r="T56">
            <v>150</v>
          </cell>
          <cell r="V56">
            <v>88.461538461538453</v>
          </cell>
          <cell r="W56">
            <v>0</v>
          </cell>
          <cell r="X56">
            <v>20.8</v>
          </cell>
          <cell r="Y56">
            <v>13.8</v>
          </cell>
          <cell r="Z56">
            <v>19.2</v>
          </cell>
          <cell r="AA56">
            <v>7.4</v>
          </cell>
        </row>
        <row r="57">
          <cell r="A57" t="str">
            <v>6797 С ИНДЕЙКОЙ Папа может вар п/о 0,4кг 8шт. ОСТАНКИНО</v>
          </cell>
          <cell r="B57" t="str">
            <v>шт</v>
          </cell>
          <cell r="C57">
            <v>6797</v>
          </cell>
          <cell r="D57">
            <v>303</v>
          </cell>
          <cell r="E57">
            <v>8</v>
          </cell>
          <cell r="F57">
            <v>178</v>
          </cell>
          <cell r="G57">
            <v>124</v>
          </cell>
          <cell r="H57">
            <v>0.4</v>
          </cell>
          <cell r="L57">
            <v>186</v>
          </cell>
          <cell r="M57">
            <v>-8</v>
          </cell>
          <cell r="P57">
            <v>0</v>
          </cell>
          <cell r="Q57">
            <v>150</v>
          </cell>
          <cell r="R57">
            <v>35.6</v>
          </cell>
          <cell r="S57">
            <v>220</v>
          </cell>
          <cell r="T57">
            <v>224.40000000000003</v>
          </cell>
          <cell r="V57">
            <v>13.876404494382022</v>
          </cell>
          <cell r="W57">
            <v>3.4831460674157304</v>
          </cell>
          <cell r="X57">
            <v>0</v>
          </cell>
          <cell r="Y57">
            <v>0</v>
          </cell>
          <cell r="Z57">
            <v>0</v>
          </cell>
          <cell r="AA57">
            <v>19.8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C58">
            <v>6807</v>
          </cell>
          <cell r="D58">
            <v>85</v>
          </cell>
          <cell r="E58">
            <v>1</v>
          </cell>
          <cell r="F58">
            <v>55</v>
          </cell>
          <cell r="G58">
            <v>28</v>
          </cell>
          <cell r="H58">
            <v>0.33</v>
          </cell>
          <cell r="I58">
            <v>45</v>
          </cell>
          <cell r="J58" t="str">
            <v>в матрице</v>
          </cell>
          <cell r="L58">
            <v>57</v>
          </cell>
          <cell r="M58">
            <v>-2</v>
          </cell>
          <cell r="P58">
            <v>96</v>
          </cell>
          <cell r="Q58">
            <v>100</v>
          </cell>
          <cell r="R58">
            <v>11</v>
          </cell>
          <cell r="S58">
            <v>50</v>
          </cell>
          <cell r="T58">
            <v>50</v>
          </cell>
          <cell r="V58">
            <v>16.181818181818183</v>
          </cell>
          <cell r="W58">
            <v>2.5454545454545454</v>
          </cell>
          <cell r="X58">
            <v>3.6</v>
          </cell>
          <cell r="Y58">
            <v>5.8</v>
          </cell>
          <cell r="Z58">
            <v>6.2</v>
          </cell>
          <cell r="AA58">
            <v>13.4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6829</v>
          </cell>
          <cell r="D59">
            <v>-1.1379999999999999</v>
          </cell>
          <cell r="E59">
            <v>499.02100000000002</v>
          </cell>
          <cell r="F59">
            <v>218.11799999999999</v>
          </cell>
          <cell r="G59">
            <v>275.495</v>
          </cell>
          <cell r="H59">
            <v>1</v>
          </cell>
          <cell r="I59">
            <v>45</v>
          </cell>
          <cell r="J59" t="str">
            <v>в матрице</v>
          </cell>
          <cell r="L59">
            <v>303.60000000000002</v>
          </cell>
          <cell r="M59">
            <v>-85.482000000000028</v>
          </cell>
          <cell r="P59">
            <v>247.53200000000001</v>
          </cell>
          <cell r="Q59">
            <v>250</v>
          </cell>
          <cell r="R59">
            <v>43.623599999999996</v>
          </cell>
          <cell r="S59">
            <v>90</v>
          </cell>
          <cell r="T59">
            <v>85.235399999999913</v>
          </cell>
          <cell r="V59">
            <v>14.109220697053889</v>
          </cell>
          <cell r="W59">
            <v>6.3152743010663963</v>
          </cell>
          <cell r="X59">
            <v>42.923200000000001</v>
          </cell>
          <cell r="Y59">
            <v>47.639400000000002</v>
          </cell>
          <cell r="Z59">
            <v>54.067799999999998</v>
          </cell>
          <cell r="AA59">
            <v>22.008600000000001</v>
          </cell>
          <cell r="AB59" t="str">
            <v>зв</v>
          </cell>
        </row>
        <row r="60">
          <cell r="A60" t="str">
            <v>6834 ПОСОЛЬСКАЯ с/к с/н в/у 1/100 10шт  Останкино</v>
          </cell>
          <cell r="B60" t="str">
            <v>шт</v>
          </cell>
          <cell r="C60">
            <v>6834</v>
          </cell>
          <cell r="D60">
            <v>213</v>
          </cell>
          <cell r="F60">
            <v>31</v>
          </cell>
          <cell r="G60">
            <v>182</v>
          </cell>
          <cell r="H60">
            <v>0.1</v>
          </cell>
          <cell r="L60">
            <v>31</v>
          </cell>
          <cell r="M60">
            <v>0</v>
          </cell>
          <cell r="P60">
            <v>0</v>
          </cell>
          <cell r="Q60">
            <v>0</v>
          </cell>
          <cell r="R60">
            <v>6.2</v>
          </cell>
          <cell r="T60">
            <v>0</v>
          </cell>
          <cell r="V60">
            <v>29.35483870967742</v>
          </cell>
          <cell r="W60">
            <v>29.35483870967742</v>
          </cell>
          <cell r="X60">
            <v>14</v>
          </cell>
          <cell r="Y60">
            <v>13.6</v>
          </cell>
          <cell r="Z60">
            <v>9.6</v>
          </cell>
          <cell r="AA60">
            <v>5</v>
          </cell>
        </row>
        <row r="61">
          <cell r="A61" t="str">
            <v>6837 ФИЛЕЙНЫЕ Папа Может сос ц/о мгс 0,4кг  Останкино</v>
          </cell>
          <cell r="B61" t="str">
            <v>шт</v>
          </cell>
          <cell r="C61">
            <v>6837</v>
          </cell>
          <cell r="E61">
            <v>249</v>
          </cell>
          <cell r="F61">
            <v>69</v>
          </cell>
          <cell r="G61">
            <v>167</v>
          </cell>
          <cell r="H61">
            <v>0.4</v>
          </cell>
          <cell r="I61">
            <v>45</v>
          </cell>
          <cell r="J61" t="str">
            <v>в матрице</v>
          </cell>
          <cell r="L61">
            <v>79</v>
          </cell>
          <cell r="M61">
            <v>-10</v>
          </cell>
          <cell r="P61">
            <v>96</v>
          </cell>
          <cell r="Q61">
            <v>100</v>
          </cell>
          <cell r="R61">
            <v>13.8</v>
          </cell>
          <cell r="S61">
            <v>100</v>
          </cell>
          <cell r="T61">
            <v>100</v>
          </cell>
          <cell r="V61">
            <v>26.594202898550723</v>
          </cell>
          <cell r="W61">
            <v>12.101449275362318</v>
          </cell>
          <cell r="X61">
            <v>10</v>
          </cell>
          <cell r="Y61">
            <v>21</v>
          </cell>
          <cell r="Z61">
            <v>19.399999999999999</v>
          </cell>
          <cell r="AA61">
            <v>-1.4</v>
          </cell>
        </row>
        <row r="62">
          <cell r="A62" t="str">
            <v>6861 ДОМАШНИЙ РЕЦЕПТ Коровино вар п/о  Останкино</v>
          </cell>
          <cell r="B62" t="str">
            <v>кг</v>
          </cell>
          <cell r="C62">
            <v>6861</v>
          </cell>
          <cell r="D62">
            <v>171.55199999999999</v>
          </cell>
          <cell r="F62">
            <v>23.486999999999998</v>
          </cell>
          <cell r="G62">
            <v>146.11699999999999</v>
          </cell>
          <cell r="H62">
            <v>1</v>
          </cell>
          <cell r="L62">
            <v>24.6</v>
          </cell>
          <cell r="M62">
            <v>-1.1130000000000031</v>
          </cell>
          <cell r="P62">
            <v>0</v>
          </cell>
          <cell r="Q62">
            <v>0</v>
          </cell>
          <cell r="R62">
            <v>4.6974</v>
          </cell>
          <cell r="T62">
            <v>0</v>
          </cell>
          <cell r="V62">
            <v>31.105930940520285</v>
          </cell>
          <cell r="W62">
            <v>31.105930940520285</v>
          </cell>
          <cell r="X62">
            <v>1.1830000000000001</v>
          </cell>
          <cell r="Y62">
            <v>1.1397999999999999</v>
          </cell>
          <cell r="Z62">
            <v>4.6787999999999998</v>
          </cell>
          <cell r="AA62">
            <v>1.5695999999999999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C63">
            <v>6866</v>
          </cell>
          <cell r="D63">
            <v>45.034999999999997</v>
          </cell>
          <cell r="F63">
            <v>17.940000000000001</v>
          </cell>
          <cell r="G63">
            <v>27.094999999999999</v>
          </cell>
          <cell r="H63">
            <v>1</v>
          </cell>
          <cell r="I63">
            <v>60</v>
          </cell>
          <cell r="J63" t="str">
            <v>в матрице</v>
          </cell>
          <cell r="L63">
            <v>17.5</v>
          </cell>
          <cell r="M63">
            <v>0.44000000000000128</v>
          </cell>
          <cell r="P63">
            <v>17.975000000000001</v>
          </cell>
          <cell r="Q63">
            <v>20</v>
          </cell>
          <cell r="R63">
            <v>3.5880000000000001</v>
          </cell>
          <cell r="S63">
            <v>5</v>
          </cell>
          <cell r="T63">
            <v>3.1370000000000005</v>
          </cell>
          <cell r="V63">
            <v>14.519230769230768</v>
          </cell>
          <cell r="W63">
            <v>7.5515607580824966</v>
          </cell>
          <cell r="X63">
            <v>5.7430000000000003</v>
          </cell>
          <cell r="Y63">
            <v>3.6340000000000003</v>
          </cell>
          <cell r="Z63">
            <v>1.7909999999999999</v>
          </cell>
          <cell r="AA63">
            <v>3.8869999999999996</v>
          </cell>
        </row>
        <row r="64">
          <cell r="A64" t="str">
            <v>6946 СЕРВЕЛАТ КРЕМЛЕВСКИЙ в/к в/у ВЕС  0,84кг ОСТАНКИНО</v>
          </cell>
          <cell r="B64" t="str">
            <v>кг</v>
          </cell>
          <cell r="C64">
            <v>6946</v>
          </cell>
          <cell r="E64">
            <v>46.375</v>
          </cell>
          <cell r="F64">
            <v>0.86099999999999999</v>
          </cell>
          <cell r="G64">
            <v>45.514000000000003</v>
          </cell>
          <cell r="H64">
            <v>0.84</v>
          </cell>
          <cell r="L64">
            <v>1</v>
          </cell>
          <cell r="M64">
            <v>-0.13900000000000001</v>
          </cell>
          <cell r="P64">
            <v>97.037999999999997</v>
          </cell>
          <cell r="Q64">
            <v>100</v>
          </cell>
          <cell r="R64">
            <v>0.17219999999999999</v>
          </cell>
          <cell r="T64">
            <v>0</v>
          </cell>
          <cell r="V64">
            <v>845.02903600464583</v>
          </cell>
          <cell r="W64">
            <v>264.3089430894309</v>
          </cell>
          <cell r="X64">
            <v>0</v>
          </cell>
          <cell r="Y64">
            <v>0</v>
          </cell>
          <cell r="Z64">
            <v>4.4748000000000001</v>
          </cell>
          <cell r="AA64">
            <v>0.69100000000000006</v>
          </cell>
        </row>
        <row r="65">
          <cell r="A65" t="str">
            <v>6967 БУРГУНДИЯ Папа может с/к в/у 1/250 8шт  Останкино</v>
          </cell>
          <cell r="B65" t="str">
            <v>шт</v>
          </cell>
          <cell r="C65">
            <v>6967</v>
          </cell>
          <cell r="D65">
            <v>97</v>
          </cell>
          <cell r="F65">
            <v>20</v>
          </cell>
          <cell r="G65">
            <v>77</v>
          </cell>
          <cell r="H65">
            <v>0.25</v>
          </cell>
          <cell r="I65">
            <v>120</v>
          </cell>
          <cell r="J65" t="str">
            <v>в матрице</v>
          </cell>
          <cell r="L65">
            <v>21</v>
          </cell>
          <cell r="M65">
            <v>-1</v>
          </cell>
          <cell r="P65">
            <v>96</v>
          </cell>
          <cell r="Q65">
            <v>100</v>
          </cell>
          <cell r="R65">
            <v>4</v>
          </cell>
          <cell r="T65">
            <v>0</v>
          </cell>
          <cell r="V65">
            <v>44.25</v>
          </cell>
          <cell r="W65">
            <v>19.25</v>
          </cell>
          <cell r="X65">
            <v>2.4</v>
          </cell>
          <cell r="Y65">
            <v>4</v>
          </cell>
          <cell r="Z65">
            <v>2.4</v>
          </cell>
          <cell r="AA65">
            <v>3.6</v>
          </cell>
        </row>
        <row r="66">
          <cell r="A66" t="str">
            <v>7001 КЛАССИЧЕСКИЕ Папа может сар б/о мгс 1*3  Останкино</v>
          </cell>
          <cell r="B66" t="str">
            <v>кг</v>
          </cell>
          <cell r="C66">
            <v>7001</v>
          </cell>
          <cell r="D66">
            <v>83.293000000000006</v>
          </cell>
          <cell r="F66">
            <v>47.076000000000001</v>
          </cell>
          <cell r="G66">
            <v>34.829000000000001</v>
          </cell>
          <cell r="H66">
            <v>1</v>
          </cell>
          <cell r="I66">
            <v>45</v>
          </cell>
          <cell r="J66" t="str">
            <v>в матрице</v>
          </cell>
          <cell r="L66">
            <v>47.4</v>
          </cell>
          <cell r="M66">
            <v>-0.32399999999999807</v>
          </cell>
          <cell r="P66">
            <v>50.802</v>
          </cell>
          <cell r="Q66">
            <v>50</v>
          </cell>
          <cell r="R66">
            <v>9.4152000000000005</v>
          </cell>
          <cell r="S66">
            <v>50</v>
          </cell>
          <cell r="T66">
            <v>46.983800000000002</v>
          </cell>
          <cell r="V66">
            <v>14.320354320672955</v>
          </cell>
          <cell r="W66">
            <v>3.6992310306738041</v>
          </cell>
          <cell r="X66">
            <v>4.2774000000000001</v>
          </cell>
          <cell r="Y66">
            <v>8.2927999999999997</v>
          </cell>
          <cell r="Z66">
            <v>7.8763999999999994</v>
          </cell>
          <cell r="AA66">
            <v>9.1852</v>
          </cell>
        </row>
        <row r="67">
          <cell r="A67" t="str">
            <v>7059 ШПИКАЧКИ СОЧНЫЕ С БЕК. п/о мгс 0,3кг 60с ОСТАНКИНО</v>
          </cell>
          <cell r="B67" t="str">
            <v>шт</v>
          </cell>
          <cell r="C67">
            <v>7059</v>
          </cell>
          <cell r="D67">
            <v>210</v>
          </cell>
          <cell r="F67">
            <v>83</v>
          </cell>
          <cell r="G67">
            <v>127</v>
          </cell>
          <cell r="H67">
            <v>0.3</v>
          </cell>
          <cell r="L67">
            <v>83</v>
          </cell>
          <cell r="M67">
            <v>0</v>
          </cell>
          <cell r="P67">
            <v>264</v>
          </cell>
          <cell r="Q67">
            <v>270</v>
          </cell>
          <cell r="R67">
            <v>16.600000000000001</v>
          </cell>
          <cell r="T67">
            <v>0</v>
          </cell>
          <cell r="V67">
            <v>23.915662650602407</v>
          </cell>
          <cell r="W67">
            <v>7.6506024096385534</v>
          </cell>
          <cell r="X67">
            <v>0</v>
          </cell>
          <cell r="Y67">
            <v>9.8000000000000007</v>
          </cell>
          <cell r="Z67">
            <v>21.4</v>
          </cell>
          <cell r="AA67">
            <v>34.200000000000003</v>
          </cell>
        </row>
        <row r="68">
          <cell r="A68" t="str">
            <v>7066 СОЧНЫЕ ПМ сос п/о мгс 0,41кг 10шт 50с  Останкино</v>
          </cell>
          <cell r="B68" t="str">
            <v>шт</v>
          </cell>
          <cell r="C68">
            <v>7066</v>
          </cell>
          <cell r="D68">
            <v>3</v>
          </cell>
          <cell r="E68">
            <v>867</v>
          </cell>
          <cell r="F68">
            <v>341</v>
          </cell>
          <cell r="G68">
            <v>508</v>
          </cell>
          <cell r="H68">
            <v>0.41</v>
          </cell>
          <cell r="I68">
            <v>50</v>
          </cell>
          <cell r="J68" t="str">
            <v>в матрице</v>
          </cell>
          <cell r="L68">
            <v>481</v>
          </cell>
          <cell r="M68">
            <v>-140</v>
          </cell>
          <cell r="P68">
            <v>400</v>
          </cell>
          <cell r="Q68">
            <v>400</v>
          </cell>
          <cell r="R68">
            <v>68.2</v>
          </cell>
          <cell r="S68">
            <v>50</v>
          </cell>
          <cell r="T68">
            <v>46.800000000000068</v>
          </cell>
          <cell r="V68">
            <v>14.046920821114369</v>
          </cell>
          <cell r="W68">
            <v>7.448680351906158</v>
          </cell>
          <cell r="X68">
            <v>72</v>
          </cell>
          <cell r="Y68">
            <v>88.6</v>
          </cell>
          <cell r="Z68">
            <v>79.400000000000006</v>
          </cell>
          <cell r="AA68">
            <v>47.2</v>
          </cell>
        </row>
        <row r="69">
          <cell r="A69" t="str">
            <v>7070 СОЧНЫЕ ПМ сос п/о 1,5*4_А_50с  Останкино</v>
          </cell>
          <cell r="B69" t="str">
            <v>кг</v>
          </cell>
          <cell r="C69">
            <v>7070</v>
          </cell>
          <cell r="D69">
            <v>173.60300000000001</v>
          </cell>
          <cell r="E69">
            <v>53.706000000000003</v>
          </cell>
          <cell r="F69">
            <v>216.27500000000001</v>
          </cell>
          <cell r="G69">
            <v>6.4260000000000002</v>
          </cell>
          <cell r="H69">
            <v>1</v>
          </cell>
          <cell r="I69">
            <v>50</v>
          </cell>
          <cell r="J69" t="str">
            <v>в матрице</v>
          </cell>
          <cell r="L69">
            <v>229.1</v>
          </cell>
          <cell r="M69">
            <v>-12.824999999999989</v>
          </cell>
          <cell r="P69">
            <v>808.27</v>
          </cell>
          <cell r="Q69">
            <v>800</v>
          </cell>
          <cell r="R69">
            <v>43.255000000000003</v>
          </cell>
          <cell r="T69">
            <v>0</v>
          </cell>
          <cell r="V69">
            <v>18.643532539590797</v>
          </cell>
          <cell r="W69">
            <v>0.1485608600161831</v>
          </cell>
          <cell r="X69">
            <v>46</v>
          </cell>
          <cell r="Y69">
            <v>53.552800000000005</v>
          </cell>
          <cell r="Z69">
            <v>47.8</v>
          </cell>
          <cell r="AA69">
            <v>91.377800000000008</v>
          </cell>
          <cell r="AB69" t="str">
            <v>зв</v>
          </cell>
        </row>
        <row r="70">
          <cell r="A70" t="str">
            <v>7073 МОЛОЧ.ПРЕМИУМ ПМ сос п/о в/у 1/350_50с  Останкино</v>
          </cell>
          <cell r="B70" t="str">
            <v>шт</v>
          </cell>
          <cell r="C70">
            <v>7073</v>
          </cell>
          <cell r="D70">
            <v>116</v>
          </cell>
          <cell r="E70">
            <v>7</v>
          </cell>
          <cell r="F70">
            <v>67</v>
          </cell>
          <cell r="G70">
            <v>47</v>
          </cell>
          <cell r="H70">
            <v>0.35</v>
          </cell>
          <cell r="I70">
            <v>50</v>
          </cell>
          <cell r="J70" t="str">
            <v>в матрице</v>
          </cell>
          <cell r="L70">
            <v>76</v>
          </cell>
          <cell r="M70">
            <v>-9</v>
          </cell>
          <cell r="P70">
            <v>40</v>
          </cell>
          <cell r="Q70">
            <v>40</v>
          </cell>
          <cell r="R70">
            <v>13.4</v>
          </cell>
          <cell r="S70">
            <v>100</v>
          </cell>
          <cell r="T70">
            <v>100.6</v>
          </cell>
          <cell r="V70">
            <v>13.955223880597014</v>
          </cell>
          <cell r="W70">
            <v>3.5074626865671639</v>
          </cell>
          <cell r="X70">
            <v>1.2</v>
          </cell>
          <cell r="Y70">
            <v>7.2</v>
          </cell>
          <cell r="Z70">
            <v>2</v>
          </cell>
          <cell r="AA70">
            <v>9.6</v>
          </cell>
        </row>
        <row r="71">
          <cell r="A71" t="str">
            <v>7075 МОЛОЧ.ПРЕМИУМ ПМ сос п/о мгс 1,5*4_О_50с  Останкино</v>
          </cell>
          <cell r="B71" t="str">
            <v>кг</v>
          </cell>
          <cell r="C71">
            <v>7075</v>
          </cell>
          <cell r="D71">
            <v>179.58500000000001</v>
          </cell>
          <cell r="F71">
            <v>93.558000000000007</v>
          </cell>
          <cell r="G71">
            <v>86.027000000000001</v>
          </cell>
          <cell r="H71">
            <v>1</v>
          </cell>
          <cell r="I71">
            <v>50</v>
          </cell>
          <cell r="J71" t="str">
            <v>в матрице</v>
          </cell>
          <cell r="L71">
            <v>81.400000000000006</v>
          </cell>
          <cell r="M71">
            <v>12.158000000000001</v>
          </cell>
          <cell r="P71">
            <v>98.23</v>
          </cell>
          <cell r="Q71">
            <v>100</v>
          </cell>
          <cell r="R71">
            <v>18.711600000000001</v>
          </cell>
          <cell r="S71">
            <v>80</v>
          </cell>
          <cell r="T71">
            <v>75.935400000000016</v>
          </cell>
          <cell r="V71">
            <v>14.217223540477564</v>
          </cell>
          <cell r="W71">
            <v>4.5975223925265611</v>
          </cell>
          <cell r="X71">
            <v>12.014799999999999</v>
          </cell>
          <cell r="Y71">
            <v>14.219399999999998</v>
          </cell>
          <cell r="Z71">
            <v>4.923</v>
          </cell>
          <cell r="AA71">
            <v>16.959200000000003</v>
          </cell>
        </row>
        <row r="72">
          <cell r="A72" t="str">
            <v>7080 СЛИВОЧНЫЕ ПМ сос п/о мгс 0,41кг 10шт 50с  Останкино</v>
          </cell>
          <cell r="B72" t="str">
            <v>шт</v>
          </cell>
          <cell r="C72">
            <v>7080</v>
          </cell>
          <cell r="D72">
            <v>32</v>
          </cell>
          <cell r="E72">
            <v>303</v>
          </cell>
          <cell r="F72">
            <v>242</v>
          </cell>
          <cell r="G72">
            <v>90</v>
          </cell>
          <cell r="H72">
            <v>0.41</v>
          </cell>
          <cell r="I72">
            <v>50</v>
          </cell>
          <cell r="J72" t="str">
            <v>в матрице</v>
          </cell>
          <cell r="L72">
            <v>245</v>
          </cell>
          <cell r="M72">
            <v>-3</v>
          </cell>
          <cell r="P72">
            <v>360</v>
          </cell>
          <cell r="Q72">
            <v>360</v>
          </cell>
          <cell r="R72">
            <v>48.4</v>
          </cell>
          <cell r="S72">
            <v>230</v>
          </cell>
          <cell r="T72">
            <v>227.60000000000002</v>
          </cell>
          <cell r="V72">
            <v>14.049586776859504</v>
          </cell>
          <cell r="W72">
            <v>1.859504132231405</v>
          </cell>
          <cell r="X72">
            <v>40.200000000000003</v>
          </cell>
          <cell r="Y72">
            <v>32.799999999999997</v>
          </cell>
          <cell r="Z72">
            <v>38.6</v>
          </cell>
          <cell r="AA72">
            <v>49.8</v>
          </cell>
        </row>
        <row r="73">
          <cell r="A73" t="str">
            <v>7083 СЛИВОЧНЫЕ ПМ сос п/о мгс 1.5*4_А_50с  ОСТАНКИНО</v>
          </cell>
          <cell r="B73" t="str">
            <v>кг</v>
          </cell>
          <cell r="C73">
            <v>7083</v>
          </cell>
          <cell r="D73">
            <v>23.327000000000002</v>
          </cell>
          <cell r="F73">
            <v>23.245000000000001</v>
          </cell>
          <cell r="G73">
            <v>8.2000000000000003E-2</v>
          </cell>
          <cell r="H73">
            <v>1</v>
          </cell>
          <cell r="L73">
            <v>161.6</v>
          </cell>
          <cell r="M73">
            <v>-138.35499999999999</v>
          </cell>
          <cell r="P73">
            <v>519.30399999999997</v>
          </cell>
          <cell r="Q73">
            <v>500</v>
          </cell>
          <cell r="R73">
            <v>4.649</v>
          </cell>
          <cell r="T73">
            <v>0</v>
          </cell>
          <cell r="V73">
            <v>107.5676489567649</v>
          </cell>
          <cell r="W73">
            <v>1.7638201763820176E-2</v>
          </cell>
          <cell r="X73">
            <v>13.1012</v>
          </cell>
          <cell r="Y73">
            <v>17.921199999999999</v>
          </cell>
          <cell r="Z73">
            <v>11.6974</v>
          </cell>
          <cell r="AA73">
            <v>35.567799999999998</v>
          </cell>
        </row>
        <row r="74">
          <cell r="A74" t="str">
            <v>7090 СВИНИНА ПО-ДОМ.к/в мл/к в/у 0,3кг_50с  Останкино</v>
          </cell>
          <cell r="B74" t="str">
            <v>шт</v>
          </cell>
          <cell r="C74">
            <v>7090</v>
          </cell>
          <cell r="D74">
            <v>86</v>
          </cell>
          <cell r="E74">
            <v>48</v>
          </cell>
          <cell r="F74">
            <v>127</v>
          </cell>
          <cell r="G74">
            <v>5</v>
          </cell>
          <cell r="H74">
            <v>0.3</v>
          </cell>
          <cell r="I74">
            <v>50</v>
          </cell>
          <cell r="J74" t="str">
            <v>в матрице</v>
          </cell>
          <cell r="L74">
            <v>129</v>
          </cell>
          <cell r="M74">
            <v>-2</v>
          </cell>
          <cell r="P74">
            <v>198</v>
          </cell>
          <cell r="Q74">
            <v>200</v>
          </cell>
          <cell r="R74">
            <v>25.4</v>
          </cell>
          <cell r="S74">
            <v>150</v>
          </cell>
          <cell r="T74">
            <v>150</v>
          </cell>
          <cell r="V74">
            <v>13.976377952755906</v>
          </cell>
          <cell r="W74">
            <v>0.19685039370078741</v>
          </cell>
          <cell r="X74">
            <v>26.8</v>
          </cell>
          <cell r="Y74">
            <v>11.6</v>
          </cell>
          <cell r="Z74">
            <v>18.600000000000001</v>
          </cell>
          <cell r="AA74">
            <v>23.8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7103</v>
          </cell>
          <cell r="D75">
            <v>352</v>
          </cell>
          <cell r="E75">
            <v>7</v>
          </cell>
          <cell r="F75">
            <v>107</v>
          </cell>
          <cell r="G75">
            <v>243</v>
          </cell>
          <cell r="H75">
            <v>0.18</v>
          </cell>
          <cell r="I75">
            <v>50</v>
          </cell>
          <cell r="J75" t="str">
            <v>в матрице</v>
          </cell>
          <cell r="L75">
            <v>118</v>
          </cell>
          <cell r="M75">
            <v>-11</v>
          </cell>
          <cell r="P75">
            <v>340</v>
          </cell>
          <cell r="Q75">
            <v>340</v>
          </cell>
          <cell r="R75">
            <v>21.4</v>
          </cell>
          <cell r="T75">
            <v>0</v>
          </cell>
          <cell r="V75">
            <v>27.24299065420561</v>
          </cell>
          <cell r="W75">
            <v>11.355140186915889</v>
          </cell>
          <cell r="X75">
            <v>38.6</v>
          </cell>
          <cell r="Y75">
            <v>35.6</v>
          </cell>
          <cell r="Z75">
            <v>28</v>
          </cell>
          <cell r="AA75">
            <v>49.6</v>
          </cell>
        </row>
        <row r="76">
          <cell r="A76" t="str">
            <v>7149 БАЛЫКОВАЯ Коровино п/к в/у 0,84кг_50с  Останкино</v>
          </cell>
          <cell r="B76" t="str">
            <v>шт</v>
          </cell>
          <cell r="C76">
            <v>7149</v>
          </cell>
          <cell r="D76">
            <v>121</v>
          </cell>
          <cell r="E76">
            <v>49</v>
          </cell>
          <cell r="F76">
            <v>20</v>
          </cell>
          <cell r="G76">
            <v>149</v>
          </cell>
          <cell r="H76">
            <v>0.84</v>
          </cell>
          <cell r="I76">
            <v>50</v>
          </cell>
          <cell r="L76">
            <v>18</v>
          </cell>
          <cell r="M76">
            <v>2</v>
          </cell>
          <cell r="P76">
            <v>0</v>
          </cell>
          <cell r="Q76">
            <v>0</v>
          </cell>
          <cell r="R76">
            <v>4</v>
          </cell>
          <cell r="T76">
            <v>0</v>
          </cell>
          <cell r="V76">
            <v>37.25</v>
          </cell>
          <cell r="W76">
            <v>37.25</v>
          </cell>
          <cell r="X76">
            <v>16.399999999999999</v>
          </cell>
          <cell r="Y76">
            <v>5.6</v>
          </cell>
          <cell r="Z76">
            <v>12.6</v>
          </cell>
          <cell r="AA76">
            <v>9.4</v>
          </cell>
          <cell r="AB76" t="str">
            <v>увел продажи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7154</v>
          </cell>
          <cell r="D77">
            <v>-1</v>
          </cell>
          <cell r="E77">
            <v>806</v>
          </cell>
          <cell r="F77">
            <v>252</v>
          </cell>
          <cell r="G77">
            <v>545</v>
          </cell>
          <cell r="H77">
            <v>0.35</v>
          </cell>
          <cell r="I77">
            <v>50</v>
          </cell>
          <cell r="J77" t="str">
            <v>в матрице</v>
          </cell>
          <cell r="L77">
            <v>328</v>
          </cell>
          <cell r="M77">
            <v>-76</v>
          </cell>
          <cell r="P77">
            <v>0</v>
          </cell>
          <cell r="Q77">
            <v>0</v>
          </cell>
          <cell r="R77">
            <v>50.4</v>
          </cell>
          <cell r="S77">
            <v>160</v>
          </cell>
          <cell r="T77">
            <v>160.60000000000002</v>
          </cell>
          <cell r="V77">
            <v>13.988095238095239</v>
          </cell>
          <cell r="W77">
            <v>10.813492063492063</v>
          </cell>
          <cell r="X77">
            <v>46.8</v>
          </cell>
          <cell r="Y77">
            <v>62.2</v>
          </cell>
          <cell r="Z77">
            <v>63.6</v>
          </cell>
          <cell r="AA77">
            <v>8.4</v>
          </cell>
        </row>
        <row r="78">
          <cell r="A78" t="str">
            <v>7157 СЕРВЕЛАТ ЗЕРНИСТЫЙ ПМ в/к в/у_50с  Останкино</v>
          </cell>
          <cell r="B78" t="str">
            <v>кг</v>
          </cell>
          <cell r="C78">
            <v>7157</v>
          </cell>
          <cell r="D78">
            <v>122.524</v>
          </cell>
          <cell r="E78">
            <v>33.665999999999997</v>
          </cell>
          <cell r="F78">
            <v>132.291</v>
          </cell>
          <cell r="G78">
            <v>22.49</v>
          </cell>
          <cell r="H78">
            <v>1</v>
          </cell>
          <cell r="I78">
            <v>50</v>
          </cell>
          <cell r="J78" t="str">
            <v>в матрице</v>
          </cell>
          <cell r="L78">
            <v>123.33</v>
          </cell>
          <cell r="M78">
            <v>8.9609999999999985</v>
          </cell>
          <cell r="P78">
            <v>167.005</v>
          </cell>
          <cell r="Q78">
            <v>160</v>
          </cell>
          <cell r="R78">
            <v>26.458199999999998</v>
          </cell>
          <cell r="S78">
            <v>250</v>
          </cell>
          <cell r="T78">
            <v>250</v>
          </cell>
          <cell r="V78">
            <v>16.346161114512704</v>
          </cell>
          <cell r="W78">
            <v>0.85002003159700967</v>
          </cell>
          <cell r="X78">
            <v>15.11</v>
          </cell>
          <cell r="Y78">
            <v>21.136199999999999</v>
          </cell>
          <cell r="Z78">
            <v>18.433</v>
          </cell>
          <cell r="AA78">
            <v>22.396000000000001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64.768000000000001</v>
          </cell>
          <cell r="E79">
            <v>156.81299999999999</v>
          </cell>
          <cell r="F79">
            <v>195.79300000000001</v>
          </cell>
          <cell r="G79">
            <v>25.084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220.7</v>
          </cell>
          <cell r="M79">
            <v>-24.906999999999982</v>
          </cell>
          <cell r="P79">
            <v>410.387</v>
          </cell>
          <cell r="Q79">
            <v>420</v>
          </cell>
          <cell r="R79">
            <v>39.1586</v>
          </cell>
          <cell r="S79">
            <v>150</v>
          </cell>
          <cell r="T79">
            <v>150</v>
          </cell>
          <cell r="V79">
            <v>15.196763929251814</v>
          </cell>
          <cell r="W79">
            <v>0.64057448427676167</v>
          </cell>
          <cell r="X79">
            <v>14.407599999999999</v>
          </cell>
          <cell r="Y79">
            <v>34.683800000000005</v>
          </cell>
          <cell r="Z79">
            <v>34.733800000000002</v>
          </cell>
          <cell r="AA79">
            <v>45.9664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14</v>
          </cell>
          <cell r="E80">
            <v>56</v>
          </cell>
          <cell r="F80">
            <v>63</v>
          </cell>
          <cell r="G80">
            <v>3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202</v>
          </cell>
          <cell r="M80">
            <v>-139</v>
          </cell>
          <cell r="P80">
            <v>680</v>
          </cell>
          <cell r="Q80">
            <v>680</v>
          </cell>
          <cell r="R80">
            <v>12.6</v>
          </cell>
          <cell r="S80">
            <v>200</v>
          </cell>
          <cell r="T80">
            <v>200</v>
          </cell>
          <cell r="V80">
            <v>70.079365079365076</v>
          </cell>
          <cell r="W80">
            <v>0.23809523809523811</v>
          </cell>
          <cell r="X80">
            <v>46.4</v>
          </cell>
          <cell r="Y80">
            <v>50</v>
          </cell>
          <cell r="Z80">
            <v>26.6</v>
          </cell>
          <cell r="AA80">
            <v>53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118</v>
          </cell>
          <cell r="F81">
            <v>51</v>
          </cell>
          <cell r="G81">
            <v>67</v>
          </cell>
          <cell r="H81">
            <v>0.3</v>
          </cell>
          <cell r="I81">
            <v>50</v>
          </cell>
          <cell r="J81" t="str">
            <v>в матрице</v>
          </cell>
          <cell r="L81">
            <v>51</v>
          </cell>
          <cell r="M81">
            <v>0</v>
          </cell>
          <cell r="P81">
            <v>18</v>
          </cell>
          <cell r="Q81">
            <v>20</v>
          </cell>
          <cell r="R81">
            <v>10.199999999999999</v>
          </cell>
          <cell r="S81">
            <v>60</v>
          </cell>
          <cell r="T81">
            <v>55.799999999999983</v>
          </cell>
          <cell r="V81">
            <v>14.411764705882353</v>
          </cell>
          <cell r="W81">
            <v>6.5686274509803928</v>
          </cell>
          <cell r="X81">
            <v>18.600000000000001</v>
          </cell>
          <cell r="Y81">
            <v>20.6</v>
          </cell>
          <cell r="Z81">
            <v>11</v>
          </cell>
          <cell r="AA81">
            <v>9.8000000000000007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443</v>
          </cell>
          <cell r="E82">
            <v>62</v>
          </cell>
          <cell r="F82">
            <v>0</v>
          </cell>
          <cell r="G82">
            <v>325</v>
          </cell>
          <cell r="H82">
            <v>0.7</v>
          </cell>
          <cell r="L82">
            <v>0</v>
          </cell>
          <cell r="M82">
            <v>0</v>
          </cell>
          <cell r="P82">
            <v>0</v>
          </cell>
          <cell r="Q82">
            <v>0</v>
          </cell>
          <cell r="R82">
            <v>0</v>
          </cell>
          <cell r="T82">
            <v>0</v>
          </cell>
          <cell r="V82" t="e">
            <v>#DIV/0!</v>
          </cell>
          <cell r="W82" t="e">
            <v>#DIV/0!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89</v>
          </cell>
          <cell r="E83">
            <v>42</v>
          </cell>
          <cell r="F83">
            <v>69</v>
          </cell>
          <cell r="G83">
            <v>60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73</v>
          </cell>
          <cell r="M83">
            <v>-4</v>
          </cell>
          <cell r="P83">
            <v>0</v>
          </cell>
          <cell r="Q83">
            <v>0</v>
          </cell>
          <cell r="R83">
            <v>13.8</v>
          </cell>
          <cell r="S83">
            <v>130</v>
          </cell>
          <cell r="T83">
            <v>133.20000000000002</v>
          </cell>
          <cell r="V83">
            <v>13.768115942028984</v>
          </cell>
          <cell r="W83">
            <v>4.3478260869565215</v>
          </cell>
          <cell r="X83">
            <v>1.6</v>
          </cell>
          <cell r="Y83">
            <v>6.6</v>
          </cell>
          <cell r="Z83">
            <v>12.6</v>
          </cell>
          <cell r="AA83">
            <v>9.1999999999999993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90</v>
          </cell>
          <cell r="E84">
            <v>24</v>
          </cell>
          <cell r="F84">
            <v>110</v>
          </cell>
          <cell r="G84">
            <v>1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193</v>
          </cell>
          <cell r="M84">
            <v>-83</v>
          </cell>
          <cell r="P84">
            <v>320</v>
          </cell>
          <cell r="Q84">
            <v>320</v>
          </cell>
          <cell r="R84">
            <v>22</v>
          </cell>
          <cell r="S84">
            <v>300</v>
          </cell>
          <cell r="T84">
            <v>300</v>
          </cell>
          <cell r="V84">
            <v>28.227272727272727</v>
          </cell>
          <cell r="W84">
            <v>4.5454545454545456E-2</v>
          </cell>
          <cell r="X84">
            <v>3.8</v>
          </cell>
          <cell r="Y84">
            <v>39.799999999999997</v>
          </cell>
          <cell r="Z84">
            <v>20</v>
          </cell>
          <cell r="AA84">
            <v>32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</v>
          </cell>
          <cell r="E85">
            <v>283</v>
          </cell>
          <cell r="F85">
            <v>145</v>
          </cell>
          <cell r="G85">
            <v>132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196</v>
          </cell>
          <cell r="M85">
            <v>-51</v>
          </cell>
          <cell r="P85">
            <v>96</v>
          </cell>
          <cell r="Q85">
            <v>100</v>
          </cell>
          <cell r="R85">
            <v>29</v>
          </cell>
          <cell r="S85">
            <v>170</v>
          </cell>
          <cell r="T85">
            <v>174</v>
          </cell>
          <cell r="V85">
            <v>13.862068965517242</v>
          </cell>
          <cell r="W85">
            <v>4.5517241379310347</v>
          </cell>
          <cell r="X85">
            <v>11</v>
          </cell>
          <cell r="Y85">
            <v>44.6</v>
          </cell>
          <cell r="Z85">
            <v>32.799999999999997</v>
          </cell>
          <cell r="AA85">
            <v>27.6</v>
          </cell>
        </row>
        <row r="86">
          <cell r="A86" t="str">
            <v>7241 САЛЯМИ Папа может п/к в/у 0,28кг ОСТАНКИНО</v>
          </cell>
          <cell r="B86" t="str">
            <v>шт</v>
          </cell>
          <cell r="C86">
            <v>7241</v>
          </cell>
          <cell r="D86">
            <v>10</v>
          </cell>
          <cell r="E86">
            <v>285</v>
          </cell>
          <cell r="F86">
            <v>278</v>
          </cell>
          <cell r="G86">
            <v>12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332</v>
          </cell>
          <cell r="M86">
            <v>-54</v>
          </cell>
          <cell r="P86">
            <v>520</v>
          </cell>
          <cell r="Q86">
            <v>520</v>
          </cell>
          <cell r="R86">
            <v>55.6</v>
          </cell>
          <cell r="S86">
            <v>250</v>
          </cell>
          <cell r="T86">
            <v>246.39999999999998</v>
          </cell>
          <cell r="V86">
            <v>14.064748201438849</v>
          </cell>
          <cell r="W86">
            <v>0.21582733812949639</v>
          </cell>
          <cell r="X86">
            <v>31.8</v>
          </cell>
          <cell r="Y86">
            <v>42</v>
          </cell>
          <cell r="Z86">
            <v>41.8</v>
          </cell>
          <cell r="AA86">
            <v>58.2</v>
          </cell>
        </row>
        <row r="87">
          <cell r="A87" t="str">
            <v>7255 МЯСНЫЕ С ГОВЯД.ПМ сос п/о мгс 0.4кг 6шт.  ОСТАНКИНО</v>
          </cell>
          <cell r="B87" t="str">
            <v>шт</v>
          </cell>
          <cell r="C87">
            <v>7255</v>
          </cell>
          <cell r="D87">
            <v>3</v>
          </cell>
          <cell r="E87">
            <v>303</v>
          </cell>
          <cell r="F87">
            <v>156</v>
          </cell>
          <cell r="G87">
            <v>147</v>
          </cell>
          <cell r="H87">
            <v>0.4</v>
          </cell>
          <cell r="I87">
            <v>50</v>
          </cell>
          <cell r="J87" t="str">
            <v>в матрице</v>
          </cell>
          <cell r="L87">
            <v>174</v>
          </cell>
          <cell r="M87">
            <v>-18</v>
          </cell>
          <cell r="P87">
            <v>198</v>
          </cell>
          <cell r="Q87">
            <v>200</v>
          </cell>
          <cell r="R87">
            <v>31.2</v>
          </cell>
          <cell r="S87">
            <v>90</v>
          </cell>
          <cell r="T87">
            <v>89.800000000000011</v>
          </cell>
          <cell r="V87">
            <v>14.006410256410257</v>
          </cell>
          <cell r="W87">
            <v>4.7115384615384617</v>
          </cell>
          <cell r="X87">
            <v>30.4</v>
          </cell>
          <cell r="Y87">
            <v>35.6</v>
          </cell>
          <cell r="Z87">
            <v>33.799999999999997</v>
          </cell>
          <cell r="AA87">
            <v>22.6</v>
          </cell>
        </row>
        <row r="88">
          <cell r="A88" t="str">
            <v>7276 СЛИВОЧНЫЕ ПМ сос п/о мгс 0,3кг 7шт  Останкино</v>
          </cell>
          <cell r="B88" t="str">
            <v>шт</v>
          </cell>
          <cell r="C88">
            <v>7276</v>
          </cell>
          <cell r="D88">
            <v>6</v>
          </cell>
          <cell r="E88">
            <v>56</v>
          </cell>
          <cell r="F88">
            <v>27</v>
          </cell>
          <cell r="G88">
            <v>35</v>
          </cell>
          <cell r="H88">
            <v>0.3</v>
          </cell>
          <cell r="I88">
            <v>50</v>
          </cell>
          <cell r="J88" t="str">
            <v>в матрице</v>
          </cell>
          <cell r="L88">
            <v>28</v>
          </cell>
          <cell r="M88">
            <v>-1</v>
          </cell>
          <cell r="P88">
            <v>98</v>
          </cell>
          <cell r="Q88">
            <v>100</v>
          </cell>
          <cell r="R88">
            <v>5.4</v>
          </cell>
          <cell r="S88">
            <v>50</v>
          </cell>
          <cell r="T88">
            <v>50</v>
          </cell>
          <cell r="V88">
            <v>34.25925925925926</v>
          </cell>
          <cell r="W88">
            <v>6.481481481481481</v>
          </cell>
          <cell r="X88">
            <v>7.4</v>
          </cell>
          <cell r="Y88">
            <v>2.2000000000000002</v>
          </cell>
          <cell r="Z88">
            <v>7.8</v>
          </cell>
          <cell r="AA88">
            <v>8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7284</v>
          </cell>
          <cell r="D89">
            <v>79</v>
          </cell>
          <cell r="E89">
            <v>1</v>
          </cell>
          <cell r="F89">
            <v>52</v>
          </cell>
          <cell r="G89">
            <v>26</v>
          </cell>
          <cell r="H89">
            <v>0.33</v>
          </cell>
          <cell r="I89">
            <v>30</v>
          </cell>
          <cell r="J89" t="str">
            <v>в матрице</v>
          </cell>
          <cell r="L89">
            <v>54</v>
          </cell>
          <cell r="M89">
            <v>-2</v>
          </cell>
          <cell r="P89">
            <v>96</v>
          </cell>
          <cell r="Q89">
            <v>100</v>
          </cell>
          <cell r="R89">
            <v>10.4</v>
          </cell>
          <cell r="S89">
            <v>90</v>
          </cell>
          <cell r="T89">
            <v>100</v>
          </cell>
          <cell r="V89">
            <v>20.76923076923077</v>
          </cell>
          <cell r="W89">
            <v>2.5</v>
          </cell>
          <cell r="X89">
            <v>10</v>
          </cell>
          <cell r="Y89">
            <v>7.2</v>
          </cell>
          <cell r="Z89">
            <v>4.5999999999999996</v>
          </cell>
          <cell r="AA89">
            <v>10.6</v>
          </cell>
        </row>
        <row r="90">
          <cell r="A90" t="str">
            <v>7288 БАЛЫК с/к с/н в/у 1/100 10шт ОСТАНКИНО</v>
          </cell>
          <cell r="B90" t="str">
            <v>шт</v>
          </cell>
          <cell r="C90">
            <v>7288</v>
          </cell>
          <cell r="D90">
            <v>37</v>
          </cell>
          <cell r="E90">
            <v>40</v>
          </cell>
          <cell r="F90">
            <v>62</v>
          </cell>
          <cell r="G90">
            <v>15</v>
          </cell>
          <cell r="H90">
            <v>0.1</v>
          </cell>
          <cell r="I90">
            <v>60</v>
          </cell>
          <cell r="L90">
            <v>62</v>
          </cell>
          <cell r="M90">
            <v>0</v>
          </cell>
          <cell r="P90">
            <v>20</v>
          </cell>
          <cell r="Q90">
            <v>23.799999999999997</v>
          </cell>
          <cell r="R90">
            <v>12.4</v>
          </cell>
          <cell r="S90">
            <v>130</v>
          </cell>
          <cell r="T90">
            <v>134.80000000000001</v>
          </cell>
          <cell r="V90">
            <v>13.612903225806452</v>
          </cell>
          <cell r="W90">
            <v>1.2096774193548387</v>
          </cell>
          <cell r="X90">
            <v>7.2</v>
          </cell>
          <cell r="Y90">
            <v>8.8000000000000007</v>
          </cell>
          <cell r="Z90">
            <v>8.1999999999999993</v>
          </cell>
          <cell r="AA90">
            <v>7.2</v>
          </cell>
        </row>
        <row r="91">
          <cell r="A91" t="str">
            <v>7343 СЕЙЧАС СЕЗОН ПМ вар п/о 0,4кг ОСТАНКИНО</v>
          </cell>
          <cell r="B91" t="str">
            <v>шт</v>
          </cell>
          <cell r="C91">
            <v>7343</v>
          </cell>
          <cell r="E91">
            <v>122</v>
          </cell>
          <cell r="F91">
            <v>22</v>
          </cell>
          <cell r="G91">
            <v>98</v>
          </cell>
          <cell r="H91">
            <v>0.4</v>
          </cell>
          <cell r="I91">
            <v>60</v>
          </cell>
          <cell r="J91" t="str">
            <v>в матрице</v>
          </cell>
          <cell r="L91">
            <v>28</v>
          </cell>
          <cell r="M91">
            <v>-6</v>
          </cell>
          <cell r="P91">
            <v>200</v>
          </cell>
          <cell r="Q91">
            <v>200</v>
          </cell>
          <cell r="R91">
            <v>4.4000000000000004</v>
          </cell>
          <cell r="T91">
            <v>0</v>
          </cell>
          <cell r="V91">
            <v>67.72727272727272</v>
          </cell>
          <cell r="W91">
            <v>22.27272727272727</v>
          </cell>
          <cell r="X91">
            <v>5.6</v>
          </cell>
          <cell r="Y91">
            <v>4</v>
          </cell>
          <cell r="Z91">
            <v>10.4</v>
          </cell>
          <cell r="AA91">
            <v>3.2</v>
          </cell>
        </row>
        <row r="92">
          <cell r="A92" t="str">
            <v>7371 БРЕСТСКИЕ сос п/о в/у 0,3кг 8шт. ОСТАНКИНО</v>
          </cell>
          <cell r="B92" t="str">
            <v>шт</v>
          </cell>
          <cell r="C92">
            <v>7371</v>
          </cell>
          <cell r="D92">
            <v>236</v>
          </cell>
          <cell r="F92">
            <v>97</v>
          </cell>
          <cell r="G92">
            <v>138</v>
          </cell>
          <cell r="H92">
            <v>0.3</v>
          </cell>
          <cell r="L92">
            <v>100</v>
          </cell>
          <cell r="M92">
            <v>-3</v>
          </cell>
          <cell r="P92">
            <v>296</v>
          </cell>
          <cell r="Q92">
            <v>300</v>
          </cell>
          <cell r="R92">
            <v>19.399999999999999</v>
          </cell>
          <cell r="T92">
            <v>0</v>
          </cell>
          <cell r="V92">
            <v>22.577319587628867</v>
          </cell>
          <cell r="W92">
            <v>7.1134020618556706</v>
          </cell>
          <cell r="X92">
            <v>0</v>
          </cell>
          <cell r="Y92">
            <v>18.8</v>
          </cell>
          <cell r="Z92">
            <v>20.6</v>
          </cell>
          <cell r="AA92">
            <v>14.4</v>
          </cell>
        </row>
        <row r="93">
          <cell r="A93" t="str">
            <v>7382  САЛЯМИ МЕЛКОЗЕРНЕНАЯ с/к в/у1/120 8шт.  ОСТАНКИНО</v>
          </cell>
          <cell r="B93" t="str">
            <v>шт</v>
          </cell>
          <cell r="C93">
            <v>7382</v>
          </cell>
          <cell r="D93">
            <v>180</v>
          </cell>
          <cell r="E93">
            <v>164</v>
          </cell>
          <cell r="F93">
            <v>115</v>
          </cell>
          <cell r="G93">
            <v>227</v>
          </cell>
          <cell r="H93">
            <v>0.12</v>
          </cell>
          <cell r="I93">
            <v>60</v>
          </cell>
          <cell r="J93" t="str">
            <v>в матрице</v>
          </cell>
          <cell r="L93">
            <v>117</v>
          </cell>
          <cell r="M93">
            <v>-2</v>
          </cell>
          <cell r="P93">
            <v>0</v>
          </cell>
          <cell r="Q93">
            <v>0</v>
          </cell>
          <cell r="R93">
            <v>23</v>
          </cell>
          <cell r="S93">
            <v>96</v>
          </cell>
          <cell r="T93">
            <v>95</v>
          </cell>
          <cell r="V93">
            <v>14.043478260869565</v>
          </cell>
          <cell r="W93">
            <v>9.8695652173913047</v>
          </cell>
          <cell r="X93">
            <v>13.6</v>
          </cell>
          <cell r="Y93">
            <v>16.8</v>
          </cell>
          <cell r="Z93">
            <v>29.6</v>
          </cell>
          <cell r="AA93">
            <v>11.6</v>
          </cell>
        </row>
        <row r="94">
          <cell r="A94" t="str">
            <v>7422 НАБОР ДЛЯ ПИЦЦЫ с/к с/н мгс 3*3 HRC  ОСТАНКИНО</v>
          </cell>
          <cell r="B94" t="str">
            <v>кг</v>
          </cell>
          <cell r="C94">
            <v>7422</v>
          </cell>
          <cell r="E94">
            <v>1577.22</v>
          </cell>
          <cell r="F94">
            <v>1465.66</v>
          </cell>
          <cell r="G94">
            <v>111.56</v>
          </cell>
          <cell r="H94">
            <v>1</v>
          </cell>
          <cell r="L94">
            <v>1449.0930000000001</v>
          </cell>
          <cell r="M94">
            <v>16.567000000000007</v>
          </cell>
          <cell r="P94">
            <v>0</v>
          </cell>
          <cell r="Q94">
            <v>0</v>
          </cell>
          <cell r="R94">
            <v>293.13200000000001</v>
          </cell>
          <cell r="T94">
            <v>0</v>
          </cell>
          <cell r="V94">
            <v>0.38057939767749682</v>
          </cell>
          <cell r="W94">
            <v>0.38057939767749682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 t="str">
            <v>7461 ДЛЯ ДЕТЕЙ Папа Может сос п/о мгс 0,33кг ОСТАНКИНО</v>
          </cell>
          <cell r="B95" t="str">
            <v>шт</v>
          </cell>
          <cell r="C95">
            <v>7461</v>
          </cell>
          <cell r="D95">
            <v>70</v>
          </cell>
          <cell r="E95">
            <v>126</v>
          </cell>
          <cell r="F95">
            <v>82</v>
          </cell>
          <cell r="G95">
            <v>108</v>
          </cell>
          <cell r="H95">
            <v>0.33</v>
          </cell>
          <cell r="L95">
            <v>88</v>
          </cell>
          <cell r="M95">
            <v>-6</v>
          </cell>
          <cell r="P95">
            <v>0</v>
          </cell>
          <cell r="Q95">
            <v>200</v>
          </cell>
          <cell r="R95">
            <v>16.399999999999999</v>
          </cell>
          <cell r="T95">
            <v>0</v>
          </cell>
          <cell r="V95">
            <v>18.780487804878049</v>
          </cell>
          <cell r="W95">
            <v>6.5853658536585371</v>
          </cell>
          <cell r="X95">
            <v>0</v>
          </cell>
          <cell r="Y95">
            <v>11.4</v>
          </cell>
          <cell r="Z95">
            <v>21.4</v>
          </cell>
          <cell r="AA95">
            <v>12.6</v>
          </cell>
        </row>
        <row r="96">
          <cell r="A96" t="str">
            <v>7523 ГОВЯЖЬЯ Папа Может вар п/о 0,4кг 6шт. ОСТАНКИНО</v>
          </cell>
          <cell r="B96" t="str">
            <v>шт</v>
          </cell>
          <cell r="C96">
            <v>7523</v>
          </cell>
          <cell r="D96">
            <v>1</v>
          </cell>
          <cell r="F96">
            <v>1</v>
          </cell>
          <cell r="H96">
            <v>0.4</v>
          </cell>
          <cell r="L96">
            <v>6</v>
          </cell>
          <cell r="M96">
            <v>-5</v>
          </cell>
          <cell r="P96">
            <v>96</v>
          </cell>
          <cell r="Q96">
            <v>100</v>
          </cell>
          <cell r="R96">
            <v>0.2</v>
          </cell>
          <cell r="T96">
            <v>0</v>
          </cell>
          <cell r="V96">
            <v>500</v>
          </cell>
          <cell r="W96">
            <v>0</v>
          </cell>
          <cell r="X96">
            <v>0</v>
          </cell>
          <cell r="Y96">
            <v>2.8</v>
          </cell>
          <cell r="Z96">
            <v>0</v>
          </cell>
          <cell r="AA96">
            <v>7</v>
          </cell>
        </row>
        <row r="97">
          <cell r="A97" t="str">
            <v>7539 ДОКТОРСКАЯ ГОСТ вар п/о 0,35кг ОСТАНКИНО</v>
          </cell>
          <cell r="B97" t="str">
            <v>шт</v>
          </cell>
          <cell r="C97">
            <v>7539</v>
          </cell>
          <cell r="D97">
            <v>165</v>
          </cell>
          <cell r="F97">
            <v>2</v>
          </cell>
          <cell r="G97">
            <v>163</v>
          </cell>
          <cell r="H97">
            <v>0.35</v>
          </cell>
          <cell r="L97">
            <v>2</v>
          </cell>
          <cell r="M97">
            <v>0</v>
          </cell>
          <cell r="P97">
            <v>144</v>
          </cell>
          <cell r="Q97">
            <v>150</v>
          </cell>
          <cell r="R97">
            <v>0.4</v>
          </cell>
          <cell r="T97">
            <v>0</v>
          </cell>
          <cell r="V97">
            <v>782.5</v>
          </cell>
          <cell r="W97">
            <v>407.5</v>
          </cell>
          <cell r="X97">
            <v>0</v>
          </cell>
          <cell r="Y97">
            <v>1.6</v>
          </cell>
          <cell r="Z97">
            <v>2</v>
          </cell>
          <cell r="AA97">
            <v>1.8</v>
          </cell>
        </row>
        <row r="98">
          <cell r="A98" t="str">
            <v>7237 СЕРВЕЛАТ ШВАРЦЕР ПМ в/к в/у 0,28кг_209к  Останкино</v>
          </cell>
          <cell r="B98" t="str">
            <v>шт</v>
          </cell>
          <cell r="C98">
            <v>7237</v>
          </cell>
          <cell r="F98">
            <v>0</v>
          </cell>
          <cell r="H98">
            <v>0.28000000000000003</v>
          </cell>
          <cell r="I98">
            <v>45</v>
          </cell>
          <cell r="J98" t="str">
            <v>в матрице</v>
          </cell>
          <cell r="L98">
            <v>59</v>
          </cell>
          <cell r="M98">
            <v>-59</v>
          </cell>
          <cell r="P98">
            <v>96</v>
          </cell>
          <cell r="Q98">
            <v>100</v>
          </cell>
          <cell r="R98">
            <v>0</v>
          </cell>
          <cell r="S98">
            <v>200</v>
          </cell>
          <cell r="T98">
            <v>200</v>
          </cell>
          <cell r="V98" t="e">
            <v>#DIV/0!</v>
          </cell>
          <cell r="W98" t="e">
            <v>#DIV/0!</v>
          </cell>
          <cell r="X98">
            <v>9.4</v>
          </cell>
          <cell r="Y98">
            <v>9.1999999999999993</v>
          </cell>
          <cell r="Z98">
            <v>22.8</v>
          </cell>
          <cell r="AA98">
            <v>-0.2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Останкино</v>
          </cell>
          <cell r="B7">
            <v>15417.81</v>
          </cell>
        </row>
        <row r="8">
          <cell r="A8" t="str">
            <v>Останкино ООО</v>
          </cell>
          <cell r="B8">
            <v>15417.81</v>
          </cell>
        </row>
        <row r="9">
          <cell r="A9" t="str">
            <v>ООО Останкино-Краснодар</v>
          </cell>
          <cell r="B9">
            <v>4991.1099999999997</v>
          </cell>
        </row>
        <row r="10">
          <cell r="A10" t="str">
            <v>3287 САЛЯМИ ИТАЛЬЯНСКАЯ с/к в/у ОСТАНКИНО</v>
          </cell>
          <cell r="B10">
            <v>9.1999999999999993</v>
          </cell>
        </row>
        <row r="11">
          <cell r="A11" t="str">
            <v>4063 МЯСНАЯ Папа может вар п/о_Л   ОСТАНКИНО</v>
          </cell>
          <cell r="B11">
            <v>581.5</v>
          </cell>
        </row>
        <row r="12">
          <cell r="A12" t="str">
            <v>4117 ЭКСТРА Папа может с/к в/у_Л   ОСТАНКИНО</v>
          </cell>
          <cell r="B12">
            <v>17.5</v>
          </cell>
        </row>
        <row r="13">
          <cell r="A13" t="str">
            <v>4574 Мясная со шпиком Папа может вар п/о ОСТАНКИНО</v>
          </cell>
          <cell r="B13">
            <v>210.85</v>
          </cell>
        </row>
        <row r="14">
          <cell r="A14" t="str">
            <v>4813 ФИЛЕЙНАЯ Папа может вар п/о_Л   ОСТАНКИНО</v>
          </cell>
          <cell r="B14">
            <v>349.2</v>
          </cell>
        </row>
        <row r="15">
          <cell r="A15" t="str">
            <v>5452 ВЕТЧ.МЯСНАЯ Папа может п/о    ОСТАНКИНО</v>
          </cell>
          <cell r="B15">
            <v>83.4</v>
          </cell>
        </row>
        <row r="16">
          <cell r="A16" t="str">
            <v>5544 Сервелат Финский в/к в/у_45с НОВАЯ ОСТАНКИНО</v>
          </cell>
          <cell r="B16">
            <v>313.91000000000003</v>
          </cell>
        </row>
        <row r="17">
          <cell r="A17" t="str">
            <v>5708 ПОСОЛЬСКАЯ Папа может с/к в/у ОСТАНКИНО</v>
          </cell>
          <cell r="B17">
            <v>20.100000000000001</v>
          </cell>
        </row>
        <row r="18">
          <cell r="A18" t="str">
            <v>5851 ЭКСТРА Папа может вар п/о   ОСТАНКИНО</v>
          </cell>
          <cell r="B18">
            <v>265.7</v>
          </cell>
        </row>
        <row r="19">
          <cell r="A19" t="str">
            <v>6220 ГОВЯЖЬЯ папа может вар п/о  Останкино</v>
          </cell>
          <cell r="B19">
            <v>175.15</v>
          </cell>
        </row>
        <row r="20">
          <cell r="A20" t="str">
            <v>6303 Мясные Папа может сос п/о мгс 1,5*3  Останкино</v>
          </cell>
          <cell r="B20">
            <v>388</v>
          </cell>
        </row>
        <row r="21">
          <cell r="A21" t="str">
            <v>6498 МОЛОЧНАЯ Папа может вар п/о  ОСТАНКИНО</v>
          </cell>
          <cell r="B21">
            <v>115.5</v>
          </cell>
        </row>
        <row r="22">
          <cell r="A22" t="str">
            <v>6527 ШПИКАЧКИ СОЧНЫЕ ПМ сар б/о мгс 1*3 45с ОСТАНКИНО</v>
          </cell>
          <cell r="B22">
            <v>103</v>
          </cell>
        </row>
        <row r="23">
          <cell r="A23" t="str">
            <v>6550 МЯСНЫЕ Папа может сар б/о мгс 1*3 О 45с  Останкино</v>
          </cell>
          <cell r="B23">
            <v>176.4</v>
          </cell>
        </row>
        <row r="24">
          <cell r="A24" t="str">
            <v>6608 С ГОВЯДИНОЙ ОРИГИН. сар б/о мгс 1*3_45с  ОСТАНКИНО</v>
          </cell>
          <cell r="B24">
            <v>200</v>
          </cell>
        </row>
        <row r="25">
          <cell r="A25" t="str">
            <v>6620 РЕБРЫШКИ к/в в/у_30с  Останкино</v>
          </cell>
          <cell r="B25">
            <v>114.5</v>
          </cell>
        </row>
        <row r="26">
          <cell r="A26" t="str">
            <v>6661 СОЧНЫЙ ГРИЛЬ ПМ сос п/о мгс 1,5*4_Маяк Останкино</v>
          </cell>
          <cell r="B26">
            <v>174.2</v>
          </cell>
        </row>
        <row r="27">
          <cell r="A27" t="str">
            <v>6767 РУБЛЕНЫЕ сос ц/о мгс 1*4  Останкино</v>
          </cell>
          <cell r="B27">
            <v>1</v>
          </cell>
        </row>
        <row r="28">
          <cell r="A28" t="str">
            <v>6829  МОЛОЧНЫЕ КЛАССИЧЕСКИЕ сос п/о мгс 2*4 С  Останккино</v>
          </cell>
          <cell r="B28">
            <v>353.5</v>
          </cell>
        </row>
        <row r="29">
          <cell r="A29" t="str">
            <v>6955 СОЧНЫЕ Папа может сос п/о мгс 1,5*4 А  Останкино</v>
          </cell>
          <cell r="B29">
            <v>9</v>
          </cell>
        </row>
        <row r="30">
          <cell r="A30" t="str">
            <v>7001 КЛАССИЧЕСКИЕ Папа может сар б/о мгс 1*3  Останкино</v>
          </cell>
          <cell r="B30">
            <v>45</v>
          </cell>
        </row>
        <row r="31">
          <cell r="A31" t="str">
            <v>7070 СОЧНЫЕ ПМ сос п/о 1,5*4_А_50с  Останкино</v>
          </cell>
          <cell r="B31">
            <v>469.1</v>
          </cell>
        </row>
        <row r="32">
          <cell r="A32" t="str">
            <v>7075 МОЛОЧ.ПРЕМИУМ ПМ сос п/о мгс 1,5*4_О_50с  Останкино</v>
          </cell>
          <cell r="B32">
            <v>54.5</v>
          </cell>
        </row>
        <row r="33">
          <cell r="A33" t="str">
            <v>7082 СЛИВОЧНЫЕ ПМ сос п/о мгс 1,5*4_50с  Останкино</v>
          </cell>
          <cell r="B33">
            <v>33</v>
          </cell>
        </row>
        <row r="34">
          <cell r="A34" t="str">
            <v>7083 СЛИВОЧНЫЕ ПМ сос п/о мгс 1.5*4_А_50с  ОСТАНКИНО</v>
          </cell>
          <cell r="B34">
            <v>189.7</v>
          </cell>
        </row>
        <row r="35">
          <cell r="A35" t="str">
            <v>7157 СЕРВЕЛАТ ЗЕРНИСТЫЙ ПМ в/к в/у_50с  Останкино</v>
          </cell>
          <cell r="B35">
            <v>168</v>
          </cell>
        </row>
        <row r="36">
          <cell r="A36" t="str">
            <v>7166 СЕРВЕЛАТ ОХОТНИЧИЙ ПМ в/к в/у_50с  Останкино</v>
          </cell>
          <cell r="B36">
            <v>251.6</v>
          </cell>
        </row>
        <row r="37">
          <cell r="A37" t="str">
            <v>7422 НАБОР ДЛЯ ПИЦЦЫ с/к с/н мгс 3*3 HRC  ОСТАНКИНО</v>
          </cell>
          <cell r="B37">
            <v>95</v>
          </cell>
        </row>
        <row r="38">
          <cell r="A38" t="str">
            <v>А_5544 Сервелат Финский в/к в/у_45с НОВАЯ ОСТАНКИНО</v>
          </cell>
          <cell r="B38">
            <v>23.6</v>
          </cell>
        </row>
        <row r="39">
          <cell r="A39" t="str">
            <v>3215 ВЕТЧ.МЯСНАЯ Папа может п/о 0.4кг 8шт.    ОСТАНКИНО</v>
          </cell>
          <cell r="B39">
            <v>221</v>
          </cell>
        </row>
        <row r="40">
          <cell r="A40" t="str">
            <v>3986 Ароматная с/к в/у 1/250 ОСТАНКИНО</v>
          </cell>
          <cell r="B40">
            <v>56</v>
          </cell>
        </row>
        <row r="41">
          <cell r="A41" t="str">
            <v>4993 САЛЯМИ ИТАЛЬЯНСКАЯ с/к в/у 1/250*8_120c ОСТАНКИНО</v>
          </cell>
          <cell r="B41">
            <v>53</v>
          </cell>
        </row>
        <row r="42">
          <cell r="A42" t="str">
            <v>5344 ГРИЛЬ-МАСТЕР сос п/о мгс 0.45кг 7шт.  ОСТАНКИНО</v>
          </cell>
          <cell r="B42">
            <v>2</v>
          </cell>
        </row>
        <row r="43">
          <cell r="A43" t="str">
            <v>5483 ЭКСТРА Папа может с/к в/у 1/250 8шт.   ОСТАНКИНО</v>
          </cell>
          <cell r="B43">
            <v>116</v>
          </cell>
        </row>
        <row r="44">
          <cell r="A44" t="str">
            <v>5495 ВЕТЧ.С ИНДЕЙКОЙ Папа может п/о 400*6  Останкино</v>
          </cell>
          <cell r="B44">
            <v>136</v>
          </cell>
        </row>
        <row r="45">
          <cell r="A45" t="str">
            <v>5706 АРОМАТНАЯ Папа может с/к в/у 1/250 8шт.  ОСТАНКИНО</v>
          </cell>
          <cell r="B45">
            <v>3</v>
          </cell>
        </row>
        <row r="46">
          <cell r="A46" t="str">
            <v>5819 Сосиски Папа может 400г Мясные  ОСТАНКИНО</v>
          </cell>
          <cell r="B46">
            <v>63</v>
          </cell>
        </row>
        <row r="47">
          <cell r="A47" t="str">
            <v>5931 ОХОТНИЧЬЯ Папа может с/к в/у 1/220 8шт.   ОСТАНКИНО</v>
          </cell>
          <cell r="B47">
            <v>535</v>
          </cell>
        </row>
        <row r="48">
          <cell r="A48" t="str">
            <v>6027 ВЕТЧ.ИЗ ЛОПАТКИ Папа может п/о 400*6  ОСТАНКИНО</v>
          </cell>
          <cell r="B48">
            <v>1</v>
          </cell>
        </row>
        <row r="49">
          <cell r="A49" t="str">
            <v>6208 ДЫМОВИЦА ИЗ ЛОПАТКИ ПМ к/в с/н в/у 1/150  Останкино</v>
          </cell>
          <cell r="B49">
            <v>22</v>
          </cell>
        </row>
        <row r="50">
          <cell r="A50" t="str">
            <v>6213 СЕРВЕЛАТ ФИНСКИЙ СН в/к в/у 0,35кг 8шт  Останкино</v>
          </cell>
          <cell r="B50">
            <v>2</v>
          </cell>
        </row>
        <row r="51">
          <cell r="A51" t="str">
            <v>6221 НЕОПОЛИТАНСКИЙ ДУЭТ с/к с/н мгс 1/90  Останкино</v>
          </cell>
          <cell r="B51">
            <v>301</v>
          </cell>
        </row>
        <row r="52">
          <cell r="A52" t="str">
            <v>6228 МЯСНОЕ АССОРТИ к/з с/н мгс 1/90 10шт  Останкино</v>
          </cell>
          <cell r="B52">
            <v>121</v>
          </cell>
        </row>
        <row r="53">
          <cell r="A53" t="str">
            <v>6279 КОРЕЙКА ПО-ОСТ.к/в в/с с/н в/у 1/150_45с  Останкино</v>
          </cell>
          <cell r="B53">
            <v>94</v>
          </cell>
        </row>
        <row r="54">
          <cell r="A54" t="str">
            <v>6324 ДОКТОРСКАЯ ГОСТ вар п/о 0,4кг 8шт  Останкино</v>
          </cell>
          <cell r="B54">
            <v>84</v>
          </cell>
        </row>
        <row r="55">
          <cell r="A55" t="str">
            <v>6325 ДОКТОРСКАЯ ПРЕМИУМ вар п/о 0.4кг 8шт.  ОСТАНКИНО</v>
          </cell>
          <cell r="B55">
            <v>147</v>
          </cell>
        </row>
        <row r="56">
          <cell r="A56" t="str">
            <v>6333 МЯСНАЯ Папа может вар п/о 0.4кг 8шт.  ОСТАНКИНО</v>
          </cell>
          <cell r="B56">
            <v>256</v>
          </cell>
        </row>
        <row r="57">
          <cell r="A57" t="str">
            <v>6353 ЭКСТРА Папа может вар п/о 0.4кг 8шт.  ОСТАНКИНО</v>
          </cell>
          <cell r="B57">
            <v>202</v>
          </cell>
        </row>
        <row r="58">
          <cell r="A58" t="str">
            <v>6392 ФИЛЕЙНАЯ Папа может вар п/о 0,4кг  ОСТАНКИНО</v>
          </cell>
          <cell r="B58">
            <v>246</v>
          </cell>
        </row>
        <row r="59">
          <cell r="A59" t="str">
            <v>6448 Свинина Останкино 100г Мадера с/к в/у нарезка  ОСТАНКИНО</v>
          </cell>
          <cell r="B59">
            <v>1</v>
          </cell>
        </row>
        <row r="60">
          <cell r="A60" t="str">
            <v>6453 ЭКСТРА Папа может с/к с/н в/у 1/100 14шт.   ОСТАНКИНО</v>
          </cell>
          <cell r="B60">
            <v>279</v>
          </cell>
        </row>
        <row r="61">
          <cell r="A61" t="str">
            <v>6454 АРОМАТНАЯ с/к с/н в/у 1/100 10шт.  ОСТАНКИНО</v>
          </cell>
          <cell r="B61">
            <v>282</v>
          </cell>
        </row>
        <row r="62">
          <cell r="A62" t="str">
            <v>6459 СЕРВЕЛАТ ШВЕЙЦАРСК. в/к с/н в/у 1/100*10  Останкино</v>
          </cell>
          <cell r="B62">
            <v>29</v>
          </cell>
        </row>
        <row r="63">
          <cell r="A63" t="str">
            <v>6475 Сосиски Папа может 400г С сыром  ОСТАНКИНО</v>
          </cell>
          <cell r="B63">
            <v>90</v>
          </cell>
        </row>
        <row r="64">
          <cell r="A64" t="str">
            <v>6495 ВЕТЧ.МРАМОРНАЯ в/у срез 0,3кг 6шт_45с  Останкино</v>
          </cell>
          <cell r="B64">
            <v>185</v>
          </cell>
        </row>
        <row r="65">
          <cell r="A65" t="str">
            <v>6602 БАВАРСКИЕ ПМ сос ц/о мгс 0,35кг 8шт  Останкино</v>
          </cell>
          <cell r="B65">
            <v>164</v>
          </cell>
        </row>
        <row r="66">
          <cell r="A66" t="str">
            <v>6609 С ГОВЯДИНОЙ ПМ сар б/о мгс 0,4 кг_45с</v>
          </cell>
          <cell r="B66">
            <v>10</v>
          </cell>
        </row>
        <row r="67">
          <cell r="A67" t="str">
            <v>6616 МОЛОЧНЫЕ КЛАССИЧЕСКИЕ сос п/о в/у 0,3 кг  Останкино</v>
          </cell>
          <cell r="B67">
            <v>234</v>
          </cell>
        </row>
        <row r="68">
          <cell r="A68" t="str">
            <v>6684 СЕРВЕЛАТ КАРЕЛЬСКИЙ ПМ в/к в/у 0,28кг  ОСТАНКИНО</v>
          </cell>
          <cell r="B68">
            <v>2</v>
          </cell>
        </row>
        <row r="69">
          <cell r="A69" t="str">
            <v>6697 СЕРВЕЛАТ ФИНСКИЙ ПМ в/к в/у 0,35кг 8шт  ОСТАНКИНО</v>
          </cell>
          <cell r="B69">
            <v>367</v>
          </cell>
        </row>
        <row r="70">
          <cell r="A70" t="str">
            <v>6701 СЕРВЕЛАТ ШВАРЦЕР ПМ в/к в/у 0.28кг 8шт.  ОСТАНКИНО</v>
          </cell>
          <cell r="B70">
            <v>8</v>
          </cell>
        </row>
        <row r="71">
          <cell r="A71" t="str">
            <v>6713 СОЧНЫЙ ГРИЛЬ ПМ сос п/о мгс 0,41кг 8 шт.  ОСТАНКИНО</v>
          </cell>
          <cell r="B71">
            <v>289</v>
          </cell>
        </row>
        <row r="72">
          <cell r="A72" t="str">
            <v>6724 МОЛОЧНЫЕ ПМ сос п/о мгс 0,41кг 10шт  Останкино</v>
          </cell>
          <cell r="B72">
            <v>177</v>
          </cell>
        </row>
        <row r="73">
          <cell r="A73" t="str">
            <v>6765 РУБЛЕНЫЕ сос ц/о мгс 0,36кг 6шт  Останкино</v>
          </cell>
          <cell r="B73">
            <v>203</v>
          </cell>
        </row>
        <row r="74">
          <cell r="A74" t="str">
            <v>6773 САЛЯМИ Папа может п/к в/у 0,28кг 8шт  Останкино</v>
          </cell>
          <cell r="B74">
            <v>24</v>
          </cell>
        </row>
        <row r="75">
          <cell r="A75" t="str">
            <v>6787 СЕРВЕЛАТ КРЕМЛЕВСКИЙ в/к в/у 0,33кг 8шт  Останкино</v>
          </cell>
          <cell r="B75">
            <v>77</v>
          </cell>
        </row>
        <row r="76">
          <cell r="A76" t="str">
            <v>6791 СЕРВЕЛАТ ПРЕМИУМ в/к в/у 0,33кг 8шт  Останкино</v>
          </cell>
          <cell r="B76">
            <v>1</v>
          </cell>
        </row>
        <row r="77">
          <cell r="A77" t="str">
            <v>6793 БАЛЫКОВАЯ в/к в/у 0,33кг 8шт  Останкино</v>
          </cell>
          <cell r="B77">
            <v>79</v>
          </cell>
        </row>
        <row r="78">
          <cell r="A78" t="str">
            <v>6797 С ИНДЕЙКОЙ Папа может вар п/о 0,4кг 8шт. ОСТАНКИНО</v>
          </cell>
          <cell r="B78">
            <v>173</v>
          </cell>
        </row>
        <row r="79">
          <cell r="A79" t="str">
            <v>6804 СЕРВЕЛАТ КРЕМЛЕВСКИЙ в/к в/у 0,66кг 8шт  Останкино</v>
          </cell>
          <cell r="B79">
            <v>44</v>
          </cell>
        </row>
        <row r="80">
          <cell r="A80" t="str">
            <v>6807 СЕРВЕЛАТ ЕВРОПЕЙСКИЙ в/к в/у 0,33кг 8шт  Останкино</v>
          </cell>
          <cell r="B80">
            <v>45</v>
          </cell>
        </row>
        <row r="81">
          <cell r="A81" t="str">
            <v>6822 ИЗ ОТБОРНОГО МЯСА ПМ сос п/о мгс 0,36кг  Останкино</v>
          </cell>
          <cell r="B81">
            <v>1</v>
          </cell>
        </row>
        <row r="82">
          <cell r="A82" t="str">
            <v>6834 ПОСОЛЬСКАЯ с/к с/н в/у 1/100 10шт  Останкино</v>
          </cell>
          <cell r="B82">
            <v>47</v>
          </cell>
        </row>
        <row r="83">
          <cell r="A83" t="str">
            <v>6837 ФИЛЕЙНЫЕ Папа Может сос ц/о мгс 0,4кг  Останкино</v>
          </cell>
          <cell r="B83">
            <v>108</v>
          </cell>
        </row>
        <row r="84">
          <cell r="A84" t="str">
            <v>6925 ВЕТЧ.КЛАССИЧЕСКАЯ в/у 0,6кг 8шт. ОСТАНКИНО</v>
          </cell>
          <cell r="B84">
            <v>23</v>
          </cell>
        </row>
        <row r="85">
          <cell r="A85" t="str">
            <v>6967 БУРГУНДИЯ Папа может с/к в/у 1/250 8шт  Останкино</v>
          </cell>
          <cell r="B85">
            <v>22</v>
          </cell>
        </row>
        <row r="86">
          <cell r="A86" t="str">
            <v>7059 ШПИКАЧКИ СОЧНЫЕ С БЕК. п/о мгс 0,3кг 60с ОСТАНКИНО</v>
          </cell>
          <cell r="B86">
            <v>200</v>
          </cell>
        </row>
        <row r="87">
          <cell r="A87" t="str">
            <v>7066 СОЧНЫЕ ПМ сос п/о мгс 0,41кг 10шт 50с  Останкино</v>
          </cell>
          <cell r="B87">
            <v>404</v>
          </cell>
        </row>
        <row r="88">
          <cell r="A88" t="str">
            <v>7073 МОЛОЧ.ПРЕМИУМ ПМ сос п/о в/у 1/350_50с  Останкино</v>
          </cell>
          <cell r="B88">
            <v>55</v>
          </cell>
        </row>
        <row r="89">
          <cell r="A89" t="str">
            <v>7080 СЛИВОЧНЫЕ ПМ сос п/о мгс 0,41кг 10шт 50с  Останкино</v>
          </cell>
          <cell r="B89">
            <v>232</v>
          </cell>
        </row>
        <row r="90">
          <cell r="A90" t="str">
            <v>7090 СВИНИНА ПО-ДОМ.к/в мл/к в/у 0,3кг_50с  Останкино</v>
          </cell>
          <cell r="B90">
            <v>130</v>
          </cell>
        </row>
        <row r="91">
          <cell r="A91" t="str">
            <v>7092 БЕКОН Папа может с/к с/н в/у 1/140_50с  Останкино</v>
          </cell>
          <cell r="B91">
            <v>9</v>
          </cell>
        </row>
        <row r="92">
          <cell r="A92" t="str">
            <v>7103 БЕКОН Останкино с/к с/н в/у 1/180_50с  Останкино</v>
          </cell>
          <cell r="B92">
            <v>300</v>
          </cell>
        </row>
        <row r="93">
          <cell r="A93" t="str">
            <v>7147 САЛЬЧИЧОН Останкино с/к в/у 1/220 8 шт  Останкино</v>
          </cell>
          <cell r="B93">
            <v>2</v>
          </cell>
        </row>
        <row r="94">
          <cell r="A94" t="str">
            <v>7154 СЕРВЕЛАТ ЗЕРНИСТЫЙ ПМ в/к в/у 0,35кг_50с  Останкино</v>
          </cell>
          <cell r="B94">
            <v>504</v>
          </cell>
        </row>
        <row r="95">
          <cell r="A95" t="str">
            <v>7169 СЕРВЕЛАТ ОХОТНИЧИЙ ПМ в/к в/у 0,35кг_50с  Останкино</v>
          </cell>
          <cell r="B95">
            <v>268</v>
          </cell>
        </row>
        <row r="96">
          <cell r="A96" t="str">
            <v>7187 ГРУДИНКА ПРЕМИУМ к/в мл/к в/у 0,3кг_50с  Останкино</v>
          </cell>
          <cell r="B96">
            <v>101</v>
          </cell>
        </row>
        <row r="97">
          <cell r="A97" t="str">
            <v>7231 КЛАССИЧЕСКАЯ ПМ вар п/о 0,3кг 8 шт_209к  Останкино</v>
          </cell>
          <cell r="B97">
            <v>105</v>
          </cell>
        </row>
        <row r="98">
          <cell r="A98" t="str">
            <v>7232 БОЯNСКАЯ ПМ п/к в/у 0,28кг 8шт_209к  Останкино</v>
          </cell>
          <cell r="B98">
            <v>188</v>
          </cell>
        </row>
        <row r="99">
          <cell r="A99" t="str">
            <v>7236 СЕРВЕЛАТ КАРЕЛЬСКИЙ в/к в/у 0,28кг_209к  Останкино</v>
          </cell>
          <cell r="B99">
            <v>224</v>
          </cell>
        </row>
        <row r="100">
          <cell r="A100" t="str">
            <v>7237 СЕРВЕЛАТ ШВАРЦЕР ПМ в/к в/у 0,28кг_209к  Останкино</v>
          </cell>
          <cell r="B100">
            <v>93</v>
          </cell>
        </row>
        <row r="101">
          <cell r="A101" t="str">
            <v>7241 САЛЯМИ Папа может п/к в/у 0,28кг ОСТАНКИНО</v>
          </cell>
          <cell r="B101">
            <v>392</v>
          </cell>
        </row>
        <row r="102">
          <cell r="A102" t="str">
            <v>7255 МЯСНЫЕ С ГОВЯД.ПМ сос п/о мгс 0.4кг 6шт.  ОСТАНКИНО</v>
          </cell>
          <cell r="B102">
            <v>174</v>
          </cell>
        </row>
        <row r="103">
          <cell r="A103" t="str">
            <v>7271 МЯСНЫЕ С ГОВЯДИНОЙ ПМ сос п/о мгс 1.5*4  ОСТАНКИНО</v>
          </cell>
          <cell r="B103">
            <v>52.5</v>
          </cell>
        </row>
        <row r="104">
          <cell r="A104" t="str">
            <v>7276 СЛИВОЧНЫЕ ПМ сос п/о мгс 0,3кг 7шт  Останкино</v>
          </cell>
          <cell r="B104">
            <v>24</v>
          </cell>
        </row>
        <row r="105">
          <cell r="A105" t="str">
            <v>7284 ДЛЯ ДЕТЕЙ сос п/о мгс 0,33кг 6шт  Останкино</v>
          </cell>
          <cell r="B105">
            <v>28</v>
          </cell>
        </row>
        <row r="106">
          <cell r="A106" t="str">
            <v>7288 БАЛЫК с/к с/н в/у 1/100 10шт ОСТАНКИНО</v>
          </cell>
          <cell r="B106">
            <v>30</v>
          </cell>
        </row>
        <row r="107">
          <cell r="A107" t="str">
            <v>7332 БОЯРСКАЯ ПМ п/к в/у 0,28кг ОСТАНКИНО</v>
          </cell>
          <cell r="B107">
            <v>24</v>
          </cell>
        </row>
        <row r="108">
          <cell r="A108" t="str">
            <v>7333 СЕРВЕЛАТ ОХОТНИЧИЙ ПМ в/к в/у 0,28кг ОСТАНКИНО</v>
          </cell>
          <cell r="B108">
            <v>1</v>
          </cell>
        </row>
        <row r="109">
          <cell r="A109" t="str">
            <v>7343 СЕЙЧАС СЕЗОН ПМ вар п/о 0,4кг ОСТАНКИНО</v>
          </cell>
          <cell r="B109">
            <v>48</v>
          </cell>
        </row>
        <row r="110">
          <cell r="A110" t="str">
            <v>7371 БРЕСТСКИЕ сос п/о в/у 0,3кг 8шт. ОСТАНКИНО</v>
          </cell>
          <cell r="B110">
            <v>80</v>
          </cell>
        </row>
        <row r="111">
          <cell r="A111" t="str">
            <v>7382  САЛЯМИ МЕЛКОЗЕРНЕНАЯ с/к в/у1/120 8шт.  ОСТАНКИНО</v>
          </cell>
          <cell r="B111">
            <v>102</v>
          </cell>
        </row>
        <row r="112">
          <cell r="A112" t="str">
            <v>7461 ДЛЯ ДЕТЕЙ Папа Может сос п/о мгс 0,33кг ОСТАНКИНО</v>
          </cell>
          <cell r="B112">
            <v>90</v>
          </cell>
        </row>
        <row r="113">
          <cell r="A113" t="str">
            <v>7523 ГОВЯЖЬЯ Папа Может вар п/о 0,4кг 6шт. ОСТАНКИНО</v>
          </cell>
          <cell r="B113">
            <v>76</v>
          </cell>
        </row>
        <row r="114">
          <cell r="A114" t="str">
            <v>7539 ДОКТОРСКАЯ ГОСТ вар п/о 0,35кг ОСТАНКИНО</v>
          </cell>
          <cell r="B114">
            <v>15</v>
          </cell>
        </row>
        <row r="115">
          <cell r="A115" t="str">
            <v>7603 БАЛЫКОВАЯ в/к в/у 0.33кг 8шт. ОСТАНКИНО</v>
          </cell>
          <cell r="B115">
            <v>9</v>
          </cell>
        </row>
        <row r="116">
          <cell r="A116" t="str">
            <v>БОНУС_6087 СОЧНЫЕ ПМ сос п/о мгс 0,41кг 10шт.  ОСТАНКИНО</v>
          </cell>
          <cell r="B116">
            <v>8</v>
          </cell>
        </row>
        <row r="117">
          <cell r="A117" t="str">
            <v>6861 ДОМАШНИЙ РЕЦЕПТ Коровино вар п/о  Останкино</v>
          </cell>
          <cell r="B117">
            <v>15.2</v>
          </cell>
        </row>
        <row r="118">
          <cell r="A118" t="str">
            <v>6866 ВЕТЧ.НЕЖНАЯ Коровино п/о_Маяк  Останкино</v>
          </cell>
          <cell r="B118">
            <v>12.5</v>
          </cell>
        </row>
        <row r="119">
          <cell r="A119" t="str">
            <v>7149 БАЛЫКОВАЯ Коровино п/к в/у 0,84кг_50с  Останкино</v>
          </cell>
          <cell r="B119">
            <v>82</v>
          </cell>
        </row>
        <row r="120">
          <cell r="B120">
            <v>14694.310000000001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C98"/>
  <sheetViews>
    <sheetView tabSelected="1" workbookViewId="0">
      <pane xSplit="3" ySplit="10" topLeftCell="D68" activePane="bottomRight" state="frozen"/>
      <selection pane="topRight" activeCell="D1" sqref="D1"/>
      <selection pane="bottomLeft" activeCell="A11" sqref="A11"/>
      <selection pane="bottomRight" activeCell="U97" sqref="U97"/>
    </sheetView>
  </sheetViews>
  <sheetFormatPr defaultColWidth="10.5" defaultRowHeight="11.45" customHeight="1" outlineLevelRow="1" x14ac:dyDescent="0.2"/>
  <cols>
    <col min="1" max="1" width="52.1640625" style="1" customWidth="1"/>
    <col min="2" max="2" width="4.5" style="1" customWidth="1"/>
    <col min="3" max="3" width="5.5" style="1" customWidth="1"/>
    <col min="4" max="7" width="10" style="1" customWidth="1"/>
    <col min="8" max="8" width="6" style="5" bestFit="1" customWidth="1"/>
    <col min="9" max="9" width="6.5" style="5" customWidth="1"/>
    <col min="10" max="10" width="4.33203125" style="5" customWidth="1"/>
    <col min="11" max="11" width="1.5" style="5" customWidth="1"/>
    <col min="12" max="12" width="11.1640625" style="5" customWidth="1"/>
    <col min="13" max="13" width="9.5" style="5" customWidth="1"/>
    <col min="14" max="14" width="3" style="5" customWidth="1"/>
    <col min="15" max="15" width="2.5" style="5" customWidth="1"/>
    <col min="16" max="16" width="2.1640625" style="5" customWidth="1"/>
    <col min="17" max="17" width="7.83203125" style="5" bestFit="1" customWidth="1"/>
    <col min="18" max="18" width="8.5" style="5" bestFit="1" customWidth="1"/>
    <col min="19" max="19" width="8.6640625" style="5" bestFit="1" customWidth="1"/>
    <col min="20" max="20" width="7.5" style="5" customWidth="1"/>
    <col min="21" max="21" width="12.33203125" style="5" customWidth="1"/>
    <col min="22" max="22" width="9.5" style="5" bestFit="1" customWidth="1"/>
    <col min="23" max="23" width="6.5" style="5" bestFit="1" customWidth="1"/>
    <col min="24" max="27" width="7.83203125" style="5" bestFit="1" customWidth="1"/>
    <col min="28" max="28" width="16.33203125" style="5" bestFit="1" customWidth="1"/>
    <col min="29" max="29" width="7.83203125" style="5" bestFit="1" customWidth="1"/>
    <col min="30" max="30" width="1.6640625" style="5" customWidth="1"/>
    <col min="31" max="47" width="4.5" style="5" customWidth="1"/>
    <col min="48" max="16384" width="10.5" style="5"/>
  </cols>
  <sheetData>
    <row r="1" spans="1:29" s="1" customFormat="1" ht="10.15" customHeight="1" x14ac:dyDescent="0.2"/>
    <row r="2" spans="1:29" ht="25.15" customHeight="1" x14ac:dyDescent="0.2">
      <c r="A2" s="2" t="s">
        <v>0</v>
      </c>
    </row>
    <row r="3" spans="1:29" s="1" customFormat="1" ht="10.15" customHeight="1" x14ac:dyDescent="0.2"/>
    <row r="4" spans="1:29" ht="13.15" customHeight="1" outlineLevel="1" x14ac:dyDescent="0.2">
      <c r="A4" s="3" t="s">
        <v>1</v>
      </c>
      <c r="B4" s="3" t="s">
        <v>2</v>
      </c>
      <c r="C4" s="3"/>
      <c r="D4" s="3"/>
    </row>
    <row r="5" spans="1:29" ht="13.15" customHeight="1" outlineLevel="1" x14ac:dyDescent="0.2">
      <c r="B5" s="3" t="s">
        <v>3</v>
      </c>
      <c r="C5" s="3"/>
      <c r="D5" s="3"/>
    </row>
    <row r="6" spans="1:29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29" s="1" customFormat="1" ht="10.15" customHeight="1" x14ac:dyDescent="0.2"/>
    <row r="8" spans="1:29" ht="13.15" customHeight="1" x14ac:dyDescent="0.25">
      <c r="A8" s="6" t="s">
        <v>6</v>
      </c>
      <c r="B8" s="6" t="s">
        <v>7</v>
      </c>
      <c r="C8" s="6"/>
      <c r="D8" s="4" t="s">
        <v>8</v>
      </c>
      <c r="E8" s="4"/>
      <c r="F8" s="4"/>
      <c r="G8" s="4"/>
      <c r="H8" s="12" t="s">
        <v>103</v>
      </c>
      <c r="I8" s="12" t="s">
        <v>104</v>
      </c>
      <c r="J8" s="13" t="s">
        <v>105</v>
      </c>
      <c r="K8" s="13" t="s">
        <v>106</v>
      </c>
      <c r="L8" s="13" t="s">
        <v>107</v>
      </c>
      <c r="M8" s="13" t="s">
        <v>108</v>
      </c>
      <c r="N8" s="13" t="s">
        <v>109</v>
      </c>
      <c r="O8" s="13" t="s">
        <v>110</v>
      </c>
      <c r="P8" s="13" t="s">
        <v>110</v>
      </c>
      <c r="Q8" s="13" t="s">
        <v>110</v>
      </c>
      <c r="R8" s="13" t="s">
        <v>111</v>
      </c>
      <c r="S8" s="14" t="s">
        <v>127</v>
      </c>
      <c r="T8" s="15" t="s">
        <v>112</v>
      </c>
      <c r="U8" s="15" t="s">
        <v>113</v>
      </c>
      <c r="V8" s="13" t="s">
        <v>114</v>
      </c>
      <c r="W8" s="13" t="s">
        <v>115</v>
      </c>
      <c r="X8" s="13" t="s">
        <v>116</v>
      </c>
      <c r="Y8" s="13" t="s">
        <v>116</v>
      </c>
      <c r="Z8" s="13" t="s">
        <v>116</v>
      </c>
      <c r="AA8" s="13" t="s">
        <v>116</v>
      </c>
      <c r="AB8" s="13" t="s">
        <v>117</v>
      </c>
      <c r="AC8" s="13" t="s">
        <v>118</v>
      </c>
    </row>
    <row r="9" spans="1:29" ht="17.45" customHeight="1" x14ac:dyDescent="0.2">
      <c r="A9" s="7"/>
      <c r="B9" s="8"/>
      <c r="C9" s="8"/>
      <c r="D9" s="4" t="s">
        <v>9</v>
      </c>
      <c r="E9" s="4" t="s">
        <v>10</v>
      </c>
      <c r="F9" s="4" t="s">
        <v>11</v>
      </c>
      <c r="G9" s="4" t="s">
        <v>12</v>
      </c>
      <c r="H9" s="16"/>
      <c r="I9" s="16"/>
      <c r="J9" s="16"/>
      <c r="K9" s="16"/>
      <c r="L9" s="16"/>
      <c r="M9" s="16"/>
      <c r="N9" s="16"/>
      <c r="O9" s="16"/>
      <c r="P9" s="16"/>
      <c r="Q9" s="20" t="s">
        <v>124</v>
      </c>
      <c r="R9" s="16" t="s">
        <v>123</v>
      </c>
      <c r="S9" s="20" t="s">
        <v>128</v>
      </c>
      <c r="T9" s="16"/>
      <c r="U9" s="16"/>
      <c r="V9" s="16"/>
      <c r="W9" s="16"/>
      <c r="X9" s="16" t="s">
        <v>120</v>
      </c>
      <c r="Y9" s="16" t="s">
        <v>121</v>
      </c>
      <c r="Z9" s="16" t="s">
        <v>122</v>
      </c>
      <c r="AA9" s="16" t="s">
        <v>119</v>
      </c>
      <c r="AB9" s="16"/>
      <c r="AC9" s="20" t="s">
        <v>128</v>
      </c>
    </row>
    <row r="10" spans="1:29" ht="17.45" customHeight="1" x14ac:dyDescent="0.2">
      <c r="A10" s="7"/>
      <c r="B10" s="8"/>
      <c r="C10" s="8"/>
      <c r="D10" s="17">
        <f t="shared" ref="D10" si="0">SUM(D11:D428)</f>
        <v>9532.2510000000002</v>
      </c>
      <c r="E10" s="17">
        <f t="shared" ref="E10" si="1">SUM(E11:E428)</f>
        <v>19156.125</v>
      </c>
      <c r="F10" s="17">
        <f t="shared" ref="F10" si="2">SUM(F11:F428)</f>
        <v>12538.012999999999</v>
      </c>
      <c r="G10" s="17">
        <f t="shared" ref="G10" si="3">SUM(G11:G428)</f>
        <v>15646.395000000002</v>
      </c>
      <c r="H10" s="16"/>
      <c r="I10" s="16"/>
      <c r="J10" s="16"/>
      <c r="K10" s="16"/>
      <c r="L10" s="17">
        <f t="shared" ref="L10:T10" si="4">SUM(L11:L428)</f>
        <v>14330.210000000003</v>
      </c>
      <c r="M10" s="17">
        <f t="shared" si="4"/>
        <v>-1792.1970000000001</v>
      </c>
      <c r="N10" s="17">
        <f t="shared" si="4"/>
        <v>0</v>
      </c>
      <c r="O10" s="17">
        <f t="shared" si="4"/>
        <v>0</v>
      </c>
      <c r="P10" s="17">
        <f t="shared" si="4"/>
        <v>0</v>
      </c>
      <c r="Q10" s="17">
        <f t="shared" si="4"/>
        <v>8239</v>
      </c>
      <c r="R10" s="17">
        <f t="shared" si="4"/>
        <v>2507.6026000000002</v>
      </c>
      <c r="S10" s="17">
        <f t="shared" si="4"/>
        <v>14704</v>
      </c>
      <c r="T10" s="17">
        <f t="shared" si="4"/>
        <v>0</v>
      </c>
      <c r="U10" s="17"/>
      <c r="V10" s="16"/>
      <c r="W10" s="16"/>
      <c r="X10" s="17">
        <f>SUM(X11:X428)</f>
        <v>2030.2587999999987</v>
      </c>
      <c r="Y10" s="17">
        <f>SUM(Y11:Y428)</f>
        <v>1932.3749999999991</v>
      </c>
      <c r="Z10" s="17">
        <f>SUM(Z11:Z428)</f>
        <v>2221.7319999999995</v>
      </c>
      <c r="AA10" s="17">
        <f>SUM(AA11:AA428)</f>
        <v>2095.0662000000007</v>
      </c>
      <c r="AB10" s="16"/>
      <c r="AC10" s="17">
        <f>SUM(AC11:AC428)</f>
        <v>8303.5</v>
      </c>
    </row>
    <row r="11" spans="1:29" ht="10.9" customHeight="1" x14ac:dyDescent="0.2">
      <c r="A11" s="9" t="s">
        <v>13</v>
      </c>
      <c r="B11" s="9" t="s">
        <v>14</v>
      </c>
      <c r="C11" s="9">
        <f>VLOOKUP(A:A,[1]TDSheet!$A:$C,3,0)</f>
        <v>3215</v>
      </c>
      <c r="D11" s="10">
        <v>70</v>
      </c>
      <c r="E11" s="10">
        <v>404</v>
      </c>
      <c r="F11" s="10">
        <v>217</v>
      </c>
      <c r="G11" s="10">
        <v>253</v>
      </c>
      <c r="H11" s="5">
        <f>VLOOKUP(A:A,[1]TDSheet!$A:$H,8,0)</f>
        <v>0.4</v>
      </c>
      <c r="I11" s="5">
        <f>VLOOKUP(A:A,[1]TDSheet!$A:$I,9,0)</f>
        <v>60</v>
      </c>
      <c r="L11" s="18">
        <f>VLOOKUP(A:A,[2]TDSheet!$A:$B,2,0)</f>
        <v>221</v>
      </c>
      <c r="M11" s="18">
        <f>F11-L11</f>
        <v>-4</v>
      </c>
      <c r="N11" s="18"/>
      <c r="O11" s="18"/>
      <c r="P11" s="18"/>
      <c r="Q11" s="18">
        <f>VLOOKUP(A:A,[1]TDSheet!$A:$S,19,0)</f>
        <v>150</v>
      </c>
      <c r="R11" s="18">
        <f>F11/5</f>
        <v>43.4</v>
      </c>
      <c r="S11" s="19">
        <v>240</v>
      </c>
      <c r="T11" s="19"/>
      <c r="U11" s="18" t="s">
        <v>125</v>
      </c>
      <c r="V11" s="18">
        <f>(G11+Q11+S11)/R11</f>
        <v>14.815668202764977</v>
      </c>
      <c r="W11" s="18">
        <f>G11/R11</f>
        <v>5.8294930875576041</v>
      </c>
      <c r="X11" s="18">
        <f>VLOOKUP(A:A,[1]TDSheet!$A:$Y,25,0)</f>
        <v>14.8</v>
      </c>
      <c r="Y11" s="18">
        <f>VLOOKUP(A:A,[1]TDSheet!$A:$Z,26,0)</f>
        <v>22.8</v>
      </c>
      <c r="Z11" s="18">
        <f>VLOOKUP(A:A,[1]TDSheet!$A:$AA,27,0)</f>
        <v>27.6</v>
      </c>
      <c r="AA11" s="18">
        <f>VLOOKUP(A:A,[1]TDSheet!$A:$R,18,0)</f>
        <v>17.600000000000001</v>
      </c>
      <c r="AB11" s="18" t="str">
        <f>VLOOKUP(A:A,[1]TDSheet!$A:$AB,28,0)</f>
        <v>увел продажи</v>
      </c>
      <c r="AC11" s="18">
        <f>S11*H11</f>
        <v>96</v>
      </c>
    </row>
    <row r="12" spans="1:29" ht="10.9" customHeight="1" x14ac:dyDescent="0.2">
      <c r="A12" s="9" t="s">
        <v>15</v>
      </c>
      <c r="B12" s="9" t="s">
        <v>16</v>
      </c>
      <c r="C12" s="9">
        <f>VLOOKUP(A:A,[1]TDSheet!$A:$C,3,0)</f>
        <v>3287</v>
      </c>
      <c r="D12" s="10">
        <v>39.426000000000002</v>
      </c>
      <c r="E12" s="10"/>
      <c r="F12" s="10">
        <v>8.8049999999999997</v>
      </c>
      <c r="G12" s="10">
        <v>30.620999999999999</v>
      </c>
      <c r="H12" s="5">
        <f>VLOOKUP(A:A,[1]TDSheet!$A:$H,8,0)</f>
        <v>1</v>
      </c>
      <c r="I12" s="5">
        <f>VLOOKUP(A:A,[1]TDSheet!$A:$I,9,0)</f>
        <v>120</v>
      </c>
      <c r="L12" s="18">
        <f>VLOOKUP(A:A,[2]TDSheet!$A:$B,2,0)</f>
        <v>9.1999999999999993</v>
      </c>
      <c r="M12" s="18">
        <f t="shared" ref="M12:M75" si="5">F12-L12</f>
        <v>-0.39499999999999957</v>
      </c>
      <c r="N12" s="18"/>
      <c r="O12" s="18"/>
      <c r="P12" s="18"/>
      <c r="Q12" s="18">
        <f>VLOOKUP(A:A,[1]TDSheet!$A:$S,19,0)</f>
        <v>0</v>
      </c>
      <c r="R12" s="18">
        <f t="shared" ref="R12:R75" si="6">F12/5</f>
        <v>1.7609999999999999</v>
      </c>
      <c r="S12" s="19"/>
      <c r="T12" s="19"/>
      <c r="U12" s="18"/>
      <c r="V12" s="18">
        <f t="shared" ref="V12:V75" si="7">(G12+Q12+S12)/R12</f>
        <v>17.388415672913119</v>
      </c>
      <c r="W12" s="18">
        <f t="shared" ref="W12:W75" si="8">G12/R12</f>
        <v>17.388415672913119</v>
      </c>
      <c r="X12" s="18">
        <f>VLOOKUP(A:A,[1]TDSheet!$A:$Y,25,0)</f>
        <v>1.4689999999999999</v>
      </c>
      <c r="Y12" s="18">
        <f>VLOOKUP(A:A,[1]TDSheet!$A:$Z,26,0)</f>
        <v>1.9788000000000001</v>
      </c>
      <c r="Z12" s="18">
        <f>VLOOKUP(A:A,[1]TDSheet!$A:$AA,27,0)</f>
        <v>0.79620000000000002</v>
      </c>
      <c r="AA12" s="18">
        <f>VLOOKUP(A:A,[1]TDSheet!$A:$R,18,0)</f>
        <v>0.69940000000000002</v>
      </c>
      <c r="AB12" s="18"/>
      <c r="AC12" s="18">
        <f t="shared" ref="AC12:AC75" si="9">S12*H12</f>
        <v>0</v>
      </c>
    </row>
    <row r="13" spans="1:29" ht="10.9" customHeight="1" x14ac:dyDescent="0.2">
      <c r="A13" s="9" t="s">
        <v>17</v>
      </c>
      <c r="B13" s="9" t="s">
        <v>14</v>
      </c>
      <c r="C13" s="9">
        <f>VLOOKUP(A:A,[1]TDSheet!$A:$C,3,0)</f>
        <v>3986</v>
      </c>
      <c r="D13" s="10">
        <v>113</v>
      </c>
      <c r="E13" s="10"/>
      <c r="F13" s="10">
        <v>51</v>
      </c>
      <c r="G13" s="10">
        <v>61</v>
      </c>
      <c r="H13" s="5">
        <f>VLOOKUP(A:A,[1]TDSheet!$A:$H,8,0)</f>
        <v>0.25</v>
      </c>
      <c r="I13" s="5">
        <f>VLOOKUP(A:A,[1]TDSheet!$A:$I,9,0)</f>
        <v>120</v>
      </c>
      <c r="L13" s="18">
        <f>VLOOKUP(A:A,[2]TDSheet!$A:$B,2,0)</f>
        <v>56</v>
      </c>
      <c r="M13" s="18">
        <f t="shared" si="5"/>
        <v>-5</v>
      </c>
      <c r="N13" s="18"/>
      <c r="O13" s="18"/>
      <c r="P13" s="18"/>
      <c r="Q13" s="18">
        <f>VLOOKUP(A:A,[1]TDSheet!$A:$S,19,0)</f>
        <v>8</v>
      </c>
      <c r="R13" s="18">
        <f t="shared" si="6"/>
        <v>10.199999999999999</v>
      </c>
      <c r="S13" s="19">
        <v>120</v>
      </c>
      <c r="T13" s="19"/>
      <c r="U13" s="18"/>
      <c r="V13" s="18">
        <f t="shared" si="7"/>
        <v>18.529411764705884</v>
      </c>
      <c r="W13" s="18">
        <f t="shared" si="8"/>
        <v>5.9803921568627452</v>
      </c>
      <c r="X13" s="18">
        <f>VLOOKUP(A:A,[1]TDSheet!$A:$Y,25,0)</f>
        <v>11.2</v>
      </c>
      <c r="Y13" s="18">
        <f>VLOOKUP(A:A,[1]TDSheet!$A:$Z,26,0)</f>
        <v>7</v>
      </c>
      <c r="Z13" s="18">
        <f>VLOOKUP(A:A,[1]TDSheet!$A:$AA,27,0)</f>
        <v>11</v>
      </c>
      <c r="AA13" s="18">
        <f>VLOOKUP(A:A,[1]TDSheet!$A:$R,18,0)</f>
        <v>7.8</v>
      </c>
      <c r="AB13" s="18"/>
      <c r="AC13" s="18">
        <f t="shared" si="9"/>
        <v>30</v>
      </c>
    </row>
    <row r="14" spans="1:29" ht="10.9" customHeight="1" x14ac:dyDescent="0.2">
      <c r="A14" s="9" t="s">
        <v>18</v>
      </c>
      <c r="B14" s="9" t="s">
        <v>16</v>
      </c>
      <c r="C14" s="9">
        <f>VLOOKUP(A:A,[1]TDSheet!$A:$C,3,0)</f>
        <v>4063</v>
      </c>
      <c r="D14" s="10">
        <v>145.471</v>
      </c>
      <c r="E14" s="10">
        <v>1260.6369999999999</v>
      </c>
      <c r="F14" s="10">
        <v>571.19799999999998</v>
      </c>
      <c r="G14" s="10">
        <v>824.08</v>
      </c>
      <c r="H14" s="5">
        <f>VLOOKUP(A:A,[1]TDSheet!$A:$H,8,0)</f>
        <v>1</v>
      </c>
      <c r="I14" s="5">
        <f>VLOOKUP(A:A,[1]TDSheet!$A:$I,9,0)</f>
        <v>60</v>
      </c>
      <c r="L14" s="18">
        <f>VLOOKUP(A:A,[2]TDSheet!$A:$B,2,0)</f>
        <v>581.5</v>
      </c>
      <c r="M14" s="18">
        <f t="shared" si="5"/>
        <v>-10.302000000000021</v>
      </c>
      <c r="N14" s="18"/>
      <c r="O14" s="18"/>
      <c r="P14" s="18"/>
      <c r="Q14" s="18">
        <f>VLOOKUP(A:A,[1]TDSheet!$A:$S,19,0)</f>
        <v>100</v>
      </c>
      <c r="R14" s="18">
        <f t="shared" si="6"/>
        <v>114.2396</v>
      </c>
      <c r="S14" s="19">
        <v>700</v>
      </c>
      <c r="T14" s="19"/>
      <c r="U14" s="18"/>
      <c r="V14" s="18">
        <f t="shared" si="7"/>
        <v>14.216436332059986</v>
      </c>
      <c r="W14" s="18">
        <f t="shared" si="8"/>
        <v>7.2136106919141882</v>
      </c>
      <c r="X14" s="18">
        <f>VLOOKUP(A:A,[1]TDSheet!$A:$Y,25,0)</f>
        <v>100.3278</v>
      </c>
      <c r="Y14" s="18">
        <f>VLOOKUP(A:A,[1]TDSheet!$A:$Z,26,0)</f>
        <v>96.980999999999995</v>
      </c>
      <c r="Z14" s="18">
        <f>VLOOKUP(A:A,[1]TDSheet!$A:$AA,27,0)</f>
        <v>131.26579999999998</v>
      </c>
      <c r="AA14" s="18">
        <f>VLOOKUP(A:A,[1]TDSheet!$A:$R,18,0)</f>
        <v>81.876400000000004</v>
      </c>
      <c r="AB14" s="18" t="str">
        <f>VLOOKUP(A:A,[1]TDSheet!$A:$AB,28,0)</f>
        <v>зв</v>
      </c>
      <c r="AC14" s="18">
        <f t="shared" si="9"/>
        <v>700</v>
      </c>
    </row>
    <row r="15" spans="1:29" ht="10.9" customHeight="1" x14ac:dyDescent="0.2">
      <c r="A15" s="21" t="s">
        <v>19</v>
      </c>
      <c r="B15" s="9" t="s">
        <v>16</v>
      </c>
      <c r="C15" s="9">
        <f>VLOOKUP(A:A,[1]TDSheet!$A:$C,3,0)</f>
        <v>4117</v>
      </c>
      <c r="D15" s="10">
        <v>23.951000000000001</v>
      </c>
      <c r="E15" s="10">
        <v>101.438</v>
      </c>
      <c r="F15" s="10">
        <v>17.407</v>
      </c>
      <c r="G15" s="10">
        <v>107.982</v>
      </c>
      <c r="H15" s="5">
        <f>VLOOKUP(A:A,[1]TDSheet!$A:$H,8,0)</f>
        <v>1</v>
      </c>
      <c r="I15" s="5">
        <f>VLOOKUP(A:A,[1]TDSheet!$A:$I,9,0)</f>
        <v>120</v>
      </c>
      <c r="L15" s="18">
        <f>VLOOKUP(A:A,[2]TDSheet!$A:$B,2,0)</f>
        <v>17.5</v>
      </c>
      <c r="M15" s="18">
        <f t="shared" si="5"/>
        <v>-9.2999999999999972E-2</v>
      </c>
      <c r="N15" s="18"/>
      <c r="O15" s="18"/>
      <c r="P15" s="18"/>
      <c r="Q15" s="18">
        <f>VLOOKUP(A:A,[1]TDSheet!$A:$S,19,0)</f>
        <v>0</v>
      </c>
      <c r="R15" s="18">
        <f t="shared" si="6"/>
        <v>3.4813999999999998</v>
      </c>
      <c r="S15" s="19"/>
      <c r="T15" s="19"/>
      <c r="U15" s="18"/>
      <c r="V15" s="18">
        <f t="shared" si="7"/>
        <v>31.016832308841273</v>
      </c>
      <c r="W15" s="18">
        <f t="shared" si="8"/>
        <v>31.016832308841273</v>
      </c>
      <c r="X15" s="18">
        <f>VLOOKUP(A:A,[1]TDSheet!$A:$Y,25,0)</f>
        <v>5.0541999999999998</v>
      </c>
      <c r="Y15" s="18">
        <f>VLOOKUP(A:A,[1]TDSheet!$A:$Z,26,0)</f>
        <v>3.0813999999999999</v>
      </c>
      <c r="Z15" s="18">
        <f>VLOOKUP(A:A,[1]TDSheet!$A:$AA,27,0)</f>
        <v>2.4818000000000002</v>
      </c>
      <c r="AA15" s="18">
        <f>VLOOKUP(A:A,[1]TDSheet!$A:$R,18,0)</f>
        <v>2.581</v>
      </c>
      <c r="AB15" s="18"/>
      <c r="AC15" s="18">
        <f t="shared" si="9"/>
        <v>0</v>
      </c>
    </row>
    <row r="16" spans="1:29" ht="10.9" customHeight="1" x14ac:dyDescent="0.2">
      <c r="A16" s="9" t="s">
        <v>20</v>
      </c>
      <c r="B16" s="9" t="s">
        <v>16</v>
      </c>
      <c r="C16" s="9">
        <f>VLOOKUP(A:A,[1]TDSheet!$A:$C,3,0)</f>
        <v>4574</v>
      </c>
      <c r="D16" s="10">
        <v>223.11500000000001</v>
      </c>
      <c r="E16" s="10">
        <v>49.304000000000002</v>
      </c>
      <c r="F16" s="10">
        <v>208.57300000000001</v>
      </c>
      <c r="G16" s="10">
        <v>60.210999999999999</v>
      </c>
      <c r="H16" s="5">
        <f>VLOOKUP(A:A,[1]TDSheet!$A:$H,8,0)</f>
        <v>1</v>
      </c>
      <c r="I16" s="5">
        <f>VLOOKUP(A:A,[1]TDSheet!$A:$I,9,0)</f>
        <v>60</v>
      </c>
      <c r="J16" s="5" t="str">
        <f>VLOOKUP(A:A,[1]TDSheet!$A:$J,10,0)</f>
        <v>в матрице</v>
      </c>
      <c r="L16" s="18">
        <f>VLOOKUP(A:A,[2]TDSheet!$A:$B,2,0)</f>
        <v>210.85</v>
      </c>
      <c r="M16" s="18">
        <f t="shared" si="5"/>
        <v>-2.2769999999999868</v>
      </c>
      <c r="N16" s="18"/>
      <c r="O16" s="18"/>
      <c r="P16" s="18"/>
      <c r="Q16" s="18">
        <f>VLOOKUP(A:A,[1]TDSheet!$A:$S,19,0)</f>
        <v>180</v>
      </c>
      <c r="R16" s="18">
        <f t="shared" si="6"/>
        <v>41.714600000000004</v>
      </c>
      <c r="S16" s="19">
        <v>350</v>
      </c>
      <c r="T16" s="19"/>
      <c r="U16" s="18"/>
      <c r="V16" s="18">
        <f t="shared" si="7"/>
        <v>14.148787235164665</v>
      </c>
      <c r="W16" s="18">
        <f t="shared" si="8"/>
        <v>1.443403508603702</v>
      </c>
      <c r="X16" s="18">
        <f>VLOOKUP(A:A,[1]TDSheet!$A:$Y,25,0)</f>
        <v>41.835999999999999</v>
      </c>
      <c r="Y16" s="18">
        <f>VLOOKUP(A:A,[1]TDSheet!$A:$Z,26,0)</f>
        <v>27.650799999999997</v>
      </c>
      <c r="Z16" s="18">
        <f>VLOOKUP(A:A,[1]TDSheet!$A:$AA,27,0)</f>
        <v>31.226999999999997</v>
      </c>
      <c r="AA16" s="18">
        <f>VLOOKUP(A:A,[1]TDSheet!$A:$R,18,0)</f>
        <v>32.321800000000003</v>
      </c>
      <c r="AB16" s="18"/>
      <c r="AC16" s="18">
        <f t="shared" si="9"/>
        <v>350</v>
      </c>
    </row>
    <row r="17" spans="1:29" ht="10.9" customHeight="1" x14ac:dyDescent="0.2">
      <c r="A17" s="9" t="s">
        <v>21</v>
      </c>
      <c r="B17" s="9" t="s">
        <v>16</v>
      </c>
      <c r="C17" s="9">
        <f>VLOOKUP(A:A,[1]TDSheet!$A:$C,3,0)</f>
        <v>4813</v>
      </c>
      <c r="D17" s="10">
        <v>323.93400000000003</v>
      </c>
      <c r="E17" s="10">
        <v>239.58199999999999</v>
      </c>
      <c r="F17" s="10">
        <v>344.48099999999999</v>
      </c>
      <c r="G17" s="10">
        <v>209.71299999999999</v>
      </c>
      <c r="H17" s="5">
        <f>VLOOKUP(A:A,[1]TDSheet!$A:$H,8,0)</f>
        <v>1</v>
      </c>
      <c r="I17" s="5">
        <f>VLOOKUP(A:A,[1]TDSheet!$A:$I,9,0)</f>
        <v>60</v>
      </c>
      <c r="J17" s="5" t="str">
        <f>VLOOKUP(A:A,[1]TDSheet!$A:$J,10,0)</f>
        <v>в матрице</v>
      </c>
      <c r="L17" s="18">
        <f>VLOOKUP(A:A,[2]TDSheet!$A:$B,2,0)</f>
        <v>349.2</v>
      </c>
      <c r="M17" s="18">
        <f t="shared" si="5"/>
        <v>-4.7189999999999941</v>
      </c>
      <c r="N17" s="18"/>
      <c r="O17" s="18"/>
      <c r="P17" s="18"/>
      <c r="Q17" s="18">
        <f>VLOOKUP(A:A,[1]TDSheet!$A:$S,19,0)</f>
        <v>200</v>
      </c>
      <c r="R17" s="18">
        <f t="shared" si="6"/>
        <v>68.896199999999993</v>
      </c>
      <c r="S17" s="19">
        <v>560</v>
      </c>
      <c r="T17" s="19"/>
      <c r="U17" s="18"/>
      <c r="V17" s="18">
        <f t="shared" si="7"/>
        <v>14.07498526769256</v>
      </c>
      <c r="W17" s="18">
        <f t="shared" si="8"/>
        <v>3.0438979218012028</v>
      </c>
      <c r="X17" s="18">
        <f>VLOOKUP(A:A,[1]TDSheet!$A:$Y,25,0)</f>
        <v>67.736800000000002</v>
      </c>
      <c r="Y17" s="18">
        <f>VLOOKUP(A:A,[1]TDSheet!$A:$Z,26,0)</f>
        <v>58.387800000000006</v>
      </c>
      <c r="Z17" s="18">
        <f>VLOOKUP(A:A,[1]TDSheet!$A:$AA,27,0)</f>
        <v>42.698599999999999</v>
      </c>
      <c r="AA17" s="18">
        <f>VLOOKUP(A:A,[1]TDSheet!$A:$R,18,0)</f>
        <v>59.059799999999996</v>
      </c>
      <c r="AB17" s="18"/>
      <c r="AC17" s="18">
        <f t="shared" si="9"/>
        <v>560</v>
      </c>
    </row>
    <row r="18" spans="1:29" ht="10.9" customHeight="1" x14ac:dyDescent="0.2">
      <c r="A18" s="21" t="s">
        <v>22</v>
      </c>
      <c r="B18" s="9" t="s">
        <v>14</v>
      </c>
      <c r="C18" s="9">
        <f>VLOOKUP(A:A,[1]TDSheet!$A:$C,3,0)</f>
        <v>4993</v>
      </c>
      <c r="D18" s="10">
        <v>75</v>
      </c>
      <c r="E18" s="10">
        <v>97</v>
      </c>
      <c r="F18" s="10">
        <v>44</v>
      </c>
      <c r="G18" s="10">
        <v>124</v>
      </c>
      <c r="H18" s="5">
        <f>VLOOKUP(A:A,[1]TDSheet!$A:$H,8,0)</f>
        <v>0.25</v>
      </c>
      <c r="I18" s="5">
        <f>VLOOKUP(A:A,[1]TDSheet!$A:$I,9,0)</f>
        <v>120</v>
      </c>
      <c r="J18" s="5" t="str">
        <f>VLOOKUP(A:A,[1]TDSheet!$A:$J,10,0)</f>
        <v>в матрице</v>
      </c>
      <c r="L18" s="18">
        <f>VLOOKUP(A:A,[2]TDSheet!$A:$B,2,0)</f>
        <v>53</v>
      </c>
      <c r="M18" s="18">
        <f t="shared" si="5"/>
        <v>-9</v>
      </c>
      <c r="N18" s="18"/>
      <c r="O18" s="18"/>
      <c r="P18" s="18"/>
      <c r="Q18" s="18">
        <f>VLOOKUP(A:A,[1]TDSheet!$A:$S,19,0)</f>
        <v>100</v>
      </c>
      <c r="R18" s="18">
        <f t="shared" si="6"/>
        <v>8.8000000000000007</v>
      </c>
      <c r="S18" s="19"/>
      <c r="T18" s="19"/>
      <c r="U18" s="18"/>
      <c r="V18" s="18">
        <f t="shared" si="7"/>
        <v>25.454545454545453</v>
      </c>
      <c r="W18" s="18">
        <f t="shared" si="8"/>
        <v>14.09090909090909</v>
      </c>
      <c r="X18" s="18">
        <f>VLOOKUP(A:A,[1]TDSheet!$A:$Y,25,0)</f>
        <v>6.6</v>
      </c>
      <c r="Y18" s="18">
        <f>VLOOKUP(A:A,[1]TDSheet!$A:$Z,26,0)</f>
        <v>10.6</v>
      </c>
      <c r="Z18" s="18">
        <f>VLOOKUP(A:A,[1]TDSheet!$A:$AA,27,0)</f>
        <v>14</v>
      </c>
      <c r="AA18" s="18">
        <f>VLOOKUP(A:A,[1]TDSheet!$A:$R,18,0)</f>
        <v>11.6</v>
      </c>
      <c r="AB18" s="18"/>
      <c r="AC18" s="18">
        <f t="shared" si="9"/>
        <v>0</v>
      </c>
    </row>
    <row r="19" spans="1:29" ht="10.9" customHeight="1" x14ac:dyDescent="0.2">
      <c r="A19" s="9" t="s">
        <v>23</v>
      </c>
      <c r="B19" s="9" t="s">
        <v>16</v>
      </c>
      <c r="C19" s="9">
        <f>VLOOKUP(A:A,[1]TDSheet!$A:$C,3,0)</f>
        <v>5452</v>
      </c>
      <c r="D19" s="10">
        <v>81.013999999999996</v>
      </c>
      <c r="E19" s="10">
        <v>118.488</v>
      </c>
      <c r="F19" s="10">
        <v>84.954999999999998</v>
      </c>
      <c r="G19" s="10">
        <v>114.547</v>
      </c>
      <c r="H19" s="5">
        <f>VLOOKUP(A:A,[1]TDSheet!$A:$H,8,0)</f>
        <v>1</v>
      </c>
      <c r="I19" s="5">
        <f>VLOOKUP(A:A,[1]TDSheet!$A:$I,9,0)</f>
        <v>60</v>
      </c>
      <c r="J19" s="5" t="str">
        <f>VLOOKUP(A:A,[1]TDSheet!$A:$J,10,0)</f>
        <v>в матрице</v>
      </c>
      <c r="L19" s="18">
        <f>VLOOKUP(A:A,[2]TDSheet!$A:$B,2,0)</f>
        <v>83.4</v>
      </c>
      <c r="M19" s="18">
        <f t="shared" si="5"/>
        <v>1.5549999999999926</v>
      </c>
      <c r="N19" s="18"/>
      <c r="O19" s="18"/>
      <c r="P19" s="18"/>
      <c r="Q19" s="18">
        <f>VLOOKUP(A:A,[1]TDSheet!$A:$S,19,0)</f>
        <v>100</v>
      </c>
      <c r="R19" s="18">
        <f t="shared" si="6"/>
        <v>16.991</v>
      </c>
      <c r="S19" s="19">
        <v>20</v>
      </c>
      <c r="T19" s="19"/>
      <c r="U19" s="18"/>
      <c r="V19" s="18">
        <f t="shared" si="7"/>
        <v>13.804190453769642</v>
      </c>
      <c r="W19" s="18">
        <f t="shared" si="8"/>
        <v>6.7416279206638805</v>
      </c>
      <c r="X19" s="18">
        <f>VLOOKUP(A:A,[1]TDSheet!$A:$Y,25,0)</f>
        <v>12.536799999999999</v>
      </c>
      <c r="Y19" s="18">
        <f>VLOOKUP(A:A,[1]TDSheet!$A:$Z,26,0)</f>
        <v>14.352399999999999</v>
      </c>
      <c r="Z19" s="18">
        <f>VLOOKUP(A:A,[1]TDSheet!$A:$AA,27,0)</f>
        <v>17.0852</v>
      </c>
      <c r="AA19" s="18">
        <f>VLOOKUP(A:A,[1]TDSheet!$A:$R,18,0)</f>
        <v>7.2418000000000005</v>
      </c>
      <c r="AB19" s="18"/>
      <c r="AC19" s="18">
        <f t="shared" si="9"/>
        <v>20</v>
      </c>
    </row>
    <row r="20" spans="1:29" ht="10.9" customHeight="1" x14ac:dyDescent="0.2">
      <c r="A20" s="9" t="s">
        <v>24</v>
      </c>
      <c r="B20" s="9" t="s">
        <v>14</v>
      </c>
      <c r="C20" s="9">
        <f>VLOOKUP(A:A,[1]TDSheet!$A:$C,3,0)</f>
        <v>5483</v>
      </c>
      <c r="D20" s="10">
        <v>51</v>
      </c>
      <c r="E20" s="10">
        <v>202</v>
      </c>
      <c r="F20" s="10">
        <v>111</v>
      </c>
      <c r="G20" s="10">
        <v>141</v>
      </c>
      <c r="H20" s="5">
        <f>VLOOKUP(A:A,[1]TDSheet!$A:$H,8,0)</f>
        <v>0.25</v>
      </c>
      <c r="I20" s="5">
        <f>VLOOKUP(A:A,[1]TDSheet!$A:$I,9,0)</f>
        <v>120</v>
      </c>
      <c r="J20" s="5" t="str">
        <f>VLOOKUP(A:A,[1]TDSheet!$A:$J,10,0)</f>
        <v>в матрице</v>
      </c>
      <c r="L20" s="18">
        <f>VLOOKUP(A:A,[2]TDSheet!$A:$B,2,0)</f>
        <v>116</v>
      </c>
      <c r="M20" s="18">
        <f t="shared" si="5"/>
        <v>-5</v>
      </c>
      <c r="N20" s="18"/>
      <c r="O20" s="18"/>
      <c r="P20" s="18"/>
      <c r="Q20" s="18">
        <f>VLOOKUP(A:A,[1]TDSheet!$A:$S,19,0)</f>
        <v>100</v>
      </c>
      <c r="R20" s="18">
        <f t="shared" si="6"/>
        <v>22.2</v>
      </c>
      <c r="S20" s="19">
        <v>70</v>
      </c>
      <c r="T20" s="19"/>
      <c r="U20" s="18"/>
      <c r="V20" s="18">
        <f t="shared" si="7"/>
        <v>14.009009009009009</v>
      </c>
      <c r="W20" s="18">
        <f t="shared" si="8"/>
        <v>6.3513513513513518</v>
      </c>
      <c r="X20" s="18">
        <f>VLOOKUP(A:A,[1]TDSheet!$A:$Y,25,0)</f>
        <v>18.600000000000001</v>
      </c>
      <c r="Y20" s="18">
        <f>VLOOKUP(A:A,[1]TDSheet!$A:$Z,26,0)</f>
        <v>17.600000000000001</v>
      </c>
      <c r="Z20" s="18">
        <f>VLOOKUP(A:A,[1]TDSheet!$A:$AA,27,0)</f>
        <v>23.4</v>
      </c>
      <c r="AA20" s="18">
        <f>VLOOKUP(A:A,[1]TDSheet!$A:$R,18,0)</f>
        <v>16.2</v>
      </c>
      <c r="AB20" s="18"/>
      <c r="AC20" s="18">
        <f t="shared" si="9"/>
        <v>17.5</v>
      </c>
    </row>
    <row r="21" spans="1:29" ht="10.9" customHeight="1" x14ac:dyDescent="0.2">
      <c r="A21" s="9" t="s">
        <v>25</v>
      </c>
      <c r="B21" s="9" t="s">
        <v>14</v>
      </c>
      <c r="C21" s="9">
        <f>VLOOKUP(A:A,[1]TDSheet!$A:$C,3,0)</f>
        <v>5495</v>
      </c>
      <c r="D21" s="10">
        <v>-3</v>
      </c>
      <c r="E21" s="10">
        <v>396</v>
      </c>
      <c r="F21" s="10">
        <v>126</v>
      </c>
      <c r="G21" s="10">
        <v>267</v>
      </c>
      <c r="H21" s="5">
        <f>VLOOKUP(A:A,[1]TDSheet!$A:$H,8,0)</f>
        <v>0.4</v>
      </c>
      <c r="I21" s="5">
        <f>VLOOKUP(A:A,[1]TDSheet!$A:$I,9,0)</f>
        <v>60</v>
      </c>
      <c r="J21" s="5" t="str">
        <f>VLOOKUP(A:A,[1]TDSheet!$A:$J,10,0)</f>
        <v>в матрице</v>
      </c>
      <c r="L21" s="18">
        <f>VLOOKUP(A:A,[2]TDSheet!$A:$B,2,0)</f>
        <v>136</v>
      </c>
      <c r="M21" s="18">
        <f t="shared" si="5"/>
        <v>-10</v>
      </c>
      <c r="N21" s="18"/>
      <c r="O21" s="18"/>
      <c r="P21" s="18"/>
      <c r="Q21" s="18">
        <f>VLOOKUP(A:A,[1]TDSheet!$A:$S,19,0)</f>
        <v>200</v>
      </c>
      <c r="R21" s="18">
        <f t="shared" si="6"/>
        <v>25.2</v>
      </c>
      <c r="S21" s="19"/>
      <c r="T21" s="19"/>
      <c r="U21" s="18"/>
      <c r="V21" s="18">
        <f t="shared" si="7"/>
        <v>18.531746031746032</v>
      </c>
      <c r="W21" s="18">
        <f t="shared" si="8"/>
        <v>10.595238095238095</v>
      </c>
      <c r="X21" s="18">
        <f>VLOOKUP(A:A,[1]TDSheet!$A:$Y,25,0)</f>
        <v>21.8</v>
      </c>
      <c r="Y21" s="18">
        <f>VLOOKUP(A:A,[1]TDSheet!$A:$Z,26,0)</f>
        <v>9.1999999999999993</v>
      </c>
      <c r="Z21" s="18">
        <f>VLOOKUP(A:A,[1]TDSheet!$A:$AA,27,0)</f>
        <v>27.8</v>
      </c>
      <c r="AA21" s="18">
        <f>VLOOKUP(A:A,[1]TDSheet!$A:$R,18,0)</f>
        <v>23.4</v>
      </c>
      <c r="AB21" s="18"/>
      <c r="AC21" s="18">
        <f t="shared" si="9"/>
        <v>0</v>
      </c>
    </row>
    <row r="22" spans="1:29" ht="10.9" customHeight="1" x14ac:dyDescent="0.2">
      <c r="A22" s="9" t="s">
        <v>26</v>
      </c>
      <c r="B22" s="9" t="s">
        <v>16</v>
      </c>
      <c r="C22" s="9">
        <f>VLOOKUP(A:A,[1]TDSheet!$A:$C,3,0)</f>
        <v>5544</v>
      </c>
      <c r="D22" s="10">
        <v>264.39499999999998</v>
      </c>
      <c r="E22" s="10">
        <v>256.40800000000002</v>
      </c>
      <c r="F22" s="10">
        <v>304.89400000000001</v>
      </c>
      <c r="G22" s="10">
        <v>215.06399999999999</v>
      </c>
      <c r="H22" s="5">
        <f>VLOOKUP(A:A,[1]TDSheet!$A:$H,8,0)</f>
        <v>1</v>
      </c>
      <c r="I22" s="5">
        <f>VLOOKUP(A:A,[1]TDSheet!$A:$I,9,0)</f>
        <v>45</v>
      </c>
      <c r="J22" s="5" t="str">
        <f>VLOOKUP(A:A,[1]TDSheet!$A:$J,10,0)</f>
        <v>в матрице</v>
      </c>
      <c r="L22" s="18">
        <f>VLOOKUP(A:A,[2]TDSheet!$A:$B,2,0)</f>
        <v>313.91000000000003</v>
      </c>
      <c r="M22" s="18">
        <f t="shared" si="5"/>
        <v>-9.0160000000000196</v>
      </c>
      <c r="N22" s="18"/>
      <c r="O22" s="18"/>
      <c r="P22" s="18"/>
      <c r="Q22" s="18">
        <f>VLOOKUP(A:A,[1]TDSheet!$A:$S,19,0)</f>
        <v>40</v>
      </c>
      <c r="R22" s="18">
        <f t="shared" si="6"/>
        <v>60.9788</v>
      </c>
      <c r="S22" s="19">
        <v>600</v>
      </c>
      <c r="T22" s="19"/>
      <c r="U22" s="18"/>
      <c r="V22" s="18">
        <f t="shared" si="7"/>
        <v>14.022315952429368</v>
      </c>
      <c r="W22" s="18">
        <f t="shared" si="8"/>
        <v>3.5268650744193062</v>
      </c>
      <c r="X22" s="18">
        <f>VLOOKUP(A:A,[1]TDSheet!$A:$Y,25,0)</f>
        <v>50.519400000000005</v>
      </c>
      <c r="Y22" s="18">
        <f>VLOOKUP(A:A,[1]TDSheet!$A:$Z,26,0)</f>
        <v>51.383799999999994</v>
      </c>
      <c r="Z22" s="18">
        <f>VLOOKUP(A:A,[1]TDSheet!$A:$AA,27,0)</f>
        <v>50.156999999999996</v>
      </c>
      <c r="AA22" s="18">
        <f>VLOOKUP(A:A,[1]TDSheet!$A:$R,18,0)</f>
        <v>39.086200000000005</v>
      </c>
      <c r="AB22" s="18"/>
      <c r="AC22" s="18">
        <f t="shared" si="9"/>
        <v>600</v>
      </c>
    </row>
    <row r="23" spans="1:29" ht="10.9" customHeight="1" x14ac:dyDescent="0.2">
      <c r="A23" s="21" t="s">
        <v>27</v>
      </c>
      <c r="B23" s="9" t="s">
        <v>16</v>
      </c>
      <c r="C23" s="9">
        <f>VLOOKUP(A:A,[1]TDSheet!$A:$C,3,0)</f>
        <v>5708</v>
      </c>
      <c r="D23" s="10">
        <v>43.398000000000003</v>
      </c>
      <c r="E23" s="10">
        <v>47.222000000000001</v>
      </c>
      <c r="F23" s="10">
        <v>19.568000000000001</v>
      </c>
      <c r="G23" s="10">
        <v>70.540000000000006</v>
      </c>
      <c r="H23" s="5">
        <f>VLOOKUP(A:A,[1]TDSheet!$A:$H,8,0)</f>
        <v>1</v>
      </c>
      <c r="I23" s="5">
        <f>VLOOKUP(A:A,[1]TDSheet!$A:$I,9,0)</f>
        <v>0</v>
      </c>
      <c r="J23" s="5" t="str">
        <f>VLOOKUP(A:A,[1]TDSheet!$A:$J,10,0)</f>
        <v>в матрице</v>
      </c>
      <c r="L23" s="18">
        <f>VLOOKUP(A:A,[2]TDSheet!$A:$B,2,0)</f>
        <v>20.100000000000001</v>
      </c>
      <c r="M23" s="18">
        <f t="shared" si="5"/>
        <v>-0.53200000000000003</v>
      </c>
      <c r="N23" s="18"/>
      <c r="O23" s="18"/>
      <c r="P23" s="18"/>
      <c r="Q23" s="18">
        <f>VLOOKUP(A:A,[1]TDSheet!$A:$S,19,0)</f>
        <v>50</v>
      </c>
      <c r="R23" s="18">
        <f t="shared" si="6"/>
        <v>3.9136000000000002</v>
      </c>
      <c r="S23" s="19"/>
      <c r="T23" s="19"/>
      <c r="U23" s="18"/>
      <c r="V23" s="18">
        <f t="shared" si="7"/>
        <v>30.80028618152085</v>
      </c>
      <c r="W23" s="18">
        <f t="shared" si="8"/>
        <v>18.024325429272281</v>
      </c>
      <c r="X23" s="18">
        <f>VLOOKUP(A:A,[1]TDSheet!$A:$Y,25,0)</f>
        <v>5.4109999999999996</v>
      </c>
      <c r="Y23" s="18">
        <f>VLOOKUP(A:A,[1]TDSheet!$A:$Z,26,0)</f>
        <v>4.4054000000000002</v>
      </c>
      <c r="Z23" s="18">
        <f>VLOOKUP(A:A,[1]TDSheet!$A:$AA,27,0)</f>
        <v>4.2176</v>
      </c>
      <c r="AA23" s="18">
        <f>VLOOKUP(A:A,[1]TDSheet!$A:$R,18,0)</f>
        <v>2.1108000000000002</v>
      </c>
      <c r="AB23" s="18"/>
      <c r="AC23" s="18">
        <f t="shared" si="9"/>
        <v>0</v>
      </c>
    </row>
    <row r="24" spans="1:29" ht="10.9" customHeight="1" x14ac:dyDescent="0.2">
      <c r="A24" s="21" t="s">
        <v>28</v>
      </c>
      <c r="B24" s="9" t="s">
        <v>14</v>
      </c>
      <c r="C24" s="9">
        <f>VLOOKUP(A:A,[1]TDSheet!$A:$C,3,0)</f>
        <v>5819</v>
      </c>
      <c r="D24" s="10">
        <v>67</v>
      </c>
      <c r="E24" s="10">
        <v>200</v>
      </c>
      <c r="F24" s="10">
        <v>54</v>
      </c>
      <c r="G24" s="10">
        <v>213</v>
      </c>
      <c r="H24" s="5">
        <f>VLOOKUP(A:A,[1]TDSheet!$A:$H,8,0)</f>
        <v>0.4</v>
      </c>
      <c r="I24" s="5">
        <f>VLOOKUP(A:A,[1]TDSheet!$A:$I,9,0)</f>
        <v>45</v>
      </c>
      <c r="J24" s="5" t="str">
        <f>VLOOKUP(A:A,[1]TDSheet!$A:$J,10,0)</f>
        <v>в матрице</v>
      </c>
      <c r="L24" s="18">
        <f>VLOOKUP(A:A,[2]TDSheet!$A:$B,2,0)</f>
        <v>63</v>
      </c>
      <c r="M24" s="18">
        <f t="shared" si="5"/>
        <v>-9</v>
      </c>
      <c r="N24" s="18"/>
      <c r="O24" s="18"/>
      <c r="P24" s="18"/>
      <c r="Q24" s="18">
        <f>VLOOKUP(A:A,[1]TDSheet!$A:$S,19,0)</f>
        <v>100</v>
      </c>
      <c r="R24" s="18">
        <f t="shared" si="6"/>
        <v>10.8</v>
      </c>
      <c r="S24" s="19"/>
      <c r="T24" s="19"/>
      <c r="U24" s="18"/>
      <c r="V24" s="18">
        <f t="shared" si="7"/>
        <v>28.981481481481481</v>
      </c>
      <c r="W24" s="18">
        <f t="shared" si="8"/>
        <v>19.722222222222221</v>
      </c>
      <c r="X24" s="18">
        <f>VLOOKUP(A:A,[1]TDSheet!$A:$Y,25,0)</f>
        <v>7.2</v>
      </c>
      <c r="Y24" s="18">
        <f>VLOOKUP(A:A,[1]TDSheet!$A:$Z,26,0)</f>
        <v>16.600000000000001</v>
      </c>
      <c r="Z24" s="18">
        <f>VLOOKUP(A:A,[1]TDSheet!$A:$AA,27,0)</f>
        <v>20</v>
      </c>
      <c r="AA24" s="18">
        <f>VLOOKUP(A:A,[1]TDSheet!$A:$R,18,0)</f>
        <v>15.2</v>
      </c>
      <c r="AB24" s="18"/>
      <c r="AC24" s="18">
        <f t="shared" si="9"/>
        <v>0</v>
      </c>
    </row>
    <row r="25" spans="1:29" ht="10.9" customHeight="1" x14ac:dyDescent="0.2">
      <c r="A25" s="9" t="s">
        <v>29</v>
      </c>
      <c r="B25" s="9" t="s">
        <v>16</v>
      </c>
      <c r="C25" s="9">
        <f>VLOOKUP(A:A,[1]TDSheet!$A:$C,3,0)</f>
        <v>5851</v>
      </c>
      <c r="D25" s="10">
        <v>225.08199999999999</v>
      </c>
      <c r="E25" s="10">
        <v>2.7160000000000002</v>
      </c>
      <c r="F25" s="10">
        <v>223.078</v>
      </c>
      <c r="G25" s="10">
        <v>1.1379999999999999</v>
      </c>
      <c r="H25" s="5">
        <f>VLOOKUP(A:A,[1]TDSheet!$A:$H,8,0)</f>
        <v>1</v>
      </c>
      <c r="I25" s="5">
        <f>VLOOKUP(A:A,[1]TDSheet!$A:$I,9,0)</f>
        <v>60</v>
      </c>
      <c r="J25" s="5" t="str">
        <f>VLOOKUP(A:A,[1]TDSheet!$A:$J,10,0)</f>
        <v>в матрице</v>
      </c>
      <c r="L25" s="18">
        <f>VLOOKUP(A:A,[2]TDSheet!$A:$B,2,0)</f>
        <v>265.7</v>
      </c>
      <c r="M25" s="18">
        <f t="shared" si="5"/>
        <v>-42.621999999999986</v>
      </c>
      <c r="N25" s="18"/>
      <c r="O25" s="18"/>
      <c r="P25" s="18"/>
      <c r="Q25" s="18">
        <f>VLOOKUP(A:A,[1]TDSheet!$A:$S,19,0)</f>
        <v>420</v>
      </c>
      <c r="R25" s="18">
        <f t="shared" si="6"/>
        <v>44.615600000000001</v>
      </c>
      <c r="S25" s="19">
        <v>200</v>
      </c>
      <c r="T25" s="19"/>
      <c r="U25" s="18"/>
      <c r="V25" s="18">
        <f t="shared" si="7"/>
        <v>13.921991411075945</v>
      </c>
      <c r="W25" s="18">
        <f t="shared" si="8"/>
        <v>2.5506773415576611E-2</v>
      </c>
      <c r="X25" s="18">
        <f>VLOOKUP(A:A,[1]TDSheet!$A:$Y,25,0)</f>
        <v>53.187199999999997</v>
      </c>
      <c r="Y25" s="18">
        <f>VLOOKUP(A:A,[1]TDSheet!$A:$Z,26,0)</f>
        <v>53.370600000000003</v>
      </c>
      <c r="Z25" s="18">
        <f>VLOOKUP(A:A,[1]TDSheet!$A:$AA,27,0)</f>
        <v>37.865400000000001</v>
      </c>
      <c r="AA25" s="18">
        <f>VLOOKUP(A:A,[1]TDSheet!$A:$R,18,0)</f>
        <v>46.076799999999999</v>
      </c>
      <c r="AB25" s="18"/>
      <c r="AC25" s="18">
        <f t="shared" si="9"/>
        <v>200</v>
      </c>
    </row>
    <row r="26" spans="1:29" ht="10.9" customHeight="1" x14ac:dyDescent="0.2">
      <c r="A26" s="9" t="s">
        <v>30</v>
      </c>
      <c r="B26" s="9" t="s">
        <v>14</v>
      </c>
      <c r="C26" s="9">
        <f>VLOOKUP(A:A,[1]TDSheet!$A:$C,3,0)</f>
        <v>5931</v>
      </c>
      <c r="D26" s="10">
        <v>291</v>
      </c>
      <c r="E26" s="10">
        <v>88</v>
      </c>
      <c r="F26" s="10">
        <v>403</v>
      </c>
      <c r="G26" s="10">
        <v>-24</v>
      </c>
      <c r="H26" s="5">
        <f>VLOOKUP(A:A,[1]TDSheet!$A:$H,8,0)</f>
        <v>0.22</v>
      </c>
      <c r="I26" s="5">
        <f>VLOOKUP(A:A,[1]TDSheet!$A:$I,9,0)</f>
        <v>120</v>
      </c>
      <c r="J26" s="5" t="str">
        <f>VLOOKUP(A:A,[1]TDSheet!$A:$J,10,0)</f>
        <v>в матрице</v>
      </c>
      <c r="L26" s="18">
        <f>VLOOKUP(A:A,[2]TDSheet!$A:$B,2,0)</f>
        <v>535</v>
      </c>
      <c r="M26" s="18">
        <f t="shared" si="5"/>
        <v>-132</v>
      </c>
      <c r="N26" s="18"/>
      <c r="O26" s="18"/>
      <c r="P26" s="18"/>
      <c r="Q26" s="18">
        <f>VLOOKUP(A:A,[1]TDSheet!$A:$S,19,0)</f>
        <v>150</v>
      </c>
      <c r="R26" s="18">
        <f t="shared" si="6"/>
        <v>80.599999999999994</v>
      </c>
      <c r="S26" s="19">
        <v>1000</v>
      </c>
      <c r="T26" s="19"/>
      <c r="U26" s="18"/>
      <c r="V26" s="18">
        <f t="shared" si="7"/>
        <v>13.970223325062035</v>
      </c>
      <c r="W26" s="18">
        <f t="shared" si="8"/>
        <v>-0.29776674937965264</v>
      </c>
      <c r="X26" s="18">
        <f>VLOOKUP(A:A,[1]TDSheet!$A:$Y,25,0)</f>
        <v>27.2</v>
      </c>
      <c r="Y26" s="18">
        <f>VLOOKUP(A:A,[1]TDSheet!$A:$Z,26,0)</f>
        <v>41</v>
      </c>
      <c r="Z26" s="18">
        <f>VLOOKUP(A:A,[1]TDSheet!$A:$AA,27,0)</f>
        <v>40.6</v>
      </c>
      <c r="AA26" s="18">
        <f>VLOOKUP(A:A,[1]TDSheet!$A:$R,18,0)</f>
        <v>37.799999999999997</v>
      </c>
      <c r="AB26" s="18"/>
      <c r="AC26" s="18">
        <f t="shared" si="9"/>
        <v>220</v>
      </c>
    </row>
    <row r="27" spans="1:29" ht="10.9" customHeight="1" x14ac:dyDescent="0.2">
      <c r="A27" s="21" t="s">
        <v>31</v>
      </c>
      <c r="B27" s="9" t="s">
        <v>14</v>
      </c>
      <c r="C27" s="9">
        <f>VLOOKUP(A:A,[1]TDSheet!$A:$C,3,0)</f>
        <v>6208</v>
      </c>
      <c r="D27" s="10">
        <v>151</v>
      </c>
      <c r="E27" s="10"/>
      <c r="F27" s="10">
        <v>21</v>
      </c>
      <c r="G27" s="10">
        <v>129</v>
      </c>
      <c r="H27" s="5">
        <f>VLOOKUP(A:A,[1]TDSheet!$A:$H,8,0)</f>
        <v>0.15</v>
      </c>
      <c r="I27" s="5">
        <f>VLOOKUP(A:A,[1]TDSheet!$A:$I,9,0)</f>
        <v>0</v>
      </c>
      <c r="J27" s="5" t="str">
        <f>VLOOKUP(A:A,[1]TDSheet!$A:$J,10,0)</f>
        <v>в матрице</v>
      </c>
      <c r="L27" s="18">
        <f>VLOOKUP(A:A,[2]TDSheet!$A:$B,2,0)</f>
        <v>22</v>
      </c>
      <c r="M27" s="18">
        <f t="shared" si="5"/>
        <v>-1</v>
      </c>
      <c r="N27" s="18"/>
      <c r="O27" s="18"/>
      <c r="P27" s="18"/>
      <c r="Q27" s="18">
        <f>VLOOKUP(A:A,[1]TDSheet!$A:$S,19,0)</f>
        <v>0</v>
      </c>
      <c r="R27" s="18">
        <f t="shared" si="6"/>
        <v>4.2</v>
      </c>
      <c r="S27" s="19"/>
      <c r="T27" s="19"/>
      <c r="U27" s="18"/>
      <c r="V27" s="18">
        <f t="shared" si="7"/>
        <v>30.714285714285712</v>
      </c>
      <c r="W27" s="18">
        <f t="shared" si="8"/>
        <v>30.714285714285712</v>
      </c>
      <c r="X27" s="18">
        <f>VLOOKUP(A:A,[1]TDSheet!$A:$Y,25,0)</f>
        <v>4.4000000000000004</v>
      </c>
      <c r="Y27" s="18">
        <f>VLOOKUP(A:A,[1]TDSheet!$A:$Z,26,0)</f>
        <v>5.4</v>
      </c>
      <c r="Z27" s="18">
        <f>VLOOKUP(A:A,[1]TDSheet!$A:$AA,27,0)</f>
        <v>8.1999999999999993</v>
      </c>
      <c r="AA27" s="18">
        <f>VLOOKUP(A:A,[1]TDSheet!$A:$R,18,0)</f>
        <v>5.2</v>
      </c>
      <c r="AB27" s="18"/>
      <c r="AC27" s="18">
        <f t="shared" si="9"/>
        <v>0</v>
      </c>
    </row>
    <row r="28" spans="1:29" ht="10.9" customHeight="1" x14ac:dyDescent="0.2">
      <c r="A28" s="9" t="s">
        <v>32</v>
      </c>
      <c r="B28" s="9" t="s">
        <v>16</v>
      </c>
      <c r="C28" s="9">
        <f>VLOOKUP(A:A,[1]TDSheet!$A:$C,3,0)</f>
        <v>6220</v>
      </c>
      <c r="D28" s="10">
        <v>2.6640000000000001</v>
      </c>
      <c r="E28" s="10">
        <v>391.25200000000001</v>
      </c>
      <c r="F28" s="10">
        <v>148.03200000000001</v>
      </c>
      <c r="G28" s="10">
        <v>242.00700000000001</v>
      </c>
      <c r="H28" s="5">
        <f>VLOOKUP(A:A,[1]TDSheet!$A:$H,8,0)</f>
        <v>1</v>
      </c>
      <c r="I28" s="5">
        <f>VLOOKUP(A:A,[1]TDSheet!$A:$I,9,0)</f>
        <v>60</v>
      </c>
      <c r="J28" s="5" t="str">
        <f>VLOOKUP(A:A,[1]TDSheet!$A:$J,10,0)</f>
        <v>в матрице</v>
      </c>
      <c r="L28" s="18">
        <f>VLOOKUP(A:A,[2]TDSheet!$A:$B,2,0)</f>
        <v>175.15</v>
      </c>
      <c r="M28" s="18">
        <f t="shared" si="5"/>
        <v>-27.117999999999995</v>
      </c>
      <c r="N28" s="18"/>
      <c r="O28" s="18"/>
      <c r="P28" s="18"/>
      <c r="Q28" s="18">
        <f>VLOOKUP(A:A,[1]TDSheet!$A:$S,19,0)</f>
        <v>200</v>
      </c>
      <c r="R28" s="18">
        <f t="shared" si="6"/>
        <v>29.606400000000001</v>
      </c>
      <c r="S28" s="19"/>
      <c r="T28" s="19"/>
      <c r="U28" s="18"/>
      <c r="V28" s="18">
        <f t="shared" si="7"/>
        <v>14.929440931690445</v>
      </c>
      <c r="W28" s="18">
        <f t="shared" si="8"/>
        <v>8.1741447795071327</v>
      </c>
      <c r="X28" s="18">
        <f>VLOOKUP(A:A,[1]TDSheet!$A:$Y,25,0)</f>
        <v>28.644600000000004</v>
      </c>
      <c r="Y28" s="18">
        <f>VLOOKUP(A:A,[1]TDSheet!$A:$Z,26,0)</f>
        <v>18.7226</v>
      </c>
      <c r="Z28" s="18">
        <f>VLOOKUP(A:A,[1]TDSheet!$A:$AA,27,0)</f>
        <v>38.290199999999999</v>
      </c>
      <c r="AA28" s="18">
        <f>VLOOKUP(A:A,[1]TDSheet!$A:$R,18,0)</f>
        <v>15.874000000000001</v>
      </c>
      <c r="AB28" s="18"/>
      <c r="AC28" s="18">
        <f t="shared" si="9"/>
        <v>0</v>
      </c>
    </row>
    <row r="29" spans="1:29" ht="10.9" customHeight="1" x14ac:dyDescent="0.2">
      <c r="A29" s="9" t="s">
        <v>33</v>
      </c>
      <c r="B29" s="9" t="s">
        <v>14</v>
      </c>
      <c r="C29" s="9">
        <f>VLOOKUP(A:A,[1]TDSheet!$A:$C,3,0)</f>
        <v>6221</v>
      </c>
      <c r="D29" s="10">
        <v>222</v>
      </c>
      <c r="E29" s="10">
        <v>403</v>
      </c>
      <c r="F29" s="10">
        <v>269</v>
      </c>
      <c r="G29" s="10">
        <v>350</v>
      </c>
      <c r="H29" s="5">
        <f>VLOOKUP(A:A,[1]TDSheet!$A:$H,8,0)</f>
        <v>0.09</v>
      </c>
      <c r="I29" s="5">
        <f>VLOOKUP(A:A,[1]TDSheet!$A:$I,9,0)</f>
        <v>60</v>
      </c>
      <c r="J29" s="5" t="str">
        <f>VLOOKUP(A:A,[1]TDSheet!$A:$J,10,0)</f>
        <v>в матрице</v>
      </c>
      <c r="L29" s="18">
        <f>VLOOKUP(A:A,[2]TDSheet!$A:$B,2,0)</f>
        <v>301</v>
      </c>
      <c r="M29" s="18">
        <f t="shared" si="5"/>
        <v>-32</v>
      </c>
      <c r="N29" s="18"/>
      <c r="O29" s="18"/>
      <c r="P29" s="18"/>
      <c r="Q29" s="18">
        <f>VLOOKUP(A:A,[1]TDSheet!$A:$S,19,0)</f>
        <v>0</v>
      </c>
      <c r="R29" s="18">
        <f t="shared" si="6"/>
        <v>53.8</v>
      </c>
      <c r="S29" s="19">
        <v>400</v>
      </c>
      <c r="T29" s="19"/>
      <c r="U29" s="18"/>
      <c r="V29" s="18">
        <f t="shared" si="7"/>
        <v>13.940520446096656</v>
      </c>
      <c r="W29" s="18">
        <f t="shared" si="8"/>
        <v>6.5055762081784394</v>
      </c>
      <c r="X29" s="18">
        <f>VLOOKUP(A:A,[1]TDSheet!$A:$Y,25,0)</f>
        <v>35.200000000000003</v>
      </c>
      <c r="Y29" s="18">
        <f>VLOOKUP(A:A,[1]TDSheet!$A:$Z,26,0)</f>
        <v>32.200000000000003</v>
      </c>
      <c r="Z29" s="18">
        <f>VLOOKUP(A:A,[1]TDSheet!$A:$AA,27,0)</f>
        <v>55.2</v>
      </c>
      <c r="AA29" s="18">
        <f>VLOOKUP(A:A,[1]TDSheet!$A:$R,18,0)</f>
        <v>30.6</v>
      </c>
      <c r="AB29" s="18" t="str">
        <f>VLOOKUP(A:A,[1]TDSheet!$A:$AB,28,0)</f>
        <v>зв</v>
      </c>
      <c r="AC29" s="18">
        <f t="shared" si="9"/>
        <v>36</v>
      </c>
    </row>
    <row r="30" spans="1:29" ht="10.9" customHeight="1" x14ac:dyDescent="0.2">
      <c r="A30" s="9" t="s">
        <v>34</v>
      </c>
      <c r="B30" s="9" t="s">
        <v>14</v>
      </c>
      <c r="C30" s="9">
        <f>VLOOKUP(A:A,[1]TDSheet!$A:$C,3,0)</f>
        <v>6228</v>
      </c>
      <c r="D30" s="10">
        <v>351</v>
      </c>
      <c r="E30" s="10">
        <v>3</v>
      </c>
      <c r="F30" s="10">
        <v>100</v>
      </c>
      <c r="G30" s="10">
        <v>243</v>
      </c>
      <c r="H30" s="5">
        <f>VLOOKUP(A:A,[1]TDSheet!$A:$H,8,0)</f>
        <v>0.09</v>
      </c>
      <c r="I30" s="5">
        <f>VLOOKUP(A:A,[1]TDSheet!$A:$I,9,0)</f>
        <v>45</v>
      </c>
      <c r="J30" s="5" t="str">
        <f>VLOOKUP(A:A,[1]TDSheet!$A:$J,10,0)</f>
        <v>в матрице</v>
      </c>
      <c r="L30" s="18">
        <f>VLOOKUP(A:A,[2]TDSheet!$A:$B,2,0)</f>
        <v>121</v>
      </c>
      <c r="M30" s="18">
        <f t="shared" si="5"/>
        <v>-21</v>
      </c>
      <c r="N30" s="18"/>
      <c r="O30" s="18"/>
      <c r="P30" s="18"/>
      <c r="Q30" s="18">
        <f>VLOOKUP(A:A,[1]TDSheet!$A:$S,19,0)</f>
        <v>0</v>
      </c>
      <c r="R30" s="18">
        <f t="shared" si="6"/>
        <v>20</v>
      </c>
      <c r="S30" s="19">
        <v>40</v>
      </c>
      <c r="T30" s="19"/>
      <c r="U30" s="18"/>
      <c r="V30" s="18">
        <f t="shared" si="7"/>
        <v>14.15</v>
      </c>
      <c r="W30" s="18">
        <f t="shared" si="8"/>
        <v>12.15</v>
      </c>
      <c r="X30" s="18">
        <f>VLOOKUP(A:A,[1]TDSheet!$A:$Y,25,0)</f>
        <v>18.8</v>
      </c>
      <c r="Y30" s="18">
        <f>VLOOKUP(A:A,[1]TDSheet!$A:$Z,26,0)</f>
        <v>29.2</v>
      </c>
      <c r="Z30" s="18">
        <f>VLOOKUP(A:A,[1]TDSheet!$A:$AA,27,0)</f>
        <v>31.2</v>
      </c>
      <c r="AA30" s="18">
        <f>VLOOKUP(A:A,[1]TDSheet!$A:$R,18,0)</f>
        <v>22.8</v>
      </c>
      <c r="AB30" s="18"/>
      <c r="AC30" s="18">
        <f t="shared" si="9"/>
        <v>3.5999999999999996</v>
      </c>
    </row>
    <row r="31" spans="1:29" ht="10.9" customHeight="1" x14ac:dyDescent="0.2">
      <c r="A31" s="9" t="s">
        <v>35</v>
      </c>
      <c r="B31" s="9" t="s">
        <v>14</v>
      </c>
      <c r="C31" s="9">
        <f>VLOOKUP(A:A,[1]TDSheet!$A:$C,3,0)</f>
        <v>6279</v>
      </c>
      <c r="D31" s="10">
        <v>104</v>
      </c>
      <c r="E31" s="10">
        <v>96</v>
      </c>
      <c r="F31" s="10">
        <v>93</v>
      </c>
      <c r="G31" s="10">
        <v>106</v>
      </c>
      <c r="H31" s="5">
        <f>VLOOKUP(A:A,[1]TDSheet!$A:$H,8,0)</f>
        <v>0.15</v>
      </c>
      <c r="I31" s="5">
        <f>VLOOKUP(A:A,[1]TDSheet!$A:$I,9,0)</f>
        <v>45</v>
      </c>
      <c r="J31" s="5" t="str">
        <f>VLOOKUP(A:A,[1]TDSheet!$A:$J,10,0)</f>
        <v>в матрице</v>
      </c>
      <c r="L31" s="18">
        <f>VLOOKUP(A:A,[2]TDSheet!$A:$B,2,0)</f>
        <v>94</v>
      </c>
      <c r="M31" s="18">
        <f t="shared" si="5"/>
        <v>-1</v>
      </c>
      <c r="N31" s="18"/>
      <c r="O31" s="18"/>
      <c r="P31" s="18"/>
      <c r="Q31" s="18">
        <f>VLOOKUP(A:A,[1]TDSheet!$A:$S,19,0)</f>
        <v>120</v>
      </c>
      <c r="R31" s="18">
        <f t="shared" si="6"/>
        <v>18.600000000000001</v>
      </c>
      <c r="S31" s="19">
        <v>40</v>
      </c>
      <c r="T31" s="19"/>
      <c r="U31" s="18"/>
      <c r="V31" s="18">
        <f t="shared" si="7"/>
        <v>14.301075268817204</v>
      </c>
      <c r="W31" s="18">
        <f t="shared" si="8"/>
        <v>5.6989247311827951</v>
      </c>
      <c r="X31" s="18">
        <f>VLOOKUP(A:A,[1]TDSheet!$A:$Y,25,0)</f>
        <v>23.6</v>
      </c>
      <c r="Y31" s="18">
        <f>VLOOKUP(A:A,[1]TDSheet!$A:$Z,26,0)</f>
        <v>24.4</v>
      </c>
      <c r="Z31" s="18">
        <f>VLOOKUP(A:A,[1]TDSheet!$A:$AA,27,0)</f>
        <v>17.8</v>
      </c>
      <c r="AA31" s="18">
        <f>VLOOKUP(A:A,[1]TDSheet!$A:$R,18,0)</f>
        <v>22.6</v>
      </c>
      <c r="AB31" s="18"/>
      <c r="AC31" s="18">
        <f t="shared" si="9"/>
        <v>6</v>
      </c>
    </row>
    <row r="32" spans="1:29" ht="10.9" customHeight="1" x14ac:dyDescent="0.2">
      <c r="A32" s="9" t="s">
        <v>36</v>
      </c>
      <c r="B32" s="9" t="s">
        <v>16</v>
      </c>
      <c r="C32" s="9">
        <f>VLOOKUP(A:A,[1]TDSheet!$A:$C,3,0)</f>
        <v>6303</v>
      </c>
      <c r="D32" s="10">
        <v>-6.1210000000000004</v>
      </c>
      <c r="E32" s="10">
        <v>727.07600000000002</v>
      </c>
      <c r="F32" s="10">
        <v>267.02499999999998</v>
      </c>
      <c r="G32" s="10">
        <v>443.91399999999999</v>
      </c>
      <c r="H32" s="5">
        <f>VLOOKUP(A:A,[1]TDSheet!$A:$H,8,0)</f>
        <v>1</v>
      </c>
      <c r="I32" s="5">
        <f>VLOOKUP(A:A,[1]TDSheet!$A:$I,9,0)</f>
        <v>45</v>
      </c>
      <c r="J32" s="5" t="str">
        <f>VLOOKUP(A:A,[1]TDSheet!$A:$J,10,0)</f>
        <v>в матрице</v>
      </c>
      <c r="L32" s="18">
        <f>VLOOKUP(A:A,[2]TDSheet!$A:$B,2,0)</f>
        <v>388</v>
      </c>
      <c r="M32" s="18">
        <f t="shared" si="5"/>
        <v>-120.97500000000002</v>
      </c>
      <c r="N32" s="18"/>
      <c r="O32" s="18"/>
      <c r="P32" s="18"/>
      <c r="Q32" s="18">
        <f>VLOOKUP(A:A,[1]TDSheet!$A:$S,19,0)</f>
        <v>200</v>
      </c>
      <c r="R32" s="18">
        <f t="shared" si="6"/>
        <v>53.404999999999994</v>
      </c>
      <c r="S32" s="19">
        <v>100</v>
      </c>
      <c r="T32" s="19"/>
      <c r="U32" s="18"/>
      <c r="V32" s="18">
        <f t="shared" si="7"/>
        <v>13.929669506600506</v>
      </c>
      <c r="W32" s="18">
        <f t="shared" si="8"/>
        <v>8.3122179571201205</v>
      </c>
      <c r="X32" s="18">
        <f>VLOOKUP(A:A,[1]TDSheet!$A:$Y,25,0)</f>
        <v>59.9726</v>
      </c>
      <c r="Y32" s="18">
        <f>VLOOKUP(A:A,[1]TDSheet!$A:$Z,26,0)</f>
        <v>43.668400000000005</v>
      </c>
      <c r="Z32" s="18">
        <f>VLOOKUP(A:A,[1]TDSheet!$A:$AA,27,0)</f>
        <v>65.234200000000001</v>
      </c>
      <c r="AA32" s="18">
        <f>VLOOKUP(A:A,[1]TDSheet!$A:$R,18,0)</f>
        <v>45.937599999999996</v>
      </c>
      <c r="AB32" s="18"/>
      <c r="AC32" s="18">
        <f t="shared" si="9"/>
        <v>100</v>
      </c>
    </row>
    <row r="33" spans="1:29" ht="10.9" customHeight="1" x14ac:dyDescent="0.2">
      <c r="A33" s="9" t="s">
        <v>37</v>
      </c>
      <c r="B33" s="9" t="s">
        <v>14</v>
      </c>
      <c r="C33" s="9">
        <f>VLOOKUP(A:A,[1]TDSheet!$A:$C,3,0)</f>
        <v>6324</v>
      </c>
      <c r="D33" s="10">
        <v>2</v>
      </c>
      <c r="E33" s="10"/>
      <c r="F33" s="10">
        <v>-2</v>
      </c>
      <c r="G33" s="10">
        <v>2</v>
      </c>
      <c r="H33" s="5">
        <f>VLOOKUP(A:A,[1]TDSheet!$A:$H,8,0)</f>
        <v>0.4</v>
      </c>
      <c r="I33" s="5">
        <f>VLOOKUP(A:A,[1]TDSheet!$A:$I,9,0)</f>
        <v>60</v>
      </c>
      <c r="J33" s="5" t="str">
        <f>VLOOKUP(A:A,[1]TDSheet!$A:$J,10,0)</f>
        <v>в матрице</v>
      </c>
      <c r="L33" s="18">
        <f>VLOOKUP(A:A,[2]TDSheet!$A:$B,2,0)</f>
        <v>84</v>
      </c>
      <c r="M33" s="18">
        <f t="shared" si="5"/>
        <v>-86</v>
      </c>
      <c r="N33" s="18"/>
      <c r="O33" s="18"/>
      <c r="P33" s="18"/>
      <c r="Q33" s="18">
        <f>VLOOKUP(A:A,[1]TDSheet!$A:$S,19,0)</f>
        <v>50</v>
      </c>
      <c r="R33" s="18">
        <f t="shared" si="6"/>
        <v>-0.4</v>
      </c>
      <c r="S33" s="19"/>
      <c r="T33" s="19"/>
      <c r="U33" s="18"/>
      <c r="V33" s="18">
        <f t="shared" si="7"/>
        <v>-130</v>
      </c>
      <c r="W33" s="18">
        <f t="shared" si="8"/>
        <v>-5</v>
      </c>
      <c r="X33" s="18">
        <f>VLOOKUP(A:A,[1]TDSheet!$A:$Y,25,0)</f>
        <v>15.4</v>
      </c>
      <c r="Y33" s="18">
        <f>VLOOKUP(A:A,[1]TDSheet!$A:$Z,26,0)</f>
        <v>2.8</v>
      </c>
      <c r="Z33" s="18">
        <f>VLOOKUP(A:A,[1]TDSheet!$A:$AA,27,0)</f>
        <v>11.2</v>
      </c>
      <c r="AA33" s="18">
        <f>VLOOKUP(A:A,[1]TDSheet!$A:$R,18,0)</f>
        <v>10.8</v>
      </c>
      <c r="AB33" s="18" t="str">
        <f>VLOOKUP(A:A,[1]TDSheet!$A:$AB,28,0)</f>
        <v>увел продажи</v>
      </c>
      <c r="AC33" s="18">
        <f t="shared" si="9"/>
        <v>0</v>
      </c>
    </row>
    <row r="34" spans="1:29" ht="10.9" customHeight="1" x14ac:dyDescent="0.2">
      <c r="A34" s="9" t="s">
        <v>38</v>
      </c>
      <c r="B34" s="9" t="s">
        <v>14</v>
      </c>
      <c r="C34" s="9">
        <f>VLOOKUP(A:A,[1]TDSheet!$A:$C,3,0)</f>
        <v>6325</v>
      </c>
      <c r="D34" s="10">
        <v>252</v>
      </c>
      <c r="E34" s="10">
        <v>2</v>
      </c>
      <c r="F34" s="10">
        <v>135</v>
      </c>
      <c r="G34" s="10">
        <v>117</v>
      </c>
      <c r="H34" s="5">
        <f>VLOOKUP(A:A,[1]TDSheet!$A:$H,8,0)</f>
        <v>0.4</v>
      </c>
      <c r="I34" s="5">
        <f>VLOOKUP(A:A,[1]TDSheet!$A:$I,9,0)</f>
        <v>60</v>
      </c>
      <c r="J34" s="5" t="str">
        <f>VLOOKUP(A:A,[1]TDSheet!$A:$J,10,0)</f>
        <v>в матрице</v>
      </c>
      <c r="L34" s="18">
        <f>VLOOKUP(A:A,[2]TDSheet!$A:$B,2,0)</f>
        <v>147</v>
      </c>
      <c r="M34" s="18">
        <f t="shared" si="5"/>
        <v>-12</v>
      </c>
      <c r="N34" s="18"/>
      <c r="O34" s="18"/>
      <c r="P34" s="18"/>
      <c r="Q34" s="18">
        <f>VLOOKUP(A:A,[1]TDSheet!$A:$S,19,0)</f>
        <v>0</v>
      </c>
      <c r="R34" s="18">
        <f t="shared" si="6"/>
        <v>27</v>
      </c>
      <c r="S34" s="19">
        <v>280</v>
      </c>
      <c r="T34" s="19"/>
      <c r="U34" s="18"/>
      <c r="V34" s="18">
        <f t="shared" si="7"/>
        <v>14.703703703703704</v>
      </c>
      <c r="W34" s="18">
        <f t="shared" si="8"/>
        <v>4.333333333333333</v>
      </c>
      <c r="X34" s="18">
        <f>VLOOKUP(A:A,[1]TDSheet!$A:$Y,25,0)</f>
        <v>19.8</v>
      </c>
      <c r="Y34" s="18">
        <f>VLOOKUP(A:A,[1]TDSheet!$A:$Z,26,0)</f>
        <v>31</v>
      </c>
      <c r="Z34" s="18">
        <f>VLOOKUP(A:A,[1]TDSheet!$A:$AA,27,0)</f>
        <v>18.600000000000001</v>
      </c>
      <c r="AA34" s="18">
        <f>VLOOKUP(A:A,[1]TDSheet!$A:$R,18,0)</f>
        <v>13</v>
      </c>
      <c r="AB34" s="18"/>
      <c r="AC34" s="18">
        <f t="shared" si="9"/>
        <v>112</v>
      </c>
    </row>
    <row r="35" spans="1:29" ht="10.9" customHeight="1" x14ac:dyDescent="0.2">
      <c r="A35" s="9" t="s">
        <v>39</v>
      </c>
      <c r="B35" s="9" t="s">
        <v>14</v>
      </c>
      <c r="C35" s="9">
        <f>VLOOKUP(A:A,[1]TDSheet!$A:$C,3,0)</f>
        <v>6333</v>
      </c>
      <c r="D35" s="10">
        <v>223</v>
      </c>
      <c r="E35" s="10">
        <v>275</v>
      </c>
      <c r="F35" s="10">
        <v>238</v>
      </c>
      <c r="G35" s="10">
        <v>256</v>
      </c>
      <c r="H35" s="5">
        <f>VLOOKUP(A:A,[1]TDSheet!$A:$H,8,0)</f>
        <v>0.4</v>
      </c>
      <c r="I35" s="5">
        <f>VLOOKUP(A:A,[1]TDSheet!$A:$I,9,0)</f>
        <v>60</v>
      </c>
      <c r="J35" s="5" t="str">
        <f>VLOOKUP(A:A,[1]TDSheet!$A:$J,10,0)</f>
        <v>в матрице</v>
      </c>
      <c r="L35" s="18">
        <f>VLOOKUP(A:A,[2]TDSheet!$A:$B,2,0)</f>
        <v>256</v>
      </c>
      <c r="M35" s="18">
        <f t="shared" si="5"/>
        <v>-18</v>
      </c>
      <c r="N35" s="18"/>
      <c r="O35" s="18"/>
      <c r="P35" s="18"/>
      <c r="Q35" s="18">
        <f>VLOOKUP(A:A,[1]TDSheet!$A:$S,19,0)</f>
        <v>60</v>
      </c>
      <c r="R35" s="18">
        <f t="shared" si="6"/>
        <v>47.6</v>
      </c>
      <c r="S35" s="19">
        <v>360</v>
      </c>
      <c r="T35" s="19"/>
      <c r="U35" s="18"/>
      <c r="V35" s="18">
        <f t="shared" si="7"/>
        <v>14.201680672268907</v>
      </c>
      <c r="W35" s="18">
        <f t="shared" si="8"/>
        <v>5.3781512605042012</v>
      </c>
      <c r="X35" s="18">
        <f>VLOOKUP(A:A,[1]TDSheet!$A:$Y,25,0)</f>
        <v>44.8</v>
      </c>
      <c r="Y35" s="18">
        <f>VLOOKUP(A:A,[1]TDSheet!$A:$Z,26,0)</f>
        <v>44.8</v>
      </c>
      <c r="Z35" s="18">
        <f>VLOOKUP(A:A,[1]TDSheet!$A:$AA,27,0)</f>
        <v>39.4</v>
      </c>
      <c r="AA35" s="18">
        <f>VLOOKUP(A:A,[1]TDSheet!$A:$R,18,0)</f>
        <v>41.6</v>
      </c>
      <c r="AB35" s="18"/>
      <c r="AC35" s="18">
        <f t="shared" si="9"/>
        <v>144</v>
      </c>
    </row>
    <row r="36" spans="1:29" ht="10.9" customHeight="1" x14ac:dyDescent="0.2">
      <c r="A36" s="9" t="s">
        <v>40</v>
      </c>
      <c r="B36" s="9" t="s">
        <v>14</v>
      </c>
      <c r="C36" s="9">
        <f>VLOOKUP(A:A,[1]TDSheet!$A:$C,3,0)</f>
        <v>6353</v>
      </c>
      <c r="D36" s="10">
        <v>1</v>
      </c>
      <c r="E36" s="10">
        <v>547</v>
      </c>
      <c r="F36" s="10">
        <v>165</v>
      </c>
      <c r="G36" s="10">
        <v>379</v>
      </c>
      <c r="H36" s="5">
        <f>VLOOKUP(A:A,[1]TDSheet!$A:$H,8,0)</f>
        <v>0.4</v>
      </c>
      <c r="I36" s="5">
        <f>VLOOKUP(A:A,[1]TDSheet!$A:$I,9,0)</f>
        <v>60</v>
      </c>
      <c r="J36" s="5" t="str">
        <f>VLOOKUP(A:A,[1]TDSheet!$A:$J,10,0)</f>
        <v>в матрице</v>
      </c>
      <c r="L36" s="18">
        <f>VLOOKUP(A:A,[2]TDSheet!$A:$B,2,0)</f>
        <v>202</v>
      </c>
      <c r="M36" s="18">
        <f t="shared" si="5"/>
        <v>-37</v>
      </c>
      <c r="N36" s="18"/>
      <c r="O36" s="18"/>
      <c r="P36" s="18"/>
      <c r="Q36" s="18">
        <f>VLOOKUP(A:A,[1]TDSheet!$A:$S,19,0)</f>
        <v>0</v>
      </c>
      <c r="R36" s="18">
        <f t="shared" si="6"/>
        <v>33</v>
      </c>
      <c r="S36" s="19">
        <v>80</v>
      </c>
      <c r="T36" s="19"/>
      <c r="U36" s="18" t="s">
        <v>126</v>
      </c>
      <c r="V36" s="18">
        <f t="shared" si="7"/>
        <v>13.909090909090908</v>
      </c>
      <c r="W36" s="18">
        <f t="shared" si="8"/>
        <v>11.484848484848484</v>
      </c>
      <c r="X36" s="18">
        <f>VLOOKUP(A:A,[1]TDSheet!$A:$Y,25,0)</f>
        <v>21</v>
      </c>
      <c r="Y36" s="18">
        <f>VLOOKUP(A:A,[1]TDSheet!$A:$Z,26,0)</f>
        <v>14.4</v>
      </c>
      <c r="Z36" s="18">
        <f>VLOOKUP(A:A,[1]TDSheet!$A:$AA,27,0)</f>
        <v>39.200000000000003</v>
      </c>
      <c r="AA36" s="18">
        <f>VLOOKUP(A:A,[1]TDSheet!$A:$R,18,0)</f>
        <v>1.4</v>
      </c>
      <c r="AB36" s="18"/>
      <c r="AC36" s="18">
        <f t="shared" si="9"/>
        <v>32</v>
      </c>
    </row>
    <row r="37" spans="1:29" ht="10.9" customHeight="1" x14ac:dyDescent="0.2">
      <c r="A37" s="9" t="s">
        <v>41</v>
      </c>
      <c r="B37" s="9" t="s">
        <v>14</v>
      </c>
      <c r="C37" s="9">
        <f>VLOOKUP(A:A,[1]TDSheet!$A:$C,3,0)</f>
        <v>6392</v>
      </c>
      <c r="D37" s="10">
        <v>247</v>
      </c>
      <c r="E37" s="10">
        <v>123</v>
      </c>
      <c r="F37" s="10">
        <v>231</v>
      </c>
      <c r="G37" s="10">
        <v>135</v>
      </c>
      <c r="H37" s="5">
        <f>VLOOKUP(A:A,[1]TDSheet!$A:$H,8,0)</f>
        <v>0.4</v>
      </c>
      <c r="I37" s="5">
        <f>VLOOKUP(A:A,[1]TDSheet!$A:$I,9,0)</f>
        <v>60</v>
      </c>
      <c r="J37" s="5" t="str">
        <f>VLOOKUP(A:A,[1]TDSheet!$A:$J,10,0)</f>
        <v>в матрице</v>
      </c>
      <c r="L37" s="18">
        <f>VLOOKUP(A:A,[2]TDSheet!$A:$B,2,0)</f>
        <v>246</v>
      </c>
      <c r="M37" s="18">
        <f t="shared" si="5"/>
        <v>-15</v>
      </c>
      <c r="N37" s="18"/>
      <c r="O37" s="18"/>
      <c r="P37" s="18"/>
      <c r="Q37" s="18">
        <f>VLOOKUP(A:A,[1]TDSheet!$A:$S,19,0)</f>
        <v>120</v>
      </c>
      <c r="R37" s="18">
        <f t="shared" si="6"/>
        <v>46.2</v>
      </c>
      <c r="S37" s="19">
        <v>400</v>
      </c>
      <c r="T37" s="19"/>
      <c r="U37" s="18"/>
      <c r="V37" s="18">
        <f t="shared" si="7"/>
        <v>14.177489177489177</v>
      </c>
      <c r="W37" s="18">
        <f t="shared" si="8"/>
        <v>2.9220779220779218</v>
      </c>
      <c r="X37" s="18">
        <f>VLOOKUP(A:A,[1]TDSheet!$A:$Y,25,0)</f>
        <v>48.2</v>
      </c>
      <c r="Y37" s="18">
        <f>VLOOKUP(A:A,[1]TDSheet!$A:$Z,26,0)</f>
        <v>44.2</v>
      </c>
      <c r="Z37" s="18">
        <f>VLOOKUP(A:A,[1]TDSheet!$A:$AA,27,0)</f>
        <v>37</v>
      </c>
      <c r="AA37" s="18">
        <f>VLOOKUP(A:A,[1]TDSheet!$A:$R,18,0)</f>
        <v>34.200000000000003</v>
      </c>
      <c r="AB37" s="18"/>
      <c r="AC37" s="18">
        <f t="shared" si="9"/>
        <v>160</v>
      </c>
    </row>
    <row r="38" spans="1:29" ht="10.9" customHeight="1" x14ac:dyDescent="0.2">
      <c r="A38" s="9" t="s">
        <v>42</v>
      </c>
      <c r="B38" s="9" t="s">
        <v>14</v>
      </c>
      <c r="C38" s="9">
        <f>VLOOKUP(A:A,[1]TDSheet!$A:$C,3,0)</f>
        <v>6453</v>
      </c>
      <c r="D38" s="10">
        <v>124</v>
      </c>
      <c r="E38" s="10">
        <v>589</v>
      </c>
      <c r="F38" s="10">
        <v>273</v>
      </c>
      <c r="G38" s="10">
        <v>436</v>
      </c>
      <c r="H38" s="5">
        <f>VLOOKUP(A:A,[1]TDSheet!$A:$H,8,0)</f>
        <v>0.1</v>
      </c>
      <c r="I38" s="5">
        <f>VLOOKUP(A:A,[1]TDSheet!$A:$I,9,0)</f>
        <v>60</v>
      </c>
      <c r="J38" s="5" t="str">
        <f>VLOOKUP(A:A,[1]TDSheet!$A:$J,10,0)</f>
        <v>в матрице</v>
      </c>
      <c r="L38" s="18">
        <f>VLOOKUP(A:A,[2]TDSheet!$A:$B,2,0)</f>
        <v>279</v>
      </c>
      <c r="M38" s="18">
        <f t="shared" si="5"/>
        <v>-6</v>
      </c>
      <c r="N38" s="18"/>
      <c r="O38" s="18"/>
      <c r="P38" s="18"/>
      <c r="Q38" s="18">
        <f>VLOOKUP(A:A,[1]TDSheet!$A:$S,19,0)</f>
        <v>0</v>
      </c>
      <c r="R38" s="18">
        <f t="shared" si="6"/>
        <v>54.6</v>
      </c>
      <c r="S38" s="19">
        <v>320</v>
      </c>
      <c r="T38" s="19"/>
      <c r="U38" s="18"/>
      <c r="V38" s="18">
        <f t="shared" si="7"/>
        <v>13.846153846153845</v>
      </c>
      <c r="W38" s="18">
        <f t="shared" si="8"/>
        <v>7.9853479853479854</v>
      </c>
      <c r="X38" s="18">
        <f>VLOOKUP(A:A,[1]TDSheet!$A:$Y,25,0)</f>
        <v>31.8</v>
      </c>
      <c r="Y38" s="18">
        <f>VLOOKUP(A:A,[1]TDSheet!$A:$Z,26,0)</f>
        <v>30.4</v>
      </c>
      <c r="Z38" s="18">
        <f>VLOOKUP(A:A,[1]TDSheet!$A:$AA,27,0)</f>
        <v>60</v>
      </c>
      <c r="AA38" s="18">
        <f>VLOOKUP(A:A,[1]TDSheet!$A:$R,18,0)</f>
        <v>20.8</v>
      </c>
      <c r="AB38" s="18"/>
      <c r="AC38" s="18">
        <f t="shared" si="9"/>
        <v>32</v>
      </c>
    </row>
    <row r="39" spans="1:29" ht="10.9" customHeight="1" x14ac:dyDescent="0.2">
      <c r="A39" s="9" t="s">
        <v>43</v>
      </c>
      <c r="B39" s="9" t="s">
        <v>14</v>
      </c>
      <c r="C39" s="9">
        <f>VLOOKUP(A:A,[1]TDSheet!$A:$C,3,0)</f>
        <v>6454</v>
      </c>
      <c r="D39" s="10">
        <v>124</v>
      </c>
      <c r="E39" s="10">
        <v>360</v>
      </c>
      <c r="F39" s="10">
        <v>273</v>
      </c>
      <c r="G39" s="10">
        <v>211</v>
      </c>
      <c r="H39" s="5">
        <f>VLOOKUP(A:A,[1]TDSheet!$A:$H,8,0)</f>
        <v>0.1</v>
      </c>
      <c r="I39" s="5">
        <f>VLOOKUP(A:A,[1]TDSheet!$A:$I,9,0)</f>
        <v>60</v>
      </c>
      <c r="J39" s="5" t="str">
        <f>VLOOKUP(A:A,[1]TDSheet!$A:$J,10,0)</f>
        <v>в матрице</v>
      </c>
      <c r="L39" s="18">
        <f>VLOOKUP(A:A,[2]TDSheet!$A:$B,2,0)</f>
        <v>282</v>
      </c>
      <c r="M39" s="18">
        <f t="shared" si="5"/>
        <v>-9</v>
      </c>
      <c r="N39" s="18"/>
      <c r="O39" s="18"/>
      <c r="P39" s="18"/>
      <c r="Q39" s="18">
        <f>VLOOKUP(A:A,[1]TDSheet!$A:$S,19,0)</f>
        <v>210</v>
      </c>
      <c r="R39" s="18">
        <f t="shared" si="6"/>
        <v>54.6</v>
      </c>
      <c r="S39" s="19">
        <v>360</v>
      </c>
      <c r="T39" s="19"/>
      <c r="U39" s="18"/>
      <c r="V39" s="18">
        <f t="shared" si="7"/>
        <v>14.304029304029303</v>
      </c>
      <c r="W39" s="18">
        <f t="shared" si="8"/>
        <v>3.8644688644688645</v>
      </c>
      <c r="X39" s="18">
        <f>VLOOKUP(A:A,[1]TDSheet!$A:$Y,25,0)</f>
        <v>42.2</v>
      </c>
      <c r="Y39" s="18">
        <f>VLOOKUP(A:A,[1]TDSheet!$A:$Z,26,0)</f>
        <v>38</v>
      </c>
      <c r="Z39" s="18">
        <f>VLOOKUP(A:A,[1]TDSheet!$A:$AA,27,0)</f>
        <v>52</v>
      </c>
      <c r="AA39" s="18">
        <f>VLOOKUP(A:A,[1]TDSheet!$A:$R,18,0)</f>
        <v>49.4</v>
      </c>
      <c r="AB39" s="18" t="str">
        <f>VLOOKUP(A:A,[1]TDSheet!$A:$AB,28,0)</f>
        <v>???заявки</v>
      </c>
      <c r="AC39" s="18">
        <f t="shared" si="9"/>
        <v>36</v>
      </c>
    </row>
    <row r="40" spans="1:29" ht="10.9" customHeight="1" x14ac:dyDescent="0.2">
      <c r="A40" s="21" t="s">
        <v>44</v>
      </c>
      <c r="B40" s="9" t="s">
        <v>14</v>
      </c>
      <c r="C40" s="9">
        <f>VLOOKUP(A:A,[1]TDSheet!$A:$C,3,0)</f>
        <v>6459</v>
      </c>
      <c r="D40" s="10">
        <v>169</v>
      </c>
      <c r="E40" s="10">
        <v>100</v>
      </c>
      <c r="F40" s="10">
        <v>25</v>
      </c>
      <c r="G40" s="10">
        <v>241</v>
      </c>
      <c r="H40" s="5">
        <f>VLOOKUP(A:A,[1]TDSheet!$A:$H,8,0)</f>
        <v>0.1</v>
      </c>
      <c r="I40" s="5">
        <f>VLOOKUP(A:A,[1]TDSheet!$A:$I,9,0)</f>
        <v>45</v>
      </c>
      <c r="J40" s="5" t="str">
        <f>VLOOKUP(A:A,[1]TDSheet!$A:$J,10,0)</f>
        <v>в матрице</v>
      </c>
      <c r="L40" s="18">
        <f>VLOOKUP(A:A,[2]TDSheet!$A:$B,2,0)</f>
        <v>29</v>
      </c>
      <c r="M40" s="18">
        <f t="shared" si="5"/>
        <v>-4</v>
      </c>
      <c r="N40" s="18"/>
      <c r="O40" s="18"/>
      <c r="P40" s="18"/>
      <c r="Q40" s="18">
        <f>VLOOKUP(A:A,[1]TDSheet!$A:$S,19,0)</f>
        <v>0</v>
      </c>
      <c r="R40" s="18">
        <f t="shared" si="6"/>
        <v>5</v>
      </c>
      <c r="S40" s="19"/>
      <c r="T40" s="19"/>
      <c r="U40" s="18"/>
      <c r="V40" s="18">
        <f t="shared" si="7"/>
        <v>48.2</v>
      </c>
      <c r="W40" s="18">
        <f t="shared" si="8"/>
        <v>48.2</v>
      </c>
      <c r="X40" s="18">
        <f>VLOOKUP(A:A,[1]TDSheet!$A:$Y,25,0)</f>
        <v>16.600000000000001</v>
      </c>
      <c r="Y40" s="18">
        <f>VLOOKUP(A:A,[1]TDSheet!$A:$Z,26,0)</f>
        <v>16.2</v>
      </c>
      <c r="Z40" s="18">
        <f>VLOOKUP(A:A,[1]TDSheet!$A:$AA,27,0)</f>
        <v>11.6</v>
      </c>
      <c r="AA40" s="18">
        <f>VLOOKUP(A:A,[1]TDSheet!$A:$R,18,0)</f>
        <v>4.4000000000000004</v>
      </c>
      <c r="AB40" s="18"/>
      <c r="AC40" s="18">
        <f t="shared" si="9"/>
        <v>0</v>
      </c>
    </row>
    <row r="41" spans="1:29" ht="10.9" customHeight="1" x14ac:dyDescent="0.2">
      <c r="A41" s="9" t="s">
        <v>45</v>
      </c>
      <c r="B41" s="9" t="s">
        <v>14</v>
      </c>
      <c r="C41" s="9">
        <f>VLOOKUP(A:A,[1]TDSheet!$A:$C,3,0)</f>
        <v>6475</v>
      </c>
      <c r="D41" s="10">
        <v>69</v>
      </c>
      <c r="E41" s="10"/>
      <c r="F41" s="10">
        <v>65</v>
      </c>
      <c r="G41" s="10">
        <v>3</v>
      </c>
      <c r="H41" s="5">
        <f>VLOOKUP(A:A,[1]TDSheet!$A:$H,8,0)</f>
        <v>0.4</v>
      </c>
      <c r="I41" s="5">
        <f>VLOOKUP(A:A,[1]TDSheet!$A:$I,9,0)</f>
        <v>45</v>
      </c>
      <c r="J41" s="5" t="str">
        <f>VLOOKUP(A:A,[1]TDSheet!$A:$J,10,0)</f>
        <v>в матрице</v>
      </c>
      <c r="L41" s="18">
        <f>VLOOKUP(A:A,[2]TDSheet!$A:$B,2,0)</f>
        <v>90</v>
      </c>
      <c r="M41" s="18">
        <f t="shared" si="5"/>
        <v>-25</v>
      </c>
      <c r="N41" s="18"/>
      <c r="O41" s="18"/>
      <c r="P41" s="18"/>
      <c r="Q41" s="18">
        <f>VLOOKUP(A:A,[1]TDSheet!$A:$S,19,0)</f>
        <v>150</v>
      </c>
      <c r="R41" s="18">
        <f t="shared" si="6"/>
        <v>13</v>
      </c>
      <c r="S41" s="19">
        <v>30</v>
      </c>
      <c r="T41" s="19"/>
      <c r="U41" s="18"/>
      <c r="V41" s="18">
        <f t="shared" si="7"/>
        <v>14.076923076923077</v>
      </c>
      <c r="W41" s="18">
        <f t="shared" si="8"/>
        <v>0.23076923076923078</v>
      </c>
      <c r="X41" s="18">
        <f>VLOOKUP(A:A,[1]TDSheet!$A:$Y,25,0)</f>
        <v>12.4</v>
      </c>
      <c r="Y41" s="18">
        <f>VLOOKUP(A:A,[1]TDSheet!$A:$Z,26,0)</f>
        <v>18.8</v>
      </c>
      <c r="Z41" s="18">
        <f>VLOOKUP(A:A,[1]TDSheet!$A:$AA,27,0)</f>
        <v>16.600000000000001</v>
      </c>
      <c r="AA41" s="18">
        <f>VLOOKUP(A:A,[1]TDSheet!$A:$R,18,0)</f>
        <v>20</v>
      </c>
      <c r="AB41" s="18"/>
      <c r="AC41" s="18">
        <f t="shared" si="9"/>
        <v>12</v>
      </c>
    </row>
    <row r="42" spans="1:29" ht="10.9" customHeight="1" x14ac:dyDescent="0.2">
      <c r="A42" s="9" t="s">
        <v>46</v>
      </c>
      <c r="B42" s="9" t="s">
        <v>14</v>
      </c>
      <c r="C42" s="9">
        <f>VLOOKUP(A:A,[1]TDSheet!$A:$C,3,0)</f>
        <v>6495</v>
      </c>
      <c r="D42" s="10">
        <v>1</v>
      </c>
      <c r="E42" s="10">
        <v>452</v>
      </c>
      <c r="F42" s="10">
        <v>166</v>
      </c>
      <c r="G42" s="10">
        <v>283</v>
      </c>
      <c r="H42" s="5">
        <f>VLOOKUP(A:A,[1]TDSheet!$A:$H,8,0)</f>
        <v>0.3</v>
      </c>
      <c r="L42" s="18">
        <f>VLOOKUP(A:A,[2]TDSheet!$A:$B,2,0)</f>
        <v>185</v>
      </c>
      <c r="M42" s="18">
        <f t="shared" si="5"/>
        <v>-19</v>
      </c>
      <c r="N42" s="18"/>
      <c r="O42" s="18"/>
      <c r="P42" s="18"/>
      <c r="Q42" s="18">
        <f>VLOOKUP(A:A,[1]TDSheet!$A:$S,19,0)</f>
        <v>200</v>
      </c>
      <c r="R42" s="18">
        <f t="shared" si="6"/>
        <v>33.200000000000003</v>
      </c>
      <c r="S42" s="19"/>
      <c r="T42" s="19"/>
      <c r="U42" s="18"/>
      <c r="V42" s="18">
        <f t="shared" si="7"/>
        <v>14.548192771084336</v>
      </c>
      <c r="W42" s="18">
        <f t="shared" si="8"/>
        <v>8.5240963855421672</v>
      </c>
      <c r="X42" s="18">
        <f>VLOOKUP(A:A,[1]TDSheet!$A:$Y,25,0)</f>
        <v>6</v>
      </c>
      <c r="Y42" s="18">
        <f>VLOOKUP(A:A,[1]TDSheet!$A:$Z,26,0)</f>
        <v>8.8000000000000007</v>
      </c>
      <c r="Z42" s="18">
        <f>VLOOKUP(A:A,[1]TDSheet!$A:$AA,27,0)</f>
        <v>2.4</v>
      </c>
      <c r="AA42" s="18">
        <f>VLOOKUP(A:A,[1]TDSheet!$A:$R,18,0)</f>
        <v>17.600000000000001</v>
      </c>
      <c r="AB42" s="18"/>
      <c r="AC42" s="18">
        <f t="shared" si="9"/>
        <v>0</v>
      </c>
    </row>
    <row r="43" spans="1:29" ht="10.9" customHeight="1" x14ac:dyDescent="0.2">
      <c r="A43" s="9" t="s">
        <v>47</v>
      </c>
      <c r="B43" s="9" t="s">
        <v>16</v>
      </c>
      <c r="C43" s="9">
        <f>VLOOKUP(A:A,[1]TDSheet!$A:$C,3,0)</f>
        <v>6498</v>
      </c>
      <c r="D43" s="10">
        <v>9.0869999999999997</v>
      </c>
      <c r="E43" s="10">
        <v>204.94800000000001</v>
      </c>
      <c r="F43" s="10">
        <v>96.834999999999994</v>
      </c>
      <c r="G43" s="10">
        <v>112.59</v>
      </c>
      <c r="H43" s="5">
        <f>VLOOKUP(A:A,[1]TDSheet!$A:$H,8,0)</f>
        <v>1</v>
      </c>
      <c r="I43" s="5">
        <f>VLOOKUP(A:A,[1]TDSheet!$A:$I,9,0)</f>
        <v>60</v>
      </c>
      <c r="L43" s="18">
        <f>VLOOKUP(A:A,[2]TDSheet!$A:$B,2,0)</f>
        <v>115.5</v>
      </c>
      <c r="M43" s="18">
        <f t="shared" si="5"/>
        <v>-18.665000000000006</v>
      </c>
      <c r="N43" s="18"/>
      <c r="O43" s="18"/>
      <c r="P43" s="18"/>
      <c r="Q43" s="18">
        <f>VLOOKUP(A:A,[1]TDSheet!$A:$S,19,0)</f>
        <v>40</v>
      </c>
      <c r="R43" s="18">
        <f t="shared" si="6"/>
        <v>19.366999999999997</v>
      </c>
      <c r="S43" s="19">
        <v>120</v>
      </c>
      <c r="T43" s="19"/>
      <c r="U43" s="18"/>
      <c r="V43" s="18">
        <f t="shared" si="7"/>
        <v>14.074972892032843</v>
      </c>
      <c r="W43" s="18">
        <f t="shared" si="8"/>
        <v>5.813497185934839</v>
      </c>
      <c r="X43" s="18">
        <f>VLOOKUP(A:A,[1]TDSheet!$A:$Y,25,0)</f>
        <v>20.904199999999999</v>
      </c>
      <c r="Y43" s="18">
        <f>VLOOKUP(A:A,[1]TDSheet!$A:$Z,26,0)</f>
        <v>15.313599999999999</v>
      </c>
      <c r="Z43" s="18">
        <f>VLOOKUP(A:A,[1]TDSheet!$A:$AA,27,0)</f>
        <v>21.086000000000002</v>
      </c>
      <c r="AA43" s="18">
        <f>VLOOKUP(A:A,[1]TDSheet!$A:$R,18,0)</f>
        <v>17.390799999999999</v>
      </c>
      <c r="AB43" s="18"/>
      <c r="AC43" s="18">
        <f t="shared" si="9"/>
        <v>120</v>
      </c>
    </row>
    <row r="44" spans="1:29" ht="10.9" customHeight="1" x14ac:dyDescent="0.2">
      <c r="A44" s="9" t="s">
        <v>48</v>
      </c>
      <c r="B44" s="9" t="s">
        <v>16</v>
      </c>
      <c r="C44" s="9">
        <f>VLOOKUP(A:A,[1]TDSheet!$A:$C,3,0)</f>
        <v>6527</v>
      </c>
      <c r="D44" s="10">
        <v>209.25299999999999</v>
      </c>
      <c r="E44" s="10">
        <v>106.015</v>
      </c>
      <c r="F44" s="10">
        <v>97.578999999999994</v>
      </c>
      <c r="G44" s="10">
        <v>213.48599999999999</v>
      </c>
      <c r="H44" s="5">
        <f>VLOOKUP(A:A,[1]TDSheet!$A:$H,8,0)</f>
        <v>1</v>
      </c>
      <c r="I44" s="5">
        <f>VLOOKUP(A:A,[1]TDSheet!$A:$I,9,0)</f>
        <v>45</v>
      </c>
      <c r="J44" s="5" t="str">
        <f>VLOOKUP(A:A,[1]TDSheet!$A:$J,10,0)</f>
        <v>в матрице</v>
      </c>
      <c r="L44" s="18">
        <f>VLOOKUP(A:A,[2]TDSheet!$A:$B,2,0)</f>
        <v>103</v>
      </c>
      <c r="M44" s="18">
        <f t="shared" si="5"/>
        <v>-5.4210000000000065</v>
      </c>
      <c r="N44" s="18"/>
      <c r="O44" s="18"/>
      <c r="P44" s="18"/>
      <c r="Q44" s="18">
        <f>VLOOKUP(A:A,[1]TDSheet!$A:$S,19,0)</f>
        <v>0</v>
      </c>
      <c r="R44" s="18">
        <f t="shared" si="6"/>
        <v>19.515799999999999</v>
      </c>
      <c r="S44" s="19">
        <v>60</v>
      </c>
      <c r="T44" s="19"/>
      <c r="U44" s="18"/>
      <c r="V44" s="18">
        <f t="shared" si="7"/>
        <v>14.013568493220879</v>
      </c>
      <c r="W44" s="18">
        <f t="shared" si="8"/>
        <v>10.939136494532635</v>
      </c>
      <c r="X44" s="18">
        <f>VLOOKUP(A:A,[1]TDSheet!$A:$Y,25,0)</f>
        <v>12.3764</v>
      </c>
      <c r="Y44" s="18">
        <f>VLOOKUP(A:A,[1]TDSheet!$A:$Z,26,0)</f>
        <v>25.958800000000004</v>
      </c>
      <c r="Z44" s="18">
        <f>VLOOKUP(A:A,[1]TDSheet!$A:$AA,27,0)</f>
        <v>18.4634</v>
      </c>
      <c r="AA44" s="18">
        <f>VLOOKUP(A:A,[1]TDSheet!$A:$R,18,0)</f>
        <v>14.194399999999998</v>
      </c>
      <c r="AB44" s="18"/>
      <c r="AC44" s="18">
        <f t="shared" si="9"/>
        <v>60</v>
      </c>
    </row>
    <row r="45" spans="1:29" ht="10.9" customHeight="1" x14ac:dyDescent="0.2">
      <c r="A45" s="9" t="s">
        <v>49</v>
      </c>
      <c r="B45" s="9" t="s">
        <v>16</v>
      </c>
      <c r="C45" s="9">
        <f>VLOOKUP(A:A,[1]TDSheet!$A:$C,3,0)</f>
        <v>6550</v>
      </c>
      <c r="D45" s="10">
        <v>47.088999999999999</v>
      </c>
      <c r="E45" s="10">
        <v>156.10499999999999</v>
      </c>
      <c r="F45" s="10">
        <v>172.12799999999999</v>
      </c>
      <c r="G45" s="10">
        <v>26.579000000000001</v>
      </c>
      <c r="H45" s="5">
        <f>VLOOKUP(A:A,[1]TDSheet!$A:$H,8,0)</f>
        <v>1</v>
      </c>
      <c r="I45" s="5">
        <f>VLOOKUP(A:A,[1]TDSheet!$A:$I,9,0)</f>
        <v>45</v>
      </c>
      <c r="J45" s="5" t="str">
        <f>VLOOKUP(A:A,[1]TDSheet!$A:$J,10,0)</f>
        <v>в матрице</v>
      </c>
      <c r="L45" s="18">
        <f>VLOOKUP(A:A,[2]TDSheet!$A:$B,2,0)</f>
        <v>176.4</v>
      </c>
      <c r="M45" s="18">
        <f t="shared" si="5"/>
        <v>-4.2720000000000198</v>
      </c>
      <c r="N45" s="18"/>
      <c r="O45" s="18"/>
      <c r="P45" s="18"/>
      <c r="Q45" s="18">
        <f>VLOOKUP(A:A,[1]TDSheet!$A:$S,19,0)</f>
        <v>150</v>
      </c>
      <c r="R45" s="18">
        <f t="shared" si="6"/>
        <v>34.425599999999996</v>
      </c>
      <c r="S45" s="19">
        <v>380</v>
      </c>
      <c r="T45" s="19"/>
      <c r="U45" s="18"/>
      <c r="V45" s="18">
        <f t="shared" si="7"/>
        <v>16.167590397843465</v>
      </c>
      <c r="W45" s="18">
        <f t="shared" si="8"/>
        <v>0.77207078453244105</v>
      </c>
      <c r="X45" s="18">
        <f>VLOOKUP(A:A,[1]TDSheet!$A:$Y,25,0)</f>
        <v>18.083400000000001</v>
      </c>
      <c r="Y45" s="18">
        <f>VLOOKUP(A:A,[1]TDSheet!$A:$Z,26,0)</f>
        <v>18.827000000000002</v>
      </c>
      <c r="Z45" s="18">
        <f>VLOOKUP(A:A,[1]TDSheet!$A:$AA,27,0)</f>
        <v>21.2666</v>
      </c>
      <c r="AA45" s="18">
        <f>VLOOKUP(A:A,[1]TDSheet!$A:$R,18,0)</f>
        <v>21.269600000000001</v>
      </c>
      <c r="AB45" s="18"/>
      <c r="AC45" s="18">
        <f t="shared" si="9"/>
        <v>380</v>
      </c>
    </row>
    <row r="46" spans="1:29" ht="10.9" customHeight="1" x14ac:dyDescent="0.2">
      <c r="A46" s="9" t="s">
        <v>50</v>
      </c>
      <c r="B46" s="9" t="s">
        <v>14</v>
      </c>
      <c r="C46" s="9">
        <f>VLOOKUP(A:A,[1]TDSheet!$A:$C,3,0)</f>
        <v>6602</v>
      </c>
      <c r="D46" s="10">
        <v>177</v>
      </c>
      <c r="E46" s="10">
        <v>97</v>
      </c>
      <c r="F46" s="10">
        <v>167</v>
      </c>
      <c r="G46" s="10">
        <v>106</v>
      </c>
      <c r="H46" s="5">
        <f>VLOOKUP(A:A,[1]TDSheet!$A:$H,8,0)</f>
        <v>0.35</v>
      </c>
      <c r="I46" s="5">
        <f>VLOOKUP(A:A,[1]TDSheet!$A:$I,9,0)</f>
        <v>45</v>
      </c>
      <c r="L46" s="18">
        <f>VLOOKUP(A:A,[2]TDSheet!$A:$B,2,0)</f>
        <v>164</v>
      </c>
      <c r="M46" s="18">
        <f t="shared" si="5"/>
        <v>3</v>
      </c>
      <c r="N46" s="18"/>
      <c r="O46" s="18"/>
      <c r="P46" s="18"/>
      <c r="Q46" s="18">
        <f>VLOOKUP(A:A,[1]TDSheet!$A:$S,19,0)</f>
        <v>0</v>
      </c>
      <c r="R46" s="18">
        <f t="shared" si="6"/>
        <v>33.4</v>
      </c>
      <c r="S46" s="19">
        <v>360</v>
      </c>
      <c r="T46" s="19"/>
      <c r="U46" s="18"/>
      <c r="V46" s="18">
        <f t="shared" si="7"/>
        <v>13.952095808383234</v>
      </c>
      <c r="W46" s="18">
        <f t="shared" si="8"/>
        <v>3.1736526946107784</v>
      </c>
      <c r="X46" s="18">
        <f>VLOOKUP(A:A,[1]TDSheet!$A:$Y,25,0)</f>
        <v>4.2</v>
      </c>
      <c r="Y46" s="18">
        <f>VLOOKUP(A:A,[1]TDSheet!$A:$Z,26,0)</f>
        <v>15</v>
      </c>
      <c r="Z46" s="18">
        <f>VLOOKUP(A:A,[1]TDSheet!$A:$AA,27,0)</f>
        <v>-1.4</v>
      </c>
      <c r="AA46" s="18">
        <f>VLOOKUP(A:A,[1]TDSheet!$A:$R,18,0)</f>
        <v>4.5999999999999996</v>
      </c>
      <c r="AB46" s="18"/>
      <c r="AC46" s="18">
        <f t="shared" si="9"/>
        <v>125.99999999999999</v>
      </c>
    </row>
    <row r="47" spans="1:29" ht="10.9" customHeight="1" x14ac:dyDescent="0.2">
      <c r="A47" s="9" t="s">
        <v>51</v>
      </c>
      <c r="B47" s="9" t="s">
        <v>16</v>
      </c>
      <c r="C47" s="9">
        <f>VLOOKUP(A:A,[1]TDSheet!$A:$C,3,0)</f>
        <v>6608</v>
      </c>
      <c r="D47" s="10">
        <v>49.835999999999999</v>
      </c>
      <c r="E47" s="10">
        <v>362.15600000000001</v>
      </c>
      <c r="F47" s="10">
        <v>191.846</v>
      </c>
      <c r="G47" s="10">
        <v>213.072</v>
      </c>
      <c r="H47" s="5">
        <f>VLOOKUP(A:A,[1]TDSheet!$A:$H,8,0)</f>
        <v>1</v>
      </c>
      <c r="I47" s="5">
        <f>VLOOKUP(A:A,[1]TDSheet!$A:$I,9,0)</f>
        <v>45</v>
      </c>
      <c r="J47" s="5" t="str">
        <f>VLOOKUP(A:A,[1]TDSheet!$A:$J,10,0)</f>
        <v>в матрице</v>
      </c>
      <c r="L47" s="18">
        <f>VLOOKUP(A:A,[2]TDSheet!$A:$B,2,0)</f>
        <v>200</v>
      </c>
      <c r="M47" s="18">
        <f t="shared" si="5"/>
        <v>-8.1539999999999964</v>
      </c>
      <c r="N47" s="18"/>
      <c r="O47" s="18"/>
      <c r="P47" s="18"/>
      <c r="Q47" s="18">
        <f>VLOOKUP(A:A,[1]TDSheet!$A:$S,19,0)</f>
        <v>80</v>
      </c>
      <c r="R47" s="18">
        <f t="shared" si="6"/>
        <v>38.369199999999999</v>
      </c>
      <c r="S47" s="19">
        <v>240</v>
      </c>
      <c r="T47" s="19"/>
      <c r="U47" s="18"/>
      <c r="V47" s="18">
        <f t="shared" si="7"/>
        <v>13.893226859043191</v>
      </c>
      <c r="W47" s="18">
        <f t="shared" si="8"/>
        <v>5.5532041324812615</v>
      </c>
      <c r="X47" s="18">
        <f>VLOOKUP(A:A,[1]TDSheet!$A:$Y,25,0)</f>
        <v>24.531200000000002</v>
      </c>
      <c r="Y47" s="18">
        <f>VLOOKUP(A:A,[1]TDSheet!$A:$Z,26,0)</f>
        <v>31.277200000000001</v>
      </c>
      <c r="Z47" s="18">
        <f>VLOOKUP(A:A,[1]TDSheet!$A:$AA,27,0)</f>
        <v>40.723599999999998</v>
      </c>
      <c r="AA47" s="18">
        <f>VLOOKUP(A:A,[1]TDSheet!$A:$R,18,0)</f>
        <v>34.367399999999996</v>
      </c>
      <c r="AB47" s="18"/>
      <c r="AC47" s="18">
        <f t="shared" si="9"/>
        <v>240</v>
      </c>
    </row>
    <row r="48" spans="1:29" ht="10.9" customHeight="1" x14ac:dyDescent="0.2">
      <c r="A48" s="9" t="s">
        <v>52</v>
      </c>
      <c r="B48" s="9" t="s">
        <v>14</v>
      </c>
      <c r="C48" s="9">
        <f>VLOOKUP(A:A,[1]TDSheet!$A:$C,3,0)</f>
        <v>6616</v>
      </c>
      <c r="D48" s="10">
        <v>80</v>
      </c>
      <c r="E48" s="10">
        <v>41</v>
      </c>
      <c r="F48" s="10">
        <v>114</v>
      </c>
      <c r="G48" s="10">
        <v>5</v>
      </c>
      <c r="H48" s="5">
        <f>VLOOKUP(A:A,[1]TDSheet!$A:$H,8,0)</f>
        <v>0.3</v>
      </c>
      <c r="I48" s="5">
        <f>VLOOKUP(A:A,[1]TDSheet!$A:$I,9,0)</f>
        <v>45</v>
      </c>
      <c r="J48" s="5" t="str">
        <f>VLOOKUP(A:A,[1]TDSheet!$A:$J,10,0)</f>
        <v>в матрице</v>
      </c>
      <c r="L48" s="18">
        <f>VLOOKUP(A:A,[2]TDSheet!$A:$B,2,0)</f>
        <v>234</v>
      </c>
      <c r="M48" s="18">
        <f t="shared" si="5"/>
        <v>-120</v>
      </c>
      <c r="N48" s="18"/>
      <c r="O48" s="18"/>
      <c r="P48" s="18"/>
      <c r="Q48" s="18">
        <f>VLOOKUP(A:A,[1]TDSheet!$A:$S,19,0)</f>
        <v>270</v>
      </c>
      <c r="R48" s="18">
        <f t="shared" si="6"/>
        <v>22.8</v>
      </c>
      <c r="S48" s="19">
        <v>160</v>
      </c>
      <c r="T48" s="19"/>
      <c r="U48" s="18"/>
      <c r="V48" s="18">
        <f t="shared" si="7"/>
        <v>19.078947368421051</v>
      </c>
      <c r="W48" s="18">
        <f t="shared" si="8"/>
        <v>0.21929824561403508</v>
      </c>
      <c r="X48" s="18">
        <f>VLOOKUP(A:A,[1]TDSheet!$A:$Y,25,0)</f>
        <v>24.4</v>
      </c>
      <c r="Y48" s="18">
        <f>VLOOKUP(A:A,[1]TDSheet!$A:$Z,26,0)</f>
        <v>21.6</v>
      </c>
      <c r="Z48" s="18">
        <f>VLOOKUP(A:A,[1]TDSheet!$A:$AA,27,0)</f>
        <v>19.2</v>
      </c>
      <c r="AA48" s="18">
        <f>VLOOKUP(A:A,[1]TDSheet!$A:$R,18,0)</f>
        <v>28</v>
      </c>
      <c r="AB48" s="18"/>
      <c r="AC48" s="18">
        <f t="shared" si="9"/>
        <v>48</v>
      </c>
    </row>
    <row r="49" spans="1:29" ht="10.9" customHeight="1" x14ac:dyDescent="0.2">
      <c r="A49" s="9" t="s">
        <v>53</v>
      </c>
      <c r="B49" s="9" t="s">
        <v>16</v>
      </c>
      <c r="C49" s="9">
        <f>VLOOKUP(A:A,[1]TDSheet!$A:$C,3,0)</f>
        <v>6620</v>
      </c>
      <c r="D49" s="10">
        <v>48.264000000000003</v>
      </c>
      <c r="E49" s="10">
        <v>218.97800000000001</v>
      </c>
      <c r="F49" s="10">
        <v>118.798</v>
      </c>
      <c r="G49" s="10">
        <v>148.44399999999999</v>
      </c>
      <c r="H49" s="5">
        <f>VLOOKUP(A:A,[1]TDSheet!$A:$H,8,0)</f>
        <v>1</v>
      </c>
      <c r="I49" s="5">
        <f>VLOOKUP(A:A,[1]TDSheet!$A:$I,9,0)</f>
        <v>0</v>
      </c>
      <c r="J49" s="5" t="str">
        <f>VLOOKUP(A:A,[1]TDSheet!$A:$J,10,0)</f>
        <v>опты</v>
      </c>
      <c r="L49" s="18">
        <f>VLOOKUP(A:A,[2]TDSheet!$A:$B,2,0)</f>
        <v>114.5</v>
      </c>
      <c r="M49" s="18">
        <f t="shared" si="5"/>
        <v>4.2980000000000018</v>
      </c>
      <c r="N49" s="18"/>
      <c r="O49" s="18"/>
      <c r="P49" s="18"/>
      <c r="Q49" s="18">
        <f>VLOOKUP(A:A,[1]TDSheet!$A:$S,19,0)</f>
        <v>0</v>
      </c>
      <c r="R49" s="18">
        <f t="shared" si="6"/>
        <v>23.759599999999999</v>
      </c>
      <c r="S49" s="19">
        <v>180</v>
      </c>
      <c r="T49" s="19"/>
      <c r="U49" s="18"/>
      <c r="V49" s="18">
        <f t="shared" si="7"/>
        <v>13.82363339450159</v>
      </c>
      <c r="W49" s="18">
        <f t="shared" si="8"/>
        <v>6.2477482785905485</v>
      </c>
      <c r="X49" s="18">
        <f>VLOOKUP(A:A,[1]TDSheet!$A:$Y,25,0)</f>
        <v>10.706799999999999</v>
      </c>
      <c r="Y49" s="18">
        <f>VLOOKUP(A:A,[1]TDSheet!$A:$Z,26,0)</f>
        <v>12.626000000000001</v>
      </c>
      <c r="Z49" s="18">
        <f>VLOOKUP(A:A,[1]TDSheet!$A:$AA,27,0)</f>
        <v>30.823200000000003</v>
      </c>
      <c r="AA49" s="18">
        <f>VLOOKUP(A:A,[1]TDSheet!$A:$R,18,0)</f>
        <v>5.3927999999999994</v>
      </c>
      <c r="AB49" s="18" t="str">
        <f>VLOOKUP(A:A,[1]TDSheet!$A:$AB,28,0)</f>
        <v>зв</v>
      </c>
      <c r="AC49" s="18">
        <f t="shared" si="9"/>
        <v>180</v>
      </c>
    </row>
    <row r="50" spans="1:29" ht="10.9" customHeight="1" x14ac:dyDescent="0.2">
      <c r="A50" s="9" t="s">
        <v>54</v>
      </c>
      <c r="B50" s="9" t="s">
        <v>16</v>
      </c>
      <c r="C50" s="9">
        <f>VLOOKUP(A:A,[1]TDSheet!$A:$C,3,0)</f>
        <v>6661</v>
      </c>
      <c r="D50" s="10">
        <v>212.67400000000001</v>
      </c>
      <c r="E50" s="10">
        <v>162.08600000000001</v>
      </c>
      <c r="F50" s="10">
        <v>173.9</v>
      </c>
      <c r="G50" s="10">
        <v>195.41200000000001</v>
      </c>
      <c r="H50" s="5">
        <f>VLOOKUP(A:A,[1]TDSheet!$A:$H,8,0)</f>
        <v>1</v>
      </c>
      <c r="I50" s="5">
        <f>VLOOKUP(A:A,[1]TDSheet!$A:$I,9,0)</f>
        <v>45</v>
      </c>
      <c r="J50" s="5" t="str">
        <f>VLOOKUP(A:A,[1]TDSheet!$A:$J,10,0)</f>
        <v>в матрице</v>
      </c>
      <c r="L50" s="18">
        <f>VLOOKUP(A:A,[2]TDSheet!$A:$B,2,0)</f>
        <v>174.2</v>
      </c>
      <c r="M50" s="18">
        <f t="shared" si="5"/>
        <v>-0.29999999999998295</v>
      </c>
      <c r="N50" s="18"/>
      <c r="O50" s="18"/>
      <c r="P50" s="18"/>
      <c r="Q50" s="18">
        <f>VLOOKUP(A:A,[1]TDSheet!$A:$S,19,0)</f>
        <v>110</v>
      </c>
      <c r="R50" s="18">
        <f t="shared" si="6"/>
        <v>34.78</v>
      </c>
      <c r="S50" s="19">
        <v>180</v>
      </c>
      <c r="T50" s="19"/>
      <c r="U50" s="18"/>
      <c r="V50" s="18">
        <f t="shared" si="7"/>
        <v>13.95664174813111</v>
      </c>
      <c r="W50" s="18">
        <f t="shared" si="8"/>
        <v>5.6185163887291543</v>
      </c>
      <c r="X50" s="18">
        <f>VLOOKUP(A:A,[1]TDSheet!$A:$Y,25,0)</f>
        <v>45.942</v>
      </c>
      <c r="Y50" s="18">
        <f>VLOOKUP(A:A,[1]TDSheet!$A:$Z,26,0)</f>
        <v>37.513400000000004</v>
      </c>
      <c r="Z50" s="18">
        <f>VLOOKUP(A:A,[1]TDSheet!$A:$AA,27,0)</f>
        <v>37.8416</v>
      </c>
      <c r="AA50" s="18">
        <f>VLOOKUP(A:A,[1]TDSheet!$A:$R,18,0)</f>
        <v>33.724800000000002</v>
      </c>
      <c r="AB50" s="18"/>
      <c r="AC50" s="18">
        <f t="shared" si="9"/>
        <v>180</v>
      </c>
    </row>
    <row r="51" spans="1:29" ht="10.9" customHeight="1" x14ac:dyDescent="0.2">
      <c r="A51" s="9" t="s">
        <v>55</v>
      </c>
      <c r="B51" s="9" t="s">
        <v>14</v>
      </c>
      <c r="C51" s="9">
        <f>VLOOKUP(A:A,[1]TDSheet!$A:$C,3,0)</f>
        <v>6697</v>
      </c>
      <c r="D51" s="10">
        <v>-5</v>
      </c>
      <c r="E51" s="10">
        <v>725</v>
      </c>
      <c r="F51" s="10">
        <v>297</v>
      </c>
      <c r="G51" s="10">
        <v>414</v>
      </c>
      <c r="H51" s="5">
        <f>VLOOKUP(A:A,[1]TDSheet!$A:$H,8,0)</f>
        <v>0.35</v>
      </c>
      <c r="I51" s="5">
        <f>VLOOKUP(A:A,[1]TDSheet!$A:$I,9,0)</f>
        <v>45</v>
      </c>
      <c r="J51" s="5" t="str">
        <f>VLOOKUP(A:A,[1]TDSheet!$A:$J,10,0)</f>
        <v>в матрице</v>
      </c>
      <c r="L51" s="18">
        <f>VLOOKUP(A:A,[2]TDSheet!$A:$B,2,0)</f>
        <v>367</v>
      </c>
      <c r="M51" s="18">
        <f t="shared" si="5"/>
        <v>-70</v>
      </c>
      <c r="N51" s="18"/>
      <c r="O51" s="18"/>
      <c r="P51" s="18"/>
      <c r="Q51" s="18">
        <f>VLOOKUP(A:A,[1]TDSheet!$A:$S,19,0)</f>
        <v>400</v>
      </c>
      <c r="R51" s="18">
        <f t="shared" si="6"/>
        <v>59.4</v>
      </c>
      <c r="S51" s="19">
        <v>240</v>
      </c>
      <c r="T51" s="19"/>
      <c r="U51" s="18"/>
      <c r="V51" s="18">
        <f t="shared" si="7"/>
        <v>17.744107744107744</v>
      </c>
      <c r="W51" s="18">
        <f t="shared" si="8"/>
        <v>6.9696969696969697</v>
      </c>
      <c r="X51" s="18">
        <f>VLOOKUP(A:A,[1]TDSheet!$A:$Y,25,0)</f>
        <v>68.599999999999994</v>
      </c>
      <c r="Y51" s="18">
        <f>VLOOKUP(A:A,[1]TDSheet!$A:$Z,26,0)</f>
        <v>52.8</v>
      </c>
      <c r="Z51" s="18">
        <f>VLOOKUP(A:A,[1]TDSheet!$A:$AA,27,0)</f>
        <v>74.8</v>
      </c>
      <c r="AA51" s="18">
        <f>VLOOKUP(A:A,[1]TDSheet!$A:$R,18,0)</f>
        <v>66.400000000000006</v>
      </c>
      <c r="AB51" s="18"/>
      <c r="AC51" s="18">
        <f t="shared" si="9"/>
        <v>84</v>
      </c>
    </row>
    <row r="52" spans="1:29" ht="10.9" customHeight="1" x14ac:dyDescent="0.2">
      <c r="A52" s="9" t="s">
        <v>56</v>
      </c>
      <c r="B52" s="9" t="s">
        <v>14</v>
      </c>
      <c r="C52" s="9">
        <f>VLOOKUP(A:A,[1]TDSheet!$A:$C,3,0)</f>
        <v>6713</v>
      </c>
      <c r="D52" s="10">
        <v>3</v>
      </c>
      <c r="E52" s="10">
        <v>720</v>
      </c>
      <c r="F52" s="10">
        <v>188</v>
      </c>
      <c r="G52" s="10">
        <v>519</v>
      </c>
      <c r="H52" s="5">
        <f>VLOOKUP(A:A,[1]TDSheet!$A:$H,8,0)</f>
        <v>0.41</v>
      </c>
      <c r="I52" s="5">
        <f>VLOOKUP(A:A,[1]TDSheet!$A:$I,9,0)</f>
        <v>45</v>
      </c>
      <c r="J52" s="5" t="str">
        <f>VLOOKUP(A:A,[1]TDSheet!$A:$J,10,0)</f>
        <v>в матрице</v>
      </c>
      <c r="L52" s="18">
        <f>VLOOKUP(A:A,[2]TDSheet!$A:$B,2,0)</f>
        <v>289</v>
      </c>
      <c r="M52" s="18">
        <f t="shared" si="5"/>
        <v>-101</v>
      </c>
      <c r="N52" s="18"/>
      <c r="O52" s="18"/>
      <c r="P52" s="18"/>
      <c r="Q52" s="18">
        <f>VLOOKUP(A:A,[1]TDSheet!$A:$S,19,0)</f>
        <v>160</v>
      </c>
      <c r="R52" s="18">
        <f t="shared" si="6"/>
        <v>37.6</v>
      </c>
      <c r="S52" s="19"/>
      <c r="T52" s="19"/>
      <c r="U52" s="18"/>
      <c r="V52" s="18">
        <f t="shared" si="7"/>
        <v>18.058510638297872</v>
      </c>
      <c r="W52" s="18">
        <f t="shared" si="8"/>
        <v>13.803191489361701</v>
      </c>
      <c r="X52" s="18">
        <f>VLOOKUP(A:A,[1]TDSheet!$A:$Y,25,0)</f>
        <v>39.4</v>
      </c>
      <c r="Y52" s="18">
        <f>VLOOKUP(A:A,[1]TDSheet!$A:$Z,26,0)</f>
        <v>22.6</v>
      </c>
      <c r="Z52" s="18">
        <f>VLOOKUP(A:A,[1]TDSheet!$A:$AA,27,0)</f>
        <v>55.4</v>
      </c>
      <c r="AA52" s="18">
        <f>VLOOKUP(A:A,[1]TDSheet!$A:$R,18,0)</f>
        <v>6.2</v>
      </c>
      <c r="AB52" s="18" t="str">
        <f>VLOOKUP(A:A,[1]TDSheet!$A:$AB,28,0)</f>
        <v>300тф</v>
      </c>
      <c r="AC52" s="18">
        <f t="shared" si="9"/>
        <v>0</v>
      </c>
    </row>
    <row r="53" spans="1:29" ht="10.9" customHeight="1" x14ac:dyDescent="0.2">
      <c r="A53" s="9" t="s">
        <v>57</v>
      </c>
      <c r="B53" s="9" t="s">
        <v>14</v>
      </c>
      <c r="C53" s="9">
        <f>VLOOKUP(A:A,[1]TDSheet!$A:$C,3,0)</f>
        <v>6724</v>
      </c>
      <c r="D53" s="10">
        <v>1</v>
      </c>
      <c r="E53" s="10">
        <v>420</v>
      </c>
      <c r="F53" s="10">
        <v>127</v>
      </c>
      <c r="G53" s="10">
        <v>294</v>
      </c>
      <c r="H53" s="5">
        <f>VLOOKUP(A:A,[1]TDSheet!$A:$H,8,0)</f>
        <v>0.41</v>
      </c>
      <c r="I53" s="5">
        <f>VLOOKUP(A:A,[1]TDSheet!$A:$I,9,0)</f>
        <v>45</v>
      </c>
      <c r="J53" s="5" t="str">
        <f>VLOOKUP(A:A,[1]TDSheet!$A:$J,10,0)</f>
        <v>в матрице</v>
      </c>
      <c r="L53" s="18">
        <f>VLOOKUP(A:A,[2]TDSheet!$A:$B,2,0)</f>
        <v>177</v>
      </c>
      <c r="M53" s="18">
        <f t="shared" si="5"/>
        <v>-50</v>
      </c>
      <c r="N53" s="18"/>
      <c r="O53" s="18"/>
      <c r="P53" s="18"/>
      <c r="Q53" s="18">
        <f>VLOOKUP(A:A,[1]TDSheet!$A:$S,19,0)</f>
        <v>150</v>
      </c>
      <c r="R53" s="18">
        <f t="shared" si="6"/>
        <v>25.4</v>
      </c>
      <c r="S53" s="19"/>
      <c r="T53" s="19"/>
      <c r="U53" s="18"/>
      <c r="V53" s="18">
        <f t="shared" si="7"/>
        <v>17.480314960629922</v>
      </c>
      <c r="W53" s="18">
        <f t="shared" si="8"/>
        <v>11.5748031496063</v>
      </c>
      <c r="X53" s="18">
        <f>VLOOKUP(A:A,[1]TDSheet!$A:$Y,25,0)</f>
        <v>28.6</v>
      </c>
      <c r="Y53" s="18">
        <f>VLOOKUP(A:A,[1]TDSheet!$A:$Z,26,0)</f>
        <v>21.4</v>
      </c>
      <c r="Z53" s="18">
        <f>VLOOKUP(A:A,[1]TDSheet!$A:$AA,27,0)</f>
        <v>38.6</v>
      </c>
      <c r="AA53" s="18">
        <f>VLOOKUP(A:A,[1]TDSheet!$A:$R,18,0)</f>
        <v>22.2</v>
      </c>
      <c r="AB53" s="18"/>
      <c r="AC53" s="18">
        <f t="shared" si="9"/>
        <v>0</v>
      </c>
    </row>
    <row r="54" spans="1:29" ht="10.9" customHeight="1" x14ac:dyDescent="0.2">
      <c r="A54" s="9" t="s">
        <v>58</v>
      </c>
      <c r="B54" s="9" t="s">
        <v>14</v>
      </c>
      <c r="C54" s="9">
        <f>VLOOKUP(A:A,[1]TDSheet!$A:$C,3,0)</f>
        <v>6765</v>
      </c>
      <c r="D54" s="10">
        <v>1</v>
      </c>
      <c r="E54" s="10">
        <v>558</v>
      </c>
      <c r="F54" s="10">
        <v>196</v>
      </c>
      <c r="G54" s="10">
        <v>362</v>
      </c>
      <c r="H54" s="5">
        <f>VLOOKUP(A:A,[1]TDSheet!$A:$H,8,0)</f>
        <v>0.36</v>
      </c>
      <c r="I54" s="5">
        <f>VLOOKUP(A:A,[1]TDSheet!$A:$I,9,0)</f>
        <v>45</v>
      </c>
      <c r="J54" s="5" t="str">
        <f>VLOOKUP(A:A,[1]TDSheet!$A:$J,10,0)</f>
        <v>в матрице</v>
      </c>
      <c r="L54" s="18">
        <f>VLOOKUP(A:A,[2]TDSheet!$A:$B,2,0)</f>
        <v>203</v>
      </c>
      <c r="M54" s="18">
        <f t="shared" si="5"/>
        <v>-7</v>
      </c>
      <c r="N54" s="18"/>
      <c r="O54" s="18"/>
      <c r="P54" s="18"/>
      <c r="Q54" s="18">
        <f>VLOOKUP(A:A,[1]TDSheet!$A:$S,19,0)</f>
        <v>100</v>
      </c>
      <c r="R54" s="18">
        <f t="shared" si="6"/>
        <v>39.200000000000003</v>
      </c>
      <c r="S54" s="19">
        <v>80</v>
      </c>
      <c r="T54" s="19"/>
      <c r="U54" s="18"/>
      <c r="V54" s="18">
        <f t="shared" si="7"/>
        <v>13.826530612244897</v>
      </c>
      <c r="W54" s="18">
        <f t="shared" si="8"/>
        <v>9.2346938775510203</v>
      </c>
      <c r="X54" s="18">
        <f>VLOOKUP(A:A,[1]TDSheet!$A:$Y,25,0)</f>
        <v>19.399999999999999</v>
      </c>
      <c r="Y54" s="18">
        <f>VLOOKUP(A:A,[1]TDSheet!$A:$Z,26,0)</f>
        <v>11</v>
      </c>
      <c r="Z54" s="18">
        <f>VLOOKUP(A:A,[1]TDSheet!$A:$AA,27,0)</f>
        <v>41.8</v>
      </c>
      <c r="AA54" s="18">
        <f>VLOOKUP(A:A,[1]TDSheet!$A:$R,18,0)</f>
        <v>2.6</v>
      </c>
      <c r="AB54" s="18"/>
      <c r="AC54" s="18">
        <f t="shared" si="9"/>
        <v>28.799999999999997</v>
      </c>
    </row>
    <row r="55" spans="1:29" ht="10.9" customHeight="1" x14ac:dyDescent="0.2">
      <c r="A55" s="21" t="s">
        <v>59</v>
      </c>
      <c r="B55" s="9" t="s">
        <v>14</v>
      </c>
      <c r="C55" s="9">
        <f>VLOOKUP(A:A,[1]TDSheet!$A:$C,3,0)</f>
        <v>6787</v>
      </c>
      <c r="D55" s="10">
        <v>2</v>
      </c>
      <c r="E55" s="10">
        <v>320</v>
      </c>
      <c r="F55" s="10">
        <v>63</v>
      </c>
      <c r="G55" s="10">
        <v>258</v>
      </c>
      <c r="H55" s="5">
        <f>VLOOKUP(A:A,[1]TDSheet!$A:$H,8,0)</f>
        <v>0.33</v>
      </c>
      <c r="I55" s="5">
        <f>VLOOKUP(A:A,[1]TDSheet!$A:$I,9,0)</f>
        <v>45</v>
      </c>
      <c r="J55" s="5" t="str">
        <f>VLOOKUP(A:A,[1]TDSheet!$A:$J,10,0)</f>
        <v>в матрице</v>
      </c>
      <c r="L55" s="18">
        <f>VLOOKUP(A:A,[2]TDSheet!$A:$B,2,0)</f>
        <v>77</v>
      </c>
      <c r="M55" s="18">
        <f t="shared" si="5"/>
        <v>-14</v>
      </c>
      <c r="N55" s="18"/>
      <c r="O55" s="18"/>
      <c r="P55" s="18"/>
      <c r="Q55" s="18">
        <f>VLOOKUP(A:A,[1]TDSheet!$A:$S,19,0)</f>
        <v>120</v>
      </c>
      <c r="R55" s="18">
        <f t="shared" si="6"/>
        <v>12.6</v>
      </c>
      <c r="S55" s="19"/>
      <c r="T55" s="19"/>
      <c r="U55" s="18"/>
      <c r="V55" s="18">
        <f t="shared" si="7"/>
        <v>30</v>
      </c>
      <c r="W55" s="18">
        <f t="shared" si="8"/>
        <v>20.476190476190478</v>
      </c>
      <c r="X55" s="18">
        <f>VLOOKUP(A:A,[1]TDSheet!$A:$Y,25,0)</f>
        <v>16.8</v>
      </c>
      <c r="Y55" s="18">
        <f>VLOOKUP(A:A,[1]TDSheet!$A:$Z,26,0)</f>
        <v>8.8000000000000007</v>
      </c>
      <c r="Z55" s="18">
        <f>VLOOKUP(A:A,[1]TDSheet!$A:$AA,27,0)</f>
        <v>26.4</v>
      </c>
      <c r="AA55" s="18">
        <f>VLOOKUP(A:A,[1]TDSheet!$A:$R,18,0)</f>
        <v>10.199999999999999</v>
      </c>
      <c r="AB55" s="18"/>
      <c r="AC55" s="18">
        <f t="shared" si="9"/>
        <v>0</v>
      </c>
    </row>
    <row r="56" spans="1:29" ht="10.9" customHeight="1" x14ac:dyDescent="0.2">
      <c r="A56" s="9" t="s">
        <v>60</v>
      </c>
      <c r="B56" s="9" t="s">
        <v>14</v>
      </c>
      <c r="C56" s="9">
        <f>VLOOKUP(A:A,[1]TDSheet!$A:$C,3,0)</f>
        <v>6797</v>
      </c>
      <c r="D56" s="10">
        <v>124</v>
      </c>
      <c r="E56" s="10">
        <v>3</v>
      </c>
      <c r="F56" s="10">
        <v>125</v>
      </c>
      <c r="G56" s="10"/>
      <c r="H56" s="5">
        <f>VLOOKUP(A:A,[1]TDSheet!$A:$H,8,0)</f>
        <v>0.4</v>
      </c>
      <c r="L56" s="18">
        <f>VLOOKUP(A:A,[2]TDSheet!$A:$B,2,0)</f>
        <v>173</v>
      </c>
      <c r="M56" s="18">
        <f t="shared" si="5"/>
        <v>-48</v>
      </c>
      <c r="N56" s="18"/>
      <c r="O56" s="18"/>
      <c r="P56" s="18"/>
      <c r="Q56" s="18">
        <f>VLOOKUP(A:A,[1]TDSheet!$A:$S,19,0)</f>
        <v>220</v>
      </c>
      <c r="R56" s="18">
        <f t="shared" si="6"/>
        <v>25</v>
      </c>
      <c r="S56" s="19">
        <v>160</v>
      </c>
      <c r="T56" s="19"/>
      <c r="U56" s="18"/>
      <c r="V56" s="18">
        <f t="shared" si="7"/>
        <v>15.2</v>
      </c>
      <c r="W56" s="18">
        <f t="shared" si="8"/>
        <v>0</v>
      </c>
      <c r="X56" s="18">
        <f>VLOOKUP(A:A,[1]TDSheet!$A:$Y,25,0)</f>
        <v>0</v>
      </c>
      <c r="Y56" s="18">
        <f>VLOOKUP(A:A,[1]TDSheet!$A:$Z,26,0)</f>
        <v>0</v>
      </c>
      <c r="Z56" s="18">
        <f>VLOOKUP(A:A,[1]TDSheet!$A:$AA,27,0)</f>
        <v>19.8</v>
      </c>
      <c r="AA56" s="18">
        <f>VLOOKUP(A:A,[1]TDSheet!$A:$R,18,0)</f>
        <v>35.6</v>
      </c>
      <c r="AB56" s="18"/>
      <c r="AC56" s="18">
        <f t="shared" si="9"/>
        <v>64</v>
      </c>
    </row>
    <row r="57" spans="1:29" ht="10.9" customHeight="1" x14ac:dyDescent="0.2">
      <c r="A57" s="9" t="s">
        <v>61</v>
      </c>
      <c r="B57" s="9" t="s">
        <v>14</v>
      </c>
      <c r="C57" s="9">
        <f>VLOOKUP(A:A,[1]TDSheet!$A:$C,3,0)</f>
        <v>6807</v>
      </c>
      <c r="D57" s="10">
        <v>28</v>
      </c>
      <c r="E57" s="10">
        <v>96</v>
      </c>
      <c r="F57" s="10">
        <v>41</v>
      </c>
      <c r="G57" s="10">
        <v>83</v>
      </c>
      <c r="H57" s="5">
        <f>VLOOKUP(A:A,[1]TDSheet!$A:$H,8,0)</f>
        <v>0.33</v>
      </c>
      <c r="I57" s="5">
        <f>VLOOKUP(A:A,[1]TDSheet!$A:$I,9,0)</f>
        <v>45</v>
      </c>
      <c r="J57" s="5" t="str">
        <f>VLOOKUP(A:A,[1]TDSheet!$A:$J,10,0)</f>
        <v>в матрице</v>
      </c>
      <c r="L57" s="18">
        <f>VLOOKUP(A:A,[2]TDSheet!$A:$B,2,0)</f>
        <v>45</v>
      </c>
      <c r="M57" s="18">
        <f t="shared" si="5"/>
        <v>-4</v>
      </c>
      <c r="N57" s="18"/>
      <c r="O57" s="18"/>
      <c r="P57" s="18"/>
      <c r="Q57" s="18">
        <f>VLOOKUP(A:A,[1]TDSheet!$A:$S,19,0)</f>
        <v>50</v>
      </c>
      <c r="R57" s="18">
        <f t="shared" si="6"/>
        <v>8.1999999999999993</v>
      </c>
      <c r="S57" s="19"/>
      <c r="T57" s="19"/>
      <c r="U57" s="18"/>
      <c r="V57" s="18">
        <f t="shared" si="7"/>
        <v>16.219512195121954</v>
      </c>
      <c r="W57" s="18">
        <f t="shared" si="8"/>
        <v>10.121951219512196</v>
      </c>
      <c r="X57" s="18">
        <f>VLOOKUP(A:A,[1]TDSheet!$A:$Y,25,0)</f>
        <v>5.8</v>
      </c>
      <c r="Y57" s="18">
        <f>VLOOKUP(A:A,[1]TDSheet!$A:$Z,26,0)</f>
        <v>6.2</v>
      </c>
      <c r="Z57" s="18">
        <f>VLOOKUP(A:A,[1]TDSheet!$A:$AA,27,0)</f>
        <v>13.4</v>
      </c>
      <c r="AA57" s="18">
        <f>VLOOKUP(A:A,[1]TDSheet!$A:$R,18,0)</f>
        <v>11</v>
      </c>
      <c r="AB57" s="18"/>
      <c r="AC57" s="18">
        <f t="shared" si="9"/>
        <v>0</v>
      </c>
    </row>
    <row r="58" spans="1:29" ht="10.9" customHeight="1" x14ac:dyDescent="0.2">
      <c r="A58" s="9" t="s">
        <v>62</v>
      </c>
      <c r="B58" s="9" t="s">
        <v>16</v>
      </c>
      <c r="C58" s="9">
        <f>VLOOKUP(A:A,[1]TDSheet!$A:$C,3,0)</f>
        <v>6829</v>
      </c>
      <c r="D58" s="10">
        <v>275.495</v>
      </c>
      <c r="E58" s="10">
        <v>253.97200000000001</v>
      </c>
      <c r="F58" s="10">
        <v>365.851</v>
      </c>
      <c r="G58" s="10">
        <v>156.53800000000001</v>
      </c>
      <c r="H58" s="5">
        <f>VLOOKUP(A:A,[1]TDSheet!$A:$H,8,0)</f>
        <v>1</v>
      </c>
      <c r="I58" s="5">
        <f>VLOOKUP(A:A,[1]TDSheet!$A:$I,9,0)</f>
        <v>45</v>
      </c>
      <c r="J58" s="5" t="str">
        <f>VLOOKUP(A:A,[1]TDSheet!$A:$J,10,0)</f>
        <v>в матрице</v>
      </c>
      <c r="L58" s="18">
        <f>VLOOKUP(A:A,[2]TDSheet!$A:$B,2,0)</f>
        <v>353.5</v>
      </c>
      <c r="M58" s="18">
        <f t="shared" si="5"/>
        <v>12.350999999999999</v>
      </c>
      <c r="N58" s="18"/>
      <c r="O58" s="18"/>
      <c r="P58" s="18"/>
      <c r="Q58" s="18">
        <f>VLOOKUP(A:A,[1]TDSheet!$A:$S,19,0)</f>
        <v>90</v>
      </c>
      <c r="R58" s="18">
        <f t="shared" si="6"/>
        <v>73.170199999999994</v>
      </c>
      <c r="S58" s="19">
        <v>700</v>
      </c>
      <c r="T58" s="19"/>
      <c r="U58" s="18"/>
      <c r="V58" s="18">
        <f t="shared" si="7"/>
        <v>12.936113335756907</v>
      </c>
      <c r="W58" s="18">
        <f t="shared" si="8"/>
        <v>2.1393682127423461</v>
      </c>
      <c r="X58" s="18">
        <f>VLOOKUP(A:A,[1]TDSheet!$A:$Y,25,0)</f>
        <v>47.639400000000002</v>
      </c>
      <c r="Y58" s="18">
        <f>VLOOKUP(A:A,[1]TDSheet!$A:$Z,26,0)</f>
        <v>54.067799999999998</v>
      </c>
      <c r="Z58" s="18">
        <f>VLOOKUP(A:A,[1]TDSheet!$A:$AA,27,0)</f>
        <v>22.008600000000001</v>
      </c>
      <c r="AA58" s="18">
        <f>VLOOKUP(A:A,[1]TDSheet!$A:$R,18,0)</f>
        <v>43.623599999999996</v>
      </c>
      <c r="AB58" s="18" t="str">
        <f>VLOOKUP(A:A,[1]TDSheet!$A:$AB,28,0)</f>
        <v>зв</v>
      </c>
      <c r="AC58" s="18">
        <f t="shared" si="9"/>
        <v>700</v>
      </c>
    </row>
    <row r="59" spans="1:29" ht="10.9" customHeight="1" x14ac:dyDescent="0.2">
      <c r="A59" s="9" t="s">
        <v>63</v>
      </c>
      <c r="B59" s="9" t="s">
        <v>14</v>
      </c>
      <c r="C59" s="9">
        <f>VLOOKUP(A:A,[1]TDSheet!$A:$C,3,0)</f>
        <v>6834</v>
      </c>
      <c r="D59" s="10">
        <v>182</v>
      </c>
      <c r="E59" s="10"/>
      <c r="F59" s="10">
        <v>45</v>
      </c>
      <c r="G59" s="10">
        <v>137</v>
      </c>
      <c r="H59" s="5">
        <f>VLOOKUP(A:A,[1]TDSheet!$A:$H,8,0)</f>
        <v>0.1</v>
      </c>
      <c r="L59" s="18">
        <f>VLOOKUP(A:A,[2]TDSheet!$A:$B,2,0)</f>
        <v>47</v>
      </c>
      <c r="M59" s="18">
        <f t="shared" si="5"/>
        <v>-2</v>
      </c>
      <c r="N59" s="18"/>
      <c r="O59" s="18"/>
      <c r="P59" s="18"/>
      <c r="Q59" s="18">
        <f>VLOOKUP(A:A,[1]TDSheet!$A:$S,19,0)</f>
        <v>0</v>
      </c>
      <c r="R59" s="18">
        <f t="shared" si="6"/>
        <v>9</v>
      </c>
      <c r="S59" s="19"/>
      <c r="T59" s="19"/>
      <c r="U59" s="18"/>
      <c r="V59" s="18">
        <f t="shared" si="7"/>
        <v>15.222222222222221</v>
      </c>
      <c r="W59" s="18">
        <f t="shared" si="8"/>
        <v>15.222222222222221</v>
      </c>
      <c r="X59" s="18">
        <f>VLOOKUP(A:A,[1]TDSheet!$A:$Y,25,0)</f>
        <v>13.6</v>
      </c>
      <c r="Y59" s="18">
        <f>VLOOKUP(A:A,[1]TDSheet!$A:$Z,26,0)</f>
        <v>9.6</v>
      </c>
      <c r="Z59" s="18">
        <f>VLOOKUP(A:A,[1]TDSheet!$A:$AA,27,0)</f>
        <v>5</v>
      </c>
      <c r="AA59" s="18">
        <f>VLOOKUP(A:A,[1]TDSheet!$A:$R,18,0)</f>
        <v>6.2</v>
      </c>
      <c r="AB59" s="18"/>
      <c r="AC59" s="18">
        <f t="shared" si="9"/>
        <v>0</v>
      </c>
    </row>
    <row r="60" spans="1:29" ht="10.9" customHeight="1" x14ac:dyDescent="0.2">
      <c r="A60" s="9" t="s">
        <v>64</v>
      </c>
      <c r="B60" s="9" t="s">
        <v>14</v>
      </c>
      <c r="C60" s="9">
        <f>VLOOKUP(A:A,[1]TDSheet!$A:$C,3,0)</f>
        <v>6837</v>
      </c>
      <c r="D60" s="10">
        <v>167</v>
      </c>
      <c r="E60" s="10">
        <v>97</v>
      </c>
      <c r="F60" s="10">
        <v>101</v>
      </c>
      <c r="G60" s="10">
        <v>156</v>
      </c>
      <c r="H60" s="5">
        <f>VLOOKUP(A:A,[1]TDSheet!$A:$H,8,0)</f>
        <v>0.4</v>
      </c>
      <c r="I60" s="5">
        <f>VLOOKUP(A:A,[1]TDSheet!$A:$I,9,0)</f>
        <v>45</v>
      </c>
      <c r="J60" s="5" t="str">
        <f>VLOOKUP(A:A,[1]TDSheet!$A:$J,10,0)</f>
        <v>в матрице</v>
      </c>
      <c r="L60" s="18">
        <f>VLOOKUP(A:A,[2]TDSheet!$A:$B,2,0)</f>
        <v>108</v>
      </c>
      <c r="M60" s="18">
        <f t="shared" si="5"/>
        <v>-7</v>
      </c>
      <c r="N60" s="18"/>
      <c r="O60" s="18"/>
      <c r="P60" s="18"/>
      <c r="Q60" s="18">
        <f>VLOOKUP(A:A,[1]TDSheet!$A:$S,19,0)</f>
        <v>100</v>
      </c>
      <c r="R60" s="18">
        <f t="shared" si="6"/>
        <v>20.2</v>
      </c>
      <c r="S60" s="19">
        <v>40</v>
      </c>
      <c r="T60" s="19"/>
      <c r="U60" s="18"/>
      <c r="V60" s="18">
        <f t="shared" si="7"/>
        <v>14.653465346534654</v>
      </c>
      <c r="W60" s="18">
        <f t="shared" si="8"/>
        <v>7.7227722772277234</v>
      </c>
      <c r="X60" s="18">
        <f>VLOOKUP(A:A,[1]TDSheet!$A:$Y,25,0)</f>
        <v>21</v>
      </c>
      <c r="Y60" s="18">
        <f>VLOOKUP(A:A,[1]TDSheet!$A:$Z,26,0)</f>
        <v>19.399999999999999</v>
      </c>
      <c r="Z60" s="18">
        <f>VLOOKUP(A:A,[1]TDSheet!$A:$AA,27,0)</f>
        <v>-1.4</v>
      </c>
      <c r="AA60" s="18">
        <f>VLOOKUP(A:A,[1]TDSheet!$A:$R,18,0)</f>
        <v>13.8</v>
      </c>
      <c r="AB60" s="18"/>
      <c r="AC60" s="18">
        <f t="shared" si="9"/>
        <v>16</v>
      </c>
    </row>
    <row r="61" spans="1:29" ht="10.9" customHeight="1" x14ac:dyDescent="0.2">
      <c r="A61" s="21" t="s">
        <v>65</v>
      </c>
      <c r="B61" s="9" t="s">
        <v>16</v>
      </c>
      <c r="C61" s="9">
        <f>VLOOKUP(A:A,[1]TDSheet!$A:$C,3,0)</f>
        <v>6861</v>
      </c>
      <c r="D61" s="10">
        <v>146.11699999999999</v>
      </c>
      <c r="E61" s="10">
        <v>1.948</v>
      </c>
      <c r="F61" s="10">
        <v>15.657999999999999</v>
      </c>
      <c r="G61" s="10">
        <v>132.40700000000001</v>
      </c>
      <c r="H61" s="5">
        <f>VLOOKUP(A:A,[1]TDSheet!$A:$H,8,0)</f>
        <v>1</v>
      </c>
      <c r="L61" s="18">
        <f>VLOOKUP(A:A,[2]TDSheet!$A:$B,2,0)</f>
        <v>15.2</v>
      </c>
      <c r="M61" s="18">
        <f t="shared" si="5"/>
        <v>0.45800000000000018</v>
      </c>
      <c r="N61" s="18"/>
      <c r="O61" s="18"/>
      <c r="P61" s="18"/>
      <c r="Q61" s="18">
        <f>VLOOKUP(A:A,[1]TDSheet!$A:$S,19,0)</f>
        <v>0</v>
      </c>
      <c r="R61" s="18">
        <f t="shared" si="6"/>
        <v>3.1315999999999997</v>
      </c>
      <c r="S61" s="19"/>
      <c r="T61" s="19"/>
      <c r="U61" s="18"/>
      <c r="V61" s="18">
        <f t="shared" si="7"/>
        <v>42.280942649125052</v>
      </c>
      <c r="W61" s="18">
        <f t="shared" si="8"/>
        <v>42.280942649125052</v>
      </c>
      <c r="X61" s="18">
        <f>VLOOKUP(A:A,[1]TDSheet!$A:$Y,25,0)</f>
        <v>1.1397999999999999</v>
      </c>
      <c r="Y61" s="18">
        <f>VLOOKUP(A:A,[1]TDSheet!$A:$Z,26,0)</f>
        <v>4.6787999999999998</v>
      </c>
      <c r="Z61" s="18">
        <f>VLOOKUP(A:A,[1]TDSheet!$A:$AA,27,0)</f>
        <v>1.5695999999999999</v>
      </c>
      <c r="AA61" s="18">
        <f>VLOOKUP(A:A,[1]TDSheet!$A:$R,18,0)</f>
        <v>4.6974</v>
      </c>
      <c r="AB61" s="18"/>
      <c r="AC61" s="18">
        <f t="shared" si="9"/>
        <v>0</v>
      </c>
    </row>
    <row r="62" spans="1:29" ht="10.9" customHeight="1" x14ac:dyDescent="0.2">
      <c r="A62" s="9" t="s">
        <v>66</v>
      </c>
      <c r="B62" s="9" t="s">
        <v>16</v>
      </c>
      <c r="C62" s="9">
        <f>VLOOKUP(A:A,[1]TDSheet!$A:$C,3,0)</f>
        <v>6866</v>
      </c>
      <c r="D62" s="10">
        <v>27.094999999999999</v>
      </c>
      <c r="E62" s="10">
        <v>17.975000000000001</v>
      </c>
      <c r="F62" s="10">
        <v>13.505000000000001</v>
      </c>
      <c r="G62" s="10">
        <v>31.565000000000001</v>
      </c>
      <c r="H62" s="5">
        <f>VLOOKUP(A:A,[1]TDSheet!$A:$H,8,0)</f>
        <v>1</v>
      </c>
      <c r="I62" s="5">
        <f>VLOOKUP(A:A,[1]TDSheet!$A:$I,9,0)</f>
        <v>60</v>
      </c>
      <c r="J62" s="5" t="str">
        <f>VLOOKUP(A:A,[1]TDSheet!$A:$J,10,0)</f>
        <v>в матрице</v>
      </c>
      <c r="L62" s="18">
        <f>VLOOKUP(A:A,[2]TDSheet!$A:$B,2,0)</f>
        <v>12.5</v>
      </c>
      <c r="M62" s="18">
        <f t="shared" si="5"/>
        <v>1.0050000000000008</v>
      </c>
      <c r="N62" s="18"/>
      <c r="O62" s="18"/>
      <c r="P62" s="18"/>
      <c r="Q62" s="18">
        <f>VLOOKUP(A:A,[1]TDSheet!$A:$S,19,0)</f>
        <v>5</v>
      </c>
      <c r="R62" s="18">
        <f t="shared" si="6"/>
        <v>2.7010000000000001</v>
      </c>
      <c r="S62" s="19"/>
      <c r="T62" s="19"/>
      <c r="U62" s="18"/>
      <c r="V62" s="18">
        <f t="shared" si="7"/>
        <v>13.537578674564974</v>
      </c>
      <c r="W62" s="18">
        <f t="shared" si="8"/>
        <v>11.686412439837097</v>
      </c>
      <c r="X62" s="18">
        <f>VLOOKUP(A:A,[1]TDSheet!$A:$Y,25,0)</f>
        <v>3.6340000000000003</v>
      </c>
      <c r="Y62" s="18">
        <f>VLOOKUP(A:A,[1]TDSheet!$A:$Z,26,0)</f>
        <v>1.7909999999999999</v>
      </c>
      <c r="Z62" s="18">
        <f>VLOOKUP(A:A,[1]TDSheet!$A:$AA,27,0)</f>
        <v>3.8869999999999996</v>
      </c>
      <c r="AA62" s="18">
        <f>VLOOKUP(A:A,[1]TDSheet!$A:$R,18,0)</f>
        <v>3.5880000000000001</v>
      </c>
      <c r="AB62" s="18"/>
      <c r="AC62" s="18">
        <f t="shared" si="9"/>
        <v>0</v>
      </c>
    </row>
    <row r="63" spans="1:29" ht="10.9" customHeight="1" x14ac:dyDescent="0.2">
      <c r="A63" s="21" t="s">
        <v>67</v>
      </c>
      <c r="B63" s="9" t="s">
        <v>16</v>
      </c>
      <c r="C63" s="9">
        <f>VLOOKUP(A:A,[1]TDSheet!$A:$C,3,0)</f>
        <v>6946</v>
      </c>
      <c r="D63" s="10">
        <v>45.514000000000003</v>
      </c>
      <c r="E63" s="10">
        <v>97.037999999999997</v>
      </c>
      <c r="F63" s="10">
        <v>0</v>
      </c>
      <c r="G63" s="10">
        <v>142.55199999999999</v>
      </c>
      <c r="H63" s="5">
        <f>VLOOKUP(A:A,[1]TDSheet!$A:$H,8,0)</f>
        <v>0.84</v>
      </c>
      <c r="L63" s="18">
        <v>0</v>
      </c>
      <c r="M63" s="18">
        <f t="shared" si="5"/>
        <v>0</v>
      </c>
      <c r="N63" s="18"/>
      <c r="O63" s="18"/>
      <c r="P63" s="18"/>
      <c r="Q63" s="18">
        <f>VLOOKUP(A:A,[1]TDSheet!$A:$S,19,0)</f>
        <v>0</v>
      </c>
      <c r="R63" s="18">
        <f t="shared" si="6"/>
        <v>0</v>
      </c>
      <c r="S63" s="19"/>
      <c r="T63" s="19"/>
      <c r="U63" s="18"/>
      <c r="V63" s="18" t="e">
        <f t="shared" si="7"/>
        <v>#DIV/0!</v>
      </c>
      <c r="W63" s="18" t="e">
        <f t="shared" si="8"/>
        <v>#DIV/0!</v>
      </c>
      <c r="X63" s="18">
        <f>VLOOKUP(A:A,[1]TDSheet!$A:$Y,25,0)</f>
        <v>0</v>
      </c>
      <c r="Y63" s="18">
        <f>VLOOKUP(A:A,[1]TDSheet!$A:$Z,26,0)</f>
        <v>4.4748000000000001</v>
      </c>
      <c r="Z63" s="18">
        <f>VLOOKUP(A:A,[1]TDSheet!$A:$AA,27,0)</f>
        <v>0.69100000000000006</v>
      </c>
      <c r="AA63" s="18">
        <f>VLOOKUP(A:A,[1]TDSheet!$A:$R,18,0)</f>
        <v>0.17219999999999999</v>
      </c>
      <c r="AB63" s="18"/>
      <c r="AC63" s="18">
        <f t="shared" si="9"/>
        <v>0</v>
      </c>
    </row>
    <row r="64" spans="1:29" ht="10.9" customHeight="1" x14ac:dyDescent="0.2">
      <c r="A64" s="21" t="s">
        <v>68</v>
      </c>
      <c r="B64" s="9" t="s">
        <v>14</v>
      </c>
      <c r="C64" s="9">
        <f>VLOOKUP(A:A,[1]TDSheet!$A:$C,3,0)</f>
        <v>6967</v>
      </c>
      <c r="D64" s="10">
        <v>77</v>
      </c>
      <c r="E64" s="10">
        <v>96</v>
      </c>
      <c r="F64" s="10">
        <v>19</v>
      </c>
      <c r="G64" s="10">
        <v>154</v>
      </c>
      <c r="H64" s="5">
        <f>VLOOKUP(A:A,[1]TDSheet!$A:$H,8,0)</f>
        <v>0.25</v>
      </c>
      <c r="I64" s="5">
        <f>VLOOKUP(A:A,[1]TDSheet!$A:$I,9,0)</f>
        <v>120</v>
      </c>
      <c r="J64" s="5" t="str">
        <f>VLOOKUP(A:A,[1]TDSheet!$A:$J,10,0)</f>
        <v>в матрице</v>
      </c>
      <c r="L64" s="18">
        <f>VLOOKUP(A:A,[2]TDSheet!$A:$B,2,0)</f>
        <v>22</v>
      </c>
      <c r="M64" s="18">
        <f t="shared" si="5"/>
        <v>-3</v>
      </c>
      <c r="N64" s="18"/>
      <c r="O64" s="18"/>
      <c r="P64" s="18"/>
      <c r="Q64" s="18">
        <f>VLOOKUP(A:A,[1]TDSheet!$A:$S,19,0)</f>
        <v>0</v>
      </c>
      <c r="R64" s="18">
        <f t="shared" si="6"/>
        <v>3.8</v>
      </c>
      <c r="S64" s="19"/>
      <c r="T64" s="19"/>
      <c r="U64" s="18"/>
      <c r="V64" s="18">
        <f t="shared" si="7"/>
        <v>40.526315789473685</v>
      </c>
      <c r="W64" s="18">
        <f t="shared" si="8"/>
        <v>40.526315789473685</v>
      </c>
      <c r="X64" s="18">
        <f>VLOOKUP(A:A,[1]TDSheet!$A:$Y,25,0)</f>
        <v>4</v>
      </c>
      <c r="Y64" s="18">
        <f>VLOOKUP(A:A,[1]TDSheet!$A:$Z,26,0)</f>
        <v>2.4</v>
      </c>
      <c r="Z64" s="18">
        <f>VLOOKUP(A:A,[1]TDSheet!$A:$AA,27,0)</f>
        <v>3.6</v>
      </c>
      <c r="AA64" s="18">
        <f>VLOOKUP(A:A,[1]TDSheet!$A:$R,18,0)</f>
        <v>4</v>
      </c>
      <c r="AB64" s="18"/>
      <c r="AC64" s="18">
        <f t="shared" si="9"/>
        <v>0</v>
      </c>
    </row>
    <row r="65" spans="1:29" ht="10.9" customHeight="1" x14ac:dyDescent="0.2">
      <c r="A65" s="9" t="s">
        <v>69</v>
      </c>
      <c r="B65" s="9" t="s">
        <v>16</v>
      </c>
      <c r="C65" s="9">
        <f>VLOOKUP(A:A,[1]TDSheet!$A:$C,3,0)</f>
        <v>7001</v>
      </c>
      <c r="D65" s="10">
        <v>34.829000000000001</v>
      </c>
      <c r="E65" s="10">
        <v>51.832000000000001</v>
      </c>
      <c r="F65" s="10">
        <v>37.646000000000001</v>
      </c>
      <c r="G65" s="10">
        <v>46.046999999999997</v>
      </c>
      <c r="H65" s="5">
        <f>VLOOKUP(A:A,[1]TDSheet!$A:$H,8,0)</f>
        <v>1</v>
      </c>
      <c r="I65" s="5">
        <f>VLOOKUP(A:A,[1]TDSheet!$A:$I,9,0)</f>
        <v>45</v>
      </c>
      <c r="J65" s="5" t="str">
        <f>VLOOKUP(A:A,[1]TDSheet!$A:$J,10,0)</f>
        <v>в матрице</v>
      </c>
      <c r="L65" s="18">
        <f>VLOOKUP(A:A,[2]TDSheet!$A:$B,2,0)</f>
        <v>45</v>
      </c>
      <c r="M65" s="18">
        <f t="shared" si="5"/>
        <v>-7.3539999999999992</v>
      </c>
      <c r="N65" s="18"/>
      <c r="O65" s="18"/>
      <c r="P65" s="18"/>
      <c r="Q65" s="18">
        <f>VLOOKUP(A:A,[1]TDSheet!$A:$S,19,0)</f>
        <v>50</v>
      </c>
      <c r="R65" s="18">
        <f t="shared" si="6"/>
        <v>7.5292000000000003</v>
      </c>
      <c r="S65" s="19">
        <v>10</v>
      </c>
      <c r="T65" s="19"/>
      <c r="U65" s="18"/>
      <c r="V65" s="18">
        <f t="shared" si="7"/>
        <v>14.084763321468415</v>
      </c>
      <c r="W65" s="18">
        <f t="shared" si="8"/>
        <v>6.1157891940710822</v>
      </c>
      <c r="X65" s="18">
        <f>VLOOKUP(A:A,[1]TDSheet!$A:$Y,25,0)</f>
        <v>8.2927999999999997</v>
      </c>
      <c r="Y65" s="18">
        <f>VLOOKUP(A:A,[1]TDSheet!$A:$Z,26,0)</f>
        <v>7.8763999999999994</v>
      </c>
      <c r="Z65" s="18">
        <f>VLOOKUP(A:A,[1]TDSheet!$A:$AA,27,0)</f>
        <v>9.1852</v>
      </c>
      <c r="AA65" s="18">
        <f>VLOOKUP(A:A,[1]TDSheet!$A:$R,18,0)</f>
        <v>9.4152000000000005</v>
      </c>
      <c r="AB65" s="18"/>
      <c r="AC65" s="18">
        <f t="shared" si="9"/>
        <v>10</v>
      </c>
    </row>
    <row r="66" spans="1:29" ht="10.9" customHeight="1" x14ac:dyDescent="0.2">
      <c r="A66" s="9" t="s">
        <v>70</v>
      </c>
      <c r="B66" s="9" t="s">
        <v>14</v>
      </c>
      <c r="C66" s="9">
        <f>VLOOKUP(A:A,[1]TDSheet!$A:$C,3,0)</f>
        <v>7059</v>
      </c>
      <c r="D66" s="10">
        <v>127</v>
      </c>
      <c r="E66" s="10">
        <v>265</v>
      </c>
      <c r="F66" s="10">
        <v>199</v>
      </c>
      <c r="G66" s="10">
        <v>192</v>
      </c>
      <c r="H66" s="5">
        <f>VLOOKUP(A:A,[1]TDSheet!$A:$H,8,0)</f>
        <v>0.3</v>
      </c>
      <c r="L66" s="18">
        <f>VLOOKUP(A:A,[2]TDSheet!$A:$B,2,0)</f>
        <v>200</v>
      </c>
      <c r="M66" s="18">
        <f t="shared" si="5"/>
        <v>-1</v>
      </c>
      <c r="N66" s="18"/>
      <c r="O66" s="18"/>
      <c r="P66" s="18"/>
      <c r="Q66" s="18">
        <f>VLOOKUP(A:A,[1]TDSheet!$A:$S,19,0)</f>
        <v>0</v>
      </c>
      <c r="R66" s="18">
        <f t="shared" si="6"/>
        <v>39.799999999999997</v>
      </c>
      <c r="S66" s="19">
        <v>360</v>
      </c>
      <c r="T66" s="19"/>
      <c r="U66" s="18"/>
      <c r="V66" s="18">
        <f t="shared" si="7"/>
        <v>13.869346733668342</v>
      </c>
      <c r="W66" s="18">
        <f t="shared" si="8"/>
        <v>4.8241206030150758</v>
      </c>
      <c r="X66" s="18">
        <f>VLOOKUP(A:A,[1]TDSheet!$A:$Y,25,0)</f>
        <v>9.8000000000000007</v>
      </c>
      <c r="Y66" s="18">
        <f>VLOOKUP(A:A,[1]TDSheet!$A:$Z,26,0)</f>
        <v>21.4</v>
      </c>
      <c r="Z66" s="18">
        <f>VLOOKUP(A:A,[1]TDSheet!$A:$AA,27,0)</f>
        <v>34.200000000000003</v>
      </c>
      <c r="AA66" s="18">
        <f>VLOOKUP(A:A,[1]TDSheet!$A:$R,18,0)</f>
        <v>16.600000000000001</v>
      </c>
      <c r="AB66" s="18"/>
      <c r="AC66" s="18">
        <f t="shared" si="9"/>
        <v>108</v>
      </c>
    </row>
    <row r="67" spans="1:29" ht="10.9" customHeight="1" x14ac:dyDescent="0.2">
      <c r="A67" s="9" t="s">
        <v>71</v>
      </c>
      <c r="B67" s="9" t="s">
        <v>14</v>
      </c>
      <c r="C67" s="9">
        <f>VLOOKUP(A:A,[1]TDSheet!$A:$C,3,0)</f>
        <v>7066</v>
      </c>
      <c r="D67" s="10">
        <v>508</v>
      </c>
      <c r="E67" s="10">
        <v>405</v>
      </c>
      <c r="F67" s="10">
        <v>386</v>
      </c>
      <c r="G67" s="10">
        <v>516</v>
      </c>
      <c r="H67" s="5">
        <f>VLOOKUP(A:A,[1]TDSheet!$A:$H,8,0)</f>
        <v>0.41</v>
      </c>
      <c r="I67" s="5">
        <f>VLOOKUP(A:A,[1]TDSheet!$A:$I,9,0)</f>
        <v>50</v>
      </c>
      <c r="J67" s="5" t="str">
        <f>VLOOKUP(A:A,[1]TDSheet!$A:$J,10,0)</f>
        <v>в матрице</v>
      </c>
      <c r="L67" s="18">
        <f>VLOOKUP(A:A,[2]TDSheet!$A:$B,2,0)</f>
        <v>404</v>
      </c>
      <c r="M67" s="18">
        <f t="shared" si="5"/>
        <v>-18</v>
      </c>
      <c r="N67" s="18"/>
      <c r="O67" s="18"/>
      <c r="P67" s="18"/>
      <c r="Q67" s="18">
        <f>VLOOKUP(A:A,[1]TDSheet!$A:$S,19,0)</f>
        <v>50</v>
      </c>
      <c r="R67" s="18">
        <f t="shared" si="6"/>
        <v>77.2</v>
      </c>
      <c r="S67" s="19">
        <v>500</v>
      </c>
      <c r="T67" s="19"/>
      <c r="U67" s="18"/>
      <c r="V67" s="18">
        <f t="shared" si="7"/>
        <v>13.808290155440414</v>
      </c>
      <c r="W67" s="18">
        <f t="shared" si="8"/>
        <v>6.6839378238341967</v>
      </c>
      <c r="X67" s="18">
        <f>VLOOKUP(A:A,[1]TDSheet!$A:$Y,25,0)</f>
        <v>88.6</v>
      </c>
      <c r="Y67" s="18">
        <f>VLOOKUP(A:A,[1]TDSheet!$A:$Z,26,0)</f>
        <v>79.400000000000006</v>
      </c>
      <c r="Z67" s="18">
        <f>VLOOKUP(A:A,[1]TDSheet!$A:$AA,27,0)</f>
        <v>47.2</v>
      </c>
      <c r="AA67" s="18">
        <f>VLOOKUP(A:A,[1]TDSheet!$A:$R,18,0)</f>
        <v>68.2</v>
      </c>
      <c r="AB67" s="18"/>
      <c r="AC67" s="18">
        <f t="shared" si="9"/>
        <v>205</v>
      </c>
    </row>
    <row r="68" spans="1:29" ht="10.9" customHeight="1" x14ac:dyDescent="0.2">
      <c r="A68" s="9" t="s">
        <v>72</v>
      </c>
      <c r="B68" s="9" t="s">
        <v>16</v>
      </c>
      <c r="C68" s="9">
        <f>VLOOKUP(A:A,[1]TDSheet!$A:$C,3,0)</f>
        <v>7070</v>
      </c>
      <c r="D68" s="10">
        <v>6.4260000000000002</v>
      </c>
      <c r="E68" s="10">
        <v>816.07399999999996</v>
      </c>
      <c r="F68" s="10">
        <v>381.51799999999997</v>
      </c>
      <c r="G68" s="10">
        <v>432.45</v>
      </c>
      <c r="H68" s="5">
        <f>VLOOKUP(A:A,[1]TDSheet!$A:$H,8,0)</f>
        <v>1</v>
      </c>
      <c r="I68" s="5">
        <f>VLOOKUP(A:A,[1]TDSheet!$A:$I,9,0)</f>
        <v>50</v>
      </c>
      <c r="J68" s="5" t="str">
        <f>VLOOKUP(A:A,[1]TDSheet!$A:$J,10,0)</f>
        <v>в матрице</v>
      </c>
      <c r="L68" s="18">
        <f>VLOOKUP(A:A,[2]TDSheet!$A:$B,2,0)</f>
        <v>469.1</v>
      </c>
      <c r="M68" s="18">
        <f t="shared" si="5"/>
        <v>-87.58200000000005</v>
      </c>
      <c r="N68" s="18"/>
      <c r="O68" s="18"/>
      <c r="P68" s="18"/>
      <c r="Q68" s="18">
        <f>VLOOKUP(A:A,[1]TDSheet!$A:$S,19,0)</f>
        <v>0</v>
      </c>
      <c r="R68" s="18">
        <f t="shared" si="6"/>
        <v>76.303599999999989</v>
      </c>
      <c r="S68" s="19">
        <v>604</v>
      </c>
      <c r="T68" s="19"/>
      <c r="U68" s="18"/>
      <c r="V68" s="18">
        <f t="shared" si="7"/>
        <v>13.583238536582812</v>
      </c>
      <c r="W68" s="18">
        <f t="shared" si="8"/>
        <v>5.6674914420813707</v>
      </c>
      <c r="X68" s="18">
        <f>VLOOKUP(A:A,[1]TDSheet!$A:$Y,25,0)</f>
        <v>53.552800000000005</v>
      </c>
      <c r="Y68" s="18">
        <f>VLOOKUP(A:A,[1]TDSheet!$A:$Z,26,0)</f>
        <v>47.8</v>
      </c>
      <c r="Z68" s="18">
        <f>VLOOKUP(A:A,[1]TDSheet!$A:$AA,27,0)</f>
        <v>91.377800000000008</v>
      </c>
      <c r="AA68" s="18">
        <f>VLOOKUP(A:A,[1]TDSheet!$A:$R,18,0)</f>
        <v>43.255000000000003</v>
      </c>
      <c r="AB68" s="18" t="str">
        <f>VLOOKUP(A:A,[1]TDSheet!$A:$AB,28,0)</f>
        <v>зв</v>
      </c>
      <c r="AC68" s="18">
        <f t="shared" si="9"/>
        <v>604</v>
      </c>
    </row>
    <row r="69" spans="1:29" ht="10.9" customHeight="1" x14ac:dyDescent="0.2">
      <c r="A69" s="9" t="s">
        <v>73</v>
      </c>
      <c r="B69" s="9" t="s">
        <v>14</v>
      </c>
      <c r="C69" s="9">
        <f>VLOOKUP(A:A,[1]TDSheet!$A:$C,3,0)</f>
        <v>7073</v>
      </c>
      <c r="D69" s="10">
        <v>47</v>
      </c>
      <c r="E69" s="10">
        <v>40</v>
      </c>
      <c r="F69" s="10">
        <v>53</v>
      </c>
      <c r="G69" s="10">
        <v>34</v>
      </c>
      <c r="H69" s="5">
        <f>VLOOKUP(A:A,[1]TDSheet!$A:$H,8,0)</f>
        <v>0.35</v>
      </c>
      <c r="I69" s="5">
        <f>VLOOKUP(A:A,[1]TDSheet!$A:$I,9,0)</f>
        <v>50</v>
      </c>
      <c r="J69" s="5" t="str">
        <f>VLOOKUP(A:A,[1]TDSheet!$A:$J,10,0)</f>
        <v>в матрице</v>
      </c>
      <c r="L69" s="18">
        <f>VLOOKUP(A:A,[2]TDSheet!$A:$B,2,0)</f>
        <v>55</v>
      </c>
      <c r="M69" s="18">
        <f t="shared" si="5"/>
        <v>-2</v>
      </c>
      <c r="N69" s="18"/>
      <c r="O69" s="18"/>
      <c r="P69" s="18"/>
      <c r="Q69" s="18">
        <f>VLOOKUP(A:A,[1]TDSheet!$A:$S,19,0)</f>
        <v>100</v>
      </c>
      <c r="R69" s="18">
        <f t="shared" si="6"/>
        <v>10.6</v>
      </c>
      <c r="S69" s="19">
        <v>40</v>
      </c>
      <c r="T69" s="19"/>
      <c r="U69" s="18"/>
      <c r="V69" s="18">
        <f t="shared" si="7"/>
        <v>16.415094339622641</v>
      </c>
      <c r="W69" s="18">
        <f t="shared" si="8"/>
        <v>3.2075471698113209</v>
      </c>
      <c r="X69" s="18">
        <f>VLOOKUP(A:A,[1]TDSheet!$A:$Y,25,0)</f>
        <v>7.2</v>
      </c>
      <c r="Y69" s="18">
        <f>VLOOKUP(A:A,[1]TDSheet!$A:$Z,26,0)</f>
        <v>2</v>
      </c>
      <c r="Z69" s="18">
        <f>VLOOKUP(A:A,[1]TDSheet!$A:$AA,27,0)</f>
        <v>9.6</v>
      </c>
      <c r="AA69" s="18">
        <f>VLOOKUP(A:A,[1]TDSheet!$A:$R,18,0)</f>
        <v>13.4</v>
      </c>
      <c r="AB69" s="18"/>
      <c r="AC69" s="18">
        <f t="shared" si="9"/>
        <v>14</v>
      </c>
    </row>
    <row r="70" spans="1:29" ht="10.9" customHeight="1" x14ac:dyDescent="0.2">
      <c r="A70" s="9" t="s">
        <v>74</v>
      </c>
      <c r="B70" s="9" t="s">
        <v>16</v>
      </c>
      <c r="C70" s="9">
        <f>VLOOKUP(A:A,[1]TDSheet!$A:$C,3,0)</f>
        <v>7075</v>
      </c>
      <c r="D70" s="10">
        <v>86.027000000000001</v>
      </c>
      <c r="E70" s="10">
        <v>98.23</v>
      </c>
      <c r="F70" s="10">
        <v>56.408000000000001</v>
      </c>
      <c r="G70" s="10">
        <v>127.849</v>
      </c>
      <c r="H70" s="5">
        <f>VLOOKUP(A:A,[1]TDSheet!$A:$H,8,0)</f>
        <v>1</v>
      </c>
      <c r="I70" s="5">
        <f>VLOOKUP(A:A,[1]TDSheet!$A:$I,9,0)</f>
        <v>50</v>
      </c>
      <c r="J70" s="5" t="str">
        <f>VLOOKUP(A:A,[1]TDSheet!$A:$J,10,0)</f>
        <v>в матрице</v>
      </c>
      <c r="L70" s="18">
        <f>VLOOKUP(A:A,[2]TDSheet!$A:$B,2,0)</f>
        <v>54.5</v>
      </c>
      <c r="M70" s="18">
        <f t="shared" si="5"/>
        <v>1.9080000000000013</v>
      </c>
      <c r="N70" s="18"/>
      <c r="O70" s="18"/>
      <c r="P70" s="18"/>
      <c r="Q70" s="18">
        <f>VLOOKUP(A:A,[1]TDSheet!$A:$S,19,0)</f>
        <v>80</v>
      </c>
      <c r="R70" s="18">
        <f t="shared" si="6"/>
        <v>11.281600000000001</v>
      </c>
      <c r="S70" s="19"/>
      <c r="T70" s="19"/>
      <c r="U70" s="18"/>
      <c r="V70" s="18">
        <f t="shared" si="7"/>
        <v>18.423716494114309</v>
      </c>
      <c r="W70" s="18">
        <f t="shared" si="8"/>
        <v>11.332523755495673</v>
      </c>
      <c r="X70" s="18">
        <f>VLOOKUP(A:A,[1]TDSheet!$A:$Y,25,0)</f>
        <v>14.219399999999998</v>
      </c>
      <c r="Y70" s="18">
        <f>VLOOKUP(A:A,[1]TDSheet!$A:$Z,26,0)</f>
        <v>4.923</v>
      </c>
      <c r="Z70" s="18">
        <f>VLOOKUP(A:A,[1]TDSheet!$A:$AA,27,0)</f>
        <v>16.959200000000003</v>
      </c>
      <c r="AA70" s="18">
        <f>VLOOKUP(A:A,[1]TDSheet!$A:$R,18,0)</f>
        <v>18.711600000000001</v>
      </c>
      <c r="AB70" s="18"/>
      <c r="AC70" s="18">
        <f t="shared" si="9"/>
        <v>0</v>
      </c>
    </row>
    <row r="71" spans="1:29" ht="10.9" customHeight="1" x14ac:dyDescent="0.2">
      <c r="A71" s="9" t="s">
        <v>75</v>
      </c>
      <c r="B71" s="9" t="s">
        <v>14</v>
      </c>
      <c r="C71" s="9">
        <f>VLOOKUP(A:A,[1]TDSheet!$A:$C,3,0)</f>
        <v>7080</v>
      </c>
      <c r="D71" s="10">
        <v>90</v>
      </c>
      <c r="E71" s="10">
        <v>360</v>
      </c>
      <c r="F71" s="10">
        <v>229</v>
      </c>
      <c r="G71" s="10">
        <v>220</v>
      </c>
      <c r="H71" s="5">
        <f>VLOOKUP(A:A,[1]TDSheet!$A:$H,8,0)</f>
        <v>0.41</v>
      </c>
      <c r="I71" s="5">
        <f>VLOOKUP(A:A,[1]TDSheet!$A:$I,9,0)</f>
        <v>50</v>
      </c>
      <c r="J71" s="5" t="str">
        <f>VLOOKUP(A:A,[1]TDSheet!$A:$J,10,0)</f>
        <v>в матрице</v>
      </c>
      <c r="L71" s="18">
        <f>VLOOKUP(A:A,[2]TDSheet!$A:$B,2,0)</f>
        <v>232</v>
      </c>
      <c r="M71" s="18">
        <f t="shared" si="5"/>
        <v>-3</v>
      </c>
      <c r="N71" s="18"/>
      <c r="O71" s="18"/>
      <c r="P71" s="18"/>
      <c r="Q71" s="18">
        <f>VLOOKUP(A:A,[1]TDSheet!$A:$S,19,0)</f>
        <v>230</v>
      </c>
      <c r="R71" s="18">
        <f t="shared" si="6"/>
        <v>45.8</v>
      </c>
      <c r="S71" s="19">
        <v>200</v>
      </c>
      <c r="T71" s="19"/>
      <c r="U71" s="18"/>
      <c r="V71" s="18">
        <f t="shared" si="7"/>
        <v>14.192139737991267</v>
      </c>
      <c r="W71" s="18">
        <f t="shared" si="8"/>
        <v>4.8034934497816595</v>
      </c>
      <c r="X71" s="18">
        <f>VLOOKUP(A:A,[1]TDSheet!$A:$Y,25,0)</f>
        <v>32.799999999999997</v>
      </c>
      <c r="Y71" s="18">
        <f>VLOOKUP(A:A,[1]TDSheet!$A:$Z,26,0)</f>
        <v>38.6</v>
      </c>
      <c r="Z71" s="18">
        <f>VLOOKUP(A:A,[1]TDSheet!$A:$AA,27,0)</f>
        <v>49.8</v>
      </c>
      <c r="AA71" s="18">
        <f>VLOOKUP(A:A,[1]TDSheet!$A:$R,18,0)</f>
        <v>48.4</v>
      </c>
      <c r="AB71" s="18"/>
      <c r="AC71" s="18">
        <f t="shared" si="9"/>
        <v>82</v>
      </c>
    </row>
    <row r="72" spans="1:29" ht="10.9" customHeight="1" x14ac:dyDescent="0.2">
      <c r="A72" s="9" t="s">
        <v>76</v>
      </c>
      <c r="B72" s="9" t="s">
        <v>16</v>
      </c>
      <c r="C72" s="9">
        <f>VLOOKUP(A:A,[1]TDSheet!$A:$C,3,0)</f>
        <v>7083</v>
      </c>
      <c r="D72" s="10">
        <v>8.2000000000000003E-2</v>
      </c>
      <c r="E72" s="10">
        <v>520.87599999999998</v>
      </c>
      <c r="F72" s="10">
        <v>139.226</v>
      </c>
      <c r="G72" s="10">
        <v>380.16</v>
      </c>
      <c r="H72" s="5">
        <f>VLOOKUP(A:A,[1]TDSheet!$A:$H,8,0)</f>
        <v>1</v>
      </c>
      <c r="L72" s="18">
        <f>VLOOKUP(A:A,[2]TDSheet!$A:$B,2,0)</f>
        <v>189.7</v>
      </c>
      <c r="M72" s="18">
        <f t="shared" si="5"/>
        <v>-50.47399999999999</v>
      </c>
      <c r="N72" s="18"/>
      <c r="O72" s="18"/>
      <c r="P72" s="18"/>
      <c r="Q72" s="18">
        <f>VLOOKUP(A:A,[1]TDSheet!$A:$S,19,0)</f>
        <v>0</v>
      </c>
      <c r="R72" s="18">
        <f t="shared" si="6"/>
        <v>27.845199999999998</v>
      </c>
      <c r="S72" s="19">
        <v>30</v>
      </c>
      <c r="T72" s="19"/>
      <c r="U72" s="18"/>
      <c r="V72" s="18">
        <f t="shared" si="7"/>
        <v>14.730007326217805</v>
      </c>
      <c r="W72" s="18">
        <f t="shared" si="8"/>
        <v>13.652622355019897</v>
      </c>
      <c r="X72" s="18">
        <f>VLOOKUP(A:A,[1]TDSheet!$A:$Y,25,0)</f>
        <v>17.921199999999999</v>
      </c>
      <c r="Y72" s="18">
        <f>VLOOKUP(A:A,[1]TDSheet!$A:$Z,26,0)</f>
        <v>11.6974</v>
      </c>
      <c r="Z72" s="18">
        <f>VLOOKUP(A:A,[1]TDSheet!$A:$AA,27,0)</f>
        <v>35.567799999999998</v>
      </c>
      <c r="AA72" s="18">
        <f>VLOOKUP(A:A,[1]TDSheet!$A:$R,18,0)</f>
        <v>4.649</v>
      </c>
      <c r="AB72" s="18"/>
      <c r="AC72" s="18">
        <f t="shared" si="9"/>
        <v>30</v>
      </c>
    </row>
    <row r="73" spans="1:29" ht="10.9" customHeight="1" x14ac:dyDescent="0.2">
      <c r="A73" s="9" t="s">
        <v>77</v>
      </c>
      <c r="B73" s="9" t="s">
        <v>14</v>
      </c>
      <c r="C73" s="9">
        <f>VLOOKUP(A:A,[1]TDSheet!$A:$C,3,0)</f>
        <v>7090</v>
      </c>
      <c r="D73" s="10">
        <v>5</v>
      </c>
      <c r="E73" s="10">
        <v>198</v>
      </c>
      <c r="F73" s="10">
        <v>98</v>
      </c>
      <c r="G73" s="10">
        <v>97</v>
      </c>
      <c r="H73" s="5">
        <f>VLOOKUP(A:A,[1]TDSheet!$A:$H,8,0)</f>
        <v>0.3</v>
      </c>
      <c r="I73" s="5">
        <f>VLOOKUP(A:A,[1]TDSheet!$A:$I,9,0)</f>
        <v>50</v>
      </c>
      <c r="J73" s="5" t="str">
        <f>VLOOKUP(A:A,[1]TDSheet!$A:$J,10,0)</f>
        <v>в матрице</v>
      </c>
      <c r="L73" s="18">
        <f>VLOOKUP(A:A,[2]TDSheet!$A:$B,2,0)</f>
        <v>130</v>
      </c>
      <c r="M73" s="18">
        <f t="shared" si="5"/>
        <v>-32</v>
      </c>
      <c r="N73" s="18"/>
      <c r="O73" s="18"/>
      <c r="P73" s="18"/>
      <c r="Q73" s="18">
        <f>VLOOKUP(A:A,[1]TDSheet!$A:$S,19,0)</f>
        <v>150</v>
      </c>
      <c r="R73" s="18">
        <f t="shared" si="6"/>
        <v>19.600000000000001</v>
      </c>
      <c r="S73" s="19">
        <v>40</v>
      </c>
      <c r="T73" s="19"/>
      <c r="U73" s="18"/>
      <c r="V73" s="18">
        <f t="shared" si="7"/>
        <v>14.642857142857142</v>
      </c>
      <c r="W73" s="18">
        <f t="shared" si="8"/>
        <v>4.9489795918367347</v>
      </c>
      <c r="X73" s="18">
        <f>VLOOKUP(A:A,[1]TDSheet!$A:$Y,25,0)</f>
        <v>11.6</v>
      </c>
      <c r="Y73" s="18">
        <f>VLOOKUP(A:A,[1]TDSheet!$A:$Z,26,0)</f>
        <v>18.600000000000001</v>
      </c>
      <c r="Z73" s="18">
        <f>VLOOKUP(A:A,[1]TDSheet!$A:$AA,27,0)</f>
        <v>23.8</v>
      </c>
      <c r="AA73" s="18">
        <f>VLOOKUP(A:A,[1]TDSheet!$A:$R,18,0)</f>
        <v>25.4</v>
      </c>
      <c r="AB73" s="18"/>
      <c r="AC73" s="18">
        <f t="shared" si="9"/>
        <v>12</v>
      </c>
    </row>
    <row r="74" spans="1:29" ht="10.9" customHeight="1" x14ac:dyDescent="0.2">
      <c r="A74" s="9" t="s">
        <v>78</v>
      </c>
      <c r="B74" s="9" t="s">
        <v>14</v>
      </c>
      <c r="C74" s="9">
        <f>VLOOKUP(A:A,[1]TDSheet!$A:$C,3,0)</f>
        <v>7103</v>
      </c>
      <c r="D74" s="10">
        <v>243</v>
      </c>
      <c r="E74" s="10">
        <v>340</v>
      </c>
      <c r="F74" s="10">
        <v>297</v>
      </c>
      <c r="G74" s="10">
        <v>283</v>
      </c>
      <c r="H74" s="5">
        <f>VLOOKUP(A:A,[1]TDSheet!$A:$H,8,0)</f>
        <v>0.18</v>
      </c>
      <c r="I74" s="5">
        <f>VLOOKUP(A:A,[1]TDSheet!$A:$I,9,0)</f>
        <v>50</v>
      </c>
      <c r="J74" s="5" t="str">
        <f>VLOOKUP(A:A,[1]TDSheet!$A:$J,10,0)</f>
        <v>в матрице</v>
      </c>
      <c r="L74" s="18">
        <f>VLOOKUP(A:A,[2]TDSheet!$A:$B,2,0)</f>
        <v>300</v>
      </c>
      <c r="M74" s="18">
        <f t="shared" si="5"/>
        <v>-3</v>
      </c>
      <c r="N74" s="18"/>
      <c r="O74" s="18"/>
      <c r="P74" s="18"/>
      <c r="Q74" s="18">
        <f>VLOOKUP(A:A,[1]TDSheet!$A:$S,19,0)</f>
        <v>0</v>
      </c>
      <c r="R74" s="18">
        <f t="shared" si="6"/>
        <v>59.4</v>
      </c>
      <c r="S74" s="19">
        <v>550</v>
      </c>
      <c r="T74" s="19"/>
      <c r="U74" s="18"/>
      <c r="V74" s="18">
        <f t="shared" si="7"/>
        <v>14.023569023569024</v>
      </c>
      <c r="W74" s="18">
        <f t="shared" si="8"/>
        <v>4.7643097643097647</v>
      </c>
      <c r="X74" s="18">
        <f>VLOOKUP(A:A,[1]TDSheet!$A:$Y,25,0)</f>
        <v>35.6</v>
      </c>
      <c r="Y74" s="18">
        <f>VLOOKUP(A:A,[1]TDSheet!$A:$Z,26,0)</f>
        <v>28</v>
      </c>
      <c r="Z74" s="18">
        <f>VLOOKUP(A:A,[1]TDSheet!$A:$AA,27,0)</f>
        <v>49.6</v>
      </c>
      <c r="AA74" s="18">
        <f>VLOOKUP(A:A,[1]TDSheet!$A:$R,18,0)</f>
        <v>21.4</v>
      </c>
      <c r="AB74" s="18"/>
      <c r="AC74" s="18">
        <f t="shared" si="9"/>
        <v>99</v>
      </c>
    </row>
    <row r="75" spans="1:29" ht="10.9" customHeight="1" x14ac:dyDescent="0.2">
      <c r="A75" s="9" t="s">
        <v>79</v>
      </c>
      <c r="B75" s="9" t="s">
        <v>14</v>
      </c>
      <c r="C75" s="9">
        <f>VLOOKUP(A:A,[1]TDSheet!$A:$C,3,0)</f>
        <v>7149</v>
      </c>
      <c r="D75" s="10">
        <v>149</v>
      </c>
      <c r="E75" s="10"/>
      <c r="F75" s="10">
        <v>80</v>
      </c>
      <c r="G75" s="10">
        <v>67</v>
      </c>
      <c r="H75" s="5">
        <f>VLOOKUP(A:A,[1]TDSheet!$A:$H,8,0)</f>
        <v>0.84</v>
      </c>
      <c r="I75" s="5">
        <f>VLOOKUP(A:A,[1]TDSheet!$A:$I,9,0)</f>
        <v>50</v>
      </c>
      <c r="L75" s="18">
        <f>VLOOKUP(A:A,[2]TDSheet!$A:$B,2,0)</f>
        <v>82</v>
      </c>
      <c r="M75" s="18">
        <f t="shared" si="5"/>
        <v>-2</v>
      </c>
      <c r="N75" s="18"/>
      <c r="O75" s="18"/>
      <c r="P75" s="18"/>
      <c r="Q75" s="18">
        <f>VLOOKUP(A:A,[1]TDSheet!$A:$S,19,0)</f>
        <v>0</v>
      </c>
      <c r="R75" s="18">
        <f t="shared" si="6"/>
        <v>16</v>
      </c>
      <c r="S75" s="19">
        <v>160</v>
      </c>
      <c r="T75" s="19"/>
      <c r="U75" s="18"/>
      <c r="V75" s="18">
        <f t="shared" si="7"/>
        <v>14.1875</v>
      </c>
      <c r="W75" s="18">
        <f t="shared" si="8"/>
        <v>4.1875</v>
      </c>
      <c r="X75" s="18">
        <f>VLOOKUP(A:A,[1]TDSheet!$A:$Y,25,0)</f>
        <v>5.6</v>
      </c>
      <c r="Y75" s="18">
        <f>VLOOKUP(A:A,[1]TDSheet!$A:$Z,26,0)</f>
        <v>12.6</v>
      </c>
      <c r="Z75" s="18">
        <f>VLOOKUP(A:A,[1]TDSheet!$A:$AA,27,0)</f>
        <v>9.4</v>
      </c>
      <c r="AA75" s="18">
        <f>VLOOKUP(A:A,[1]TDSheet!$A:$R,18,0)</f>
        <v>4</v>
      </c>
      <c r="AB75" s="18" t="str">
        <f>VLOOKUP(A:A,[1]TDSheet!$A:$AB,28,0)</f>
        <v>увел продажи</v>
      </c>
      <c r="AC75" s="18">
        <f t="shared" si="9"/>
        <v>134.4</v>
      </c>
    </row>
    <row r="76" spans="1:29" ht="10.9" customHeight="1" x14ac:dyDescent="0.2">
      <c r="A76" s="9" t="s">
        <v>80</v>
      </c>
      <c r="B76" s="9" t="s">
        <v>14</v>
      </c>
      <c r="C76" s="9">
        <f>VLOOKUP(A:A,[1]TDSheet!$A:$C,3,0)</f>
        <v>7154</v>
      </c>
      <c r="D76" s="10">
        <v>545</v>
      </c>
      <c r="E76" s="10">
        <v>5</v>
      </c>
      <c r="F76" s="10">
        <v>480</v>
      </c>
      <c r="G76" s="10">
        <v>65</v>
      </c>
      <c r="H76" s="5">
        <f>VLOOKUP(A:A,[1]TDSheet!$A:$H,8,0)</f>
        <v>0.35</v>
      </c>
      <c r="I76" s="5">
        <f>VLOOKUP(A:A,[1]TDSheet!$A:$I,9,0)</f>
        <v>50</v>
      </c>
      <c r="J76" s="5" t="str">
        <f>VLOOKUP(A:A,[1]TDSheet!$A:$J,10,0)</f>
        <v>в матрице</v>
      </c>
      <c r="L76" s="18">
        <f>VLOOKUP(A:A,[2]TDSheet!$A:$B,2,0)</f>
        <v>504</v>
      </c>
      <c r="M76" s="18">
        <f t="shared" ref="M76:M98" si="10">F76-L76</f>
        <v>-24</v>
      </c>
      <c r="N76" s="18"/>
      <c r="O76" s="18"/>
      <c r="P76" s="18"/>
      <c r="Q76" s="18">
        <f>VLOOKUP(A:A,[1]TDSheet!$A:$S,19,0)</f>
        <v>160</v>
      </c>
      <c r="R76" s="18">
        <f t="shared" ref="R76:R98" si="11">F76/5</f>
        <v>96</v>
      </c>
      <c r="S76" s="19">
        <v>1200</v>
      </c>
      <c r="T76" s="19"/>
      <c r="U76" s="18"/>
      <c r="V76" s="18">
        <f t="shared" ref="V76:V98" si="12">(G76+Q76+S76)/R76</f>
        <v>14.84375</v>
      </c>
      <c r="W76" s="18">
        <f t="shared" ref="W76:W98" si="13">G76/R76</f>
        <v>0.67708333333333337</v>
      </c>
      <c r="X76" s="18">
        <f>VLOOKUP(A:A,[1]TDSheet!$A:$Y,25,0)</f>
        <v>62.2</v>
      </c>
      <c r="Y76" s="18">
        <f>VLOOKUP(A:A,[1]TDSheet!$A:$Z,26,0)</f>
        <v>63.6</v>
      </c>
      <c r="Z76" s="18">
        <f>VLOOKUP(A:A,[1]TDSheet!$A:$AA,27,0)</f>
        <v>8.4</v>
      </c>
      <c r="AA76" s="18">
        <f>VLOOKUP(A:A,[1]TDSheet!$A:$R,18,0)</f>
        <v>50.4</v>
      </c>
      <c r="AB76" s="18"/>
      <c r="AC76" s="18">
        <f t="shared" ref="AC76:AC98" si="14">S76*H76</f>
        <v>420</v>
      </c>
    </row>
    <row r="77" spans="1:29" ht="10.9" customHeight="1" x14ac:dyDescent="0.2">
      <c r="A77" s="9" t="s">
        <v>81</v>
      </c>
      <c r="B77" s="9" t="s">
        <v>16</v>
      </c>
      <c r="C77" s="9">
        <f>VLOOKUP(A:A,[1]TDSheet!$A:$C,3,0)</f>
        <v>7157</v>
      </c>
      <c r="D77" s="10">
        <v>22.49</v>
      </c>
      <c r="E77" s="10">
        <v>167.68199999999999</v>
      </c>
      <c r="F77" s="10">
        <v>160.96600000000001</v>
      </c>
      <c r="G77" s="10">
        <v>28.529</v>
      </c>
      <c r="H77" s="5">
        <f>VLOOKUP(A:A,[1]TDSheet!$A:$H,8,0)</f>
        <v>1</v>
      </c>
      <c r="I77" s="5">
        <f>VLOOKUP(A:A,[1]TDSheet!$A:$I,9,0)</f>
        <v>50</v>
      </c>
      <c r="J77" s="5" t="str">
        <f>VLOOKUP(A:A,[1]TDSheet!$A:$J,10,0)</f>
        <v>в матрице</v>
      </c>
      <c r="L77" s="18">
        <f>VLOOKUP(A:A,[2]TDSheet!$A:$B,2,0)</f>
        <v>168</v>
      </c>
      <c r="M77" s="18">
        <f t="shared" si="10"/>
        <v>-7.0339999999999918</v>
      </c>
      <c r="N77" s="18"/>
      <c r="O77" s="18"/>
      <c r="P77" s="18"/>
      <c r="Q77" s="18">
        <f>VLOOKUP(A:A,[1]TDSheet!$A:$S,19,0)</f>
        <v>250</v>
      </c>
      <c r="R77" s="18">
        <f t="shared" si="11"/>
        <v>32.193200000000004</v>
      </c>
      <c r="S77" s="19">
        <v>160</v>
      </c>
      <c r="T77" s="19"/>
      <c r="U77" s="18"/>
      <c r="V77" s="18">
        <f t="shared" si="12"/>
        <v>13.621789694718137</v>
      </c>
      <c r="W77" s="18">
        <f t="shared" si="13"/>
        <v>0.88618093261931075</v>
      </c>
      <c r="X77" s="18">
        <f>VLOOKUP(A:A,[1]TDSheet!$A:$Y,25,0)</f>
        <v>21.136199999999999</v>
      </c>
      <c r="Y77" s="18">
        <f>VLOOKUP(A:A,[1]TDSheet!$A:$Z,26,0)</f>
        <v>18.433</v>
      </c>
      <c r="Z77" s="18">
        <f>VLOOKUP(A:A,[1]TDSheet!$A:$AA,27,0)</f>
        <v>22.396000000000001</v>
      </c>
      <c r="AA77" s="18">
        <f>VLOOKUP(A:A,[1]TDSheet!$A:$R,18,0)</f>
        <v>26.458199999999998</v>
      </c>
      <c r="AB77" s="18"/>
      <c r="AC77" s="18">
        <f t="shared" si="14"/>
        <v>160</v>
      </c>
    </row>
    <row r="78" spans="1:29" ht="10.9" customHeight="1" x14ac:dyDescent="0.2">
      <c r="A78" s="9" t="s">
        <v>82</v>
      </c>
      <c r="B78" s="9" t="s">
        <v>16</v>
      </c>
      <c r="C78" s="9">
        <f>VLOOKUP(A:A,[1]TDSheet!$A:$C,3,0)</f>
        <v>7166</v>
      </c>
      <c r="D78" s="10">
        <v>25.084</v>
      </c>
      <c r="E78" s="10">
        <v>411.08699999999999</v>
      </c>
      <c r="F78" s="10">
        <v>228.81100000000001</v>
      </c>
      <c r="G78" s="10">
        <v>206.66</v>
      </c>
      <c r="H78" s="5">
        <f>VLOOKUP(A:A,[1]TDSheet!$A:$H,8,0)</f>
        <v>1</v>
      </c>
      <c r="I78" s="5">
        <f>VLOOKUP(A:A,[1]TDSheet!$A:$I,9,0)</f>
        <v>50</v>
      </c>
      <c r="J78" s="5" t="str">
        <f>VLOOKUP(A:A,[1]TDSheet!$A:$J,10,0)</f>
        <v>в матрице</v>
      </c>
      <c r="L78" s="18">
        <f>VLOOKUP(A:A,[2]TDSheet!$A:$B,2,0)</f>
        <v>251.6</v>
      </c>
      <c r="M78" s="18">
        <f t="shared" si="10"/>
        <v>-22.788999999999987</v>
      </c>
      <c r="N78" s="18"/>
      <c r="O78" s="18"/>
      <c r="P78" s="18"/>
      <c r="Q78" s="18">
        <f>VLOOKUP(A:A,[1]TDSheet!$A:$S,19,0)</f>
        <v>150</v>
      </c>
      <c r="R78" s="18">
        <f t="shared" si="11"/>
        <v>45.7622</v>
      </c>
      <c r="S78" s="19">
        <v>280</v>
      </c>
      <c r="T78" s="19"/>
      <c r="U78" s="18"/>
      <c r="V78" s="18">
        <f t="shared" si="12"/>
        <v>13.912355612273885</v>
      </c>
      <c r="W78" s="18">
        <f t="shared" si="13"/>
        <v>4.5159542154878913</v>
      </c>
      <c r="X78" s="18">
        <f>VLOOKUP(A:A,[1]TDSheet!$A:$Y,25,0)</f>
        <v>34.683800000000005</v>
      </c>
      <c r="Y78" s="18">
        <f>VLOOKUP(A:A,[1]TDSheet!$A:$Z,26,0)</f>
        <v>34.733800000000002</v>
      </c>
      <c r="Z78" s="18">
        <f>VLOOKUP(A:A,[1]TDSheet!$A:$AA,27,0)</f>
        <v>45.9664</v>
      </c>
      <c r="AA78" s="18">
        <f>VLOOKUP(A:A,[1]TDSheet!$A:$R,18,0)</f>
        <v>39.1586</v>
      </c>
      <c r="AB78" s="18"/>
      <c r="AC78" s="18">
        <f t="shared" si="14"/>
        <v>280</v>
      </c>
    </row>
    <row r="79" spans="1:29" ht="10.9" customHeight="1" x14ac:dyDescent="0.2">
      <c r="A79" s="21" t="s">
        <v>83</v>
      </c>
      <c r="B79" s="9" t="s">
        <v>14</v>
      </c>
      <c r="C79" s="9">
        <f>VLOOKUP(A:A,[1]TDSheet!$A:$C,3,0)</f>
        <v>7169</v>
      </c>
      <c r="D79" s="10">
        <v>3</v>
      </c>
      <c r="E79" s="10">
        <v>681</v>
      </c>
      <c r="F79" s="10">
        <v>178</v>
      </c>
      <c r="G79" s="10">
        <v>501</v>
      </c>
      <c r="H79" s="5">
        <f>VLOOKUP(A:A,[1]TDSheet!$A:$H,8,0)</f>
        <v>0.35</v>
      </c>
      <c r="I79" s="5">
        <f>VLOOKUP(A:A,[1]TDSheet!$A:$I,9,0)</f>
        <v>50</v>
      </c>
      <c r="J79" s="5" t="str">
        <f>VLOOKUP(A:A,[1]TDSheet!$A:$J,10,0)</f>
        <v>в матрице</v>
      </c>
      <c r="L79" s="18">
        <f>VLOOKUP(A:A,[2]TDSheet!$A:$B,2,0)</f>
        <v>268</v>
      </c>
      <c r="M79" s="18">
        <f t="shared" si="10"/>
        <v>-90</v>
      </c>
      <c r="N79" s="18"/>
      <c r="O79" s="18"/>
      <c r="P79" s="18"/>
      <c r="Q79" s="18">
        <f>VLOOKUP(A:A,[1]TDSheet!$A:$S,19,0)</f>
        <v>200</v>
      </c>
      <c r="R79" s="18">
        <f t="shared" si="11"/>
        <v>35.6</v>
      </c>
      <c r="S79" s="19"/>
      <c r="T79" s="19"/>
      <c r="U79" s="18"/>
      <c r="V79" s="18">
        <f t="shared" si="12"/>
        <v>19.691011235955056</v>
      </c>
      <c r="W79" s="18">
        <f t="shared" si="13"/>
        <v>14.073033707865168</v>
      </c>
      <c r="X79" s="18">
        <f>VLOOKUP(A:A,[1]TDSheet!$A:$Y,25,0)</f>
        <v>50</v>
      </c>
      <c r="Y79" s="18">
        <f>VLOOKUP(A:A,[1]TDSheet!$A:$Z,26,0)</f>
        <v>26.6</v>
      </c>
      <c r="Z79" s="18">
        <f>VLOOKUP(A:A,[1]TDSheet!$A:$AA,27,0)</f>
        <v>53</v>
      </c>
      <c r="AA79" s="18">
        <f>VLOOKUP(A:A,[1]TDSheet!$A:$R,18,0)</f>
        <v>12.6</v>
      </c>
      <c r="AB79" s="18"/>
      <c r="AC79" s="18">
        <f t="shared" si="14"/>
        <v>0</v>
      </c>
    </row>
    <row r="80" spans="1:29" ht="10.9" customHeight="1" x14ac:dyDescent="0.2">
      <c r="A80" s="9" t="s">
        <v>84</v>
      </c>
      <c r="B80" s="9" t="s">
        <v>14</v>
      </c>
      <c r="C80" s="9">
        <f>VLOOKUP(A:A,[1]TDSheet!$A:$C,3,0)</f>
        <v>7187</v>
      </c>
      <c r="D80" s="10">
        <v>67</v>
      </c>
      <c r="E80" s="10">
        <v>18</v>
      </c>
      <c r="F80" s="10">
        <v>84</v>
      </c>
      <c r="G80" s="10"/>
      <c r="H80" s="5">
        <f>VLOOKUP(A:A,[1]TDSheet!$A:$H,8,0)</f>
        <v>0.3</v>
      </c>
      <c r="I80" s="5">
        <f>VLOOKUP(A:A,[1]TDSheet!$A:$I,9,0)</f>
        <v>50</v>
      </c>
      <c r="J80" s="5" t="str">
        <f>VLOOKUP(A:A,[1]TDSheet!$A:$J,10,0)</f>
        <v>в матрице</v>
      </c>
      <c r="L80" s="18">
        <f>VLOOKUP(A:A,[2]TDSheet!$A:$B,2,0)</f>
        <v>101</v>
      </c>
      <c r="M80" s="18">
        <f t="shared" si="10"/>
        <v>-17</v>
      </c>
      <c r="N80" s="18"/>
      <c r="O80" s="18"/>
      <c r="P80" s="18"/>
      <c r="Q80" s="18">
        <f>VLOOKUP(A:A,[1]TDSheet!$A:$S,19,0)</f>
        <v>60</v>
      </c>
      <c r="R80" s="18">
        <f t="shared" si="11"/>
        <v>16.8</v>
      </c>
      <c r="S80" s="19">
        <v>180</v>
      </c>
      <c r="T80" s="19"/>
      <c r="U80" s="18"/>
      <c r="V80" s="18">
        <f t="shared" si="12"/>
        <v>14.285714285714285</v>
      </c>
      <c r="W80" s="18">
        <f t="shared" si="13"/>
        <v>0</v>
      </c>
      <c r="X80" s="18">
        <f>VLOOKUP(A:A,[1]TDSheet!$A:$Y,25,0)</f>
        <v>20.6</v>
      </c>
      <c r="Y80" s="18">
        <f>VLOOKUP(A:A,[1]TDSheet!$A:$Z,26,0)</f>
        <v>11</v>
      </c>
      <c r="Z80" s="18">
        <f>VLOOKUP(A:A,[1]TDSheet!$A:$AA,27,0)</f>
        <v>9.8000000000000007</v>
      </c>
      <c r="AA80" s="18">
        <f>VLOOKUP(A:A,[1]TDSheet!$A:$R,18,0)</f>
        <v>10.199999999999999</v>
      </c>
      <c r="AB80" s="18"/>
      <c r="AC80" s="18">
        <f t="shared" si="14"/>
        <v>54</v>
      </c>
    </row>
    <row r="81" spans="1:29" ht="10.9" customHeight="1" x14ac:dyDescent="0.2">
      <c r="A81" s="9" t="s">
        <v>85</v>
      </c>
      <c r="B81" s="9" t="s">
        <v>14</v>
      </c>
      <c r="C81" s="9">
        <f>VLOOKUP(A:A,[1]TDSheet!$A:$C,3,0)</f>
        <v>7216</v>
      </c>
      <c r="D81" s="10">
        <v>322</v>
      </c>
      <c r="E81" s="10">
        <v>103</v>
      </c>
      <c r="F81" s="10">
        <v>0</v>
      </c>
      <c r="G81" s="10">
        <v>189</v>
      </c>
      <c r="H81" s="5">
        <f>VLOOKUP(A:A,[1]TDSheet!$A:$H,8,0)</f>
        <v>0.7</v>
      </c>
      <c r="L81" s="18">
        <v>0</v>
      </c>
      <c r="M81" s="18">
        <f t="shared" si="10"/>
        <v>0</v>
      </c>
      <c r="N81" s="18"/>
      <c r="O81" s="18"/>
      <c r="P81" s="18"/>
      <c r="Q81" s="18">
        <f>VLOOKUP(A:A,[1]TDSheet!$A:$S,19,0)</f>
        <v>0</v>
      </c>
      <c r="R81" s="18">
        <f t="shared" si="11"/>
        <v>0</v>
      </c>
      <c r="S81" s="19"/>
      <c r="T81" s="19"/>
      <c r="U81" s="18"/>
      <c r="V81" s="18" t="e">
        <f t="shared" si="12"/>
        <v>#DIV/0!</v>
      </c>
      <c r="W81" s="18" t="e">
        <f t="shared" si="13"/>
        <v>#DIV/0!</v>
      </c>
      <c r="X81" s="18">
        <f>VLOOKUP(A:A,[1]TDSheet!$A:$Y,25,0)</f>
        <v>0</v>
      </c>
      <c r="Y81" s="18">
        <f>VLOOKUP(A:A,[1]TDSheet!$A:$Z,26,0)</f>
        <v>0</v>
      </c>
      <c r="Z81" s="18">
        <f>VLOOKUP(A:A,[1]TDSheet!$A:$AA,27,0)</f>
        <v>0</v>
      </c>
      <c r="AA81" s="18">
        <f>VLOOKUP(A:A,[1]TDSheet!$A:$R,18,0)</f>
        <v>0</v>
      </c>
      <c r="AB81" s="18"/>
      <c r="AC81" s="18">
        <f t="shared" si="14"/>
        <v>0</v>
      </c>
    </row>
    <row r="82" spans="1:29" ht="10.9" customHeight="1" x14ac:dyDescent="0.2">
      <c r="A82" s="9" t="s">
        <v>86</v>
      </c>
      <c r="B82" s="9" t="s">
        <v>14</v>
      </c>
      <c r="C82" s="9">
        <f>VLOOKUP(A:A,[1]TDSheet!$A:$C,3,0)</f>
        <v>7231</v>
      </c>
      <c r="D82" s="10">
        <v>60</v>
      </c>
      <c r="E82" s="10"/>
      <c r="F82" s="10">
        <v>68</v>
      </c>
      <c r="G82" s="10">
        <v>-8</v>
      </c>
      <c r="H82" s="5">
        <f>VLOOKUP(A:A,[1]TDSheet!$A:$H,8,0)</f>
        <v>0.3</v>
      </c>
      <c r="I82" s="5">
        <f>VLOOKUP(A:A,[1]TDSheet!$A:$I,9,0)</f>
        <v>60</v>
      </c>
      <c r="J82" s="5" t="str">
        <f>VLOOKUP(A:A,[1]TDSheet!$A:$J,10,0)</f>
        <v>в матрице</v>
      </c>
      <c r="L82" s="18">
        <f>VLOOKUP(A:A,[2]TDSheet!$A:$B,2,0)</f>
        <v>105</v>
      </c>
      <c r="M82" s="18">
        <f t="shared" si="10"/>
        <v>-37</v>
      </c>
      <c r="N82" s="18"/>
      <c r="O82" s="18"/>
      <c r="P82" s="18"/>
      <c r="Q82" s="18">
        <f>VLOOKUP(A:A,[1]TDSheet!$A:$S,19,0)</f>
        <v>130</v>
      </c>
      <c r="R82" s="18">
        <f t="shared" si="11"/>
        <v>13.6</v>
      </c>
      <c r="S82" s="19">
        <v>80</v>
      </c>
      <c r="T82" s="19"/>
      <c r="U82" s="18"/>
      <c r="V82" s="18">
        <f t="shared" si="12"/>
        <v>14.852941176470589</v>
      </c>
      <c r="W82" s="18">
        <f t="shared" si="13"/>
        <v>-0.58823529411764708</v>
      </c>
      <c r="X82" s="18">
        <f>VLOOKUP(A:A,[1]TDSheet!$A:$Y,25,0)</f>
        <v>6.6</v>
      </c>
      <c r="Y82" s="18">
        <f>VLOOKUP(A:A,[1]TDSheet!$A:$Z,26,0)</f>
        <v>12.6</v>
      </c>
      <c r="Z82" s="18">
        <f>VLOOKUP(A:A,[1]TDSheet!$A:$AA,27,0)</f>
        <v>9.1999999999999993</v>
      </c>
      <c r="AA82" s="18">
        <f>VLOOKUP(A:A,[1]TDSheet!$A:$R,18,0)</f>
        <v>13.8</v>
      </c>
      <c r="AB82" s="18"/>
      <c r="AC82" s="18">
        <f t="shared" si="14"/>
        <v>24</v>
      </c>
    </row>
    <row r="83" spans="1:29" ht="10.9" customHeight="1" x14ac:dyDescent="0.2">
      <c r="A83" s="9" t="s">
        <v>87</v>
      </c>
      <c r="B83" s="9" t="s">
        <v>14</v>
      </c>
      <c r="C83" s="9">
        <f>VLOOKUP(A:A,[1]TDSheet!$A:$C,3,0)</f>
        <v>7232</v>
      </c>
      <c r="D83" s="10">
        <v>1</v>
      </c>
      <c r="E83" s="10">
        <v>321</v>
      </c>
      <c r="F83" s="10">
        <v>148</v>
      </c>
      <c r="G83" s="10">
        <v>170</v>
      </c>
      <c r="H83" s="5">
        <f>VLOOKUP(A:A,[1]TDSheet!$A:$H,8,0)</f>
        <v>0.28000000000000003</v>
      </c>
      <c r="I83" s="5">
        <f>VLOOKUP(A:A,[1]TDSheet!$A:$I,9,0)</f>
        <v>50</v>
      </c>
      <c r="J83" s="5" t="str">
        <f>VLOOKUP(A:A,[1]TDSheet!$A:$J,10,0)</f>
        <v>в матрице</v>
      </c>
      <c r="L83" s="18">
        <f>VLOOKUP(A:A,[2]TDSheet!$A:$B,2,0)</f>
        <v>188</v>
      </c>
      <c r="M83" s="18">
        <f t="shared" si="10"/>
        <v>-40</v>
      </c>
      <c r="N83" s="18"/>
      <c r="O83" s="18"/>
      <c r="P83" s="18"/>
      <c r="Q83" s="18">
        <f>VLOOKUP(A:A,[1]TDSheet!$A:$S,19,0)</f>
        <v>300</v>
      </c>
      <c r="R83" s="18">
        <f t="shared" si="11"/>
        <v>29.6</v>
      </c>
      <c r="S83" s="19"/>
      <c r="T83" s="19"/>
      <c r="U83" s="18"/>
      <c r="V83" s="18">
        <f t="shared" si="12"/>
        <v>15.878378378378377</v>
      </c>
      <c r="W83" s="18">
        <f t="shared" si="13"/>
        <v>5.743243243243243</v>
      </c>
      <c r="X83" s="18">
        <f>VLOOKUP(A:A,[1]TDSheet!$A:$Y,25,0)</f>
        <v>39.799999999999997</v>
      </c>
      <c r="Y83" s="18">
        <f>VLOOKUP(A:A,[1]TDSheet!$A:$Z,26,0)</f>
        <v>20</v>
      </c>
      <c r="Z83" s="18">
        <f>VLOOKUP(A:A,[1]TDSheet!$A:$AA,27,0)</f>
        <v>32</v>
      </c>
      <c r="AA83" s="18">
        <f>VLOOKUP(A:A,[1]TDSheet!$A:$R,18,0)</f>
        <v>22</v>
      </c>
      <c r="AB83" s="18"/>
      <c r="AC83" s="18">
        <f t="shared" si="14"/>
        <v>0</v>
      </c>
    </row>
    <row r="84" spans="1:29" ht="10.9" customHeight="1" x14ac:dyDescent="0.2">
      <c r="A84" s="9" t="s">
        <v>88</v>
      </c>
      <c r="B84" s="9" t="s">
        <v>14</v>
      </c>
      <c r="C84" s="9">
        <f>VLOOKUP(A:A,[1]TDSheet!$A:$C,3,0)</f>
        <v>7236</v>
      </c>
      <c r="D84" s="10">
        <v>132</v>
      </c>
      <c r="E84" s="10">
        <v>104</v>
      </c>
      <c r="F84" s="10">
        <v>199</v>
      </c>
      <c r="G84" s="10">
        <v>20</v>
      </c>
      <c r="H84" s="5">
        <f>VLOOKUP(A:A,[1]TDSheet!$A:$H,8,0)</f>
        <v>0.28000000000000003</v>
      </c>
      <c r="I84" s="5">
        <f>VLOOKUP(A:A,[1]TDSheet!$A:$I,9,0)</f>
        <v>45</v>
      </c>
      <c r="J84" s="5" t="str">
        <f>VLOOKUP(A:A,[1]TDSheet!$A:$J,10,0)</f>
        <v>в матрице</v>
      </c>
      <c r="L84" s="18">
        <f>VLOOKUP(A:A,[2]TDSheet!$A:$B,2,0)</f>
        <v>224</v>
      </c>
      <c r="M84" s="18">
        <f t="shared" si="10"/>
        <v>-25</v>
      </c>
      <c r="N84" s="18"/>
      <c r="O84" s="18"/>
      <c r="P84" s="18"/>
      <c r="Q84" s="18">
        <f>VLOOKUP(A:A,[1]TDSheet!$A:$S,19,0)</f>
        <v>170</v>
      </c>
      <c r="R84" s="18">
        <f t="shared" si="11"/>
        <v>39.799999999999997</v>
      </c>
      <c r="S84" s="19">
        <v>360</v>
      </c>
      <c r="T84" s="19"/>
      <c r="U84" s="18"/>
      <c r="V84" s="18">
        <f t="shared" si="12"/>
        <v>13.819095477386936</v>
      </c>
      <c r="W84" s="18">
        <f t="shared" si="13"/>
        <v>0.50251256281407042</v>
      </c>
      <c r="X84" s="18">
        <f>VLOOKUP(A:A,[1]TDSheet!$A:$Y,25,0)</f>
        <v>44.6</v>
      </c>
      <c r="Y84" s="18">
        <f>VLOOKUP(A:A,[1]TDSheet!$A:$Z,26,0)</f>
        <v>32.799999999999997</v>
      </c>
      <c r="Z84" s="18">
        <f>VLOOKUP(A:A,[1]TDSheet!$A:$AA,27,0)</f>
        <v>27.6</v>
      </c>
      <c r="AA84" s="18">
        <f>VLOOKUP(A:A,[1]TDSheet!$A:$R,18,0)</f>
        <v>29</v>
      </c>
      <c r="AB84" s="18"/>
      <c r="AC84" s="18">
        <f t="shared" si="14"/>
        <v>100.80000000000001</v>
      </c>
    </row>
    <row r="85" spans="1:29" ht="10.9" customHeight="1" x14ac:dyDescent="0.2">
      <c r="A85" s="9" t="s">
        <v>89</v>
      </c>
      <c r="B85" s="9" t="s">
        <v>14</v>
      </c>
      <c r="C85" s="9">
        <f>VLOOKUP(A:A,[1]TDSheet!$A:$C,3,0)</f>
        <v>7237</v>
      </c>
      <c r="D85" s="10">
        <v>-1</v>
      </c>
      <c r="E85" s="10">
        <v>99</v>
      </c>
      <c r="F85" s="10">
        <v>72</v>
      </c>
      <c r="G85" s="10">
        <v>18</v>
      </c>
      <c r="H85" s="5">
        <f>VLOOKUP(A:A,[1]TDSheet!$A:$H,8,0)</f>
        <v>0.28000000000000003</v>
      </c>
      <c r="I85" s="5">
        <f>VLOOKUP(A:A,[1]TDSheet!$A:$I,9,0)</f>
        <v>45</v>
      </c>
      <c r="J85" s="5" t="str">
        <f>VLOOKUP(A:A,[1]TDSheet!$A:$J,10,0)</f>
        <v>в матрице</v>
      </c>
      <c r="L85" s="18">
        <f>VLOOKUP(A:A,[2]TDSheet!$A:$B,2,0)</f>
        <v>93</v>
      </c>
      <c r="M85" s="18">
        <f t="shared" si="10"/>
        <v>-21</v>
      </c>
      <c r="N85" s="18"/>
      <c r="O85" s="18"/>
      <c r="P85" s="18"/>
      <c r="Q85" s="18">
        <f>VLOOKUP(A:A,[1]TDSheet!$A:$S,19,0)</f>
        <v>200</v>
      </c>
      <c r="R85" s="18">
        <f t="shared" si="11"/>
        <v>14.4</v>
      </c>
      <c r="S85" s="19"/>
      <c r="T85" s="19"/>
      <c r="U85" s="18"/>
      <c r="V85" s="18">
        <f t="shared" si="12"/>
        <v>15.138888888888889</v>
      </c>
      <c r="W85" s="18">
        <f t="shared" si="13"/>
        <v>1.25</v>
      </c>
      <c r="X85" s="18">
        <f>VLOOKUP(A:A,[1]TDSheet!$A:$Y,25,0)</f>
        <v>9.1999999999999993</v>
      </c>
      <c r="Y85" s="18">
        <f>VLOOKUP(A:A,[1]TDSheet!$A:$Z,26,0)</f>
        <v>22.8</v>
      </c>
      <c r="Z85" s="18">
        <f>VLOOKUP(A:A,[1]TDSheet!$A:$AA,27,0)</f>
        <v>-0.2</v>
      </c>
      <c r="AA85" s="18">
        <f>VLOOKUP(A:A,[1]TDSheet!$A:$R,18,0)</f>
        <v>0</v>
      </c>
      <c r="AB85" s="18"/>
      <c r="AC85" s="18">
        <f t="shared" si="14"/>
        <v>0</v>
      </c>
    </row>
    <row r="86" spans="1:29" ht="10.9" customHeight="1" x14ac:dyDescent="0.2">
      <c r="A86" s="9" t="s">
        <v>90</v>
      </c>
      <c r="B86" s="9" t="s">
        <v>14</v>
      </c>
      <c r="C86" s="9">
        <f>VLOOKUP(A:A,[1]TDSheet!$A:$C,3,0)</f>
        <v>7241</v>
      </c>
      <c r="D86" s="10">
        <v>13</v>
      </c>
      <c r="E86" s="10">
        <v>521</v>
      </c>
      <c r="F86" s="10">
        <v>236</v>
      </c>
      <c r="G86" s="10">
        <v>294</v>
      </c>
      <c r="H86" s="5">
        <f>VLOOKUP(A:A,[1]TDSheet!$A:$H,8,0)</f>
        <v>0.28000000000000003</v>
      </c>
      <c r="I86" s="5">
        <f>VLOOKUP(A:A,[1]TDSheet!$A:$I,9,0)</f>
        <v>45</v>
      </c>
      <c r="J86" s="5" t="str">
        <f>VLOOKUP(A:A,[1]TDSheet!$A:$J,10,0)</f>
        <v>в матрице</v>
      </c>
      <c r="L86" s="18">
        <f>VLOOKUP(A:A,[2]TDSheet!$A:$B,2,0)</f>
        <v>392</v>
      </c>
      <c r="M86" s="18">
        <f t="shared" si="10"/>
        <v>-156</v>
      </c>
      <c r="N86" s="18"/>
      <c r="O86" s="18"/>
      <c r="P86" s="18"/>
      <c r="Q86" s="18">
        <f>VLOOKUP(A:A,[1]TDSheet!$A:$S,19,0)</f>
        <v>250</v>
      </c>
      <c r="R86" s="18">
        <f t="shared" si="11"/>
        <v>47.2</v>
      </c>
      <c r="S86" s="19">
        <v>120</v>
      </c>
      <c r="T86" s="19"/>
      <c r="U86" s="18"/>
      <c r="V86" s="18">
        <f t="shared" si="12"/>
        <v>14.067796610169491</v>
      </c>
      <c r="W86" s="18">
        <f t="shared" si="13"/>
        <v>6.2288135593220337</v>
      </c>
      <c r="X86" s="18">
        <f>VLOOKUP(A:A,[1]TDSheet!$A:$Y,25,0)</f>
        <v>42</v>
      </c>
      <c r="Y86" s="18">
        <f>VLOOKUP(A:A,[1]TDSheet!$A:$Z,26,0)</f>
        <v>41.8</v>
      </c>
      <c r="Z86" s="18">
        <f>VLOOKUP(A:A,[1]TDSheet!$A:$AA,27,0)</f>
        <v>58.2</v>
      </c>
      <c r="AA86" s="18">
        <f>VLOOKUP(A:A,[1]TDSheet!$A:$R,18,0)</f>
        <v>55.6</v>
      </c>
      <c r="AB86" s="18"/>
      <c r="AC86" s="18">
        <f t="shared" si="14"/>
        <v>33.6</v>
      </c>
    </row>
    <row r="87" spans="1:29" ht="10.9" customHeight="1" x14ac:dyDescent="0.2">
      <c r="A87" s="9" t="s">
        <v>91</v>
      </c>
      <c r="B87" s="9" t="s">
        <v>14</v>
      </c>
      <c r="C87" s="9">
        <f>VLOOKUP(A:A,[1]TDSheet!$A:$C,3,0)</f>
        <v>7255</v>
      </c>
      <c r="D87" s="10">
        <v>147</v>
      </c>
      <c r="E87" s="10">
        <v>199</v>
      </c>
      <c r="F87" s="10">
        <v>171</v>
      </c>
      <c r="G87" s="10">
        <v>174</v>
      </c>
      <c r="H87" s="5">
        <f>VLOOKUP(A:A,[1]TDSheet!$A:$H,8,0)</f>
        <v>0.4</v>
      </c>
      <c r="I87" s="5">
        <f>VLOOKUP(A:A,[1]TDSheet!$A:$I,9,0)</f>
        <v>50</v>
      </c>
      <c r="J87" s="5" t="str">
        <f>VLOOKUP(A:A,[1]TDSheet!$A:$J,10,0)</f>
        <v>в матрице</v>
      </c>
      <c r="L87" s="18">
        <f>VLOOKUP(A:A,[2]TDSheet!$A:$B,2,0)</f>
        <v>174</v>
      </c>
      <c r="M87" s="18">
        <f t="shared" si="10"/>
        <v>-3</v>
      </c>
      <c r="N87" s="18"/>
      <c r="O87" s="18"/>
      <c r="P87" s="18"/>
      <c r="Q87" s="18">
        <f>VLOOKUP(A:A,[1]TDSheet!$A:$S,19,0)</f>
        <v>90</v>
      </c>
      <c r="R87" s="18">
        <f t="shared" si="11"/>
        <v>34.200000000000003</v>
      </c>
      <c r="S87" s="19">
        <v>200</v>
      </c>
      <c r="T87" s="19"/>
      <c r="U87" s="18"/>
      <c r="V87" s="18">
        <f t="shared" si="12"/>
        <v>13.567251461988302</v>
      </c>
      <c r="W87" s="18">
        <f t="shared" si="13"/>
        <v>5.0877192982456139</v>
      </c>
      <c r="X87" s="18">
        <f>VLOOKUP(A:A,[1]TDSheet!$A:$Y,25,0)</f>
        <v>35.6</v>
      </c>
      <c r="Y87" s="18">
        <f>VLOOKUP(A:A,[1]TDSheet!$A:$Z,26,0)</f>
        <v>33.799999999999997</v>
      </c>
      <c r="Z87" s="18">
        <f>VLOOKUP(A:A,[1]TDSheet!$A:$AA,27,0)</f>
        <v>22.6</v>
      </c>
      <c r="AA87" s="18">
        <f>VLOOKUP(A:A,[1]TDSheet!$A:$R,18,0)</f>
        <v>31.2</v>
      </c>
      <c r="AB87" s="18"/>
      <c r="AC87" s="18">
        <f t="shared" si="14"/>
        <v>80</v>
      </c>
    </row>
    <row r="88" spans="1:29" ht="10.9" customHeight="1" x14ac:dyDescent="0.2">
      <c r="A88" s="21" t="s">
        <v>92</v>
      </c>
      <c r="B88" s="9" t="s">
        <v>14</v>
      </c>
      <c r="C88" s="9">
        <f>VLOOKUP(A:A,[1]TDSheet!$A:$C,3,0)</f>
        <v>7276</v>
      </c>
      <c r="D88" s="10">
        <v>35</v>
      </c>
      <c r="E88" s="10">
        <v>99</v>
      </c>
      <c r="F88" s="10">
        <v>18</v>
      </c>
      <c r="G88" s="10">
        <v>114</v>
      </c>
      <c r="H88" s="5">
        <f>VLOOKUP(A:A,[1]TDSheet!$A:$H,8,0)</f>
        <v>0.3</v>
      </c>
      <c r="I88" s="5">
        <f>VLOOKUP(A:A,[1]TDSheet!$A:$I,9,0)</f>
        <v>50</v>
      </c>
      <c r="J88" s="5" t="str">
        <f>VLOOKUP(A:A,[1]TDSheet!$A:$J,10,0)</f>
        <v>в матрице</v>
      </c>
      <c r="L88" s="18">
        <f>VLOOKUP(A:A,[2]TDSheet!$A:$B,2,0)</f>
        <v>24</v>
      </c>
      <c r="M88" s="18">
        <f t="shared" si="10"/>
        <v>-6</v>
      </c>
      <c r="N88" s="18"/>
      <c r="O88" s="18"/>
      <c r="P88" s="18"/>
      <c r="Q88" s="18">
        <f>VLOOKUP(A:A,[1]TDSheet!$A:$S,19,0)</f>
        <v>50</v>
      </c>
      <c r="R88" s="18">
        <f t="shared" si="11"/>
        <v>3.6</v>
      </c>
      <c r="S88" s="19"/>
      <c r="T88" s="19"/>
      <c r="U88" s="18"/>
      <c r="V88" s="18">
        <f t="shared" si="12"/>
        <v>45.555555555555557</v>
      </c>
      <c r="W88" s="18">
        <f t="shared" si="13"/>
        <v>31.666666666666664</v>
      </c>
      <c r="X88" s="18">
        <f>VLOOKUP(A:A,[1]TDSheet!$A:$Y,25,0)</f>
        <v>2.2000000000000002</v>
      </c>
      <c r="Y88" s="18">
        <f>VLOOKUP(A:A,[1]TDSheet!$A:$Z,26,0)</f>
        <v>7.8</v>
      </c>
      <c r="Z88" s="18">
        <f>VLOOKUP(A:A,[1]TDSheet!$A:$AA,27,0)</f>
        <v>8</v>
      </c>
      <c r="AA88" s="18">
        <f>VLOOKUP(A:A,[1]TDSheet!$A:$R,18,0)</f>
        <v>5.4</v>
      </c>
      <c r="AB88" s="18"/>
      <c r="AC88" s="18">
        <f t="shared" si="14"/>
        <v>0</v>
      </c>
    </row>
    <row r="89" spans="1:29" ht="10.9" customHeight="1" x14ac:dyDescent="0.2">
      <c r="A89" s="21" t="s">
        <v>93</v>
      </c>
      <c r="B89" s="9" t="s">
        <v>14</v>
      </c>
      <c r="C89" s="9">
        <f>VLOOKUP(A:A,[1]TDSheet!$A:$C,3,0)</f>
        <v>7284</v>
      </c>
      <c r="D89" s="10">
        <v>26</v>
      </c>
      <c r="E89" s="10">
        <v>96</v>
      </c>
      <c r="F89" s="10">
        <v>22</v>
      </c>
      <c r="G89" s="10">
        <v>96</v>
      </c>
      <c r="H89" s="5">
        <f>VLOOKUP(A:A,[1]TDSheet!$A:$H,8,0)</f>
        <v>0.33</v>
      </c>
      <c r="I89" s="5">
        <f>VLOOKUP(A:A,[1]TDSheet!$A:$I,9,0)</f>
        <v>30</v>
      </c>
      <c r="J89" s="5" t="str">
        <f>VLOOKUP(A:A,[1]TDSheet!$A:$J,10,0)</f>
        <v>в матрице</v>
      </c>
      <c r="L89" s="18">
        <f>VLOOKUP(A:A,[2]TDSheet!$A:$B,2,0)</f>
        <v>28</v>
      </c>
      <c r="M89" s="18">
        <f t="shared" si="10"/>
        <v>-6</v>
      </c>
      <c r="N89" s="18"/>
      <c r="O89" s="18"/>
      <c r="P89" s="18"/>
      <c r="Q89" s="18">
        <f>VLOOKUP(A:A,[1]TDSheet!$A:$S,19,0)</f>
        <v>90</v>
      </c>
      <c r="R89" s="18">
        <f t="shared" si="11"/>
        <v>4.4000000000000004</v>
      </c>
      <c r="S89" s="19"/>
      <c r="T89" s="19"/>
      <c r="U89" s="18"/>
      <c r="V89" s="18">
        <f t="shared" si="12"/>
        <v>42.272727272727266</v>
      </c>
      <c r="W89" s="18">
        <f t="shared" si="13"/>
        <v>21.818181818181817</v>
      </c>
      <c r="X89" s="18">
        <f>VLOOKUP(A:A,[1]TDSheet!$A:$Y,25,0)</f>
        <v>7.2</v>
      </c>
      <c r="Y89" s="18">
        <f>VLOOKUP(A:A,[1]TDSheet!$A:$Z,26,0)</f>
        <v>4.5999999999999996</v>
      </c>
      <c r="Z89" s="18">
        <f>VLOOKUP(A:A,[1]TDSheet!$A:$AA,27,0)</f>
        <v>10.6</v>
      </c>
      <c r="AA89" s="18">
        <f>VLOOKUP(A:A,[1]TDSheet!$A:$R,18,0)</f>
        <v>10.4</v>
      </c>
      <c r="AB89" s="18"/>
      <c r="AC89" s="18">
        <f t="shared" si="14"/>
        <v>0</v>
      </c>
    </row>
    <row r="90" spans="1:29" ht="10.9" customHeight="1" x14ac:dyDescent="0.2">
      <c r="A90" s="21" t="s">
        <v>94</v>
      </c>
      <c r="B90" s="9" t="s">
        <v>14</v>
      </c>
      <c r="C90" s="9">
        <f>VLOOKUP(A:A,[1]TDSheet!$A:$C,3,0)</f>
        <v>7288</v>
      </c>
      <c r="D90" s="10">
        <v>15</v>
      </c>
      <c r="E90" s="10">
        <v>20</v>
      </c>
      <c r="F90" s="10">
        <v>30</v>
      </c>
      <c r="G90" s="10">
        <v>5</v>
      </c>
      <c r="H90" s="5">
        <f>VLOOKUP(A:A,[1]TDSheet!$A:$H,8,0)</f>
        <v>0.1</v>
      </c>
      <c r="I90" s="5">
        <f>VLOOKUP(A:A,[1]TDSheet!$A:$I,9,0)</f>
        <v>60</v>
      </c>
      <c r="L90" s="18">
        <f>VLOOKUP(A:A,[2]TDSheet!$A:$B,2,0)</f>
        <v>30</v>
      </c>
      <c r="M90" s="18">
        <f t="shared" si="10"/>
        <v>0</v>
      </c>
      <c r="N90" s="18"/>
      <c r="O90" s="18"/>
      <c r="P90" s="18"/>
      <c r="Q90" s="18">
        <f>VLOOKUP(A:A,[1]TDSheet!$A:$S,19,0)</f>
        <v>130</v>
      </c>
      <c r="R90" s="18">
        <f t="shared" si="11"/>
        <v>6</v>
      </c>
      <c r="S90" s="19"/>
      <c r="T90" s="19"/>
      <c r="U90" s="18"/>
      <c r="V90" s="18">
        <f t="shared" si="12"/>
        <v>22.5</v>
      </c>
      <c r="W90" s="18">
        <f t="shared" si="13"/>
        <v>0.83333333333333337</v>
      </c>
      <c r="X90" s="18">
        <f>VLOOKUP(A:A,[1]TDSheet!$A:$Y,25,0)</f>
        <v>8.8000000000000007</v>
      </c>
      <c r="Y90" s="18">
        <f>VLOOKUP(A:A,[1]TDSheet!$A:$Z,26,0)</f>
        <v>8.1999999999999993</v>
      </c>
      <c r="Z90" s="18">
        <f>VLOOKUP(A:A,[1]TDSheet!$A:$AA,27,0)</f>
        <v>7.2</v>
      </c>
      <c r="AA90" s="18">
        <f>VLOOKUP(A:A,[1]TDSheet!$A:$R,18,0)</f>
        <v>12.4</v>
      </c>
      <c r="AB90" s="18"/>
      <c r="AC90" s="18">
        <f t="shared" si="14"/>
        <v>0</v>
      </c>
    </row>
    <row r="91" spans="1:29" ht="10.9" customHeight="1" x14ac:dyDescent="0.2">
      <c r="A91" s="21" t="s">
        <v>95</v>
      </c>
      <c r="B91" s="9" t="s">
        <v>14</v>
      </c>
      <c r="C91" s="9">
        <f>VLOOKUP(A:A,[1]TDSheet!$A:$C,3,0)</f>
        <v>7343</v>
      </c>
      <c r="D91" s="10">
        <v>98</v>
      </c>
      <c r="E91" s="10">
        <v>200</v>
      </c>
      <c r="F91" s="10">
        <v>48</v>
      </c>
      <c r="G91" s="10">
        <v>250</v>
      </c>
      <c r="H91" s="5">
        <f>VLOOKUP(A:A,[1]TDSheet!$A:$H,8,0)</f>
        <v>0.4</v>
      </c>
      <c r="I91" s="5">
        <f>VLOOKUP(A:A,[1]TDSheet!$A:$I,9,0)</f>
        <v>60</v>
      </c>
      <c r="J91" s="5" t="str">
        <f>VLOOKUP(A:A,[1]TDSheet!$A:$J,10,0)</f>
        <v>в матрице</v>
      </c>
      <c r="L91" s="18">
        <f>VLOOKUP(A:A,[2]TDSheet!$A:$B,2,0)</f>
        <v>48</v>
      </c>
      <c r="M91" s="18">
        <f t="shared" si="10"/>
        <v>0</v>
      </c>
      <c r="N91" s="18"/>
      <c r="O91" s="18"/>
      <c r="P91" s="18"/>
      <c r="Q91" s="18">
        <f>VLOOKUP(A:A,[1]TDSheet!$A:$S,19,0)</f>
        <v>0</v>
      </c>
      <c r="R91" s="18">
        <f t="shared" si="11"/>
        <v>9.6</v>
      </c>
      <c r="S91" s="19"/>
      <c r="T91" s="19"/>
      <c r="U91" s="18"/>
      <c r="V91" s="18">
        <f t="shared" si="12"/>
        <v>26.041666666666668</v>
      </c>
      <c r="W91" s="18">
        <f t="shared" si="13"/>
        <v>26.041666666666668</v>
      </c>
      <c r="X91" s="18">
        <f>VLOOKUP(A:A,[1]TDSheet!$A:$Y,25,0)</f>
        <v>4</v>
      </c>
      <c r="Y91" s="18">
        <f>VLOOKUP(A:A,[1]TDSheet!$A:$Z,26,0)</f>
        <v>10.4</v>
      </c>
      <c r="Z91" s="18">
        <f>VLOOKUP(A:A,[1]TDSheet!$A:$AA,27,0)</f>
        <v>3.2</v>
      </c>
      <c r="AA91" s="18">
        <f>VLOOKUP(A:A,[1]TDSheet!$A:$R,18,0)</f>
        <v>4.4000000000000004</v>
      </c>
      <c r="AB91" s="18"/>
      <c r="AC91" s="18">
        <f t="shared" si="14"/>
        <v>0</v>
      </c>
    </row>
    <row r="92" spans="1:29" ht="10.9" customHeight="1" x14ac:dyDescent="0.2">
      <c r="A92" s="21" t="s">
        <v>96</v>
      </c>
      <c r="B92" s="9" t="s">
        <v>14</v>
      </c>
      <c r="C92" s="9">
        <f>VLOOKUP(A:A,[1]TDSheet!$A:$C,3,0)</f>
        <v>7371</v>
      </c>
      <c r="D92" s="10">
        <v>138</v>
      </c>
      <c r="E92" s="10">
        <v>298</v>
      </c>
      <c r="F92" s="10">
        <v>76</v>
      </c>
      <c r="G92" s="10">
        <v>359</v>
      </c>
      <c r="H92" s="5">
        <f>VLOOKUP(A:A,[1]TDSheet!$A:$H,8,0)</f>
        <v>0.3</v>
      </c>
      <c r="L92" s="18">
        <f>VLOOKUP(A:A,[2]TDSheet!$A:$B,2,0)</f>
        <v>80</v>
      </c>
      <c r="M92" s="18">
        <f t="shared" si="10"/>
        <v>-4</v>
      </c>
      <c r="N92" s="18"/>
      <c r="O92" s="18"/>
      <c r="P92" s="18"/>
      <c r="Q92" s="18">
        <f>VLOOKUP(A:A,[1]TDSheet!$A:$S,19,0)</f>
        <v>0</v>
      </c>
      <c r="R92" s="18">
        <f t="shared" si="11"/>
        <v>15.2</v>
      </c>
      <c r="S92" s="19"/>
      <c r="T92" s="19"/>
      <c r="U92" s="18"/>
      <c r="V92" s="18">
        <f t="shared" si="12"/>
        <v>23.618421052631579</v>
      </c>
      <c r="W92" s="18">
        <f t="shared" si="13"/>
        <v>23.618421052631579</v>
      </c>
      <c r="X92" s="18">
        <f>VLOOKUP(A:A,[1]TDSheet!$A:$Y,25,0)</f>
        <v>18.8</v>
      </c>
      <c r="Y92" s="18">
        <f>VLOOKUP(A:A,[1]TDSheet!$A:$Z,26,0)</f>
        <v>20.6</v>
      </c>
      <c r="Z92" s="18">
        <f>VLOOKUP(A:A,[1]TDSheet!$A:$AA,27,0)</f>
        <v>14.4</v>
      </c>
      <c r="AA92" s="18">
        <f>VLOOKUP(A:A,[1]TDSheet!$A:$R,18,0)</f>
        <v>19.399999999999999</v>
      </c>
      <c r="AB92" s="18"/>
      <c r="AC92" s="18">
        <f t="shared" si="14"/>
        <v>0</v>
      </c>
    </row>
    <row r="93" spans="1:29" ht="10.9" customHeight="1" x14ac:dyDescent="0.2">
      <c r="A93" s="9" t="s">
        <v>97</v>
      </c>
      <c r="B93" s="9" t="s">
        <v>14</v>
      </c>
      <c r="C93" s="9">
        <f>VLOOKUP(A:A,[1]TDSheet!$A:$C,3,0)</f>
        <v>7382</v>
      </c>
      <c r="D93" s="10">
        <v>227</v>
      </c>
      <c r="E93" s="10"/>
      <c r="F93" s="10">
        <v>96</v>
      </c>
      <c r="G93" s="10">
        <v>131</v>
      </c>
      <c r="H93" s="5">
        <f>VLOOKUP(A:A,[1]TDSheet!$A:$H,8,0)</f>
        <v>0.12</v>
      </c>
      <c r="I93" s="5">
        <f>VLOOKUP(A:A,[1]TDSheet!$A:$I,9,0)</f>
        <v>60</v>
      </c>
      <c r="J93" s="5" t="str">
        <f>VLOOKUP(A:A,[1]TDSheet!$A:$J,10,0)</f>
        <v>в матрице</v>
      </c>
      <c r="L93" s="18">
        <f>VLOOKUP(A:A,[2]TDSheet!$A:$B,2,0)</f>
        <v>102</v>
      </c>
      <c r="M93" s="18">
        <f t="shared" si="10"/>
        <v>-6</v>
      </c>
      <c r="N93" s="18"/>
      <c r="O93" s="18"/>
      <c r="P93" s="18"/>
      <c r="Q93" s="18">
        <f>VLOOKUP(A:A,[1]TDSheet!$A:$S,19,0)</f>
        <v>96</v>
      </c>
      <c r="R93" s="18">
        <f t="shared" si="11"/>
        <v>19.2</v>
      </c>
      <c r="S93" s="19">
        <v>40</v>
      </c>
      <c r="T93" s="19"/>
      <c r="U93" s="18"/>
      <c r="V93" s="18">
        <f t="shared" si="12"/>
        <v>13.90625</v>
      </c>
      <c r="W93" s="18">
        <f t="shared" si="13"/>
        <v>6.822916666666667</v>
      </c>
      <c r="X93" s="18">
        <f>VLOOKUP(A:A,[1]TDSheet!$A:$Y,25,0)</f>
        <v>16.8</v>
      </c>
      <c r="Y93" s="18">
        <f>VLOOKUP(A:A,[1]TDSheet!$A:$Z,26,0)</f>
        <v>29.6</v>
      </c>
      <c r="Z93" s="18">
        <f>VLOOKUP(A:A,[1]TDSheet!$A:$AA,27,0)</f>
        <v>11.6</v>
      </c>
      <c r="AA93" s="18">
        <f>VLOOKUP(A:A,[1]TDSheet!$A:$R,18,0)</f>
        <v>23</v>
      </c>
      <c r="AB93" s="18"/>
      <c r="AC93" s="18">
        <f t="shared" si="14"/>
        <v>4.8</v>
      </c>
    </row>
    <row r="94" spans="1:29" ht="10.9" customHeight="1" x14ac:dyDescent="0.2">
      <c r="A94" s="22" t="s">
        <v>98</v>
      </c>
      <c r="B94" s="22" t="s">
        <v>16</v>
      </c>
      <c r="C94" s="22">
        <f>VLOOKUP(A:A,[1]TDSheet!$A:$C,3,0)</f>
        <v>7422</v>
      </c>
      <c r="D94" s="23">
        <v>111.56</v>
      </c>
      <c r="E94" s="23"/>
      <c r="F94" s="23">
        <v>95.322000000000003</v>
      </c>
      <c r="G94" s="23">
        <v>16.238</v>
      </c>
      <c r="H94" s="24">
        <f>VLOOKUP(A:A,[1]TDSheet!$A:$H,8,0)</f>
        <v>1</v>
      </c>
      <c r="I94" s="24"/>
      <c r="J94" s="24"/>
      <c r="K94" s="24"/>
      <c r="L94" s="25">
        <f>VLOOKUP(A:A,[2]TDSheet!$A:$B,2,0)</f>
        <v>95</v>
      </c>
      <c r="M94" s="25">
        <f t="shared" si="10"/>
        <v>0.32200000000000273</v>
      </c>
      <c r="N94" s="25"/>
      <c r="O94" s="25"/>
      <c r="P94" s="25"/>
      <c r="Q94" s="25">
        <f>VLOOKUP(A:A,[1]TDSheet!$A:$S,19,0)</f>
        <v>0</v>
      </c>
      <c r="R94" s="25">
        <f t="shared" si="11"/>
        <v>19.064399999999999</v>
      </c>
      <c r="S94" s="26">
        <v>0</v>
      </c>
      <c r="T94" s="26"/>
      <c r="U94" s="25"/>
      <c r="V94" s="25">
        <f t="shared" si="12"/>
        <v>0.85174461299595061</v>
      </c>
      <c r="W94" s="25">
        <f t="shared" si="13"/>
        <v>0.85174461299595061</v>
      </c>
      <c r="X94" s="25">
        <f>VLOOKUP(A:A,[1]TDSheet!$A:$Y,25,0)</f>
        <v>0</v>
      </c>
      <c r="Y94" s="25">
        <f>VLOOKUP(A:A,[1]TDSheet!$A:$Z,26,0)</f>
        <v>0</v>
      </c>
      <c r="Z94" s="25">
        <f>VLOOKUP(A:A,[1]TDSheet!$A:$AA,27,0)</f>
        <v>0</v>
      </c>
      <c r="AA94" s="25">
        <f>VLOOKUP(A:A,[1]TDSheet!$A:$R,18,0)</f>
        <v>293.13200000000001</v>
      </c>
      <c r="AB94" s="25" t="s">
        <v>129</v>
      </c>
      <c r="AC94" s="25">
        <f t="shared" si="14"/>
        <v>0</v>
      </c>
    </row>
    <row r="95" spans="1:29" ht="10.9" customHeight="1" x14ac:dyDescent="0.2">
      <c r="A95" s="9" t="s">
        <v>99</v>
      </c>
      <c r="B95" s="9" t="s">
        <v>14</v>
      </c>
      <c r="C95" s="9">
        <f>VLOOKUP(A:A,[1]TDSheet!$A:$C,3,0)</f>
        <v>7461</v>
      </c>
      <c r="D95" s="10">
        <v>108</v>
      </c>
      <c r="E95" s="10">
        <v>1</v>
      </c>
      <c r="F95" s="10">
        <v>78</v>
      </c>
      <c r="G95" s="10">
        <v>27</v>
      </c>
      <c r="H95" s="5">
        <f>VLOOKUP(A:A,[1]TDSheet!$A:$H,8,0)</f>
        <v>0.33</v>
      </c>
      <c r="L95" s="18">
        <f>VLOOKUP(A:A,[2]TDSheet!$A:$B,2,0)</f>
        <v>90</v>
      </c>
      <c r="M95" s="18">
        <f t="shared" si="10"/>
        <v>-12</v>
      </c>
      <c r="N95" s="18"/>
      <c r="O95" s="18"/>
      <c r="P95" s="18"/>
      <c r="Q95" s="18">
        <f>VLOOKUP(A:A,[1]TDSheet!$A:$S,19,0)</f>
        <v>0</v>
      </c>
      <c r="R95" s="18">
        <f t="shared" si="11"/>
        <v>15.6</v>
      </c>
      <c r="S95" s="19">
        <v>200</v>
      </c>
      <c r="T95" s="19"/>
      <c r="U95" s="18"/>
      <c r="V95" s="18">
        <f t="shared" si="12"/>
        <v>14.551282051282051</v>
      </c>
      <c r="W95" s="18">
        <f t="shared" si="13"/>
        <v>1.7307692307692308</v>
      </c>
      <c r="X95" s="18">
        <f>VLOOKUP(A:A,[1]TDSheet!$A:$Y,25,0)</f>
        <v>11.4</v>
      </c>
      <c r="Y95" s="18">
        <f>VLOOKUP(A:A,[1]TDSheet!$A:$Z,26,0)</f>
        <v>21.4</v>
      </c>
      <c r="Z95" s="18">
        <f>VLOOKUP(A:A,[1]TDSheet!$A:$AA,27,0)</f>
        <v>12.6</v>
      </c>
      <c r="AA95" s="18">
        <f>VLOOKUP(A:A,[1]TDSheet!$A:$R,18,0)</f>
        <v>16.399999999999999</v>
      </c>
      <c r="AB95" s="18"/>
      <c r="AC95" s="18">
        <f t="shared" si="14"/>
        <v>66</v>
      </c>
    </row>
    <row r="96" spans="1:29" ht="10.9" customHeight="1" x14ac:dyDescent="0.2">
      <c r="A96" s="9" t="s">
        <v>100</v>
      </c>
      <c r="B96" s="9" t="s">
        <v>14</v>
      </c>
      <c r="C96" s="9">
        <f>VLOOKUP(A:A,[1]TDSheet!$A:$C,3,0)</f>
        <v>7523</v>
      </c>
      <c r="D96" s="11"/>
      <c r="E96" s="10">
        <v>96</v>
      </c>
      <c r="F96" s="10">
        <v>84</v>
      </c>
      <c r="G96" s="10">
        <v>12</v>
      </c>
      <c r="H96" s="5">
        <f>VLOOKUP(A:A,[1]TDSheet!$A:$H,8,0)</f>
        <v>0.4</v>
      </c>
      <c r="L96" s="18">
        <f>VLOOKUP(A:A,[2]TDSheet!$A:$B,2,0)</f>
        <v>76</v>
      </c>
      <c r="M96" s="18">
        <f t="shared" si="10"/>
        <v>8</v>
      </c>
      <c r="N96" s="18"/>
      <c r="O96" s="18"/>
      <c r="P96" s="18"/>
      <c r="Q96" s="18">
        <f>VLOOKUP(A:A,[1]TDSheet!$A:$S,19,0)</f>
        <v>0</v>
      </c>
      <c r="R96" s="18">
        <f t="shared" si="11"/>
        <v>16.8</v>
      </c>
      <c r="S96" s="19">
        <v>220</v>
      </c>
      <c r="T96" s="19"/>
      <c r="U96" s="18"/>
      <c r="V96" s="18">
        <f t="shared" si="12"/>
        <v>13.809523809523808</v>
      </c>
      <c r="W96" s="18">
        <f t="shared" si="13"/>
        <v>0.7142857142857143</v>
      </c>
      <c r="X96" s="18">
        <f>VLOOKUP(A:A,[1]TDSheet!$A:$Y,25,0)</f>
        <v>2.8</v>
      </c>
      <c r="Y96" s="18">
        <f>VLOOKUP(A:A,[1]TDSheet!$A:$Z,26,0)</f>
        <v>0</v>
      </c>
      <c r="Z96" s="18">
        <f>VLOOKUP(A:A,[1]TDSheet!$A:$AA,27,0)</f>
        <v>7</v>
      </c>
      <c r="AA96" s="18">
        <f>VLOOKUP(A:A,[1]TDSheet!$A:$R,18,0)</f>
        <v>0.2</v>
      </c>
      <c r="AB96" s="18"/>
      <c r="AC96" s="18">
        <f t="shared" si="14"/>
        <v>88</v>
      </c>
    </row>
    <row r="97" spans="1:29" ht="10.9" customHeight="1" x14ac:dyDescent="0.2">
      <c r="A97" s="21" t="s">
        <v>101</v>
      </c>
      <c r="B97" s="9" t="s">
        <v>14</v>
      </c>
      <c r="C97" s="9">
        <f>VLOOKUP(A:A,[1]TDSheet!$A:$C,3,0)</f>
        <v>7539</v>
      </c>
      <c r="D97" s="10">
        <v>163</v>
      </c>
      <c r="E97" s="10">
        <v>144</v>
      </c>
      <c r="F97" s="10">
        <v>15</v>
      </c>
      <c r="G97" s="10">
        <v>292</v>
      </c>
      <c r="H97" s="5">
        <f>VLOOKUP(A:A,[1]TDSheet!$A:$H,8,0)</f>
        <v>0.35</v>
      </c>
      <c r="L97" s="18">
        <f>VLOOKUP(A:A,[2]TDSheet!$A:$B,2,0)</f>
        <v>15</v>
      </c>
      <c r="M97" s="18">
        <f t="shared" si="10"/>
        <v>0</v>
      </c>
      <c r="N97" s="18"/>
      <c r="O97" s="18"/>
      <c r="P97" s="18"/>
      <c r="Q97" s="18">
        <f>VLOOKUP(A:A,[1]TDSheet!$A:$S,19,0)</f>
        <v>0</v>
      </c>
      <c r="R97" s="18">
        <f t="shared" si="11"/>
        <v>3</v>
      </c>
      <c r="S97" s="19"/>
      <c r="T97" s="19"/>
      <c r="U97" s="18"/>
      <c r="V97" s="18">
        <f t="shared" si="12"/>
        <v>97.333333333333329</v>
      </c>
      <c r="W97" s="18">
        <f t="shared" si="13"/>
        <v>97.333333333333329</v>
      </c>
      <c r="X97" s="18">
        <f>VLOOKUP(A:A,[1]TDSheet!$A:$Y,25,0)</f>
        <v>1.6</v>
      </c>
      <c r="Y97" s="18">
        <f>VLOOKUP(A:A,[1]TDSheet!$A:$Z,26,0)</f>
        <v>2</v>
      </c>
      <c r="Z97" s="18">
        <f>VLOOKUP(A:A,[1]TDSheet!$A:$AA,27,0)</f>
        <v>1.8</v>
      </c>
      <c r="AA97" s="18">
        <f>VLOOKUP(A:A,[1]TDSheet!$A:$R,18,0)</f>
        <v>0.4</v>
      </c>
      <c r="AB97" s="18"/>
      <c r="AC97" s="18">
        <f t="shared" si="14"/>
        <v>0</v>
      </c>
    </row>
    <row r="98" spans="1:29" ht="10.9" customHeight="1" x14ac:dyDescent="0.2">
      <c r="A98" s="21" t="s">
        <v>102</v>
      </c>
      <c r="B98" s="9" t="s">
        <v>14</v>
      </c>
      <c r="C98" s="9">
        <v>7603</v>
      </c>
      <c r="D98" s="11"/>
      <c r="E98" s="10">
        <v>192</v>
      </c>
      <c r="F98" s="10">
        <v>8</v>
      </c>
      <c r="G98" s="10">
        <v>184</v>
      </c>
      <c r="H98" s="5">
        <v>0.33</v>
      </c>
      <c r="L98" s="18">
        <f>VLOOKUP(A:A,[2]TDSheet!$A:$B,2,0)</f>
        <v>9</v>
      </c>
      <c r="M98" s="18">
        <f t="shared" si="10"/>
        <v>-1</v>
      </c>
      <c r="N98" s="18"/>
      <c r="O98" s="18"/>
      <c r="P98" s="18"/>
      <c r="Q98" s="18">
        <v>0</v>
      </c>
      <c r="R98" s="18">
        <f t="shared" si="11"/>
        <v>1.6</v>
      </c>
      <c r="S98" s="19"/>
      <c r="T98" s="19"/>
      <c r="U98" s="18"/>
      <c r="V98" s="18">
        <f t="shared" si="12"/>
        <v>115</v>
      </c>
      <c r="W98" s="18">
        <f t="shared" si="13"/>
        <v>115</v>
      </c>
      <c r="X98" s="18">
        <v>0</v>
      </c>
      <c r="Y98" s="18">
        <v>0</v>
      </c>
      <c r="Z98" s="18">
        <v>0</v>
      </c>
      <c r="AA98" s="18">
        <v>0</v>
      </c>
      <c r="AB98" s="18"/>
      <c r="AC98" s="18">
        <f t="shared" si="14"/>
        <v>0</v>
      </c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2026-06-24T13:24:25Z</dcterms:modified>
</cp:coreProperties>
</file>