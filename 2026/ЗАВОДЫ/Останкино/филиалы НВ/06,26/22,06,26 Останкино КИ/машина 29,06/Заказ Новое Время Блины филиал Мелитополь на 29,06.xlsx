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"/>
    </mc:Choice>
  </mc:AlternateContent>
  <xr:revisionPtr revIDLastSave="0" documentId="13_ncr:1_{7DF83DF9-C4FB-41D0-A686-471A814D6F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E24" i="1" l="1"/>
  <c r="G23" i="1" l="1"/>
  <c r="G21" i="1" l="1"/>
  <c r="G20" i="1" l="1"/>
  <c r="G13" i="1"/>
  <c r="G14" i="1"/>
  <c r="G15" i="1"/>
  <c r="G16" i="1"/>
  <c r="G17" i="1"/>
  <c r="G18" i="1"/>
  <c r="G19" i="1"/>
  <c r="G12" i="1"/>
  <c r="G24" i="1" l="1"/>
</calcChain>
</file>

<file path=xl/sharedStrings.xml><?xml version="1.0" encoding="utf-8"?>
<sst xmlns="http://schemas.openxmlformats.org/spreadsheetml/2006/main" count="62" uniqueCount="47">
  <si>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</si>
  <si>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</si>
  <si>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</si>
  <si>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</si>
  <si>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</si>
  <si>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</si>
  <si>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</si>
  <si>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</si>
  <si>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</si>
  <si>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</si>
  <si>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</si>
  <si>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</si>
  <si>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</si>
  <si>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</si>
  <si>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</si>
  <si>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</si>
  <si>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</si>
  <si>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</si>
  <si>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</si>
  <si>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</si>
  <si>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</si>
  <si>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</si>
  <si>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</si>
  <si>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</si>
  <si>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</si>
  <si>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</si>
  <si>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</si>
  <si>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</si>
  <si>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</si>
  <si>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</si>
  <si>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</si>
  <si>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</si>
  <si>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</si>
  <si>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</si>
  <si>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</si>
  <si>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</si>
  <si>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</si>
  <si>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</si>
  <si>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</si>
  <si>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</si>
  <si>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</si>
  <si>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</si>
  <si>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</si>
  <si>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Мариуполь</t>
  </si>
  <si>
    <t>Пельмени/Вареники</t>
  </si>
  <si>
    <t>СОЧНЫЕ СО СЛ.МАСЛ.ПМ пельм пл.0.7кг зам.</t>
  </si>
  <si>
    <t>Запорожская область,Мелитополь г, Северный переезд ул. стр. 3, Семёновка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</si>
</sst>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5" borderId="7" xfId="0" applyNumberFormat="1" applyFill="1" applyBorder="1" applyAlignment="1">
      <alignment horizontal="right"/>
    </xf>
    <xf numFmtId="0" fontId="8" fillId="0" borderId="0" xfId="0" applyFont="1" applyFill="1" applyAlignment="1">
      <alignment vertical="center"/>
    </xf>
    <xf numFmtId="1" fontId="8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7" xfId="0" applyNumberFormat="1" applyFill="1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" fontId="9" fillId="8" borderId="14" xfId="0" applyNumberFormat="1" applyFont="1" applyFill="1" applyBorder="1" applyAlignment="1">
      <alignment vertical="top"/>
    </xf>
    <xf numFmtId="0" fontId="8" fillId="0" borderId="7" xfId="0" applyFont="1" applyFill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left" vertical="top"/>
    </xf>
    <xf numFmtId="1" fontId="8" fillId="0" borderId="7" xfId="0" applyNumberFormat="1" applyFont="1" applyFill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1" fontId="9" fillId="8" borderId="0" xfId="0" applyNumberFormat="1" applyFont="1" applyFill="1" applyBorder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J7" sqref="J7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39">
        <v>130133079</v>
      </c>
      <c r="E1" s="65" t="s">
        <v>34</v>
      </c>
      <c r="F1" s="66"/>
      <c r="G1" s="66"/>
      <c r="H1" s="66"/>
      <c r="I1" s="66"/>
      <c r="J1" s="67"/>
      <c r="K1" s="26">
        <v>130133079</v>
      </c>
      <c r="L1" t="s">
        <v>35</v>
      </c>
      <c r="M1" t="s">
        <v>36</v>
      </c>
      <c r="N1" t="s">
        <v>37</v>
      </c>
    </row>
    <row r="2" spans="1:15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5" ht="19.5" customHeight="1" thickTop="1" thickBot="1" x14ac:dyDescent="0.3">
      <c r="B3" s="31"/>
      <c r="C3" s="7" t="s">
        <v>1</v>
      </c>
      <c r="D3" s="64">
        <v>46202</v>
      </c>
      <c r="E3" s="7" t="s">
        <v>2</v>
      </c>
      <c r="F3" s="64">
        <f>D3+3</f>
        <v>46205</v>
      </c>
      <c r="G3" s="68" t="s">
        <v>46</v>
      </c>
      <c r="H3" s="69"/>
      <c r="I3" s="69"/>
      <c r="J3" s="70"/>
      <c r="K3" s="26">
        <v>130133081</v>
      </c>
      <c r="L3" t="s">
        <v>35</v>
      </c>
      <c r="M3" t="s">
        <v>39</v>
      </c>
      <c r="N3" t="s">
        <v>40</v>
      </c>
    </row>
    <row r="4" spans="1:15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5" x14ac:dyDescent="0.25">
      <c r="C5" s="7" t="s">
        <v>3</v>
      </c>
      <c r="D5" s="36"/>
      <c r="E5" s="8"/>
      <c r="F5" s="8"/>
      <c r="G5" s="8"/>
      <c r="H5" s="21"/>
      <c r="I5" s="21"/>
      <c r="K5" s="26">
        <v>130439105</v>
      </c>
      <c r="L5" t="s">
        <v>43</v>
      </c>
      <c r="M5" t="s">
        <v>36</v>
      </c>
      <c r="O5" t="s">
        <v>38</v>
      </c>
    </row>
    <row r="6" spans="1:15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5" t="s">
        <v>8</v>
      </c>
      <c r="B9" s="43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5" ht="16.5" customHeight="1" thickTop="1" thickBot="1" x14ac:dyDescent="0.3">
      <c r="A10" s="46"/>
      <c r="B10" s="41" t="s">
        <v>18</v>
      </c>
      <c r="C10" s="41"/>
      <c r="D10" s="41"/>
      <c r="E10" s="41"/>
      <c r="F10" s="40"/>
      <c r="G10" s="41"/>
      <c r="H10" s="41"/>
      <c r="I10" s="41"/>
      <c r="J10" s="42"/>
    </row>
    <row r="11" spans="1:15" ht="16.5" customHeight="1" thickTop="1" thickBot="1" x14ac:dyDescent="0.3">
      <c r="A11" s="46" t="s">
        <v>22</v>
      </c>
      <c r="B11" s="41" t="s">
        <v>23</v>
      </c>
      <c r="C11" s="41"/>
      <c r="D11" s="41"/>
      <c r="E11" s="41"/>
      <c r="F11" s="40"/>
      <c r="G11" s="41"/>
      <c r="H11" s="41"/>
      <c r="I11" s="41"/>
      <c r="J11" s="42"/>
    </row>
    <row r="12" spans="1:15" ht="16.5" customHeight="1" thickTop="1" x14ac:dyDescent="0.25">
      <c r="A12" s="56">
        <v>5897</v>
      </c>
      <c r="B12" s="49" t="s">
        <v>24</v>
      </c>
      <c r="C12" s="47" t="s">
        <v>19</v>
      </c>
      <c r="D12" s="48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5" ht="16.5" customHeight="1" x14ac:dyDescent="0.25">
      <c r="A13" s="56">
        <v>6149</v>
      </c>
      <c r="B13" s="51" t="s">
        <v>25</v>
      </c>
      <c r="C13" s="47" t="s">
        <v>19</v>
      </c>
      <c r="D13" s="48">
        <v>1002131166149</v>
      </c>
      <c r="E13" s="23">
        <v>100</v>
      </c>
      <c r="F13" s="22">
        <v>0.3</v>
      </c>
      <c r="G13" s="22">
        <f t="shared" ref="G13:G19" si="0">E13*F13</f>
        <v>30</v>
      </c>
      <c r="H13" s="14">
        <v>3.6</v>
      </c>
      <c r="I13" s="14">
        <v>120</v>
      </c>
      <c r="J13" s="28"/>
    </row>
    <row r="14" spans="1:15" ht="16.5" customHeight="1" x14ac:dyDescent="0.25">
      <c r="A14" s="56">
        <v>6819</v>
      </c>
      <c r="B14" s="51" t="s">
        <v>26</v>
      </c>
      <c r="C14" s="47" t="s">
        <v>19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6">
        <v>6202</v>
      </c>
      <c r="B15" s="51" t="s">
        <v>27</v>
      </c>
      <c r="C15" s="47" t="s">
        <v>19</v>
      </c>
      <c r="D15" s="48">
        <v>1002131186202</v>
      </c>
      <c r="E15" s="23">
        <v>100</v>
      </c>
      <c r="F15" s="22">
        <v>0.3</v>
      </c>
      <c r="G15" s="22">
        <f t="shared" si="0"/>
        <v>30</v>
      </c>
      <c r="H15" s="14">
        <v>3.6</v>
      </c>
      <c r="I15" s="14">
        <v>120</v>
      </c>
      <c r="J15" s="28"/>
    </row>
    <row r="16" spans="1:15" ht="16.5" customHeight="1" x14ac:dyDescent="0.25">
      <c r="A16" s="56">
        <v>6148</v>
      </c>
      <c r="B16" s="51" t="s">
        <v>28</v>
      </c>
      <c r="C16" s="47" t="s">
        <v>19</v>
      </c>
      <c r="D16" s="48">
        <v>1002133376148</v>
      </c>
      <c r="E16" s="23">
        <v>100</v>
      </c>
      <c r="F16" s="22">
        <v>0.3</v>
      </c>
      <c r="G16" s="22">
        <f t="shared" si="0"/>
        <v>30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51" t="s">
        <v>29</v>
      </c>
      <c r="C17" s="47" t="s">
        <v>19</v>
      </c>
      <c r="D17" s="48">
        <v>1002131146209</v>
      </c>
      <c r="E17" s="23">
        <v>100</v>
      </c>
      <c r="F17" s="22">
        <v>0.35</v>
      </c>
      <c r="G17" s="22">
        <f t="shared" si="0"/>
        <v>35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51" t="s">
        <v>30</v>
      </c>
      <c r="C18" s="47" t="s">
        <v>19</v>
      </c>
      <c r="D18" s="52">
        <v>1002131156168</v>
      </c>
      <c r="E18" s="23">
        <v>100</v>
      </c>
      <c r="F18" s="22">
        <v>0.35</v>
      </c>
      <c r="G18" s="22">
        <f t="shared" si="0"/>
        <v>35</v>
      </c>
      <c r="H18" s="14">
        <v>4.2</v>
      </c>
      <c r="I18" s="14">
        <v>120</v>
      </c>
      <c r="J18" s="55"/>
    </row>
    <row r="19" spans="1:10" ht="16.5" customHeight="1" x14ac:dyDescent="0.25">
      <c r="A19" s="56">
        <v>5579</v>
      </c>
      <c r="B19" s="51" t="s">
        <v>31</v>
      </c>
      <c r="C19" s="47" t="s">
        <v>19</v>
      </c>
      <c r="D19" s="52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55"/>
    </row>
    <row r="20" spans="1:10" ht="16.5" customHeight="1" x14ac:dyDescent="0.25">
      <c r="A20" s="50">
        <v>5754</v>
      </c>
      <c r="B20" s="53" t="s">
        <v>32</v>
      </c>
      <c r="C20" s="47" t="s">
        <v>20</v>
      </c>
      <c r="D20" s="52">
        <v>1002131155754</v>
      </c>
      <c r="E20" s="23">
        <v>100</v>
      </c>
      <c r="F20" s="22">
        <v>4.5</v>
      </c>
      <c r="G20" s="54">
        <f>E20</f>
        <v>100</v>
      </c>
      <c r="H20" s="14">
        <v>4.5</v>
      </c>
      <c r="I20" s="14">
        <v>120</v>
      </c>
      <c r="J20" s="55"/>
    </row>
    <row r="21" spans="1:10" ht="15.75" customHeight="1" x14ac:dyDescent="0.25">
      <c r="A21" s="50">
        <v>5755</v>
      </c>
      <c r="B21" s="49" t="s">
        <v>33</v>
      </c>
      <c r="C21" s="47" t="s">
        <v>20</v>
      </c>
      <c r="D21" s="48">
        <v>1002131185755</v>
      </c>
      <c r="E21" s="23">
        <v>100</v>
      </c>
      <c r="F21" s="22">
        <v>4.5</v>
      </c>
      <c r="G21" s="54">
        <f>E21</f>
        <v>100</v>
      </c>
      <c r="H21" s="14">
        <v>4.5</v>
      </c>
      <c r="I21" s="14">
        <v>120</v>
      </c>
      <c r="J21" s="28"/>
    </row>
    <row r="22" spans="1:10" ht="16.5" customHeight="1" thickBot="1" x14ac:dyDescent="0.3">
      <c r="A22" s="58"/>
      <c r="B22" s="71" t="s">
        <v>44</v>
      </c>
      <c r="C22" s="71"/>
      <c r="D22" s="71"/>
      <c r="E22" s="71"/>
      <c r="F22" s="71"/>
      <c r="G22" s="71"/>
      <c r="H22" s="71"/>
      <c r="I22" s="71"/>
      <c r="J22" s="71"/>
    </row>
    <row r="23" spans="1:10" ht="15.75" customHeight="1" thickTop="1" thickBot="1" x14ac:dyDescent="0.3">
      <c r="A23" s="59">
        <v>7216</v>
      </c>
      <c r="B23" s="60" t="s">
        <v>45</v>
      </c>
      <c r="C23" s="47" t="s">
        <v>19</v>
      </c>
      <c r="D23" s="61">
        <v>1002116437216</v>
      </c>
      <c r="E23" s="62">
        <v>200</v>
      </c>
      <c r="F23" s="22">
        <v>0.7</v>
      </c>
      <c r="G23" s="54">
        <f>E23</f>
        <v>200</v>
      </c>
      <c r="H23" s="14"/>
      <c r="I23" s="63"/>
      <c r="J23" s="63"/>
    </row>
    <row r="24" spans="1:10" ht="16.5" thickTop="1" thickBot="1" x14ac:dyDescent="0.3">
      <c r="A24" s="57"/>
      <c r="B24" s="44" t="s">
        <v>21</v>
      </c>
      <c r="C24" s="15"/>
      <c r="D24" s="34"/>
      <c r="E24" s="16">
        <f>SUM(E10:E23)</f>
        <v>900</v>
      </c>
      <c r="F24" s="16"/>
      <c r="G24" s="16">
        <f>SUM(G11:G23)</f>
        <v>560</v>
      </c>
      <c r="H24" s="16"/>
      <c r="I24" s="16"/>
      <c r="J24" s="16"/>
    </row>
    <row r="25" spans="1:10" ht="15.75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G3:J3"/>
    <mergeCell ref="B22:J22"/>
  </mergeCells>
  <conditionalFormatting sqref="A23">
    <cfRule type="duplicateValues" dxfId="3" priority="1"/>
    <cfRule type="duplicateValues" dxfId="2" priority="2"/>
  </conditionalFormatting>
  <conditionalFormatting sqref="A23">
    <cfRule type="duplicateValues" dxfId="1" priority="4"/>
  </conditionalFormatting>
  <conditionalFormatting sqref="A23">
    <cfRule type="duplicateValues" dxfId="0" priority="3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2026-06-24T13:14:00Z</dcterms:modified>
</cp:coreProperties>
</file>