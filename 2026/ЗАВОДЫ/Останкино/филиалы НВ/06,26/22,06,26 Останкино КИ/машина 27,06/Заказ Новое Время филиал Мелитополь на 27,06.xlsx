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Останкино\машина 27,06\"/>
    </mc:Choice>
  </mc:AlternateContent>
  <xr:revisionPtr revIDLastSave="0" documentId="13_ncr:1_{DD949481-0024-4210-97A6-9AA022D990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<sst xmlns="http://schemas.openxmlformats.org/spreadsheetml/2006/main" count="647" uniqueCount="220">
  <si>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</si>
  <si>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</si>
  <si>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</si>
  <si>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</si>
  <si>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</si>
  <si>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</si>
  <si>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Мелитополь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</si>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</sst>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J170" sqref="J170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26.7109375" style="5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1">
        <v>130438119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2">
        <v>46194</v>
      </c>
      <c r="E3" s="5" t="s">
        <v>5</v>
      </c>
      <c r="F3" s="102">
        <f>D3+3</f>
        <v>46197</v>
      </c>
      <c r="G3" s="106" t="s">
        <v>6</v>
      </c>
      <c r="H3" s="104"/>
      <c r="I3" s="104"/>
      <c r="J3" s="105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5" t="s">
        <v>9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10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11</v>
      </c>
      <c r="D7" s="29" t="s">
        <v>12</v>
      </c>
      <c r="E7" s="9" t="s">
        <v>13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14</v>
      </c>
      <c r="B9" s="34" t="s">
        <v>15</v>
      </c>
      <c r="C9" s="10" t="s">
        <v>16</v>
      </c>
      <c r="D9" s="25" t="s">
        <v>17</v>
      </c>
      <c r="E9" s="19" t="s">
        <v>18</v>
      </c>
      <c r="F9" s="10" t="s">
        <v>19</v>
      </c>
      <c r="G9" s="10" t="s">
        <v>20</v>
      </c>
      <c r="H9" s="10" t="s">
        <v>21</v>
      </c>
      <c r="I9" s="10" t="s">
        <v>22</v>
      </c>
      <c r="J9" s="21" t="s">
        <v>23</v>
      </c>
      <c r="K9" s="20"/>
    </row>
    <row r="10" spans="1:12" ht="16.5" customHeight="1" thickTop="1" thickBot="1" x14ac:dyDescent="0.3">
      <c r="A10" s="37"/>
      <c r="B10" s="32" t="s">
        <v>24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6" si="0">RIGHT(D11,4)</f>
        <v>7523</v>
      </c>
      <c r="B11" s="50" t="s">
        <v>25</v>
      </c>
      <c r="C11" s="41" t="s">
        <v>26</v>
      </c>
      <c r="D11" s="87">
        <v>1001012427523</v>
      </c>
      <c r="E11" s="17"/>
      <c r="F11" s="16">
        <v>0.4</v>
      </c>
      <c r="G11" s="16">
        <f>E11*F11</f>
        <v>0</v>
      </c>
      <c r="H11" s="11">
        <v>2.4</v>
      </c>
      <c r="I11" s="11">
        <v>60</v>
      </c>
      <c r="J11" s="40" t="s">
        <v>27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28</v>
      </c>
      <c r="C12" s="41" t="s">
        <v>29</v>
      </c>
      <c r="D12" s="87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30</v>
      </c>
      <c r="C13" s="41" t="s">
        <v>26</v>
      </c>
      <c r="D13" s="87">
        <v>1001010017539</v>
      </c>
      <c r="E13" s="17">
        <v>25</v>
      </c>
      <c r="F13" s="16">
        <v>0.35</v>
      </c>
      <c r="G13" s="16">
        <f>E13*F13</f>
        <v>8.75</v>
      </c>
      <c r="H13" s="11">
        <v>2.8</v>
      </c>
      <c r="I13" s="11">
        <v>60</v>
      </c>
      <c r="J13" s="40" t="s">
        <v>31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32</v>
      </c>
      <c r="C14" s="41" t="s">
        <v>29</v>
      </c>
      <c r="D14" s="87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33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34</v>
      </c>
      <c r="C15" s="41" t="s">
        <v>26</v>
      </c>
      <c r="D15" s="87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35</v>
      </c>
      <c r="C16" s="41" t="s">
        <v>29</v>
      </c>
      <c r="D16" s="87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36</v>
      </c>
      <c r="C17" s="41" t="s">
        <v>29</v>
      </c>
      <c r="D17" s="87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37</v>
      </c>
      <c r="C18" s="41" t="s">
        <v>26</v>
      </c>
      <c r="D18" s="87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38</v>
      </c>
      <c r="C19" s="41" t="s">
        <v>29</v>
      </c>
      <c r="D19" s="87">
        <v>1001012456498</v>
      </c>
      <c r="E19" s="17"/>
      <c r="F19" s="16">
        <v>1</v>
      </c>
      <c r="G19" s="16">
        <f>E19</f>
        <v>0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39</v>
      </c>
      <c r="C20" s="41" t="s">
        <v>29</v>
      </c>
      <c r="D20" s="87">
        <v>1001012484063</v>
      </c>
      <c r="E20" s="17"/>
      <c r="F20" s="16">
        <v>1.35</v>
      </c>
      <c r="G20" s="16">
        <f>E20</f>
        <v>0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40</v>
      </c>
      <c r="C21" s="41" t="s">
        <v>26</v>
      </c>
      <c r="D21" s="87">
        <v>1001012486333</v>
      </c>
      <c r="E21" s="17">
        <v>155</v>
      </c>
      <c r="F21" s="16">
        <v>0.4</v>
      </c>
      <c r="G21" s="16">
        <f>E21*F21</f>
        <v>62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41</v>
      </c>
      <c r="C22" s="41" t="s">
        <v>29</v>
      </c>
      <c r="D22" s="87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42</v>
      </c>
      <c r="C23" s="41" t="s">
        <v>26</v>
      </c>
      <c r="D23" s="87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43</v>
      </c>
      <c r="C24" s="41" t="s">
        <v>29</v>
      </c>
      <c r="D24" s="87">
        <v>1001012564813</v>
      </c>
      <c r="E24" s="17"/>
      <c r="F24" s="43">
        <v>1.35</v>
      </c>
      <c r="G24" s="16">
        <f>E24</f>
        <v>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44</v>
      </c>
      <c r="C25" s="41" t="s">
        <v>26</v>
      </c>
      <c r="D25" s="87">
        <v>1001012566392</v>
      </c>
      <c r="E25" s="17">
        <v>250</v>
      </c>
      <c r="F25" s="43">
        <v>0.4</v>
      </c>
      <c r="G25" s="16">
        <f>E25*F25</f>
        <v>100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45</v>
      </c>
      <c r="C26" s="41" t="s">
        <v>29</v>
      </c>
      <c r="D26" s="87">
        <v>1001012505851</v>
      </c>
      <c r="E26" s="17">
        <v>200</v>
      </c>
      <c r="F26" s="43">
        <v>1.35</v>
      </c>
      <c r="G26" s="16">
        <f>E26</f>
        <v>200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46</v>
      </c>
      <c r="C27" s="41" t="s">
        <v>26</v>
      </c>
      <c r="D27" s="87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4"/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29</v>
      </c>
      <c r="D28" s="87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29</v>
      </c>
      <c r="D29" s="87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26</v>
      </c>
      <c r="D30" s="87">
        <v>1001010106325</v>
      </c>
      <c r="E30" s="17">
        <v>135</v>
      </c>
      <c r="F30" s="16">
        <v>0.4</v>
      </c>
      <c r="G30" s="16">
        <f>E30*F30</f>
        <v>54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29</v>
      </c>
      <c r="D31" s="87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7303</v>
      </c>
      <c r="B32" s="50" t="s">
        <v>53</v>
      </c>
      <c r="C32" s="41" t="s">
        <v>29</v>
      </c>
      <c r="D32" s="87">
        <v>1001010857303</v>
      </c>
      <c r="E32" s="17"/>
      <c r="F32" s="16">
        <v>1.35</v>
      </c>
      <c r="G32" s="16">
        <f>E32</f>
        <v>0</v>
      </c>
      <c r="H32" s="11">
        <v>4.05</v>
      </c>
      <c r="I32" s="11">
        <v>60</v>
      </c>
      <c r="J32" s="44"/>
    </row>
    <row r="33" spans="1:10" ht="16.5" customHeight="1" x14ac:dyDescent="0.25">
      <c r="A33" s="42" t="str">
        <f t="shared" si="0"/>
        <v>8014</v>
      </c>
      <c r="B33" s="50" t="s">
        <v>54</v>
      </c>
      <c r="C33" s="41" t="s">
        <v>29</v>
      </c>
      <c r="D33" s="87">
        <v>1001010108014</v>
      </c>
      <c r="E33" s="17"/>
      <c r="F33" s="43">
        <v>1.35</v>
      </c>
      <c r="G33" s="16">
        <f>E33</f>
        <v>0</v>
      </c>
      <c r="H33" s="44">
        <v>5.4</v>
      </c>
      <c r="I33" s="44">
        <v>60</v>
      </c>
      <c r="J33" s="44"/>
    </row>
    <row r="34" spans="1:10" ht="16.5" customHeight="1" x14ac:dyDescent="0.25">
      <c r="A34" s="42" t="str">
        <f t="shared" si="0"/>
        <v>7343</v>
      </c>
      <c r="B34" s="50" t="s">
        <v>55</v>
      </c>
      <c r="C34" s="41" t="s">
        <v>26</v>
      </c>
      <c r="D34" s="87">
        <v>1001016747343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x14ac:dyDescent="0.25">
      <c r="A35" s="42" t="str">
        <f t="shared" si="0"/>
        <v>6797</v>
      </c>
      <c r="B35" s="50" t="s">
        <v>56</v>
      </c>
      <c r="C35" s="41" t="s">
        <v>26</v>
      </c>
      <c r="D35" s="87">
        <v>1001015026797</v>
      </c>
      <c r="E35" s="17">
        <v>50</v>
      </c>
      <c r="F35" s="43">
        <v>0.4</v>
      </c>
      <c r="G35" s="16">
        <f>E35*F35</f>
        <v>20</v>
      </c>
      <c r="H35" s="44">
        <v>3.2</v>
      </c>
      <c r="I35" s="44">
        <v>60</v>
      </c>
      <c r="J35" s="44"/>
    </row>
    <row r="36" spans="1:10" ht="16.5" customHeight="1" thickBot="1" x14ac:dyDescent="0.3">
      <c r="A36" s="42" t="str">
        <f t="shared" si="0"/>
        <v>7231</v>
      </c>
      <c r="B36" s="50" t="s">
        <v>57</v>
      </c>
      <c r="C36" s="41" t="s">
        <v>26</v>
      </c>
      <c r="D36" s="87">
        <v>1001013957231</v>
      </c>
      <c r="E36" s="17"/>
      <c r="F36" s="43">
        <v>0.3</v>
      </c>
      <c r="G36" s="16">
        <f>E36*F36</f>
        <v>0</v>
      </c>
      <c r="H36" s="44">
        <v>2.4</v>
      </c>
      <c r="I36" s="44">
        <v>60</v>
      </c>
      <c r="J36" s="44"/>
    </row>
    <row r="37" spans="1:10" ht="16.5" customHeight="1" thickTop="1" thickBot="1" x14ac:dyDescent="0.3">
      <c r="A37" s="37"/>
      <c r="B37" s="32" t="s">
        <v>58</v>
      </c>
      <c r="C37" s="32"/>
      <c r="D37" s="32"/>
      <c r="E37" s="17"/>
      <c r="F37" s="31"/>
      <c r="G37" s="32"/>
      <c r="H37" s="32"/>
      <c r="I37" s="32"/>
      <c r="J37" s="33"/>
    </row>
    <row r="38" spans="1:10" ht="16.5" customHeight="1" thickTop="1" x14ac:dyDescent="0.25">
      <c r="A38" s="42" t="str">
        <f t="shared" ref="A38:A71" si="1">RIGHT(D38,4)</f>
        <v>6602</v>
      </c>
      <c r="B38" s="50" t="s">
        <v>59</v>
      </c>
      <c r="C38" s="41" t="s">
        <v>26</v>
      </c>
      <c r="D38" s="87">
        <v>1001021966602</v>
      </c>
      <c r="E38" s="17"/>
      <c r="F38" s="43">
        <v>0.35</v>
      </c>
      <c r="G38" s="16">
        <f t="shared" ref="G38:G43" si="2">E38*F38</f>
        <v>0</v>
      </c>
      <c r="H38" s="44">
        <v>2.8</v>
      </c>
      <c r="I38" s="44">
        <v>45</v>
      </c>
      <c r="J38" s="44"/>
    </row>
    <row r="39" spans="1:10" ht="16.5" customHeight="1" x14ac:dyDescent="0.25">
      <c r="A39" s="42" t="str">
        <f t="shared" si="1"/>
        <v>7284</v>
      </c>
      <c r="B39" s="50" t="s">
        <v>60</v>
      </c>
      <c r="C39" s="41" t="s">
        <v>26</v>
      </c>
      <c r="D39" s="87">
        <v>1001025767284</v>
      </c>
      <c r="E39" s="17"/>
      <c r="F39" s="43">
        <v>0.33</v>
      </c>
      <c r="G39" s="16">
        <f t="shared" si="2"/>
        <v>0</v>
      </c>
      <c r="H39" s="44">
        <v>1.98</v>
      </c>
      <c r="I39" s="44">
        <v>30</v>
      </c>
      <c r="J39" s="44"/>
    </row>
    <row r="40" spans="1:10" ht="16.5" customHeight="1" x14ac:dyDescent="0.25">
      <c r="A40" s="42" t="str">
        <f t="shared" si="1"/>
        <v>7601</v>
      </c>
      <c r="B40" s="50" t="s">
        <v>61</v>
      </c>
      <c r="C40" s="41" t="s">
        <v>26</v>
      </c>
      <c r="D40" s="87">
        <v>1001025767601</v>
      </c>
      <c r="E40" s="17"/>
      <c r="F40" s="43">
        <v>0.26400000000000001</v>
      </c>
      <c r="G40" s="16">
        <f t="shared" si="2"/>
        <v>0</v>
      </c>
      <c r="H40" s="44">
        <v>1.58</v>
      </c>
      <c r="I40" s="44">
        <v>30</v>
      </c>
      <c r="J40" s="44"/>
    </row>
    <row r="41" spans="1:10" ht="16.5" customHeight="1" x14ac:dyDescent="0.25">
      <c r="A41" s="42" t="str">
        <f t="shared" si="1"/>
        <v>7461</v>
      </c>
      <c r="B41" s="50" t="s">
        <v>62</v>
      </c>
      <c r="C41" s="41" t="s">
        <v>26</v>
      </c>
      <c r="D41" s="87">
        <v>1001025767461</v>
      </c>
      <c r="E41" s="17">
        <v>100</v>
      </c>
      <c r="F41" s="43">
        <v>0.33</v>
      </c>
      <c r="G41" s="16">
        <f t="shared" si="2"/>
        <v>33</v>
      </c>
      <c r="H41" s="44">
        <v>1.98</v>
      </c>
      <c r="I41" s="44">
        <v>30</v>
      </c>
      <c r="J41" s="40" t="s">
        <v>63</v>
      </c>
    </row>
    <row r="42" spans="1:10" ht="16.5" customHeight="1" x14ac:dyDescent="0.25">
      <c r="A42" s="42" t="str">
        <f t="shared" si="1"/>
        <v>7371</v>
      </c>
      <c r="B42" s="50" t="s">
        <v>64</v>
      </c>
      <c r="C42" s="41" t="s">
        <v>26</v>
      </c>
      <c r="D42" s="87">
        <v>1001026947371</v>
      </c>
      <c r="E42" s="17">
        <v>175</v>
      </c>
      <c r="F42" s="43">
        <v>0.3</v>
      </c>
      <c r="G42" s="16">
        <f t="shared" si="2"/>
        <v>52.5</v>
      </c>
      <c r="H42" s="44">
        <v>2.4</v>
      </c>
      <c r="I42" s="44">
        <v>45</v>
      </c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26</v>
      </c>
      <c r="D43" s="87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29</v>
      </c>
      <c r="D44" s="87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29</v>
      </c>
      <c r="D45" s="87">
        <v>1001024976829</v>
      </c>
      <c r="E45" s="17">
        <v>115</v>
      </c>
      <c r="F45" s="43">
        <v>2.1</v>
      </c>
      <c r="G45" s="16">
        <f>E45</f>
        <v>115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26</v>
      </c>
      <c r="D46" s="87">
        <v>1001024976616</v>
      </c>
      <c r="E46" s="17">
        <v>375</v>
      </c>
      <c r="F46" s="43">
        <v>0.3</v>
      </c>
      <c r="G46" s="16">
        <f>E46*F46</f>
        <v>112.5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29</v>
      </c>
      <c r="D47" s="87">
        <v>1001022657075</v>
      </c>
      <c r="E47" s="17">
        <v>125</v>
      </c>
      <c r="F47" s="43">
        <v>1.5</v>
      </c>
      <c r="G47" s="16">
        <f>E47</f>
        <v>125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26</v>
      </c>
      <c r="D48" s="87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26</v>
      </c>
      <c r="D49" s="87">
        <v>1001022657073</v>
      </c>
      <c r="E49" s="17"/>
      <c r="F49" s="43">
        <v>0.35</v>
      </c>
      <c r="G49" s="16">
        <f>E49*F49</f>
        <v>0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26</v>
      </c>
      <c r="D50" s="87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26</v>
      </c>
      <c r="D51" s="87">
        <v>1001022725819</v>
      </c>
      <c r="E51" s="17">
        <v>60</v>
      </c>
      <c r="F51" s="43">
        <v>0.4</v>
      </c>
      <c r="G51" s="16">
        <f>E51*F51</f>
        <v>24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29</v>
      </c>
      <c r="D52" s="87">
        <v>1001022726303</v>
      </c>
      <c r="E52" s="17"/>
      <c r="F52" s="43">
        <v>1.5</v>
      </c>
      <c r="G52" s="16">
        <f>E52</f>
        <v>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26</v>
      </c>
      <c r="D53" s="87">
        <v>1001025507255</v>
      </c>
      <c r="E53" s="17">
        <v>290</v>
      </c>
      <c r="F53" s="43">
        <v>0.4</v>
      </c>
      <c r="G53" s="16">
        <f>E53*F53</f>
        <v>116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29</v>
      </c>
      <c r="D54" s="87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26</v>
      </c>
      <c r="D55" s="87">
        <v>1001023696765</v>
      </c>
      <c r="E55" s="17"/>
      <c r="F55" s="43">
        <v>0.36</v>
      </c>
      <c r="G55" s="16">
        <f>E55*F55</f>
        <v>0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29</v>
      </c>
      <c r="D56" s="87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26</v>
      </c>
      <c r="D57" s="87">
        <v>1001025176475</v>
      </c>
      <c r="E57" s="17"/>
      <c r="F57" s="43">
        <v>0.4</v>
      </c>
      <c r="G57" s="16">
        <f>E57*F57</f>
        <v>0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29</v>
      </c>
      <c r="D58" s="87">
        <v>1001022467083</v>
      </c>
      <c r="E58" s="17">
        <v>130</v>
      </c>
      <c r="F58" s="43">
        <v>1.5</v>
      </c>
      <c r="G58" s="16">
        <f>E58</f>
        <v>130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26</v>
      </c>
      <c r="D59" s="87">
        <v>1001022467080</v>
      </c>
      <c r="E59" s="17">
        <v>490</v>
      </c>
      <c r="F59" s="43">
        <v>0.41</v>
      </c>
      <c r="G59" s="16">
        <f>E59*F59</f>
        <v>200.89999999999998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26</v>
      </c>
      <c r="D60" s="87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26</v>
      </c>
      <c r="D61" s="87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29</v>
      </c>
      <c r="D62" s="87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26</v>
      </c>
      <c r="D63" s="87">
        <v>1001022377066</v>
      </c>
      <c r="E63" s="17">
        <v>450</v>
      </c>
      <c r="F63" s="16">
        <v>0.41</v>
      </c>
      <c r="G63" s="16">
        <f>E63*F63</f>
        <v>184.5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29</v>
      </c>
      <c r="D64" s="87">
        <v>1001022377070</v>
      </c>
      <c r="E64" s="17"/>
      <c r="F64" s="16">
        <v>1.5</v>
      </c>
      <c r="G64" s="16">
        <f>E64</f>
        <v>0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26</v>
      </c>
      <c r="D65" s="87">
        <v>1001022246713</v>
      </c>
      <c r="E65" s="17">
        <v>225</v>
      </c>
      <c r="F65" s="16">
        <v>0.41</v>
      </c>
      <c r="G65" s="16">
        <f>E65*F65</f>
        <v>92.25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29</v>
      </c>
      <c r="D66" s="87">
        <v>1001022246661</v>
      </c>
      <c r="E66" s="17">
        <v>150</v>
      </c>
      <c r="F66" s="16">
        <v>1.5</v>
      </c>
      <c r="G66" s="16">
        <f>E66</f>
        <v>150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29</v>
      </c>
      <c r="D67" s="87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26</v>
      </c>
      <c r="D68" s="87">
        <v>1001022556837</v>
      </c>
      <c r="E68" s="17"/>
      <c r="F68" s="16">
        <v>0.4</v>
      </c>
      <c r="G68" s="16">
        <f>E68*F68</f>
        <v>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26</v>
      </c>
      <c r="D69" s="87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26</v>
      </c>
      <c r="D70" s="87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26</v>
      </c>
      <c r="D71" s="87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17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29</v>
      </c>
      <c r="D73" s="87">
        <v>1001032736550</v>
      </c>
      <c r="E73" s="17">
        <v>120</v>
      </c>
      <c r="F73" s="43">
        <v>1</v>
      </c>
      <c r="G73" s="16">
        <f>E73</f>
        <v>120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29</v>
      </c>
      <c r="D74" s="87">
        <v>1001033856608</v>
      </c>
      <c r="E74" s="17"/>
      <c r="F74" s="16">
        <v>1</v>
      </c>
      <c r="G74" s="16">
        <f>E74</f>
        <v>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29</v>
      </c>
      <c r="D75" s="87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29</v>
      </c>
      <c r="D76" s="87">
        <v>1001031076527</v>
      </c>
      <c r="E76" s="17">
        <v>40</v>
      </c>
      <c r="F76" s="16">
        <v>1</v>
      </c>
      <c r="G76" s="16">
        <f>E76</f>
        <v>40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26</v>
      </c>
      <c r="D77" s="87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26</v>
      </c>
      <c r="D78" s="87">
        <v>1001035277059</v>
      </c>
      <c r="E78" s="17"/>
      <c r="F78" s="16">
        <v>0.3</v>
      </c>
      <c r="G78" s="16">
        <f>E78*F78</f>
        <v>0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26</v>
      </c>
      <c r="D79" s="87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17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3" si="4">RIGHT(D81,4)</f>
        <v>7564</v>
      </c>
      <c r="B81" s="50" t="s">
        <v>103</v>
      </c>
      <c r="C81" s="41" t="s">
        <v>29</v>
      </c>
      <c r="D81" s="87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26</v>
      </c>
      <c r="D82" s="87">
        <v>1001303637603</v>
      </c>
      <c r="E82" s="17">
        <v>75</v>
      </c>
      <c r="F82" s="16">
        <v>0.33</v>
      </c>
      <c r="G82" s="16">
        <f>E82*F82</f>
        <v>24.75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26</v>
      </c>
      <c r="D83" s="87">
        <v>1001303637149</v>
      </c>
      <c r="E83" s="17">
        <v>40</v>
      </c>
      <c r="F83" s="16">
        <v>0.84</v>
      </c>
      <c r="G83" s="16">
        <f>E83*F83</f>
        <v>33.6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26</v>
      </c>
      <c r="D84" s="87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26</v>
      </c>
      <c r="D85" s="87">
        <v>1001302277232</v>
      </c>
      <c r="E85" s="17">
        <v>200</v>
      </c>
      <c r="F85" s="43">
        <v>0.28000000000000003</v>
      </c>
      <c r="G85" s="16">
        <f>E85*F85</f>
        <v>56.000000000000007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26</v>
      </c>
      <c r="D86" s="87">
        <v>1001303107241</v>
      </c>
      <c r="E86" s="17">
        <v>200</v>
      </c>
      <c r="F86" s="43">
        <v>0.28000000000000003</v>
      </c>
      <c r="G86" s="16">
        <f>E86*F86</f>
        <v>56.000000000000007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29</v>
      </c>
      <c r="D87" s="87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6807</v>
      </c>
      <c r="B88" s="50" t="s">
        <v>112</v>
      </c>
      <c r="C88" s="41" t="s">
        <v>26</v>
      </c>
      <c r="D88" s="87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 t="str">
        <f t="shared" si="4"/>
        <v>7154</v>
      </c>
      <c r="B89" s="50" t="s">
        <v>113</v>
      </c>
      <c r="C89" s="41" t="s">
        <v>26</v>
      </c>
      <c r="D89" s="87">
        <v>1001300387154</v>
      </c>
      <c r="E89" s="17">
        <v>275</v>
      </c>
      <c r="F89" s="16">
        <v>0.35</v>
      </c>
      <c r="G89" s="16">
        <f>E89*F89</f>
        <v>96.25</v>
      </c>
      <c r="H89" s="11">
        <v>2.8</v>
      </c>
      <c r="I89" s="11">
        <v>50</v>
      </c>
      <c r="J89" s="44"/>
    </row>
    <row r="90" spans="1:10" ht="16.5" customHeight="1" x14ac:dyDescent="0.25">
      <c r="A90" s="42" t="str">
        <f t="shared" si="4"/>
        <v>7157</v>
      </c>
      <c r="B90" s="50" t="s">
        <v>114</v>
      </c>
      <c r="C90" s="41" t="s">
        <v>29</v>
      </c>
      <c r="D90" s="87">
        <v>1001300387157</v>
      </c>
      <c r="E90" s="17"/>
      <c r="F90" s="16">
        <v>0.63</v>
      </c>
      <c r="G90" s="16">
        <f>E90</f>
        <v>0</v>
      </c>
      <c r="H90" s="11">
        <v>5.04</v>
      </c>
      <c r="I90" s="11">
        <v>50</v>
      </c>
      <c r="J90" s="44"/>
    </row>
    <row r="91" spans="1:10" ht="16.5" customHeight="1" x14ac:dyDescent="0.25">
      <c r="A91" s="42" t="str">
        <f t="shared" si="4"/>
        <v>7236</v>
      </c>
      <c r="B91" s="50" t="s">
        <v>115</v>
      </c>
      <c r="C91" s="41" t="s">
        <v>26</v>
      </c>
      <c r="D91" s="87">
        <v>1001304507236</v>
      </c>
      <c r="E91" s="17">
        <v>200</v>
      </c>
      <c r="F91" s="16">
        <v>0.28000000000000003</v>
      </c>
      <c r="G91" s="16">
        <f>E91*F91</f>
        <v>56.000000000000007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 t="str">
        <f t="shared" si="4"/>
        <v>6787</v>
      </c>
      <c r="B92" s="95" t="s">
        <v>116</v>
      </c>
      <c r="C92" s="41" t="s">
        <v>26</v>
      </c>
      <c r="D92" s="87">
        <v>1001300456787</v>
      </c>
      <c r="E92" s="17"/>
      <c r="F92" s="16">
        <v>0.33</v>
      </c>
      <c r="G92" s="16">
        <f>E92*F92</f>
        <v>0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4"/>
        <v>7166</v>
      </c>
      <c r="B93" s="95" t="s">
        <v>117</v>
      </c>
      <c r="C93" s="41" t="s">
        <v>29</v>
      </c>
      <c r="D93" s="87">
        <v>1001303987166</v>
      </c>
      <c r="E93" s="17">
        <v>145</v>
      </c>
      <c r="F93" s="16">
        <v>0.7</v>
      </c>
      <c r="G93" s="16">
        <f>E93</f>
        <v>145</v>
      </c>
      <c r="H93" s="11">
        <v>5.6</v>
      </c>
      <c r="I93" s="11">
        <v>50</v>
      </c>
      <c r="J93" s="44"/>
    </row>
    <row r="94" spans="1:10" ht="15.75" customHeight="1" x14ac:dyDescent="0.25">
      <c r="A94" s="42" t="str">
        <f t="shared" si="4"/>
        <v>7169</v>
      </c>
      <c r="B94" s="50" t="s">
        <v>118</v>
      </c>
      <c r="C94" s="41" t="s">
        <v>26</v>
      </c>
      <c r="D94" s="87">
        <v>1001303987169</v>
      </c>
      <c r="E94" s="17">
        <v>425</v>
      </c>
      <c r="F94" s="16">
        <v>0.35</v>
      </c>
      <c r="G94" s="16">
        <f>E94*F94</f>
        <v>148.75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4"/>
        <v>5544</v>
      </c>
      <c r="B95" s="50" t="s">
        <v>119</v>
      </c>
      <c r="C95" s="41" t="s">
        <v>29</v>
      </c>
      <c r="D95" s="87">
        <v>1001051875544</v>
      </c>
      <c r="E95" s="17">
        <v>175</v>
      </c>
      <c r="F95" s="16">
        <v>0.81</v>
      </c>
      <c r="G95" s="16">
        <f>E95</f>
        <v>175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 t="str">
        <f t="shared" si="4"/>
        <v>6697</v>
      </c>
      <c r="B96" s="50" t="s">
        <v>120</v>
      </c>
      <c r="C96" s="41" t="s">
        <v>26</v>
      </c>
      <c r="D96" s="87">
        <v>1001301876697</v>
      </c>
      <c r="E96" s="17"/>
      <c r="F96" s="16">
        <v>0.35</v>
      </c>
      <c r="G96" s="16">
        <f t="shared" ref="G96:G103" si="5">E96*F96</f>
        <v>0</v>
      </c>
      <c r="H96" s="11">
        <v>2.8</v>
      </c>
      <c r="I96" s="11">
        <v>45</v>
      </c>
      <c r="J96" s="39"/>
    </row>
    <row r="97" spans="1:10" ht="15.75" customHeight="1" x14ac:dyDescent="0.25">
      <c r="A97" s="42" t="str">
        <f t="shared" si="4"/>
        <v>7237</v>
      </c>
      <c r="B97" s="50" t="s">
        <v>121</v>
      </c>
      <c r="C97" s="41" t="s">
        <v>26</v>
      </c>
      <c r="D97" s="87">
        <v>1001304497237</v>
      </c>
      <c r="E97" s="17">
        <v>125</v>
      </c>
      <c r="F97" s="16">
        <v>0.28000000000000003</v>
      </c>
      <c r="G97" s="16">
        <f t="shared" si="5"/>
        <v>35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4"/>
        <v>7238</v>
      </c>
      <c r="B98" s="50" t="s">
        <v>122</v>
      </c>
      <c r="C98" s="41" t="s">
        <v>26</v>
      </c>
      <c r="D98" s="87">
        <v>1001305197238</v>
      </c>
      <c r="E98" s="17"/>
      <c r="F98" s="16">
        <v>0.31</v>
      </c>
      <c r="G98" s="16">
        <f t="shared" si="5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 t="str">
        <f t="shared" si="4"/>
        <v>7177</v>
      </c>
      <c r="B99" s="50" t="s">
        <v>123</v>
      </c>
      <c r="C99" s="41" t="s">
        <v>26</v>
      </c>
      <c r="D99" s="87">
        <v>1001302347177</v>
      </c>
      <c r="E99" s="17"/>
      <c r="F99" s="16">
        <v>0.35</v>
      </c>
      <c r="G99" s="16">
        <f t="shared" si="5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4"/>
        <v>7332</v>
      </c>
      <c r="B100" s="50" t="s">
        <v>124</v>
      </c>
      <c r="C100" s="41" t="s">
        <v>26</v>
      </c>
      <c r="D100" s="87">
        <v>1001301777332</v>
      </c>
      <c r="E100" s="17"/>
      <c r="F100" s="16">
        <v>0.28000000000000003</v>
      </c>
      <c r="G100" s="16">
        <f t="shared" si="5"/>
        <v>0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 t="str">
        <f t="shared" si="4"/>
        <v>7333</v>
      </c>
      <c r="B101" s="50" t="s">
        <v>125</v>
      </c>
      <c r="C101" s="41" t="s">
        <v>26</v>
      </c>
      <c r="D101" s="87">
        <v>1001303987333</v>
      </c>
      <c r="E101" s="17"/>
      <c r="F101" s="16">
        <v>0.28000000000000003</v>
      </c>
      <c r="G101" s="16">
        <f t="shared" si="5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 t="str">
        <f t="shared" si="4"/>
        <v>6459</v>
      </c>
      <c r="B102" s="50" t="s">
        <v>126</v>
      </c>
      <c r="C102" s="41" t="s">
        <v>26</v>
      </c>
      <c r="D102" s="87">
        <v>1001214196459</v>
      </c>
      <c r="E102" s="17"/>
      <c r="F102" s="16">
        <v>0.1</v>
      </c>
      <c r="G102" s="16">
        <f t="shared" si="5"/>
        <v>0</v>
      </c>
      <c r="H102" s="11">
        <v>1</v>
      </c>
      <c r="I102" s="11">
        <v>45</v>
      </c>
      <c r="J102" s="39"/>
    </row>
    <row r="103" spans="1:10" ht="15.75" customHeight="1" thickBot="1" x14ac:dyDescent="0.3">
      <c r="A103" s="42" t="str">
        <f t="shared" si="4"/>
        <v>7474</v>
      </c>
      <c r="B103" s="50" t="s">
        <v>127</v>
      </c>
      <c r="C103" s="41" t="s">
        <v>26</v>
      </c>
      <c r="D103" s="87">
        <v>1001216717474</v>
      </c>
      <c r="E103" s="17"/>
      <c r="F103" s="16">
        <v>0.1</v>
      </c>
      <c r="G103" s="16">
        <f t="shared" si="5"/>
        <v>0</v>
      </c>
      <c r="H103" s="11">
        <v>1</v>
      </c>
      <c r="I103" s="11">
        <v>45</v>
      </c>
      <c r="J103" s="39"/>
    </row>
    <row r="104" spans="1:10" ht="16.5" customHeight="1" thickTop="1" thickBot="1" x14ac:dyDescent="0.3">
      <c r="A104" s="37"/>
      <c r="B104" s="32" t="s">
        <v>128</v>
      </c>
      <c r="C104" s="32"/>
      <c r="D104" s="32"/>
      <c r="E104" s="17"/>
      <c r="F104" s="31"/>
      <c r="G104" s="32"/>
      <c r="H104" s="32"/>
      <c r="I104" s="32"/>
      <c r="J104" s="33"/>
    </row>
    <row r="105" spans="1:10" ht="16.5" customHeight="1" thickTop="1" x14ac:dyDescent="0.25">
      <c r="A105" s="42" t="str">
        <f t="shared" ref="A105:A138" si="6">RIGHT(D105,4)</f>
        <v>3582</v>
      </c>
      <c r="B105" s="50" t="s">
        <v>129</v>
      </c>
      <c r="C105" s="41" t="s">
        <v>29</v>
      </c>
      <c r="D105" s="87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 t="str">
        <f t="shared" si="6"/>
        <v>3986</v>
      </c>
      <c r="B106" s="50" t="s">
        <v>130</v>
      </c>
      <c r="C106" s="41" t="s">
        <v>26</v>
      </c>
      <c r="D106" s="87">
        <v>1001061973986</v>
      </c>
      <c r="E106" s="17"/>
      <c r="F106" s="43">
        <v>0.25</v>
      </c>
      <c r="G106" s="16">
        <f>E106*F106</f>
        <v>0</v>
      </c>
      <c r="H106" s="90">
        <v>2</v>
      </c>
      <c r="I106" s="89">
        <v>120</v>
      </c>
      <c r="J106" s="44"/>
    </row>
    <row r="107" spans="1:10" ht="16.5" customHeight="1" x14ac:dyDescent="0.25">
      <c r="A107" s="42" t="str">
        <f t="shared" si="6"/>
        <v>5931</v>
      </c>
      <c r="B107" s="50" t="s">
        <v>131</v>
      </c>
      <c r="C107" s="41" t="s">
        <v>26</v>
      </c>
      <c r="D107" s="87">
        <v>1001060755931</v>
      </c>
      <c r="E107" s="17">
        <v>125</v>
      </c>
      <c r="F107" s="16">
        <v>0.22</v>
      </c>
      <c r="G107" s="16">
        <f>E107*F107</f>
        <v>27.5</v>
      </c>
      <c r="H107" s="88">
        <v>1.76</v>
      </c>
      <c r="I107" s="11">
        <v>120</v>
      </c>
      <c r="J107" s="44"/>
    </row>
    <row r="108" spans="1:10" ht="16.5" customHeight="1" x14ac:dyDescent="0.25">
      <c r="A108" s="42" t="str">
        <f t="shared" si="6"/>
        <v>5708</v>
      </c>
      <c r="B108" s="50" t="s">
        <v>132</v>
      </c>
      <c r="C108" s="41" t="s">
        <v>29</v>
      </c>
      <c r="D108" s="87">
        <v>1001063145708</v>
      </c>
      <c r="E108" s="17">
        <v>75</v>
      </c>
      <c r="F108" s="16">
        <v>0.5</v>
      </c>
      <c r="G108" s="16">
        <f>E108</f>
        <v>75</v>
      </c>
      <c r="H108" s="11">
        <v>4</v>
      </c>
      <c r="I108" s="11">
        <v>120</v>
      </c>
      <c r="J108" s="44"/>
    </row>
    <row r="109" spans="1:10" ht="16.5" customHeight="1" x14ac:dyDescent="0.25">
      <c r="A109" s="42" t="str">
        <f t="shared" si="6"/>
        <v>3287</v>
      </c>
      <c r="B109" s="50" t="s">
        <v>133</v>
      </c>
      <c r="C109" s="41" t="s">
        <v>29</v>
      </c>
      <c r="D109" s="87">
        <v>1001060763287</v>
      </c>
      <c r="E109" s="17"/>
      <c r="F109" s="16">
        <v>0.48799999999999999</v>
      </c>
      <c r="G109" s="16">
        <f>E109</f>
        <v>0</v>
      </c>
      <c r="H109" s="11">
        <v>3.9</v>
      </c>
      <c r="I109" s="11">
        <v>120</v>
      </c>
      <c r="J109" s="44"/>
    </row>
    <row r="110" spans="1:10" ht="16.5" customHeight="1" x14ac:dyDescent="0.25">
      <c r="A110" s="42" t="str">
        <f t="shared" si="6"/>
        <v>4993</v>
      </c>
      <c r="B110" s="50" t="s">
        <v>134</v>
      </c>
      <c r="C110" s="41" t="s">
        <v>26</v>
      </c>
      <c r="D110" s="87">
        <v>1001060764993</v>
      </c>
      <c r="E110" s="17">
        <v>150</v>
      </c>
      <c r="F110" s="16">
        <v>0.25</v>
      </c>
      <c r="G110" s="16">
        <f>E110*F110</f>
        <v>37.5</v>
      </c>
      <c r="H110" s="11">
        <v>2</v>
      </c>
      <c r="I110" s="11">
        <v>120</v>
      </c>
      <c r="J110" s="44"/>
    </row>
    <row r="111" spans="1:10" ht="16.5" customHeight="1" x14ac:dyDescent="0.25">
      <c r="A111" s="42" t="str">
        <f t="shared" si="6"/>
        <v>5483</v>
      </c>
      <c r="B111" s="50" t="s">
        <v>135</v>
      </c>
      <c r="C111" s="41" t="s">
        <v>26</v>
      </c>
      <c r="D111" s="87">
        <v>1001062505483</v>
      </c>
      <c r="E111" s="17">
        <v>125</v>
      </c>
      <c r="F111" s="16">
        <v>0.25</v>
      </c>
      <c r="G111" s="16">
        <f>E111*F111</f>
        <v>31.25</v>
      </c>
      <c r="H111" s="11">
        <v>2</v>
      </c>
      <c r="I111" s="11">
        <v>120</v>
      </c>
      <c r="J111" s="44"/>
    </row>
    <row r="112" spans="1:10" ht="16.5" customHeight="1" x14ac:dyDescent="0.25">
      <c r="A112" s="42" t="str">
        <f t="shared" si="6"/>
        <v>4117</v>
      </c>
      <c r="B112" s="50" t="s">
        <v>136</v>
      </c>
      <c r="C112" s="41" t="s">
        <v>29</v>
      </c>
      <c r="D112" s="87">
        <v>1001062504117</v>
      </c>
      <c r="E112" s="17"/>
      <c r="F112" s="16">
        <v>0.49399999999999999</v>
      </c>
      <c r="G112" s="16">
        <f>E112</f>
        <v>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6"/>
        <v>0614</v>
      </c>
      <c r="B113" s="50" t="s">
        <v>137</v>
      </c>
      <c r="C113" s="41" t="s">
        <v>29</v>
      </c>
      <c r="D113" s="87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 t="str">
        <f t="shared" si="6"/>
        <v>6967</v>
      </c>
      <c r="B114" s="50" t="s">
        <v>138</v>
      </c>
      <c r="C114" s="41" t="s">
        <v>26</v>
      </c>
      <c r="D114" s="87">
        <v>1001063656967</v>
      </c>
      <c r="E114" s="17"/>
      <c r="F114" s="16">
        <v>0.25</v>
      </c>
      <c r="G114" s="16">
        <f t="shared" ref="G114:G124" si="7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 t="str">
        <f t="shared" si="6"/>
        <v>6937</v>
      </c>
      <c r="B115" s="50" t="s">
        <v>139</v>
      </c>
      <c r="C115" s="41" t="s">
        <v>26</v>
      </c>
      <c r="D115" s="87">
        <v>1001063106937</v>
      </c>
      <c r="E115" s="17"/>
      <c r="F115" s="16">
        <v>0.25</v>
      </c>
      <c r="G115" s="16">
        <f t="shared" si="7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7143</v>
      </c>
      <c r="B116" s="50" t="s">
        <v>140</v>
      </c>
      <c r="C116" s="41" t="s">
        <v>26</v>
      </c>
      <c r="D116" s="87">
        <v>1001060717143</v>
      </c>
      <c r="E116" s="17"/>
      <c r="F116" s="16">
        <v>0.22</v>
      </c>
      <c r="G116" s="16">
        <f t="shared" si="7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6"/>
        <v>7147</v>
      </c>
      <c r="B117" s="50" t="s">
        <v>141</v>
      </c>
      <c r="C117" s="41" t="s">
        <v>26</v>
      </c>
      <c r="D117" s="87">
        <v>1001063237147</v>
      </c>
      <c r="E117" s="17"/>
      <c r="F117" s="16">
        <v>0.22</v>
      </c>
      <c r="G117" s="16">
        <f t="shared" si="7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 t="str">
        <f t="shared" si="6"/>
        <v>7456</v>
      </c>
      <c r="B118" s="50" t="s">
        <v>142</v>
      </c>
      <c r="C118" s="41" t="s">
        <v>26</v>
      </c>
      <c r="D118" s="87">
        <v>1001063097456</v>
      </c>
      <c r="E118" s="17"/>
      <c r="F118" s="16">
        <v>0.15</v>
      </c>
      <c r="G118" s="16">
        <f t="shared" si="7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 t="str">
        <f t="shared" si="6"/>
        <v>7364</v>
      </c>
      <c r="B119" s="50" t="s">
        <v>143</v>
      </c>
      <c r="C119" s="41" t="s">
        <v>26</v>
      </c>
      <c r="D119" s="87">
        <v>1001063217364</v>
      </c>
      <c r="E119" s="17"/>
      <c r="F119" s="16">
        <v>0.22</v>
      </c>
      <c r="G119" s="16">
        <f t="shared" si="7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6"/>
        <v>7383</v>
      </c>
      <c r="B120" s="50" t="s">
        <v>144</v>
      </c>
      <c r="C120" s="41" t="s">
        <v>26</v>
      </c>
      <c r="D120" s="87">
        <v>1001065467383</v>
      </c>
      <c r="E120" s="17"/>
      <c r="F120" s="16">
        <v>0.22</v>
      </c>
      <c r="G120" s="16">
        <f t="shared" si="7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6"/>
        <v>7317</v>
      </c>
      <c r="B121" s="50" t="s">
        <v>145</v>
      </c>
      <c r="C121" s="41" t="s">
        <v>26</v>
      </c>
      <c r="D121" s="87">
        <v>1001066567317</v>
      </c>
      <c r="E121" s="17"/>
      <c r="F121" s="16">
        <v>0.54</v>
      </c>
      <c r="G121" s="16">
        <f t="shared" si="7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 t="str">
        <f t="shared" si="6"/>
        <v>7318</v>
      </c>
      <c r="B122" s="50" t="s">
        <v>146</v>
      </c>
      <c r="C122" s="41" t="s">
        <v>26</v>
      </c>
      <c r="D122" s="87">
        <v>1001060727318</v>
      </c>
      <c r="E122" s="17"/>
      <c r="F122" s="16">
        <v>0.27</v>
      </c>
      <c r="G122" s="16">
        <f t="shared" si="7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 t="str">
        <f t="shared" si="6"/>
        <v>7316</v>
      </c>
      <c r="B123" s="50" t="s">
        <v>147</v>
      </c>
      <c r="C123" s="41" t="s">
        <v>26</v>
      </c>
      <c r="D123" s="87">
        <v>1001060727316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7417</v>
      </c>
      <c r="B124" s="50" t="s">
        <v>148</v>
      </c>
      <c r="C124" s="41" t="s">
        <v>26</v>
      </c>
      <c r="D124" s="87">
        <v>1001307147417</v>
      </c>
      <c r="E124" s="17"/>
      <c r="F124" s="16">
        <v>0.44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6832</v>
      </c>
      <c r="B125" s="50" t="s">
        <v>149</v>
      </c>
      <c r="C125" s="41" t="s">
        <v>29</v>
      </c>
      <c r="D125" s="87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 t="str">
        <f t="shared" si="6"/>
        <v>7299</v>
      </c>
      <c r="B126" s="50" t="s">
        <v>150</v>
      </c>
      <c r="C126" s="41" t="s">
        <v>29</v>
      </c>
      <c r="D126" s="87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7386</v>
      </c>
      <c r="B127" s="50" t="s">
        <v>151</v>
      </c>
      <c r="C127" s="41" t="s">
        <v>26</v>
      </c>
      <c r="D127" s="87">
        <v>1001067017386</v>
      </c>
      <c r="E127" s="17"/>
      <c r="F127" s="16">
        <v>0.15</v>
      </c>
      <c r="G127" s="16">
        <f t="shared" ref="G127:G137" si="8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42" t="str">
        <f t="shared" si="6"/>
        <v>6454</v>
      </c>
      <c r="B128" s="50" t="s">
        <v>152</v>
      </c>
      <c r="C128" s="41" t="s">
        <v>26</v>
      </c>
      <c r="D128" s="87">
        <v>1001201976454</v>
      </c>
      <c r="E128" s="17">
        <v>150</v>
      </c>
      <c r="F128" s="16">
        <v>0.1</v>
      </c>
      <c r="G128" s="16">
        <f t="shared" si="8"/>
        <v>15</v>
      </c>
      <c r="H128" s="11">
        <v>1</v>
      </c>
      <c r="I128" s="11">
        <v>60</v>
      </c>
      <c r="J128" s="44"/>
    </row>
    <row r="129" spans="1:10" ht="16.5" customHeight="1" x14ac:dyDescent="0.25">
      <c r="A129" s="42" t="str">
        <f t="shared" si="6"/>
        <v>6834</v>
      </c>
      <c r="B129" s="50" t="s">
        <v>153</v>
      </c>
      <c r="C129" s="41" t="s">
        <v>26</v>
      </c>
      <c r="D129" s="87">
        <v>1001203146834</v>
      </c>
      <c r="E129" s="17"/>
      <c r="F129" s="16">
        <v>0.1</v>
      </c>
      <c r="G129" s="16">
        <f t="shared" si="8"/>
        <v>0</v>
      </c>
      <c r="H129" s="11">
        <v>1</v>
      </c>
      <c r="I129" s="11">
        <v>60</v>
      </c>
      <c r="J129" s="44"/>
    </row>
    <row r="130" spans="1:10" ht="16.5" customHeight="1" x14ac:dyDescent="0.25">
      <c r="A130" s="42" t="str">
        <f t="shared" si="6"/>
        <v>7382</v>
      </c>
      <c r="B130" s="50" t="s">
        <v>154</v>
      </c>
      <c r="C130" s="41" t="s">
        <v>26</v>
      </c>
      <c r="D130" s="87">
        <v>1001203117382</v>
      </c>
      <c r="E130" s="17">
        <v>70</v>
      </c>
      <c r="F130" s="16">
        <v>0.12</v>
      </c>
      <c r="G130" s="16">
        <f t="shared" si="8"/>
        <v>8.4</v>
      </c>
      <c r="H130" s="11">
        <v>0.96</v>
      </c>
      <c r="I130" s="11">
        <v>60</v>
      </c>
      <c r="J130" s="44"/>
    </row>
    <row r="131" spans="1:10" ht="16.5" customHeight="1" x14ac:dyDescent="0.25">
      <c r="A131" s="42" t="str">
        <f t="shared" si="6"/>
        <v>6453</v>
      </c>
      <c r="B131" s="50" t="s">
        <v>155</v>
      </c>
      <c r="C131" s="41" t="s">
        <v>26</v>
      </c>
      <c r="D131" s="87">
        <v>1001202506453</v>
      </c>
      <c r="E131" s="17">
        <v>70</v>
      </c>
      <c r="F131" s="16">
        <v>0.1</v>
      </c>
      <c r="G131" s="16">
        <f t="shared" si="8"/>
        <v>7</v>
      </c>
      <c r="H131" s="11">
        <v>1.4</v>
      </c>
      <c r="I131" s="11">
        <v>60</v>
      </c>
      <c r="J131" s="44"/>
    </row>
    <row r="132" spans="1:10" ht="16.5" customHeight="1" x14ac:dyDescent="0.25">
      <c r="A132" s="42" t="str">
        <f t="shared" si="6"/>
        <v>6221</v>
      </c>
      <c r="B132" s="50" t="s">
        <v>156</v>
      </c>
      <c r="C132" s="41" t="s">
        <v>26</v>
      </c>
      <c r="D132" s="87">
        <v>1001205376221</v>
      </c>
      <c r="E132" s="17">
        <v>60</v>
      </c>
      <c r="F132" s="16">
        <v>0.09</v>
      </c>
      <c r="G132" s="16">
        <f t="shared" si="8"/>
        <v>5.3999999999999995</v>
      </c>
      <c r="H132" s="11">
        <v>0.9</v>
      </c>
      <c r="I132" s="11">
        <v>60</v>
      </c>
      <c r="J132" s="44"/>
    </row>
    <row r="133" spans="1:10" ht="16.5" customHeight="1" x14ac:dyDescent="0.25">
      <c r="A133" s="42" t="str">
        <f t="shared" si="6"/>
        <v>6222</v>
      </c>
      <c r="B133" s="50" t="s">
        <v>157</v>
      </c>
      <c r="C133" s="41" t="s">
        <v>26</v>
      </c>
      <c r="D133" s="87">
        <v>1001205386222</v>
      </c>
      <c r="E133" s="17"/>
      <c r="F133" s="16">
        <v>0.09</v>
      </c>
      <c r="G133" s="16">
        <f t="shared" si="8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6965</v>
      </c>
      <c r="B134" s="50" t="s">
        <v>158</v>
      </c>
      <c r="C134" s="41" t="s">
        <v>26</v>
      </c>
      <c r="D134" s="87">
        <v>1001206356965</v>
      </c>
      <c r="E134" s="17"/>
      <c r="F134" s="16">
        <v>7.0000000000000007E-2</v>
      </c>
      <c r="G134" s="16">
        <f t="shared" si="8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 t="str">
        <f t="shared" si="6"/>
        <v>6557</v>
      </c>
      <c r="B135" s="50" t="s">
        <v>159</v>
      </c>
      <c r="C135" s="41" t="s">
        <v>26</v>
      </c>
      <c r="D135" s="87">
        <v>1001200756557</v>
      </c>
      <c r="E135" s="17"/>
      <c r="F135" s="16">
        <v>0.1</v>
      </c>
      <c r="G135" s="16">
        <f t="shared" si="8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 t="str">
        <f t="shared" si="6"/>
        <v>5679</v>
      </c>
      <c r="B136" s="50" t="s">
        <v>160</v>
      </c>
      <c r="C136" s="41" t="s">
        <v>26</v>
      </c>
      <c r="D136" s="87">
        <v>1001190765679</v>
      </c>
      <c r="E136" s="17">
        <v>25</v>
      </c>
      <c r="F136" s="16">
        <v>0.15</v>
      </c>
      <c r="G136" s="16">
        <f t="shared" si="8"/>
        <v>3.75</v>
      </c>
      <c r="H136" s="11">
        <v>1.2</v>
      </c>
      <c r="I136" s="11">
        <v>60</v>
      </c>
      <c r="J136" s="44"/>
    </row>
    <row r="137" spans="1:10" ht="16.5" customHeight="1" x14ac:dyDescent="0.25">
      <c r="A137" s="42" t="str">
        <f t="shared" si="6"/>
        <v>5677</v>
      </c>
      <c r="B137" s="50" t="s">
        <v>161</v>
      </c>
      <c r="C137" s="41" t="s">
        <v>26</v>
      </c>
      <c r="D137" s="87">
        <v>1001190715677</v>
      </c>
      <c r="E137" s="17"/>
      <c r="F137" s="16">
        <v>0.1</v>
      </c>
      <c r="G137" s="16">
        <f t="shared" si="8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42" t="str">
        <f t="shared" si="6"/>
        <v>7414</v>
      </c>
      <c r="B138" s="50" t="s">
        <v>162</v>
      </c>
      <c r="C138" s="41" t="s">
        <v>29</v>
      </c>
      <c r="D138" s="87">
        <v>1001204447414</v>
      </c>
      <c r="E138" s="17"/>
      <c r="F138" s="16">
        <v>1</v>
      </c>
      <c r="G138" s="16">
        <f>E138</f>
        <v>0</v>
      </c>
      <c r="H138" s="11">
        <v>8</v>
      </c>
      <c r="I138" s="11">
        <v>60</v>
      </c>
      <c r="J138" s="44"/>
    </row>
    <row r="139" spans="1:10" ht="16.5" customHeight="1" thickTop="1" thickBot="1" x14ac:dyDescent="0.3">
      <c r="A139" s="37"/>
      <c r="B139" s="32" t="s">
        <v>163</v>
      </c>
      <c r="C139" s="32"/>
      <c r="D139" s="32"/>
      <c r="E139" s="17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9">RIGHT(D140,4)</f>
        <v>4584</v>
      </c>
      <c r="B140" s="94" t="s">
        <v>164</v>
      </c>
      <c r="C140" s="41" t="s">
        <v>29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165</v>
      </c>
      <c r="C141" s="41" t="s">
        <v>26</v>
      </c>
      <c r="D141" s="87">
        <v>1001092436495</v>
      </c>
      <c r="E141" s="17"/>
      <c r="F141" s="43">
        <v>0.3</v>
      </c>
      <c r="G141" s="16">
        <f>E141*F141</f>
        <v>0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166</v>
      </c>
      <c r="C142" s="41" t="s">
        <v>29</v>
      </c>
      <c r="D142" s="87">
        <v>1001092436470</v>
      </c>
      <c r="E142" s="17"/>
      <c r="F142" s="43">
        <v>1.2</v>
      </c>
      <c r="G142" s="16">
        <f>E142</f>
        <v>0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167</v>
      </c>
      <c r="C143" s="41" t="s">
        <v>29</v>
      </c>
      <c r="D143" s="87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168</v>
      </c>
      <c r="C144" s="41" t="s">
        <v>26</v>
      </c>
      <c r="D144" s="87">
        <v>1001094053215</v>
      </c>
      <c r="E144" s="17">
        <v>45</v>
      </c>
      <c r="F144" s="43">
        <v>0.4</v>
      </c>
      <c r="G144" s="16">
        <f>E144*F144</f>
        <v>18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169</v>
      </c>
      <c r="C145" s="41" t="s">
        <v>29</v>
      </c>
      <c r="D145" s="87">
        <v>1001095716866</v>
      </c>
      <c r="E145" s="17"/>
      <c r="F145" s="43">
        <v>1.5</v>
      </c>
      <c r="G145" s="16">
        <f>E145</f>
        <v>0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170</v>
      </c>
      <c r="C146" s="41" t="s">
        <v>26</v>
      </c>
      <c r="D146" s="92">
        <v>1001093345495</v>
      </c>
      <c r="E146" s="17">
        <v>50</v>
      </c>
      <c r="F146" s="43">
        <v>0.4</v>
      </c>
      <c r="G146" s="16">
        <f>E146*F146</f>
        <v>20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171</v>
      </c>
      <c r="C147" s="41" t="s">
        <v>26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6925</v>
      </c>
      <c r="B148" s="50" t="s">
        <v>172</v>
      </c>
      <c r="C148" s="41" t="s">
        <v>26</v>
      </c>
      <c r="D148" s="92">
        <v>1001095226925</v>
      </c>
      <c r="E148" s="17"/>
      <c r="F148" s="43">
        <v>0.6</v>
      </c>
      <c r="G148" s="16">
        <f>E148*F148</f>
        <v>0</v>
      </c>
      <c r="H148" s="44">
        <v>4.8</v>
      </c>
      <c r="I148" s="44">
        <v>45</v>
      </c>
      <c r="J148" s="44"/>
    </row>
    <row r="149" spans="1:10" ht="15.75" customHeight="1" thickBot="1" x14ac:dyDescent="0.3">
      <c r="A149" s="42" t="str">
        <f t="shared" si="9"/>
        <v>6025</v>
      </c>
      <c r="B149" s="50" t="s">
        <v>173</v>
      </c>
      <c r="C149" s="41" t="s">
        <v>29</v>
      </c>
      <c r="D149" s="92">
        <v>1001094966025</v>
      </c>
      <c r="E149" s="17"/>
      <c r="F149" s="43">
        <v>3</v>
      </c>
      <c r="G149" s="16">
        <f>E149</f>
        <v>0</v>
      </c>
      <c r="H149" s="44">
        <v>6</v>
      </c>
      <c r="I149" s="44">
        <v>60</v>
      </c>
      <c r="J149" s="44"/>
    </row>
    <row r="150" spans="1:10" ht="16.5" customHeight="1" thickTop="1" thickBot="1" x14ac:dyDescent="0.3">
      <c r="A150" s="37"/>
      <c r="B150" s="32" t="s">
        <v>174</v>
      </c>
      <c r="C150" s="32"/>
      <c r="D150" s="32"/>
      <c r="E150" s="17"/>
      <c r="F150" s="31"/>
      <c r="G150" s="32"/>
      <c r="H150" s="32"/>
      <c r="I150" s="32"/>
      <c r="J150" s="33"/>
    </row>
    <row r="151" spans="1:10" ht="16.5" customHeight="1" thickTop="1" x14ac:dyDescent="0.25">
      <c r="A151" s="42" t="str">
        <f t="shared" ref="A151:A161" si="10">RIGHT(D151,4)</f>
        <v>7090</v>
      </c>
      <c r="B151" s="26" t="s">
        <v>175</v>
      </c>
      <c r="C151" s="41" t="s">
        <v>26</v>
      </c>
      <c r="D151" s="87">
        <v>1001084217090</v>
      </c>
      <c r="E151" s="17">
        <v>150</v>
      </c>
      <c r="F151" s="16">
        <v>0.3</v>
      </c>
      <c r="G151" s="16">
        <f>E151*F151</f>
        <v>45</v>
      </c>
      <c r="H151" s="11">
        <v>1.8</v>
      </c>
      <c r="I151" s="11">
        <v>50</v>
      </c>
      <c r="J151" s="44"/>
    </row>
    <row r="152" spans="1:10" ht="16.5" customHeight="1" x14ac:dyDescent="0.25">
      <c r="A152" s="42" t="str">
        <f t="shared" si="10"/>
        <v>7187</v>
      </c>
      <c r="B152" s="26" t="s">
        <v>176</v>
      </c>
      <c r="C152" s="41" t="s">
        <v>26</v>
      </c>
      <c r="D152" s="87">
        <v>1001085637187</v>
      </c>
      <c r="E152" s="17">
        <v>50</v>
      </c>
      <c r="F152" s="16">
        <v>0.3</v>
      </c>
      <c r="G152" s="16">
        <f>E152*F152</f>
        <v>15</v>
      </c>
      <c r="H152" s="11">
        <v>1.8</v>
      </c>
      <c r="I152" s="11">
        <v>50</v>
      </c>
      <c r="J152" s="44"/>
    </row>
    <row r="153" spans="1:10" ht="16.5" customHeight="1" x14ac:dyDescent="0.25">
      <c r="A153" s="42" t="str">
        <f t="shared" si="10"/>
        <v>6620</v>
      </c>
      <c r="B153" s="26" t="s">
        <v>177</v>
      </c>
      <c r="C153" s="41" t="s">
        <v>29</v>
      </c>
      <c r="D153" s="87">
        <v>1001081596620</v>
      </c>
      <c r="E153" s="17"/>
      <c r="F153" s="16">
        <v>1.05</v>
      </c>
      <c r="G153" s="16">
        <f>E153</f>
        <v>0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 t="shared" si="10"/>
        <v>7103</v>
      </c>
      <c r="B154" s="26" t="s">
        <v>178</v>
      </c>
      <c r="C154" s="41" t="s">
        <v>26</v>
      </c>
      <c r="D154" s="87">
        <v>1001223297103</v>
      </c>
      <c r="E154" s="17"/>
      <c r="F154" s="16">
        <v>0.18</v>
      </c>
      <c r="G154" s="16">
        <f t="shared" ref="G154:G161" si="11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7092</v>
      </c>
      <c r="B155" s="26" t="s">
        <v>179</v>
      </c>
      <c r="C155" s="41" t="s">
        <v>26</v>
      </c>
      <c r="D155" s="87">
        <v>1001223297092</v>
      </c>
      <c r="E155" s="17"/>
      <c r="F155" s="16">
        <v>0.14000000000000001</v>
      </c>
      <c r="G155" s="16">
        <f t="shared" si="11"/>
        <v>0</v>
      </c>
      <c r="H155" s="11">
        <v>1.4</v>
      </c>
      <c r="I155" s="11">
        <v>50</v>
      </c>
      <c r="J155" s="44"/>
    </row>
    <row r="156" spans="1:10" ht="16.5" customHeight="1" x14ac:dyDescent="0.25">
      <c r="A156" s="42" t="str">
        <f t="shared" si="10"/>
        <v>6228</v>
      </c>
      <c r="B156" s="26" t="s">
        <v>180</v>
      </c>
      <c r="C156" s="41" t="s">
        <v>26</v>
      </c>
      <c r="D156" s="87">
        <v>1001225416228</v>
      </c>
      <c r="E156" s="17"/>
      <c r="F156" s="16">
        <v>0.09</v>
      </c>
      <c r="G156" s="16">
        <f t="shared" si="11"/>
        <v>0</v>
      </c>
      <c r="H156" s="11">
        <v>0.9</v>
      </c>
      <c r="I156" s="11">
        <v>45</v>
      </c>
      <c r="J156" s="44"/>
    </row>
    <row r="157" spans="1:10" ht="16.5" customHeight="1" x14ac:dyDescent="0.25">
      <c r="A157" s="42" t="str">
        <f t="shared" si="10"/>
        <v>6448</v>
      </c>
      <c r="B157" s="26" t="s">
        <v>181</v>
      </c>
      <c r="C157" s="41" t="s">
        <v>26</v>
      </c>
      <c r="D157" s="87">
        <v>1001234146448</v>
      </c>
      <c r="E157" s="17"/>
      <c r="F157" s="16">
        <v>0.1</v>
      </c>
      <c r="G157" s="16">
        <f t="shared" si="11"/>
        <v>0</v>
      </c>
      <c r="H157" s="11">
        <v>1</v>
      </c>
      <c r="I157" s="11">
        <v>45</v>
      </c>
      <c r="J157" s="44"/>
    </row>
    <row r="158" spans="1:10" ht="16.5" customHeight="1" x14ac:dyDescent="0.25">
      <c r="A158" s="42" t="str">
        <f t="shared" si="10"/>
        <v>6208</v>
      </c>
      <c r="B158" s="26" t="s">
        <v>182</v>
      </c>
      <c r="C158" s="41" t="s">
        <v>26</v>
      </c>
      <c r="D158" s="87">
        <v>1001220226208</v>
      </c>
      <c r="E158" s="17">
        <v>125</v>
      </c>
      <c r="F158" s="16">
        <v>0.15</v>
      </c>
      <c r="G158" s="16">
        <f t="shared" si="11"/>
        <v>18.75</v>
      </c>
      <c r="H158" s="11">
        <v>1.5</v>
      </c>
      <c r="I158" s="11">
        <v>45</v>
      </c>
      <c r="J158" s="44"/>
    </row>
    <row r="159" spans="1:10" ht="16.5" customHeight="1" x14ac:dyDescent="0.25">
      <c r="A159" s="42" t="str">
        <f t="shared" si="10"/>
        <v>6754</v>
      </c>
      <c r="B159" s="26" t="s">
        <v>183</v>
      </c>
      <c r="C159" s="41" t="s">
        <v>26</v>
      </c>
      <c r="D159" s="87">
        <v>1001225406754</v>
      </c>
      <c r="E159" s="17"/>
      <c r="F159" s="16">
        <v>0.09</v>
      </c>
      <c r="G159" s="16">
        <f t="shared" si="11"/>
        <v>0</v>
      </c>
      <c r="H159" s="11">
        <v>0.72</v>
      </c>
      <c r="I159" s="11">
        <v>60</v>
      </c>
      <c r="J159" s="44"/>
    </row>
    <row r="160" spans="1:10" ht="16.5" customHeight="1" x14ac:dyDescent="0.25">
      <c r="A160" s="42" t="str">
        <f t="shared" si="10"/>
        <v>6279</v>
      </c>
      <c r="B160" s="26" t="s">
        <v>184</v>
      </c>
      <c r="C160" s="41" t="s">
        <v>26</v>
      </c>
      <c r="D160" s="87">
        <v>1001220286279</v>
      </c>
      <c r="E160" s="17"/>
      <c r="F160" s="16">
        <v>0.15</v>
      </c>
      <c r="G160" s="16">
        <f t="shared" si="11"/>
        <v>0</v>
      </c>
      <c r="H160" s="11">
        <v>1.2</v>
      </c>
      <c r="I160" s="11">
        <v>45</v>
      </c>
      <c r="J160" s="44"/>
    </row>
    <row r="161" spans="1:10" ht="16.5" customHeight="1" thickBot="1" x14ac:dyDescent="0.3">
      <c r="A161" s="42" t="str">
        <f t="shared" si="10"/>
        <v>7288</v>
      </c>
      <c r="B161" s="26" t="s">
        <v>185</v>
      </c>
      <c r="C161" s="41" t="s">
        <v>26</v>
      </c>
      <c r="D161" s="87">
        <v>1001223907288</v>
      </c>
      <c r="E161" s="17"/>
      <c r="F161" s="16">
        <v>0.1</v>
      </c>
      <c r="G161" s="16">
        <f t="shared" si="11"/>
        <v>0</v>
      </c>
      <c r="H161" s="11">
        <v>1</v>
      </c>
      <c r="I161" s="11">
        <v>60</v>
      </c>
      <c r="J161" s="44"/>
    </row>
    <row r="162" spans="1:10" ht="16.5" customHeight="1" thickTop="1" thickBot="1" x14ac:dyDescent="0.3">
      <c r="A162" s="38"/>
      <c r="B162" s="35" t="s">
        <v>186</v>
      </c>
      <c r="C162" s="12"/>
      <c r="D162" s="27"/>
      <c r="E162" s="13">
        <f>SUM(E10:E161)</f>
        <v>6790</v>
      </c>
      <c r="F162" s="13"/>
      <c r="G162" s="13">
        <f>SUM(G11:G161)</f>
        <v>3094.3</v>
      </c>
      <c r="H162" s="13"/>
      <c r="I162" s="13"/>
      <c r="J162" s="13"/>
    </row>
    <row r="163" spans="1:10" ht="15.75" customHeight="1" thickTop="1" x14ac:dyDescent="0.25">
      <c r="B163" s="28"/>
      <c r="C163" s="46"/>
      <c r="D163" s="47"/>
      <c r="F163" s="49"/>
      <c r="G163" s="49"/>
      <c r="H163" s="53"/>
      <c r="I163" s="53"/>
      <c r="J163" s="14"/>
    </row>
    <row r="164" spans="1:10" x14ac:dyDescent="0.25">
      <c r="B164" s="28"/>
      <c r="C164" s="46"/>
      <c r="D164" s="47"/>
      <c r="F164" s="49"/>
      <c r="G164" s="49"/>
      <c r="H164" s="53"/>
      <c r="I164" s="53"/>
      <c r="J164" s="14"/>
    </row>
    <row r="165" spans="1:10" x14ac:dyDescent="0.25">
      <c r="B165" s="28"/>
      <c r="C165" s="46"/>
      <c r="D165" s="47"/>
      <c r="F165" s="49"/>
      <c r="G165" s="49"/>
      <c r="H165" s="53"/>
      <c r="I165" s="53"/>
      <c r="J165" s="14"/>
    </row>
    <row r="166" spans="1:10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50"/>
      <c r="E171" s="51"/>
      <c r="F171" s="50"/>
      <c r="G171" s="52"/>
      <c r="H171" s="87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7523</v>
      </c>
      <c r="C2" s="54">
        <v>1001012427523</v>
      </c>
      <c r="D2" s="55" t="s">
        <v>25</v>
      </c>
      <c r="E2" s="66" t="s">
        <v>187</v>
      </c>
      <c r="F2" s="64" t="s">
        <v>26</v>
      </c>
      <c r="G2" s="65">
        <v>0.4</v>
      </c>
    </row>
    <row r="3" spans="2:7" ht="21" customHeight="1" x14ac:dyDescent="0.25">
      <c r="B3" s="67">
        <v>6220</v>
      </c>
      <c r="C3" s="56">
        <v>1001012426220</v>
      </c>
      <c r="D3" s="57" t="s">
        <v>28</v>
      </c>
      <c r="E3" s="57"/>
      <c r="F3" s="64" t="s">
        <v>29</v>
      </c>
      <c r="G3" s="65">
        <v>1</v>
      </c>
    </row>
    <row r="4" spans="2:7" ht="21" customHeight="1" x14ac:dyDescent="0.25">
      <c r="B4" s="67">
        <v>7539</v>
      </c>
      <c r="C4" s="58">
        <v>1001010017539</v>
      </c>
      <c r="D4" s="55" t="s">
        <v>30</v>
      </c>
      <c r="E4" s="66" t="s">
        <v>187</v>
      </c>
      <c r="F4" s="67" t="s">
        <v>26</v>
      </c>
      <c r="G4" s="68">
        <v>0.35</v>
      </c>
    </row>
    <row r="5" spans="2:7" ht="21" customHeight="1" x14ac:dyDescent="0.25">
      <c r="B5" s="67">
        <v>7536</v>
      </c>
      <c r="C5" s="59">
        <v>1001010017536</v>
      </c>
      <c r="D5" s="60" t="s">
        <v>32</v>
      </c>
      <c r="E5" s="66" t="s">
        <v>187</v>
      </c>
      <c r="F5" s="67" t="s">
        <v>29</v>
      </c>
      <c r="G5" s="68">
        <v>1</v>
      </c>
    </row>
    <row r="6" spans="2:7" ht="21" customHeight="1" x14ac:dyDescent="0.25">
      <c r="B6" s="67">
        <v>6340</v>
      </c>
      <c r="C6" s="61">
        <v>1001012816340</v>
      </c>
      <c r="D6" s="57" t="s">
        <v>34</v>
      </c>
      <c r="E6" s="57"/>
      <c r="F6" s="67" t="s">
        <v>26</v>
      </c>
      <c r="G6" s="68">
        <v>0.5</v>
      </c>
    </row>
    <row r="7" spans="2:7" ht="21" customHeight="1" x14ac:dyDescent="0.25">
      <c r="B7" s="67">
        <v>6861</v>
      </c>
      <c r="C7" s="61">
        <v>1001015646861</v>
      </c>
      <c r="D7" s="57" t="s">
        <v>35</v>
      </c>
      <c r="E7" s="57"/>
      <c r="F7" s="67" t="s">
        <v>29</v>
      </c>
      <c r="G7" s="68">
        <v>1</v>
      </c>
    </row>
    <row r="8" spans="2:7" ht="21" customHeight="1" x14ac:dyDescent="0.25">
      <c r="B8" s="67">
        <v>6862</v>
      </c>
      <c r="C8" s="61">
        <v>1001015706862</v>
      </c>
      <c r="D8" s="57" t="s">
        <v>36</v>
      </c>
      <c r="E8" s="57"/>
      <c r="F8" s="67" t="s">
        <v>29</v>
      </c>
      <c r="G8" s="68">
        <v>1</v>
      </c>
    </row>
    <row r="9" spans="2:7" ht="21" customHeight="1" x14ac:dyDescent="0.25">
      <c r="B9" s="67">
        <v>6341</v>
      </c>
      <c r="C9" s="61">
        <v>1001012816341</v>
      </c>
      <c r="D9" s="57" t="s">
        <v>37</v>
      </c>
      <c r="E9" s="57"/>
      <c r="F9" s="67" t="s">
        <v>26</v>
      </c>
      <c r="G9" s="68">
        <v>0.5</v>
      </c>
    </row>
    <row r="10" spans="2:7" ht="21" customHeight="1" x14ac:dyDescent="0.25">
      <c r="B10" s="67">
        <v>6498</v>
      </c>
      <c r="C10" s="61">
        <v>1001012456498</v>
      </c>
      <c r="D10" s="57" t="s">
        <v>38</v>
      </c>
      <c r="E10" s="57"/>
      <c r="F10" s="67" t="s">
        <v>29</v>
      </c>
      <c r="G10" s="68">
        <v>1</v>
      </c>
    </row>
    <row r="11" spans="2:7" ht="21" customHeight="1" x14ac:dyDescent="0.25">
      <c r="B11" s="67">
        <v>4063</v>
      </c>
      <c r="C11" s="61">
        <v>1001012484063</v>
      </c>
      <c r="D11" s="57" t="s">
        <v>39</v>
      </c>
      <c r="E11" s="57"/>
      <c r="F11" s="67" t="s">
        <v>29</v>
      </c>
      <c r="G11" s="68">
        <v>1</v>
      </c>
    </row>
    <row r="12" spans="2:7" ht="21" customHeight="1" x14ac:dyDescent="0.25">
      <c r="B12" s="67">
        <v>6333</v>
      </c>
      <c r="C12" s="61">
        <v>1001012486333</v>
      </c>
      <c r="D12" s="57" t="s">
        <v>40</v>
      </c>
      <c r="E12" s="57"/>
      <c r="F12" s="67" t="s">
        <v>26</v>
      </c>
      <c r="G12" s="68">
        <v>0.4</v>
      </c>
    </row>
    <row r="13" spans="2:7" ht="21" customHeight="1" x14ac:dyDescent="0.25">
      <c r="B13" s="67">
        <v>4574</v>
      </c>
      <c r="C13" s="61">
        <v>1001012634574</v>
      </c>
      <c r="D13" s="57" t="s">
        <v>41</v>
      </c>
      <c r="E13" s="57"/>
      <c r="F13" s="67" t="s">
        <v>29</v>
      </c>
      <c r="G13" s="68">
        <v>1</v>
      </c>
    </row>
    <row r="14" spans="2:7" ht="21" customHeight="1" x14ac:dyDescent="0.25">
      <c r="B14" s="67">
        <v>7334</v>
      </c>
      <c r="C14" s="61">
        <v>1001012637334</v>
      </c>
      <c r="D14" s="57" t="s">
        <v>42</v>
      </c>
      <c r="E14" s="57"/>
      <c r="F14" s="67" t="s">
        <v>26</v>
      </c>
      <c r="G14" s="68">
        <v>0.4</v>
      </c>
    </row>
    <row r="15" spans="2:7" ht="21" customHeight="1" x14ac:dyDescent="0.25">
      <c r="B15" s="67">
        <v>4813</v>
      </c>
      <c r="C15" s="61">
        <v>1001012564813</v>
      </c>
      <c r="D15" s="57" t="s">
        <v>43</v>
      </c>
      <c r="E15" s="57"/>
      <c r="F15" s="67" t="s">
        <v>29</v>
      </c>
      <c r="G15" s="68">
        <v>1</v>
      </c>
    </row>
    <row r="16" spans="2:7" ht="21" customHeight="1" x14ac:dyDescent="0.25">
      <c r="B16" s="67">
        <v>6392</v>
      </c>
      <c r="C16" s="61">
        <v>1001012566392</v>
      </c>
      <c r="D16" s="57" t="s">
        <v>188</v>
      </c>
      <c r="E16" s="57"/>
      <c r="F16" s="67" t="s">
        <v>26</v>
      </c>
      <c r="G16" s="68">
        <v>0.4</v>
      </c>
    </row>
    <row r="17" spans="2:7" ht="21" customHeight="1" x14ac:dyDescent="0.25">
      <c r="B17" s="67">
        <v>5851</v>
      </c>
      <c r="C17" s="61">
        <v>1001012505851</v>
      </c>
      <c r="D17" s="57" t="s">
        <v>189</v>
      </c>
      <c r="E17" s="57"/>
      <c r="F17" s="67" t="s">
        <v>29</v>
      </c>
      <c r="G17" s="68">
        <v>1</v>
      </c>
    </row>
    <row r="18" spans="2:7" ht="21" customHeight="1" x14ac:dyDescent="0.25">
      <c r="B18" s="67">
        <v>6353</v>
      </c>
      <c r="C18" s="61">
        <v>1001012506353</v>
      </c>
      <c r="D18" s="57" t="s">
        <v>190</v>
      </c>
      <c r="E18" s="63" t="s">
        <v>191</v>
      </c>
      <c r="F18" s="67" t="s">
        <v>26</v>
      </c>
      <c r="G18" s="68">
        <v>0.4</v>
      </c>
    </row>
    <row r="19" spans="2:7" ht="21" customHeight="1" x14ac:dyDescent="0.25">
      <c r="B19" s="67">
        <v>4561</v>
      </c>
      <c r="C19" s="61">
        <v>1001010014561</v>
      </c>
      <c r="D19" s="57" t="s">
        <v>47</v>
      </c>
      <c r="E19" s="57"/>
      <c r="F19" s="67" t="s">
        <v>29</v>
      </c>
      <c r="G19" s="68">
        <v>1</v>
      </c>
    </row>
    <row r="20" spans="2:7" ht="21" customHeight="1" x14ac:dyDescent="0.25">
      <c r="B20" s="67">
        <v>7555</v>
      </c>
      <c r="C20" s="58">
        <v>1001012497555</v>
      </c>
      <c r="D20" s="55" t="s">
        <v>48</v>
      </c>
      <c r="E20" s="66" t="s">
        <v>187</v>
      </c>
      <c r="F20" s="67" t="s">
        <v>29</v>
      </c>
      <c r="G20" s="68">
        <v>1</v>
      </c>
    </row>
    <row r="21" spans="2:7" ht="21" customHeight="1" x14ac:dyDescent="0.25">
      <c r="B21" s="67">
        <v>6325</v>
      </c>
      <c r="C21" s="61">
        <v>1001010106325</v>
      </c>
      <c r="D21" s="57" t="s">
        <v>50</v>
      </c>
      <c r="E21" s="57"/>
      <c r="F21" s="67" t="s">
        <v>26</v>
      </c>
      <c r="G21" s="68">
        <v>0.4</v>
      </c>
    </row>
    <row r="22" spans="2:7" ht="21" customHeight="1" x14ac:dyDescent="0.25">
      <c r="B22" s="67">
        <v>7556</v>
      </c>
      <c r="C22" s="58">
        <v>1001017597556</v>
      </c>
      <c r="D22" s="55" t="s">
        <v>51</v>
      </c>
      <c r="E22" s="66" t="s">
        <v>187</v>
      </c>
      <c r="F22" s="67" t="s">
        <v>29</v>
      </c>
      <c r="G22" s="68">
        <v>1</v>
      </c>
    </row>
    <row r="23" spans="2:7" ht="21" customHeight="1" x14ac:dyDescent="0.25">
      <c r="B23" s="67">
        <v>7303</v>
      </c>
      <c r="C23" s="61">
        <v>1001010857303</v>
      </c>
      <c r="D23" s="57" t="s">
        <v>53</v>
      </c>
      <c r="E23" s="57"/>
      <c r="F23" s="67" t="s">
        <v>29</v>
      </c>
      <c r="G23" s="68">
        <v>1</v>
      </c>
    </row>
    <row r="24" spans="2:7" ht="21" customHeight="1" x14ac:dyDescent="0.25">
      <c r="B24" s="67">
        <v>8014</v>
      </c>
      <c r="C24" s="61">
        <v>1001010108014</v>
      </c>
      <c r="D24" s="57" t="s">
        <v>54</v>
      </c>
      <c r="E24" s="57"/>
      <c r="F24" s="67" t="s">
        <v>29</v>
      </c>
      <c r="G24" s="68">
        <v>1</v>
      </c>
    </row>
    <row r="25" spans="2:7" ht="21" customHeight="1" x14ac:dyDescent="0.25">
      <c r="B25" s="67">
        <v>7343</v>
      </c>
      <c r="C25" s="61">
        <v>1001016747343</v>
      </c>
      <c r="D25" s="57" t="s">
        <v>55</v>
      </c>
      <c r="E25" s="57"/>
      <c r="F25" s="67" t="s">
        <v>26</v>
      </c>
      <c r="G25" s="68">
        <v>0.4</v>
      </c>
    </row>
    <row r="26" spans="2:7" ht="21" customHeight="1" x14ac:dyDescent="0.25">
      <c r="B26" s="67">
        <v>6797</v>
      </c>
      <c r="C26" s="61">
        <v>1001015026797</v>
      </c>
      <c r="D26" s="57" t="s">
        <v>56</v>
      </c>
      <c r="E26" s="57"/>
      <c r="F26" s="67" t="s">
        <v>26</v>
      </c>
      <c r="G26" s="68">
        <v>0.4</v>
      </c>
    </row>
    <row r="27" spans="2:7" ht="21" customHeight="1" x14ac:dyDescent="0.25">
      <c r="B27" s="67">
        <v>7231</v>
      </c>
      <c r="C27" s="61">
        <v>1001013957231</v>
      </c>
      <c r="D27" s="57" t="s">
        <v>57</v>
      </c>
      <c r="E27" s="57"/>
      <c r="F27" s="67" t="s">
        <v>26</v>
      </c>
      <c r="G27" s="68">
        <v>0.3</v>
      </c>
    </row>
    <row r="28" spans="2:7" ht="23.25" customHeight="1" x14ac:dyDescent="0.25">
      <c r="B28" s="69"/>
      <c r="C28" s="69"/>
      <c r="D28" s="70" t="s">
        <v>163</v>
      </c>
      <c r="E28" s="70"/>
      <c r="F28" s="71"/>
      <c r="G28" s="72"/>
    </row>
    <row r="29" spans="2:7" ht="21" customHeight="1" x14ac:dyDescent="0.25">
      <c r="B29" s="61">
        <v>4584</v>
      </c>
      <c r="C29" s="61">
        <v>1001092674584</v>
      </c>
      <c r="D29" s="74" t="s">
        <v>164</v>
      </c>
      <c r="E29" s="74"/>
      <c r="F29" s="67" t="s">
        <v>29</v>
      </c>
      <c r="G29" s="68">
        <v>1</v>
      </c>
    </row>
    <row r="30" spans="2:7" ht="21" customHeight="1" x14ac:dyDescent="0.25">
      <c r="B30" s="67">
        <v>6495</v>
      </c>
      <c r="C30" s="61">
        <v>1001092436495</v>
      </c>
      <c r="D30" s="74" t="s">
        <v>165</v>
      </c>
      <c r="E30" s="74"/>
      <c r="F30" s="67" t="s">
        <v>26</v>
      </c>
      <c r="G30" s="68">
        <v>0.3</v>
      </c>
    </row>
    <row r="31" spans="2:7" ht="21" customHeight="1" x14ac:dyDescent="0.25">
      <c r="B31" s="73">
        <v>6470</v>
      </c>
      <c r="C31" s="76">
        <v>1001092436470</v>
      </c>
      <c r="D31" s="77" t="s">
        <v>166</v>
      </c>
      <c r="E31" s="77"/>
      <c r="F31" s="67" t="s">
        <v>29</v>
      </c>
      <c r="G31" s="68">
        <v>1</v>
      </c>
    </row>
    <row r="32" spans="2:7" ht="21" customHeight="1" x14ac:dyDescent="0.25">
      <c r="B32" s="67">
        <v>5452</v>
      </c>
      <c r="C32" s="61">
        <v>1001092485452</v>
      </c>
      <c r="D32" s="74" t="s">
        <v>167</v>
      </c>
      <c r="E32" s="74"/>
      <c r="F32" s="67" t="s">
        <v>29</v>
      </c>
      <c r="G32" s="68">
        <v>1</v>
      </c>
    </row>
    <row r="33" spans="2:7" ht="21" customHeight="1" x14ac:dyDescent="0.25">
      <c r="B33" s="67">
        <v>3215</v>
      </c>
      <c r="C33" s="61">
        <v>1001094053215</v>
      </c>
      <c r="D33" s="74" t="s">
        <v>168</v>
      </c>
      <c r="E33" s="74"/>
      <c r="F33" s="67" t="s">
        <v>26</v>
      </c>
      <c r="G33" s="68">
        <v>0.4</v>
      </c>
    </row>
    <row r="34" spans="2:7" ht="21" customHeight="1" x14ac:dyDescent="0.25">
      <c r="B34" s="61">
        <v>6866</v>
      </c>
      <c r="C34" s="61">
        <v>1001095716866</v>
      </c>
      <c r="D34" s="74" t="s">
        <v>169</v>
      </c>
      <c r="E34" s="74"/>
      <c r="F34" s="67" t="s">
        <v>29</v>
      </c>
      <c r="G34" s="68">
        <v>1</v>
      </c>
    </row>
    <row r="35" spans="2:7" ht="21" customHeight="1" x14ac:dyDescent="0.25">
      <c r="B35" s="67">
        <v>5495</v>
      </c>
      <c r="C35" s="61">
        <v>1001093345495</v>
      </c>
      <c r="D35" s="74" t="s">
        <v>170</v>
      </c>
      <c r="E35" s="74"/>
      <c r="F35" s="67" t="s">
        <v>26</v>
      </c>
      <c r="G35" s="68">
        <v>0.4</v>
      </c>
    </row>
    <row r="36" spans="2:7" ht="21" customHeight="1" x14ac:dyDescent="0.25">
      <c r="B36" s="67">
        <v>7377</v>
      </c>
      <c r="C36" s="61">
        <v>1001095027377</v>
      </c>
      <c r="D36" s="74" t="s">
        <v>171</v>
      </c>
      <c r="E36" s="57"/>
      <c r="F36" s="67" t="s">
        <v>26</v>
      </c>
      <c r="G36" s="68">
        <v>0.3</v>
      </c>
    </row>
    <row r="37" spans="2:7" ht="21" customHeight="1" x14ac:dyDescent="0.25">
      <c r="B37" s="67">
        <v>6925</v>
      </c>
      <c r="C37" s="61">
        <v>1001095226925</v>
      </c>
      <c r="D37" s="57" t="s">
        <v>192</v>
      </c>
      <c r="E37" s="75"/>
      <c r="F37" s="67" t="s">
        <v>26</v>
      </c>
      <c r="G37" s="68">
        <v>0.6</v>
      </c>
    </row>
    <row r="38" spans="2:7" ht="21" customHeight="1" x14ac:dyDescent="0.25">
      <c r="B38" s="67">
        <v>6025</v>
      </c>
      <c r="C38" s="61">
        <v>1001094966025</v>
      </c>
      <c r="D38" s="74" t="s">
        <v>173</v>
      </c>
      <c r="E38" s="74"/>
      <c r="F38" s="67" t="s">
        <v>29</v>
      </c>
      <c r="G38" s="68">
        <v>1</v>
      </c>
    </row>
    <row r="39" spans="2:7" ht="23.25" customHeight="1" x14ac:dyDescent="0.25">
      <c r="B39" s="69"/>
      <c r="C39" s="69"/>
      <c r="D39" s="70" t="s">
        <v>193</v>
      </c>
      <c r="E39" s="70"/>
      <c r="F39" s="71"/>
      <c r="G39" s="72"/>
    </row>
    <row r="40" spans="2:7" ht="21" customHeight="1" x14ac:dyDescent="0.25">
      <c r="B40" s="73">
        <v>7090</v>
      </c>
      <c r="C40" s="76">
        <v>1001084217090</v>
      </c>
      <c r="D40" s="77" t="s">
        <v>175</v>
      </c>
      <c r="E40" s="77"/>
      <c r="F40" s="64" t="s">
        <v>26</v>
      </c>
      <c r="G40" s="65">
        <v>0.3</v>
      </c>
    </row>
    <row r="41" spans="2:7" ht="21" customHeight="1" x14ac:dyDescent="0.25">
      <c r="B41" s="67">
        <v>7187</v>
      </c>
      <c r="C41" s="56">
        <v>1001085637187</v>
      </c>
      <c r="D41" s="57" t="s">
        <v>176</v>
      </c>
      <c r="E41" s="57"/>
      <c r="F41" s="64" t="s">
        <v>26</v>
      </c>
      <c r="G41" s="65">
        <v>0.3</v>
      </c>
    </row>
    <row r="42" spans="2:7" ht="21" customHeight="1" x14ac:dyDescent="0.25">
      <c r="B42" s="67">
        <v>6620</v>
      </c>
      <c r="C42" s="56">
        <v>1001081596620</v>
      </c>
      <c r="D42" s="57" t="s">
        <v>177</v>
      </c>
      <c r="E42" s="57"/>
      <c r="F42" s="64" t="s">
        <v>29</v>
      </c>
      <c r="G42" s="65">
        <v>1</v>
      </c>
    </row>
    <row r="43" spans="2:7" ht="23.25" customHeight="1" x14ac:dyDescent="0.25">
      <c r="B43" s="78"/>
      <c r="C43" s="69"/>
      <c r="D43" s="70" t="s">
        <v>194</v>
      </c>
      <c r="E43" s="70"/>
      <c r="F43" s="71"/>
      <c r="G43" s="72"/>
    </row>
    <row r="44" spans="2:7" ht="21" customHeight="1" x14ac:dyDescent="0.25">
      <c r="B44" s="67">
        <v>7564</v>
      </c>
      <c r="C44" s="61">
        <v>1001303637564</v>
      </c>
      <c r="D44" s="57" t="s">
        <v>103</v>
      </c>
      <c r="E44" s="66" t="s">
        <v>187</v>
      </c>
      <c r="F44" s="67" t="s">
        <v>29</v>
      </c>
      <c r="G44" s="68">
        <v>1</v>
      </c>
    </row>
    <row r="45" spans="2:7" ht="21" customHeight="1" x14ac:dyDescent="0.25">
      <c r="B45" s="67">
        <v>7603</v>
      </c>
      <c r="C45" s="61">
        <v>1001303637603</v>
      </c>
      <c r="D45" s="57" t="s">
        <v>105</v>
      </c>
      <c r="E45" s="66" t="s">
        <v>187</v>
      </c>
      <c r="F45" s="67" t="s">
        <v>26</v>
      </c>
      <c r="G45" s="68">
        <v>0.33</v>
      </c>
    </row>
    <row r="46" spans="2:7" ht="21" customHeight="1" x14ac:dyDescent="0.25">
      <c r="B46" s="67">
        <v>7149</v>
      </c>
      <c r="C46" s="56">
        <v>1001303637149</v>
      </c>
      <c r="D46" s="57" t="s">
        <v>107</v>
      </c>
      <c r="E46" s="57"/>
      <c r="F46" s="67" t="s">
        <v>26</v>
      </c>
      <c r="G46" s="68">
        <v>0.84</v>
      </c>
    </row>
    <row r="47" spans="2:7" ht="21" customHeight="1" x14ac:dyDescent="0.25">
      <c r="B47" s="73">
        <v>7233</v>
      </c>
      <c r="C47" s="76">
        <v>1001303637233</v>
      </c>
      <c r="D47" s="77" t="s">
        <v>108</v>
      </c>
      <c r="E47" s="77"/>
      <c r="F47" s="67" t="s">
        <v>26</v>
      </c>
      <c r="G47" s="68">
        <v>0.31</v>
      </c>
    </row>
    <row r="48" spans="2:7" ht="21" customHeight="1" x14ac:dyDescent="0.25">
      <c r="B48" s="73">
        <v>7232</v>
      </c>
      <c r="C48" s="76">
        <v>1001302277232</v>
      </c>
      <c r="D48" s="77" t="s">
        <v>109</v>
      </c>
      <c r="E48" s="77"/>
      <c r="F48" s="67" t="s">
        <v>26</v>
      </c>
      <c r="G48" s="68">
        <v>0.28000000000000003</v>
      </c>
    </row>
    <row r="49" spans="2:7" ht="21" customHeight="1" x14ac:dyDescent="0.25">
      <c r="B49" s="73">
        <v>7241</v>
      </c>
      <c r="C49" s="76">
        <v>1001303107241</v>
      </c>
      <c r="D49" s="77" t="s">
        <v>110</v>
      </c>
      <c r="E49" s="77"/>
      <c r="F49" s="67" t="s">
        <v>26</v>
      </c>
      <c r="G49" s="68">
        <v>0.28000000000000003</v>
      </c>
    </row>
    <row r="50" spans="2:7" ht="21" customHeight="1" x14ac:dyDescent="0.25">
      <c r="B50" s="67">
        <v>7133</v>
      </c>
      <c r="C50" s="61">
        <v>1001300367133</v>
      </c>
      <c r="D50" s="57" t="s">
        <v>111</v>
      </c>
      <c r="E50" s="57"/>
      <c r="F50" s="67" t="s">
        <v>29</v>
      </c>
      <c r="G50" s="68">
        <v>1</v>
      </c>
    </row>
    <row r="51" spans="2:7" ht="21" customHeight="1" x14ac:dyDescent="0.25">
      <c r="B51" s="67">
        <v>6807</v>
      </c>
      <c r="C51" s="61">
        <v>1001300366807</v>
      </c>
      <c r="D51" s="57" t="s">
        <v>112</v>
      </c>
      <c r="E51" s="57"/>
      <c r="F51" s="67" t="s">
        <v>26</v>
      </c>
      <c r="G51" s="68">
        <v>0.33</v>
      </c>
    </row>
    <row r="52" spans="2:7" ht="21" customHeight="1" x14ac:dyDescent="0.25">
      <c r="B52" s="67">
        <v>7154</v>
      </c>
      <c r="C52" s="61">
        <v>1001300387154</v>
      </c>
      <c r="D52" s="57" t="s">
        <v>113</v>
      </c>
      <c r="E52" s="57"/>
      <c r="F52" s="67" t="s">
        <v>26</v>
      </c>
      <c r="G52" s="68">
        <v>0.35</v>
      </c>
    </row>
    <row r="53" spans="2:7" ht="21" customHeight="1" x14ac:dyDescent="0.25">
      <c r="B53" s="67">
        <v>7157</v>
      </c>
      <c r="C53" s="61">
        <v>1001300387157</v>
      </c>
      <c r="D53" s="57" t="s">
        <v>114</v>
      </c>
      <c r="E53" s="57"/>
      <c r="F53" s="67" t="s">
        <v>29</v>
      </c>
      <c r="G53" s="68">
        <v>1</v>
      </c>
    </row>
    <row r="54" spans="2:7" ht="21" customHeight="1" x14ac:dyDescent="0.25">
      <c r="B54" s="73">
        <v>7236</v>
      </c>
      <c r="C54" s="76">
        <v>1001304507236</v>
      </c>
      <c r="D54" s="77" t="s">
        <v>115</v>
      </c>
      <c r="E54" s="77"/>
      <c r="F54" s="67" t="s">
        <v>26</v>
      </c>
      <c r="G54" s="68">
        <v>0.28000000000000003</v>
      </c>
    </row>
    <row r="55" spans="2:7" ht="21" customHeight="1" x14ac:dyDescent="0.25">
      <c r="B55" s="67">
        <v>6787</v>
      </c>
      <c r="C55" s="61">
        <v>1001300456787</v>
      </c>
      <c r="D55" s="57" t="s">
        <v>116</v>
      </c>
      <c r="E55" s="57"/>
      <c r="F55" s="67" t="s">
        <v>26</v>
      </c>
      <c r="G55" s="68">
        <v>0.33</v>
      </c>
    </row>
    <row r="56" spans="2:7" ht="21" customHeight="1" x14ac:dyDescent="0.25">
      <c r="B56" s="67">
        <v>7166</v>
      </c>
      <c r="C56" s="61">
        <v>1001303987166</v>
      </c>
      <c r="D56" s="57" t="s">
        <v>117</v>
      </c>
      <c r="E56" s="57"/>
      <c r="F56" s="67" t="s">
        <v>29</v>
      </c>
      <c r="G56" s="68">
        <v>1</v>
      </c>
    </row>
    <row r="57" spans="2:7" ht="21" customHeight="1" x14ac:dyDescent="0.25">
      <c r="B57" s="67">
        <v>7169</v>
      </c>
      <c r="C57" s="56">
        <v>1001303987169</v>
      </c>
      <c r="D57" s="57" t="s">
        <v>118</v>
      </c>
      <c r="E57" s="57"/>
      <c r="F57" s="67" t="s">
        <v>26</v>
      </c>
      <c r="G57" s="68">
        <v>0.35</v>
      </c>
    </row>
    <row r="58" spans="2:7" ht="21" customHeight="1" x14ac:dyDescent="0.25">
      <c r="B58" s="67">
        <v>5544</v>
      </c>
      <c r="C58" s="61">
        <v>1001051875544</v>
      </c>
      <c r="D58" s="57" t="s">
        <v>119</v>
      </c>
      <c r="E58" s="57"/>
      <c r="F58" s="67" t="s">
        <v>29</v>
      </c>
      <c r="G58" s="68">
        <v>1</v>
      </c>
    </row>
    <row r="59" spans="2:7" ht="21" customHeight="1" x14ac:dyDescent="0.25">
      <c r="B59" s="67">
        <v>6697</v>
      </c>
      <c r="C59" s="61">
        <v>1001301876697</v>
      </c>
      <c r="D59" s="57" t="s">
        <v>120</v>
      </c>
      <c r="E59" s="57"/>
      <c r="F59" s="67" t="s">
        <v>26</v>
      </c>
      <c r="G59" s="68">
        <v>0.35</v>
      </c>
    </row>
    <row r="60" spans="2:7" ht="21" customHeight="1" x14ac:dyDescent="0.25">
      <c r="B60" s="67">
        <v>7237</v>
      </c>
      <c r="C60" s="61">
        <v>1001304497237</v>
      </c>
      <c r="D60" s="57" t="s">
        <v>121</v>
      </c>
      <c r="E60" s="57"/>
      <c r="F60" s="67" t="s">
        <v>26</v>
      </c>
      <c r="G60" s="68">
        <v>0.28000000000000003</v>
      </c>
    </row>
    <row r="61" spans="2:7" ht="21" customHeight="1" x14ac:dyDescent="0.25">
      <c r="B61" s="67">
        <v>7238</v>
      </c>
      <c r="C61" s="61">
        <v>1001305197238</v>
      </c>
      <c r="D61" s="57" t="s">
        <v>122</v>
      </c>
      <c r="E61" s="57"/>
      <c r="F61" s="67" t="s">
        <v>26</v>
      </c>
      <c r="G61" s="68">
        <v>0.31</v>
      </c>
    </row>
    <row r="62" spans="2:7" ht="21" customHeight="1" x14ac:dyDescent="0.25">
      <c r="B62" s="67">
        <v>7177</v>
      </c>
      <c r="C62" s="61">
        <v>1001302347177</v>
      </c>
      <c r="D62" s="57" t="s">
        <v>123</v>
      </c>
      <c r="E62" s="57"/>
      <c r="F62" s="67" t="s">
        <v>26</v>
      </c>
      <c r="G62" s="68">
        <v>0.35</v>
      </c>
    </row>
    <row r="63" spans="2:7" ht="21" customHeight="1" x14ac:dyDescent="0.25">
      <c r="B63" s="73">
        <v>7332</v>
      </c>
      <c r="C63" s="76">
        <v>1001301777332</v>
      </c>
      <c r="D63" s="77" t="s">
        <v>124</v>
      </c>
      <c r="E63" s="79"/>
      <c r="F63" s="64" t="s">
        <v>26</v>
      </c>
      <c r="G63" s="65">
        <v>0.28000000000000003</v>
      </c>
    </row>
    <row r="64" spans="2:7" ht="21" customHeight="1" x14ac:dyDescent="0.25">
      <c r="B64" s="73">
        <v>7333</v>
      </c>
      <c r="C64" s="76">
        <v>1001303987333</v>
      </c>
      <c r="D64" s="77" t="s">
        <v>125</v>
      </c>
      <c r="E64" s="79"/>
      <c r="F64" s="64" t="s">
        <v>26</v>
      </c>
      <c r="G64" s="65">
        <v>0.28000000000000003</v>
      </c>
    </row>
    <row r="65" spans="2:7" ht="23.25" customHeight="1" x14ac:dyDescent="0.25">
      <c r="B65" s="78"/>
      <c r="C65" s="69"/>
      <c r="D65" s="70" t="s">
        <v>195</v>
      </c>
      <c r="E65" s="70"/>
      <c r="F65" s="71"/>
      <c r="G65" s="72"/>
    </row>
    <row r="66" spans="2:7" ht="21" customHeight="1" x14ac:dyDescent="0.25">
      <c r="B66" s="67">
        <v>6459</v>
      </c>
      <c r="C66" s="61">
        <v>1001214196459</v>
      </c>
      <c r="D66" s="57" t="s">
        <v>126</v>
      </c>
      <c r="E66" s="63" t="s">
        <v>196</v>
      </c>
      <c r="F66" s="67" t="s">
        <v>26</v>
      </c>
      <c r="G66" s="68">
        <v>0.1</v>
      </c>
    </row>
    <row r="67" spans="2:7" ht="21" customHeight="1" x14ac:dyDescent="0.25">
      <c r="B67" s="67">
        <v>7474</v>
      </c>
      <c r="C67" s="61">
        <v>1001216717474</v>
      </c>
      <c r="D67" s="57" t="s">
        <v>127</v>
      </c>
      <c r="E67" s="63" t="s">
        <v>197</v>
      </c>
      <c r="F67" s="67" t="s">
        <v>26</v>
      </c>
      <c r="G67" s="68">
        <v>0.1</v>
      </c>
    </row>
    <row r="68" spans="2:7" ht="23.25" customHeight="1" x14ac:dyDescent="0.25">
      <c r="B68" s="78"/>
      <c r="C68" s="69"/>
      <c r="D68" s="70" t="s">
        <v>198</v>
      </c>
      <c r="E68" s="70"/>
      <c r="F68" s="71"/>
      <c r="G68" s="72"/>
    </row>
    <row r="69" spans="2:7" ht="21" customHeight="1" x14ac:dyDescent="0.25">
      <c r="B69" s="67">
        <v>7103</v>
      </c>
      <c r="C69" s="61">
        <v>1001223297103</v>
      </c>
      <c r="D69" s="57" t="s">
        <v>178</v>
      </c>
      <c r="E69" s="57"/>
      <c r="F69" s="67" t="s">
        <v>26</v>
      </c>
      <c r="G69" s="68">
        <v>0.18</v>
      </c>
    </row>
    <row r="70" spans="2:7" ht="21" customHeight="1" x14ac:dyDescent="0.25">
      <c r="B70" s="67">
        <v>7092</v>
      </c>
      <c r="C70" s="61">
        <v>1001223297092</v>
      </c>
      <c r="D70" s="57" t="s">
        <v>179</v>
      </c>
      <c r="E70" s="57"/>
      <c r="F70" s="67" t="s">
        <v>26</v>
      </c>
      <c r="G70" s="68">
        <v>0.14000000000000001</v>
      </c>
    </row>
    <row r="71" spans="2:7" ht="21" customHeight="1" x14ac:dyDescent="0.25">
      <c r="B71" s="67">
        <v>6228</v>
      </c>
      <c r="C71" s="61">
        <v>1001225416228</v>
      </c>
      <c r="D71" s="57" t="s">
        <v>180</v>
      </c>
      <c r="E71" s="57"/>
      <c r="F71" s="67" t="s">
        <v>26</v>
      </c>
      <c r="G71" s="68">
        <v>0.09</v>
      </c>
    </row>
    <row r="72" spans="2:7" ht="21" customHeight="1" x14ac:dyDescent="0.25">
      <c r="B72" s="67">
        <v>6448</v>
      </c>
      <c r="C72" s="61">
        <v>1001234146448</v>
      </c>
      <c r="D72" s="57" t="s">
        <v>181</v>
      </c>
      <c r="E72" s="57"/>
      <c r="F72" s="67" t="s">
        <v>26</v>
      </c>
      <c r="G72" s="68">
        <v>0.1</v>
      </c>
    </row>
    <row r="73" spans="2:7" ht="21" customHeight="1" x14ac:dyDescent="0.25">
      <c r="B73" s="67">
        <v>6208</v>
      </c>
      <c r="C73" s="61">
        <v>1001220226208</v>
      </c>
      <c r="D73" s="57" t="s">
        <v>182</v>
      </c>
      <c r="E73" s="57"/>
      <c r="F73" s="67" t="s">
        <v>26</v>
      </c>
      <c r="G73" s="68">
        <v>0.15</v>
      </c>
    </row>
    <row r="74" spans="2:7" ht="21" customHeight="1" x14ac:dyDescent="0.25">
      <c r="B74" s="67">
        <v>6754</v>
      </c>
      <c r="C74" s="61">
        <v>1001225406754</v>
      </c>
      <c r="D74" s="57" t="s">
        <v>183</v>
      </c>
      <c r="E74" s="57"/>
      <c r="F74" s="67" t="s">
        <v>26</v>
      </c>
      <c r="G74" s="68">
        <v>0.09</v>
      </c>
    </row>
    <row r="75" spans="2:7" ht="21" customHeight="1" x14ac:dyDescent="0.25">
      <c r="B75" s="67">
        <v>6279</v>
      </c>
      <c r="C75" s="56">
        <v>1001220286279</v>
      </c>
      <c r="D75" s="57" t="s">
        <v>184</v>
      </c>
      <c r="E75" s="57"/>
      <c r="F75" s="64" t="s">
        <v>26</v>
      </c>
      <c r="G75" s="65">
        <v>0.15</v>
      </c>
    </row>
    <row r="76" spans="2:7" ht="21" customHeight="1" x14ac:dyDescent="0.25">
      <c r="B76" s="67">
        <v>7288</v>
      </c>
      <c r="C76" s="61">
        <v>1001223907288</v>
      </c>
      <c r="D76" s="57" t="s">
        <v>199</v>
      </c>
      <c r="E76" s="63" t="s">
        <v>200</v>
      </c>
      <c r="F76" s="67" t="s">
        <v>26</v>
      </c>
      <c r="G76" s="68">
        <v>0.1</v>
      </c>
    </row>
    <row r="77" spans="2:7" ht="21" customHeight="1" x14ac:dyDescent="0.25">
      <c r="B77" s="67">
        <v>7612</v>
      </c>
      <c r="C77" s="61">
        <v>1001453907612</v>
      </c>
      <c r="D77" s="62" t="s">
        <v>201</v>
      </c>
      <c r="E77" s="62" t="s">
        <v>202</v>
      </c>
      <c r="F77" s="67" t="s">
        <v>26</v>
      </c>
      <c r="G77" s="68">
        <v>0.1</v>
      </c>
    </row>
    <row r="78" spans="2:7" ht="23.25" customHeight="1" x14ac:dyDescent="0.25">
      <c r="B78" s="78"/>
      <c r="C78" s="69"/>
      <c r="D78" s="70" t="s">
        <v>203</v>
      </c>
      <c r="E78" s="70"/>
      <c r="F78" s="71"/>
      <c r="G78" s="72"/>
    </row>
    <row r="79" spans="2:7" ht="21" customHeight="1" x14ac:dyDescent="0.25">
      <c r="B79" s="67">
        <v>6454</v>
      </c>
      <c r="C79" s="61">
        <v>1001201976454</v>
      </c>
      <c r="D79" s="57" t="s">
        <v>204</v>
      </c>
      <c r="E79" s="63" t="s">
        <v>205</v>
      </c>
      <c r="F79" s="67" t="s">
        <v>26</v>
      </c>
      <c r="G79" s="68">
        <v>0.1</v>
      </c>
    </row>
    <row r="80" spans="2:7" ht="21" customHeight="1" x14ac:dyDescent="0.25">
      <c r="B80" s="67">
        <v>6834</v>
      </c>
      <c r="C80" s="61">
        <v>1001203146834</v>
      </c>
      <c r="D80" s="57" t="s">
        <v>206</v>
      </c>
      <c r="E80" s="57"/>
      <c r="F80" s="67" t="s">
        <v>26</v>
      </c>
      <c r="G80" s="68">
        <v>0.1</v>
      </c>
    </row>
    <row r="81" spans="2:7" ht="21" customHeight="1" x14ac:dyDescent="0.25">
      <c r="B81" s="67">
        <v>7382</v>
      </c>
      <c r="C81" s="61">
        <v>1001203117382</v>
      </c>
      <c r="D81" s="57" t="s">
        <v>154</v>
      </c>
      <c r="E81" s="63" t="s">
        <v>207</v>
      </c>
      <c r="F81" s="67" t="s">
        <v>26</v>
      </c>
      <c r="G81" s="68">
        <v>0.12</v>
      </c>
    </row>
    <row r="82" spans="2:7" ht="21" customHeight="1" x14ac:dyDescent="0.25">
      <c r="B82" s="67">
        <v>6453</v>
      </c>
      <c r="C82" s="61">
        <v>1001202506453</v>
      </c>
      <c r="D82" s="57" t="s">
        <v>208</v>
      </c>
      <c r="E82" s="63" t="s">
        <v>209</v>
      </c>
      <c r="F82" s="67" t="s">
        <v>26</v>
      </c>
      <c r="G82" s="68">
        <v>0.1</v>
      </c>
    </row>
    <row r="83" spans="2:7" ht="21" customHeight="1" x14ac:dyDescent="0.25">
      <c r="B83" s="67">
        <v>6221</v>
      </c>
      <c r="C83" s="61">
        <v>1001205376221</v>
      </c>
      <c r="D83" s="57" t="s">
        <v>156</v>
      </c>
      <c r="E83" s="57"/>
      <c r="F83" s="67" t="s">
        <v>26</v>
      </c>
      <c r="G83" s="68">
        <v>0.09</v>
      </c>
    </row>
    <row r="84" spans="2:7" ht="21" customHeight="1" x14ac:dyDescent="0.25">
      <c r="B84" s="67">
        <v>6222</v>
      </c>
      <c r="C84" s="61">
        <v>1001205386222</v>
      </c>
      <c r="D84" s="57" t="s">
        <v>157</v>
      </c>
      <c r="E84" s="57"/>
      <c r="F84" s="67" t="s">
        <v>26</v>
      </c>
      <c r="G84" s="68">
        <v>0.09</v>
      </c>
    </row>
    <row r="85" spans="2:7" ht="21" customHeight="1" x14ac:dyDescent="0.25">
      <c r="B85" s="73">
        <v>6965</v>
      </c>
      <c r="C85" s="76">
        <v>1001206356965</v>
      </c>
      <c r="D85" s="77" t="s">
        <v>158</v>
      </c>
      <c r="E85" s="77"/>
      <c r="F85" s="67" t="s">
        <v>26</v>
      </c>
      <c r="G85" s="68">
        <v>7.0000000000000007E-2</v>
      </c>
    </row>
    <row r="86" spans="2:7" ht="21" customHeight="1" x14ac:dyDescent="0.25">
      <c r="B86" s="67">
        <v>6557</v>
      </c>
      <c r="C86" s="61">
        <v>1001200756557</v>
      </c>
      <c r="D86" s="57" t="s">
        <v>159</v>
      </c>
      <c r="E86" s="57"/>
      <c r="F86" s="67" t="s">
        <v>26</v>
      </c>
      <c r="G86" s="68">
        <v>0.1</v>
      </c>
    </row>
    <row r="87" spans="2:7" ht="21" customHeight="1" x14ac:dyDescent="0.25">
      <c r="B87" s="67">
        <v>5679</v>
      </c>
      <c r="C87" s="61">
        <v>1001190765679</v>
      </c>
      <c r="D87" s="57" t="s">
        <v>160</v>
      </c>
      <c r="E87" s="57"/>
      <c r="F87" s="67" t="s">
        <v>26</v>
      </c>
      <c r="G87" s="68">
        <v>0.15</v>
      </c>
    </row>
    <row r="88" spans="2:7" ht="21" customHeight="1" x14ac:dyDescent="0.25">
      <c r="B88" s="67">
        <v>5677</v>
      </c>
      <c r="C88" s="61">
        <v>1001190715677</v>
      </c>
      <c r="D88" s="57" t="s">
        <v>161</v>
      </c>
      <c r="E88" s="63" t="s">
        <v>210</v>
      </c>
      <c r="F88" s="67" t="s">
        <v>26</v>
      </c>
      <c r="G88" s="68">
        <v>0.1</v>
      </c>
    </row>
    <row r="89" spans="2:7" ht="21" customHeight="1" x14ac:dyDescent="0.25">
      <c r="B89" s="67">
        <v>7414</v>
      </c>
      <c r="C89" s="61">
        <v>1001204447414</v>
      </c>
      <c r="D89" s="57" t="s">
        <v>162</v>
      </c>
      <c r="E89" s="75"/>
      <c r="F89" s="67" t="s">
        <v>29</v>
      </c>
      <c r="G89" s="68">
        <v>1</v>
      </c>
    </row>
    <row r="90" spans="2:7" ht="23.25" customHeight="1" x14ac:dyDescent="0.25">
      <c r="B90" s="78"/>
      <c r="C90" s="69"/>
      <c r="D90" s="70" t="s">
        <v>211</v>
      </c>
      <c r="E90" s="70"/>
      <c r="F90" s="71"/>
      <c r="G90" s="72"/>
    </row>
    <row r="91" spans="2:7" ht="21" customHeight="1" x14ac:dyDescent="0.25">
      <c r="B91" s="67">
        <v>3582</v>
      </c>
      <c r="C91" s="61">
        <v>1001061973582</v>
      </c>
      <c r="D91" s="57" t="s">
        <v>129</v>
      </c>
      <c r="E91" s="57"/>
      <c r="F91" s="67" t="s">
        <v>29</v>
      </c>
      <c r="G91" s="68">
        <v>1</v>
      </c>
    </row>
    <row r="92" spans="2:7" ht="21" customHeight="1" x14ac:dyDescent="0.25">
      <c r="B92" s="67">
        <v>3986</v>
      </c>
      <c r="C92" s="61">
        <v>1001061973986</v>
      </c>
      <c r="D92" s="57" t="s">
        <v>130</v>
      </c>
      <c r="E92" s="57"/>
      <c r="F92" s="67" t="s">
        <v>26</v>
      </c>
      <c r="G92" s="68">
        <v>0.25</v>
      </c>
    </row>
    <row r="93" spans="2:7" ht="21" customHeight="1" x14ac:dyDescent="0.25">
      <c r="B93" s="67">
        <v>5931</v>
      </c>
      <c r="C93" s="61">
        <v>1001060755931</v>
      </c>
      <c r="D93" s="57" t="s">
        <v>131</v>
      </c>
      <c r="E93" s="57"/>
      <c r="F93" s="67" t="s">
        <v>26</v>
      </c>
      <c r="G93" s="68">
        <v>0.22</v>
      </c>
    </row>
    <row r="94" spans="2:7" ht="21" customHeight="1" x14ac:dyDescent="0.25">
      <c r="B94" s="67">
        <v>5708</v>
      </c>
      <c r="C94" s="61">
        <v>1001063145708</v>
      </c>
      <c r="D94" s="57" t="s">
        <v>132</v>
      </c>
      <c r="E94" s="57"/>
      <c r="F94" s="67" t="s">
        <v>29</v>
      </c>
      <c r="G94" s="68">
        <v>1</v>
      </c>
    </row>
    <row r="95" spans="2:7" ht="21" customHeight="1" x14ac:dyDescent="0.25">
      <c r="B95" s="67">
        <v>3287</v>
      </c>
      <c r="C95" s="61">
        <v>1001060763287</v>
      </c>
      <c r="D95" s="57" t="s">
        <v>133</v>
      </c>
      <c r="E95" s="57"/>
      <c r="F95" s="67" t="s">
        <v>29</v>
      </c>
      <c r="G95" s="68">
        <v>1</v>
      </c>
    </row>
    <row r="96" spans="2:7" ht="21" customHeight="1" x14ac:dyDescent="0.25">
      <c r="B96" s="67">
        <v>4993</v>
      </c>
      <c r="C96" s="61">
        <v>1001060764993</v>
      </c>
      <c r="D96" s="57" t="s">
        <v>212</v>
      </c>
      <c r="E96" s="57"/>
      <c r="F96" s="67" t="s">
        <v>26</v>
      </c>
      <c r="G96" s="68">
        <v>0.25</v>
      </c>
    </row>
    <row r="97" spans="2:7" ht="21" customHeight="1" x14ac:dyDescent="0.25">
      <c r="B97" s="67">
        <v>5483</v>
      </c>
      <c r="C97" s="61">
        <v>1001062505483</v>
      </c>
      <c r="D97" s="57" t="s">
        <v>135</v>
      </c>
      <c r="E97" s="57"/>
      <c r="F97" s="67" t="s">
        <v>26</v>
      </c>
      <c r="G97" s="68">
        <v>0.25</v>
      </c>
    </row>
    <row r="98" spans="2:7" ht="21" customHeight="1" x14ac:dyDescent="0.25">
      <c r="B98" s="67">
        <v>4117</v>
      </c>
      <c r="C98" s="61">
        <v>1001062504117</v>
      </c>
      <c r="D98" s="57" t="s">
        <v>136</v>
      </c>
      <c r="E98" s="57"/>
      <c r="F98" s="67" t="s">
        <v>29</v>
      </c>
      <c r="G98" s="68">
        <v>1</v>
      </c>
    </row>
    <row r="99" spans="2:7" ht="21" customHeight="1" x14ac:dyDescent="0.25">
      <c r="B99" s="67">
        <v>614</v>
      </c>
      <c r="C99" s="61">
        <v>1001060720614</v>
      </c>
      <c r="D99" s="57" t="s">
        <v>137</v>
      </c>
      <c r="E99" s="57"/>
      <c r="F99" s="67" t="s">
        <v>29</v>
      </c>
      <c r="G99" s="68">
        <v>1</v>
      </c>
    </row>
    <row r="100" spans="2:7" ht="21" customHeight="1" x14ac:dyDescent="0.25">
      <c r="B100" s="67">
        <v>6967</v>
      </c>
      <c r="C100" s="61">
        <v>1001063656967</v>
      </c>
      <c r="D100" s="57" t="s">
        <v>138</v>
      </c>
      <c r="E100" s="57"/>
      <c r="F100" s="67" t="s">
        <v>26</v>
      </c>
      <c r="G100" s="68">
        <v>0.25</v>
      </c>
    </row>
    <row r="101" spans="2:7" ht="21" customHeight="1" x14ac:dyDescent="0.25">
      <c r="B101" s="67">
        <v>6937</v>
      </c>
      <c r="C101" s="61">
        <v>1001063106937</v>
      </c>
      <c r="D101" s="57" t="s">
        <v>139</v>
      </c>
      <c r="E101" s="57"/>
      <c r="F101" s="67" t="s">
        <v>26</v>
      </c>
      <c r="G101" s="68">
        <v>0.25</v>
      </c>
    </row>
    <row r="102" spans="2:7" ht="21" customHeight="1" x14ac:dyDescent="0.25">
      <c r="B102" s="67">
        <v>7143</v>
      </c>
      <c r="C102" s="61">
        <v>1001060717143</v>
      </c>
      <c r="D102" s="57" t="s">
        <v>140</v>
      </c>
      <c r="E102" s="57"/>
      <c r="F102" s="67" t="s">
        <v>26</v>
      </c>
      <c r="G102" s="68">
        <v>0.22</v>
      </c>
    </row>
    <row r="103" spans="2:7" ht="21" customHeight="1" x14ac:dyDescent="0.25">
      <c r="B103" s="67">
        <v>7147</v>
      </c>
      <c r="C103" s="61">
        <v>1001063237147</v>
      </c>
      <c r="D103" s="57" t="s">
        <v>141</v>
      </c>
      <c r="E103" s="57"/>
      <c r="F103" s="67" t="s">
        <v>26</v>
      </c>
      <c r="G103" s="68">
        <v>0.22</v>
      </c>
    </row>
    <row r="104" spans="2:7" ht="21" customHeight="1" x14ac:dyDescent="0.25">
      <c r="B104" s="67">
        <v>7456</v>
      </c>
      <c r="C104" s="61">
        <v>1001063097456</v>
      </c>
      <c r="D104" s="57" t="s">
        <v>142</v>
      </c>
      <c r="E104" s="57"/>
      <c r="F104" s="67" t="s">
        <v>26</v>
      </c>
      <c r="G104" s="68">
        <v>0.15</v>
      </c>
    </row>
    <row r="105" spans="2:7" ht="21" customHeight="1" x14ac:dyDescent="0.25">
      <c r="B105" s="67">
        <v>7364</v>
      </c>
      <c r="C105" s="61">
        <v>1001063217364</v>
      </c>
      <c r="D105" s="57" t="s">
        <v>143</v>
      </c>
      <c r="E105" s="75"/>
      <c r="F105" s="67" t="s">
        <v>26</v>
      </c>
      <c r="G105" s="68">
        <v>0.22</v>
      </c>
    </row>
    <row r="106" spans="2:7" ht="21" customHeight="1" x14ac:dyDescent="0.25">
      <c r="B106" s="67">
        <v>7383</v>
      </c>
      <c r="C106" s="61">
        <v>1001065467383</v>
      </c>
      <c r="D106" s="57" t="s">
        <v>144</v>
      </c>
      <c r="E106" s="75"/>
      <c r="F106" s="67" t="s">
        <v>26</v>
      </c>
      <c r="G106" s="68">
        <v>0.22</v>
      </c>
    </row>
    <row r="107" spans="2:7" ht="21" customHeight="1" x14ac:dyDescent="0.25">
      <c r="B107" s="67">
        <v>7317</v>
      </c>
      <c r="C107" s="61">
        <v>1001066567317</v>
      </c>
      <c r="D107" s="57" t="s">
        <v>145</v>
      </c>
      <c r="E107" s="57"/>
      <c r="F107" s="67" t="s">
        <v>26</v>
      </c>
      <c r="G107" s="68">
        <v>0.54</v>
      </c>
    </row>
    <row r="108" spans="2:7" ht="21" customHeight="1" x14ac:dyDescent="0.25">
      <c r="B108" s="67">
        <v>7318</v>
      </c>
      <c r="C108" s="61">
        <v>1001060727318</v>
      </c>
      <c r="D108" s="57" t="s">
        <v>146</v>
      </c>
      <c r="E108" s="57"/>
      <c r="F108" s="67" t="s">
        <v>26</v>
      </c>
      <c r="G108" s="68">
        <v>0.27</v>
      </c>
    </row>
    <row r="109" spans="2:7" ht="21" customHeight="1" x14ac:dyDescent="0.25">
      <c r="B109" s="67">
        <v>7316</v>
      </c>
      <c r="C109" s="61">
        <v>1001060727316</v>
      </c>
      <c r="D109" s="57" t="s">
        <v>147</v>
      </c>
      <c r="E109" s="57"/>
      <c r="F109" s="67" t="s">
        <v>26</v>
      </c>
      <c r="G109" s="68">
        <v>0.54</v>
      </c>
    </row>
    <row r="110" spans="2:7" ht="21" customHeight="1" x14ac:dyDescent="0.25">
      <c r="B110" s="67">
        <v>7417</v>
      </c>
      <c r="C110" s="61">
        <v>1001307147417</v>
      </c>
      <c r="D110" s="57" t="s">
        <v>148</v>
      </c>
      <c r="E110" s="75"/>
      <c r="F110" s="67" t="s">
        <v>26</v>
      </c>
      <c r="G110" s="68">
        <v>0.44</v>
      </c>
    </row>
    <row r="111" spans="2:7" ht="21" customHeight="1" x14ac:dyDescent="0.25">
      <c r="B111" s="67">
        <v>6832</v>
      </c>
      <c r="C111" s="61">
        <v>1001065616832</v>
      </c>
      <c r="D111" s="57" t="s">
        <v>149</v>
      </c>
      <c r="E111" s="57"/>
      <c r="F111" s="67" t="s">
        <v>29</v>
      </c>
      <c r="G111" s="68">
        <v>1</v>
      </c>
    </row>
    <row r="112" spans="2:7" ht="21" customHeight="1" x14ac:dyDescent="0.25">
      <c r="B112" s="67">
        <v>7299</v>
      </c>
      <c r="C112" s="61">
        <v>1001060677299</v>
      </c>
      <c r="D112" s="57" t="s">
        <v>150</v>
      </c>
      <c r="E112" s="57"/>
      <c r="F112" s="67" t="s">
        <v>29</v>
      </c>
      <c r="G112" s="68">
        <v>1</v>
      </c>
    </row>
    <row r="113" spans="2:7" ht="21" customHeight="1" x14ac:dyDescent="0.25">
      <c r="B113" s="67">
        <v>7386</v>
      </c>
      <c r="C113" s="61">
        <v>1001067017386</v>
      </c>
      <c r="D113" s="57" t="s">
        <v>151</v>
      </c>
      <c r="E113" s="80"/>
      <c r="F113" s="67" t="s">
        <v>26</v>
      </c>
      <c r="G113" s="68">
        <v>0.15</v>
      </c>
    </row>
    <row r="114" spans="2:7" ht="23.25" customHeight="1" x14ac:dyDescent="0.25">
      <c r="B114" s="78"/>
      <c r="C114" s="69"/>
      <c r="D114" s="70" t="s">
        <v>94</v>
      </c>
      <c r="E114" s="70"/>
      <c r="F114" s="71"/>
      <c r="G114" s="72"/>
    </row>
    <row r="115" spans="2:7" ht="21" customHeight="1" x14ac:dyDescent="0.25">
      <c r="B115" s="67">
        <v>6550</v>
      </c>
      <c r="C115" s="61">
        <v>1001032736550</v>
      </c>
      <c r="D115" s="57" t="s">
        <v>213</v>
      </c>
      <c r="E115" s="57"/>
      <c r="F115" s="67" t="s">
        <v>29</v>
      </c>
      <c r="G115" s="68">
        <v>1</v>
      </c>
    </row>
    <row r="116" spans="2:7" ht="21" customHeight="1" x14ac:dyDescent="0.25">
      <c r="B116" s="67">
        <v>6608</v>
      </c>
      <c r="C116" s="61">
        <v>1001033856608</v>
      </c>
      <c r="D116" s="57" t="s">
        <v>96</v>
      </c>
      <c r="E116" s="57"/>
      <c r="F116" s="67" t="s">
        <v>29</v>
      </c>
      <c r="G116" s="68">
        <v>1</v>
      </c>
    </row>
    <row r="117" spans="2:7" ht="21" customHeight="1" x14ac:dyDescent="0.25">
      <c r="B117" s="67">
        <v>7001</v>
      </c>
      <c r="C117" s="56">
        <v>1001035937001</v>
      </c>
      <c r="D117" s="57" t="s">
        <v>97</v>
      </c>
      <c r="E117" s="57"/>
      <c r="F117" s="67" t="s">
        <v>29</v>
      </c>
      <c r="G117" s="68">
        <v>1</v>
      </c>
    </row>
    <row r="118" spans="2:7" ht="21" customHeight="1" x14ac:dyDescent="0.25">
      <c r="B118" s="67">
        <v>6527</v>
      </c>
      <c r="C118" s="82">
        <v>1001031076527</v>
      </c>
      <c r="D118" s="81" t="s">
        <v>214</v>
      </c>
      <c r="E118" s="81"/>
      <c r="F118" s="67" t="s">
        <v>29</v>
      </c>
      <c r="G118" s="68">
        <v>1</v>
      </c>
    </row>
    <row r="119" spans="2:7" ht="21" customHeight="1" x14ac:dyDescent="0.25">
      <c r="B119" s="67">
        <v>6609</v>
      </c>
      <c r="C119" s="61">
        <v>1001033856609</v>
      </c>
      <c r="D119" s="57" t="s">
        <v>99</v>
      </c>
      <c r="E119" s="57"/>
      <c r="F119" s="67" t="s">
        <v>26</v>
      </c>
      <c r="G119" s="68">
        <v>0.4</v>
      </c>
    </row>
    <row r="120" spans="2:7" ht="21" customHeight="1" x14ac:dyDescent="0.25">
      <c r="B120" s="67">
        <v>7059</v>
      </c>
      <c r="C120" s="82">
        <v>1001035277059</v>
      </c>
      <c r="D120" s="57" t="s">
        <v>100</v>
      </c>
      <c r="E120" s="80"/>
      <c r="F120" s="67" t="s">
        <v>26</v>
      </c>
      <c r="G120" s="68">
        <v>0.3</v>
      </c>
    </row>
    <row r="121" spans="2:7" ht="21" customHeight="1" x14ac:dyDescent="0.25">
      <c r="B121" s="67">
        <v>6528</v>
      </c>
      <c r="C121" s="61">
        <v>1001031076528</v>
      </c>
      <c r="D121" s="57" t="s">
        <v>101</v>
      </c>
      <c r="E121" s="80"/>
      <c r="F121" s="67" t="s">
        <v>26</v>
      </c>
      <c r="G121" s="68">
        <v>0.4</v>
      </c>
    </row>
    <row r="122" spans="2:7" ht="23.25" customHeight="1" x14ac:dyDescent="0.25">
      <c r="B122" s="78"/>
      <c r="C122" s="69"/>
      <c r="D122" s="70" t="s">
        <v>58</v>
      </c>
      <c r="E122" s="70"/>
      <c r="F122" s="71"/>
      <c r="G122" s="72"/>
    </row>
    <row r="123" spans="2:7" ht="21" customHeight="1" x14ac:dyDescent="0.25">
      <c r="B123" s="67">
        <v>6602</v>
      </c>
      <c r="C123" s="61">
        <v>1001021966602</v>
      </c>
      <c r="D123" s="57" t="s">
        <v>59</v>
      </c>
      <c r="E123" s="57"/>
      <c r="F123" s="67" t="s">
        <v>26</v>
      </c>
      <c r="G123" s="68">
        <v>0.35</v>
      </c>
    </row>
    <row r="124" spans="2:7" ht="21" customHeight="1" x14ac:dyDescent="0.25">
      <c r="B124" s="67">
        <v>7284</v>
      </c>
      <c r="C124" s="61">
        <v>1001025767284</v>
      </c>
      <c r="D124" s="57" t="s">
        <v>215</v>
      </c>
      <c r="E124" s="57"/>
      <c r="F124" s="67" t="s">
        <v>26</v>
      </c>
      <c r="G124" s="68">
        <v>0.33</v>
      </c>
    </row>
    <row r="125" spans="2:7" ht="21" customHeight="1" x14ac:dyDescent="0.25">
      <c r="B125" s="67">
        <v>7601</v>
      </c>
      <c r="C125" s="61">
        <v>1001025767601</v>
      </c>
      <c r="D125" s="57" t="s">
        <v>61</v>
      </c>
      <c r="E125" s="80"/>
      <c r="F125" s="67" t="s">
        <v>26</v>
      </c>
      <c r="G125" s="68">
        <v>0.26</v>
      </c>
    </row>
    <row r="126" spans="2:7" ht="21" customHeight="1" x14ac:dyDescent="0.25">
      <c r="B126" s="67">
        <v>7461</v>
      </c>
      <c r="C126" s="61">
        <v>1001025767461</v>
      </c>
      <c r="D126" s="57" t="s">
        <v>216</v>
      </c>
      <c r="E126" s="75"/>
      <c r="F126" s="67" t="s">
        <v>26</v>
      </c>
      <c r="G126" s="68">
        <v>0.33</v>
      </c>
    </row>
    <row r="127" spans="2:7" ht="21" customHeight="1" x14ac:dyDescent="0.25">
      <c r="B127" s="67">
        <v>7371</v>
      </c>
      <c r="C127" s="61">
        <v>1001026947371</v>
      </c>
      <c r="D127" s="57" t="s">
        <v>64</v>
      </c>
      <c r="E127" s="75"/>
      <c r="F127" s="67" t="s">
        <v>26</v>
      </c>
      <c r="G127" s="68">
        <v>0.3</v>
      </c>
    </row>
    <row r="128" spans="2:7" ht="21" customHeight="1" x14ac:dyDescent="0.25">
      <c r="B128" s="67">
        <v>6759</v>
      </c>
      <c r="C128" s="61">
        <v>1001020836759</v>
      </c>
      <c r="D128" s="57" t="s">
        <v>65</v>
      </c>
      <c r="E128" s="57"/>
      <c r="F128" s="67" t="s">
        <v>26</v>
      </c>
      <c r="G128" s="68">
        <v>0.4</v>
      </c>
    </row>
    <row r="129" spans="2:7" ht="21" customHeight="1" x14ac:dyDescent="0.25">
      <c r="B129" s="67">
        <v>6761</v>
      </c>
      <c r="C129" s="61">
        <v>1001020836761</v>
      </c>
      <c r="D129" s="57" t="s">
        <v>66</v>
      </c>
      <c r="E129" s="57"/>
      <c r="F129" s="67" t="s">
        <v>29</v>
      </c>
      <c r="G129" s="68">
        <v>1</v>
      </c>
    </row>
    <row r="130" spans="2:7" ht="21" customHeight="1" x14ac:dyDescent="0.25">
      <c r="B130" s="67">
        <v>6829</v>
      </c>
      <c r="C130" s="61">
        <v>1001024976829</v>
      </c>
      <c r="D130" s="57" t="s">
        <v>217</v>
      </c>
      <c r="E130" s="57"/>
      <c r="F130" s="67" t="s">
        <v>29</v>
      </c>
      <c r="G130" s="68">
        <v>1</v>
      </c>
    </row>
    <row r="131" spans="2:7" ht="21" customHeight="1" x14ac:dyDescent="0.25">
      <c r="B131" s="67">
        <v>6616</v>
      </c>
      <c r="C131" s="61">
        <v>1001024976616</v>
      </c>
      <c r="D131" s="57" t="s">
        <v>68</v>
      </c>
      <c r="E131" s="57"/>
      <c r="F131" s="67" t="s">
        <v>26</v>
      </c>
      <c r="G131" s="68">
        <v>0.3</v>
      </c>
    </row>
    <row r="132" spans="2:7" ht="21" customHeight="1" x14ac:dyDescent="0.25">
      <c r="B132" s="67">
        <v>7075</v>
      </c>
      <c r="C132" s="61">
        <v>1001022657075</v>
      </c>
      <c r="D132" s="57" t="s">
        <v>69</v>
      </c>
      <c r="E132" s="57"/>
      <c r="F132" s="67" t="s">
        <v>29</v>
      </c>
      <c r="G132" s="68">
        <v>1</v>
      </c>
    </row>
    <row r="133" spans="2:7" ht="21" customHeight="1" x14ac:dyDescent="0.25">
      <c r="B133" s="67">
        <v>7074</v>
      </c>
      <c r="C133" s="61">
        <v>1001022657074</v>
      </c>
      <c r="D133" s="57" t="s">
        <v>70</v>
      </c>
      <c r="E133" s="57"/>
      <c r="F133" s="67" t="s">
        <v>26</v>
      </c>
      <c r="G133" s="68">
        <v>0.6</v>
      </c>
    </row>
    <row r="134" spans="2:7" ht="21" customHeight="1" x14ac:dyDescent="0.25">
      <c r="B134" s="67">
        <v>7073</v>
      </c>
      <c r="C134" s="61">
        <v>1001022657073</v>
      </c>
      <c r="D134" s="57" t="s">
        <v>71</v>
      </c>
      <c r="E134" s="57"/>
      <c r="F134" s="67" t="s">
        <v>26</v>
      </c>
      <c r="G134" s="68">
        <v>0.35</v>
      </c>
    </row>
    <row r="135" spans="2:7" ht="21" customHeight="1" x14ac:dyDescent="0.25">
      <c r="B135" s="67">
        <v>6724</v>
      </c>
      <c r="C135" s="61">
        <v>1001020836724</v>
      </c>
      <c r="D135" s="57" t="s">
        <v>72</v>
      </c>
      <c r="E135" s="57"/>
      <c r="F135" s="67" t="s">
        <v>26</v>
      </c>
      <c r="G135" s="68">
        <v>0.41</v>
      </c>
    </row>
    <row r="136" spans="2:7" ht="21" customHeight="1" x14ac:dyDescent="0.25">
      <c r="B136" s="67">
        <v>5819</v>
      </c>
      <c r="C136" s="61">
        <v>1001022725819</v>
      </c>
      <c r="D136" s="57" t="s">
        <v>73</v>
      </c>
      <c r="E136" s="57"/>
      <c r="F136" s="67" t="s">
        <v>26</v>
      </c>
      <c r="G136" s="68">
        <v>0.4</v>
      </c>
    </row>
    <row r="137" spans="2:7" ht="21" customHeight="1" x14ac:dyDescent="0.25">
      <c r="B137" s="67">
        <v>6303</v>
      </c>
      <c r="C137" s="61">
        <v>1001022726303</v>
      </c>
      <c r="D137" s="57" t="s">
        <v>218</v>
      </c>
      <c r="E137" s="57"/>
      <c r="F137" s="67" t="s">
        <v>29</v>
      </c>
      <c r="G137" s="68">
        <v>1</v>
      </c>
    </row>
    <row r="138" spans="2:7" ht="21" customHeight="1" x14ac:dyDescent="0.25">
      <c r="B138" s="67">
        <v>7255</v>
      </c>
      <c r="C138" s="61">
        <v>1001025507255</v>
      </c>
      <c r="D138" s="57" t="s">
        <v>75</v>
      </c>
      <c r="E138" s="57"/>
      <c r="F138" s="67" t="s">
        <v>26</v>
      </c>
      <c r="G138" s="68">
        <v>0.4</v>
      </c>
    </row>
    <row r="139" spans="2:7" ht="21" customHeight="1" x14ac:dyDescent="0.25">
      <c r="B139" s="67">
        <v>7271</v>
      </c>
      <c r="C139" s="61">
        <v>1001025507271</v>
      </c>
      <c r="D139" s="57" t="s">
        <v>76</v>
      </c>
      <c r="E139" s="57"/>
      <c r="F139" s="67" t="s">
        <v>29</v>
      </c>
      <c r="G139" s="68">
        <v>1</v>
      </c>
    </row>
    <row r="140" spans="2:7" ht="21" customHeight="1" x14ac:dyDescent="0.25">
      <c r="B140" s="67">
        <v>6765</v>
      </c>
      <c r="C140" s="61">
        <v>1001023696765</v>
      </c>
      <c r="D140" s="57" t="s">
        <v>77</v>
      </c>
      <c r="E140" s="57"/>
      <c r="F140" s="67" t="s">
        <v>26</v>
      </c>
      <c r="G140" s="68">
        <v>0.36</v>
      </c>
    </row>
    <row r="141" spans="2:7" ht="21" customHeight="1" x14ac:dyDescent="0.25">
      <c r="B141" s="67">
        <v>6767</v>
      </c>
      <c r="C141" s="61">
        <v>1001023696767</v>
      </c>
      <c r="D141" s="57" t="s">
        <v>78</v>
      </c>
      <c r="E141" s="57"/>
      <c r="F141" s="67" t="s">
        <v>29</v>
      </c>
      <c r="G141" s="68">
        <v>1</v>
      </c>
    </row>
    <row r="142" spans="2:7" ht="21" customHeight="1" x14ac:dyDescent="0.25">
      <c r="B142" s="67">
        <v>6475</v>
      </c>
      <c r="C142" s="61">
        <v>1001025176475</v>
      </c>
      <c r="D142" s="57" t="s">
        <v>79</v>
      </c>
      <c r="E142" s="57"/>
      <c r="F142" s="67" t="s">
        <v>26</v>
      </c>
      <c r="G142" s="68">
        <v>0.4</v>
      </c>
    </row>
    <row r="143" spans="2:7" ht="21" customHeight="1" x14ac:dyDescent="0.25">
      <c r="B143" s="67">
        <v>7083</v>
      </c>
      <c r="C143" s="61">
        <v>1001022467083</v>
      </c>
      <c r="D143" s="57" t="s">
        <v>80</v>
      </c>
      <c r="E143" s="57"/>
      <c r="F143" s="67" t="s">
        <v>29</v>
      </c>
      <c r="G143" s="68">
        <v>1</v>
      </c>
    </row>
    <row r="144" spans="2:7" ht="21" customHeight="1" x14ac:dyDescent="0.25">
      <c r="B144" s="67">
        <v>7080</v>
      </c>
      <c r="C144" s="61">
        <v>1001022467080</v>
      </c>
      <c r="D144" s="75" t="s">
        <v>81</v>
      </c>
      <c r="E144" s="75"/>
      <c r="F144" s="67" t="s">
        <v>26</v>
      </c>
      <c r="G144" s="68">
        <v>0.41</v>
      </c>
    </row>
    <row r="145" spans="2:7" ht="21" customHeight="1" x14ac:dyDescent="0.25">
      <c r="B145" s="67">
        <v>7276</v>
      </c>
      <c r="C145" s="61">
        <v>1001022467276</v>
      </c>
      <c r="D145" s="75" t="s">
        <v>82</v>
      </c>
      <c r="E145" s="75"/>
      <c r="F145" s="67" t="s">
        <v>26</v>
      </c>
      <c r="G145" s="68">
        <v>0.3</v>
      </c>
    </row>
    <row r="146" spans="2:7" ht="21" customHeight="1" x14ac:dyDescent="0.25">
      <c r="B146" s="67">
        <v>6762</v>
      </c>
      <c r="C146" s="61">
        <v>1001020846762</v>
      </c>
      <c r="D146" s="57" t="s">
        <v>83</v>
      </c>
      <c r="E146" s="57"/>
      <c r="F146" s="67" t="s">
        <v>26</v>
      </c>
      <c r="G146" s="68">
        <v>0.41</v>
      </c>
    </row>
    <row r="147" spans="2:7" ht="21" customHeight="1" x14ac:dyDescent="0.25">
      <c r="B147" s="67">
        <v>6764</v>
      </c>
      <c r="C147" s="61">
        <v>1001020846764</v>
      </c>
      <c r="D147" s="57" t="s">
        <v>84</v>
      </c>
      <c r="E147" s="57"/>
      <c r="F147" s="67" t="s">
        <v>29</v>
      </c>
      <c r="G147" s="68">
        <v>1</v>
      </c>
    </row>
    <row r="148" spans="2:7" ht="21" customHeight="1" x14ac:dyDescent="0.25">
      <c r="B148" s="67">
        <v>7066</v>
      </c>
      <c r="C148" s="61">
        <v>1001022377066</v>
      </c>
      <c r="D148" s="57" t="s">
        <v>85</v>
      </c>
      <c r="E148" s="57"/>
      <c r="F148" s="67" t="s">
        <v>26</v>
      </c>
      <c r="G148" s="68">
        <v>0.41</v>
      </c>
    </row>
    <row r="149" spans="2:7" ht="21" customHeight="1" x14ac:dyDescent="0.25">
      <c r="B149" s="67">
        <v>7070</v>
      </c>
      <c r="C149" s="61">
        <v>1001022377070</v>
      </c>
      <c r="D149" s="57" t="s">
        <v>86</v>
      </c>
      <c r="E149" s="57"/>
      <c r="F149" s="67" t="s">
        <v>29</v>
      </c>
      <c r="G149" s="68">
        <v>1</v>
      </c>
    </row>
    <row r="150" spans="2:7" ht="21" customHeight="1" x14ac:dyDescent="0.25">
      <c r="B150" s="67">
        <v>6713</v>
      </c>
      <c r="C150" s="61">
        <v>1001022246713</v>
      </c>
      <c r="D150" s="57" t="s">
        <v>87</v>
      </c>
      <c r="E150" s="57"/>
      <c r="F150" s="67" t="s">
        <v>26</v>
      </c>
      <c r="G150" s="68">
        <v>0.41</v>
      </c>
    </row>
    <row r="151" spans="2:7" ht="21" customHeight="1" x14ac:dyDescent="0.25">
      <c r="B151" s="67">
        <v>6661</v>
      </c>
      <c r="C151" s="61">
        <v>1001022246661</v>
      </c>
      <c r="D151" s="57" t="s">
        <v>219</v>
      </c>
      <c r="E151" s="57"/>
      <c r="F151" s="67" t="s">
        <v>29</v>
      </c>
      <c r="G151" s="68">
        <v>1</v>
      </c>
    </row>
    <row r="152" spans="2:7" ht="21" customHeight="1" x14ac:dyDescent="0.25">
      <c r="B152" s="73">
        <v>6254</v>
      </c>
      <c r="C152" s="76">
        <v>1001022556254</v>
      </c>
      <c r="D152" s="77" t="s">
        <v>89</v>
      </c>
      <c r="E152" s="57"/>
      <c r="F152" s="64" t="s">
        <v>29</v>
      </c>
      <c r="G152" s="65">
        <v>1</v>
      </c>
    </row>
    <row r="153" spans="2:7" ht="21" customHeight="1" x14ac:dyDescent="0.25">
      <c r="B153" s="67">
        <v>6837</v>
      </c>
      <c r="C153" s="61">
        <v>1001022556837</v>
      </c>
      <c r="D153" s="57" t="s">
        <v>90</v>
      </c>
      <c r="E153" s="57"/>
      <c r="F153" s="67" t="s">
        <v>26</v>
      </c>
      <c r="G153" s="68">
        <v>0.4</v>
      </c>
    </row>
    <row r="154" spans="2:7" ht="21" customHeight="1" x14ac:dyDescent="0.25">
      <c r="B154" s="67">
        <v>7385</v>
      </c>
      <c r="C154" s="61">
        <v>1001027067385</v>
      </c>
      <c r="D154" s="75" t="s">
        <v>91</v>
      </c>
      <c r="E154" s="57"/>
      <c r="F154" s="67" t="s">
        <v>26</v>
      </c>
      <c r="G154" s="68">
        <v>0.33</v>
      </c>
    </row>
    <row r="155" spans="2:7" ht="21" customHeight="1" x14ac:dyDescent="0.25">
      <c r="B155" s="83">
        <v>7044</v>
      </c>
      <c r="C155" s="84">
        <v>1001025167044</v>
      </c>
      <c r="D155" s="85" t="s">
        <v>92</v>
      </c>
      <c r="E155" s="80"/>
      <c r="F155" s="67" t="s">
        <v>26</v>
      </c>
      <c r="G155" s="86">
        <v>0.32</v>
      </c>
    </row>
    <row r="156" spans="2:7" ht="21" customHeight="1" x14ac:dyDescent="0.25">
      <c r="B156" s="83">
        <v>7460</v>
      </c>
      <c r="C156" s="84">
        <v>1001027247460</v>
      </c>
      <c r="D156" s="85" t="s">
        <v>93</v>
      </c>
      <c r="E156" s="80"/>
      <c r="F156" s="67" t="s">
        <v>26</v>
      </c>
      <c r="G156" s="86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2026-06-24T13:40:06Z</dcterms:modified>
</cp:coreProperties>
</file>