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Останкино\"/>
    </mc:Choice>
  </mc:AlternateContent>
  <xr:revisionPtr revIDLastSave="0" documentId="13_ncr:1_{99BA8C30-4EE7-49A9-8D13-B6AF30B6386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Бланк!$AC$3:$AC$449</definedName>
    <definedName name="номин.вес_нетто__кг">Бланк!$W$3:$W$449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" l="1"/>
  <c r="E25" i="1"/>
  <c r="G21" i="1" l="1"/>
  <c r="G20" i="1"/>
  <c r="G13" i="1"/>
  <c r="G14" i="1"/>
  <c r="G15" i="1"/>
  <c r="G16" i="1"/>
  <c r="G17" i="1"/>
  <c r="G18" i="1"/>
  <c r="G19" i="1"/>
  <c r="G12" i="1"/>
  <c r="G25" i="1" l="1"/>
</calcChain>
</file>

<file path=xl/sharedStrings.xml><?xml version="1.0" encoding="utf-8"?>
<sst xmlns="http://schemas.openxmlformats.org/spreadsheetml/2006/main" count="59" uniqueCount="45">
  <si>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</si>
  <si>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</si>
  <si>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</si>
  <si>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</si>
  <si>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</si>
  <si>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</si>
  <si>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</si>
  <si>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</si>
  <si>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</si>
  <si>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</si>
  <si>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</si>
  <si>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</si>
  <si>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</si>
  <si>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</si>
  <si>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</si>
  <si>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</si>
  <si>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</si>
  <si>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</si>
  <si>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</si>
  <si>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</si>
  <si>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</si>
  <si>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</si>
  <si>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</si>
  <si>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</si>
  <si>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</si>
  <si>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</si>
  <si>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</si>
  <si>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</si>
  <si>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</si>
  <si>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</si>
  <si>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</si>
  <si>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</si>
  <si>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</si>
  <si>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</si>
  <si>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</si>
  <si>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</si>
  <si>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</si>
  <si>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</si>
  <si>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</si>
  <si>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</si>
  <si>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</si>
  <si>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</si>
  <si>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</si>
  <si>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Пельмени/Вареники</t>
  </si>
  <si>
    <t>СОЧНЫЕ СО СЛ.МАСЛ.ПМ пельм пл.0.7кг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</si>
</sst>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1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6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4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0" fillId="5" borderId="7" xfId="0" applyNumberFormat="1" applyFill="1" applyBorder="1" applyAlignment="1">
      <alignment horizontal="right"/>
    </xf>
    <xf numFmtId="0" fontId="8" fillId="0" borderId="0" xfId="0" applyFont="1" applyFill="1" applyAlignment="1">
      <alignment vertical="center"/>
    </xf>
    <xf numFmtId="1" fontId="8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7" xfId="0" applyNumberFormat="1" applyFill="1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0" fontId="20" fillId="0" borderId="7" xfId="0" applyFont="1" applyFill="1" applyBorder="1" applyAlignment="1">
      <alignment horizontal="center" vertical="center"/>
    </xf>
    <xf numFmtId="1" fontId="20" fillId="0" borderId="7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left" vertical="center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8" fillId="0" borderId="7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1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Border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9"/>
  <sheetViews>
    <sheetView tabSelected="1" zoomScale="70" zoomScaleNormal="70" workbookViewId="0">
      <pane ySplit="9" topLeftCell="A10" activePane="bottomLeft" state="frozen"/>
      <selection pane="bottomLeft" activeCell="M8" sqref="M8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39"/>
      <c r="E1" s="69" t="s">
        <v>34</v>
      </c>
      <c r="F1" s="70"/>
      <c r="G1" s="70"/>
      <c r="H1" s="70"/>
      <c r="I1" s="70"/>
      <c r="J1" s="71"/>
      <c r="K1" s="26">
        <v>130133079</v>
      </c>
      <c r="L1" t="s">
        <v>35</v>
      </c>
      <c r="M1" t="s">
        <v>36</v>
      </c>
      <c r="N1" t="s">
        <v>37</v>
      </c>
    </row>
    <row r="2" spans="1:14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4" ht="19.5" customHeight="1" thickTop="1" thickBot="1" x14ac:dyDescent="0.3">
      <c r="B3" s="31"/>
      <c r="C3" s="7" t="s">
        <v>1</v>
      </c>
      <c r="D3" s="50"/>
      <c r="E3" s="7" t="s">
        <v>2</v>
      </c>
      <c r="F3" s="68">
        <v>130133080</v>
      </c>
      <c r="G3" s="72" t="s">
        <v>42</v>
      </c>
      <c r="H3" s="70"/>
      <c r="I3" s="70"/>
      <c r="J3" s="71"/>
      <c r="K3" s="26">
        <v>130133081</v>
      </c>
      <c r="L3" t="s">
        <v>35</v>
      </c>
      <c r="M3" t="s">
        <v>39</v>
      </c>
      <c r="N3" t="s">
        <v>40</v>
      </c>
    </row>
    <row r="4" spans="1:14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4" x14ac:dyDescent="0.25">
      <c r="C5" s="7" t="s">
        <v>3</v>
      </c>
      <c r="D5" s="36"/>
      <c r="E5" s="8"/>
      <c r="F5" s="8"/>
      <c r="G5" s="8"/>
      <c r="H5" s="21"/>
      <c r="I5" s="21"/>
    </row>
    <row r="6" spans="1:14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5" t="s">
        <v>8</v>
      </c>
      <c r="B9" s="43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4" ht="16.5" customHeight="1" thickTop="1" thickBot="1" x14ac:dyDescent="0.3">
      <c r="A10" s="46"/>
      <c r="B10" s="41" t="s">
        <v>18</v>
      </c>
      <c r="C10" s="41"/>
      <c r="D10" s="41"/>
      <c r="E10" s="41"/>
      <c r="F10" s="40"/>
      <c r="G10" s="41"/>
      <c r="H10" s="41"/>
      <c r="I10" s="41"/>
      <c r="J10" s="42"/>
    </row>
    <row r="11" spans="1:14" ht="16.5" customHeight="1" thickTop="1" thickBot="1" x14ac:dyDescent="0.3">
      <c r="A11" s="46" t="s">
        <v>22</v>
      </c>
      <c r="B11" s="41" t="s">
        <v>23</v>
      </c>
      <c r="C11" s="41"/>
      <c r="D11" s="41"/>
      <c r="E11" s="41"/>
      <c r="F11" s="40"/>
      <c r="G11" s="41"/>
      <c r="H11" s="41"/>
      <c r="I11" s="41"/>
      <c r="J11" s="42"/>
    </row>
    <row r="12" spans="1:14" ht="16.5" customHeight="1" thickTop="1" x14ac:dyDescent="0.25">
      <c r="A12" s="57">
        <v>5897</v>
      </c>
      <c r="B12" s="49" t="s">
        <v>24</v>
      </c>
      <c r="C12" s="47" t="s">
        <v>19</v>
      </c>
      <c r="D12" s="48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4" ht="16.5" customHeight="1" x14ac:dyDescent="0.25">
      <c r="A13" s="57">
        <v>6149</v>
      </c>
      <c r="B13" s="52" t="s">
        <v>25</v>
      </c>
      <c r="C13" s="47" t="s">
        <v>19</v>
      </c>
      <c r="D13" s="48">
        <v>1002131166149</v>
      </c>
      <c r="E13" s="23">
        <v>50</v>
      </c>
      <c r="F13" s="22">
        <v>0.3</v>
      </c>
      <c r="G13" s="22">
        <f t="shared" ref="G13:G19" si="0">E13*F13</f>
        <v>15</v>
      </c>
      <c r="H13" s="14">
        <v>3.6</v>
      </c>
      <c r="I13" s="14">
        <v>120</v>
      </c>
      <c r="J13" s="28"/>
    </row>
    <row r="14" spans="1:14" ht="16.5" customHeight="1" x14ac:dyDescent="0.25">
      <c r="A14" s="57">
        <v>6819</v>
      </c>
      <c r="B14" s="52" t="s">
        <v>26</v>
      </c>
      <c r="C14" s="47" t="s">
        <v>19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4" ht="16.5" customHeight="1" x14ac:dyDescent="0.25">
      <c r="A15" s="57">
        <v>6202</v>
      </c>
      <c r="B15" s="52" t="s">
        <v>27</v>
      </c>
      <c r="C15" s="47" t="s">
        <v>19</v>
      </c>
      <c r="D15" s="48">
        <v>1002131186202</v>
      </c>
      <c r="E15" s="23">
        <v>30</v>
      </c>
      <c r="F15" s="22">
        <v>0.3</v>
      </c>
      <c r="G15" s="22">
        <f t="shared" si="0"/>
        <v>9</v>
      </c>
      <c r="H15" s="14">
        <v>3.6</v>
      </c>
      <c r="I15" s="14">
        <v>120</v>
      </c>
      <c r="J15" s="28"/>
    </row>
    <row r="16" spans="1:14" ht="16.5" customHeight="1" x14ac:dyDescent="0.25">
      <c r="A16" s="57">
        <v>6148</v>
      </c>
      <c r="B16" s="52" t="s">
        <v>28</v>
      </c>
      <c r="C16" s="47" t="s">
        <v>19</v>
      </c>
      <c r="D16" s="48">
        <v>1002133376148</v>
      </c>
      <c r="E16" s="23">
        <v>30</v>
      </c>
      <c r="F16" s="22">
        <v>0.3</v>
      </c>
      <c r="G16" s="22">
        <f t="shared" si="0"/>
        <v>9</v>
      </c>
      <c r="H16" s="14">
        <v>3.6</v>
      </c>
      <c r="I16" s="14">
        <v>120</v>
      </c>
      <c r="J16" s="28"/>
    </row>
    <row r="17" spans="1:10" ht="16.5" customHeight="1" x14ac:dyDescent="0.25">
      <c r="A17" s="57">
        <v>6209</v>
      </c>
      <c r="B17" s="52" t="s">
        <v>29</v>
      </c>
      <c r="C17" s="47" t="s">
        <v>19</v>
      </c>
      <c r="D17" s="48">
        <v>1002131146209</v>
      </c>
      <c r="E17" s="23">
        <v>150</v>
      </c>
      <c r="F17" s="22">
        <v>0.35</v>
      </c>
      <c r="G17" s="22">
        <f t="shared" si="0"/>
        <v>52.5</v>
      </c>
      <c r="H17" s="14">
        <v>4.2</v>
      </c>
      <c r="I17" s="14">
        <v>120</v>
      </c>
      <c r="J17" s="28"/>
    </row>
    <row r="18" spans="1:10" ht="16.5" customHeight="1" x14ac:dyDescent="0.25">
      <c r="A18" s="57">
        <v>6168</v>
      </c>
      <c r="B18" s="52" t="s">
        <v>30</v>
      </c>
      <c r="C18" s="47" t="s">
        <v>19</v>
      </c>
      <c r="D18" s="53">
        <v>1002131156168</v>
      </c>
      <c r="E18" s="23">
        <v>30</v>
      </c>
      <c r="F18" s="22">
        <v>0.35</v>
      </c>
      <c r="G18" s="22">
        <f t="shared" si="0"/>
        <v>10.5</v>
      </c>
      <c r="H18" s="14">
        <v>4.2</v>
      </c>
      <c r="I18" s="14">
        <v>120</v>
      </c>
      <c r="J18" s="56"/>
    </row>
    <row r="19" spans="1:10" ht="16.5" customHeight="1" x14ac:dyDescent="0.25">
      <c r="A19" s="57">
        <v>5579</v>
      </c>
      <c r="B19" s="52" t="s">
        <v>31</v>
      </c>
      <c r="C19" s="47" t="s">
        <v>19</v>
      </c>
      <c r="D19" s="53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56"/>
    </row>
    <row r="20" spans="1:10" ht="16.5" customHeight="1" x14ac:dyDescent="0.25">
      <c r="A20" s="51">
        <v>5754</v>
      </c>
      <c r="B20" s="54" t="s">
        <v>32</v>
      </c>
      <c r="C20" s="47" t="s">
        <v>20</v>
      </c>
      <c r="D20" s="53">
        <v>1002131155754</v>
      </c>
      <c r="E20" s="23">
        <v>18</v>
      </c>
      <c r="F20" s="22">
        <v>4.5</v>
      </c>
      <c r="G20" s="55">
        <f>E20</f>
        <v>18</v>
      </c>
      <c r="H20" s="14">
        <v>4.5</v>
      </c>
      <c r="I20" s="14">
        <v>120</v>
      </c>
      <c r="J20" s="56"/>
    </row>
    <row r="21" spans="1:10" ht="15.75" customHeight="1" x14ac:dyDescent="0.25">
      <c r="A21" s="51">
        <v>5755</v>
      </c>
      <c r="B21" s="49" t="s">
        <v>33</v>
      </c>
      <c r="C21" s="47" t="s">
        <v>20</v>
      </c>
      <c r="D21" s="48">
        <v>1002131185755</v>
      </c>
      <c r="E21" s="23">
        <v>4.5</v>
      </c>
      <c r="F21" s="22">
        <v>4.5</v>
      </c>
      <c r="G21" s="55">
        <f>E21</f>
        <v>4.5</v>
      </c>
      <c r="H21" s="14">
        <v>4.5</v>
      </c>
      <c r="I21" s="14">
        <v>120</v>
      </c>
      <c r="J21" s="28"/>
    </row>
    <row r="22" spans="1:10" ht="15.75" customHeight="1" thickBot="1" x14ac:dyDescent="0.3">
      <c r="A22" s="66"/>
      <c r="B22" s="73" t="s">
        <v>43</v>
      </c>
      <c r="C22" s="73"/>
      <c r="D22" s="73"/>
      <c r="E22" s="73"/>
      <c r="F22" s="73"/>
      <c r="G22" s="73"/>
      <c r="H22" s="73"/>
      <c r="I22" s="73"/>
      <c r="J22" s="73"/>
    </row>
    <row r="23" spans="1:10" ht="16.5" customHeight="1" thickTop="1" thickBot="1" x14ac:dyDescent="0.3">
      <c r="A23" s="65">
        <v>7216</v>
      </c>
      <c r="B23" s="67" t="s">
        <v>44</v>
      </c>
      <c r="C23" s="47" t="s">
        <v>19</v>
      </c>
      <c r="D23" s="64">
        <v>1002116437216</v>
      </c>
      <c r="E23" s="62">
        <v>230</v>
      </c>
      <c r="F23" s="22">
        <v>0.7</v>
      </c>
      <c r="G23" s="55">
        <f t="shared" ref="G23" si="1">E23</f>
        <v>230</v>
      </c>
      <c r="H23" s="14"/>
      <c r="I23" s="63"/>
      <c r="J23" s="63"/>
    </row>
    <row r="24" spans="1:10" ht="15.75" customHeight="1" thickTop="1" thickBot="1" x14ac:dyDescent="0.3">
      <c r="A24" s="59"/>
      <c r="B24" s="60"/>
      <c r="C24" s="61"/>
      <c r="D24" s="38"/>
      <c r="E24" s="62"/>
      <c r="F24" s="22"/>
      <c r="G24" s="55"/>
      <c r="H24" s="19"/>
      <c r="I24" s="19"/>
      <c r="J24" s="20"/>
    </row>
    <row r="25" spans="1:10" ht="16.5" thickTop="1" thickBot="1" x14ac:dyDescent="0.3">
      <c r="A25" s="58"/>
      <c r="B25" s="44" t="s">
        <v>21</v>
      </c>
      <c r="C25" s="15"/>
      <c r="D25" s="34"/>
      <c r="E25" s="16">
        <f>SUM(E12:E23)</f>
        <v>542.5</v>
      </c>
      <c r="F25" s="16"/>
      <c r="G25" s="16">
        <f>SUM(G13:G23)</f>
        <v>348.5</v>
      </c>
      <c r="H25" s="16"/>
      <c r="I25" s="16"/>
      <c r="J25" s="16"/>
    </row>
    <row r="26" spans="1:10" ht="15.75" thickTop="1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</row>
    <row r="1539" spans="2:10" x14ac:dyDescent="0.25">
      <c r="B1539" s="35"/>
      <c r="C1539" s="17"/>
    </row>
  </sheetData>
  <autoFilter ref="A9:J23" xr:uid="{00000000-0009-0000-0000-000000000000}"/>
  <mergeCells count="3">
    <mergeCell ref="E1:J1"/>
    <mergeCell ref="G3:J3"/>
    <mergeCell ref="B22:J22"/>
  </mergeCells>
  <conditionalFormatting sqref="A24">
    <cfRule type="duplicateValues" dxfId="7" priority="13"/>
  </conditionalFormatting>
  <conditionalFormatting sqref="A24">
    <cfRule type="duplicateValues" dxfId="6" priority="10"/>
    <cfRule type="duplicateValues" dxfId="5" priority="11"/>
  </conditionalFormatting>
  <conditionalFormatting sqref="A24">
    <cfRule type="duplicateValues" dxfId="4" priority="12"/>
  </conditionalFormatting>
  <conditionalFormatting sqref="A23">
    <cfRule type="duplicateValues" dxfId="3" priority="1"/>
    <cfRule type="duplicateValues" dxfId="2" priority="2"/>
  </conditionalFormatting>
  <conditionalFormatting sqref="A23">
    <cfRule type="duplicateValues" dxfId="1" priority="4"/>
  </conditionalFormatting>
  <conditionalFormatting sqref="A23">
    <cfRule type="duplicateValues" dxfId="0" priority="3"/>
  </conditionalFormatting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2026-06-24T09:24:35Z</dcterms:modified>
</cp:coreProperties>
</file>