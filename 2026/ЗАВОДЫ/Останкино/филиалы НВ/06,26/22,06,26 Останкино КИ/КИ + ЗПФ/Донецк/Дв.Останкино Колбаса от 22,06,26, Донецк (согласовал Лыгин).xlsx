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ather\Work\2025_05\2026\ЗАВОДЫ\Останкино\филиалы НВ\06,26\24,06,26 Останкино КИ\КИ + ЗПФ\Донецк\"/>
    </mc:Choice>
  </mc:AlternateContent>
  <xr:revisionPtr revIDLastSave="0" documentId="13_ncr:1_{9D563FAC-677E-498E-BCB1-CD6EF0F57D7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DSheet" sheetId="1" r:id="rId1"/>
  </sheets>
  <externalReferences>
    <externalReference r:id="rId2"/>
    <externalReference r:id="rId3"/>
    <externalReference r:id="rId4"/>
  </externalReferences>
  <calcPr calcId="191029" refMode="R1C1"/>
</workbook>
</file>

<file path=xl/calcChain.xml><?xml version="1.0" encoding="utf-8"?>
<calcChain xmlns="http://schemas.openxmlformats.org/spreadsheetml/2006/main">
  <c r="U14" i="1" l="1"/>
  <c r="U24" i="1"/>
  <c r="U25" i="1"/>
  <c r="U26" i="1"/>
  <c r="U27" i="1"/>
  <c r="U28" i="1"/>
  <c r="U29" i="1"/>
  <c r="U30" i="1"/>
  <c r="U31" i="1"/>
  <c r="U34" i="1"/>
  <c r="U44" i="1"/>
  <c r="U45" i="1"/>
  <c r="U46" i="1"/>
  <c r="U47" i="1"/>
  <c r="U48" i="1"/>
  <c r="U49" i="1"/>
  <c r="U50" i="1"/>
  <c r="U51" i="1"/>
  <c r="U54" i="1"/>
  <c r="U64" i="1"/>
  <c r="U65" i="1"/>
  <c r="U66" i="1"/>
  <c r="U67" i="1"/>
  <c r="U68" i="1"/>
  <c r="U69" i="1"/>
  <c r="U70" i="1"/>
  <c r="U71" i="1"/>
  <c r="U74" i="1"/>
  <c r="U84" i="1"/>
  <c r="U85" i="1"/>
  <c r="U86" i="1"/>
  <c r="U87" i="1"/>
  <c r="U88" i="1"/>
  <c r="U89" i="1"/>
  <c r="U90" i="1"/>
  <c r="U91" i="1"/>
  <c r="U94" i="1"/>
  <c r="T12" i="1"/>
  <c r="U12" i="1" s="1"/>
  <c r="T13" i="1"/>
  <c r="U13" i="1" s="1"/>
  <c r="T15" i="1"/>
  <c r="U15" i="1" s="1"/>
  <c r="T16" i="1"/>
  <c r="U16" i="1" s="1"/>
  <c r="T17" i="1"/>
  <c r="U17" i="1" s="1"/>
  <c r="T18" i="1"/>
  <c r="U18" i="1" s="1"/>
  <c r="T19" i="1"/>
  <c r="U19" i="1" s="1"/>
  <c r="T20" i="1"/>
  <c r="U20" i="1" s="1"/>
  <c r="T21" i="1"/>
  <c r="U21" i="1" s="1"/>
  <c r="T22" i="1"/>
  <c r="T23" i="1"/>
  <c r="T24" i="1"/>
  <c r="T25" i="1"/>
  <c r="T26" i="1"/>
  <c r="T27" i="1"/>
  <c r="T28" i="1"/>
  <c r="T29" i="1"/>
  <c r="T30" i="1"/>
  <c r="T31" i="1"/>
  <c r="T32" i="1"/>
  <c r="U32" i="1" s="1"/>
  <c r="T33" i="1"/>
  <c r="U33" i="1" s="1"/>
  <c r="T34" i="1"/>
  <c r="T35" i="1"/>
  <c r="U35" i="1" s="1"/>
  <c r="T36" i="1"/>
  <c r="U36" i="1" s="1"/>
  <c r="T37" i="1"/>
  <c r="U37" i="1" s="1"/>
  <c r="T38" i="1"/>
  <c r="U38" i="1" s="1"/>
  <c r="T39" i="1"/>
  <c r="U39" i="1" s="1"/>
  <c r="T40" i="1"/>
  <c r="U40" i="1" s="1"/>
  <c r="T41" i="1"/>
  <c r="U41" i="1" s="1"/>
  <c r="T42" i="1"/>
  <c r="T43" i="1"/>
  <c r="T44" i="1"/>
  <c r="T45" i="1"/>
  <c r="T46" i="1"/>
  <c r="T47" i="1"/>
  <c r="T48" i="1"/>
  <c r="T49" i="1"/>
  <c r="T50" i="1"/>
  <c r="T51" i="1"/>
  <c r="T52" i="1"/>
  <c r="U52" i="1" s="1"/>
  <c r="T53" i="1"/>
  <c r="U53" i="1" s="1"/>
  <c r="T54" i="1"/>
  <c r="T55" i="1"/>
  <c r="U55" i="1" s="1"/>
  <c r="T56" i="1"/>
  <c r="U56" i="1" s="1"/>
  <c r="T57" i="1"/>
  <c r="U57" i="1" s="1"/>
  <c r="T58" i="1"/>
  <c r="U58" i="1" s="1"/>
  <c r="T59" i="1"/>
  <c r="U59" i="1" s="1"/>
  <c r="T60" i="1"/>
  <c r="U60" i="1" s="1"/>
  <c r="T61" i="1"/>
  <c r="U61" i="1" s="1"/>
  <c r="T62" i="1"/>
  <c r="T63" i="1"/>
  <c r="T64" i="1"/>
  <c r="T65" i="1"/>
  <c r="T66" i="1"/>
  <c r="T67" i="1"/>
  <c r="T68" i="1"/>
  <c r="T69" i="1"/>
  <c r="T70" i="1"/>
  <c r="T71" i="1"/>
  <c r="T72" i="1"/>
  <c r="U72" i="1" s="1"/>
  <c r="T73" i="1"/>
  <c r="U73" i="1" s="1"/>
  <c r="T74" i="1"/>
  <c r="T75" i="1"/>
  <c r="U75" i="1" s="1"/>
  <c r="T76" i="1"/>
  <c r="U76" i="1" s="1"/>
  <c r="T77" i="1"/>
  <c r="U77" i="1" s="1"/>
  <c r="T78" i="1"/>
  <c r="U78" i="1" s="1"/>
  <c r="T79" i="1"/>
  <c r="U79" i="1" s="1"/>
  <c r="T80" i="1"/>
  <c r="U80" i="1" s="1"/>
  <c r="T81" i="1"/>
  <c r="U81" i="1" s="1"/>
  <c r="T82" i="1"/>
  <c r="T83" i="1"/>
  <c r="T84" i="1"/>
  <c r="T85" i="1"/>
  <c r="T86" i="1"/>
  <c r="T87" i="1"/>
  <c r="T88" i="1"/>
  <c r="T89" i="1"/>
  <c r="T90" i="1"/>
  <c r="T91" i="1"/>
  <c r="T92" i="1"/>
  <c r="U92" i="1" s="1"/>
  <c r="T93" i="1"/>
  <c r="U93" i="1" s="1"/>
  <c r="T94" i="1"/>
  <c r="T95" i="1"/>
  <c r="U95" i="1" s="1"/>
  <c r="T96" i="1"/>
  <c r="U96" i="1" s="1"/>
  <c r="T97" i="1"/>
  <c r="U97" i="1" s="1"/>
  <c r="T98" i="1"/>
  <c r="U98" i="1" s="1"/>
  <c r="T99" i="1"/>
  <c r="U99" i="1" s="1"/>
  <c r="T100" i="1"/>
  <c r="U100" i="1" s="1"/>
  <c r="T11" i="1"/>
  <c r="U83" i="1" l="1"/>
  <c r="U63" i="1"/>
  <c r="U43" i="1"/>
  <c r="U22" i="1"/>
  <c r="U62" i="1"/>
  <c r="U82" i="1"/>
  <c r="U42" i="1"/>
  <c r="T10" i="1"/>
  <c r="U11" i="1"/>
  <c r="U23" i="1"/>
  <c r="U10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100" i="1"/>
  <c r="W11" i="1"/>
  <c r="V33" i="1"/>
  <c r="V36" i="1"/>
  <c r="V47" i="1"/>
  <c r="V69" i="1"/>
  <c r="V71" i="1"/>
  <c r="V75" i="1"/>
  <c r="V92" i="1"/>
  <c r="V99" i="1"/>
  <c r="Y22" i="1" l="1"/>
  <c r="Y26" i="1"/>
  <c r="Y30" i="1"/>
  <c r="Y34" i="1"/>
  <c r="Y42" i="1"/>
  <c r="Y46" i="1"/>
  <c r="Y50" i="1"/>
  <c r="Y54" i="1"/>
  <c r="R12" i="1"/>
  <c r="R13" i="1"/>
  <c r="Y13" i="1" s="1"/>
  <c r="R14" i="1"/>
  <c r="Y14" i="1" s="1"/>
  <c r="R15" i="1"/>
  <c r="Y15" i="1" s="1"/>
  <c r="R16" i="1"/>
  <c r="Y16" i="1" s="1"/>
  <c r="R17" i="1"/>
  <c r="R18" i="1"/>
  <c r="Y18" i="1" s="1"/>
  <c r="R19" i="1"/>
  <c r="Y19" i="1" s="1"/>
  <c r="R20" i="1"/>
  <c r="Y20" i="1" s="1"/>
  <c r="R21" i="1"/>
  <c r="Y21" i="1" s="1"/>
  <c r="R22" i="1"/>
  <c r="R23" i="1"/>
  <c r="Y23" i="1" s="1"/>
  <c r="R24" i="1"/>
  <c r="Y24" i="1" s="1"/>
  <c r="R25" i="1"/>
  <c r="Y25" i="1" s="1"/>
  <c r="R26" i="1"/>
  <c r="R27" i="1"/>
  <c r="Y27" i="1" s="1"/>
  <c r="R28" i="1"/>
  <c r="Y28" i="1" s="1"/>
  <c r="R29" i="1"/>
  <c r="Y29" i="1" s="1"/>
  <c r="R30" i="1"/>
  <c r="R31" i="1"/>
  <c r="Y31" i="1" s="1"/>
  <c r="R32" i="1"/>
  <c r="R33" i="1"/>
  <c r="Y33" i="1" s="1"/>
  <c r="R34" i="1"/>
  <c r="R35" i="1"/>
  <c r="Y35" i="1" s="1"/>
  <c r="R36" i="1"/>
  <c r="R37" i="1"/>
  <c r="Y37" i="1" s="1"/>
  <c r="R38" i="1"/>
  <c r="Y38" i="1" s="1"/>
  <c r="R39" i="1"/>
  <c r="Y39" i="1" s="1"/>
  <c r="R40" i="1"/>
  <c r="Y40" i="1" s="1"/>
  <c r="R41" i="1"/>
  <c r="Y41" i="1" s="1"/>
  <c r="R42" i="1"/>
  <c r="R43" i="1"/>
  <c r="Y43" i="1" s="1"/>
  <c r="R44" i="1"/>
  <c r="Y44" i="1" s="1"/>
  <c r="R45" i="1"/>
  <c r="Y45" i="1" s="1"/>
  <c r="R46" i="1"/>
  <c r="R47" i="1"/>
  <c r="Y47" i="1" s="1"/>
  <c r="R48" i="1"/>
  <c r="Y48" i="1" s="1"/>
  <c r="R49" i="1"/>
  <c r="Y49" i="1" s="1"/>
  <c r="R50" i="1"/>
  <c r="R51" i="1"/>
  <c r="Y51" i="1" s="1"/>
  <c r="R52" i="1"/>
  <c r="Y52" i="1" s="1"/>
  <c r="R53" i="1"/>
  <c r="Y53" i="1" s="1"/>
  <c r="R54" i="1"/>
  <c r="R55" i="1"/>
  <c r="R56" i="1"/>
  <c r="Y56" i="1" s="1"/>
  <c r="R57" i="1"/>
  <c r="R58" i="1"/>
  <c r="Y58" i="1" s="1"/>
  <c r="R59" i="1"/>
  <c r="Y59" i="1" s="1"/>
  <c r="R60" i="1"/>
  <c r="R61" i="1"/>
  <c r="Y61" i="1" s="1"/>
  <c r="R62" i="1"/>
  <c r="Y62" i="1" s="1"/>
  <c r="R63" i="1"/>
  <c r="Y63" i="1" s="1"/>
  <c r="R64" i="1"/>
  <c r="Y64" i="1" s="1"/>
  <c r="R65" i="1"/>
  <c r="R66" i="1"/>
  <c r="Y66" i="1" s="1"/>
  <c r="R67" i="1"/>
  <c r="Y67" i="1" s="1"/>
  <c r="R68" i="1"/>
  <c r="Y68" i="1" s="1"/>
  <c r="R69" i="1"/>
  <c r="Y69" i="1" s="1"/>
  <c r="R70" i="1"/>
  <c r="R71" i="1"/>
  <c r="Y71" i="1" s="1"/>
  <c r="R72" i="1"/>
  <c r="Y72" i="1" s="1"/>
  <c r="R73" i="1"/>
  <c r="Y73" i="1" s="1"/>
  <c r="R74" i="1"/>
  <c r="Y74" i="1" s="1"/>
  <c r="R75" i="1"/>
  <c r="Y75" i="1" s="1"/>
  <c r="R76" i="1"/>
  <c r="Y76" i="1" s="1"/>
  <c r="R77" i="1"/>
  <c r="R78" i="1"/>
  <c r="Y78" i="1" s="1"/>
  <c r="R79" i="1"/>
  <c r="R80" i="1"/>
  <c r="Y80" i="1" s="1"/>
  <c r="R81" i="1"/>
  <c r="Y81" i="1" s="1"/>
  <c r="R82" i="1"/>
  <c r="Y82" i="1" s="1"/>
  <c r="R83" i="1"/>
  <c r="R84" i="1"/>
  <c r="Y84" i="1" s="1"/>
  <c r="R85" i="1"/>
  <c r="Y85" i="1" s="1"/>
  <c r="R86" i="1"/>
  <c r="Y86" i="1" s="1"/>
  <c r="R87" i="1"/>
  <c r="Y87" i="1" s="1"/>
  <c r="R88" i="1"/>
  <c r="Y88" i="1" s="1"/>
  <c r="R89" i="1"/>
  <c r="Y89" i="1" s="1"/>
  <c r="R90" i="1"/>
  <c r="Y90" i="1" s="1"/>
  <c r="R91" i="1"/>
  <c r="R92" i="1"/>
  <c r="Y92" i="1" s="1"/>
  <c r="R93" i="1"/>
  <c r="Y93" i="1" s="1"/>
  <c r="R94" i="1"/>
  <c r="Y94" i="1" s="1"/>
  <c r="R95" i="1"/>
  <c r="Y95" i="1" s="1"/>
  <c r="R96" i="1"/>
  <c r="Y96" i="1" s="1"/>
  <c r="R97" i="1"/>
  <c r="Y97" i="1" s="1"/>
  <c r="R98" i="1"/>
  <c r="Y98" i="1" s="1"/>
  <c r="R99" i="1"/>
  <c r="Y99" i="1" s="1"/>
  <c r="R100" i="1"/>
  <c r="Y100" i="1" s="1"/>
  <c r="R11" i="1"/>
  <c r="M74" i="1"/>
  <c r="M100" i="1"/>
  <c r="L12" i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19" i="1"/>
  <c r="M19" i="1" s="1"/>
  <c r="L20" i="1"/>
  <c r="M20" i="1" s="1"/>
  <c r="L21" i="1"/>
  <c r="M21" i="1" s="1"/>
  <c r="L22" i="1"/>
  <c r="M22" i="1" s="1"/>
  <c r="L23" i="1"/>
  <c r="M23" i="1" s="1"/>
  <c r="L24" i="1"/>
  <c r="M24" i="1" s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40" i="1"/>
  <c r="M40" i="1" s="1"/>
  <c r="L41" i="1"/>
  <c r="M41" i="1" s="1"/>
  <c r="L42" i="1"/>
  <c r="M42" i="1" s="1"/>
  <c r="L43" i="1"/>
  <c r="M43" i="1" s="1"/>
  <c r="L44" i="1"/>
  <c r="M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53" i="1"/>
  <c r="M53" i="1" s="1"/>
  <c r="L54" i="1"/>
  <c r="M54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61" i="1"/>
  <c r="M61" i="1" s="1"/>
  <c r="L62" i="1"/>
  <c r="M62" i="1" s="1"/>
  <c r="L63" i="1"/>
  <c r="M63" i="1" s="1"/>
  <c r="L64" i="1"/>
  <c r="M64" i="1" s="1"/>
  <c r="L65" i="1"/>
  <c r="M65" i="1" s="1"/>
  <c r="L66" i="1"/>
  <c r="M66" i="1" s="1"/>
  <c r="L67" i="1"/>
  <c r="M67" i="1" s="1"/>
  <c r="L68" i="1"/>
  <c r="M68" i="1" s="1"/>
  <c r="L69" i="1"/>
  <c r="M69" i="1" s="1"/>
  <c r="L70" i="1"/>
  <c r="M70" i="1" s="1"/>
  <c r="L71" i="1"/>
  <c r="M71" i="1" s="1"/>
  <c r="L72" i="1"/>
  <c r="M72" i="1" s="1"/>
  <c r="L73" i="1"/>
  <c r="M73" i="1" s="1"/>
  <c r="L75" i="1"/>
  <c r="M75" i="1" s="1"/>
  <c r="L76" i="1"/>
  <c r="M76" i="1" s="1"/>
  <c r="L77" i="1"/>
  <c r="M77" i="1" s="1"/>
  <c r="L78" i="1"/>
  <c r="M78" i="1" s="1"/>
  <c r="L79" i="1"/>
  <c r="M79" i="1" s="1"/>
  <c r="L80" i="1"/>
  <c r="M80" i="1" s="1"/>
  <c r="L81" i="1"/>
  <c r="M81" i="1" s="1"/>
  <c r="L82" i="1"/>
  <c r="M82" i="1" s="1"/>
  <c r="L83" i="1"/>
  <c r="M83" i="1" s="1"/>
  <c r="L84" i="1"/>
  <c r="M84" i="1" s="1"/>
  <c r="L85" i="1"/>
  <c r="M85" i="1" s="1"/>
  <c r="L86" i="1"/>
  <c r="M86" i="1" s="1"/>
  <c r="L87" i="1"/>
  <c r="M87" i="1" s="1"/>
  <c r="L88" i="1"/>
  <c r="M88" i="1" s="1"/>
  <c r="L89" i="1"/>
  <c r="M89" i="1" s="1"/>
  <c r="L90" i="1"/>
  <c r="M90" i="1" s="1"/>
  <c r="L91" i="1"/>
  <c r="M91" i="1" s="1"/>
  <c r="L92" i="1"/>
  <c r="M92" i="1" s="1"/>
  <c r="L93" i="1"/>
  <c r="M93" i="1" s="1"/>
  <c r="L94" i="1"/>
  <c r="M94" i="1" s="1"/>
  <c r="L95" i="1"/>
  <c r="M95" i="1" s="1"/>
  <c r="L96" i="1"/>
  <c r="M96" i="1" s="1"/>
  <c r="L97" i="1"/>
  <c r="M97" i="1" s="1"/>
  <c r="L98" i="1"/>
  <c r="M98" i="1" s="1"/>
  <c r="L99" i="1"/>
  <c r="M99" i="1" s="1"/>
  <c r="L11" i="1"/>
  <c r="M11" i="1" s="1"/>
  <c r="Y91" i="1" l="1"/>
  <c r="Y83" i="1"/>
  <c r="Y79" i="1"/>
  <c r="Y65" i="1"/>
  <c r="Y57" i="1"/>
  <c r="Y17" i="1"/>
  <c r="Y60" i="1"/>
  <c r="Y36" i="1"/>
  <c r="Y32" i="1"/>
  <c r="Y12" i="1"/>
  <c r="Y11" i="1"/>
  <c r="Y77" i="1"/>
  <c r="Y55" i="1"/>
  <c r="Y70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1" i="1"/>
  <c r="P12" i="1"/>
  <c r="P13" i="1"/>
  <c r="X13" i="1" s="1"/>
  <c r="P14" i="1"/>
  <c r="P15" i="1"/>
  <c r="P16" i="1"/>
  <c r="X16" i="1" s="1"/>
  <c r="P17" i="1"/>
  <c r="P18" i="1"/>
  <c r="P19" i="1"/>
  <c r="P20" i="1"/>
  <c r="X20" i="1" s="1"/>
  <c r="P21" i="1"/>
  <c r="P22" i="1"/>
  <c r="P23" i="1"/>
  <c r="X23" i="1" s="1"/>
  <c r="P24" i="1"/>
  <c r="X24" i="1" s="1"/>
  <c r="P25" i="1"/>
  <c r="P26" i="1"/>
  <c r="P27" i="1"/>
  <c r="X27" i="1" s="1"/>
  <c r="P28" i="1"/>
  <c r="P29" i="1"/>
  <c r="P30" i="1"/>
  <c r="P31" i="1"/>
  <c r="X31" i="1" s="1"/>
  <c r="P32" i="1"/>
  <c r="P33" i="1"/>
  <c r="X33" i="1" s="1"/>
  <c r="P34" i="1"/>
  <c r="P35" i="1"/>
  <c r="X35" i="1" s="1"/>
  <c r="P36" i="1"/>
  <c r="P37" i="1"/>
  <c r="X37" i="1" s="1"/>
  <c r="P38" i="1"/>
  <c r="P39" i="1"/>
  <c r="X39" i="1" s="1"/>
  <c r="P40" i="1"/>
  <c r="X40" i="1" s="1"/>
  <c r="P41" i="1"/>
  <c r="X41" i="1" s="1"/>
  <c r="P42" i="1"/>
  <c r="P43" i="1"/>
  <c r="P44" i="1"/>
  <c r="P45" i="1"/>
  <c r="P46" i="1"/>
  <c r="P47" i="1"/>
  <c r="P48" i="1"/>
  <c r="X48" i="1" s="1"/>
  <c r="P49" i="1"/>
  <c r="P50" i="1"/>
  <c r="P51" i="1"/>
  <c r="P52" i="1"/>
  <c r="P53" i="1"/>
  <c r="P54" i="1"/>
  <c r="X54" i="1" s="1"/>
  <c r="P55" i="1"/>
  <c r="P56" i="1"/>
  <c r="X56" i="1" s="1"/>
  <c r="P57" i="1"/>
  <c r="P58" i="1"/>
  <c r="P59" i="1"/>
  <c r="X59" i="1" s="1"/>
  <c r="P60" i="1"/>
  <c r="P61" i="1"/>
  <c r="X61" i="1" s="1"/>
  <c r="P62" i="1"/>
  <c r="P63" i="1"/>
  <c r="X63" i="1" s="1"/>
  <c r="P64" i="1"/>
  <c r="X64" i="1" s="1"/>
  <c r="P65" i="1"/>
  <c r="P66" i="1"/>
  <c r="P67" i="1"/>
  <c r="P68" i="1"/>
  <c r="P69" i="1"/>
  <c r="X69" i="1" s="1"/>
  <c r="P70" i="1"/>
  <c r="X70" i="1" s="1"/>
  <c r="P71" i="1"/>
  <c r="X71" i="1" s="1"/>
  <c r="P72" i="1"/>
  <c r="X72" i="1" s="1"/>
  <c r="P73" i="1"/>
  <c r="X73" i="1" s="1"/>
  <c r="P74" i="1"/>
  <c r="X74" i="1" s="1"/>
  <c r="P75" i="1"/>
  <c r="X75" i="1" s="1"/>
  <c r="P76" i="1"/>
  <c r="X76" i="1" s="1"/>
  <c r="P77" i="1"/>
  <c r="P78" i="1"/>
  <c r="X78" i="1" s="1"/>
  <c r="P79" i="1"/>
  <c r="P80" i="1"/>
  <c r="P81" i="1"/>
  <c r="P82" i="1"/>
  <c r="X82" i="1" s="1"/>
  <c r="P83" i="1"/>
  <c r="P84" i="1"/>
  <c r="X84" i="1" s="1"/>
  <c r="P85" i="1"/>
  <c r="P86" i="1"/>
  <c r="X86" i="1" s="1"/>
  <c r="P87" i="1"/>
  <c r="X87" i="1" s="1"/>
  <c r="P88" i="1"/>
  <c r="P89" i="1"/>
  <c r="X89" i="1" s="1"/>
  <c r="P90" i="1"/>
  <c r="X90" i="1" s="1"/>
  <c r="P91" i="1"/>
  <c r="P92" i="1"/>
  <c r="X92" i="1" s="1"/>
  <c r="P93" i="1"/>
  <c r="X93" i="1" s="1"/>
  <c r="P94" i="1"/>
  <c r="P95" i="1"/>
  <c r="X95" i="1" s="1"/>
  <c r="P96" i="1"/>
  <c r="P97" i="1"/>
  <c r="P98" i="1"/>
  <c r="X98" i="1" s="1"/>
  <c r="P99" i="1"/>
  <c r="X99" i="1" s="1"/>
  <c r="P100" i="1"/>
  <c r="X100" i="1" s="1"/>
  <c r="P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1" i="1"/>
  <c r="E10" i="1"/>
  <c r="F10" i="1"/>
  <c r="G10" i="1"/>
  <c r="D10" i="1"/>
  <c r="V10" i="1"/>
  <c r="R10" i="1"/>
  <c r="Q10" i="1"/>
  <c r="O10" i="1"/>
  <c r="M10" i="1"/>
  <c r="L10" i="1"/>
  <c r="AE36" i="1" l="1"/>
  <c r="AF36" i="1"/>
  <c r="AE55" i="1"/>
  <c r="AF55" i="1"/>
  <c r="AE94" i="1"/>
  <c r="AF94" i="1"/>
  <c r="AE74" i="1"/>
  <c r="AF74" i="1"/>
  <c r="AE54" i="1"/>
  <c r="AF54" i="1"/>
  <c r="AE34" i="1"/>
  <c r="AF34" i="1"/>
  <c r="AF14" i="1"/>
  <c r="AE14" i="1"/>
  <c r="AE93" i="1"/>
  <c r="AF93" i="1"/>
  <c r="AE73" i="1"/>
  <c r="AF73" i="1"/>
  <c r="AE53" i="1"/>
  <c r="AF53" i="1"/>
  <c r="AF33" i="1"/>
  <c r="AE33" i="1"/>
  <c r="AE13" i="1"/>
  <c r="AF13" i="1"/>
  <c r="AE37" i="1"/>
  <c r="AF37" i="1"/>
  <c r="AE76" i="1"/>
  <c r="AF76" i="1"/>
  <c r="AF72" i="1"/>
  <c r="AE72" i="1"/>
  <c r="AF32" i="1"/>
  <c r="AE32" i="1"/>
  <c r="AE12" i="1"/>
  <c r="AF12" i="1"/>
  <c r="AE77" i="1"/>
  <c r="AF77" i="1"/>
  <c r="AE35" i="1"/>
  <c r="AF35" i="1"/>
  <c r="AF92" i="1"/>
  <c r="AE92" i="1"/>
  <c r="AF52" i="1"/>
  <c r="AE52" i="1"/>
  <c r="AE91" i="1"/>
  <c r="AF91" i="1"/>
  <c r="AE71" i="1"/>
  <c r="AF71" i="1"/>
  <c r="AE51" i="1"/>
  <c r="AF51" i="1"/>
  <c r="AE31" i="1"/>
  <c r="AF31" i="1"/>
  <c r="AE30" i="1"/>
  <c r="AF30" i="1"/>
  <c r="AE15" i="1"/>
  <c r="AF15" i="1"/>
  <c r="AF89" i="1"/>
  <c r="AE89" i="1"/>
  <c r="AF69" i="1"/>
  <c r="AE69" i="1"/>
  <c r="AF49" i="1"/>
  <c r="AE49" i="1"/>
  <c r="AF29" i="1"/>
  <c r="AE29" i="1"/>
  <c r="AE75" i="1"/>
  <c r="AF75" i="1"/>
  <c r="AE50" i="1"/>
  <c r="AF50" i="1"/>
  <c r="AE88" i="1"/>
  <c r="AF88" i="1"/>
  <c r="AE48" i="1"/>
  <c r="AF48" i="1"/>
  <c r="AF28" i="1"/>
  <c r="AE28" i="1"/>
  <c r="AE70" i="1"/>
  <c r="AF70" i="1"/>
  <c r="AE87" i="1"/>
  <c r="AF87" i="1"/>
  <c r="AE67" i="1"/>
  <c r="AF67" i="1"/>
  <c r="AE47" i="1"/>
  <c r="AF47" i="1"/>
  <c r="AE27" i="1"/>
  <c r="AF27" i="1"/>
  <c r="AE66" i="1"/>
  <c r="AF66" i="1"/>
  <c r="AE26" i="1"/>
  <c r="AF26" i="1"/>
  <c r="AE17" i="1"/>
  <c r="AF17" i="1"/>
  <c r="AE96" i="1"/>
  <c r="AF96" i="1"/>
  <c r="AE68" i="1"/>
  <c r="AF68" i="1"/>
  <c r="AE86" i="1"/>
  <c r="AF86" i="1"/>
  <c r="AE85" i="1"/>
  <c r="AF85" i="1"/>
  <c r="AE65" i="1"/>
  <c r="AF65" i="1"/>
  <c r="AE45" i="1"/>
  <c r="AF45" i="1"/>
  <c r="AF25" i="1"/>
  <c r="AE25" i="1"/>
  <c r="AE97" i="1"/>
  <c r="AF97" i="1"/>
  <c r="AE16" i="1"/>
  <c r="AF16" i="1"/>
  <c r="AE95" i="1"/>
  <c r="AF95" i="1"/>
  <c r="AE90" i="1"/>
  <c r="AF90" i="1"/>
  <c r="AE46" i="1"/>
  <c r="AF46" i="1"/>
  <c r="AE84" i="1"/>
  <c r="AF84" i="1"/>
  <c r="AE64" i="1"/>
  <c r="AF64" i="1"/>
  <c r="AE44" i="1"/>
  <c r="AF44" i="1"/>
  <c r="AE24" i="1"/>
  <c r="AF24" i="1"/>
  <c r="AE83" i="1"/>
  <c r="AF83" i="1"/>
  <c r="AE63" i="1"/>
  <c r="AF63" i="1"/>
  <c r="AE43" i="1"/>
  <c r="AF43" i="1"/>
  <c r="AE23" i="1"/>
  <c r="AF23" i="1"/>
  <c r="AE57" i="1"/>
  <c r="AF57" i="1"/>
  <c r="AE22" i="1"/>
  <c r="AF22" i="1"/>
  <c r="AE42" i="1"/>
  <c r="AF42" i="1"/>
  <c r="AE81" i="1"/>
  <c r="AF81" i="1"/>
  <c r="AE100" i="1"/>
  <c r="AF100" i="1"/>
  <c r="AE80" i="1"/>
  <c r="AF80" i="1"/>
  <c r="AE60" i="1"/>
  <c r="AF60" i="1"/>
  <c r="AE40" i="1"/>
  <c r="AF40" i="1"/>
  <c r="AF20" i="1"/>
  <c r="AE20" i="1"/>
  <c r="AE56" i="1"/>
  <c r="AF56" i="1"/>
  <c r="AE82" i="1"/>
  <c r="AF82" i="1"/>
  <c r="AE11" i="1"/>
  <c r="AF11" i="1"/>
  <c r="AE41" i="1"/>
  <c r="AF41" i="1"/>
  <c r="AE21" i="1"/>
  <c r="AF21" i="1"/>
  <c r="AE99" i="1"/>
  <c r="AF99" i="1"/>
  <c r="AE79" i="1"/>
  <c r="AF79" i="1"/>
  <c r="AF59" i="1"/>
  <c r="AE59" i="1"/>
  <c r="AE39" i="1"/>
  <c r="AF39" i="1"/>
  <c r="AE19" i="1"/>
  <c r="AF19" i="1"/>
  <c r="AE62" i="1"/>
  <c r="AF62" i="1"/>
  <c r="AE61" i="1"/>
  <c r="AF61" i="1"/>
  <c r="AE98" i="1"/>
  <c r="AF98" i="1"/>
  <c r="AE78" i="1"/>
  <c r="AF78" i="1"/>
  <c r="AE58" i="1"/>
  <c r="AF58" i="1"/>
  <c r="AE38" i="1"/>
  <c r="AF38" i="1"/>
  <c r="AE18" i="1"/>
  <c r="AF18" i="1"/>
  <c r="X88" i="1"/>
  <c r="X60" i="1"/>
  <c r="X28" i="1"/>
  <c r="X12" i="1"/>
  <c r="X83" i="1"/>
  <c r="X51" i="1"/>
  <c r="X47" i="1"/>
  <c r="X15" i="1"/>
  <c r="X36" i="1"/>
  <c r="X96" i="1"/>
  <c r="X52" i="1"/>
  <c r="X11" i="1"/>
  <c r="X94" i="1"/>
  <c r="X62" i="1"/>
  <c r="X58" i="1"/>
  <c r="X46" i="1"/>
  <c r="X38" i="1"/>
  <c r="X30" i="1"/>
  <c r="X18" i="1"/>
  <c r="AA10" i="1"/>
  <c r="X97" i="1"/>
  <c r="X85" i="1"/>
  <c r="X81" i="1"/>
  <c r="X65" i="1"/>
  <c r="X57" i="1"/>
  <c r="X53" i="1"/>
  <c r="X49" i="1"/>
  <c r="X29" i="1"/>
  <c r="X25" i="1"/>
  <c r="X21" i="1"/>
  <c r="X17" i="1"/>
  <c r="AC10" i="1"/>
  <c r="AB10" i="1"/>
  <c r="Z10" i="1"/>
  <c r="P10" i="1"/>
  <c r="AF10" i="1" l="1"/>
  <c r="AE10" i="1"/>
  <c r="X42" i="1"/>
  <c r="X77" i="1"/>
  <c r="X67" i="1"/>
  <c r="X34" i="1"/>
  <c r="X50" i="1"/>
  <c r="X79" i="1"/>
  <c r="S10" i="1"/>
  <c r="X22" i="1"/>
  <c r="X43" i="1"/>
  <c r="X68" i="1"/>
  <c r="X26" i="1"/>
  <c r="X91" i="1"/>
  <c r="X32" i="1"/>
  <c r="X80" i="1"/>
  <c r="X45" i="1"/>
  <c r="X14" i="1"/>
  <c r="X66" i="1"/>
  <c r="X19" i="1"/>
  <c r="X44" i="1"/>
  <c r="X55" i="1"/>
</calcChain>
</file>

<file path=xl/sharedStrings.xml><?xml version="1.0" encoding="utf-8"?>
<sst xmlns="http://schemas.openxmlformats.org/spreadsheetml/2006/main" count="229" uniqueCount="131">
  <si>
    <t>Ведомость по товарам на складах</t>
  </si>
  <si>
    <t>Период: 15.06.2026 - 22.06.2026</t>
  </si>
  <si>
    <t>Склад В списке "АСП Донецк Останкино" И
Номенклатура В группе из списка "Останкино ООО"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</si>
  <si>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</si>
  <si>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</si>
  <si>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</si>
  <si>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</si>
  <si>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</si>
  <si>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</si>
  <si>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3215 ВЕТЧ.МЯСНАЯ Папа может п/о 0.4кг 8шт.    ОСТАНКИНО</t>
  </si>
  <si>
    <t>шт</t>
  </si>
  <si>
    <t>3287 САЛЯМИ ИТАЛЬЯНСКАЯ с/к в/у ОСТАНКИНО</t>
  </si>
  <si>
    <t>кг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</si>
  <si>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</si>
  <si>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</si>
  <si>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</si>
  <si>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</si>
  <si>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</si>
  <si>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</si>
  <si>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</si>
  <si>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</si>
  <si>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</si>
  <si>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</si>
  <si>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</si>
  <si>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</si>
  <si>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</si>
  <si>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</si>
  <si>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</si>
  <si>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</si>
  <si>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</si>
  <si>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</si>
  <si>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</si>
  <si>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</si>
  <si>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6324 ДОКТОРСКАЯ ГОСТ вар п/о 0,4кг 8шт 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</si>
  <si>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</si>
  <si>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</si>
  <si>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</si>
  <si>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6392 ФИЛЕЙНАЯ Папа может вар п/о 0,4кг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</si>
  <si>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</si>
  <si>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</si>
  <si>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</si>
  <si>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</si>
  <si>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</si>
  <si>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</si>
  <si>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</si>
  <si>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</si>
  <si>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</si>
  <si>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</si>
  <si>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</si>
  <si>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</si>
  <si>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</si>
  <si>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</si>
  <si>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</si>
  <si>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</si>
  <si>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6793 БАЛЫКОВАЯ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</si>
  <si>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</si>
  <si>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</si>
  <si>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</si>
  <si>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</si>
  <si>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</si>
  <si>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</si>
  <si>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</si>
  <si>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6866 ВЕТЧ.НЕЖНАЯ Коровино п/о_Маяк  Останкино</t>
  </si>
  <si>
    <t>6925 ВЕТЧ.КЛАССИЧЕСКАЯ в/у 0,6кг 8шт.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</si>
  <si>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</si>
  <si>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</si>
  <si>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7059 ШПИКАЧКИ СОЧНЫЕ С БЕК. п/о мгс 0,3кг 60с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</si>
  <si>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</si>
  <si>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</si>
  <si>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</si>
  <si>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</si>
  <si>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</si>
  <si>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</si>
  <si>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</si>
  <si>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7131 БАЛЫКОВАЯ в/к в/у 0,84кг  Останкино</t>
  </si>
  <si>
    <t>7147 САЛЬЧИЧОН Останкино с/к в/у 1/220 8 шт  Останкино</t>
  </si>
  <si>
    <t>7154 СЕРВЕЛАТ ЗЕРНИСТЫЙ ПМ в/к в/у 0,35кг_50с  Останкино</t>
  </si>
  <si>
    <t>7157 СЕРВЕЛАТ ЗЕРНИСТЫЙ ПМ в/к в/у_50с  Останкино</t>
  </si>
  <si>
    <t>7163 СЕРВЕЛАТ КЛАССИЧ.ПМ в/к в/у 0,62кг_50с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</si>
  <si>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</si>
  <si>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</si>
  <si>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</si>
  <si>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7216 СОЧНЫЕ СО СЛ.МАСЛ.ПМ пельм пл.0.7кг зам.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</si>
  <si>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</si>
  <si>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</si>
  <si>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</si>
  <si>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</si>
  <si>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</si>
  <si>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</si>
  <si>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7276 СЛИВОЧНЫЕ ПМ сос п/о мгс 0,3кг 7шт  Останкино</t>
  </si>
  <si>
    <t>7284 ДЛЯ ДЕТЕЙ сос п/о мгс 0,33кг 6шт  Останкино</t>
  </si>
  <si>
    <t>7288 БАЛЫК с/к с/н в/у 1/100 10шт ОСТАНКИНО</t>
  </si>
  <si>
    <t>7332 БОЯРСКАЯ ПМ п/к в/у 0,28кг ОСТАНКИНО</t>
  </si>
  <si>
    <t>7333 СЕРВЕЛАТ ОХОТНИЧИЙ ПМ в/к в/у 0,28кг ОСТАНКИНО</t>
  </si>
  <si>
    <t>7371 БРЕСТСКИЕ сос п/о в/у 0,3кг 8шт. ОСТАНКИНО</t>
  </si>
  <si>
    <t>7382  САЛЯМИ МЕЛКОЗЕРНЕНАЯ с/к в/у1/120 8шт.  ОСТАНКИНО</t>
  </si>
  <si>
    <t>7461 ДЛЯ ДЕТЕЙ Папа Может сос п/о мгс 0,33кг ОСТАНКИНО</t>
  </si>
  <si>
    <t>7523 ГОВЯЖЬЯ Папа Может вар п/о 0,4кг 6шт. ОСТАНКИНО</t>
  </si>
  <si>
    <t>7564 Балыковая в/к в/у Останкино Вес  ОСТАНКИНО</t>
  </si>
  <si>
    <t>БОНУС_6087 СОЧНЫЕ ПМ сос п/о мгс 0,41кг 10шт.  ОСТАНКИНО</t>
  </si>
  <si>
    <t>БОНУС_6954 СОЧНЫЕ Папа может сос п/о мгс 1.5*4_Х5  ОСТАНКИНО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</si>
  <si>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</si>
  <si>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</si>
  <si>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</si>
  <si>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</si>
  <si>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</si>
  <si>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</si>
  <si>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</si>
  <si>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</si>
  <si>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</si>
  <si>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</si>
  <si>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</si>
  <si>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</si>
  <si>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</si>
  <si>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</si>
  <si>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</si>
  <si>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</si>
  <si>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</si>
  <si>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</si>
  <si>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15,06,</t>
  </si>
  <si>
    <t>21,06,</t>
  </si>
  <si>
    <t>22,06,</t>
  </si>
  <si>
    <t>26,05,</t>
  </si>
  <si>
    <t>08,06,</t>
  </si>
  <si>
    <t>01,05,</t>
  </si>
  <si>
    <t>28,06,</t>
  </si>
  <si>
    <t>29,06,</t>
  </si>
  <si>
    <t>сз бнс</t>
  </si>
  <si>
    <t>осн скю</t>
  </si>
  <si>
    <t>заказ</t>
  </si>
  <si>
    <t>27,06,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</si>
</sst>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10" x14ac:knownFonts="1">
    <font>
      <sz val="8"/>
      <name val="Arial"/>
    </font>
    <font>
      <b/>
      <sz val="18"/>
      <name val="Arial"/>
    </font>
    <font>
      <sz val="10"/>
      <name val="Arial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8"/>
      <name val="Arial"/>
      <family val="2"/>
      <charset val="204"/>
    </font>
    <font>
      <b/>
      <sz val="10"/>
      <name val="Arial"/>
      <family val="2"/>
      <charset val="204"/>
    </font>
    <font>
      <sz val="8"/>
      <name val="Arial"/>
      <family val="2"/>
      <charset val="204"/>
    </font>
    <font>
      <sz val="11"/>
      <color rgb="FFFF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4ECC5"/>
        <bgColor auto="1"/>
      </patternFill>
    </fill>
    <fill>
      <patternFill patternType="solid">
        <fgColor rgb="FFFFF4C5"/>
      </patternFill>
    </fill>
    <fill>
      <patternFill patternType="solid">
        <fgColor rgb="FF13E22E"/>
        <bgColor rgb="FF13E22E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C085"/>
      </left>
      <right style="thin">
        <color rgb="FFCCC085"/>
      </right>
      <top style="thin">
        <color rgb="FFCCC085"/>
      </top>
      <bottom/>
      <diagonal/>
    </border>
    <border>
      <left style="thin">
        <color rgb="FFCCC085"/>
      </left>
      <right style="thin">
        <color rgb="FFCCC085"/>
      </right>
      <top style="thin">
        <color rgb="FFCCC085"/>
      </top>
      <bottom style="thin">
        <color rgb="FFCCC085"/>
      </bottom>
      <diagonal/>
    </border>
    <border>
      <left style="thin">
        <color rgb="FFCCC085"/>
      </left>
      <right/>
      <top style="thin">
        <color rgb="FFCCC085"/>
      </top>
      <bottom style="thin">
        <color rgb="FFCCC08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47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left" vertical="top" wrapText="1"/>
    </xf>
    <xf numFmtId="0" fontId="2" fillId="2" borderId="2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164" fontId="0" fillId="0" borderId="2" xfId="0" applyNumberFormat="1" applyBorder="1" applyAlignment="1">
      <alignment horizontal="right" vertical="top"/>
    </xf>
    <xf numFmtId="164" fontId="0" fillId="0" borderId="0" xfId="0" applyNumberFormat="1"/>
    <xf numFmtId="164" fontId="0" fillId="0" borderId="3" xfId="0" applyNumberFormat="1" applyBorder="1" applyAlignment="1">
      <alignment horizontal="right" vertical="top"/>
    </xf>
    <xf numFmtId="164" fontId="0" fillId="0" borderId="0" xfId="0" applyNumberFormat="1" applyAlignment="1">
      <alignment horizontal="left"/>
    </xf>
    <xf numFmtId="164" fontId="3" fillId="2" borderId="0" xfId="0" applyNumberFormat="1" applyFont="1" applyFill="1" applyAlignment="1">
      <alignment horizontal="left" vertical="top" wrapText="1"/>
    </xf>
    <xf numFmtId="164" fontId="4" fillId="3" borderId="0" xfId="1" applyNumberFormat="1" applyFont="1" applyFill="1"/>
    <xf numFmtId="164" fontId="4" fillId="3" borderId="0" xfId="1" applyNumberFormat="1" applyFont="1" applyFill="1" applyAlignment="1">
      <alignment wrapText="1"/>
    </xf>
    <xf numFmtId="164" fontId="5" fillId="3" borderId="0" xfId="1" applyNumberFormat="1" applyFont="1" applyFill="1" applyAlignment="1">
      <alignment wrapText="1"/>
    </xf>
    <xf numFmtId="164" fontId="4" fillId="4" borderId="0" xfId="1" applyNumberFormat="1" applyFont="1" applyFill="1" applyAlignment="1">
      <alignment wrapText="1"/>
    </xf>
    <xf numFmtId="164" fontId="3" fillId="2" borderId="2" xfId="0" applyNumberFormat="1" applyFont="1" applyFill="1" applyBorder="1" applyAlignment="1">
      <alignment horizontal="left" vertical="top" wrapText="1"/>
    </xf>
    <xf numFmtId="164" fontId="3" fillId="2" borderId="2" xfId="0" applyNumberFormat="1" applyFont="1" applyFill="1" applyBorder="1" applyAlignment="1">
      <alignment horizontal="left" vertical="top"/>
    </xf>
    <xf numFmtId="164" fontId="3" fillId="0" borderId="0" xfId="1" applyNumberFormat="1"/>
    <xf numFmtId="164" fontId="3" fillId="5" borderId="0" xfId="1" applyNumberFormat="1" applyFill="1"/>
    <xf numFmtId="0" fontId="2" fillId="2" borderId="0" xfId="0" applyFont="1" applyFill="1" applyAlignment="1">
      <alignment horizontal="left" vertical="top"/>
    </xf>
    <xf numFmtId="165" fontId="0" fillId="0" borderId="0" xfId="0" applyNumberFormat="1"/>
    <xf numFmtId="164" fontId="6" fillId="0" borderId="4" xfId="0" applyNumberFormat="1" applyFont="1" applyBorder="1"/>
    <xf numFmtId="0" fontId="0" fillId="6" borderId="2" xfId="0" applyFill="1" applyBorder="1" applyAlignment="1">
      <alignment horizontal="left" vertical="top"/>
    </xf>
    <xf numFmtId="164" fontId="0" fillId="6" borderId="2" xfId="0" applyNumberFormat="1" applyFill="1" applyBorder="1" applyAlignment="1">
      <alignment horizontal="right" vertical="top"/>
    </xf>
    <xf numFmtId="165" fontId="0" fillId="6" borderId="0" xfId="0" applyNumberFormat="1" applyFill="1"/>
    <xf numFmtId="164" fontId="0" fillId="6" borderId="0" xfId="0" applyNumberFormat="1" applyFill="1"/>
    <xf numFmtId="0" fontId="0" fillId="7" borderId="2" xfId="0" applyFill="1" applyBorder="1" applyAlignment="1">
      <alignment horizontal="left" vertical="top"/>
    </xf>
    <xf numFmtId="164" fontId="0" fillId="7" borderId="2" xfId="0" applyNumberFormat="1" applyFill="1" applyBorder="1" applyAlignment="1">
      <alignment horizontal="right" vertical="top"/>
    </xf>
    <xf numFmtId="165" fontId="0" fillId="7" borderId="0" xfId="0" applyNumberFormat="1" applyFill="1"/>
    <xf numFmtId="164" fontId="0" fillId="7" borderId="0" xfId="0" applyNumberFormat="1" applyFill="1"/>
    <xf numFmtId="0" fontId="0" fillId="8" borderId="2" xfId="0" applyFill="1" applyBorder="1" applyAlignment="1">
      <alignment horizontal="left" vertical="top"/>
    </xf>
    <xf numFmtId="164" fontId="0" fillId="8" borderId="2" xfId="0" applyNumberFormat="1" applyFill="1" applyBorder="1" applyAlignment="1">
      <alignment horizontal="right" vertical="top"/>
    </xf>
    <xf numFmtId="165" fontId="0" fillId="8" borderId="0" xfId="0" applyNumberFormat="1" applyFill="1"/>
    <xf numFmtId="164" fontId="0" fillId="8" borderId="0" xfId="0" applyNumberFormat="1" applyFill="1"/>
    <xf numFmtId="164" fontId="6" fillId="0" borderId="0" xfId="0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164" fontId="7" fillId="2" borderId="2" xfId="0" applyNumberFormat="1" applyFont="1" applyFill="1" applyBorder="1" applyAlignment="1">
      <alignment horizontal="left" vertical="top" wrapText="1"/>
    </xf>
    <xf numFmtId="164" fontId="7" fillId="5" borderId="0" xfId="1" applyNumberFormat="1" applyFont="1" applyFill="1"/>
    <xf numFmtId="0" fontId="8" fillId="0" borderId="0" xfId="0" applyFont="1" applyAlignment="1">
      <alignment horizontal="left"/>
    </xf>
    <xf numFmtId="0" fontId="8" fillId="0" borderId="0" xfId="0" applyFont="1"/>
    <xf numFmtId="164" fontId="9" fillId="3" borderId="0" xfId="1" applyNumberFormat="1" applyFont="1" applyFill="1" applyAlignment="1">
      <alignment wrapText="1"/>
    </xf>
    <xf numFmtId="164" fontId="3" fillId="5" borderId="0" xfId="1" applyNumberFormat="1" applyFont="1" applyFill="1"/>
    <xf numFmtId="164" fontId="8" fillId="0" borderId="4" xfId="0" applyNumberFormat="1" applyFont="1" applyBorder="1"/>
    <xf numFmtId="164" fontId="8" fillId="0" borderId="0" xfId="0" applyNumberFormat="1" applyFont="1"/>
  </cellXfs>
  <cellStyles count="2">
    <cellStyle name="Arial10px" xfId="1" xr:uid="{5CAA6C9F-ACCC-474C-A609-8819DFF65FA3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SI\Desktop\&#1044;&#1074;.%20&#1054;&#1089;&#1090;&#1072;&#1085;&#1082;&#1080;&#1085;&#1086;%20&#1050;&#1048;%20%20&#1086;&#1090;%2015,06,26,%20&#1044;&#1086;&#1085;&#1077;&#1094;&#1082;%20(1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SI\Desktop\&#1047;&#1072;&#1082;&#1072;&#1079;&#1072;&#1085;&#1086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&#1044;&#1074;.&#1054;&#1089;&#1090;&#1072;&#1085;&#1082;&#1080;&#1085;&#1086;%20&#1050;&#1086;&#1083;&#1073;&#1072;&#1089;&#1072;%20&#1086;&#1090;%2022,06,26,%20&#1044;&#1086;&#1085;&#1077;&#1094;&#1082;&#1058;&#104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Sheet"/>
    </sheetNames>
    <sheetDataSet>
      <sheetData sheetId="0">
        <row r="2">
          <cell r="A2" t="str">
            <v>Ведомость по товарам на складах</v>
          </cell>
        </row>
        <row r="4">
          <cell r="A4" t="str">
            <v>Период: 08.06.2026 - 15.06.2026</v>
          </cell>
        </row>
        <row r="6">
          <cell r="A6" t="str">
            <v>Склад В списке "АСП Донецк Останкино" И
Номенклатура В группе из списка "Останкино ООО"</v>
          </cell>
        </row>
        <row r="8">
          <cell r="A8" t="str">
            <v>Номенклатура</v>
          </cell>
          <cell r="B8" t="str">
            <v>Ед. изм.</v>
          </cell>
          <cell r="D8" t="str">
            <v>Начальный остаток</v>
          </cell>
          <cell r="E8" t="str">
            <v>Приход</v>
          </cell>
          <cell r="F8" t="str">
            <v>Расход</v>
          </cell>
          <cell r="G8" t="str">
            <v>Конечный остаток</v>
          </cell>
          <cell r="H8" t="str">
            <v>крат</v>
          </cell>
          <cell r="I8" t="str">
            <v>сроки</v>
          </cell>
          <cell r="J8" t="str">
            <v>метка</v>
          </cell>
          <cell r="K8" t="str">
            <v>метка2</v>
          </cell>
          <cell r="L8" t="str">
            <v>заяв</v>
          </cell>
          <cell r="M8" t="str">
            <v>разн</v>
          </cell>
          <cell r="N8" t="str">
            <v>без опта</v>
          </cell>
          <cell r="O8" t="str">
            <v>опт</v>
          </cell>
          <cell r="P8" t="str">
            <v>Заказ</v>
          </cell>
          <cell r="Q8" t="str">
            <v>Заказ</v>
          </cell>
          <cell r="R8" t="str">
            <v>ср нов</v>
          </cell>
          <cell r="S8" t="str">
            <v>расчет</v>
          </cell>
          <cell r="T8" t="str">
            <v>заказ филиала</v>
          </cell>
          <cell r="U8" t="str">
            <v>Комментарии филиала</v>
          </cell>
          <cell r="V8" t="str">
            <v>кон ост</v>
          </cell>
          <cell r="W8" t="str">
            <v>факт</v>
          </cell>
          <cell r="X8" t="str">
            <v>ср</v>
          </cell>
          <cell r="Y8" t="str">
            <v>ср</v>
          </cell>
          <cell r="Z8" t="str">
            <v>ср</v>
          </cell>
          <cell r="AA8" t="str">
            <v>ср</v>
          </cell>
          <cell r="AB8" t="str">
            <v>комментарии</v>
          </cell>
        </row>
        <row r="9">
          <cell r="P9" t="str">
            <v>14,06,</v>
          </cell>
          <cell r="Q9" t="str">
            <v>15,06,</v>
          </cell>
          <cell r="R9" t="str">
            <v>15,06,</v>
          </cell>
          <cell r="S9" t="str">
            <v>21,06,</v>
          </cell>
          <cell r="T9" t="str">
            <v>22,06,</v>
          </cell>
          <cell r="X9" t="str">
            <v>18,05,</v>
          </cell>
          <cell r="Y9" t="str">
            <v>26,05,</v>
          </cell>
          <cell r="Z9" t="str">
            <v>01,06,</v>
          </cell>
          <cell r="AA9" t="str">
            <v>08,06,</v>
          </cell>
        </row>
        <row r="10">
          <cell r="D10">
            <v>14158.376999999999</v>
          </cell>
          <cell r="E10">
            <v>25217.778999999999</v>
          </cell>
          <cell r="F10">
            <v>17621.192999999999</v>
          </cell>
          <cell r="G10">
            <v>19574.154999999999</v>
          </cell>
          <cell r="L10">
            <v>20979.152999999995</v>
          </cell>
          <cell r="M10">
            <v>-3357.9599999999996</v>
          </cell>
          <cell r="O10">
            <v>0</v>
          </cell>
          <cell r="P10">
            <v>12239.7</v>
          </cell>
          <cell r="Q10">
            <v>12239.7</v>
          </cell>
          <cell r="R10">
            <v>3524.2385999999997</v>
          </cell>
          <cell r="S10">
            <v>9953</v>
          </cell>
          <cell r="T10">
            <v>9953</v>
          </cell>
          <cell r="X10">
            <v>3147.4315999999999</v>
          </cell>
          <cell r="Y10">
            <v>3533.6551999999997</v>
          </cell>
          <cell r="Z10">
            <v>3708.2139999999995</v>
          </cell>
          <cell r="AA10">
            <v>3634.0737999999992</v>
          </cell>
        </row>
        <row r="11">
          <cell r="A11" t="str">
            <v>3215 ВЕТЧ.МЯСНАЯ Папа может п/о 0.4кг 8шт.    ОСТАНКИНО</v>
          </cell>
          <cell r="B11" t="str">
            <v>шт</v>
          </cell>
          <cell r="C11">
            <v>3215</v>
          </cell>
          <cell r="D11">
            <v>124</v>
          </cell>
          <cell r="E11">
            <v>700</v>
          </cell>
          <cell r="F11">
            <v>281</v>
          </cell>
          <cell r="G11">
            <v>523</v>
          </cell>
          <cell r="H11">
            <v>0.4</v>
          </cell>
          <cell r="I11">
            <v>60</v>
          </cell>
          <cell r="J11" t="str">
            <v>в матрице</v>
          </cell>
          <cell r="L11">
            <v>330</v>
          </cell>
          <cell r="M11">
            <v>-49</v>
          </cell>
          <cell r="P11">
            <v>25</v>
          </cell>
          <cell r="Q11">
            <v>25</v>
          </cell>
          <cell r="R11">
            <v>56.2</v>
          </cell>
          <cell r="S11">
            <v>110</v>
          </cell>
          <cell r="T11">
            <v>110</v>
          </cell>
          <cell r="U11">
            <v>0</v>
          </cell>
          <cell r="V11">
            <v>12.153024911032027</v>
          </cell>
          <cell r="W11">
            <v>9.3060498220640557</v>
          </cell>
          <cell r="X11">
            <v>53.4</v>
          </cell>
          <cell r="Y11">
            <v>59.8</v>
          </cell>
          <cell r="Z11">
            <v>79.8</v>
          </cell>
          <cell r="AA11">
            <v>60.4</v>
          </cell>
          <cell r="AB11" t="str">
            <v>ТС Обжора</v>
          </cell>
        </row>
        <row r="12">
          <cell r="A12" t="str">
            <v>3287 САЛЯМИ ИТАЛЬЯНСКАЯ с/к в/у ОСТАНКИНО</v>
          </cell>
          <cell r="B12" t="str">
            <v>кг</v>
          </cell>
          <cell r="C12">
            <v>3287</v>
          </cell>
          <cell r="D12">
            <v>30.744</v>
          </cell>
          <cell r="F12">
            <v>7.8719999999999999</v>
          </cell>
          <cell r="G12">
            <v>22.356000000000002</v>
          </cell>
          <cell r="H12">
            <v>1</v>
          </cell>
          <cell r="I12">
            <v>120</v>
          </cell>
          <cell r="J12" t="str">
            <v>в матрице</v>
          </cell>
          <cell r="L12">
            <v>8.6</v>
          </cell>
          <cell r="M12">
            <v>-0.72799999999999976</v>
          </cell>
          <cell r="P12">
            <v>0</v>
          </cell>
          <cell r="Q12">
            <v>0</v>
          </cell>
          <cell r="R12">
            <v>1.5744</v>
          </cell>
          <cell r="S12">
            <v>0</v>
          </cell>
          <cell r="T12">
            <v>0</v>
          </cell>
          <cell r="U12">
            <v>0</v>
          </cell>
          <cell r="V12">
            <v>14.199695121951221</v>
          </cell>
          <cell r="W12">
            <v>14.199695121951221</v>
          </cell>
          <cell r="X12">
            <v>0.2898</v>
          </cell>
          <cell r="Y12">
            <v>1.6341999999999999</v>
          </cell>
          <cell r="Z12">
            <v>1.167</v>
          </cell>
          <cell r="AA12">
            <v>0.98599999999999999</v>
          </cell>
          <cell r="AB12" t="str">
            <v>увел продажи</v>
          </cell>
        </row>
        <row r="13">
          <cell r="A13" t="str">
            <v>3986 Ароматная с/к в/у 1/250 ОСТАНКИНО</v>
          </cell>
          <cell r="B13" t="str">
            <v>шт</v>
          </cell>
          <cell r="C13">
            <v>3986</v>
          </cell>
          <cell r="D13">
            <v>254</v>
          </cell>
          <cell r="E13">
            <v>152</v>
          </cell>
          <cell r="F13">
            <v>276</v>
          </cell>
          <cell r="G13">
            <v>95</v>
          </cell>
          <cell r="H13">
            <v>0.25</v>
          </cell>
          <cell r="I13">
            <v>120</v>
          </cell>
          <cell r="J13" t="str">
            <v>ВНИМАНИЕ / в матрице</v>
          </cell>
          <cell r="L13">
            <v>351</v>
          </cell>
          <cell r="M13">
            <v>-75</v>
          </cell>
          <cell r="P13">
            <v>220</v>
          </cell>
          <cell r="Q13">
            <v>220</v>
          </cell>
          <cell r="R13">
            <v>55.2</v>
          </cell>
          <cell r="S13">
            <v>140</v>
          </cell>
          <cell r="T13">
            <v>140</v>
          </cell>
          <cell r="U13">
            <v>0</v>
          </cell>
          <cell r="V13">
            <v>12.228260869565217</v>
          </cell>
          <cell r="W13">
            <v>1.7210144927536231</v>
          </cell>
          <cell r="X13">
            <v>62.8</v>
          </cell>
          <cell r="Y13">
            <v>42.2</v>
          </cell>
          <cell r="Z13">
            <v>25.8</v>
          </cell>
          <cell r="AA13">
            <v>49.4</v>
          </cell>
          <cell r="AB13" t="str">
            <v>вместо 5706</v>
          </cell>
        </row>
        <row r="14">
          <cell r="A14" t="str">
            <v>4063 МЯСНАЯ Папа может вар п/о_Л   ОСТАНКИНО</v>
          </cell>
          <cell r="B14" t="str">
            <v>кг</v>
          </cell>
          <cell r="C14">
            <v>4063</v>
          </cell>
          <cell r="D14">
            <v>445.63299999999998</v>
          </cell>
          <cell r="E14">
            <v>1914.03</v>
          </cell>
          <cell r="F14">
            <v>1114.2809999999999</v>
          </cell>
          <cell r="G14">
            <v>1136.1579999999999</v>
          </cell>
          <cell r="H14">
            <v>1</v>
          </cell>
          <cell r="I14">
            <v>60</v>
          </cell>
          <cell r="J14" t="str">
            <v>в матрице</v>
          </cell>
          <cell r="L14">
            <v>1189.4000000000001</v>
          </cell>
          <cell r="M14">
            <v>-75.119000000000142</v>
          </cell>
          <cell r="P14">
            <v>275</v>
          </cell>
          <cell r="Q14">
            <v>275</v>
          </cell>
          <cell r="R14">
            <v>222.8562</v>
          </cell>
          <cell r="S14">
            <v>700</v>
          </cell>
          <cell r="T14">
            <v>700</v>
          </cell>
          <cell r="U14">
            <v>0</v>
          </cell>
          <cell r="V14">
            <v>10.707164530311474</v>
          </cell>
          <cell r="W14">
            <v>5.0981664409605827</v>
          </cell>
          <cell r="X14">
            <v>153.357</v>
          </cell>
          <cell r="Y14">
            <v>182.46039999999999</v>
          </cell>
          <cell r="Z14">
            <v>221.37100000000001</v>
          </cell>
          <cell r="AA14">
            <v>197.34700000000001</v>
          </cell>
          <cell r="AB14">
            <v>0</v>
          </cell>
        </row>
        <row r="15">
          <cell r="A15" t="str">
            <v>4117 ЭКСТРА Папа может с/к в/у_Л   ОСТАНКИНО</v>
          </cell>
          <cell r="B15" t="str">
            <v>кг</v>
          </cell>
          <cell r="C15">
            <v>4117</v>
          </cell>
          <cell r="D15">
            <v>48.116</v>
          </cell>
          <cell r="E15">
            <v>8.9760000000000009</v>
          </cell>
          <cell r="F15">
            <v>19.358000000000001</v>
          </cell>
          <cell r="G15">
            <v>37.734000000000002</v>
          </cell>
          <cell r="H15">
            <v>1</v>
          </cell>
          <cell r="I15">
            <v>120</v>
          </cell>
          <cell r="J15" t="str">
            <v>в матрице</v>
          </cell>
          <cell r="L15">
            <v>28.5</v>
          </cell>
          <cell r="M15">
            <v>-9.1419999999999995</v>
          </cell>
          <cell r="P15">
            <v>20</v>
          </cell>
          <cell r="Q15">
            <v>20</v>
          </cell>
          <cell r="R15">
            <v>3.8715999999999999</v>
          </cell>
          <cell r="S15">
            <v>0</v>
          </cell>
          <cell r="T15">
            <v>0</v>
          </cell>
          <cell r="U15">
            <v>0</v>
          </cell>
          <cell r="V15">
            <v>20.078003926025417</v>
          </cell>
          <cell r="W15">
            <v>9.7463580948445099</v>
          </cell>
          <cell r="X15">
            <v>3.7362000000000002</v>
          </cell>
          <cell r="Y15">
            <v>1.8820000000000001</v>
          </cell>
          <cell r="Z15">
            <v>0.79900000000000004</v>
          </cell>
          <cell r="AA15">
            <v>6.34</v>
          </cell>
          <cell r="AB15" t="str">
            <v>увел продажи</v>
          </cell>
        </row>
        <row r="16">
          <cell r="A16" t="str">
            <v>4574 Мясная со шпиком Папа может вар п/о ОСТАНКИНО</v>
          </cell>
          <cell r="B16" t="str">
            <v>кг</v>
          </cell>
          <cell r="C16">
            <v>4574</v>
          </cell>
          <cell r="D16">
            <v>140.75</v>
          </cell>
          <cell r="E16">
            <v>64.540999999999997</v>
          </cell>
          <cell r="F16">
            <v>137.71100000000001</v>
          </cell>
          <cell r="G16">
            <v>57.837000000000003</v>
          </cell>
          <cell r="H16">
            <v>1</v>
          </cell>
          <cell r="I16">
            <v>60</v>
          </cell>
          <cell r="J16" t="str">
            <v>в матрице</v>
          </cell>
          <cell r="L16">
            <v>141</v>
          </cell>
          <cell r="M16">
            <v>-3.2889999999999873</v>
          </cell>
          <cell r="P16">
            <v>110</v>
          </cell>
          <cell r="Q16">
            <v>110</v>
          </cell>
          <cell r="R16">
            <v>27.542200000000001</v>
          </cell>
          <cell r="S16">
            <v>75</v>
          </cell>
          <cell r="T16">
            <v>75</v>
          </cell>
          <cell r="U16">
            <v>0</v>
          </cell>
          <cell r="V16">
            <v>12.810777643035051</v>
          </cell>
          <cell r="W16">
            <v>2.0999411811692603</v>
          </cell>
          <cell r="X16">
            <v>32.6128</v>
          </cell>
          <cell r="Y16">
            <v>21.529199999999999</v>
          </cell>
          <cell r="Z16">
            <v>24.9114</v>
          </cell>
          <cell r="AA16">
            <v>29.545400000000001</v>
          </cell>
          <cell r="AB16">
            <v>0</v>
          </cell>
        </row>
        <row r="17">
          <cell r="A17" t="str">
            <v>4813 ФИЛЕЙНАЯ Папа может вар п/о_Л   ОСТАНКИНО</v>
          </cell>
          <cell r="B17" t="str">
            <v>кг</v>
          </cell>
          <cell r="C17">
            <v>4813</v>
          </cell>
          <cell r="D17">
            <v>52.497</v>
          </cell>
          <cell r="E17">
            <v>812.82799999999997</v>
          </cell>
          <cell r="F17">
            <v>433.911</v>
          </cell>
          <cell r="G17">
            <v>408.86900000000003</v>
          </cell>
          <cell r="H17">
            <v>1</v>
          </cell>
          <cell r="I17">
            <v>60</v>
          </cell>
          <cell r="J17" t="str">
            <v>в матрице</v>
          </cell>
          <cell r="L17">
            <v>440.7</v>
          </cell>
          <cell r="M17">
            <v>-6.7889999999999873</v>
          </cell>
          <cell r="P17">
            <v>375</v>
          </cell>
          <cell r="Q17">
            <v>375</v>
          </cell>
          <cell r="R17">
            <v>86.782200000000003</v>
          </cell>
          <cell r="S17">
            <v>65</v>
          </cell>
          <cell r="T17">
            <v>65</v>
          </cell>
          <cell r="U17">
            <v>0</v>
          </cell>
          <cell r="V17">
            <v>14.102765313624223</v>
          </cell>
          <cell r="W17">
            <v>4.7114385208026528</v>
          </cell>
          <cell r="X17">
            <v>95.224999999999994</v>
          </cell>
          <cell r="Y17">
            <v>79.201400000000007</v>
          </cell>
          <cell r="Z17">
            <v>95.4328</v>
          </cell>
          <cell r="AA17">
            <v>114.4444</v>
          </cell>
          <cell r="AB17">
            <v>0</v>
          </cell>
        </row>
        <row r="18">
          <cell r="A18" t="str">
            <v>4993 САЛЯМИ ИТАЛЬЯНСКАЯ с/к в/у 1/250*8_120c ОСТАНКИНО</v>
          </cell>
          <cell r="B18" t="str">
            <v>шт</v>
          </cell>
          <cell r="C18">
            <v>4993</v>
          </cell>
          <cell r="D18">
            <v>49</v>
          </cell>
          <cell r="E18">
            <v>48</v>
          </cell>
          <cell r="F18">
            <v>71</v>
          </cell>
          <cell r="G18">
            <v>26</v>
          </cell>
          <cell r="H18">
            <v>0.25</v>
          </cell>
          <cell r="I18">
            <v>120</v>
          </cell>
          <cell r="J18" t="str">
            <v>ВНИМАНИЕ / в матрице</v>
          </cell>
          <cell r="L18">
            <v>79</v>
          </cell>
          <cell r="M18">
            <v>-8</v>
          </cell>
          <cell r="P18">
            <v>110</v>
          </cell>
          <cell r="Q18">
            <v>110</v>
          </cell>
          <cell r="R18">
            <v>14.2</v>
          </cell>
          <cell r="S18">
            <v>0</v>
          </cell>
          <cell r="T18">
            <v>0</v>
          </cell>
          <cell r="U18">
            <v>0</v>
          </cell>
          <cell r="V18">
            <v>17.323943661971832</v>
          </cell>
          <cell r="W18">
            <v>1.8309859154929577</v>
          </cell>
          <cell r="X18">
            <v>17.399999999999999</v>
          </cell>
          <cell r="Y18">
            <v>15.8</v>
          </cell>
          <cell r="Z18">
            <v>13.2</v>
          </cell>
          <cell r="AA18">
            <v>23</v>
          </cell>
          <cell r="AB18" t="str">
            <v>Обжора / Паллет</v>
          </cell>
        </row>
        <row r="19">
          <cell r="A19" t="str">
            <v>5452 ВЕТЧ.МЯСНАЯ Папа может п/о    ОСТАНКИНО</v>
          </cell>
          <cell r="B19" t="str">
            <v>кг</v>
          </cell>
          <cell r="C19">
            <v>5452</v>
          </cell>
          <cell r="D19">
            <v>51.354999999999997</v>
          </cell>
          <cell r="E19">
            <v>83.194999999999993</v>
          </cell>
          <cell r="F19">
            <v>54.128</v>
          </cell>
          <cell r="G19">
            <v>74.631</v>
          </cell>
          <cell r="H19">
            <v>1</v>
          </cell>
          <cell r="I19">
            <v>60</v>
          </cell>
          <cell r="J19" t="str">
            <v>в матрице</v>
          </cell>
          <cell r="L19">
            <v>54.3</v>
          </cell>
          <cell r="M19">
            <v>-0.17199999999999704</v>
          </cell>
          <cell r="P19">
            <v>25</v>
          </cell>
          <cell r="Q19">
            <v>25</v>
          </cell>
          <cell r="R19">
            <v>10.8256</v>
          </cell>
          <cell r="S19">
            <v>17.5</v>
          </cell>
          <cell r="T19">
            <v>17.5</v>
          </cell>
          <cell r="U19">
            <v>0</v>
          </cell>
          <cell r="V19">
            <v>13.129156813479161</v>
          </cell>
          <cell r="W19">
            <v>6.8939365947383981</v>
          </cell>
          <cell r="X19">
            <v>7.8748000000000005</v>
          </cell>
          <cell r="Y19">
            <v>7.8231999999999999</v>
          </cell>
          <cell r="Z19">
            <v>13.077400000000001</v>
          </cell>
          <cell r="AA19">
            <v>11.439400000000001</v>
          </cell>
          <cell r="AB19">
            <v>0</v>
          </cell>
        </row>
        <row r="20">
          <cell r="A20" t="str">
            <v>5483 ЭКСТРА Папа может с/к в/у 1/250 8шт.   ОСТАНКИНО</v>
          </cell>
          <cell r="B20" t="str">
            <v>шт</v>
          </cell>
          <cell r="C20">
            <v>5483</v>
          </cell>
          <cell r="D20">
            <v>674</v>
          </cell>
          <cell r="E20">
            <v>20</v>
          </cell>
          <cell r="F20">
            <v>101</v>
          </cell>
          <cell r="G20">
            <v>573</v>
          </cell>
          <cell r="H20">
            <v>0.25</v>
          </cell>
          <cell r="I20">
            <v>120</v>
          </cell>
          <cell r="J20" t="str">
            <v>в матрице</v>
          </cell>
          <cell r="L20">
            <v>122.3</v>
          </cell>
          <cell r="M20">
            <v>-21.299999999999997</v>
          </cell>
          <cell r="P20">
            <v>0</v>
          </cell>
          <cell r="Q20">
            <v>0</v>
          </cell>
          <cell r="R20">
            <v>20.2</v>
          </cell>
          <cell r="S20">
            <v>0</v>
          </cell>
          <cell r="T20">
            <v>0</v>
          </cell>
          <cell r="U20">
            <v>0</v>
          </cell>
          <cell r="V20">
            <v>28.366336633663366</v>
          </cell>
          <cell r="W20">
            <v>28.366336633663366</v>
          </cell>
          <cell r="X20">
            <v>18</v>
          </cell>
          <cell r="Y20">
            <v>61</v>
          </cell>
          <cell r="Z20">
            <v>10.4</v>
          </cell>
          <cell r="AA20">
            <v>34</v>
          </cell>
          <cell r="AB20" t="str">
            <v>Обжора / Паллет</v>
          </cell>
        </row>
        <row r="21">
          <cell r="A21" t="str">
            <v>5495 ВЕТЧ.С ИНДЕЙКОЙ Папа может п/о 400*6  Останкино</v>
          </cell>
          <cell r="B21" t="str">
            <v>шт</v>
          </cell>
          <cell r="C21">
            <v>5495</v>
          </cell>
          <cell r="D21">
            <v>230</v>
          </cell>
          <cell r="E21">
            <v>620</v>
          </cell>
          <cell r="F21">
            <v>374</v>
          </cell>
          <cell r="G21">
            <v>454</v>
          </cell>
          <cell r="H21">
            <v>0.4</v>
          </cell>
          <cell r="I21">
            <v>60</v>
          </cell>
          <cell r="J21" t="str">
            <v>в матрице</v>
          </cell>
          <cell r="L21">
            <v>401</v>
          </cell>
          <cell r="M21">
            <v>-27</v>
          </cell>
          <cell r="P21">
            <v>45</v>
          </cell>
          <cell r="Q21">
            <v>45</v>
          </cell>
          <cell r="R21">
            <v>74.8</v>
          </cell>
          <cell r="S21">
            <v>270</v>
          </cell>
          <cell r="T21">
            <v>270</v>
          </cell>
          <cell r="U21">
            <v>0</v>
          </cell>
          <cell r="V21">
            <v>10.882352941176471</v>
          </cell>
          <cell r="W21">
            <v>6.0695187165775399</v>
          </cell>
          <cell r="X21">
            <v>72.400000000000006</v>
          </cell>
          <cell r="Y21">
            <v>68</v>
          </cell>
          <cell r="Z21">
            <v>82.4</v>
          </cell>
          <cell r="AA21">
            <v>65.400000000000006</v>
          </cell>
          <cell r="AB21" t="str">
            <v>Обжора / Паллет / 19,01,26 завод не отгрузил 250шт.</v>
          </cell>
        </row>
        <row r="22">
          <cell r="A22" t="str">
            <v>5544 Сервелат Финский в/к в/у_45с НОВАЯ ОСТАНКИНО</v>
          </cell>
          <cell r="B22" t="str">
            <v>кг</v>
          </cell>
          <cell r="C22">
            <v>5544</v>
          </cell>
          <cell r="D22">
            <v>119.57299999999999</v>
          </cell>
          <cell r="E22">
            <v>481.32799999999997</v>
          </cell>
          <cell r="F22">
            <v>354.375</v>
          </cell>
          <cell r="G22">
            <v>241.53399999999999</v>
          </cell>
          <cell r="H22">
            <v>1</v>
          </cell>
          <cell r="I22">
            <v>45</v>
          </cell>
          <cell r="J22" t="str">
            <v>в матрице</v>
          </cell>
          <cell r="L22">
            <v>356.2</v>
          </cell>
          <cell r="M22">
            <v>-1.8249999999999886</v>
          </cell>
          <cell r="P22">
            <v>150</v>
          </cell>
          <cell r="Q22">
            <v>150</v>
          </cell>
          <cell r="R22">
            <v>70.875</v>
          </cell>
          <cell r="S22">
            <v>225</v>
          </cell>
          <cell r="T22">
            <v>225</v>
          </cell>
          <cell r="U22">
            <v>0</v>
          </cell>
          <cell r="V22">
            <v>10.815294532627865</v>
          </cell>
          <cell r="W22">
            <v>3.4078871252204586</v>
          </cell>
          <cell r="X22">
            <v>48.085999999999999</v>
          </cell>
          <cell r="Y22">
            <v>56.423400000000001</v>
          </cell>
          <cell r="Z22">
            <v>67.234400000000008</v>
          </cell>
          <cell r="AA22">
            <v>65.8172</v>
          </cell>
          <cell r="AB22">
            <v>0</v>
          </cell>
        </row>
        <row r="23">
          <cell r="A23" t="str">
            <v>5708 ПОСОЛЬСКАЯ Папа может с/к в/у ОСТАНКИНО</v>
          </cell>
          <cell r="B23" t="str">
            <v>кг</v>
          </cell>
          <cell r="C23">
            <v>5708</v>
          </cell>
          <cell r="D23">
            <v>116.03100000000001</v>
          </cell>
          <cell r="F23">
            <v>0.49399999999999999</v>
          </cell>
          <cell r="H23">
            <v>1</v>
          </cell>
          <cell r="I23">
            <v>120</v>
          </cell>
          <cell r="J23" t="str">
            <v>в матрице</v>
          </cell>
          <cell r="L23">
            <v>15.3</v>
          </cell>
          <cell r="M23">
            <v>-14.806000000000001</v>
          </cell>
          <cell r="P23">
            <v>0</v>
          </cell>
          <cell r="Q23">
            <v>0</v>
          </cell>
          <cell r="R23">
            <v>9.8799999999999999E-2</v>
          </cell>
          <cell r="S23">
            <v>12.5</v>
          </cell>
          <cell r="T23">
            <v>12.5</v>
          </cell>
          <cell r="U23">
            <v>0</v>
          </cell>
          <cell r="V23">
            <v>126.51821862348179</v>
          </cell>
          <cell r="W23">
            <v>0</v>
          </cell>
          <cell r="X23">
            <v>3.8247999999999998</v>
          </cell>
          <cell r="Y23">
            <v>2.8746</v>
          </cell>
          <cell r="Z23">
            <v>0.99380000000000002</v>
          </cell>
          <cell r="AA23">
            <v>3.379</v>
          </cell>
          <cell r="AB23">
            <v>0</v>
          </cell>
        </row>
        <row r="24">
          <cell r="A24" t="str">
            <v>5819 Сосиски Папа может 400г Мясные  ОСТАНКИНО</v>
          </cell>
          <cell r="B24" t="str">
            <v>шт</v>
          </cell>
          <cell r="C24">
            <v>5819</v>
          </cell>
          <cell r="D24">
            <v>431</v>
          </cell>
          <cell r="E24">
            <v>4</v>
          </cell>
          <cell r="F24">
            <v>356</v>
          </cell>
          <cell r="G24">
            <v>73</v>
          </cell>
          <cell r="H24">
            <v>0.4</v>
          </cell>
          <cell r="I24">
            <v>45</v>
          </cell>
          <cell r="J24" t="str">
            <v>в матрице</v>
          </cell>
          <cell r="L24">
            <v>362</v>
          </cell>
          <cell r="M24">
            <v>-6</v>
          </cell>
          <cell r="P24">
            <v>170</v>
          </cell>
          <cell r="Q24">
            <v>170</v>
          </cell>
          <cell r="R24">
            <v>71.2</v>
          </cell>
          <cell r="S24">
            <v>275</v>
          </cell>
          <cell r="T24">
            <v>275</v>
          </cell>
          <cell r="U24">
            <v>0</v>
          </cell>
          <cell r="V24">
            <v>9.6629213483146064</v>
          </cell>
          <cell r="W24">
            <v>1.0252808988764044</v>
          </cell>
          <cell r="X24">
            <v>58</v>
          </cell>
          <cell r="Y24">
            <v>67.400000000000006</v>
          </cell>
          <cell r="Z24">
            <v>44</v>
          </cell>
          <cell r="AA24">
            <v>55</v>
          </cell>
          <cell r="AB24" t="str">
            <v>Обжора / Паллет</v>
          </cell>
        </row>
        <row r="25">
          <cell r="A25" t="str">
            <v>5851 ЭКСТРА Папа может вар п/о   ОСТАНКИНО</v>
          </cell>
          <cell r="B25" t="str">
            <v>кг</v>
          </cell>
          <cell r="C25">
            <v>5851</v>
          </cell>
          <cell r="D25">
            <v>42.651000000000003</v>
          </cell>
          <cell r="E25">
            <v>409.79399999999998</v>
          </cell>
          <cell r="F25">
            <v>213.648</v>
          </cell>
          <cell r="G25">
            <v>235.44800000000001</v>
          </cell>
          <cell r="H25">
            <v>1</v>
          </cell>
          <cell r="I25">
            <v>60</v>
          </cell>
          <cell r="J25" t="str">
            <v>в матрице</v>
          </cell>
          <cell r="L25">
            <v>208.9</v>
          </cell>
          <cell r="M25">
            <v>4.7479999999999905</v>
          </cell>
          <cell r="P25">
            <v>190</v>
          </cell>
          <cell r="Q25">
            <v>190</v>
          </cell>
          <cell r="R25">
            <v>42.729599999999998</v>
          </cell>
          <cell r="S25">
            <v>50</v>
          </cell>
          <cell r="T25">
            <v>50</v>
          </cell>
          <cell r="U25">
            <v>0</v>
          </cell>
          <cell r="V25">
            <v>15.573466636710851</v>
          </cell>
          <cell r="W25">
            <v>5.5101849771586915</v>
          </cell>
          <cell r="X25">
            <v>41.205799999999996</v>
          </cell>
          <cell r="Y25">
            <v>41.588000000000001</v>
          </cell>
          <cell r="Z25">
            <v>50.5824</v>
          </cell>
          <cell r="AA25">
            <v>56.876400000000004</v>
          </cell>
          <cell r="AB25">
            <v>0</v>
          </cell>
        </row>
        <row r="26">
          <cell r="A26" t="str">
            <v>5931 ОХОТНИЧЬЯ Папа может с/к в/у 1/220 8шт.   ОСТАНКИНО</v>
          </cell>
          <cell r="B26" t="str">
            <v>шт</v>
          </cell>
          <cell r="C26">
            <v>5931</v>
          </cell>
          <cell r="D26">
            <v>218</v>
          </cell>
          <cell r="F26">
            <v>87</v>
          </cell>
          <cell r="G26">
            <v>131</v>
          </cell>
          <cell r="H26">
            <v>0.22</v>
          </cell>
          <cell r="I26">
            <v>120</v>
          </cell>
          <cell r="J26" t="str">
            <v>в матрице</v>
          </cell>
          <cell r="L26">
            <v>87</v>
          </cell>
          <cell r="M26">
            <v>0</v>
          </cell>
          <cell r="P26">
            <v>100</v>
          </cell>
          <cell r="Q26">
            <v>100</v>
          </cell>
          <cell r="R26">
            <v>17.399999999999999</v>
          </cell>
          <cell r="S26">
            <v>30</v>
          </cell>
          <cell r="T26">
            <v>30</v>
          </cell>
          <cell r="U26">
            <v>0</v>
          </cell>
          <cell r="V26">
            <v>20.74712643678161</v>
          </cell>
          <cell r="W26">
            <v>7.528735632183909</v>
          </cell>
          <cell r="X26">
            <v>25</v>
          </cell>
          <cell r="Y26">
            <v>26.4</v>
          </cell>
          <cell r="Z26">
            <v>17.2</v>
          </cell>
          <cell r="AA26">
            <v>28.8</v>
          </cell>
          <cell r="AB26">
            <v>0</v>
          </cell>
        </row>
        <row r="27">
          <cell r="A27" t="str">
            <v>6208 ДЫМОВИЦА ИЗ ЛОПАТКИ ПМ к/в с/н в/у 1/150  Останкино</v>
          </cell>
          <cell r="B27" t="str">
            <v>шт</v>
          </cell>
          <cell r="C27">
            <v>6208</v>
          </cell>
          <cell r="D27">
            <v>50</v>
          </cell>
          <cell r="E27">
            <v>60</v>
          </cell>
          <cell r="F27">
            <v>20</v>
          </cell>
          <cell r="G27">
            <v>90</v>
          </cell>
          <cell r="H27">
            <v>0.15</v>
          </cell>
          <cell r="I27">
            <v>45</v>
          </cell>
          <cell r="J27" t="str">
            <v>ВНИМАНИЕ / в матрице</v>
          </cell>
          <cell r="L27">
            <v>68</v>
          </cell>
          <cell r="M27">
            <v>-48</v>
          </cell>
          <cell r="P27">
            <v>0</v>
          </cell>
          <cell r="Q27">
            <v>0</v>
          </cell>
          <cell r="R27">
            <v>4</v>
          </cell>
          <cell r="S27">
            <v>0</v>
          </cell>
          <cell r="T27">
            <v>0</v>
          </cell>
          <cell r="U27">
            <v>0</v>
          </cell>
          <cell r="V27">
            <v>22.5</v>
          </cell>
          <cell r="W27">
            <v>22.5</v>
          </cell>
          <cell r="X27">
            <v>1</v>
          </cell>
          <cell r="Y27">
            <v>1.8</v>
          </cell>
          <cell r="Z27">
            <v>9</v>
          </cell>
          <cell r="AA27">
            <v>2.8</v>
          </cell>
          <cell r="AB27" t="str">
            <v>остатки?</v>
          </cell>
        </row>
        <row r="28">
          <cell r="A28" t="str">
            <v>6220 ГОВЯЖЬЯ папа может вар п/о  Останкино</v>
          </cell>
          <cell r="B28" t="str">
            <v>кг</v>
          </cell>
          <cell r="C28">
            <v>6220</v>
          </cell>
          <cell r="D28">
            <v>3.286</v>
          </cell>
          <cell r="E28">
            <v>430.35</v>
          </cell>
          <cell r="F28">
            <v>189.36699999999999</v>
          </cell>
          <cell r="G28">
            <v>240.21299999999999</v>
          </cell>
          <cell r="H28">
            <v>1</v>
          </cell>
          <cell r="I28">
            <v>60</v>
          </cell>
          <cell r="J28" t="str">
            <v>в матрице</v>
          </cell>
          <cell r="L28">
            <v>215.7</v>
          </cell>
          <cell r="M28">
            <v>-26.332999999999998</v>
          </cell>
          <cell r="P28">
            <v>65</v>
          </cell>
          <cell r="Q28">
            <v>65</v>
          </cell>
          <cell r="R28">
            <v>37.873399999999997</v>
          </cell>
          <cell r="S28">
            <v>100</v>
          </cell>
          <cell r="T28">
            <v>100</v>
          </cell>
          <cell r="U28">
            <v>0</v>
          </cell>
          <cell r="V28">
            <v>12.415389164954824</v>
          </cell>
          <cell r="W28">
            <v>6.342525360807322</v>
          </cell>
          <cell r="X28">
            <v>43.532200000000003</v>
          </cell>
          <cell r="Y28">
            <v>33.980000000000004</v>
          </cell>
          <cell r="Z28">
            <v>58.654399999999995</v>
          </cell>
          <cell r="AA28">
            <v>38.292200000000001</v>
          </cell>
          <cell r="AB28" t="str">
            <v>новинка</v>
          </cell>
        </row>
        <row r="29">
          <cell r="A29" t="str">
            <v>6221 НЕОПОЛИТАНСКИЙ ДУЭТ с/к с/н мгс 1/90  Останкино</v>
          </cell>
          <cell r="B29" t="str">
            <v>шт</v>
          </cell>
          <cell r="C29">
            <v>6221</v>
          </cell>
          <cell r="D29">
            <v>140</v>
          </cell>
          <cell r="E29">
            <v>442</v>
          </cell>
          <cell r="F29">
            <v>359</v>
          </cell>
          <cell r="G29">
            <v>219</v>
          </cell>
          <cell r="H29">
            <v>0.09</v>
          </cell>
          <cell r="I29">
            <v>60</v>
          </cell>
          <cell r="J29" t="str">
            <v>ВНИМАНИЕ / в матрице</v>
          </cell>
          <cell r="L29">
            <v>366</v>
          </cell>
          <cell r="M29">
            <v>-7</v>
          </cell>
          <cell r="P29">
            <v>380</v>
          </cell>
          <cell r="Q29">
            <v>380</v>
          </cell>
          <cell r="R29">
            <v>71.8</v>
          </cell>
          <cell r="S29">
            <v>0</v>
          </cell>
          <cell r="T29">
            <v>0</v>
          </cell>
          <cell r="U29">
            <v>0</v>
          </cell>
          <cell r="V29">
            <v>13.635097493036213</v>
          </cell>
          <cell r="W29">
            <v>3.0501392757660168</v>
          </cell>
          <cell r="X29">
            <v>80</v>
          </cell>
          <cell r="Y29">
            <v>72</v>
          </cell>
          <cell r="Z29">
            <v>76.599999999999994</v>
          </cell>
          <cell r="AA29">
            <v>96</v>
          </cell>
          <cell r="AB29">
            <v>0</v>
          </cell>
        </row>
        <row r="30">
          <cell r="A30" t="str">
            <v>6228 МЯСНОЕ АССОРТИ к/з с/н мгс 1/90 10шт  Останкино</v>
          </cell>
          <cell r="B30" t="str">
            <v>шт</v>
          </cell>
          <cell r="C30">
            <v>6228</v>
          </cell>
          <cell r="D30">
            <v>35</v>
          </cell>
          <cell r="E30">
            <v>60</v>
          </cell>
          <cell r="F30">
            <v>66</v>
          </cell>
          <cell r="G30">
            <v>29</v>
          </cell>
          <cell r="H30">
            <v>0.09</v>
          </cell>
          <cell r="I30">
            <v>45</v>
          </cell>
          <cell r="J30" t="str">
            <v>в матрице</v>
          </cell>
          <cell r="L30">
            <v>206</v>
          </cell>
          <cell r="M30">
            <v>-140</v>
          </cell>
          <cell r="P30">
            <v>90</v>
          </cell>
          <cell r="Q30">
            <v>90</v>
          </cell>
          <cell r="R30">
            <v>13.2</v>
          </cell>
          <cell r="S30">
            <v>25</v>
          </cell>
          <cell r="T30">
            <v>25</v>
          </cell>
          <cell r="U30">
            <v>0</v>
          </cell>
          <cell r="V30">
            <v>17.727272727272727</v>
          </cell>
          <cell r="W30">
            <v>2.1969696969696972</v>
          </cell>
          <cell r="X30">
            <v>9</v>
          </cell>
          <cell r="Y30">
            <v>19</v>
          </cell>
          <cell r="Z30">
            <v>14.8</v>
          </cell>
          <cell r="AA30">
            <v>20.2</v>
          </cell>
          <cell r="AB30" t="str">
            <v>Обжора / Паллет</v>
          </cell>
        </row>
        <row r="31">
          <cell r="A31" t="str">
            <v>6279 КОРЕЙКА ПО-ОСТ.к/в в/с с/н в/у 1/150_45с  Останкино</v>
          </cell>
          <cell r="B31" t="str">
            <v>шт</v>
          </cell>
          <cell r="C31">
            <v>6279</v>
          </cell>
          <cell r="D31">
            <v>129</v>
          </cell>
          <cell r="F31">
            <v>31</v>
          </cell>
          <cell r="G31">
            <v>98</v>
          </cell>
          <cell r="H31">
            <v>0.15</v>
          </cell>
          <cell r="I31">
            <v>45</v>
          </cell>
          <cell r="J31" t="str">
            <v>в матрице</v>
          </cell>
          <cell r="L31">
            <v>186</v>
          </cell>
          <cell r="M31">
            <v>-155</v>
          </cell>
          <cell r="P31">
            <v>260</v>
          </cell>
          <cell r="Q31">
            <v>260</v>
          </cell>
          <cell r="R31">
            <v>6.2</v>
          </cell>
          <cell r="S31">
            <v>0</v>
          </cell>
          <cell r="T31">
            <v>0</v>
          </cell>
          <cell r="U31">
            <v>0</v>
          </cell>
          <cell r="V31">
            <v>99.677419354838705</v>
          </cell>
          <cell r="W31">
            <v>15.806451612903226</v>
          </cell>
          <cell r="X31">
            <v>15.2</v>
          </cell>
          <cell r="Y31">
            <v>16.600000000000001</v>
          </cell>
          <cell r="Z31">
            <v>24.6</v>
          </cell>
          <cell r="AA31">
            <v>45.6</v>
          </cell>
          <cell r="AB31" t="str">
            <v>Галактика</v>
          </cell>
        </row>
        <row r="32">
          <cell r="A32" t="str">
            <v>6303 Мясные Папа может сос п/о мгс 1,5*3  Останкино</v>
          </cell>
          <cell r="B32" t="str">
            <v>кг</v>
          </cell>
          <cell r="C32">
            <v>6303</v>
          </cell>
          <cell r="D32">
            <v>139.61500000000001</v>
          </cell>
          <cell r="E32">
            <v>338.93200000000002</v>
          </cell>
          <cell r="F32">
            <v>266.62400000000002</v>
          </cell>
          <cell r="G32">
            <v>205.36500000000001</v>
          </cell>
          <cell r="H32">
            <v>1</v>
          </cell>
          <cell r="I32">
            <v>45</v>
          </cell>
          <cell r="J32" t="str">
            <v>в матрице</v>
          </cell>
          <cell r="L32">
            <v>265.89999999999998</v>
          </cell>
          <cell r="M32">
            <v>0.72400000000004638</v>
          </cell>
          <cell r="P32">
            <v>45</v>
          </cell>
          <cell r="Q32">
            <v>45</v>
          </cell>
          <cell r="R32">
            <v>53.324800000000003</v>
          </cell>
          <cell r="S32">
            <v>210</v>
          </cell>
          <cell r="T32">
            <v>210</v>
          </cell>
          <cell r="U32">
            <v>0</v>
          </cell>
          <cell r="V32">
            <v>9.4771100876140171</v>
          </cell>
          <cell r="W32">
            <v>3.8512099435909746</v>
          </cell>
          <cell r="X32">
            <v>44.929000000000002</v>
          </cell>
          <cell r="Y32">
            <v>25.926400000000001</v>
          </cell>
          <cell r="Z32">
            <v>46.323399999999999</v>
          </cell>
          <cell r="AA32">
            <v>37.568799999999996</v>
          </cell>
          <cell r="AB32">
            <v>0</v>
          </cell>
        </row>
        <row r="33">
          <cell r="A33" t="str">
            <v>6324 ДОКТОРСКАЯ ГОСТ вар п/о 0,4кг 8шт  Останкино</v>
          </cell>
          <cell r="B33" t="str">
            <v>шт</v>
          </cell>
          <cell r="C33">
            <v>6324</v>
          </cell>
          <cell r="D33">
            <v>9</v>
          </cell>
          <cell r="F33">
            <v>0</v>
          </cell>
          <cell r="G33">
            <v>9</v>
          </cell>
          <cell r="H33">
            <v>0.4</v>
          </cell>
          <cell r="I33">
            <v>60</v>
          </cell>
          <cell r="J33" t="str">
            <v>в матрице</v>
          </cell>
          <cell r="L33">
            <v>399</v>
          </cell>
          <cell r="M33">
            <v>-399</v>
          </cell>
          <cell r="P33">
            <v>20</v>
          </cell>
          <cell r="Q33">
            <v>20</v>
          </cell>
          <cell r="R33">
            <v>0</v>
          </cell>
          <cell r="S33">
            <v>30</v>
          </cell>
          <cell r="T33">
            <v>30</v>
          </cell>
          <cell r="U33">
            <v>0</v>
          </cell>
          <cell r="V33" t="e">
            <v>#DIV/0!</v>
          </cell>
          <cell r="W33" t="e">
            <v>#DIV/0!</v>
          </cell>
          <cell r="X33">
            <v>1.8</v>
          </cell>
          <cell r="Y33">
            <v>29</v>
          </cell>
          <cell r="Z33">
            <v>2.6</v>
          </cell>
          <cell r="AA33">
            <v>0.4</v>
          </cell>
          <cell r="AB33" t="str">
            <v>Обжора / Паллет</v>
          </cell>
        </row>
        <row r="34">
          <cell r="A34" t="str">
            <v>6325 ДОКТОРСКАЯ ПРЕМИУМ вар п/о 0.4кг 8шт.  ОСТАНКИНО</v>
          </cell>
          <cell r="B34" t="str">
            <v>шт</v>
          </cell>
          <cell r="C34">
            <v>6325</v>
          </cell>
          <cell r="D34">
            <v>37</v>
          </cell>
          <cell r="F34">
            <v>-1</v>
          </cell>
          <cell r="G34">
            <v>37</v>
          </cell>
          <cell r="H34">
            <v>0.4</v>
          </cell>
          <cell r="I34">
            <v>60</v>
          </cell>
          <cell r="J34" t="str">
            <v>в матрице</v>
          </cell>
          <cell r="L34">
            <v>117</v>
          </cell>
          <cell r="M34">
            <v>-118</v>
          </cell>
          <cell r="P34">
            <v>30</v>
          </cell>
          <cell r="Q34">
            <v>30</v>
          </cell>
          <cell r="R34">
            <v>-0.2</v>
          </cell>
          <cell r="S34">
            <v>20</v>
          </cell>
          <cell r="T34">
            <v>20</v>
          </cell>
          <cell r="U34">
            <v>0</v>
          </cell>
          <cell r="V34">
            <v>-585</v>
          </cell>
          <cell r="W34">
            <v>-185</v>
          </cell>
          <cell r="X34">
            <v>14</v>
          </cell>
          <cell r="Y34">
            <v>5.2</v>
          </cell>
          <cell r="Z34">
            <v>-0.2</v>
          </cell>
          <cell r="AA34">
            <v>6</v>
          </cell>
          <cell r="AB34">
            <v>0</v>
          </cell>
        </row>
        <row r="35">
          <cell r="A35" t="str">
            <v>6333 МЯСНАЯ Папа может вар п/о 0.4кг 8шт.  ОСТАНКИНО</v>
          </cell>
          <cell r="B35" t="str">
            <v>шт</v>
          </cell>
          <cell r="C35">
            <v>6333</v>
          </cell>
          <cell r="D35">
            <v>398.65499999999997</v>
          </cell>
          <cell r="E35">
            <v>813</v>
          </cell>
          <cell r="F35">
            <v>725</v>
          </cell>
          <cell r="G35">
            <v>463.65499999999997</v>
          </cell>
          <cell r="H35">
            <v>0.4</v>
          </cell>
          <cell r="I35">
            <v>60</v>
          </cell>
          <cell r="J35" t="str">
            <v>ВНИМАНИЕ / в матрице</v>
          </cell>
          <cell r="L35">
            <v>752</v>
          </cell>
          <cell r="M35">
            <v>-27</v>
          </cell>
          <cell r="P35">
            <v>160</v>
          </cell>
          <cell r="Q35">
            <v>160</v>
          </cell>
          <cell r="R35">
            <v>145</v>
          </cell>
          <cell r="S35">
            <v>600</v>
          </cell>
          <cell r="T35">
            <v>600</v>
          </cell>
          <cell r="U35">
            <v>0</v>
          </cell>
          <cell r="V35">
            <v>9.5424482758620695</v>
          </cell>
          <cell r="W35">
            <v>3.1976206896551722</v>
          </cell>
          <cell r="X35">
            <v>85.2</v>
          </cell>
          <cell r="Y35">
            <v>108.6</v>
          </cell>
          <cell r="Z35">
            <v>119.2</v>
          </cell>
          <cell r="AA35">
            <v>106</v>
          </cell>
          <cell r="AB35" t="str">
            <v>Обжора / Паллет</v>
          </cell>
        </row>
        <row r="36">
          <cell r="A36" t="str">
            <v>6353 ЭКСТРА Папа может вар п/о 0.4кг 8шт.  ОСТАНКИНО</v>
          </cell>
          <cell r="B36" t="str">
            <v>шт</v>
          </cell>
          <cell r="C36">
            <v>6353</v>
          </cell>
          <cell r="D36">
            <v>571</v>
          </cell>
          <cell r="E36">
            <v>180</v>
          </cell>
          <cell r="F36">
            <v>659</v>
          </cell>
          <cell r="G36">
            <v>79</v>
          </cell>
          <cell r="H36">
            <v>0.4</v>
          </cell>
          <cell r="I36">
            <v>60</v>
          </cell>
          <cell r="J36" t="str">
            <v>ВНИМАНИЕ / в матрице</v>
          </cell>
          <cell r="L36">
            <v>684</v>
          </cell>
          <cell r="M36">
            <v>-25</v>
          </cell>
          <cell r="P36">
            <v>360</v>
          </cell>
          <cell r="Q36">
            <v>360</v>
          </cell>
          <cell r="R36">
            <v>131.80000000000001</v>
          </cell>
          <cell r="S36">
            <v>500</v>
          </cell>
          <cell r="T36">
            <v>500</v>
          </cell>
          <cell r="U36">
            <v>0</v>
          </cell>
          <cell r="V36">
            <v>9.8558421851289832</v>
          </cell>
          <cell r="W36">
            <v>0.59939301972685888</v>
          </cell>
          <cell r="X36">
            <v>68.2</v>
          </cell>
          <cell r="Y36">
            <v>112.6</v>
          </cell>
          <cell r="Z36">
            <v>84</v>
          </cell>
          <cell r="AA36">
            <v>105.4</v>
          </cell>
          <cell r="AB36" t="str">
            <v>Обжора / Паллет</v>
          </cell>
        </row>
        <row r="37">
          <cell r="A37" t="str">
            <v>6392 ФИЛЕЙНАЯ Папа может вар п/о 0,4кг  ОСТАНКИНО</v>
          </cell>
          <cell r="B37" t="str">
            <v>шт</v>
          </cell>
          <cell r="C37">
            <v>6392</v>
          </cell>
          <cell r="D37">
            <v>1262</v>
          </cell>
          <cell r="E37">
            <v>283</v>
          </cell>
          <cell r="F37">
            <v>947</v>
          </cell>
          <cell r="G37">
            <v>584</v>
          </cell>
          <cell r="H37">
            <v>0.4</v>
          </cell>
          <cell r="I37">
            <v>60</v>
          </cell>
          <cell r="J37" t="str">
            <v>ВНИМАНИЕ / в матрице</v>
          </cell>
          <cell r="L37">
            <v>964</v>
          </cell>
          <cell r="M37">
            <v>-17</v>
          </cell>
          <cell r="P37">
            <v>200</v>
          </cell>
          <cell r="Q37">
            <v>200</v>
          </cell>
          <cell r="R37">
            <v>189.4</v>
          </cell>
          <cell r="S37">
            <v>800</v>
          </cell>
          <cell r="T37">
            <v>800</v>
          </cell>
          <cell r="U37">
            <v>0</v>
          </cell>
          <cell r="V37">
            <v>9.4192185850052788</v>
          </cell>
          <cell r="W37">
            <v>3.0834213305174232</v>
          </cell>
          <cell r="X37">
            <v>203.2</v>
          </cell>
          <cell r="Y37">
            <v>195.6</v>
          </cell>
          <cell r="Z37">
            <v>155.80000000000001</v>
          </cell>
          <cell r="AA37">
            <v>136.4</v>
          </cell>
          <cell r="AB37" t="str">
            <v>Обжора / Паллет</v>
          </cell>
        </row>
        <row r="38">
          <cell r="A38" t="str">
            <v>6453 ЭКСТРА Папа может с/к с/н в/у 1/100 14шт.   ОСТАНКИНО</v>
          </cell>
          <cell r="B38" t="str">
            <v>шт</v>
          </cell>
          <cell r="C38">
            <v>6453</v>
          </cell>
          <cell r="D38">
            <v>118</v>
          </cell>
          <cell r="E38">
            <v>197</v>
          </cell>
          <cell r="F38">
            <v>238</v>
          </cell>
          <cell r="G38">
            <v>75</v>
          </cell>
          <cell r="H38">
            <v>0.1</v>
          </cell>
          <cell r="I38">
            <v>60</v>
          </cell>
          <cell r="J38" t="str">
            <v>в матрице</v>
          </cell>
          <cell r="L38">
            <v>248</v>
          </cell>
          <cell r="M38">
            <v>-10</v>
          </cell>
          <cell r="P38">
            <v>490</v>
          </cell>
          <cell r="Q38">
            <v>490</v>
          </cell>
          <cell r="R38">
            <v>47.6</v>
          </cell>
          <cell r="S38">
            <v>30</v>
          </cell>
          <cell r="T38">
            <v>30</v>
          </cell>
          <cell r="U38">
            <v>0</v>
          </cell>
          <cell r="V38">
            <v>22.794117647058822</v>
          </cell>
          <cell r="W38">
            <v>1.5756302521008403</v>
          </cell>
          <cell r="X38">
            <v>36</v>
          </cell>
          <cell r="Y38">
            <v>65.2</v>
          </cell>
          <cell r="Z38">
            <v>59</v>
          </cell>
          <cell r="AA38">
            <v>96.6</v>
          </cell>
          <cell r="AB38" t="str">
            <v>Обжора / Паллет</v>
          </cell>
        </row>
        <row r="39">
          <cell r="A39" t="str">
            <v>6454 АРОМАТНАЯ с/к с/н в/у 1/100 10шт.  ОСТАНКИНО</v>
          </cell>
          <cell r="B39" t="str">
            <v>шт</v>
          </cell>
          <cell r="C39">
            <v>6454</v>
          </cell>
          <cell r="D39">
            <v>108</v>
          </cell>
          <cell r="E39">
            <v>361</v>
          </cell>
          <cell r="F39">
            <v>241</v>
          </cell>
          <cell r="G39">
            <v>227</v>
          </cell>
          <cell r="H39">
            <v>0.1</v>
          </cell>
          <cell r="I39">
            <v>60</v>
          </cell>
          <cell r="J39" t="str">
            <v>в матрице</v>
          </cell>
          <cell r="L39">
            <v>242</v>
          </cell>
          <cell r="M39">
            <v>-1</v>
          </cell>
          <cell r="P39">
            <v>0</v>
          </cell>
          <cell r="Q39">
            <v>0</v>
          </cell>
          <cell r="R39">
            <v>48.2</v>
          </cell>
          <cell r="S39">
            <v>200</v>
          </cell>
          <cell r="T39">
            <v>200</v>
          </cell>
          <cell r="U39">
            <v>0</v>
          </cell>
          <cell r="V39">
            <v>8.8589211618257249</v>
          </cell>
          <cell r="W39">
            <v>4.7095435684647304</v>
          </cell>
          <cell r="X39">
            <v>37.200000000000003</v>
          </cell>
          <cell r="Y39">
            <v>32.799999999999997</v>
          </cell>
          <cell r="Z39">
            <v>42.6</v>
          </cell>
          <cell r="AA39">
            <v>28</v>
          </cell>
          <cell r="AB39" t="str">
            <v>Обжора / Паллет</v>
          </cell>
        </row>
        <row r="40">
          <cell r="A40" t="str">
            <v>6459 СЕРВЕЛАТ ШВЕЙЦАРСК. в/к с/н в/у 1/100*10  Останкино</v>
          </cell>
          <cell r="B40" t="str">
            <v>шт</v>
          </cell>
          <cell r="C40">
            <v>6459</v>
          </cell>
          <cell r="D40">
            <v>61</v>
          </cell>
          <cell r="E40">
            <v>20</v>
          </cell>
          <cell r="F40">
            <v>66</v>
          </cell>
          <cell r="G40">
            <v>15</v>
          </cell>
          <cell r="H40">
            <v>0.1</v>
          </cell>
          <cell r="I40">
            <v>45</v>
          </cell>
          <cell r="J40" t="str">
            <v>в матрице</v>
          </cell>
          <cell r="L40">
            <v>96</v>
          </cell>
          <cell r="M40">
            <v>-30</v>
          </cell>
          <cell r="P40">
            <v>99.700000000000017</v>
          </cell>
          <cell r="Q40">
            <v>99.700000000000017</v>
          </cell>
          <cell r="R40">
            <v>13.2</v>
          </cell>
          <cell r="S40">
            <v>35</v>
          </cell>
          <cell r="T40">
            <v>35</v>
          </cell>
          <cell r="U40">
            <v>0</v>
          </cell>
          <cell r="V40">
            <v>18.893939393939398</v>
          </cell>
          <cell r="W40">
            <v>1.1363636363636365</v>
          </cell>
          <cell r="X40">
            <v>1.4</v>
          </cell>
          <cell r="Y40">
            <v>13.4</v>
          </cell>
          <cell r="Z40">
            <v>5</v>
          </cell>
          <cell r="AA40">
            <v>20.6</v>
          </cell>
          <cell r="AB40">
            <v>0</v>
          </cell>
        </row>
        <row r="41">
          <cell r="A41" t="str">
            <v>6475 Сосиски Папа может 400г С сыром  ОСТАНКИНО</v>
          </cell>
          <cell r="B41" t="str">
            <v>шт</v>
          </cell>
          <cell r="C41">
            <v>6475</v>
          </cell>
          <cell r="E41">
            <v>36</v>
          </cell>
          <cell r="F41">
            <v>6</v>
          </cell>
          <cell r="G41">
            <v>23</v>
          </cell>
          <cell r="H41">
            <v>0.4</v>
          </cell>
          <cell r="I41">
            <v>0</v>
          </cell>
          <cell r="J41">
            <v>0</v>
          </cell>
          <cell r="L41">
            <v>83</v>
          </cell>
          <cell r="M41">
            <v>-77</v>
          </cell>
          <cell r="P41">
            <v>0</v>
          </cell>
          <cell r="Q41">
            <v>0</v>
          </cell>
          <cell r="R41">
            <v>1.2</v>
          </cell>
          <cell r="S41">
            <v>30</v>
          </cell>
          <cell r="T41">
            <v>30</v>
          </cell>
          <cell r="U41">
            <v>0</v>
          </cell>
          <cell r="V41">
            <v>44.166666666666671</v>
          </cell>
          <cell r="W41">
            <v>19.166666666666668</v>
          </cell>
          <cell r="X41">
            <v>11.4</v>
          </cell>
          <cell r="Y41">
            <v>7.4</v>
          </cell>
          <cell r="Z41">
            <v>1.6</v>
          </cell>
          <cell r="AA41">
            <v>0</v>
          </cell>
          <cell r="AB41" t="str">
            <v>Обжора / Паллет</v>
          </cell>
        </row>
        <row r="42">
          <cell r="A42" t="str">
            <v>6495 ВЕТЧ.МРАМОРНАЯ в/у срез 0,3кг 6шт_45с  Останкино</v>
          </cell>
          <cell r="B42" t="str">
            <v>шт</v>
          </cell>
          <cell r="C42">
            <v>6495</v>
          </cell>
          <cell r="E42">
            <v>434</v>
          </cell>
          <cell r="F42">
            <v>92</v>
          </cell>
          <cell r="G42">
            <v>334</v>
          </cell>
          <cell r="H42">
            <v>0.3</v>
          </cell>
          <cell r="I42" t="e">
            <v>#N/A</v>
          </cell>
          <cell r="J42" t="e">
            <v>#N/A</v>
          </cell>
          <cell r="L42">
            <v>101</v>
          </cell>
          <cell r="M42">
            <v>-9</v>
          </cell>
          <cell r="P42">
            <v>0</v>
          </cell>
          <cell r="Q42">
            <v>0</v>
          </cell>
          <cell r="R42">
            <v>18.399999999999999</v>
          </cell>
          <cell r="S42">
            <v>20</v>
          </cell>
          <cell r="T42">
            <v>20</v>
          </cell>
          <cell r="U42">
            <v>0</v>
          </cell>
          <cell r="V42">
            <v>19.239130434782609</v>
          </cell>
          <cell r="W42">
            <v>18.15217391304348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 t="e">
            <v>#N/A</v>
          </cell>
        </row>
        <row r="43">
          <cell r="A43" t="str">
            <v>6498 МОЛОЧНАЯ Папа может вар п/о  ОСТАНКИНО</v>
          </cell>
          <cell r="B43" t="str">
            <v>кг</v>
          </cell>
          <cell r="C43">
            <v>6498</v>
          </cell>
          <cell r="D43">
            <v>284.82600000000002</v>
          </cell>
          <cell r="E43">
            <v>50.357999999999997</v>
          </cell>
          <cell r="F43">
            <v>74.385000000000005</v>
          </cell>
          <cell r="G43">
            <v>3.0310000000000001</v>
          </cell>
          <cell r="H43">
            <v>1</v>
          </cell>
          <cell r="I43">
            <v>60</v>
          </cell>
          <cell r="J43" t="str">
            <v>в матрице</v>
          </cell>
          <cell r="L43">
            <v>128.80000000000001</v>
          </cell>
          <cell r="M43">
            <v>-54.415000000000006</v>
          </cell>
          <cell r="P43">
            <v>50</v>
          </cell>
          <cell r="Q43">
            <v>50</v>
          </cell>
          <cell r="R43">
            <v>14.877000000000001</v>
          </cell>
          <cell r="S43">
            <v>75</v>
          </cell>
          <cell r="T43">
            <v>75</v>
          </cell>
          <cell r="U43">
            <v>0</v>
          </cell>
          <cell r="V43">
            <v>11.966861598440545</v>
          </cell>
          <cell r="W43">
            <v>0.20373731263023459</v>
          </cell>
          <cell r="X43">
            <v>26.444799999999997</v>
          </cell>
          <cell r="Y43">
            <v>21.195799999999998</v>
          </cell>
          <cell r="Z43">
            <v>26.767200000000003</v>
          </cell>
          <cell r="AA43">
            <v>22.452999999999999</v>
          </cell>
          <cell r="AB43">
            <v>0</v>
          </cell>
        </row>
        <row r="44">
          <cell r="A44" t="str">
            <v>6527 ШПИКАЧКИ СОЧНЫЕ ПМ сар б/о мгс 1*3 45с ОСТАНКИНО</v>
          </cell>
          <cell r="B44" t="str">
            <v>кг</v>
          </cell>
          <cell r="C44">
            <v>6527</v>
          </cell>
          <cell r="D44">
            <v>47.642000000000003</v>
          </cell>
          <cell r="E44">
            <v>160.66399999999999</v>
          </cell>
          <cell r="F44">
            <v>63.793999999999997</v>
          </cell>
          <cell r="G44">
            <v>135.21700000000001</v>
          </cell>
          <cell r="H44">
            <v>1</v>
          </cell>
          <cell r="I44">
            <v>45</v>
          </cell>
          <cell r="J44" t="str">
            <v>в матрице</v>
          </cell>
          <cell r="L44">
            <v>72.522999999999996</v>
          </cell>
          <cell r="M44">
            <v>-8.7289999999999992</v>
          </cell>
          <cell r="P44">
            <v>20</v>
          </cell>
          <cell r="Q44">
            <v>20</v>
          </cell>
          <cell r="R44">
            <v>12.758799999999999</v>
          </cell>
          <cell r="S44">
            <v>10</v>
          </cell>
          <cell r="T44">
            <v>10</v>
          </cell>
          <cell r="U44">
            <v>0</v>
          </cell>
          <cell r="V44">
            <v>14.516804088158763</v>
          </cell>
          <cell r="W44">
            <v>10.597940245164123</v>
          </cell>
          <cell r="X44">
            <v>16.128999999999998</v>
          </cell>
          <cell r="Y44">
            <v>14.8492</v>
          </cell>
          <cell r="Z44">
            <v>17.9648</v>
          </cell>
          <cell r="AA44">
            <v>14.7774</v>
          </cell>
          <cell r="AB44">
            <v>0</v>
          </cell>
        </row>
        <row r="45">
          <cell r="A45" t="str">
            <v>6550 МЯСНЫЕ Папа может сар б/о мгс 1*3 О 45с  Останкино</v>
          </cell>
          <cell r="B45" t="str">
            <v>кг</v>
          </cell>
          <cell r="C45">
            <v>6550</v>
          </cell>
          <cell r="D45">
            <v>97.769000000000005</v>
          </cell>
          <cell r="E45">
            <v>144.71799999999999</v>
          </cell>
          <cell r="F45">
            <v>103.16</v>
          </cell>
          <cell r="G45">
            <v>132.76900000000001</v>
          </cell>
          <cell r="H45">
            <v>1</v>
          </cell>
          <cell r="I45">
            <v>45</v>
          </cell>
          <cell r="J45" t="str">
            <v>в матрице</v>
          </cell>
          <cell r="L45">
            <v>106.2</v>
          </cell>
          <cell r="M45">
            <v>-3.0400000000000063</v>
          </cell>
          <cell r="P45">
            <v>15</v>
          </cell>
          <cell r="Q45">
            <v>15</v>
          </cell>
          <cell r="R45">
            <v>20.631999999999998</v>
          </cell>
          <cell r="S45">
            <v>60</v>
          </cell>
          <cell r="T45">
            <v>60</v>
          </cell>
          <cell r="U45">
            <v>0</v>
          </cell>
          <cell r="V45">
            <v>10.797256688639008</v>
          </cell>
          <cell r="W45">
            <v>6.4351008142690977</v>
          </cell>
          <cell r="X45">
            <v>9.5447999999999986</v>
          </cell>
          <cell r="Y45">
            <v>17.996199999999998</v>
          </cell>
          <cell r="Z45">
            <v>17.272200000000002</v>
          </cell>
          <cell r="AA45">
            <v>10.6646</v>
          </cell>
          <cell r="AB45">
            <v>0</v>
          </cell>
        </row>
        <row r="46">
          <cell r="A46" t="str">
            <v>6608 С ГОВЯДИНОЙ ОРИГИН. сар б/о мгс 1*3_45с  ОСТАНКИНО</v>
          </cell>
          <cell r="B46" t="str">
            <v>кг</v>
          </cell>
          <cell r="C46">
            <v>6608</v>
          </cell>
          <cell r="D46">
            <v>30.9</v>
          </cell>
          <cell r="E46">
            <v>416.58499999999998</v>
          </cell>
          <cell r="F46">
            <v>165.399</v>
          </cell>
          <cell r="G46">
            <v>276.68299999999999</v>
          </cell>
          <cell r="H46">
            <v>1</v>
          </cell>
          <cell r="I46">
            <v>45</v>
          </cell>
          <cell r="J46" t="str">
            <v>в матрице</v>
          </cell>
          <cell r="L46">
            <v>173</v>
          </cell>
          <cell r="M46">
            <v>-7.6009999999999991</v>
          </cell>
          <cell r="P46">
            <v>15</v>
          </cell>
          <cell r="Q46">
            <v>15</v>
          </cell>
          <cell r="R46">
            <v>33.079799999999999</v>
          </cell>
          <cell r="S46">
            <v>85</v>
          </cell>
          <cell r="T46">
            <v>85</v>
          </cell>
          <cell r="U46">
            <v>0</v>
          </cell>
          <cell r="V46">
            <v>11.840549217347142</v>
          </cell>
          <cell r="W46">
            <v>8.3641074008911787</v>
          </cell>
          <cell r="X46">
            <v>34.709800000000001</v>
          </cell>
          <cell r="Y46">
            <v>27.579799999999999</v>
          </cell>
          <cell r="Z46">
            <v>40.957799999999999</v>
          </cell>
          <cell r="AA46">
            <v>29.583199999999998</v>
          </cell>
          <cell r="AB46">
            <v>0</v>
          </cell>
        </row>
        <row r="47">
          <cell r="A47" t="str">
            <v>6616 МОЛОЧНЫЕ КЛАССИЧЕСКИЕ сос п/о в/у 0,3 кг  Останкино</v>
          </cell>
          <cell r="B47" t="str">
            <v>шт</v>
          </cell>
          <cell r="C47">
            <v>6616</v>
          </cell>
          <cell r="D47">
            <v>328</v>
          </cell>
          <cell r="E47">
            <v>537</v>
          </cell>
          <cell r="F47">
            <v>376</v>
          </cell>
          <cell r="G47">
            <v>463</v>
          </cell>
          <cell r="H47">
            <v>0.3</v>
          </cell>
          <cell r="I47">
            <v>45</v>
          </cell>
          <cell r="J47" t="str">
            <v>в матрице</v>
          </cell>
          <cell r="L47">
            <v>404</v>
          </cell>
          <cell r="M47">
            <v>-28</v>
          </cell>
          <cell r="P47">
            <v>3150</v>
          </cell>
          <cell r="Q47">
            <v>3150</v>
          </cell>
          <cell r="R47">
            <v>75.2</v>
          </cell>
          <cell r="S47">
            <v>1000</v>
          </cell>
          <cell r="T47">
            <v>1000</v>
          </cell>
          <cell r="U47" t="str">
            <v>листовка сеть ЮГТех</v>
          </cell>
          <cell r="V47">
            <v>103.2313829787234</v>
          </cell>
          <cell r="W47">
            <v>6.1569148936170208</v>
          </cell>
          <cell r="X47">
            <v>81.2</v>
          </cell>
          <cell r="Y47">
            <v>88.8</v>
          </cell>
          <cell r="Z47">
            <v>92.2</v>
          </cell>
          <cell r="AA47">
            <v>90.2</v>
          </cell>
          <cell r="AB47">
            <v>0</v>
          </cell>
        </row>
        <row r="48">
          <cell r="A48" t="str">
            <v>6661 СОЧНЫЙ ГРИЛЬ ПМ сос п/о мгс 1,5*4_Маяк Останкино</v>
          </cell>
          <cell r="B48" t="str">
            <v>кг</v>
          </cell>
          <cell r="C48">
            <v>6661</v>
          </cell>
          <cell r="D48">
            <v>30.631</v>
          </cell>
          <cell r="E48">
            <v>12.478999999999999</v>
          </cell>
          <cell r="F48">
            <v>13.917</v>
          </cell>
          <cell r="G48">
            <v>4.6920000000000002</v>
          </cell>
          <cell r="H48">
            <v>1</v>
          </cell>
          <cell r="I48">
            <v>45</v>
          </cell>
          <cell r="J48" t="str">
            <v>в матрице</v>
          </cell>
          <cell r="L48">
            <v>13</v>
          </cell>
          <cell r="M48">
            <v>0.91699999999999982</v>
          </cell>
          <cell r="P48">
            <v>5</v>
          </cell>
          <cell r="Q48">
            <v>5</v>
          </cell>
          <cell r="R48">
            <v>2.7833999999999999</v>
          </cell>
          <cell r="S48">
            <v>5</v>
          </cell>
          <cell r="T48">
            <v>5</v>
          </cell>
          <cell r="U48">
            <v>0</v>
          </cell>
          <cell r="V48">
            <v>7.0748006035783577</v>
          </cell>
          <cell r="W48">
            <v>1.6857081267514551</v>
          </cell>
          <cell r="X48">
            <v>-0.17199999999999999</v>
          </cell>
          <cell r="Y48">
            <v>1.2428000000000001</v>
          </cell>
          <cell r="Z48">
            <v>1.234</v>
          </cell>
          <cell r="AA48">
            <v>3.0461999999999998</v>
          </cell>
          <cell r="AB48" t="str">
            <v>нужно увеличить продажи / 31,07,25 в уценку 25кг / 22,04,25 в уценку 25кг</v>
          </cell>
        </row>
        <row r="49">
          <cell r="A49" t="str">
            <v>6697 СЕРВЕЛАТ ФИНСКИЙ ПМ в/к в/у 0,35кг 8шт  ОСТАНКИНО</v>
          </cell>
          <cell r="B49" t="str">
            <v>шт</v>
          </cell>
          <cell r="C49">
            <v>6697</v>
          </cell>
          <cell r="D49">
            <v>1067</v>
          </cell>
          <cell r="E49">
            <v>273</v>
          </cell>
          <cell r="F49">
            <v>976</v>
          </cell>
          <cell r="G49">
            <v>298</v>
          </cell>
          <cell r="H49">
            <v>0.35</v>
          </cell>
          <cell r="I49">
            <v>45</v>
          </cell>
          <cell r="J49" t="str">
            <v>ВНИМАНИЕ / в матрице</v>
          </cell>
          <cell r="L49">
            <v>1101</v>
          </cell>
          <cell r="M49">
            <v>-125</v>
          </cell>
          <cell r="P49">
            <v>1050</v>
          </cell>
          <cell r="Q49">
            <v>1050</v>
          </cell>
          <cell r="R49">
            <v>195.2</v>
          </cell>
          <cell r="S49">
            <v>225</v>
          </cell>
          <cell r="T49">
            <v>225</v>
          </cell>
          <cell r="U49">
            <v>0</v>
          </cell>
          <cell r="V49">
            <v>13.4375</v>
          </cell>
          <cell r="W49">
            <v>1.5266393442622952</v>
          </cell>
          <cell r="X49">
            <v>236.8</v>
          </cell>
          <cell r="Y49">
            <v>225.4</v>
          </cell>
          <cell r="Z49">
            <v>174.6</v>
          </cell>
          <cell r="AA49">
            <v>242.8</v>
          </cell>
          <cell r="AB49" t="str">
            <v>ТС Обжора</v>
          </cell>
        </row>
        <row r="50">
          <cell r="A50" t="str">
            <v>6713 СОЧНЫЙ ГРИЛЬ ПМ сос п/о мгс 0,41кг 8 шт.  ОСТАНКИНО</v>
          </cell>
          <cell r="B50" t="str">
            <v>шт</v>
          </cell>
          <cell r="C50">
            <v>6713</v>
          </cell>
          <cell r="D50">
            <v>281</v>
          </cell>
          <cell r="E50">
            <v>268</v>
          </cell>
          <cell r="F50">
            <v>436</v>
          </cell>
          <cell r="G50">
            <v>101</v>
          </cell>
          <cell r="H50">
            <v>0.41</v>
          </cell>
          <cell r="I50">
            <v>45</v>
          </cell>
          <cell r="J50" t="str">
            <v>в матрице</v>
          </cell>
          <cell r="L50">
            <v>472</v>
          </cell>
          <cell r="M50">
            <v>-36</v>
          </cell>
          <cell r="P50">
            <v>190</v>
          </cell>
          <cell r="Q50">
            <v>190</v>
          </cell>
          <cell r="R50">
            <v>87.2</v>
          </cell>
          <cell r="S50">
            <v>360</v>
          </cell>
          <cell r="T50">
            <v>360</v>
          </cell>
          <cell r="U50">
            <v>0</v>
          </cell>
          <cell r="V50">
            <v>9.6444954128440372</v>
          </cell>
          <cell r="W50">
            <v>1.1582568807339448</v>
          </cell>
          <cell r="X50">
            <v>48</v>
          </cell>
          <cell r="Y50">
            <v>70.8</v>
          </cell>
          <cell r="Z50">
            <v>61</v>
          </cell>
          <cell r="AA50">
            <v>64.599999999999994</v>
          </cell>
          <cell r="AB50" t="str">
            <v>Обжора / Паллет</v>
          </cell>
        </row>
        <row r="51">
          <cell r="A51" t="str">
            <v>6724 МОЛОЧНЫЕ ПМ сос п/о мгс 0,41кг 10шт  Останкино</v>
          </cell>
          <cell r="B51" t="str">
            <v>шт</v>
          </cell>
          <cell r="C51">
            <v>6724</v>
          </cell>
          <cell r="D51">
            <v>163</v>
          </cell>
          <cell r="E51">
            <v>49</v>
          </cell>
          <cell r="F51">
            <v>99</v>
          </cell>
          <cell r="G51">
            <v>104</v>
          </cell>
          <cell r="H51">
            <v>0.41</v>
          </cell>
          <cell r="I51">
            <v>45</v>
          </cell>
          <cell r="J51" t="str">
            <v>в матрице</v>
          </cell>
          <cell r="L51">
            <v>108</v>
          </cell>
          <cell r="M51">
            <v>-9</v>
          </cell>
          <cell r="P51">
            <v>25</v>
          </cell>
          <cell r="Q51">
            <v>25</v>
          </cell>
          <cell r="R51">
            <v>19.8</v>
          </cell>
          <cell r="S51">
            <v>60</v>
          </cell>
          <cell r="T51">
            <v>60</v>
          </cell>
          <cell r="U51">
            <v>0</v>
          </cell>
          <cell r="V51">
            <v>10.808080808080808</v>
          </cell>
          <cell r="W51">
            <v>5.2525252525252526</v>
          </cell>
          <cell r="X51">
            <v>16.2</v>
          </cell>
          <cell r="Y51">
            <v>24.6</v>
          </cell>
          <cell r="Z51">
            <v>19</v>
          </cell>
          <cell r="AA51">
            <v>12.2</v>
          </cell>
          <cell r="AB51">
            <v>0</v>
          </cell>
        </row>
        <row r="52">
          <cell r="A52" t="str">
            <v>6765 РУБЛЕНЫЕ сос ц/о мгс 0,36кг 6шт  Останкино</v>
          </cell>
          <cell r="B52" t="str">
            <v>шт</v>
          </cell>
          <cell r="C52">
            <v>6765</v>
          </cell>
          <cell r="D52">
            <v>87</v>
          </cell>
          <cell r="E52">
            <v>448</v>
          </cell>
          <cell r="F52">
            <v>229</v>
          </cell>
          <cell r="G52">
            <v>204</v>
          </cell>
          <cell r="H52">
            <v>0.36</v>
          </cell>
          <cell r="I52">
            <v>45</v>
          </cell>
          <cell r="J52" t="str">
            <v>в матрице</v>
          </cell>
          <cell r="L52">
            <v>265</v>
          </cell>
          <cell r="M52">
            <v>-36</v>
          </cell>
          <cell r="P52">
            <v>25</v>
          </cell>
          <cell r="Q52">
            <v>25</v>
          </cell>
          <cell r="R52">
            <v>45.8</v>
          </cell>
          <cell r="S52">
            <v>180</v>
          </cell>
          <cell r="T52">
            <v>180</v>
          </cell>
          <cell r="U52">
            <v>0</v>
          </cell>
          <cell r="V52">
            <v>9.4759825327510931</v>
          </cell>
          <cell r="W52">
            <v>4.4541484716157207</v>
          </cell>
          <cell r="X52">
            <v>44.2</v>
          </cell>
          <cell r="Y52">
            <v>30.8</v>
          </cell>
          <cell r="Z52">
            <v>48.8</v>
          </cell>
          <cell r="AA52">
            <v>26.6</v>
          </cell>
          <cell r="AB52" t="str">
            <v>Обжора / Паллет</v>
          </cell>
        </row>
        <row r="53">
          <cell r="A53" t="str">
            <v>6787 СЕРВЕЛАТ КРЕМЛЕВСКИЙ в/к в/у 0,33кг 8шт  Останкино</v>
          </cell>
          <cell r="B53" t="str">
            <v>шт</v>
          </cell>
          <cell r="C53">
            <v>6787</v>
          </cell>
          <cell r="D53">
            <v>295</v>
          </cell>
          <cell r="E53">
            <v>37</v>
          </cell>
          <cell r="F53">
            <v>274</v>
          </cell>
          <cell r="G53">
            <v>51</v>
          </cell>
          <cell r="H53">
            <v>0.33</v>
          </cell>
          <cell r="I53">
            <v>45</v>
          </cell>
          <cell r="J53" t="str">
            <v>в матрице</v>
          </cell>
          <cell r="L53">
            <v>281</v>
          </cell>
          <cell r="M53">
            <v>-7</v>
          </cell>
          <cell r="P53">
            <v>200</v>
          </cell>
          <cell r="Q53">
            <v>200</v>
          </cell>
          <cell r="R53">
            <v>54.8</v>
          </cell>
          <cell r="S53">
            <v>150</v>
          </cell>
          <cell r="T53">
            <v>150</v>
          </cell>
          <cell r="U53">
            <v>0</v>
          </cell>
          <cell r="V53">
            <v>10.967153284671534</v>
          </cell>
          <cell r="W53">
            <v>0.93065693430656937</v>
          </cell>
          <cell r="X53">
            <v>20.2</v>
          </cell>
          <cell r="Y53">
            <v>59.2</v>
          </cell>
          <cell r="Z53">
            <v>41.2</v>
          </cell>
          <cell r="AA53">
            <v>51.6</v>
          </cell>
          <cell r="AB53" t="str">
            <v>Обжора / Паллет</v>
          </cell>
        </row>
        <row r="54">
          <cell r="A54" t="str">
            <v>6793 БАЛЫКОВАЯ в/к в/у 0,33кг 8шт  Останкино</v>
          </cell>
          <cell r="B54" t="str">
            <v>шт</v>
          </cell>
          <cell r="C54">
            <v>6793</v>
          </cell>
          <cell r="D54">
            <v>28</v>
          </cell>
          <cell r="F54">
            <v>36</v>
          </cell>
          <cell r="G54">
            <v>-8</v>
          </cell>
          <cell r="H54">
            <v>0.33</v>
          </cell>
          <cell r="I54">
            <v>45</v>
          </cell>
          <cell r="J54" t="str">
            <v>в матрице</v>
          </cell>
          <cell r="L54">
            <v>118</v>
          </cell>
          <cell r="M54">
            <v>-82</v>
          </cell>
          <cell r="P54">
            <v>170</v>
          </cell>
          <cell r="Q54">
            <v>170</v>
          </cell>
          <cell r="R54">
            <v>7.2</v>
          </cell>
          <cell r="S54">
            <v>50</v>
          </cell>
          <cell r="T54">
            <v>50</v>
          </cell>
          <cell r="U54">
            <v>0</v>
          </cell>
          <cell r="V54">
            <v>53.055555555555557</v>
          </cell>
          <cell r="W54">
            <v>-1.1111111111111112</v>
          </cell>
          <cell r="X54">
            <v>-0.2</v>
          </cell>
          <cell r="Y54">
            <v>12.4</v>
          </cell>
          <cell r="Z54">
            <v>5.8</v>
          </cell>
          <cell r="AA54">
            <v>26.4</v>
          </cell>
          <cell r="AB54" t="str">
            <v>ТС Обжора</v>
          </cell>
        </row>
        <row r="55">
          <cell r="A55" t="str">
            <v>6797 С ИНДЕЙКОЙ Папа может вар п/о 0,4кг 8шт. ОСТАНКИНО</v>
          </cell>
          <cell r="B55" t="str">
            <v>шт</v>
          </cell>
          <cell r="C55">
            <v>6797</v>
          </cell>
          <cell r="D55">
            <v>305</v>
          </cell>
          <cell r="E55">
            <v>308</v>
          </cell>
          <cell r="F55">
            <v>201</v>
          </cell>
          <cell r="G55">
            <v>400</v>
          </cell>
          <cell r="H55">
            <v>0.4</v>
          </cell>
          <cell r="I55" t="e">
            <v>#N/A</v>
          </cell>
          <cell r="J55" t="e">
            <v>#N/A</v>
          </cell>
          <cell r="L55">
            <v>215</v>
          </cell>
          <cell r="M55">
            <v>-14</v>
          </cell>
          <cell r="P55">
            <v>0</v>
          </cell>
          <cell r="Q55">
            <v>0</v>
          </cell>
          <cell r="R55">
            <v>40.200000000000003</v>
          </cell>
          <cell r="S55">
            <v>80</v>
          </cell>
          <cell r="T55">
            <v>80</v>
          </cell>
          <cell r="U55">
            <v>0</v>
          </cell>
          <cell r="V55">
            <v>11.940298507462686</v>
          </cell>
          <cell r="W55">
            <v>9.9502487562189046</v>
          </cell>
          <cell r="X55">
            <v>0</v>
          </cell>
          <cell r="Y55">
            <v>0</v>
          </cell>
          <cell r="Z55">
            <v>0</v>
          </cell>
          <cell r="AA55">
            <v>11.2</v>
          </cell>
          <cell r="AB55" t="e">
            <v>#N/A</v>
          </cell>
        </row>
        <row r="56">
          <cell r="A56" t="str">
            <v>6807 СЕРВЕЛАТ ЕВРОПЕЙСКИЙ в/к в/у 0,33кг 8шт  Останкино</v>
          </cell>
          <cell r="B56" t="str">
            <v>шт</v>
          </cell>
          <cell r="C56">
            <v>6807</v>
          </cell>
          <cell r="D56">
            <v>30</v>
          </cell>
          <cell r="E56">
            <v>21</v>
          </cell>
          <cell r="F56">
            <v>24</v>
          </cell>
          <cell r="G56">
            <v>21</v>
          </cell>
          <cell r="H56">
            <v>0.33</v>
          </cell>
          <cell r="I56">
            <v>45</v>
          </cell>
          <cell r="J56" t="str">
            <v>в матрице</v>
          </cell>
          <cell r="L56">
            <v>30</v>
          </cell>
          <cell r="M56">
            <v>-6</v>
          </cell>
          <cell r="P56">
            <v>160</v>
          </cell>
          <cell r="Q56">
            <v>160</v>
          </cell>
          <cell r="R56">
            <v>4.8</v>
          </cell>
          <cell r="S56">
            <v>25</v>
          </cell>
          <cell r="T56">
            <v>25</v>
          </cell>
          <cell r="U56">
            <v>0</v>
          </cell>
          <cell r="V56">
            <v>76.25</v>
          </cell>
          <cell r="W56">
            <v>4.375</v>
          </cell>
          <cell r="X56">
            <v>7.8</v>
          </cell>
          <cell r="Y56">
            <v>18</v>
          </cell>
          <cell r="Z56">
            <v>13</v>
          </cell>
          <cell r="AA56">
            <v>26.6</v>
          </cell>
          <cell r="AB56" t="str">
            <v>Обжора / Паллет</v>
          </cell>
        </row>
        <row r="57">
          <cell r="A57" t="str">
            <v>6829  МОЛОЧНЫЕ КЛАССИЧЕСКИЕ сос п/о мгс 2*4 С  Останккино</v>
          </cell>
          <cell r="B57" t="str">
            <v>кг</v>
          </cell>
          <cell r="C57">
            <v>6829</v>
          </cell>
          <cell r="D57">
            <v>59.823999999999998</v>
          </cell>
          <cell r="E57">
            <v>469.20499999999998</v>
          </cell>
          <cell r="F57">
            <v>338.59</v>
          </cell>
          <cell r="G57">
            <v>180.94399999999999</v>
          </cell>
          <cell r="H57">
            <v>1</v>
          </cell>
          <cell r="I57">
            <v>45</v>
          </cell>
          <cell r="J57" t="str">
            <v>в матрице</v>
          </cell>
          <cell r="L57">
            <v>341.9</v>
          </cell>
          <cell r="M57">
            <v>-3.3100000000000023</v>
          </cell>
          <cell r="P57">
            <v>210</v>
          </cell>
          <cell r="Q57">
            <v>210</v>
          </cell>
          <cell r="R57">
            <v>67.717999999999989</v>
          </cell>
          <cell r="S57">
            <v>200</v>
          </cell>
          <cell r="T57">
            <v>200</v>
          </cell>
          <cell r="U57">
            <v>0</v>
          </cell>
          <cell r="V57">
            <v>11.827638146430788</v>
          </cell>
          <cell r="W57">
            <v>2.6720222097522077</v>
          </cell>
          <cell r="X57">
            <v>62.043399999999998</v>
          </cell>
          <cell r="Y57">
            <v>55.942399999999999</v>
          </cell>
          <cell r="Z57">
            <v>66.259600000000006</v>
          </cell>
          <cell r="AA57">
            <v>76.353999999999999</v>
          </cell>
          <cell r="AB57">
            <v>0</v>
          </cell>
        </row>
        <row r="58">
          <cell r="A58" t="str">
            <v>6832 АССОРТИ СЫРОКОПЧЕНЫХ КОЛБАС Коровино в/у  ОСТАНКИНО</v>
          </cell>
          <cell r="B58" t="str">
            <v>кг</v>
          </cell>
          <cell r="C58">
            <v>6832</v>
          </cell>
          <cell r="D58">
            <v>11.932</v>
          </cell>
          <cell r="F58">
            <v>0.24</v>
          </cell>
          <cell r="H58">
            <v>1</v>
          </cell>
          <cell r="I58">
            <v>0</v>
          </cell>
          <cell r="J58">
            <v>0</v>
          </cell>
          <cell r="L58">
            <v>4.3</v>
          </cell>
          <cell r="M58">
            <v>-4.0599999999999996</v>
          </cell>
          <cell r="P58">
            <v>30</v>
          </cell>
          <cell r="Q58">
            <v>30</v>
          </cell>
          <cell r="R58">
            <v>4.8000000000000001E-2</v>
          </cell>
          <cell r="S58">
            <v>0</v>
          </cell>
          <cell r="T58">
            <v>0</v>
          </cell>
          <cell r="U58">
            <v>0</v>
          </cell>
          <cell r="V58">
            <v>1250</v>
          </cell>
          <cell r="W58">
            <v>0</v>
          </cell>
          <cell r="X58">
            <v>0.56779999999999997</v>
          </cell>
          <cell r="Y58">
            <v>5.4905999999999997</v>
          </cell>
          <cell r="Z58">
            <v>0.93459999999999999</v>
          </cell>
          <cell r="AA58">
            <v>5.4938000000000002</v>
          </cell>
          <cell r="AB58" t="str">
            <v>нужно увеличить продажи!!!</v>
          </cell>
        </row>
        <row r="59">
          <cell r="A59" t="str">
            <v>6834 ПОСОЛЬСКАЯ с/к с/н в/у 1/100 10шт  Останкино</v>
          </cell>
          <cell r="B59" t="str">
            <v>шт</v>
          </cell>
          <cell r="C59">
            <v>6834</v>
          </cell>
          <cell r="D59">
            <v>42</v>
          </cell>
          <cell r="F59">
            <v>17</v>
          </cell>
          <cell r="G59">
            <v>22</v>
          </cell>
          <cell r="H59">
            <v>0.1</v>
          </cell>
          <cell r="I59">
            <v>60</v>
          </cell>
          <cell r="J59" t="str">
            <v>в матрице</v>
          </cell>
          <cell r="L59">
            <v>20</v>
          </cell>
          <cell r="M59">
            <v>-3</v>
          </cell>
          <cell r="P59">
            <v>0</v>
          </cell>
          <cell r="Q59">
            <v>0</v>
          </cell>
          <cell r="R59">
            <v>3.4</v>
          </cell>
          <cell r="S59">
            <v>25</v>
          </cell>
          <cell r="T59">
            <v>25</v>
          </cell>
          <cell r="U59">
            <v>0</v>
          </cell>
          <cell r="V59">
            <v>13.823529411764707</v>
          </cell>
          <cell r="W59">
            <v>6.4705882352941178</v>
          </cell>
          <cell r="X59">
            <v>4.2</v>
          </cell>
          <cell r="Y59">
            <v>2.4</v>
          </cell>
          <cell r="Z59">
            <v>2.2000000000000002</v>
          </cell>
          <cell r="AA59">
            <v>2</v>
          </cell>
          <cell r="AB59">
            <v>0</v>
          </cell>
        </row>
        <row r="60">
          <cell r="A60" t="str">
            <v>6837 ФИЛЕЙНЫЕ Папа Может сос ц/о мгс 0,4кг  Останкино</v>
          </cell>
          <cell r="B60" t="str">
            <v>шт</v>
          </cell>
          <cell r="C60">
            <v>6837</v>
          </cell>
          <cell r="E60">
            <v>61</v>
          </cell>
          <cell r="F60">
            <v>13</v>
          </cell>
          <cell r="G60">
            <v>41</v>
          </cell>
          <cell r="H60">
            <v>0.4</v>
          </cell>
          <cell r="I60">
            <v>45</v>
          </cell>
          <cell r="J60" t="str">
            <v>в матрице</v>
          </cell>
          <cell r="L60">
            <v>22</v>
          </cell>
          <cell r="M60">
            <v>-9</v>
          </cell>
          <cell r="P60">
            <v>20</v>
          </cell>
          <cell r="Q60">
            <v>20</v>
          </cell>
          <cell r="R60">
            <v>2.6</v>
          </cell>
          <cell r="S60">
            <v>0</v>
          </cell>
          <cell r="T60">
            <v>0</v>
          </cell>
          <cell r="U60">
            <v>0</v>
          </cell>
          <cell r="V60">
            <v>31.153846153846153</v>
          </cell>
          <cell r="W60">
            <v>15.769230769230768</v>
          </cell>
          <cell r="X60">
            <v>9</v>
          </cell>
          <cell r="Y60">
            <v>6.2</v>
          </cell>
          <cell r="Z60">
            <v>7.2</v>
          </cell>
          <cell r="AA60">
            <v>7.2</v>
          </cell>
          <cell r="AB60" t="str">
            <v>увел продажи</v>
          </cell>
        </row>
        <row r="61">
          <cell r="A61" t="str">
            <v>6861 ДОМАШНИЙ РЕЦЕПТ Коровино вар п/о  Останкино</v>
          </cell>
          <cell r="B61" t="str">
            <v>кг</v>
          </cell>
          <cell r="C61">
            <v>6861</v>
          </cell>
          <cell r="D61">
            <v>143.255</v>
          </cell>
          <cell r="E61">
            <v>3.9129999999999998</v>
          </cell>
          <cell r="F61">
            <v>21.599</v>
          </cell>
          <cell r="G61">
            <v>19.616</v>
          </cell>
          <cell r="H61">
            <v>1</v>
          </cell>
          <cell r="I61">
            <v>60</v>
          </cell>
          <cell r="J61" t="str">
            <v>новинка</v>
          </cell>
          <cell r="L61">
            <v>64.5</v>
          </cell>
          <cell r="M61">
            <v>-42.900999999999996</v>
          </cell>
          <cell r="P61">
            <v>0</v>
          </cell>
          <cell r="Q61">
            <v>0</v>
          </cell>
          <cell r="R61">
            <v>4.3197999999999999</v>
          </cell>
          <cell r="S61">
            <v>10</v>
          </cell>
          <cell r="T61">
            <v>10</v>
          </cell>
          <cell r="U61">
            <v>0</v>
          </cell>
          <cell r="V61">
            <v>6.8558729570813464</v>
          </cell>
          <cell r="W61">
            <v>4.5409509699523127</v>
          </cell>
          <cell r="X61">
            <v>4.7744</v>
          </cell>
          <cell r="Y61">
            <v>4.7548000000000004</v>
          </cell>
          <cell r="Z61">
            <v>5.0624000000000002</v>
          </cell>
          <cell r="AA61">
            <v>3.1055999999999999</v>
          </cell>
          <cell r="AB61" t="str">
            <v>увел продажи</v>
          </cell>
        </row>
        <row r="62">
          <cell r="A62" t="str">
            <v>6866 ВЕТЧ.НЕЖНАЯ Коровино п/о_Маяк  Останкино</v>
          </cell>
          <cell r="B62" t="str">
            <v>кг</v>
          </cell>
          <cell r="C62">
            <v>6866</v>
          </cell>
          <cell r="D62">
            <v>16.484999999999999</v>
          </cell>
          <cell r="E62">
            <v>13.58</v>
          </cell>
          <cell r="F62">
            <v>14.266999999999999</v>
          </cell>
          <cell r="G62">
            <v>13.54</v>
          </cell>
          <cell r="H62">
            <v>1</v>
          </cell>
          <cell r="I62">
            <v>60</v>
          </cell>
          <cell r="J62" t="str">
            <v>в матрице</v>
          </cell>
          <cell r="L62">
            <v>15.3</v>
          </cell>
          <cell r="M62">
            <v>-1.0330000000000013</v>
          </cell>
          <cell r="P62">
            <v>10</v>
          </cell>
          <cell r="Q62">
            <v>10</v>
          </cell>
          <cell r="R62">
            <v>2.8533999999999997</v>
          </cell>
          <cell r="S62">
            <v>3</v>
          </cell>
          <cell r="T62">
            <v>3</v>
          </cell>
          <cell r="U62">
            <v>0</v>
          </cell>
          <cell r="V62">
            <v>12.80577556599145</v>
          </cell>
          <cell r="W62">
            <v>4.7452162332655785</v>
          </cell>
          <cell r="X62">
            <v>2.7350000000000003</v>
          </cell>
          <cell r="Y62">
            <v>3.6310000000000002</v>
          </cell>
          <cell r="Z62">
            <v>3.617</v>
          </cell>
          <cell r="AA62">
            <v>1.8579999999999999</v>
          </cell>
          <cell r="AB62">
            <v>0</v>
          </cell>
        </row>
        <row r="63">
          <cell r="A63" t="str">
            <v>6925 ВЕТЧ.КЛАССИЧЕСКАЯ в/у 0,6кг 8шт. ОСТАНКИНО</v>
          </cell>
          <cell r="B63" t="str">
            <v>шт</v>
          </cell>
          <cell r="C63">
            <v>6925</v>
          </cell>
          <cell r="D63">
            <v>129</v>
          </cell>
          <cell r="F63">
            <v>24</v>
          </cell>
          <cell r="G63">
            <v>105</v>
          </cell>
          <cell r="H63">
            <v>0.6</v>
          </cell>
          <cell r="I63">
            <v>0</v>
          </cell>
          <cell r="J63" t="e">
            <v>#N/A</v>
          </cell>
          <cell r="L63">
            <v>31</v>
          </cell>
          <cell r="M63">
            <v>-7</v>
          </cell>
          <cell r="P63">
            <v>0</v>
          </cell>
          <cell r="Q63">
            <v>0</v>
          </cell>
          <cell r="R63">
            <v>4.8</v>
          </cell>
          <cell r="S63">
            <v>0</v>
          </cell>
          <cell r="T63">
            <v>0</v>
          </cell>
          <cell r="U63">
            <v>0</v>
          </cell>
          <cell r="V63">
            <v>21.875</v>
          </cell>
          <cell r="W63">
            <v>21.875</v>
          </cell>
          <cell r="X63">
            <v>0</v>
          </cell>
          <cell r="Y63">
            <v>10.4</v>
          </cell>
          <cell r="Z63">
            <v>6</v>
          </cell>
          <cell r="AA63">
            <v>7</v>
          </cell>
          <cell r="AB63" t="e">
            <v>#N/A</v>
          </cell>
        </row>
        <row r="64">
          <cell r="A64" t="str">
            <v>6967 БУРГУНДИЯ Папа может с/к в/у 1/250 8шт  Останкино</v>
          </cell>
          <cell r="B64" t="str">
            <v>шт</v>
          </cell>
          <cell r="C64">
            <v>6967</v>
          </cell>
          <cell r="D64">
            <v>34</v>
          </cell>
          <cell r="E64">
            <v>16</v>
          </cell>
          <cell r="F64">
            <v>40</v>
          </cell>
          <cell r="G64">
            <v>8</v>
          </cell>
          <cell r="H64">
            <v>0.25</v>
          </cell>
          <cell r="I64">
            <v>120</v>
          </cell>
          <cell r="J64" t="str">
            <v>в матрице</v>
          </cell>
          <cell r="L64">
            <v>58</v>
          </cell>
          <cell r="M64">
            <v>-18</v>
          </cell>
          <cell r="P64">
            <v>80</v>
          </cell>
          <cell r="Q64">
            <v>80</v>
          </cell>
          <cell r="R64">
            <v>8</v>
          </cell>
          <cell r="S64">
            <v>20</v>
          </cell>
          <cell r="T64">
            <v>20</v>
          </cell>
          <cell r="U64">
            <v>0</v>
          </cell>
          <cell r="V64">
            <v>23.5</v>
          </cell>
          <cell r="W64">
            <v>1</v>
          </cell>
          <cell r="X64">
            <v>9</v>
          </cell>
          <cell r="Y64">
            <v>7</v>
          </cell>
          <cell r="Z64">
            <v>8.8000000000000007</v>
          </cell>
          <cell r="AA64">
            <v>15.8</v>
          </cell>
          <cell r="AB64">
            <v>0</v>
          </cell>
        </row>
        <row r="65">
          <cell r="A65" t="str">
            <v>7001 КЛАССИЧЕСКИЕ Папа может сар б/о мгс 1*3  Останкино</v>
          </cell>
          <cell r="B65" t="str">
            <v>кг</v>
          </cell>
          <cell r="C65">
            <v>7001</v>
          </cell>
          <cell r="D65">
            <v>22.059000000000001</v>
          </cell>
          <cell r="E65">
            <v>27.048999999999999</v>
          </cell>
          <cell r="F65">
            <v>15.9</v>
          </cell>
          <cell r="G65">
            <v>30.16</v>
          </cell>
          <cell r="H65">
            <v>1</v>
          </cell>
          <cell r="I65">
            <v>45</v>
          </cell>
          <cell r="J65" t="str">
            <v>в матрице</v>
          </cell>
          <cell r="L65">
            <v>18.5</v>
          </cell>
          <cell r="M65">
            <v>-2.5999999999999996</v>
          </cell>
          <cell r="P65">
            <v>10</v>
          </cell>
          <cell r="Q65">
            <v>10</v>
          </cell>
          <cell r="R65">
            <v>3.18</v>
          </cell>
          <cell r="S65">
            <v>0</v>
          </cell>
          <cell r="T65">
            <v>0</v>
          </cell>
          <cell r="U65">
            <v>0</v>
          </cell>
          <cell r="V65">
            <v>15.773584905660375</v>
          </cell>
          <cell r="W65">
            <v>9.4842767295597472</v>
          </cell>
          <cell r="X65">
            <v>2.2763999999999998</v>
          </cell>
          <cell r="Y65">
            <v>3.7978000000000001</v>
          </cell>
          <cell r="Z65">
            <v>2.9956</v>
          </cell>
          <cell r="AA65">
            <v>3.9387999999999996</v>
          </cell>
          <cell r="AB65">
            <v>0</v>
          </cell>
        </row>
        <row r="66">
          <cell r="A66" t="str">
            <v>7059 ШПИКАЧКИ СОЧНЫЕ С БЕК. п/о мгс 0,3кг 60с ОСТАНКИНО</v>
          </cell>
          <cell r="B66" t="str">
            <v>шт</v>
          </cell>
          <cell r="C66">
            <v>7059</v>
          </cell>
          <cell r="D66">
            <v>371</v>
          </cell>
          <cell r="E66">
            <v>35</v>
          </cell>
          <cell r="F66">
            <v>66</v>
          </cell>
          <cell r="G66">
            <v>337</v>
          </cell>
          <cell r="H66">
            <v>0.3</v>
          </cell>
          <cell r="I66">
            <v>0</v>
          </cell>
          <cell r="J66" t="e">
            <v>#N/A</v>
          </cell>
          <cell r="L66">
            <v>70</v>
          </cell>
          <cell r="M66">
            <v>-4</v>
          </cell>
          <cell r="P66">
            <v>0</v>
          </cell>
          <cell r="Q66">
            <v>0</v>
          </cell>
          <cell r="R66">
            <v>13.2</v>
          </cell>
          <cell r="S66">
            <v>0</v>
          </cell>
          <cell r="T66">
            <v>0</v>
          </cell>
          <cell r="U66">
            <v>0</v>
          </cell>
          <cell r="V66">
            <v>25.530303030303031</v>
          </cell>
          <cell r="W66">
            <v>25.530303030303031</v>
          </cell>
          <cell r="X66">
            <v>27.2</v>
          </cell>
          <cell r="Y66">
            <v>33.4</v>
          </cell>
          <cell r="Z66">
            <v>35.6</v>
          </cell>
          <cell r="AA66">
            <v>17.600000000000001</v>
          </cell>
          <cell r="AB66" t="e">
            <v>#N/A</v>
          </cell>
        </row>
        <row r="67">
          <cell r="A67" t="str">
            <v>7066 СОЧНЫЕ ПМ сос п/о мгс 0,41кг 10шт 50с  Останкино</v>
          </cell>
          <cell r="B67" t="str">
            <v>шт</v>
          </cell>
          <cell r="C67">
            <v>7066</v>
          </cell>
          <cell r="D67">
            <v>1174</v>
          </cell>
          <cell r="E67">
            <v>1107</v>
          </cell>
          <cell r="F67">
            <v>1582</v>
          </cell>
          <cell r="G67">
            <v>674</v>
          </cell>
          <cell r="H67">
            <v>0.41</v>
          </cell>
          <cell r="I67">
            <v>50</v>
          </cell>
          <cell r="J67" t="str">
            <v>в матрице</v>
          </cell>
          <cell r="L67">
            <v>1690.5</v>
          </cell>
          <cell r="M67">
            <v>-108.5</v>
          </cell>
          <cell r="P67">
            <v>600</v>
          </cell>
          <cell r="Q67">
            <v>600</v>
          </cell>
          <cell r="R67">
            <v>316.39999999999998</v>
          </cell>
          <cell r="S67">
            <v>1250</v>
          </cell>
          <cell r="T67">
            <v>1250</v>
          </cell>
          <cell r="U67">
            <v>0</v>
          </cell>
          <cell r="V67">
            <v>9.8735777496839443</v>
          </cell>
          <cell r="W67">
            <v>2.1302149178255374</v>
          </cell>
          <cell r="X67">
            <v>154.4</v>
          </cell>
          <cell r="Y67">
            <v>262.39999999999998</v>
          </cell>
          <cell r="Z67">
            <v>228</v>
          </cell>
          <cell r="AA67">
            <v>234</v>
          </cell>
          <cell r="AB67" t="str">
            <v>Обжора / Паллет</v>
          </cell>
        </row>
        <row r="68">
          <cell r="A68" t="str">
            <v>7070 СОЧНЫЕ ПМ сос п/о 1,5*4_А_50с  Останкино</v>
          </cell>
          <cell r="B68" t="str">
            <v>кг</v>
          </cell>
          <cell r="C68">
            <v>7070</v>
          </cell>
          <cell r="D68">
            <v>66.429000000000002</v>
          </cell>
          <cell r="E68">
            <v>1035.45</v>
          </cell>
          <cell r="F68">
            <v>258.46199999999999</v>
          </cell>
          <cell r="G68">
            <v>830.62099999999998</v>
          </cell>
          <cell r="H68">
            <v>1</v>
          </cell>
          <cell r="I68">
            <v>50</v>
          </cell>
          <cell r="J68" t="str">
            <v>в матрице</v>
          </cell>
          <cell r="L68">
            <v>324.10000000000002</v>
          </cell>
          <cell r="M68">
            <v>-65.638000000000034</v>
          </cell>
          <cell r="P68">
            <v>125</v>
          </cell>
          <cell r="Q68">
            <v>125</v>
          </cell>
          <cell r="R68">
            <v>51.692399999999999</v>
          </cell>
          <cell r="S68">
            <v>50</v>
          </cell>
          <cell r="T68">
            <v>50</v>
          </cell>
          <cell r="U68">
            <v>0</v>
          </cell>
          <cell r="V68">
            <v>21.872093383166579</v>
          </cell>
          <cell r="W68">
            <v>16.068532318097052</v>
          </cell>
          <cell r="X68">
            <v>55.8</v>
          </cell>
          <cell r="Y68">
            <v>43.7624</v>
          </cell>
          <cell r="Z68">
            <v>79.599999999999994</v>
          </cell>
          <cell r="AA68">
            <v>20.056000000000001</v>
          </cell>
          <cell r="AB68">
            <v>0</v>
          </cell>
        </row>
        <row r="69">
          <cell r="A69" t="str">
            <v>7073 МОЛОЧ.ПРЕМИУМ ПМ сос п/о в/у 1/350_50с  Останкино</v>
          </cell>
          <cell r="B69" t="str">
            <v>шт</v>
          </cell>
          <cell r="C69">
            <v>7073</v>
          </cell>
          <cell r="D69">
            <v>7</v>
          </cell>
          <cell r="E69">
            <v>82</v>
          </cell>
          <cell r="F69">
            <v>27</v>
          </cell>
          <cell r="G69">
            <v>59</v>
          </cell>
          <cell r="H69">
            <v>0.35</v>
          </cell>
          <cell r="I69">
            <v>50</v>
          </cell>
          <cell r="J69" t="str">
            <v>в матрице</v>
          </cell>
          <cell r="L69">
            <v>34</v>
          </cell>
          <cell r="M69">
            <v>-7</v>
          </cell>
          <cell r="P69">
            <v>40</v>
          </cell>
          <cell r="Q69">
            <v>40</v>
          </cell>
          <cell r="R69">
            <v>5.4</v>
          </cell>
          <cell r="S69">
            <v>10</v>
          </cell>
          <cell r="T69">
            <v>10</v>
          </cell>
          <cell r="U69">
            <v>0</v>
          </cell>
          <cell r="V69">
            <v>27.592592592592592</v>
          </cell>
          <cell r="W69">
            <v>10.925925925925926</v>
          </cell>
          <cell r="X69">
            <v>11.8</v>
          </cell>
          <cell r="Y69">
            <v>8</v>
          </cell>
          <cell r="Z69">
            <v>7.6</v>
          </cell>
          <cell r="AA69">
            <v>12.6</v>
          </cell>
          <cell r="AB69">
            <v>0</v>
          </cell>
        </row>
        <row r="70">
          <cell r="A70" t="str">
            <v>7080 СЛИВОЧНЫЕ ПМ сос п/о мгс 0,41кг 10шт 50с  Останкино</v>
          </cell>
          <cell r="B70" t="str">
            <v>шт</v>
          </cell>
          <cell r="C70">
            <v>7080</v>
          </cell>
          <cell r="D70">
            <v>54</v>
          </cell>
          <cell r="E70">
            <v>3215</v>
          </cell>
          <cell r="F70">
            <v>684</v>
          </cell>
          <cell r="G70">
            <v>2568</v>
          </cell>
          <cell r="H70">
            <v>0.41</v>
          </cell>
          <cell r="I70">
            <v>50</v>
          </cell>
          <cell r="J70" t="str">
            <v>в матрице</v>
          </cell>
          <cell r="L70">
            <v>808</v>
          </cell>
          <cell r="M70">
            <v>-124</v>
          </cell>
          <cell r="P70">
            <v>0</v>
          </cell>
          <cell r="Q70">
            <v>0</v>
          </cell>
          <cell r="R70">
            <v>136.80000000000001</v>
          </cell>
          <cell r="S70">
            <v>0</v>
          </cell>
          <cell r="T70">
            <v>0</v>
          </cell>
          <cell r="U70">
            <v>0</v>
          </cell>
          <cell r="V70">
            <v>18.771929824561401</v>
          </cell>
          <cell r="W70">
            <v>18.771929824561401</v>
          </cell>
          <cell r="X70">
            <v>149.4</v>
          </cell>
          <cell r="Y70">
            <v>154.19999999999999</v>
          </cell>
          <cell r="Z70">
            <v>270.60000000000002</v>
          </cell>
          <cell r="AA70">
            <v>133</v>
          </cell>
          <cell r="AB70" t="str">
            <v>Обжора / Паллет</v>
          </cell>
        </row>
        <row r="71">
          <cell r="A71" t="str">
            <v>7083 СЛИВОЧНЫЕ ПМ сос п/о мгс 1.5*4_А_50с  ОСТАНКИНО</v>
          </cell>
          <cell r="B71" t="str">
            <v>кг</v>
          </cell>
          <cell r="C71">
            <v>7083</v>
          </cell>
          <cell r="D71">
            <v>314.79199999999997</v>
          </cell>
          <cell r="E71">
            <v>52.905000000000001</v>
          </cell>
          <cell r="F71">
            <v>136.327</v>
          </cell>
          <cell r="G71">
            <v>143.43100000000001</v>
          </cell>
          <cell r="H71">
            <v>1</v>
          </cell>
          <cell r="I71">
            <v>0</v>
          </cell>
          <cell r="J71" t="e">
            <v>#N/A</v>
          </cell>
          <cell r="L71">
            <v>136.4</v>
          </cell>
          <cell r="M71">
            <v>-7.3000000000007503E-2</v>
          </cell>
          <cell r="P71">
            <v>0</v>
          </cell>
          <cell r="Q71">
            <v>0</v>
          </cell>
          <cell r="R71">
            <v>27.2654</v>
          </cell>
          <cell r="S71">
            <v>115</v>
          </cell>
          <cell r="T71">
            <v>115</v>
          </cell>
          <cell r="U71">
            <v>0</v>
          </cell>
          <cell r="V71">
            <v>9.4783498499930339</v>
          </cell>
          <cell r="W71">
            <v>5.2605500011002961</v>
          </cell>
          <cell r="X71">
            <v>28.627199999999998</v>
          </cell>
          <cell r="Y71">
            <v>44.2</v>
          </cell>
          <cell r="Z71">
            <v>23.9648</v>
          </cell>
          <cell r="AA71">
            <v>22.8184</v>
          </cell>
          <cell r="AB71" t="e">
            <v>#N/A</v>
          </cell>
        </row>
        <row r="72">
          <cell r="A72" t="str">
            <v>7090 СВИНИНА ПО-ДОМ.к/в мл/к в/у 0,3кг_50с  Останкино</v>
          </cell>
          <cell r="B72" t="str">
            <v>шт</v>
          </cell>
          <cell r="C72">
            <v>7090</v>
          </cell>
          <cell r="D72">
            <v>537</v>
          </cell>
          <cell r="F72">
            <v>6</v>
          </cell>
          <cell r="H72">
            <v>0.3</v>
          </cell>
          <cell r="I72">
            <v>50</v>
          </cell>
          <cell r="J72" t="str">
            <v>в матрице</v>
          </cell>
          <cell r="L72">
            <v>144</v>
          </cell>
          <cell r="M72">
            <v>-138</v>
          </cell>
          <cell r="P72">
            <v>0</v>
          </cell>
          <cell r="Q72">
            <v>0</v>
          </cell>
          <cell r="R72">
            <v>1.2</v>
          </cell>
          <cell r="S72">
            <v>15</v>
          </cell>
          <cell r="T72">
            <v>15</v>
          </cell>
          <cell r="U72">
            <v>0</v>
          </cell>
          <cell r="V72">
            <v>12.5</v>
          </cell>
          <cell r="W72">
            <v>0</v>
          </cell>
          <cell r="X72">
            <v>58.6</v>
          </cell>
          <cell r="Y72">
            <v>7.2</v>
          </cell>
          <cell r="Z72">
            <v>39.799999999999997</v>
          </cell>
          <cell r="AA72">
            <v>10.6</v>
          </cell>
          <cell r="AB72">
            <v>0</v>
          </cell>
        </row>
        <row r="73">
          <cell r="A73" t="str">
            <v>7103 БЕКОН Останкино с/к с/н в/у 1/180_50с  Останкино</v>
          </cell>
          <cell r="B73" t="str">
            <v>шт</v>
          </cell>
          <cell r="C73">
            <v>7103</v>
          </cell>
          <cell r="D73">
            <v>-40</v>
          </cell>
          <cell r="E73">
            <v>160</v>
          </cell>
          <cell r="F73">
            <v>76</v>
          </cell>
          <cell r="G73">
            <v>37</v>
          </cell>
          <cell r="H73">
            <v>0.18</v>
          </cell>
          <cell r="I73">
            <v>50</v>
          </cell>
          <cell r="J73" t="str">
            <v>в матрице</v>
          </cell>
          <cell r="L73">
            <v>101</v>
          </cell>
          <cell r="M73">
            <v>-25</v>
          </cell>
          <cell r="P73">
            <v>275</v>
          </cell>
          <cell r="Q73">
            <v>275</v>
          </cell>
          <cell r="R73">
            <v>15.2</v>
          </cell>
          <cell r="S73">
            <v>85</v>
          </cell>
          <cell r="T73">
            <v>85</v>
          </cell>
          <cell r="U73">
            <v>0</v>
          </cell>
          <cell r="V73">
            <v>44.210526315789473</v>
          </cell>
          <cell r="W73">
            <v>2.4342105263157894</v>
          </cell>
          <cell r="X73">
            <v>19.399999999999999</v>
          </cell>
          <cell r="Y73">
            <v>28</v>
          </cell>
          <cell r="Z73">
            <v>25.8</v>
          </cell>
          <cell r="AA73">
            <v>49.4</v>
          </cell>
          <cell r="AB73" t="str">
            <v>Обжора / Паллет</v>
          </cell>
        </row>
        <row r="74">
          <cell r="A74" t="str">
            <v>7131 БАЛЫКОВАЯ в/к в/у 0,84кг  Останкино</v>
          </cell>
          <cell r="B74" t="str">
            <v>кг</v>
          </cell>
          <cell r="C74">
            <v>7131</v>
          </cell>
          <cell r="D74">
            <v>-4.2999999999999997E-2</v>
          </cell>
          <cell r="F74">
            <v>-0.84499999999999997</v>
          </cell>
          <cell r="G74">
            <v>-4.2999999999999997E-2</v>
          </cell>
          <cell r="H74">
            <v>1</v>
          </cell>
          <cell r="I74">
            <v>45</v>
          </cell>
          <cell r="J74" t="str">
            <v>в матрице</v>
          </cell>
          <cell r="L74">
            <v>1.6</v>
          </cell>
          <cell r="M74">
            <v>-2.4450000000000003</v>
          </cell>
          <cell r="P74">
            <v>0</v>
          </cell>
          <cell r="Q74">
            <v>0</v>
          </cell>
          <cell r="R74">
            <v>-0.16899999999999998</v>
          </cell>
          <cell r="S74">
            <v>8</v>
          </cell>
          <cell r="T74">
            <v>8</v>
          </cell>
          <cell r="U74">
            <v>0</v>
          </cell>
          <cell r="V74">
            <v>-47.082840236686394</v>
          </cell>
          <cell r="W74">
            <v>0.25443786982248523</v>
          </cell>
          <cell r="X74">
            <v>1.345</v>
          </cell>
          <cell r="Y74">
            <v>2.0225999999999997</v>
          </cell>
          <cell r="Z74">
            <v>3.5729999999999995</v>
          </cell>
          <cell r="AA74">
            <v>0.34140000000000004</v>
          </cell>
          <cell r="AB74">
            <v>0</v>
          </cell>
        </row>
        <row r="75">
          <cell r="A75" t="str">
            <v>7147 САЛЬЧИЧОН Останкино с/к в/у 1/220 8 шт  Останкино</v>
          </cell>
          <cell r="B75" t="str">
            <v>шт</v>
          </cell>
          <cell r="C75">
            <v>7147</v>
          </cell>
          <cell r="D75">
            <v>40</v>
          </cell>
          <cell r="F75">
            <v>26</v>
          </cell>
          <cell r="G75">
            <v>12</v>
          </cell>
          <cell r="H75">
            <v>0.22</v>
          </cell>
          <cell r="I75">
            <v>120</v>
          </cell>
          <cell r="J75" t="str">
            <v>ВНИМАНИЕ / в матрице</v>
          </cell>
          <cell r="L75">
            <v>30</v>
          </cell>
          <cell r="M75">
            <v>-4</v>
          </cell>
          <cell r="P75">
            <v>15</v>
          </cell>
          <cell r="Q75">
            <v>15</v>
          </cell>
          <cell r="R75">
            <v>5.2</v>
          </cell>
          <cell r="S75">
            <v>0</v>
          </cell>
          <cell r="T75">
            <v>0</v>
          </cell>
          <cell r="U75">
            <v>0</v>
          </cell>
          <cell r="V75">
            <v>8.0769230769230766</v>
          </cell>
          <cell r="W75">
            <v>2.3076923076923075</v>
          </cell>
          <cell r="X75">
            <v>2.6</v>
          </cell>
          <cell r="Y75">
            <v>2.4</v>
          </cell>
          <cell r="Z75">
            <v>2.4</v>
          </cell>
          <cell r="AA75">
            <v>1.6</v>
          </cell>
          <cell r="AB75" t="str">
            <v>нужно увеличить продажи</v>
          </cell>
        </row>
        <row r="76">
          <cell r="A76" t="str">
            <v>7154 СЕРВЕЛАТ ЗЕРНИСТЫЙ ПМ в/к в/у 0,35кг_50с  Останкино</v>
          </cell>
          <cell r="B76" t="str">
            <v>шт</v>
          </cell>
          <cell r="C76">
            <v>7154</v>
          </cell>
          <cell r="D76">
            <v>527</v>
          </cell>
          <cell r="E76">
            <v>695</v>
          </cell>
          <cell r="F76">
            <v>695</v>
          </cell>
          <cell r="G76">
            <v>499</v>
          </cell>
          <cell r="H76">
            <v>0.35</v>
          </cell>
          <cell r="I76">
            <v>50</v>
          </cell>
          <cell r="J76" t="str">
            <v>ВНИМАНИЕ / в матрице</v>
          </cell>
          <cell r="L76">
            <v>728</v>
          </cell>
          <cell r="M76">
            <v>-33</v>
          </cell>
          <cell r="P76">
            <v>550</v>
          </cell>
          <cell r="Q76">
            <v>550</v>
          </cell>
          <cell r="R76">
            <v>139</v>
          </cell>
          <cell r="S76">
            <v>195</v>
          </cell>
          <cell r="T76">
            <v>195</v>
          </cell>
          <cell r="U76">
            <v>0</v>
          </cell>
          <cell r="V76">
            <v>12.906474820143885</v>
          </cell>
          <cell r="W76">
            <v>3.5899280575539567</v>
          </cell>
          <cell r="X76">
            <v>122.2</v>
          </cell>
          <cell r="Y76">
            <v>152.4</v>
          </cell>
          <cell r="Z76">
            <v>142.6</v>
          </cell>
          <cell r="AA76">
            <v>166</v>
          </cell>
          <cell r="AB76" t="str">
            <v>ТС Обжора</v>
          </cell>
        </row>
        <row r="77">
          <cell r="A77" t="str">
            <v>7157 СЕРВЕЛАТ ЗЕРНИСТЫЙ ПМ в/к в/у_50с  Останкино</v>
          </cell>
          <cell r="B77" t="str">
            <v>кг</v>
          </cell>
          <cell r="C77">
            <v>7157</v>
          </cell>
          <cell r="D77">
            <v>24.693000000000001</v>
          </cell>
          <cell r="E77">
            <v>290.93</v>
          </cell>
          <cell r="F77">
            <v>97.521000000000001</v>
          </cell>
          <cell r="G77">
            <v>216.76</v>
          </cell>
          <cell r="H77">
            <v>1</v>
          </cell>
          <cell r="I77">
            <v>50</v>
          </cell>
          <cell r="J77" t="str">
            <v>в матрице</v>
          </cell>
          <cell r="L77">
            <v>108.93</v>
          </cell>
          <cell r="M77">
            <v>-11.409000000000006</v>
          </cell>
          <cell r="P77">
            <v>0</v>
          </cell>
          <cell r="Q77">
            <v>0</v>
          </cell>
          <cell r="R77">
            <v>19.504200000000001</v>
          </cell>
          <cell r="S77">
            <v>30</v>
          </cell>
          <cell r="T77">
            <v>30</v>
          </cell>
          <cell r="U77">
            <v>0</v>
          </cell>
          <cell r="V77">
            <v>12.651634007034382</v>
          </cell>
          <cell r="W77">
            <v>11.113503758164907</v>
          </cell>
          <cell r="X77">
            <v>15.619800000000001</v>
          </cell>
          <cell r="Y77">
            <v>16.852399999999999</v>
          </cell>
          <cell r="Z77">
            <v>27.894400000000001</v>
          </cell>
          <cell r="AA77">
            <v>17.2348</v>
          </cell>
          <cell r="AB77">
            <v>0</v>
          </cell>
        </row>
        <row r="78">
          <cell r="A78" t="str">
            <v>7163 СЕРВЕЛАТ КЛАССИЧ.ПМ в/к в/у 0,62кг_50с  Останкино</v>
          </cell>
          <cell r="B78" t="str">
            <v>шт</v>
          </cell>
          <cell r="C78">
            <v>7163</v>
          </cell>
          <cell r="D78">
            <v>14</v>
          </cell>
          <cell r="F78">
            <v>0</v>
          </cell>
          <cell r="G78">
            <v>14</v>
          </cell>
          <cell r="H78">
            <v>0.62</v>
          </cell>
          <cell r="I78">
            <v>0</v>
          </cell>
          <cell r="J78" t="e">
            <v>#N/A</v>
          </cell>
          <cell r="L78">
            <v>2</v>
          </cell>
          <cell r="M78">
            <v>-2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 t="e">
            <v>#DIV/0!</v>
          </cell>
          <cell r="W78" t="e">
            <v>#DIV/0!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 t="e">
            <v>#N/A</v>
          </cell>
        </row>
        <row r="79">
          <cell r="A79" t="str">
            <v>7166 СЕРВЕЛАТ ОХОТНИЧИЙ ПМ в/к в/у_50с  Останкино</v>
          </cell>
          <cell r="B79" t="str">
            <v>кг</v>
          </cell>
          <cell r="C79">
            <v>7166</v>
          </cell>
          <cell r="D79">
            <v>139.75800000000001</v>
          </cell>
          <cell r="E79">
            <v>458.94499999999999</v>
          </cell>
          <cell r="F79">
            <v>319.45699999999999</v>
          </cell>
          <cell r="G79">
            <v>273.642</v>
          </cell>
          <cell r="H79">
            <v>1</v>
          </cell>
          <cell r="I79">
            <v>50</v>
          </cell>
          <cell r="J79" t="str">
            <v>в матрице</v>
          </cell>
          <cell r="L79">
            <v>330.9</v>
          </cell>
          <cell r="M79">
            <v>-11.442999999999984</v>
          </cell>
          <cell r="P79">
            <v>55</v>
          </cell>
          <cell r="Q79">
            <v>55</v>
          </cell>
          <cell r="R79">
            <v>63.891399999999997</v>
          </cell>
          <cell r="S79">
            <v>280</v>
          </cell>
          <cell r="T79">
            <v>280</v>
          </cell>
          <cell r="U79">
            <v>0</v>
          </cell>
          <cell r="V79">
            <v>10.387031744491436</v>
          </cell>
          <cell r="W79">
            <v>4.2829238363848656</v>
          </cell>
          <cell r="X79">
            <v>42.6556</v>
          </cell>
          <cell r="Y79">
            <v>51.933399999999992</v>
          </cell>
          <cell r="Z79">
            <v>61.083799999999997</v>
          </cell>
          <cell r="AA79">
            <v>50.800599999999996</v>
          </cell>
          <cell r="AB79">
            <v>0</v>
          </cell>
        </row>
        <row r="80">
          <cell r="A80" t="str">
            <v>7169 СЕРВЕЛАТ ОХОТНИЧИЙ ПМ в/к в/у 0,35кг_50с  Останкино</v>
          </cell>
          <cell r="B80" t="str">
            <v>шт</v>
          </cell>
          <cell r="C80">
            <v>7169</v>
          </cell>
          <cell r="D80">
            <v>-21</v>
          </cell>
          <cell r="E80">
            <v>3004</v>
          </cell>
          <cell r="F80">
            <v>629</v>
          </cell>
          <cell r="G80">
            <v>2335</v>
          </cell>
          <cell r="H80">
            <v>0.35</v>
          </cell>
          <cell r="I80">
            <v>50</v>
          </cell>
          <cell r="J80" t="str">
            <v>в матрице</v>
          </cell>
          <cell r="L80">
            <v>816.1</v>
          </cell>
          <cell r="M80">
            <v>-187.10000000000002</v>
          </cell>
          <cell r="P80">
            <v>75</v>
          </cell>
          <cell r="Q80">
            <v>75</v>
          </cell>
          <cell r="R80">
            <v>125.8</v>
          </cell>
          <cell r="S80">
            <v>0</v>
          </cell>
          <cell r="T80">
            <v>0</v>
          </cell>
          <cell r="U80">
            <v>0</v>
          </cell>
          <cell r="V80">
            <v>19.753577106518282</v>
          </cell>
          <cell r="W80">
            <v>18.56120826709062</v>
          </cell>
          <cell r="X80">
            <v>146.4</v>
          </cell>
          <cell r="Y80">
            <v>162.80000000000001</v>
          </cell>
          <cell r="Z80">
            <v>250.2</v>
          </cell>
          <cell r="AA80">
            <v>195.6</v>
          </cell>
          <cell r="AB80">
            <v>0</v>
          </cell>
        </row>
        <row r="81">
          <cell r="A81" t="str">
            <v>7187 ГРУДИНКА ПРЕМИУМ к/в мл/к в/у 0,3кг_50с  Останкино</v>
          </cell>
          <cell r="B81" t="str">
            <v>шт</v>
          </cell>
          <cell r="C81">
            <v>7187</v>
          </cell>
          <cell r="D81">
            <v>78</v>
          </cell>
          <cell r="E81">
            <v>49</v>
          </cell>
          <cell r="F81">
            <v>81</v>
          </cell>
          <cell r="G81">
            <v>45</v>
          </cell>
          <cell r="H81">
            <v>0.3</v>
          </cell>
          <cell r="I81">
            <v>50</v>
          </cell>
          <cell r="J81" t="str">
            <v>ВНИМАНИЕ / в матрице</v>
          </cell>
          <cell r="L81">
            <v>82</v>
          </cell>
          <cell r="M81">
            <v>-1</v>
          </cell>
          <cell r="P81">
            <v>55</v>
          </cell>
          <cell r="Q81">
            <v>55</v>
          </cell>
          <cell r="R81">
            <v>16.2</v>
          </cell>
          <cell r="S81">
            <v>35</v>
          </cell>
          <cell r="T81">
            <v>35</v>
          </cell>
          <cell r="U81">
            <v>0</v>
          </cell>
          <cell r="V81">
            <v>11.728395061728396</v>
          </cell>
          <cell r="W81">
            <v>2.7777777777777777</v>
          </cell>
          <cell r="X81">
            <v>16</v>
          </cell>
          <cell r="Y81">
            <v>17.8</v>
          </cell>
          <cell r="Z81">
            <v>15.4</v>
          </cell>
          <cell r="AA81">
            <v>17.2</v>
          </cell>
          <cell r="AB81">
            <v>0</v>
          </cell>
        </row>
        <row r="82">
          <cell r="A82" t="str">
            <v>7216 СОЧНЫЕ СО СЛ.МАСЛ.ПМ пельм пл.0.7кг зам. ОСТАНКИНО</v>
          </cell>
          <cell r="B82" t="str">
            <v>шт</v>
          </cell>
          <cell r="C82">
            <v>7216</v>
          </cell>
          <cell r="D82">
            <v>30</v>
          </cell>
          <cell r="E82">
            <v>103</v>
          </cell>
          <cell r="F82">
            <v>89</v>
          </cell>
          <cell r="G82">
            <v>41</v>
          </cell>
          <cell r="H82">
            <v>0.7</v>
          </cell>
          <cell r="I82" t="e">
            <v>#N/A</v>
          </cell>
          <cell r="J82" t="e">
            <v>#N/A</v>
          </cell>
          <cell r="L82">
            <v>92</v>
          </cell>
          <cell r="M82">
            <v>-3</v>
          </cell>
          <cell r="P82">
            <v>45</v>
          </cell>
          <cell r="Q82">
            <v>45</v>
          </cell>
          <cell r="R82">
            <v>17.8</v>
          </cell>
          <cell r="S82">
            <v>75</v>
          </cell>
          <cell r="T82">
            <v>75</v>
          </cell>
          <cell r="U82">
            <v>0</v>
          </cell>
          <cell r="V82">
            <v>11.573033707865168</v>
          </cell>
          <cell r="W82">
            <v>2.303370786516854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 t="e">
            <v>#N/A</v>
          </cell>
        </row>
        <row r="83">
          <cell r="A83" t="str">
            <v>7231 КЛАССИЧЕСКАЯ ПМ вар п/о 0,3кг 8 шт_209к  Останкино</v>
          </cell>
          <cell r="B83" t="str">
            <v>шт</v>
          </cell>
          <cell r="C83">
            <v>7231</v>
          </cell>
          <cell r="D83">
            <v>-1</v>
          </cell>
          <cell r="E83">
            <v>244</v>
          </cell>
          <cell r="F83">
            <v>48</v>
          </cell>
          <cell r="G83">
            <v>190</v>
          </cell>
          <cell r="H83">
            <v>0.3</v>
          </cell>
          <cell r="I83">
            <v>60</v>
          </cell>
          <cell r="J83" t="str">
            <v>в матрице</v>
          </cell>
          <cell r="L83">
            <v>53</v>
          </cell>
          <cell r="M83">
            <v>-5</v>
          </cell>
          <cell r="P83">
            <v>0</v>
          </cell>
          <cell r="Q83">
            <v>0</v>
          </cell>
          <cell r="R83">
            <v>9.6</v>
          </cell>
          <cell r="S83">
            <v>0</v>
          </cell>
          <cell r="T83">
            <v>0</v>
          </cell>
          <cell r="U83">
            <v>0</v>
          </cell>
          <cell r="V83">
            <v>19.791666666666668</v>
          </cell>
          <cell r="W83">
            <v>19.791666666666668</v>
          </cell>
          <cell r="X83">
            <v>13</v>
          </cell>
          <cell r="Y83">
            <v>7.6</v>
          </cell>
          <cell r="Z83">
            <v>19</v>
          </cell>
          <cell r="AA83">
            <v>10.199999999999999</v>
          </cell>
          <cell r="AB83">
            <v>0</v>
          </cell>
        </row>
        <row r="84">
          <cell r="A84" t="str">
            <v>7232 БОЯNСКАЯ ПМ п/к в/у 0,28кг 8шт_209к  Останкино</v>
          </cell>
          <cell r="B84" t="str">
            <v>шт</v>
          </cell>
          <cell r="C84">
            <v>7232</v>
          </cell>
          <cell r="D84">
            <v>51</v>
          </cell>
          <cell r="E84">
            <v>283</v>
          </cell>
          <cell r="F84">
            <v>185</v>
          </cell>
          <cell r="G84">
            <v>129</v>
          </cell>
          <cell r="H84">
            <v>0.28000000000000003</v>
          </cell>
          <cell r="I84">
            <v>50</v>
          </cell>
          <cell r="J84" t="str">
            <v>в матрице</v>
          </cell>
          <cell r="L84">
            <v>208</v>
          </cell>
          <cell r="M84">
            <v>-23</v>
          </cell>
          <cell r="P84">
            <v>25</v>
          </cell>
          <cell r="Q84">
            <v>25</v>
          </cell>
          <cell r="R84">
            <v>37</v>
          </cell>
          <cell r="S84">
            <v>170</v>
          </cell>
          <cell r="T84">
            <v>170</v>
          </cell>
          <cell r="U84">
            <v>0</v>
          </cell>
          <cell r="V84">
            <v>9.4324324324324316</v>
          </cell>
          <cell r="W84">
            <v>3.4864864864864864</v>
          </cell>
          <cell r="X84">
            <v>33.6</v>
          </cell>
          <cell r="Y84">
            <v>18.8</v>
          </cell>
          <cell r="Z84">
            <v>33.6</v>
          </cell>
          <cell r="AA84">
            <v>27</v>
          </cell>
          <cell r="AB84" t="str">
            <v>Обжора / Паллет</v>
          </cell>
        </row>
        <row r="85">
          <cell r="A85" t="str">
            <v>7236 СЕРВЕЛАТ КАРЕЛЬСКИЙ в/к в/у 0,28кг_209к  Останкино</v>
          </cell>
          <cell r="B85" t="str">
            <v>шт</v>
          </cell>
          <cell r="C85">
            <v>7236</v>
          </cell>
          <cell r="D85">
            <v>148</v>
          </cell>
          <cell r="E85">
            <v>336</v>
          </cell>
          <cell r="F85">
            <v>112</v>
          </cell>
          <cell r="G85">
            <v>204</v>
          </cell>
          <cell r="H85">
            <v>0.28000000000000003</v>
          </cell>
          <cell r="I85">
            <v>45</v>
          </cell>
          <cell r="J85" t="str">
            <v>в матрице</v>
          </cell>
          <cell r="L85">
            <v>428.8</v>
          </cell>
          <cell r="M85">
            <v>-316.8</v>
          </cell>
          <cell r="P85">
            <v>80</v>
          </cell>
          <cell r="Q85">
            <v>80</v>
          </cell>
          <cell r="R85">
            <v>22.4</v>
          </cell>
          <cell r="S85">
            <v>25</v>
          </cell>
          <cell r="T85">
            <v>25</v>
          </cell>
          <cell r="U85">
            <v>0</v>
          </cell>
          <cell r="V85">
            <v>17.366071428571431</v>
          </cell>
          <cell r="W85">
            <v>9.1071428571428577</v>
          </cell>
          <cell r="X85">
            <v>48.2</v>
          </cell>
          <cell r="Y85">
            <v>40.799999999999997</v>
          </cell>
          <cell r="Z85">
            <v>41.2</v>
          </cell>
          <cell r="AA85">
            <v>42.6</v>
          </cell>
          <cell r="AB85" t="str">
            <v>Обжора / Паллет</v>
          </cell>
        </row>
        <row r="86">
          <cell r="A86" t="str">
            <v>7237 СЕРВЕЛАТ ШВАРЦЕР ПМ в/к в/у 0,28кг_209к  Останкино</v>
          </cell>
          <cell r="B86" t="str">
            <v>шт</v>
          </cell>
          <cell r="C86">
            <v>7237</v>
          </cell>
          <cell r="D86">
            <v>89</v>
          </cell>
          <cell r="E86">
            <v>12</v>
          </cell>
          <cell r="F86">
            <v>93</v>
          </cell>
          <cell r="G86">
            <v>-6</v>
          </cell>
          <cell r="H86">
            <v>0.28000000000000003</v>
          </cell>
          <cell r="I86">
            <v>45</v>
          </cell>
          <cell r="J86" t="str">
            <v>в матрице</v>
          </cell>
          <cell r="L86">
            <v>116</v>
          </cell>
          <cell r="M86">
            <v>-23</v>
          </cell>
          <cell r="P86">
            <v>70</v>
          </cell>
          <cell r="Q86">
            <v>70</v>
          </cell>
          <cell r="R86">
            <v>18.600000000000001</v>
          </cell>
          <cell r="S86">
            <v>60</v>
          </cell>
          <cell r="T86">
            <v>60</v>
          </cell>
          <cell r="U86">
            <v>0</v>
          </cell>
          <cell r="V86">
            <v>10.43010752688172</v>
          </cell>
          <cell r="W86">
            <v>-0.32258064516129031</v>
          </cell>
          <cell r="X86">
            <v>12</v>
          </cell>
          <cell r="Y86">
            <v>17.600000000000001</v>
          </cell>
          <cell r="Z86">
            <v>12</v>
          </cell>
          <cell r="AA86">
            <v>16.399999999999999</v>
          </cell>
          <cell r="AB86">
            <v>0</v>
          </cell>
        </row>
        <row r="87">
          <cell r="A87" t="str">
            <v>7241 САЛЯМИ Папа может п/к в/у 0,28кг ОСТАНКИНО</v>
          </cell>
          <cell r="B87" t="str">
            <v>шт</v>
          </cell>
          <cell r="C87">
            <v>7241</v>
          </cell>
          <cell r="D87">
            <v>78</v>
          </cell>
          <cell r="E87">
            <v>26</v>
          </cell>
          <cell r="F87">
            <v>46</v>
          </cell>
          <cell r="G87">
            <v>31</v>
          </cell>
          <cell r="H87">
            <v>0.28000000000000003</v>
          </cell>
          <cell r="I87">
            <v>45</v>
          </cell>
          <cell r="J87" t="str">
            <v>в матрице</v>
          </cell>
          <cell r="L87">
            <v>237</v>
          </cell>
          <cell r="M87">
            <v>-191</v>
          </cell>
          <cell r="P87">
            <v>310</v>
          </cell>
          <cell r="Q87">
            <v>310</v>
          </cell>
          <cell r="R87">
            <v>9.1999999999999993</v>
          </cell>
          <cell r="S87">
            <v>0</v>
          </cell>
          <cell r="T87">
            <v>0</v>
          </cell>
          <cell r="U87">
            <v>0</v>
          </cell>
          <cell r="V87">
            <v>70.760869565217391</v>
          </cell>
          <cell r="W87">
            <v>3.3695652173913047</v>
          </cell>
          <cell r="X87">
            <v>18.8</v>
          </cell>
          <cell r="Y87">
            <v>34</v>
          </cell>
          <cell r="Z87">
            <v>10.8</v>
          </cell>
          <cell r="AA87">
            <v>50.6</v>
          </cell>
          <cell r="AB87" t="str">
            <v>Обжора / Паллет</v>
          </cell>
        </row>
        <row r="88">
          <cell r="A88" t="str">
            <v>7255 МЯСНЫЕ С ГОВЯД.ПМ сос п/о мгс 0.4кг 6шт.  ОСТАНКИНО</v>
          </cell>
          <cell r="B88" t="str">
            <v>шт</v>
          </cell>
          <cell r="C88">
            <v>7255</v>
          </cell>
          <cell r="D88">
            <v>3</v>
          </cell>
          <cell r="E88">
            <v>847</v>
          </cell>
          <cell r="F88">
            <v>263</v>
          </cell>
          <cell r="G88">
            <v>578</v>
          </cell>
          <cell r="H88">
            <v>0.4</v>
          </cell>
          <cell r="I88">
            <v>50</v>
          </cell>
          <cell r="J88" t="str">
            <v>в матрице</v>
          </cell>
          <cell r="L88">
            <v>274</v>
          </cell>
          <cell r="M88">
            <v>-11</v>
          </cell>
          <cell r="P88">
            <v>50</v>
          </cell>
          <cell r="Q88">
            <v>50</v>
          </cell>
          <cell r="R88">
            <v>52.6</v>
          </cell>
          <cell r="S88">
            <v>30</v>
          </cell>
          <cell r="T88">
            <v>30</v>
          </cell>
          <cell r="U88">
            <v>0</v>
          </cell>
          <cell r="V88">
            <v>13.460076045627376</v>
          </cell>
          <cell r="W88">
            <v>10.988593155893536</v>
          </cell>
          <cell r="X88">
            <v>60.6</v>
          </cell>
          <cell r="Y88">
            <v>57.4</v>
          </cell>
          <cell r="Z88">
            <v>83.4</v>
          </cell>
          <cell r="AA88">
            <v>67</v>
          </cell>
          <cell r="AB88" t="str">
            <v>вместо 7077</v>
          </cell>
        </row>
        <row r="89">
          <cell r="A89" t="str">
            <v>7276 СЛИВОЧНЫЕ ПМ сос п/о мгс 0,3кг 7шт  Останкино</v>
          </cell>
          <cell r="B89" t="str">
            <v>шт</v>
          </cell>
          <cell r="C89">
            <v>7276</v>
          </cell>
          <cell r="D89">
            <v>50</v>
          </cell>
          <cell r="E89">
            <v>32</v>
          </cell>
          <cell r="F89">
            <v>68</v>
          </cell>
          <cell r="G89">
            <v>9</v>
          </cell>
          <cell r="H89">
            <v>0.3</v>
          </cell>
          <cell r="I89">
            <v>0</v>
          </cell>
          <cell r="J89">
            <v>0</v>
          </cell>
          <cell r="L89">
            <v>73</v>
          </cell>
          <cell r="M89">
            <v>-5</v>
          </cell>
          <cell r="P89">
            <v>35</v>
          </cell>
          <cell r="Q89">
            <v>35</v>
          </cell>
          <cell r="R89">
            <v>13.6</v>
          </cell>
          <cell r="S89">
            <v>55</v>
          </cell>
          <cell r="T89">
            <v>55</v>
          </cell>
          <cell r="U89">
            <v>0</v>
          </cell>
          <cell r="V89">
            <v>9.8529411764705888</v>
          </cell>
          <cell r="W89">
            <v>0.66176470588235292</v>
          </cell>
          <cell r="X89">
            <v>0.4</v>
          </cell>
          <cell r="Y89">
            <v>10.4</v>
          </cell>
          <cell r="Z89">
            <v>6.2</v>
          </cell>
          <cell r="AA89">
            <v>11.4</v>
          </cell>
          <cell r="AB89" t="str">
            <v>31,07,25 в уценку 232шт.</v>
          </cell>
        </row>
        <row r="90">
          <cell r="A90" t="str">
            <v>7284 ДЛЯ ДЕТЕЙ сос п/о мгс 0,33кг 6шт  Останкино</v>
          </cell>
          <cell r="B90" t="str">
            <v>шт</v>
          </cell>
          <cell r="C90">
            <v>7284</v>
          </cell>
          <cell r="D90">
            <v>12</v>
          </cell>
          <cell r="F90">
            <v>7</v>
          </cell>
          <cell r="G90">
            <v>5</v>
          </cell>
          <cell r="H90">
            <v>0.33</v>
          </cell>
          <cell r="I90">
            <v>30</v>
          </cell>
          <cell r="J90" t="str">
            <v>ВНИМАНИЕ / в матрице</v>
          </cell>
          <cell r="L90">
            <v>29</v>
          </cell>
          <cell r="M90">
            <v>-22</v>
          </cell>
          <cell r="P90">
            <v>25</v>
          </cell>
          <cell r="Q90">
            <v>25</v>
          </cell>
          <cell r="R90">
            <v>1.4</v>
          </cell>
          <cell r="S90">
            <v>0</v>
          </cell>
          <cell r="T90">
            <v>0</v>
          </cell>
          <cell r="U90">
            <v>0</v>
          </cell>
          <cell r="V90">
            <v>39.285714285714285</v>
          </cell>
          <cell r="W90">
            <v>3.5714285714285716</v>
          </cell>
          <cell r="X90">
            <v>8.1999999999999993</v>
          </cell>
          <cell r="Y90">
            <v>2.8</v>
          </cell>
          <cell r="Z90">
            <v>5.8</v>
          </cell>
          <cell r="AA90">
            <v>4</v>
          </cell>
          <cell r="AB90">
            <v>0</v>
          </cell>
        </row>
        <row r="91">
          <cell r="A91" t="str">
            <v>7288 БАЛЫК с/к с/н в/у 1/100 10шт ОСТАНКИНО</v>
          </cell>
          <cell r="B91" t="str">
            <v>шт</v>
          </cell>
          <cell r="C91">
            <v>7288</v>
          </cell>
          <cell r="D91">
            <v>86</v>
          </cell>
          <cell r="E91">
            <v>60</v>
          </cell>
          <cell r="F91">
            <v>26</v>
          </cell>
          <cell r="G91">
            <v>120</v>
          </cell>
          <cell r="H91">
            <v>0.1</v>
          </cell>
          <cell r="I91">
            <v>60</v>
          </cell>
          <cell r="J91" t="str">
            <v>в матрице</v>
          </cell>
          <cell r="L91">
            <v>29</v>
          </cell>
          <cell r="M91">
            <v>-3</v>
          </cell>
          <cell r="P91">
            <v>0</v>
          </cell>
          <cell r="Q91">
            <v>0</v>
          </cell>
          <cell r="R91">
            <v>5.2</v>
          </cell>
          <cell r="S91">
            <v>0</v>
          </cell>
          <cell r="T91">
            <v>0</v>
          </cell>
          <cell r="U91">
            <v>0</v>
          </cell>
          <cell r="V91">
            <v>23.076923076923077</v>
          </cell>
          <cell r="W91">
            <v>23.076923076923077</v>
          </cell>
          <cell r="X91">
            <v>12.8</v>
          </cell>
          <cell r="Y91">
            <v>9.1999999999999993</v>
          </cell>
          <cell r="Z91">
            <v>13.6</v>
          </cell>
          <cell r="AA91">
            <v>8.8000000000000007</v>
          </cell>
          <cell r="AB91" t="str">
            <v>нет потребности</v>
          </cell>
        </row>
        <row r="92">
          <cell r="A92" t="str">
            <v>7332 БОЯРСКАЯ ПМ п/к в/у 0,28кг ОСТАНКИНО</v>
          </cell>
          <cell r="B92" t="str">
            <v>шт</v>
          </cell>
          <cell r="C92">
            <v>7332</v>
          </cell>
          <cell r="D92">
            <v>7</v>
          </cell>
          <cell r="E92">
            <v>16</v>
          </cell>
          <cell r="F92">
            <v>18</v>
          </cell>
          <cell r="G92">
            <v>5</v>
          </cell>
          <cell r="H92">
            <v>0.28000000000000003</v>
          </cell>
          <cell r="I92">
            <v>50</v>
          </cell>
          <cell r="J92" t="str">
            <v>в матрице</v>
          </cell>
          <cell r="L92">
            <v>47</v>
          </cell>
          <cell r="M92">
            <v>-29</v>
          </cell>
          <cell r="P92">
            <v>35</v>
          </cell>
          <cell r="Q92">
            <v>35</v>
          </cell>
          <cell r="R92">
            <v>3.6</v>
          </cell>
          <cell r="S92">
            <v>0</v>
          </cell>
          <cell r="T92">
            <v>0</v>
          </cell>
          <cell r="U92">
            <v>0</v>
          </cell>
          <cell r="V92">
            <v>20.833333333333332</v>
          </cell>
          <cell r="W92">
            <v>1.3888888888888888</v>
          </cell>
          <cell r="X92">
            <v>3.6</v>
          </cell>
          <cell r="Y92">
            <v>0.4</v>
          </cell>
          <cell r="Z92">
            <v>3.2</v>
          </cell>
          <cell r="AA92">
            <v>6.4</v>
          </cell>
          <cell r="AB92">
            <v>0</v>
          </cell>
        </row>
        <row r="93">
          <cell r="A93" t="str">
            <v>7333 СЕРВЕЛАТ ОХОТНИЧИЙ ПМ в/к в/у 0,28кг ОСТАНКИНО</v>
          </cell>
          <cell r="B93" t="str">
            <v>шт</v>
          </cell>
          <cell r="C93">
            <v>7333</v>
          </cell>
          <cell r="D93">
            <v>-2</v>
          </cell>
          <cell r="E93">
            <v>32</v>
          </cell>
          <cell r="F93">
            <v>17</v>
          </cell>
          <cell r="G93">
            <v>13</v>
          </cell>
          <cell r="H93">
            <v>0.28000000000000003</v>
          </cell>
          <cell r="I93">
            <v>50</v>
          </cell>
          <cell r="J93" t="str">
            <v>в матрице</v>
          </cell>
          <cell r="L93">
            <v>17</v>
          </cell>
          <cell r="M93">
            <v>0</v>
          </cell>
          <cell r="P93">
            <v>25</v>
          </cell>
          <cell r="Q93">
            <v>25</v>
          </cell>
          <cell r="R93">
            <v>3.4</v>
          </cell>
          <cell r="S93">
            <v>0</v>
          </cell>
          <cell r="T93">
            <v>0</v>
          </cell>
          <cell r="U93">
            <v>0</v>
          </cell>
          <cell r="V93">
            <v>18.529411764705884</v>
          </cell>
          <cell r="W93">
            <v>3.8235294117647061</v>
          </cell>
          <cell r="X93">
            <v>-0.2</v>
          </cell>
          <cell r="Y93">
            <v>0.2</v>
          </cell>
          <cell r="Z93">
            <v>4.5999999999999996</v>
          </cell>
          <cell r="AA93">
            <v>6</v>
          </cell>
          <cell r="AB93">
            <v>0</v>
          </cell>
        </row>
        <row r="94">
          <cell r="A94" t="str">
            <v>7371 БРЕСТСКИЕ сос п/о в/у 0,3кг 8шт. ОСТАНКИНО</v>
          </cell>
          <cell r="B94" t="str">
            <v>шт</v>
          </cell>
          <cell r="C94">
            <v>7371</v>
          </cell>
          <cell r="D94">
            <v>85</v>
          </cell>
          <cell r="E94">
            <v>251</v>
          </cell>
          <cell r="F94">
            <v>129</v>
          </cell>
          <cell r="G94">
            <v>194</v>
          </cell>
          <cell r="H94">
            <v>0.3</v>
          </cell>
          <cell r="I94">
            <v>0</v>
          </cell>
          <cell r="J94" t="e">
            <v>#N/A</v>
          </cell>
          <cell r="L94">
            <v>154</v>
          </cell>
          <cell r="M94">
            <v>-25</v>
          </cell>
          <cell r="P94">
            <v>30</v>
          </cell>
          <cell r="Q94">
            <v>30</v>
          </cell>
          <cell r="R94">
            <v>25.8</v>
          </cell>
          <cell r="S94">
            <v>70</v>
          </cell>
          <cell r="T94">
            <v>70</v>
          </cell>
          <cell r="U94">
            <v>0</v>
          </cell>
          <cell r="V94">
            <v>12.55813953488372</v>
          </cell>
          <cell r="W94">
            <v>7.5193798449612403</v>
          </cell>
          <cell r="X94">
            <v>0</v>
          </cell>
          <cell r="Y94">
            <v>21</v>
          </cell>
          <cell r="Z94">
            <v>33.6</v>
          </cell>
          <cell r="AA94">
            <v>28.4</v>
          </cell>
          <cell r="AB94" t="e">
            <v>#N/A</v>
          </cell>
        </row>
        <row r="95">
          <cell r="A95" t="str">
            <v>7382  САЛЯМИ МЕЛКОЗЕРНЕНАЯ с/к в/у1/120 8шт.  ОСТАНКИНО</v>
          </cell>
          <cell r="B95" t="str">
            <v>шт</v>
          </cell>
          <cell r="C95">
            <v>7382</v>
          </cell>
          <cell r="D95">
            <v>215</v>
          </cell>
          <cell r="E95">
            <v>2</v>
          </cell>
          <cell r="F95">
            <v>171</v>
          </cell>
          <cell r="G95">
            <v>42</v>
          </cell>
          <cell r="H95">
            <v>0.12</v>
          </cell>
          <cell r="I95">
            <v>60</v>
          </cell>
          <cell r="J95" t="str">
            <v>в матрице</v>
          </cell>
          <cell r="L95">
            <v>175</v>
          </cell>
          <cell r="M95">
            <v>-4</v>
          </cell>
          <cell r="P95">
            <v>220</v>
          </cell>
          <cell r="Q95">
            <v>220</v>
          </cell>
          <cell r="R95">
            <v>34.200000000000003</v>
          </cell>
          <cell r="S95">
            <v>60</v>
          </cell>
          <cell r="T95">
            <v>60</v>
          </cell>
          <cell r="U95">
            <v>0</v>
          </cell>
          <cell r="V95">
            <v>15.847953216374268</v>
          </cell>
          <cell r="W95">
            <v>1.2280701754385963</v>
          </cell>
          <cell r="X95">
            <v>64.599999999999994</v>
          </cell>
          <cell r="Y95">
            <v>42.6</v>
          </cell>
          <cell r="Z95">
            <v>30.8</v>
          </cell>
          <cell r="AA95">
            <v>46.2</v>
          </cell>
          <cell r="AB95" t="str">
            <v>вместо 5682</v>
          </cell>
        </row>
        <row r="96">
          <cell r="A96" t="str">
            <v>7461 ДЛЯ ДЕТЕЙ Папа Может сос п/о мгс 0,33кг ОСТАНКИНО</v>
          </cell>
          <cell r="B96" t="str">
            <v>шт</v>
          </cell>
          <cell r="C96">
            <v>7461</v>
          </cell>
          <cell r="D96">
            <v>297</v>
          </cell>
          <cell r="E96">
            <v>209</v>
          </cell>
          <cell r="F96">
            <v>214</v>
          </cell>
          <cell r="G96">
            <v>275</v>
          </cell>
          <cell r="H96">
            <v>0.33</v>
          </cell>
          <cell r="I96">
            <v>0</v>
          </cell>
          <cell r="J96" t="e">
            <v>#N/A</v>
          </cell>
          <cell r="L96">
            <v>233</v>
          </cell>
          <cell r="M96">
            <v>-19</v>
          </cell>
          <cell r="P96">
            <v>50</v>
          </cell>
          <cell r="Q96">
            <v>50</v>
          </cell>
          <cell r="R96">
            <v>42.8</v>
          </cell>
          <cell r="S96">
            <v>110</v>
          </cell>
          <cell r="T96">
            <v>110</v>
          </cell>
          <cell r="U96">
            <v>0</v>
          </cell>
          <cell r="V96">
            <v>11.33177570093458</v>
          </cell>
          <cell r="W96">
            <v>6.4252336448598131</v>
          </cell>
          <cell r="X96">
            <v>0</v>
          </cell>
          <cell r="Y96">
            <v>49.8</v>
          </cell>
          <cell r="Z96">
            <v>31</v>
          </cell>
          <cell r="AA96">
            <v>40.799999999999997</v>
          </cell>
          <cell r="AB96" t="e">
            <v>#N/A</v>
          </cell>
        </row>
        <row r="97">
          <cell r="A97" t="str">
            <v>7523 ГОВЯЖЬЯ Папа Может вар п/о 0,4кг 6шт. ОСТАНКИНО</v>
          </cell>
          <cell r="B97" t="str">
            <v>шт</v>
          </cell>
          <cell r="C97">
            <v>7523</v>
          </cell>
          <cell r="D97">
            <v>83</v>
          </cell>
          <cell r="E97">
            <v>243</v>
          </cell>
          <cell r="F97">
            <v>94</v>
          </cell>
          <cell r="G97">
            <v>229</v>
          </cell>
          <cell r="H97">
            <v>0.4</v>
          </cell>
          <cell r="I97">
            <v>0</v>
          </cell>
          <cell r="J97" t="str">
            <v>ротация</v>
          </cell>
          <cell r="L97">
            <v>132</v>
          </cell>
          <cell r="M97">
            <v>-38</v>
          </cell>
          <cell r="P97">
            <v>0</v>
          </cell>
          <cell r="Q97">
            <v>0</v>
          </cell>
          <cell r="R97">
            <v>18.8</v>
          </cell>
          <cell r="S97">
            <v>25</v>
          </cell>
          <cell r="T97">
            <v>25</v>
          </cell>
          <cell r="U97">
            <v>0</v>
          </cell>
          <cell r="V97">
            <v>13.51063829787234</v>
          </cell>
          <cell r="W97">
            <v>12.180851063829786</v>
          </cell>
          <cell r="X97">
            <v>0</v>
          </cell>
          <cell r="Y97">
            <v>13</v>
          </cell>
          <cell r="Z97">
            <v>27.6</v>
          </cell>
          <cell r="AA97">
            <v>20.2</v>
          </cell>
          <cell r="AB97" t="e">
            <v>#N/A</v>
          </cell>
        </row>
        <row r="98">
          <cell r="A98" t="str">
            <v>7564 Балыковая в/к в/у Останкино Вес  ОСТАНКИНО</v>
          </cell>
          <cell r="B98" t="str">
            <v>кг</v>
          </cell>
          <cell r="C98">
            <v>7564</v>
          </cell>
          <cell r="E98">
            <v>40.024000000000001</v>
          </cell>
          <cell r="F98">
            <v>14.250999999999999</v>
          </cell>
          <cell r="G98">
            <v>25.773</v>
          </cell>
          <cell r="H98">
            <v>1</v>
          </cell>
          <cell r="I98" t="e">
            <v>#N/A</v>
          </cell>
          <cell r="J98" t="e">
            <v>#N/A</v>
          </cell>
          <cell r="L98">
            <v>14</v>
          </cell>
          <cell r="M98">
            <v>0.25099999999999945</v>
          </cell>
          <cell r="P98">
            <v>0</v>
          </cell>
          <cell r="Q98">
            <v>0</v>
          </cell>
          <cell r="R98">
            <v>2.8502000000000001</v>
          </cell>
          <cell r="S98">
            <v>7</v>
          </cell>
          <cell r="T98">
            <v>7</v>
          </cell>
          <cell r="U98">
            <v>0</v>
          </cell>
          <cell r="V98">
            <v>11.498491333941477</v>
          </cell>
          <cell r="W98">
            <v>9.042523331696021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 t="e">
            <v>#N/A</v>
          </cell>
        </row>
        <row r="99">
          <cell r="A99" t="str">
            <v>БОНУС_6087 СОЧНЫЕ ПМ сос п/о мгс 0,41кг 10шт.  ОСТАНКИНО</v>
          </cell>
          <cell r="B99" t="str">
            <v>шт</v>
          </cell>
          <cell r="C99">
            <v>0</v>
          </cell>
          <cell r="D99">
            <v>37</v>
          </cell>
          <cell r="E99">
            <v>6</v>
          </cell>
          <cell r="F99">
            <v>1</v>
          </cell>
          <cell r="G99">
            <v>40</v>
          </cell>
          <cell r="H99">
            <v>0</v>
          </cell>
          <cell r="I99">
            <v>0</v>
          </cell>
          <cell r="J99">
            <v>0</v>
          </cell>
          <cell r="L99">
            <v>28</v>
          </cell>
          <cell r="M99">
            <v>-27</v>
          </cell>
          <cell r="P99">
            <v>0</v>
          </cell>
          <cell r="Q99">
            <v>0</v>
          </cell>
          <cell r="R99">
            <v>0.2</v>
          </cell>
          <cell r="S99">
            <v>0</v>
          </cell>
          <cell r="T99">
            <v>0</v>
          </cell>
          <cell r="U99">
            <v>0</v>
          </cell>
          <cell r="V99">
            <v>200</v>
          </cell>
          <cell r="W99">
            <v>200</v>
          </cell>
          <cell r="X99">
            <v>24.2</v>
          </cell>
          <cell r="Y99">
            <v>18.2</v>
          </cell>
          <cell r="Z99">
            <v>13.6</v>
          </cell>
          <cell r="AA99">
            <v>1.4</v>
          </cell>
          <cell r="AB99" t="e">
            <v>#N/A</v>
          </cell>
        </row>
        <row r="100">
          <cell r="A100" t="str">
            <v>БОНУС_6954 СОЧНЫЕ Папа может сос п/о мгс 1.5*4_Х5  ОСТАНКИНО</v>
          </cell>
          <cell r="B100" t="str">
            <v>кг</v>
          </cell>
          <cell r="C100">
            <v>0</v>
          </cell>
          <cell r="D100">
            <v>-19.481000000000002</v>
          </cell>
          <cell r="F100">
            <v>0</v>
          </cell>
          <cell r="G100">
            <v>-19.481000000000002</v>
          </cell>
          <cell r="H100">
            <v>0</v>
          </cell>
          <cell r="I100">
            <v>0</v>
          </cell>
          <cell r="J100">
            <v>0</v>
          </cell>
          <cell r="L100">
            <v>0</v>
          </cell>
          <cell r="M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 t="e">
            <v>#DIV/0!</v>
          </cell>
          <cell r="W100" t="e">
            <v>#DIV/0!</v>
          </cell>
          <cell r="X100">
            <v>14.857200000000001</v>
          </cell>
          <cell r="Y100">
            <v>14.881200000000002</v>
          </cell>
          <cell r="Z100">
            <v>13.2858</v>
          </cell>
          <cell r="AA100">
            <v>0.31219999999999998</v>
          </cell>
          <cell r="AB100" t="e">
            <v>#N/A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Sheet"/>
    </sheetNames>
    <sheetDataSet>
      <sheetData sheetId="0">
        <row r="2">
          <cell r="A2" t="str">
            <v>Параметры:</v>
          </cell>
        </row>
        <row r="3">
          <cell r="A3" t="str">
            <v>Отбор:</v>
          </cell>
        </row>
        <row r="5">
          <cell r="A5" t="str">
            <v>Документ.Склад</v>
          </cell>
          <cell r="B5" t="str">
            <v>по заказам</v>
          </cell>
        </row>
        <row r="6">
          <cell r="A6" t="str">
            <v>Номенклатура</v>
          </cell>
          <cell r="B6" t="str">
            <v>Заказано</v>
          </cell>
        </row>
        <row r="7">
          <cell r="A7" t="str">
            <v>АСП Донецк Заморозка</v>
          </cell>
          <cell r="B7">
            <v>26</v>
          </cell>
        </row>
        <row r="8">
          <cell r="A8" t="str">
            <v>Останкино ООО</v>
          </cell>
          <cell r="B8">
            <v>26</v>
          </cell>
        </row>
        <row r="9">
          <cell r="A9" t="str">
            <v>Останкино Заморозка</v>
          </cell>
          <cell r="B9">
            <v>26</v>
          </cell>
        </row>
        <row r="10">
          <cell r="A10" t="str">
            <v>6149 БЛИНЧ.КРУГЛЫЕ С ПЕЧЕНЬЮ ПМ 1/300 зам. ОСТАНКИНО</v>
          </cell>
          <cell r="B10">
            <v>5</v>
          </cell>
        </row>
        <row r="11">
          <cell r="A11" t="str">
            <v>6168 Блинчики с мясом пл. 1/350 зам. ОСТАНКИНО</v>
          </cell>
          <cell r="B11">
            <v>11</v>
          </cell>
        </row>
        <row r="12">
          <cell r="A12" t="str">
            <v>6202 БЛИНЧ.КРУГЛЫЕ С ТВОРОГОМ ПМ 1/300 зам. ОСТАНКИНО</v>
          </cell>
          <cell r="B12">
            <v>5</v>
          </cell>
        </row>
        <row r="13">
          <cell r="A13" t="str">
            <v>6209 Блинчики с куриным мясом пл. 1/350 зам. ОСТАНКИНО</v>
          </cell>
          <cell r="B13">
            <v>5</v>
          </cell>
        </row>
        <row r="14">
          <cell r="A14" t="str">
            <v>АСП Донецк Останкино</v>
          </cell>
          <cell r="B14">
            <v>28928.653999999999</v>
          </cell>
        </row>
        <row r="15">
          <cell r="A15" t="str">
            <v>Останкино ООО</v>
          </cell>
          <cell r="B15">
            <v>28928.653999999999</v>
          </cell>
        </row>
        <row r="16">
          <cell r="A16" t="str">
            <v>ООО Останкино-Краснодар</v>
          </cell>
          <cell r="B16">
            <v>5917.152</v>
          </cell>
        </row>
        <row r="17">
          <cell r="A17" t="str">
            <v>3287 САЛЯМИ ИТАЛЬЯНСКАЯ с/к в/у ОСТАНКИНО</v>
          </cell>
          <cell r="B17">
            <v>10.1</v>
          </cell>
        </row>
        <row r="18">
          <cell r="A18" t="str">
            <v>3717 СОЧНЫЕ сос п/о мгс 1*6 ОСТАНКИНО</v>
          </cell>
          <cell r="B18">
            <v>10</v>
          </cell>
        </row>
        <row r="19">
          <cell r="A19" t="str">
            <v>4063 МЯСНАЯ Папа может вар п/о_Л   ОСТАНКИНО</v>
          </cell>
          <cell r="B19">
            <v>1358.326</v>
          </cell>
        </row>
        <row r="20">
          <cell r="A20" t="str">
            <v>4117 ЭКСТРА Папа может с/к в/у_Л   ОСТАНКИНО</v>
          </cell>
          <cell r="B20">
            <v>33.6</v>
          </cell>
        </row>
        <row r="21">
          <cell r="A21" t="str">
            <v>4342 Салями Финская п/к в/у ОСТАНКИНО</v>
          </cell>
          <cell r="B21">
            <v>2</v>
          </cell>
        </row>
        <row r="22">
          <cell r="A22" t="str">
            <v>4574 Мясная со шпиком Папа может вар п/о ОСТАНКИНО</v>
          </cell>
          <cell r="B22">
            <v>187.298</v>
          </cell>
        </row>
        <row r="23">
          <cell r="A23" t="str">
            <v>4813 ФИЛЕЙНАЯ Папа может вар п/о_Л   ОСТАНКИНО</v>
          </cell>
          <cell r="B23">
            <v>517.83199999999999</v>
          </cell>
        </row>
        <row r="24">
          <cell r="A24" t="str">
            <v>5452 ВЕТЧ.МЯСНАЯ Папа может п/о    ОСТАНКИНО</v>
          </cell>
          <cell r="B24">
            <v>62.4</v>
          </cell>
        </row>
        <row r="25">
          <cell r="A25" t="str">
            <v>5544 Сервелат Финский в/к в/у_45с НОВАЯ ОСТАНКИНО</v>
          </cell>
          <cell r="B25">
            <v>372.71</v>
          </cell>
        </row>
        <row r="26">
          <cell r="A26" t="str">
            <v>5708 ПОСОЛЬСКАЯ Папа может с/к в/у ОСТАНКИНО</v>
          </cell>
          <cell r="B26">
            <v>20.626000000000001</v>
          </cell>
        </row>
        <row r="27">
          <cell r="A27" t="str">
            <v>5851 ЭКСТРА Папа может вар п/о   ОСТАНКИНО</v>
          </cell>
          <cell r="B27">
            <v>331.32299999999998</v>
          </cell>
        </row>
        <row r="28">
          <cell r="A28" t="str">
            <v>6008 САЛО СОЛЕНОЕ С ЧЕРНЫМ ПЕРЦЕМ мл/к в/у ОСТАНКИНО</v>
          </cell>
          <cell r="B28">
            <v>24.526</v>
          </cell>
        </row>
        <row r="29">
          <cell r="A29" t="str">
            <v>6220 ГОВЯЖЬЯ папа может вар п/о  Останкино</v>
          </cell>
          <cell r="B29">
            <v>359.65800000000002</v>
          </cell>
        </row>
        <row r="30">
          <cell r="A30" t="str">
            <v>6303 Мясные Папа может сос п/о мгс 1,5*3  Останкино</v>
          </cell>
          <cell r="B30">
            <v>360.91199999999998</v>
          </cell>
        </row>
        <row r="31">
          <cell r="A31" t="str">
            <v>6470 ВЕТЧ.МРАМОРНАЯ в/у_45с  Останкино</v>
          </cell>
          <cell r="B31">
            <v>18.3</v>
          </cell>
        </row>
        <row r="32">
          <cell r="A32" t="str">
            <v>6498 МОЛОЧНАЯ Папа может вар п/о  ОСТАНКИНО</v>
          </cell>
          <cell r="B32">
            <v>159.19300000000001</v>
          </cell>
        </row>
        <row r="33">
          <cell r="A33" t="str">
            <v>6527 ШПИКАЧКИ СОЧНЫЕ ПМ сар б/о мгс 1*3 45с ОСТАНКИНО</v>
          </cell>
          <cell r="B33">
            <v>78.099999999999994</v>
          </cell>
        </row>
        <row r="34">
          <cell r="A34" t="str">
            <v>6550 МЯСНЫЕ Папа может сар б/о мгс 1*3 О 45с  Останкино</v>
          </cell>
          <cell r="B34">
            <v>136.03399999999999</v>
          </cell>
        </row>
        <row r="35">
          <cell r="A35" t="str">
            <v>6608 С ГОВЯДИНОЙ ОРИГИН. сар б/о мгс 1*3_45с  ОСТАНКИНО</v>
          </cell>
          <cell r="B35">
            <v>217.93100000000001</v>
          </cell>
        </row>
        <row r="36">
          <cell r="A36" t="str">
            <v>6661 СОЧНЫЙ ГРИЛЬ ПМ сос п/о мгс 1,5*4_Маяк Останкино</v>
          </cell>
          <cell r="B36">
            <v>13.663</v>
          </cell>
        </row>
        <row r="37">
          <cell r="A37" t="str">
            <v>6829  МОЛОЧНЫЕ КЛАССИЧЕСКИЕ сос п/о мгс 2*4 С  Останккино</v>
          </cell>
          <cell r="B37">
            <v>472.25599999999997</v>
          </cell>
        </row>
        <row r="38">
          <cell r="A38" t="str">
            <v>7001 КЛАССИЧЕСКИЕ Папа может сар б/о мгс 1*3  Останкино</v>
          </cell>
          <cell r="B38">
            <v>18.600000000000001</v>
          </cell>
        </row>
        <row r="39">
          <cell r="A39" t="str">
            <v>7070 СОЧНЫЕ ПМ сос п/о 1,5*4_А_50с  Останкино</v>
          </cell>
          <cell r="B39">
            <v>469.07400000000001</v>
          </cell>
        </row>
        <row r="40">
          <cell r="A40" t="str">
            <v>7075 МОЛОЧ.ПРЕМИУМ ПМ сос п/о мгс 1,5*4_О_50с  Останкино</v>
          </cell>
          <cell r="B40">
            <v>3.5</v>
          </cell>
        </row>
        <row r="41">
          <cell r="A41" t="str">
            <v>7082 СЛИВОЧНЫЕ ПМ сос п/о мгс 1,5*4_50с  Останкино</v>
          </cell>
          <cell r="B41">
            <v>10.8</v>
          </cell>
        </row>
        <row r="42">
          <cell r="A42" t="str">
            <v>7083 СЛИВОЧНЫЕ ПМ сос п/о мгс 1.5*4_А_50с  ОСТАНКИНО</v>
          </cell>
          <cell r="B42">
            <v>133.065</v>
          </cell>
        </row>
        <row r="43">
          <cell r="A43" t="str">
            <v>7157 СЕРВЕЛАТ ЗЕРНИСТЫЙ ПМ в/к в/у_50с  Останкино</v>
          </cell>
          <cell r="B43">
            <v>121.447</v>
          </cell>
        </row>
        <row r="44">
          <cell r="A44" t="str">
            <v>7166 СЕРВЕЛАТ ОХОТНИЧИЙ ПМ в/к в/у_50с  Останкино</v>
          </cell>
          <cell r="B44">
            <v>388.24299999999999</v>
          </cell>
        </row>
        <row r="45">
          <cell r="A45" t="str">
            <v>7299 НАБОР ДЛЯ ПИЦЦЫ Папа Может с/к в/у  ОСТАНКИНО</v>
          </cell>
          <cell r="B45">
            <v>3</v>
          </cell>
        </row>
        <row r="46">
          <cell r="A46" t="str">
            <v>7564 Балыковая в/к в/у Останкино Вес  ОСТАНКИНО</v>
          </cell>
          <cell r="B46">
            <v>22.635000000000002</v>
          </cell>
        </row>
        <row r="47">
          <cell r="A47" t="str">
            <v>ООО Останкино-Краснодар (ШТ)</v>
          </cell>
          <cell r="B47">
            <v>22461.601999999999</v>
          </cell>
        </row>
        <row r="48">
          <cell r="A48" t="str">
            <v>3215 ВЕТЧ.МЯСНАЯ Папа может п/о 0.4кг 8шт.    ОСТАНКИНО</v>
          </cell>
          <cell r="B48">
            <v>392</v>
          </cell>
        </row>
        <row r="49">
          <cell r="A49" t="str">
            <v>3986 Ароматная с/к в/у 1/250 ОСТАНКИНО</v>
          </cell>
          <cell r="B49">
            <v>230</v>
          </cell>
        </row>
        <row r="50">
          <cell r="A50" t="str">
            <v>4993 САЛЯМИ ИТАЛЬЯНСКАЯ с/к в/у 1/250*8_120c ОСТАНКИНО</v>
          </cell>
          <cell r="B50">
            <v>101</v>
          </cell>
        </row>
        <row r="51">
          <cell r="A51" t="str">
            <v>5483 ЭКСТРА Папа может с/к в/у 1/250 8шт.   ОСТАНКИНО</v>
          </cell>
          <cell r="B51">
            <v>70</v>
          </cell>
        </row>
        <row r="52">
          <cell r="A52" t="str">
            <v>5495 ВЕТЧ.С ИНДЕЙКОЙ Папа может п/о 400*6  Останкино</v>
          </cell>
          <cell r="B52">
            <v>461</v>
          </cell>
        </row>
        <row r="53">
          <cell r="A53" t="str">
            <v>5819 Сосиски Папа может 400г Мясные  ОСТАНКИНО</v>
          </cell>
          <cell r="B53">
            <v>284</v>
          </cell>
        </row>
        <row r="54">
          <cell r="A54" t="str">
            <v>5931 ОХОТНИЧЬЯ Папа может с/к в/у 1/220 8шт.   ОСТАНКИНО</v>
          </cell>
          <cell r="B54">
            <v>220</v>
          </cell>
        </row>
        <row r="55">
          <cell r="A55" t="str">
            <v>6208 ДЫМОВИЦА ИЗ ЛОПАТКИ ПМ к/в с/н в/у 1/150  Останкино</v>
          </cell>
          <cell r="B55">
            <v>11</v>
          </cell>
        </row>
        <row r="56">
          <cell r="A56" t="str">
            <v>6213 СЕРВЕЛАТ ФИНСКИЙ СН в/к в/у 0,35кг 8шт  Останкино</v>
          </cell>
          <cell r="B56">
            <v>2</v>
          </cell>
        </row>
        <row r="57">
          <cell r="A57" t="str">
            <v>6221 НЕОПОЛИТАНСКИЙ ДУЭТ с/к с/н мгс 1/90  Останкино</v>
          </cell>
          <cell r="B57">
            <v>455</v>
          </cell>
        </row>
        <row r="58">
          <cell r="A58" t="str">
            <v>6228 МЯСНОЕ АССОРТИ к/з с/н мгс 1/90 10шт  Останкино</v>
          </cell>
          <cell r="B58">
            <v>213</v>
          </cell>
        </row>
        <row r="59">
          <cell r="A59" t="str">
            <v>6268 Колбаса Папа может 400г Говяжья вар п/о  ОСТАНКИНО</v>
          </cell>
          <cell r="B59">
            <v>13</v>
          </cell>
        </row>
        <row r="60">
          <cell r="A60" t="str">
            <v>6279 КОРЕЙКА ПО-ОСТ.к/в в/с с/н в/у 1/150_45с  Останкино</v>
          </cell>
          <cell r="B60">
            <v>161</v>
          </cell>
        </row>
        <row r="61">
          <cell r="A61" t="str">
            <v>6324 ДОКТОРСКАЯ ГОСТ вар п/о 0,4кг 8шт  Останкино</v>
          </cell>
          <cell r="B61">
            <v>390</v>
          </cell>
        </row>
        <row r="62">
          <cell r="A62" t="str">
            <v>6325 ДОКТОРСКАЯ ПРЕМИУМ вар п/о 0.4кг 8шт.  ОСТАНКИНО</v>
          </cell>
          <cell r="B62">
            <v>149</v>
          </cell>
        </row>
        <row r="63">
          <cell r="A63" t="str">
            <v>6333 МЯСНАЯ Папа может вар п/о 0.4кг 8шт.  ОСТАНКИНО</v>
          </cell>
          <cell r="B63">
            <v>669.3</v>
          </cell>
        </row>
        <row r="64">
          <cell r="A64" t="str">
            <v>6353 ЭКСТРА Папа может вар п/о 0.4кг 8шт.  ОСТАНКИНО</v>
          </cell>
          <cell r="B64">
            <v>572.6</v>
          </cell>
        </row>
        <row r="65">
          <cell r="A65" t="str">
            <v>6392 ФИЛЕЙНАЯ Папа может вар п/о 0,4кг  ОСТАНКИНО</v>
          </cell>
          <cell r="B65">
            <v>826</v>
          </cell>
        </row>
        <row r="66">
          <cell r="A66" t="str">
            <v>6453 ЭКСТРА Папа может с/к с/н в/у 1/100 14шт.   ОСТАНКИНО</v>
          </cell>
          <cell r="B66">
            <v>376</v>
          </cell>
        </row>
        <row r="67">
          <cell r="A67" t="str">
            <v>6454 АРОМАТНАЯ с/к с/н в/у 1/100 10шт.  ОСТАНКИНО</v>
          </cell>
          <cell r="B67">
            <v>246</v>
          </cell>
        </row>
        <row r="68">
          <cell r="A68" t="str">
            <v>6459 СЕРВЕЛАТ ШВЕЙЦАРСК. в/к с/н в/у 1/100*10  Останкино</v>
          </cell>
          <cell r="B68">
            <v>134</v>
          </cell>
        </row>
        <row r="69">
          <cell r="A69" t="str">
            <v>6475 Сосиски Папа может 400г С сыром  ОСТАНКИНО</v>
          </cell>
          <cell r="B69">
            <v>66</v>
          </cell>
        </row>
        <row r="70">
          <cell r="A70" t="str">
            <v>6495 ВЕТЧ.МРАМОРНАЯ в/у срез 0,3кг 6шт_45с  Останкино</v>
          </cell>
          <cell r="B70">
            <v>212</v>
          </cell>
        </row>
        <row r="71">
          <cell r="A71" t="str">
            <v>6602 БАВАРСКИЕ ПМ сос ц/о мгс 0,35кг 8шт  Останкино</v>
          </cell>
          <cell r="B71">
            <v>38</v>
          </cell>
        </row>
        <row r="72">
          <cell r="A72" t="str">
            <v>6609 С ГОВЯДИНОЙ ПМ сар б/о мгс 0,4 кг_45с</v>
          </cell>
          <cell r="B72">
            <v>43</v>
          </cell>
        </row>
        <row r="73">
          <cell r="A73" t="str">
            <v>6616 МОЛОЧНЫЕ КЛАССИЧЕСКИЕ сос п/о в/у 0,3 кг  Останкино</v>
          </cell>
          <cell r="B73">
            <v>5795</v>
          </cell>
        </row>
        <row r="74">
          <cell r="A74" t="str">
            <v>6697 СЕРВЕЛАТ ФИНСКИЙ ПМ в/к в/у 0,35кг 8шт  ОСТАНКИНО</v>
          </cell>
          <cell r="B74">
            <v>1311</v>
          </cell>
        </row>
        <row r="75">
          <cell r="A75" t="str">
            <v>6713 СОЧНЫЙ ГРИЛЬ ПМ сос п/о мгс 0,41кг 8 шт.  ОСТАНКИНО</v>
          </cell>
          <cell r="B75">
            <v>466</v>
          </cell>
        </row>
        <row r="76">
          <cell r="A76" t="str">
            <v>6724 МОЛОЧНЫЕ ПМ сос п/о мгс 0,41кг 10шт  Останкино</v>
          </cell>
          <cell r="B76">
            <v>132</v>
          </cell>
        </row>
        <row r="77">
          <cell r="A77" t="str">
            <v>6765 РУБЛЕНЫЕ сос ц/о мгс 0,36кг 6шт  Останкино</v>
          </cell>
          <cell r="B77">
            <v>342</v>
          </cell>
        </row>
        <row r="78">
          <cell r="A78" t="str">
            <v>6787 СЕРВЕЛАТ КРЕМЛЕВСКИЙ в/к в/у 0,33кг 8шт  Останкино</v>
          </cell>
          <cell r="B78">
            <v>282</v>
          </cell>
        </row>
        <row r="79">
          <cell r="A79" t="str">
            <v>6791 СЕРВЕЛАТ ПРЕМИУМ в/к в/у 0,33кг 8шт  Останкино</v>
          </cell>
          <cell r="B79">
            <v>4</v>
          </cell>
        </row>
        <row r="80">
          <cell r="A80" t="str">
            <v>6793 БАЛЫКОВАЯ в/к в/у 0,33кг 8шт  Останкино</v>
          </cell>
          <cell r="B80">
            <v>140</v>
          </cell>
        </row>
        <row r="81">
          <cell r="A81" t="str">
            <v>6797 С ИНДЕЙКОЙ Папа может вар п/о 0,4кг 8шт. ОСТАНКИНО</v>
          </cell>
          <cell r="B81">
            <v>193</v>
          </cell>
        </row>
        <row r="82">
          <cell r="A82" t="str">
            <v>6807 СЕРВЕЛАТ ЕВРОПЕЙСКИЙ в/к в/у 0,33кг 8шт  Останкино</v>
          </cell>
          <cell r="B82">
            <v>36</v>
          </cell>
        </row>
        <row r="83">
          <cell r="A83" t="str">
            <v>6834 ПОСОЛЬСКАЯ с/к с/н в/у 1/100 10шт  Останкино</v>
          </cell>
          <cell r="B83">
            <v>14</v>
          </cell>
        </row>
        <row r="84">
          <cell r="A84" t="str">
            <v>6837 ФИЛЕЙНЫЕ Папа Может сос ц/о мгс 0,4кг  Останкино</v>
          </cell>
          <cell r="B84">
            <v>54</v>
          </cell>
        </row>
        <row r="85">
          <cell r="A85" t="str">
            <v>6909 ДЛЯ ДЕТЕЙ сос п/о мгс 0,33кг 8шт  Останкино</v>
          </cell>
          <cell r="B85">
            <v>2</v>
          </cell>
        </row>
        <row r="86">
          <cell r="A86" t="str">
            <v>6925 ВЕТЧ.КЛАССИЧЕСКАЯ в/у 0,6кг 8шт. ОСТАНКИНО</v>
          </cell>
          <cell r="B86">
            <v>17</v>
          </cell>
        </row>
        <row r="87">
          <cell r="A87" t="str">
            <v>6967 БУРГУНДИЯ Папа может с/к в/у 1/250 8шт  Останкино</v>
          </cell>
          <cell r="B87">
            <v>24</v>
          </cell>
        </row>
        <row r="88">
          <cell r="A88" t="str">
            <v>7059 ШПИКАЧКИ СОЧНЫЕ С БЕК. п/о мгс 0,3кг 60с ОСТАНКИНО</v>
          </cell>
          <cell r="B88">
            <v>138</v>
          </cell>
        </row>
        <row r="89">
          <cell r="A89" t="str">
            <v>7066 СОЧНЫЕ ПМ сос п/о мгс 0,41кг 10шт 50с  Останкино</v>
          </cell>
          <cell r="B89">
            <v>1452</v>
          </cell>
        </row>
        <row r="90">
          <cell r="A90" t="str">
            <v>7073 МОЛОЧ.ПРЕМИУМ ПМ сос п/о в/у 1/350_50с  Останкино</v>
          </cell>
          <cell r="B90">
            <v>50</v>
          </cell>
        </row>
        <row r="91">
          <cell r="A91" t="str">
            <v>7077 МЯСНЫЕ С ГОВЯД. ПМ сос п/о мгс 0,4кг_50с  Останкино</v>
          </cell>
          <cell r="B91">
            <v>20</v>
          </cell>
        </row>
        <row r="92">
          <cell r="A92" t="str">
            <v>7080 СЛИВОЧНЫЕ ПМ сос п/о мгс 0,41кг 10шт 50с  Останкино</v>
          </cell>
          <cell r="B92">
            <v>638.1</v>
          </cell>
        </row>
        <row r="93">
          <cell r="A93" t="str">
            <v>7090 СВИНИНА ПО-ДОМ.к/в мл/к в/у 0,3кг_50с  Останкино</v>
          </cell>
          <cell r="B93">
            <v>163</v>
          </cell>
        </row>
        <row r="94">
          <cell r="A94" t="str">
            <v>7103 БЕКОН Останкино с/к с/н в/у 1/180_50с  Останкино</v>
          </cell>
          <cell r="B94">
            <v>255</v>
          </cell>
        </row>
        <row r="95">
          <cell r="A95" t="str">
            <v>7147 САЛЬЧИЧОН Останкино с/к в/у 1/220 8 шт  Останкино</v>
          </cell>
          <cell r="B95">
            <v>16</v>
          </cell>
        </row>
        <row r="96">
          <cell r="A96" t="str">
            <v>7154 СЕРВЕЛАТ ЗЕРНИСТЫЙ ПМ в/к в/у 0,35кг_50с  Останкино</v>
          </cell>
          <cell r="B96">
            <v>900</v>
          </cell>
        </row>
        <row r="97">
          <cell r="A97" t="str">
            <v>7163 СЕРВЕЛАТ КЛАССИЧ.ПМ в/к в/у 0,62кг_50с  Останкино</v>
          </cell>
          <cell r="B97">
            <v>6.22</v>
          </cell>
        </row>
        <row r="98">
          <cell r="A98" t="str">
            <v>7169 СЕРВЕЛАТ ОХОТНИЧИЙ ПМ в/к в/у 0,35кг_50с  Останкино</v>
          </cell>
          <cell r="B98">
            <v>890.7</v>
          </cell>
        </row>
        <row r="99">
          <cell r="A99" t="str">
            <v>7187 ГРУДИНКА ПРЕМИУМ к/в мл/к в/у 0,3кг_50с  Останкино</v>
          </cell>
          <cell r="B99">
            <v>117</v>
          </cell>
        </row>
        <row r="100">
          <cell r="A100" t="str">
            <v>7231 КЛАССИЧЕСКАЯ ПМ вар п/о 0,3кг 8 шт_209к  Останкино</v>
          </cell>
          <cell r="B100">
            <v>81</v>
          </cell>
        </row>
        <row r="101">
          <cell r="A101" t="str">
            <v>7232 БОЯNСКАЯ ПМ п/к в/у 0,28кг 8шт_209к  Останкино</v>
          </cell>
          <cell r="B101">
            <v>165</v>
          </cell>
        </row>
        <row r="102">
          <cell r="A102" t="str">
            <v>7233 БАЛЫКОВАЯ ПМ п/к в/у 0,31кг 8шт_209к  Останкино</v>
          </cell>
          <cell r="B102">
            <v>34</v>
          </cell>
        </row>
        <row r="103">
          <cell r="A103" t="str">
            <v>7236 СЕРВЕЛАТ КАРЕЛЬСКИЙ в/к в/у 0,28кг_209к  Останкино</v>
          </cell>
          <cell r="B103">
            <v>336</v>
          </cell>
        </row>
        <row r="104">
          <cell r="A104" t="str">
            <v>7237 СЕРВЕЛАТ ШВАРЦЕР ПМ в/к в/у 0,28кг_209к  Останкино</v>
          </cell>
          <cell r="B104">
            <v>64</v>
          </cell>
        </row>
        <row r="105">
          <cell r="A105" t="str">
            <v>7241 САЛЯМИ Папа может п/к в/у 0,28кг ОСТАНКИНО</v>
          </cell>
          <cell r="B105">
            <v>298</v>
          </cell>
        </row>
        <row r="106">
          <cell r="A106" t="str">
            <v>7255 МЯСНЫЕ С ГОВЯД.ПМ сос п/о мгс 0.4кг 6шт.  ОСТАНКИНО</v>
          </cell>
          <cell r="B106">
            <v>453</v>
          </cell>
        </row>
        <row r="107">
          <cell r="A107" t="str">
            <v>7271 МЯСНЫЕ С ГОВЯДИНОЙ ПМ сос п/о мгс 1.5*4  ОСТАНКИНО</v>
          </cell>
          <cell r="B107">
            <v>18.681999999999999</v>
          </cell>
        </row>
        <row r="108">
          <cell r="A108" t="str">
            <v>7276 СЛИВОЧНЫЕ ПМ сос п/о мгс 0,3кг 7шт  Останкино</v>
          </cell>
          <cell r="B108">
            <v>12</v>
          </cell>
        </row>
        <row r="109">
          <cell r="A109" t="str">
            <v>7284 ДЛЯ ДЕТЕЙ сос п/о мгс 0,33кг 6шт  Останкино</v>
          </cell>
          <cell r="B109">
            <v>49</v>
          </cell>
        </row>
        <row r="110">
          <cell r="A110" t="str">
            <v>7288 БАЛЫК с/к с/н в/у 1/100 10шт ОСТАНКИНО</v>
          </cell>
          <cell r="B110">
            <v>76</v>
          </cell>
        </row>
        <row r="111">
          <cell r="A111" t="str">
            <v>7332 БОЯРСКАЯ ПМ п/к в/у 0,28кг ОСТАНКИНО</v>
          </cell>
          <cell r="B111">
            <v>33</v>
          </cell>
        </row>
        <row r="112">
          <cell r="A112" t="str">
            <v>7333 СЕРВЕЛАТ ОХОТНИЧИЙ ПМ в/к в/у 0,28кг ОСТАНКИНО</v>
          </cell>
          <cell r="B112">
            <v>20</v>
          </cell>
        </row>
        <row r="113">
          <cell r="A113" t="str">
            <v>7371 БРЕСТСКИЕ сос п/о в/у 0,3кг 8шт. ОСТАНКИНО</v>
          </cell>
          <cell r="B113">
            <v>173</v>
          </cell>
        </row>
        <row r="114">
          <cell r="A114" t="str">
            <v>7382  САЛЯМИ МЕЛКОЗЕРНЕНАЯ с/к в/у1/120 8шт.  ОСТАНКИНО</v>
          </cell>
          <cell r="B114">
            <v>267</v>
          </cell>
        </row>
        <row r="115">
          <cell r="A115" t="str">
            <v>7461 ДЛЯ ДЕТЕЙ Папа Может сос п/о мгс 0,33кг ОСТАНКИНО</v>
          </cell>
          <cell r="B115">
            <v>296</v>
          </cell>
        </row>
        <row r="116">
          <cell r="A116" t="str">
            <v>7489 СЫРРРВЕЛАТ Папа Может в/к в/у 0,28кг 8шт. ОСТАНКИНО</v>
          </cell>
          <cell r="B116">
            <v>91</v>
          </cell>
        </row>
        <row r="117">
          <cell r="A117" t="str">
            <v>7523 ГОВЯЖЬЯ Папа Может вар п/о 0,4кг 6шт. ОСТАНКИНО</v>
          </cell>
          <cell r="B117">
            <v>181</v>
          </cell>
        </row>
        <row r="118">
          <cell r="A118" t="str">
            <v>7539 ДОКТОРСКАЯ ГОСТ вар п/о 0,35кг ОСТАНКИНО</v>
          </cell>
          <cell r="B118">
            <v>1</v>
          </cell>
        </row>
        <row r="119">
          <cell r="A119" t="str">
            <v>А_6325 ДОКТОРСКАЯ ПРЕМИУМ вар п/о 0.4кг 8шт.  ОСТАНКИНО</v>
          </cell>
          <cell r="B119">
            <v>2</v>
          </cell>
        </row>
        <row r="120">
          <cell r="A120" t="str">
            <v>А_7382  САЛЯМИ МЕЛКОЗЕРНЕНАЯ с/к в/у1/120 8шт.  ОСТАНКИНО</v>
          </cell>
          <cell r="B120">
            <v>1</v>
          </cell>
        </row>
        <row r="121">
          <cell r="A121" t="str">
            <v>БОНУС_6087 СОЧНЫЕ ПМ сос п/о мгс 0,41кг 10шт.  ОСТАНКИНО</v>
          </cell>
          <cell r="B121">
            <v>17</v>
          </cell>
        </row>
        <row r="122">
          <cell r="A122" t="str">
            <v>Останкино Заморозка</v>
          </cell>
          <cell r="B122">
            <v>444.6</v>
          </cell>
        </row>
        <row r="123">
          <cell r="A123" t="str">
            <v>5579 БЛИНЧ.КРУГЛЫЕ С САД.ЯБЛОК.пл.1/420 зам. ОСТАНКИНО</v>
          </cell>
          <cell r="B123">
            <v>6</v>
          </cell>
        </row>
        <row r="124">
          <cell r="A124" t="str">
            <v>5754 БЛИНЧ.КРУГЛЫЕ С МЯСОМ 4,5кг зам. ПМ ОСТАНКИНО</v>
          </cell>
          <cell r="B124">
            <v>22.6</v>
          </cell>
        </row>
        <row r="125">
          <cell r="A125" t="str">
            <v>5755 БЛИНЧ.КРУГЛЫЕ С ТВОРОГОМ 4,5кг зам. ПМ ОСТАНКИНО</v>
          </cell>
          <cell r="B125">
            <v>4</v>
          </cell>
        </row>
        <row r="126">
          <cell r="A126" t="str">
            <v>5897 БЛИНЧ.КРУГЛЫЕ С ГРУШЕЙ пл.1/420 зам.   ОСТАНКИНО</v>
          </cell>
          <cell r="B126">
            <v>5</v>
          </cell>
        </row>
        <row r="127">
          <cell r="A127" t="str">
            <v>6148 БЛИНЧ.КРУГЛЫЕ С ВЕТЧ.И СЫР. ПМ 1/300 зам. ОСТАНКИНО</v>
          </cell>
          <cell r="B127">
            <v>54</v>
          </cell>
        </row>
        <row r="128">
          <cell r="A128" t="str">
            <v>6149 БЛИНЧ.КРУГЛЫЕ С ПЕЧЕНЬЮ ПМ 1/300 зам. ОСТАНКИНО</v>
          </cell>
          <cell r="B128">
            <v>65</v>
          </cell>
        </row>
        <row r="129">
          <cell r="A129" t="str">
            <v>6168 Блинчики с мясом пл. 1/350 зам. ОСТАНКИНО</v>
          </cell>
          <cell r="B129">
            <v>60</v>
          </cell>
        </row>
        <row r="130">
          <cell r="A130" t="str">
            <v>6202 БЛИНЧ.КРУГЛЫЕ С ТВОРОГОМ ПМ 1/300 зам. ОСТАНКИНО</v>
          </cell>
          <cell r="B130">
            <v>61</v>
          </cell>
        </row>
        <row r="131">
          <cell r="A131" t="str">
            <v>6209 Блинчики с куриным мясом пл. 1/350 зам. ОСТАНКИНО</v>
          </cell>
          <cell r="B131">
            <v>77</v>
          </cell>
        </row>
        <row r="132">
          <cell r="A132" t="str">
            <v>6819 БЛИНЧ.КРУГЛЫЕ С САД.ЯБЛОК. пл. 1/300 зам. ОСТАНКИНО</v>
          </cell>
          <cell r="B132">
            <v>3</v>
          </cell>
        </row>
        <row r="133">
          <cell r="A133" t="str">
            <v>7216 СОЧНЫЕ СО СЛ.МАСЛ.ПМ пельм пл.0.7кг зам. ОСТАНКИНО</v>
          </cell>
          <cell r="B133">
            <v>87</v>
          </cell>
        </row>
        <row r="134">
          <cell r="A134" t="str">
            <v>Останкино КОРОВИНО (ВЕС)</v>
          </cell>
          <cell r="B134">
            <v>98.3</v>
          </cell>
        </row>
        <row r="135">
          <cell r="A135" t="str">
            <v>6832 АССОРТИ СЫРОКОПЧЕНЫХ КОЛБАС Коровино в/у  ОСТАНКИНО</v>
          </cell>
          <cell r="B135">
            <v>42.4</v>
          </cell>
        </row>
        <row r="136">
          <cell r="A136" t="str">
            <v>6861 ДОМАШНИЙ РЕЦЕПТ Коровино вар п/о  Останкино</v>
          </cell>
          <cell r="B136">
            <v>33.5</v>
          </cell>
        </row>
        <row r="137">
          <cell r="A137" t="str">
            <v>6866 ВЕТЧ.НЕЖНАЯ Коровино п/о_Маяк  Останкино</v>
          </cell>
          <cell r="B137">
            <v>22.4</v>
          </cell>
        </row>
        <row r="138">
          <cell r="A138" t="str">
            <v>Останкино СЫР</v>
          </cell>
          <cell r="B138">
            <v>7</v>
          </cell>
        </row>
        <row r="139">
          <cell r="A139" t="str">
            <v>Сыр Боккончини копченый 40% 100 гр.  ОСТАНКИНО</v>
          </cell>
          <cell r="B139">
            <v>1</v>
          </cell>
        </row>
        <row r="140">
          <cell r="A140" t="str">
            <v>Сыр ПАПА МОЖЕТ "Министерский" 180 г фасованный массовая  Останкино</v>
          </cell>
          <cell r="B140">
            <v>2</v>
          </cell>
        </row>
        <row r="141">
          <cell r="A141" t="str">
            <v>Сыр ПАПА МОЖЕТ "Папин завтрак"  45% 180 г  Останкино</v>
          </cell>
          <cell r="B141">
            <v>2</v>
          </cell>
        </row>
        <row r="142">
          <cell r="A142" t="str">
            <v>Сыр Творожный с зеленью 60% Папа может 140 гр.  Останкино</v>
          </cell>
          <cell r="B142">
            <v>1</v>
          </cell>
        </row>
        <row r="143">
          <cell r="A143" t="str">
            <v>Сыр творожный Сливочный 140 гр.  Останкино</v>
          </cell>
          <cell r="B143">
            <v>1</v>
          </cell>
        </row>
        <row r="144">
          <cell r="A144" t="str">
            <v>АСП Донецк Останкино молоко</v>
          </cell>
          <cell r="B144">
            <v>3580.0520000000001</v>
          </cell>
        </row>
        <row r="145">
          <cell r="A145" t="str">
            <v>Останкино ООО</v>
          </cell>
          <cell r="B145">
            <v>3580.0520000000001</v>
          </cell>
        </row>
        <row r="146">
          <cell r="A146" t="str">
            <v>ООО Останкино-Краснодар (ШТ)</v>
          </cell>
          <cell r="B146">
            <v>96</v>
          </cell>
        </row>
        <row r="147">
          <cell r="A147" t="str">
            <v>6324 ДОКТОРСКАЯ ГОСТ вар п/о 0,4кг 8шт  Останкино</v>
          </cell>
          <cell r="B147">
            <v>8</v>
          </cell>
        </row>
        <row r="148">
          <cell r="A148" t="str">
            <v>6333 МЯСНАЯ Папа может вар п/о 0.4кг 8шт.  ОСТАНКИНО</v>
          </cell>
          <cell r="B148">
            <v>8</v>
          </cell>
        </row>
        <row r="149">
          <cell r="A149" t="str">
            <v>6353 ЭКСТРА Папа может вар п/о 0.4кг 8шт.  ОСТАНКИНО</v>
          </cell>
          <cell r="B149">
            <v>8</v>
          </cell>
        </row>
        <row r="150">
          <cell r="A150" t="str">
            <v>6697 СЕРВЕЛАТ ФИНСКИЙ ПМ в/к в/у 0,35кг 8шт  ОСТАНКИНО</v>
          </cell>
          <cell r="B150">
            <v>16</v>
          </cell>
        </row>
        <row r="151">
          <cell r="A151" t="str">
            <v>6713 СОЧНЫЙ ГРИЛЬ ПМ сос п/о мгс 0,41кг 8 шт.  ОСТАНКИНО</v>
          </cell>
          <cell r="B151">
            <v>8</v>
          </cell>
        </row>
        <row r="152">
          <cell r="A152" t="str">
            <v>6787 СЕРВЕЛАТ КРЕМЛЕВСКИЙ в/к в/у 0,33кг 8шт  Останкино</v>
          </cell>
          <cell r="B152">
            <v>9</v>
          </cell>
        </row>
        <row r="153">
          <cell r="A153" t="str">
            <v>6807 СЕРВЕЛАТ ЕВРОПЕЙСКИЙ в/к в/у 0,33кг 8шт  Останкино</v>
          </cell>
          <cell r="B153">
            <v>1</v>
          </cell>
        </row>
        <row r="154">
          <cell r="A154" t="str">
            <v>7066 СОЧНЫЕ ПМ сос п/о мгс 0,41кг 10шт 50с  Останкино</v>
          </cell>
          <cell r="B154">
            <v>20</v>
          </cell>
        </row>
        <row r="155">
          <cell r="A155" t="str">
            <v>7154 СЕРВЕЛАТ ЗЕРНИСТЫЙ ПМ в/к в/у 0,35кг_50с  Останкино</v>
          </cell>
          <cell r="B155">
            <v>8</v>
          </cell>
        </row>
        <row r="156">
          <cell r="A156" t="str">
            <v>7169 СЕРВЕЛАТ ОХОТНИЧИЙ ПМ в/к в/у 0,35кг_50с  Останкино</v>
          </cell>
          <cell r="B156">
            <v>8</v>
          </cell>
        </row>
        <row r="157">
          <cell r="A157" t="str">
            <v>7236 СЕРВЕЛАТ КАРЕЛЬСКИЙ в/к в/у 0,28кг_209к  Останкино</v>
          </cell>
          <cell r="B157">
            <v>1</v>
          </cell>
        </row>
        <row r="158">
          <cell r="A158" t="str">
            <v>7237 СЕРВЕЛАТ ШВАРЦЕР ПМ в/к в/у 0,28кг_209к  Останкино</v>
          </cell>
          <cell r="B158">
            <v>1</v>
          </cell>
        </row>
        <row r="159">
          <cell r="A159" t="str">
            <v>Останкино (соусы, майонезы)</v>
          </cell>
          <cell r="B159">
            <v>141</v>
          </cell>
        </row>
        <row r="160">
          <cell r="A160" t="str">
            <v>6948249 Майонезный соус провансаль 824,5гр деликатес.с массовой долей жирн.25% Коровино Останкино</v>
          </cell>
          <cell r="B160">
            <v>3</v>
          </cell>
        </row>
        <row r="161">
          <cell r="A161" t="str">
            <v>6948256 Майонез провансаль классич.оливковый Папа может 372гр с массовой долей жирн. 67% Останкино</v>
          </cell>
          <cell r="B161">
            <v>24</v>
          </cell>
        </row>
        <row r="162">
          <cell r="A162" t="str">
            <v>6948263 Майонез провансаль классич.оливковый Папа может 744гр с массовой долей жирн. 67% Останкино</v>
          </cell>
          <cell r="B162">
            <v>16</v>
          </cell>
        </row>
        <row r="163">
          <cell r="A163" t="str">
            <v>6948270 Майонез провансаль классич.Папа может 372гр с массовой долей жирн. 67% Останкино</v>
          </cell>
          <cell r="B163">
            <v>60</v>
          </cell>
        </row>
        <row r="164">
          <cell r="A164" t="str">
            <v>6948287 Майонез провансаль классич.Папа может 744гр с массовой долей жирн. 67% Останкино</v>
          </cell>
          <cell r="B164">
            <v>38</v>
          </cell>
        </row>
        <row r="165">
          <cell r="A165" t="str">
            <v>Останкино СЫР</v>
          </cell>
          <cell r="B165">
            <v>3343.0520000000001</v>
          </cell>
        </row>
        <row r="166">
          <cell r="A166" t="str">
            <v>3323 Сыр Российский цилиндр 1/4 пленка ЮКМП м.д.ж. 50%  ОСТАНКИНО</v>
          </cell>
          <cell r="B166">
            <v>52.04</v>
          </cell>
        </row>
        <row r="167">
          <cell r="A167" t="str">
            <v>4421577 Спред растительно-сливочный "Сливочный вкус" 82,5% 180гр  Останкино</v>
          </cell>
          <cell r="B167">
            <v>5</v>
          </cell>
        </row>
        <row r="168">
          <cell r="A168" t="str">
            <v>4421584 Спред растительно-сливочный "Сливочный вкус" 72,5% 180гр  Останкино</v>
          </cell>
          <cell r="B168">
            <v>5</v>
          </cell>
        </row>
        <row r="169">
          <cell r="A169" t="str">
            <v>9988438 Плавленый Сыр 45% "С ветчиной" СТМ"ПапаМожет" 180гр  Останкино</v>
          </cell>
          <cell r="B169">
            <v>39</v>
          </cell>
        </row>
        <row r="170">
          <cell r="A170" t="str">
            <v>9988445 Плавленый Сыр 45%"С грибами" СТМ"ПапаМожет" 180 гр  Останкино</v>
          </cell>
          <cell r="B170">
            <v>49</v>
          </cell>
        </row>
        <row r="171">
          <cell r="A171" t="str">
            <v>Масло "Папа может" 82,5% 180гр  Останкино</v>
          </cell>
          <cell r="B171">
            <v>301</v>
          </cell>
        </row>
        <row r="172">
          <cell r="A172" t="str">
            <v>Масло сливочное 72,5 % 180 гр.(10 шт) СЛАВЯНА  Останкино</v>
          </cell>
          <cell r="B172">
            <v>150</v>
          </cell>
        </row>
        <row r="173">
          <cell r="A173" t="str">
            <v>Плавленый продукт с Сыром колбасный копченый 40% СТМ "Коровино" 400гр  Останкино</v>
          </cell>
          <cell r="B173">
            <v>8</v>
          </cell>
        </row>
        <row r="174">
          <cell r="A174" t="str">
            <v>Плавленый Сыр колбасный копченый 40% СТМ"ПапаМожет"400гр  Останкино</v>
          </cell>
          <cell r="B174">
            <v>3</v>
          </cell>
        </row>
        <row r="175">
          <cell r="A175" t="str">
            <v>Сыр "Пармезан" 40% кусок 180 гр  ОСТАНКИНО</v>
          </cell>
          <cell r="B175">
            <v>81</v>
          </cell>
        </row>
        <row r="176">
          <cell r="A176" t="str">
            <v>Сыр Боккончини копченый 40% 100 гр.  ОСТАНКИНО</v>
          </cell>
          <cell r="B176">
            <v>108</v>
          </cell>
        </row>
        <row r="177">
          <cell r="A177" t="str">
            <v>Сыр Косичка сырная 45% 100г/8шт Папа Может Останкино</v>
          </cell>
          <cell r="B177">
            <v>112</v>
          </cell>
        </row>
        <row r="178">
          <cell r="A178" t="str">
            <v>Сыр Косичка сырная копченая 43% 100г/8шт Папа Может Останкино</v>
          </cell>
          <cell r="B178">
            <v>95</v>
          </cell>
        </row>
        <row r="179">
          <cell r="A179" t="str">
            <v>Сыр ПАПА МОЖЕТ "Гауда Голд" 45 % 180 гр (10шт) Останкино</v>
          </cell>
          <cell r="B179">
            <v>105</v>
          </cell>
        </row>
        <row r="180">
          <cell r="A180" t="str">
            <v>Сыр ПАПА МОЖЕТ "Голландский традиционный" 45% 180 гр (10шт)  Останкино</v>
          </cell>
          <cell r="B180">
            <v>342</v>
          </cell>
        </row>
        <row r="181">
          <cell r="A181" t="str">
            <v>Сыр ПАПА МОЖЕТ "Министерский" 180 г фасованный массовая  Останкино</v>
          </cell>
          <cell r="B181">
            <v>37</v>
          </cell>
        </row>
        <row r="182">
          <cell r="A182" t="str">
            <v>Сыр ПАПА МОЖЕТ "Папин завтрак"  45% 180 г  Останкино</v>
          </cell>
          <cell r="B182">
            <v>23</v>
          </cell>
        </row>
        <row r="183">
          <cell r="A183" t="str">
            <v>Сыр ПАПА МОЖЕТ "Российский традиционный"45 % 180 г Останкино</v>
          </cell>
          <cell r="B183">
            <v>662</v>
          </cell>
        </row>
        <row r="184">
          <cell r="A184" t="str">
            <v>Сыр ПАПА МОЖЕТ "Тильзитер" фасованный массовая доля жира в сухом веществе 45%, 180г  Останкино</v>
          </cell>
          <cell r="B184">
            <v>233</v>
          </cell>
        </row>
        <row r="185">
          <cell r="A185" t="str">
            <v>Сыр Папа Может Гауда  45% 200гр     Останкино</v>
          </cell>
          <cell r="B185">
            <v>5</v>
          </cell>
        </row>
        <row r="186">
          <cell r="A186" t="str">
            <v>Сыр Папа Может Голландский  45% 200гр     Останкино</v>
          </cell>
          <cell r="B186">
            <v>3</v>
          </cell>
        </row>
        <row r="187">
          <cell r="A187" t="str">
            <v>Сыр плавленный Сливочный ж.45% 180г ТМ Папа может (16шт)  Останкино</v>
          </cell>
          <cell r="B187">
            <v>50</v>
          </cell>
        </row>
        <row r="188">
          <cell r="A188" t="str">
            <v>Сыр полутвердый "Гауда" с массовой долей жира в пересчете на сухое вещество 45%,   Останкино</v>
          </cell>
          <cell r="B188">
            <v>15.112</v>
          </cell>
        </row>
        <row r="189">
          <cell r="A189" t="str">
            <v>Сыр полутвердый "Голландский" с массовой долей жира в пересчете на сухое  Останкино</v>
          </cell>
          <cell r="B189">
            <v>10.1</v>
          </cell>
        </row>
        <row r="190">
          <cell r="A190" t="str">
            <v>Сыр полутвердый "Сметанковый", с масс долей жира в пересчете на сухое вещес50%, брус  Останкино</v>
          </cell>
          <cell r="B190">
            <v>37.799999999999997</v>
          </cell>
        </row>
        <row r="191">
          <cell r="A191" t="str">
            <v>Сыр полутвердый "Тильзитер" с массовой долей жира в пересчете на сухое вещество 45%. 1/5  Останкино</v>
          </cell>
          <cell r="B191">
            <v>3.5</v>
          </cell>
        </row>
        <row r="192">
          <cell r="A192" t="str">
            <v>Сыр рассольный жирный Чечил 45% 100 гр  ОСТАНКИНО</v>
          </cell>
          <cell r="B192">
            <v>272</v>
          </cell>
        </row>
        <row r="193">
          <cell r="A193" t="str">
            <v>Сыр рассольный жирный Чечил копченый 43% 100 гр  Останкино</v>
          </cell>
          <cell r="B193">
            <v>247</v>
          </cell>
        </row>
        <row r="194">
          <cell r="A194" t="str">
            <v>Сыр твердый "Пармезан", с масовой долей жира 35% Останкино</v>
          </cell>
          <cell r="B194">
            <v>4.2</v>
          </cell>
        </row>
        <row r="195">
          <cell r="A195" t="str">
            <v>Сыр Творожный с зеленью 60% Папа может 140 гр.  Останкино</v>
          </cell>
          <cell r="B195">
            <v>47</v>
          </cell>
        </row>
        <row r="196">
          <cell r="A196" t="str">
            <v>Сыр творожный Сливочный 140 гр.  Останкино</v>
          </cell>
          <cell r="B196">
            <v>66</v>
          </cell>
        </row>
        <row r="197">
          <cell r="A197" t="str">
            <v>Сыч/Прод Коровино Российский 50% 200г НОВАЯ СЗМЖ  ОСТАНКИНО</v>
          </cell>
          <cell r="B197">
            <v>70</v>
          </cell>
        </row>
        <row r="198">
          <cell r="A198" t="str">
            <v>Сыч/Прод Коровино Российский Оригин 50% ВЕС НОВАЯ (3,5 кг)  ОСТАНКИНО</v>
          </cell>
          <cell r="B198">
            <v>3.5</v>
          </cell>
        </row>
        <row r="199">
          <cell r="A199" t="str">
            <v>Сыч/Прод Коровино Тильзитер 50% 200г НОВАЯ СЗМЖ  ОСТАНКИНО</v>
          </cell>
          <cell r="B199">
            <v>64</v>
          </cell>
        </row>
        <row r="200">
          <cell r="A200" t="str">
            <v>Сыч/Прод Коровино Тильзитер Оригин 50% ВЕС НОВАЯ (5 кг брус) СЗМЖ  ОСТАНКИНО</v>
          </cell>
          <cell r="B200">
            <v>34.799999999999997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Sheet"/>
    </sheetNames>
    <sheetDataSet>
      <sheetData sheetId="0">
        <row r="2">
          <cell r="A2" t="str">
            <v>Ведомость по товарам на складах</v>
          </cell>
        </row>
        <row r="4">
          <cell r="A4" t="str">
            <v>Период: 15.06.2026 - 22.06.2026</v>
          </cell>
        </row>
        <row r="6">
          <cell r="A6" t="str">
            <v>Склад В списке "АСП Донецк Останкино" И
Номенклатура В группе из списка "Останкино ООО"</v>
          </cell>
        </row>
        <row r="8">
          <cell r="A8" t="str">
            <v>Номенклатура</v>
          </cell>
          <cell r="B8" t="str">
            <v>Ед. изм.</v>
          </cell>
          <cell r="D8" t="str">
            <v>Начальный остаток</v>
          </cell>
          <cell r="E8" t="str">
            <v>Приход</v>
          </cell>
          <cell r="F8" t="str">
            <v>Расход</v>
          </cell>
          <cell r="G8" t="str">
            <v>Конечный остаток</v>
          </cell>
          <cell r="H8" t="str">
            <v>крат</v>
          </cell>
          <cell r="I8" t="str">
            <v>сроки</v>
          </cell>
          <cell r="J8" t="str">
            <v>метка</v>
          </cell>
          <cell r="K8" t="str">
            <v>метка2</v>
          </cell>
          <cell r="L8" t="str">
            <v>заяв</v>
          </cell>
          <cell r="M8" t="str">
            <v>разн</v>
          </cell>
          <cell r="N8" t="str">
            <v>без опта</v>
          </cell>
          <cell r="O8" t="str">
            <v>опт</v>
          </cell>
          <cell r="P8" t="str">
            <v>Заказ</v>
          </cell>
          <cell r="Q8" t="str">
            <v>Заказ</v>
          </cell>
          <cell r="R8" t="str">
            <v>ср нов</v>
          </cell>
          <cell r="S8" t="str">
            <v>расчет</v>
          </cell>
          <cell r="T8" t="str">
            <v>заказ филиала</v>
          </cell>
          <cell r="U8" t="str">
            <v>Комментарии филиала</v>
          </cell>
        </row>
        <row r="9">
          <cell r="P9" t="str">
            <v>21,06,</v>
          </cell>
          <cell r="Q9" t="str">
            <v>22,06,</v>
          </cell>
          <cell r="R9" t="str">
            <v>22,06,</v>
          </cell>
          <cell r="S9" t="str">
            <v>28,06,</v>
          </cell>
          <cell r="T9" t="str">
            <v>29,06,</v>
          </cell>
        </row>
        <row r="10">
          <cell r="D10">
            <v>19570.662000000004</v>
          </cell>
          <cell r="E10">
            <v>42781.095000000001</v>
          </cell>
          <cell r="F10">
            <v>26548.022000000001</v>
          </cell>
          <cell r="G10">
            <v>26280.718000000001</v>
          </cell>
          <cell r="L10">
            <v>28222.245999999999</v>
          </cell>
          <cell r="M10">
            <v>-1674.2239999999999</v>
          </cell>
          <cell r="O10">
            <v>0</v>
          </cell>
          <cell r="P10">
            <v>9953</v>
          </cell>
          <cell r="Q10">
            <v>9953</v>
          </cell>
          <cell r="R10">
            <v>5309.6044000000011</v>
          </cell>
          <cell r="S10">
            <v>30366.854399999997</v>
          </cell>
          <cell r="T10">
            <v>2224</v>
          </cell>
        </row>
        <row r="11">
          <cell r="A11" t="str">
            <v>3215 ВЕТЧ.МЯСНАЯ Папа может п/о 0.4кг 8шт.    ОСТАНКИНО</v>
          </cell>
          <cell r="B11" t="str">
            <v>шт</v>
          </cell>
          <cell r="C11">
            <v>3215</v>
          </cell>
          <cell r="D11">
            <v>525</v>
          </cell>
          <cell r="E11">
            <v>195</v>
          </cell>
          <cell r="F11">
            <v>382</v>
          </cell>
          <cell r="G11">
            <v>310</v>
          </cell>
          <cell r="H11">
            <v>0.4</v>
          </cell>
          <cell r="I11">
            <v>60</v>
          </cell>
          <cell r="J11" t="str">
            <v>в матрице</v>
          </cell>
          <cell r="L11">
            <v>392</v>
          </cell>
          <cell r="M11">
            <v>-10</v>
          </cell>
          <cell r="P11">
            <v>110</v>
          </cell>
          <cell r="Q11">
            <v>110</v>
          </cell>
          <cell r="R11">
            <v>76.400000000000006</v>
          </cell>
          <cell r="S11">
            <v>539.60000000000014</v>
          </cell>
        </row>
        <row r="12">
          <cell r="A12" t="str">
            <v>3287 САЛЯМИ ИТАЛЬЯНСКАЯ с/к в/у ОСТАНКИНО</v>
          </cell>
          <cell r="B12" t="str">
            <v>кг</v>
          </cell>
          <cell r="C12">
            <v>3287</v>
          </cell>
          <cell r="D12">
            <v>22.356000000000002</v>
          </cell>
          <cell r="F12">
            <v>9.8279999999999994</v>
          </cell>
          <cell r="G12">
            <v>12.528</v>
          </cell>
          <cell r="H12">
            <v>1</v>
          </cell>
          <cell r="I12">
            <v>120</v>
          </cell>
          <cell r="J12" t="str">
            <v>в матрице</v>
          </cell>
          <cell r="L12">
            <v>10.1</v>
          </cell>
          <cell r="M12">
            <v>-0.27200000000000024</v>
          </cell>
          <cell r="P12">
            <v>0</v>
          </cell>
          <cell r="Q12">
            <v>0</v>
          </cell>
          <cell r="R12">
            <v>1.9655999999999998</v>
          </cell>
          <cell r="S12">
            <v>14.990399999999996</v>
          </cell>
        </row>
        <row r="13">
          <cell r="A13" t="str">
            <v>3986 Ароматная с/к в/у 1/250 ОСТАНКИНО</v>
          </cell>
          <cell r="B13" t="str">
            <v>шт</v>
          </cell>
          <cell r="C13">
            <v>3986</v>
          </cell>
          <cell r="D13">
            <v>95</v>
          </cell>
          <cell r="E13">
            <v>584</v>
          </cell>
          <cell r="F13">
            <v>229</v>
          </cell>
          <cell r="G13">
            <v>430</v>
          </cell>
          <cell r="H13">
            <v>0.25</v>
          </cell>
          <cell r="I13">
            <v>120</v>
          </cell>
          <cell r="J13" t="str">
            <v>ВНИМАНИЕ / в матрице</v>
          </cell>
          <cell r="L13">
            <v>230</v>
          </cell>
          <cell r="M13">
            <v>-1</v>
          </cell>
          <cell r="P13">
            <v>140</v>
          </cell>
          <cell r="Q13">
            <v>140</v>
          </cell>
          <cell r="R13">
            <v>45.8</v>
          </cell>
        </row>
        <row r="14">
          <cell r="A14" t="str">
            <v>4063 МЯСНАЯ Папа может вар п/о_Л   ОСТАНКИНО</v>
          </cell>
          <cell r="B14" t="str">
            <v>кг</v>
          </cell>
          <cell r="C14">
            <v>4063</v>
          </cell>
          <cell r="D14">
            <v>1137.5119999999999</v>
          </cell>
          <cell r="E14">
            <v>1678.473</v>
          </cell>
          <cell r="F14">
            <v>1365.954</v>
          </cell>
          <cell r="G14">
            <v>1165.71</v>
          </cell>
          <cell r="H14">
            <v>1</v>
          </cell>
          <cell r="I14">
            <v>60</v>
          </cell>
          <cell r="J14" t="str">
            <v>в матрице</v>
          </cell>
          <cell r="L14">
            <v>1358.326</v>
          </cell>
          <cell r="M14">
            <v>7.6279999999999291</v>
          </cell>
          <cell r="P14">
            <v>700</v>
          </cell>
          <cell r="Q14">
            <v>700</v>
          </cell>
          <cell r="R14">
            <v>273.19079999999997</v>
          </cell>
          <cell r="S14">
            <v>1258.9611999999997</v>
          </cell>
        </row>
        <row r="15">
          <cell r="A15" t="str">
            <v>4117 ЭКСТРА Папа может с/к в/у_Л   ОСТАНКИНО</v>
          </cell>
          <cell r="B15" t="str">
            <v>кг</v>
          </cell>
          <cell r="C15">
            <v>4117</v>
          </cell>
          <cell r="D15">
            <v>37.734000000000002</v>
          </cell>
          <cell r="E15">
            <v>40.451999999999998</v>
          </cell>
          <cell r="F15">
            <v>34.307000000000002</v>
          </cell>
          <cell r="G15">
            <v>43.878999999999998</v>
          </cell>
          <cell r="H15">
            <v>1</v>
          </cell>
          <cell r="I15">
            <v>120</v>
          </cell>
          <cell r="J15" t="str">
            <v>в матрице</v>
          </cell>
          <cell r="L15">
            <v>33.6</v>
          </cell>
          <cell r="M15">
            <v>0.70700000000000074</v>
          </cell>
          <cell r="P15">
            <v>0</v>
          </cell>
          <cell r="Q15">
            <v>0</v>
          </cell>
          <cell r="R15">
            <v>6.8614000000000006</v>
          </cell>
          <cell r="S15">
            <v>52.180600000000005</v>
          </cell>
        </row>
        <row r="16">
          <cell r="A16" t="str">
            <v>4574 Мясная со шпиком Папа может вар п/о ОСТАНКИНО</v>
          </cell>
          <cell r="B16" t="str">
            <v>кг</v>
          </cell>
          <cell r="C16">
            <v>4574</v>
          </cell>
          <cell r="D16">
            <v>57.837000000000003</v>
          </cell>
          <cell r="E16">
            <v>385.13799999999998</v>
          </cell>
          <cell r="F16">
            <v>184.208</v>
          </cell>
          <cell r="G16">
            <v>185.91900000000001</v>
          </cell>
          <cell r="H16">
            <v>1</v>
          </cell>
          <cell r="I16">
            <v>60</v>
          </cell>
          <cell r="J16" t="str">
            <v>в матрице</v>
          </cell>
          <cell r="L16">
            <v>187.298</v>
          </cell>
          <cell r="M16">
            <v>-3.0900000000000034</v>
          </cell>
          <cell r="P16">
            <v>75</v>
          </cell>
          <cell r="Q16">
            <v>75</v>
          </cell>
          <cell r="R16">
            <v>36.8416</v>
          </cell>
          <cell r="S16">
            <v>179.86340000000007</v>
          </cell>
        </row>
        <row r="17">
          <cell r="A17" t="str">
            <v>4813 ФИЛЕЙНАЯ Папа может вар п/о_Л   ОСТАНКИНО</v>
          </cell>
          <cell r="B17" t="str">
            <v>кг</v>
          </cell>
          <cell r="C17">
            <v>4813</v>
          </cell>
          <cell r="D17">
            <v>410.22300000000001</v>
          </cell>
          <cell r="E17">
            <v>947.46699999999998</v>
          </cell>
          <cell r="F17">
            <v>517.26499999999999</v>
          </cell>
          <cell r="G17">
            <v>740.43</v>
          </cell>
          <cell r="H17">
            <v>1</v>
          </cell>
          <cell r="I17">
            <v>60</v>
          </cell>
          <cell r="J17" t="str">
            <v>в матрице</v>
          </cell>
          <cell r="L17">
            <v>517.83199999999999</v>
          </cell>
          <cell r="M17">
            <v>-0.56700000000000728</v>
          </cell>
          <cell r="P17">
            <v>65</v>
          </cell>
          <cell r="Q17">
            <v>65</v>
          </cell>
          <cell r="R17">
            <v>103.453</v>
          </cell>
          <cell r="S17">
            <v>577.91200000000015</v>
          </cell>
        </row>
        <row r="18">
          <cell r="A18" t="str">
            <v>4993 САЛЯМИ ИТАЛЬЯНСКАЯ с/к в/у 1/250*8_120c ОСТАНКИНО</v>
          </cell>
          <cell r="B18" t="str">
            <v>шт</v>
          </cell>
          <cell r="C18">
            <v>4993</v>
          </cell>
          <cell r="D18">
            <v>26</v>
          </cell>
          <cell r="E18">
            <v>208</v>
          </cell>
          <cell r="F18">
            <v>100.486</v>
          </cell>
          <cell r="G18">
            <v>129</v>
          </cell>
          <cell r="H18">
            <v>0.25</v>
          </cell>
          <cell r="I18">
            <v>120</v>
          </cell>
          <cell r="J18" t="str">
            <v>ВНИМАНИЕ / в матрице</v>
          </cell>
          <cell r="L18">
            <v>101</v>
          </cell>
          <cell r="M18">
            <v>-0.51399999999999579</v>
          </cell>
          <cell r="P18">
            <v>0</v>
          </cell>
          <cell r="Q18">
            <v>0</v>
          </cell>
          <cell r="R18">
            <v>20.097200000000001</v>
          </cell>
          <cell r="S18">
            <v>152.36080000000004</v>
          </cell>
        </row>
        <row r="19">
          <cell r="A19" t="str">
            <v>5452 ВЕТЧ.МЯСНАЯ Папа может п/о    ОСТАНКИНО</v>
          </cell>
          <cell r="B19" t="str">
            <v>кг</v>
          </cell>
          <cell r="C19">
            <v>5452</v>
          </cell>
          <cell r="D19">
            <v>74.631</v>
          </cell>
          <cell r="E19">
            <v>85.763000000000005</v>
          </cell>
          <cell r="F19">
            <v>65.414000000000001</v>
          </cell>
          <cell r="G19">
            <v>64.863</v>
          </cell>
          <cell r="H19">
            <v>1</v>
          </cell>
          <cell r="I19">
            <v>60</v>
          </cell>
          <cell r="J19" t="str">
            <v>в матрице</v>
          </cell>
          <cell r="L19">
            <v>62.4</v>
          </cell>
          <cell r="M19">
            <v>3.0140000000000029</v>
          </cell>
          <cell r="P19">
            <v>17.5</v>
          </cell>
          <cell r="Q19">
            <v>17.5</v>
          </cell>
          <cell r="R19">
            <v>13.082800000000001</v>
          </cell>
          <cell r="S19">
            <v>83.296199999999999</v>
          </cell>
        </row>
        <row r="20">
          <cell r="A20" t="str">
            <v>5483 ЭКСТРА Папа может с/к в/у 1/250 8шт.   ОСТАНКИНО</v>
          </cell>
          <cell r="B20" t="str">
            <v>шт</v>
          </cell>
          <cell r="C20">
            <v>5483</v>
          </cell>
          <cell r="D20">
            <v>573</v>
          </cell>
          <cell r="E20">
            <v>25</v>
          </cell>
          <cell r="F20">
            <v>68</v>
          </cell>
          <cell r="G20">
            <v>499</v>
          </cell>
          <cell r="H20">
            <v>0.25</v>
          </cell>
          <cell r="I20">
            <v>120</v>
          </cell>
          <cell r="J20" t="str">
            <v>в матрице</v>
          </cell>
          <cell r="L20">
            <v>70</v>
          </cell>
          <cell r="M20">
            <v>-2</v>
          </cell>
          <cell r="P20">
            <v>0</v>
          </cell>
          <cell r="Q20">
            <v>0</v>
          </cell>
          <cell r="R20">
            <v>13.6</v>
          </cell>
        </row>
        <row r="21">
          <cell r="A21" t="str">
            <v>5495 ВЕТЧ.С ИНДЕЙКОЙ Папа может п/о 400*6  Останкино</v>
          </cell>
          <cell r="B21" t="str">
            <v>шт</v>
          </cell>
          <cell r="C21">
            <v>5495</v>
          </cell>
          <cell r="D21">
            <v>456</v>
          </cell>
          <cell r="E21">
            <v>479</v>
          </cell>
          <cell r="F21">
            <v>452</v>
          </cell>
          <cell r="G21">
            <v>396</v>
          </cell>
          <cell r="H21">
            <v>0.4</v>
          </cell>
          <cell r="I21">
            <v>60</v>
          </cell>
          <cell r="J21" t="str">
            <v>в матрице</v>
          </cell>
          <cell r="L21">
            <v>461</v>
          </cell>
          <cell r="M21">
            <v>-9</v>
          </cell>
          <cell r="P21">
            <v>270</v>
          </cell>
          <cell r="Q21">
            <v>270</v>
          </cell>
          <cell r="R21">
            <v>90.4</v>
          </cell>
          <cell r="S21">
            <v>329.60000000000014</v>
          </cell>
        </row>
        <row r="22">
          <cell r="A22" t="str">
            <v>5544 Сервелат Финский в/к в/у_45с НОВАЯ ОСТАНКИНО</v>
          </cell>
          <cell r="B22" t="str">
            <v>кг</v>
          </cell>
          <cell r="C22">
            <v>5544</v>
          </cell>
          <cell r="D22">
            <v>241.53399999999999</v>
          </cell>
          <cell r="E22">
            <v>592.40599999999995</v>
          </cell>
          <cell r="F22">
            <v>381.92700000000002</v>
          </cell>
          <cell r="G22">
            <v>392.62599999999998</v>
          </cell>
          <cell r="H22">
            <v>1</v>
          </cell>
          <cell r="I22">
            <v>45</v>
          </cell>
          <cell r="J22" t="str">
            <v>в матрице</v>
          </cell>
          <cell r="L22">
            <v>372.71</v>
          </cell>
          <cell r="M22">
            <v>9.2170000000000414</v>
          </cell>
          <cell r="P22">
            <v>225</v>
          </cell>
          <cell r="Q22">
            <v>225</v>
          </cell>
          <cell r="R22">
            <v>76.385400000000004</v>
          </cell>
          <cell r="S22">
            <v>226.76960000000008</v>
          </cell>
        </row>
        <row r="23">
          <cell r="A23" t="str">
            <v>5708 ПОСОЛЬСКАЯ Папа может с/к в/у ОСТАНКИНО</v>
          </cell>
          <cell r="B23" t="str">
            <v>кг</v>
          </cell>
          <cell r="C23">
            <v>5708</v>
          </cell>
          <cell r="E23">
            <v>20.079999999999998</v>
          </cell>
          <cell r="F23">
            <v>3.411</v>
          </cell>
          <cell r="G23">
            <v>12.151999999999999</v>
          </cell>
          <cell r="H23">
            <v>1</v>
          </cell>
          <cell r="I23">
            <v>120</v>
          </cell>
          <cell r="J23" t="str">
            <v>в матрице</v>
          </cell>
          <cell r="L23">
            <v>20.626000000000001</v>
          </cell>
          <cell r="M23">
            <v>-17.215</v>
          </cell>
          <cell r="P23">
            <v>12.5</v>
          </cell>
          <cell r="Q23">
            <v>12.5</v>
          </cell>
          <cell r="R23">
            <v>0.68220000000000003</v>
          </cell>
        </row>
        <row r="24">
          <cell r="A24" t="str">
            <v>5819 Сосиски Папа может 400г Мясные  ОСТАНКИНО</v>
          </cell>
          <cell r="B24" t="str">
            <v>шт</v>
          </cell>
          <cell r="C24">
            <v>5819</v>
          </cell>
          <cell r="D24">
            <v>73</v>
          </cell>
          <cell r="E24">
            <v>609</v>
          </cell>
          <cell r="F24">
            <v>283</v>
          </cell>
          <cell r="G24">
            <v>397</v>
          </cell>
          <cell r="H24">
            <v>0.4</v>
          </cell>
          <cell r="I24">
            <v>45</v>
          </cell>
          <cell r="J24" t="str">
            <v>в матрице</v>
          </cell>
          <cell r="L24">
            <v>284</v>
          </cell>
          <cell r="M24">
            <v>-1</v>
          </cell>
          <cell r="P24">
            <v>275</v>
          </cell>
          <cell r="Q24">
            <v>275</v>
          </cell>
          <cell r="R24">
            <v>56.6</v>
          </cell>
        </row>
        <row r="25">
          <cell r="A25" t="str">
            <v>5851 ЭКСТРА Папа может вар п/о   ОСТАНКИНО</v>
          </cell>
          <cell r="B25" t="str">
            <v>кг</v>
          </cell>
          <cell r="C25">
            <v>5851</v>
          </cell>
          <cell r="D25">
            <v>235.44800000000001</v>
          </cell>
          <cell r="E25">
            <v>540.44200000000001</v>
          </cell>
          <cell r="F25">
            <v>342.51299999999998</v>
          </cell>
          <cell r="G25">
            <v>370.75599999999997</v>
          </cell>
          <cell r="H25">
            <v>1</v>
          </cell>
          <cell r="I25">
            <v>60</v>
          </cell>
          <cell r="J25" t="str">
            <v>в матрице</v>
          </cell>
          <cell r="L25">
            <v>331.32299999999998</v>
          </cell>
          <cell r="M25">
            <v>11.189999999999998</v>
          </cell>
          <cell r="P25">
            <v>50</v>
          </cell>
          <cell r="Q25">
            <v>50</v>
          </cell>
          <cell r="R25">
            <v>68.502600000000001</v>
          </cell>
          <cell r="S25">
            <v>488.28039999999999</v>
          </cell>
        </row>
        <row r="26">
          <cell r="A26" t="str">
            <v>5931 ОХОТНИЧЬЯ Папа может с/к в/у 1/220 8шт.   ОСТАНКИНО</v>
          </cell>
          <cell r="B26" t="str">
            <v>шт</v>
          </cell>
          <cell r="C26">
            <v>5931</v>
          </cell>
          <cell r="D26">
            <v>131</v>
          </cell>
          <cell r="E26">
            <v>232</v>
          </cell>
          <cell r="F26">
            <v>220</v>
          </cell>
          <cell r="G26">
            <v>132</v>
          </cell>
          <cell r="H26">
            <v>0.22</v>
          </cell>
          <cell r="I26">
            <v>120</v>
          </cell>
          <cell r="J26" t="str">
            <v>в матрице</v>
          </cell>
          <cell r="L26">
            <v>220</v>
          </cell>
          <cell r="M26">
            <v>0</v>
          </cell>
          <cell r="P26">
            <v>30</v>
          </cell>
          <cell r="Q26">
            <v>30</v>
          </cell>
          <cell r="R26">
            <v>44</v>
          </cell>
          <cell r="S26">
            <v>424</v>
          </cell>
        </row>
        <row r="27">
          <cell r="A27" t="str">
            <v>6208 ДЫМОВИЦА ИЗ ЛОПАТКИ ПМ к/в с/н в/у 1/150  Останкино</v>
          </cell>
          <cell r="B27" t="str">
            <v>шт</v>
          </cell>
          <cell r="C27">
            <v>6208</v>
          </cell>
          <cell r="D27">
            <v>90</v>
          </cell>
          <cell r="F27">
            <v>11</v>
          </cell>
          <cell r="G27">
            <v>76</v>
          </cell>
          <cell r="H27">
            <v>0.15</v>
          </cell>
          <cell r="I27">
            <v>45</v>
          </cell>
          <cell r="J27" t="str">
            <v>ВНИМАНИЕ / в матрице</v>
          </cell>
          <cell r="L27">
            <v>11</v>
          </cell>
          <cell r="M27">
            <v>0</v>
          </cell>
          <cell r="P27">
            <v>0</v>
          </cell>
          <cell r="Q27">
            <v>0</v>
          </cell>
          <cell r="R27">
            <v>2.2000000000000002</v>
          </cell>
        </row>
        <row r="28">
          <cell r="A28" t="str">
            <v>6220 ГОВЯЖЬЯ папа может вар п/о  Останкино</v>
          </cell>
          <cell r="B28" t="str">
            <v>кг</v>
          </cell>
          <cell r="C28">
            <v>6220</v>
          </cell>
          <cell r="D28">
            <v>240.21299999999999</v>
          </cell>
          <cell r="E28">
            <v>362.10199999999998</v>
          </cell>
          <cell r="F28">
            <v>361.02100000000002</v>
          </cell>
          <cell r="G28">
            <v>159.71600000000001</v>
          </cell>
          <cell r="H28">
            <v>1</v>
          </cell>
          <cell r="I28">
            <v>60</v>
          </cell>
          <cell r="J28" t="str">
            <v>в матрице</v>
          </cell>
          <cell r="L28">
            <v>359.65800000000002</v>
          </cell>
          <cell r="M28">
            <v>1.3629999999999995</v>
          </cell>
          <cell r="P28">
            <v>100</v>
          </cell>
          <cell r="Q28">
            <v>100</v>
          </cell>
          <cell r="R28">
            <v>72.2042</v>
          </cell>
          <cell r="S28">
            <v>651.14279999999997</v>
          </cell>
        </row>
        <row r="29">
          <cell r="A29" t="str">
            <v>6221 НЕОПОЛИТАНСКИЙ ДУЭТ с/к с/н мгс 1/90  Останкино</v>
          </cell>
          <cell r="B29" t="str">
            <v>шт</v>
          </cell>
          <cell r="C29">
            <v>6221</v>
          </cell>
          <cell r="D29">
            <v>219</v>
          </cell>
          <cell r="E29">
            <v>800</v>
          </cell>
          <cell r="F29">
            <v>444</v>
          </cell>
          <cell r="G29">
            <v>551</v>
          </cell>
          <cell r="H29">
            <v>0.09</v>
          </cell>
          <cell r="I29">
            <v>60</v>
          </cell>
          <cell r="J29" t="str">
            <v>ВНИМАНИЕ / в матрице</v>
          </cell>
          <cell r="L29">
            <v>455</v>
          </cell>
          <cell r="M29">
            <v>-11</v>
          </cell>
          <cell r="P29">
            <v>0</v>
          </cell>
          <cell r="Q29">
            <v>0</v>
          </cell>
          <cell r="R29">
            <v>88.8</v>
          </cell>
          <cell r="S29">
            <v>692.2</v>
          </cell>
        </row>
        <row r="30">
          <cell r="A30" t="str">
            <v>6228 МЯСНОЕ АССОРТИ к/з с/н мгс 1/90 10шт  Останкино</v>
          </cell>
          <cell r="B30" t="str">
            <v>шт</v>
          </cell>
          <cell r="C30">
            <v>6228</v>
          </cell>
          <cell r="D30">
            <v>29</v>
          </cell>
          <cell r="E30">
            <v>454</v>
          </cell>
          <cell r="F30">
            <v>204</v>
          </cell>
          <cell r="G30">
            <v>18</v>
          </cell>
          <cell r="H30">
            <v>0.09</v>
          </cell>
          <cell r="I30">
            <v>45</v>
          </cell>
          <cell r="J30" t="str">
            <v>в матрице</v>
          </cell>
          <cell r="L30">
            <v>213</v>
          </cell>
          <cell r="M30">
            <v>-9</v>
          </cell>
          <cell r="P30">
            <v>25</v>
          </cell>
          <cell r="Q30">
            <v>25</v>
          </cell>
          <cell r="R30">
            <v>40.799999999999997</v>
          </cell>
          <cell r="S30">
            <v>503.19999999999993</v>
          </cell>
        </row>
        <row r="31">
          <cell r="A31" t="str">
            <v>6279 КОРЕЙКА ПО-ОСТ.к/в в/с с/н в/у 1/150_45с  Останкино</v>
          </cell>
          <cell r="B31" t="str">
            <v>шт</v>
          </cell>
          <cell r="C31">
            <v>6279</v>
          </cell>
          <cell r="D31">
            <v>98</v>
          </cell>
          <cell r="E31">
            <v>564</v>
          </cell>
          <cell r="F31">
            <v>147</v>
          </cell>
          <cell r="G31">
            <v>475</v>
          </cell>
          <cell r="H31">
            <v>0.15</v>
          </cell>
          <cell r="I31">
            <v>45</v>
          </cell>
          <cell r="J31" t="str">
            <v>в матрице</v>
          </cell>
          <cell r="L31">
            <v>161</v>
          </cell>
          <cell r="M31">
            <v>-14</v>
          </cell>
          <cell r="P31">
            <v>0</v>
          </cell>
          <cell r="Q31">
            <v>0</v>
          </cell>
          <cell r="R31">
            <v>29.4</v>
          </cell>
        </row>
        <row r="32">
          <cell r="A32" t="str">
            <v>6303 Мясные Папа может сос п/о мгс 1,5*3  Останкино</v>
          </cell>
          <cell r="B32" t="str">
            <v>кг</v>
          </cell>
          <cell r="C32">
            <v>6303</v>
          </cell>
          <cell r="D32">
            <v>205.36500000000001</v>
          </cell>
          <cell r="E32">
            <v>539.65800000000002</v>
          </cell>
          <cell r="F32">
            <v>368.84199999999998</v>
          </cell>
          <cell r="G32">
            <v>273.45999999999998</v>
          </cell>
          <cell r="H32">
            <v>1</v>
          </cell>
          <cell r="I32">
            <v>45</v>
          </cell>
          <cell r="J32" t="str">
            <v>в матрице</v>
          </cell>
          <cell r="L32">
            <v>360.91199999999998</v>
          </cell>
          <cell r="M32">
            <v>7.9300000000000068</v>
          </cell>
          <cell r="P32">
            <v>210</v>
          </cell>
          <cell r="Q32">
            <v>210</v>
          </cell>
          <cell r="R32">
            <v>73.7684</v>
          </cell>
          <cell r="S32">
            <v>339.29759999999987</v>
          </cell>
        </row>
        <row r="33">
          <cell r="A33" t="str">
            <v>6324 ДОКТОРСКАЯ ГОСТ вар п/о 0,4кг 8шт  Останкино</v>
          </cell>
          <cell r="B33" t="str">
            <v>шт</v>
          </cell>
          <cell r="C33">
            <v>6324</v>
          </cell>
          <cell r="D33">
            <v>9</v>
          </cell>
          <cell r="E33">
            <v>118</v>
          </cell>
          <cell r="F33">
            <v>0</v>
          </cell>
          <cell r="H33">
            <v>0.4</v>
          </cell>
          <cell r="I33">
            <v>60</v>
          </cell>
          <cell r="J33" t="str">
            <v>в матрице</v>
          </cell>
          <cell r="L33">
            <v>390</v>
          </cell>
          <cell r="M33">
            <v>-390</v>
          </cell>
          <cell r="P33">
            <v>30</v>
          </cell>
          <cell r="Q33">
            <v>30</v>
          </cell>
          <cell r="R33">
            <v>0</v>
          </cell>
          <cell r="U33" t="str">
            <v>ротация на код 7539</v>
          </cell>
        </row>
        <row r="34">
          <cell r="A34" t="str">
            <v>6325 ДОКТОРСКАЯ ПРЕМИУМ вар п/о 0.4кг 8шт.  ОСТАНКИНО</v>
          </cell>
          <cell r="B34" t="str">
            <v>шт</v>
          </cell>
          <cell r="C34">
            <v>6325</v>
          </cell>
          <cell r="D34">
            <v>37</v>
          </cell>
          <cell r="E34">
            <v>128</v>
          </cell>
          <cell r="F34">
            <v>46</v>
          </cell>
          <cell r="G34">
            <v>18</v>
          </cell>
          <cell r="H34">
            <v>0.4</v>
          </cell>
          <cell r="I34">
            <v>60</v>
          </cell>
          <cell r="J34" t="str">
            <v>в матрице</v>
          </cell>
          <cell r="L34">
            <v>149</v>
          </cell>
          <cell r="M34">
            <v>-103</v>
          </cell>
          <cell r="P34">
            <v>20</v>
          </cell>
          <cell r="Q34">
            <v>20</v>
          </cell>
          <cell r="R34">
            <v>9.1999999999999993</v>
          </cell>
          <cell r="S34">
            <v>70.799999999999983</v>
          </cell>
        </row>
        <row r="35">
          <cell r="A35" t="str">
            <v>6333 МЯСНАЯ Папа может вар п/о 0.4кг 8шт.  ОСТАНКИНО</v>
          </cell>
          <cell r="B35" t="str">
            <v>шт</v>
          </cell>
          <cell r="C35">
            <v>6333</v>
          </cell>
          <cell r="D35">
            <v>464.65499999999997</v>
          </cell>
          <cell r="E35">
            <v>952</v>
          </cell>
          <cell r="F35">
            <v>658</v>
          </cell>
          <cell r="G35">
            <v>729.65499999999997</v>
          </cell>
          <cell r="H35">
            <v>0.4</v>
          </cell>
          <cell r="I35">
            <v>60</v>
          </cell>
          <cell r="J35" t="str">
            <v>ВНИМАНИЕ / в матрице</v>
          </cell>
          <cell r="L35">
            <v>669.3</v>
          </cell>
          <cell r="M35">
            <v>-11.299999999999955</v>
          </cell>
          <cell r="P35">
            <v>600</v>
          </cell>
          <cell r="Q35">
            <v>600</v>
          </cell>
          <cell r="R35">
            <v>131.6</v>
          </cell>
        </row>
        <row r="36">
          <cell r="A36" t="str">
            <v>6353 ЭКСТРА Папа может вар п/о 0.4кг 8шт.  ОСТАНКИНО</v>
          </cell>
          <cell r="B36" t="str">
            <v>шт</v>
          </cell>
          <cell r="C36">
            <v>6353</v>
          </cell>
          <cell r="D36">
            <v>80</v>
          </cell>
          <cell r="E36">
            <v>786</v>
          </cell>
          <cell r="F36">
            <v>555</v>
          </cell>
          <cell r="G36">
            <v>265</v>
          </cell>
          <cell r="H36">
            <v>0.4</v>
          </cell>
          <cell r="I36">
            <v>60</v>
          </cell>
          <cell r="J36" t="str">
            <v>ВНИМАНИЕ / в матрице</v>
          </cell>
          <cell r="L36">
            <v>572.6</v>
          </cell>
          <cell r="M36">
            <v>-17.600000000000023</v>
          </cell>
          <cell r="P36">
            <v>500</v>
          </cell>
          <cell r="Q36">
            <v>500</v>
          </cell>
          <cell r="R36">
            <v>111</v>
          </cell>
          <cell r="S36">
            <v>289</v>
          </cell>
          <cell r="T36">
            <v>0</v>
          </cell>
          <cell r="U36" t="str">
            <v>ротация на код 7632</v>
          </cell>
        </row>
        <row r="37">
          <cell r="A37" t="str">
            <v>6392 ФИЛЕЙНАЯ Папа может вар п/о 0,4кг  ОСТАНКИНО</v>
          </cell>
          <cell r="B37" t="str">
            <v>шт</v>
          </cell>
          <cell r="C37">
            <v>6392</v>
          </cell>
          <cell r="D37">
            <v>585</v>
          </cell>
          <cell r="E37">
            <v>1294</v>
          </cell>
          <cell r="F37">
            <v>813</v>
          </cell>
          <cell r="G37">
            <v>988</v>
          </cell>
          <cell r="H37">
            <v>0.4</v>
          </cell>
          <cell r="I37">
            <v>60</v>
          </cell>
          <cell r="J37" t="str">
            <v>ВНИМАНИЕ / в матрице</v>
          </cell>
          <cell r="L37">
            <v>826</v>
          </cell>
          <cell r="M37">
            <v>-13</v>
          </cell>
          <cell r="P37">
            <v>800</v>
          </cell>
          <cell r="Q37">
            <v>800</v>
          </cell>
          <cell r="R37">
            <v>162.6</v>
          </cell>
        </row>
        <row r="38">
          <cell r="A38" t="str">
            <v>6453 ЭКСТРА Папа может с/к с/н в/у 1/100 14шт.   ОСТАНКИНО</v>
          </cell>
          <cell r="B38" t="str">
            <v>шт</v>
          </cell>
          <cell r="C38">
            <v>6453</v>
          </cell>
          <cell r="D38">
            <v>75</v>
          </cell>
          <cell r="E38">
            <v>1056</v>
          </cell>
          <cell r="F38">
            <v>362</v>
          </cell>
          <cell r="G38">
            <v>718</v>
          </cell>
          <cell r="H38">
            <v>0.1</v>
          </cell>
          <cell r="I38">
            <v>60</v>
          </cell>
          <cell r="J38" t="str">
            <v>в матрице</v>
          </cell>
          <cell r="L38">
            <v>376</v>
          </cell>
          <cell r="M38">
            <v>-14</v>
          </cell>
          <cell r="P38">
            <v>30</v>
          </cell>
          <cell r="Q38">
            <v>30</v>
          </cell>
          <cell r="R38">
            <v>72.400000000000006</v>
          </cell>
          <cell r="S38">
            <v>235.60000000000014</v>
          </cell>
        </row>
        <row r="39">
          <cell r="A39" t="str">
            <v>6454 АРОМАТНАЯ с/к с/н в/у 1/100 10шт.  ОСТАНКИНО</v>
          </cell>
          <cell r="B39" t="str">
            <v>шт</v>
          </cell>
          <cell r="C39">
            <v>6454</v>
          </cell>
          <cell r="D39">
            <v>227</v>
          </cell>
          <cell r="E39">
            <v>258</v>
          </cell>
          <cell r="F39">
            <v>220</v>
          </cell>
          <cell r="G39">
            <v>235</v>
          </cell>
          <cell r="H39">
            <v>0.1</v>
          </cell>
          <cell r="I39">
            <v>60</v>
          </cell>
          <cell r="J39" t="str">
            <v>в матрице</v>
          </cell>
          <cell r="L39">
            <v>246</v>
          </cell>
          <cell r="M39">
            <v>-26</v>
          </cell>
          <cell r="P39">
            <v>200</v>
          </cell>
          <cell r="Q39">
            <v>200</v>
          </cell>
          <cell r="R39">
            <v>44</v>
          </cell>
        </row>
        <row r="40">
          <cell r="A40" t="str">
            <v>6459 СЕРВЕЛАТ ШВЕЙЦАРСК. в/к с/н в/у 1/100*10  Останкино</v>
          </cell>
          <cell r="B40" t="str">
            <v>шт</v>
          </cell>
          <cell r="C40">
            <v>6459</v>
          </cell>
          <cell r="D40">
            <v>15</v>
          </cell>
          <cell r="E40">
            <v>237</v>
          </cell>
          <cell r="F40">
            <v>126</v>
          </cell>
          <cell r="G40">
            <v>118</v>
          </cell>
          <cell r="H40">
            <v>0.1</v>
          </cell>
          <cell r="I40">
            <v>45</v>
          </cell>
          <cell r="J40" t="str">
            <v>в матрице</v>
          </cell>
          <cell r="L40">
            <v>134</v>
          </cell>
          <cell r="M40">
            <v>-8</v>
          </cell>
          <cell r="P40">
            <v>35</v>
          </cell>
          <cell r="Q40">
            <v>35</v>
          </cell>
          <cell r="R40">
            <v>25.2</v>
          </cell>
          <cell r="S40">
            <v>164.8</v>
          </cell>
        </row>
        <row r="41">
          <cell r="A41" t="str">
            <v>6475 Сосиски Папа может 400г С сыром  ОСТАНКИНО</v>
          </cell>
          <cell r="B41" t="str">
            <v>шт</v>
          </cell>
          <cell r="C41">
            <v>6475</v>
          </cell>
          <cell r="D41">
            <v>23</v>
          </cell>
          <cell r="E41">
            <v>39</v>
          </cell>
          <cell r="F41">
            <v>15</v>
          </cell>
          <cell r="G41">
            <v>31</v>
          </cell>
          <cell r="H41">
            <v>0.4</v>
          </cell>
          <cell r="I41">
            <v>0</v>
          </cell>
          <cell r="J41">
            <v>0</v>
          </cell>
          <cell r="L41">
            <v>66</v>
          </cell>
          <cell r="M41">
            <v>-51</v>
          </cell>
          <cell r="P41">
            <v>30</v>
          </cell>
          <cell r="Q41">
            <v>30</v>
          </cell>
          <cell r="R41">
            <v>3</v>
          </cell>
        </row>
        <row r="42">
          <cell r="A42" t="str">
            <v>6495 ВЕТЧ.МРАМОРНАЯ в/у срез 0,3кг 6шт_45с  Останкино</v>
          </cell>
          <cell r="B42" t="str">
            <v>шт</v>
          </cell>
          <cell r="C42">
            <v>6495</v>
          </cell>
          <cell r="D42">
            <v>335</v>
          </cell>
          <cell r="E42">
            <v>21</v>
          </cell>
          <cell r="F42">
            <v>210</v>
          </cell>
          <cell r="G42">
            <v>119</v>
          </cell>
          <cell r="H42">
            <v>0.3</v>
          </cell>
          <cell r="I42" t="e">
            <v>#N/A</v>
          </cell>
          <cell r="J42" t="e">
            <v>#N/A</v>
          </cell>
          <cell r="L42">
            <v>212</v>
          </cell>
          <cell r="M42">
            <v>-2</v>
          </cell>
          <cell r="P42">
            <v>20</v>
          </cell>
          <cell r="Q42">
            <v>20</v>
          </cell>
          <cell r="R42">
            <v>42</v>
          </cell>
          <cell r="S42">
            <v>429</v>
          </cell>
        </row>
        <row r="43">
          <cell r="A43" t="str">
            <v>6498 МОЛОЧНАЯ Папа может вар п/о  ОСТАНКИНО</v>
          </cell>
          <cell r="B43" t="str">
            <v>кг</v>
          </cell>
          <cell r="C43">
            <v>6498</v>
          </cell>
          <cell r="D43">
            <v>3.0310000000000001</v>
          </cell>
          <cell r="E43">
            <v>236.71299999999999</v>
          </cell>
          <cell r="F43">
            <v>114.22799999999999</v>
          </cell>
          <cell r="G43">
            <v>73.822000000000003</v>
          </cell>
          <cell r="H43">
            <v>1</v>
          </cell>
          <cell r="I43">
            <v>60</v>
          </cell>
          <cell r="J43" t="str">
            <v>в матрице</v>
          </cell>
          <cell r="L43">
            <v>159.19300000000001</v>
          </cell>
          <cell r="M43">
            <v>-44.965000000000018</v>
          </cell>
          <cell r="P43">
            <v>75</v>
          </cell>
          <cell r="Q43">
            <v>75</v>
          </cell>
          <cell r="R43">
            <v>22.845599999999997</v>
          </cell>
          <cell r="S43">
            <v>96.016399999999976</v>
          </cell>
        </row>
        <row r="44">
          <cell r="A44" t="str">
            <v>6527 ШПИКАЧКИ СОЧНЫЕ ПМ сар б/о мгс 1*3 45с ОСТАНКИНО</v>
          </cell>
          <cell r="B44" t="str">
            <v>кг</v>
          </cell>
          <cell r="C44">
            <v>6527</v>
          </cell>
          <cell r="D44">
            <v>135.21700000000001</v>
          </cell>
          <cell r="E44">
            <v>47.067999999999998</v>
          </cell>
          <cell r="F44">
            <v>72.197999999999993</v>
          </cell>
          <cell r="G44">
            <v>104.116</v>
          </cell>
          <cell r="H44">
            <v>1</v>
          </cell>
          <cell r="I44">
            <v>45</v>
          </cell>
          <cell r="J44" t="str">
            <v>в матрице</v>
          </cell>
          <cell r="L44">
            <v>78.099999999999994</v>
          </cell>
          <cell r="M44">
            <v>-5.902000000000001</v>
          </cell>
          <cell r="P44">
            <v>10</v>
          </cell>
          <cell r="Q44">
            <v>10</v>
          </cell>
          <cell r="R44">
            <v>14.439599999999999</v>
          </cell>
          <cell r="S44">
            <v>78.038399999999982</v>
          </cell>
        </row>
        <row r="45">
          <cell r="A45" t="str">
            <v>6550 МЯСНЫЕ Папа может сар б/о мгс 1*3 О 45с  Останкино</v>
          </cell>
          <cell r="B45" t="str">
            <v>кг</v>
          </cell>
          <cell r="C45">
            <v>6550</v>
          </cell>
          <cell r="D45">
            <v>132.76900000000001</v>
          </cell>
          <cell r="E45">
            <v>162.06899999999999</v>
          </cell>
          <cell r="F45">
            <v>123.408</v>
          </cell>
          <cell r="G45">
            <v>122.992</v>
          </cell>
          <cell r="H45">
            <v>1</v>
          </cell>
          <cell r="I45">
            <v>45</v>
          </cell>
          <cell r="J45" t="str">
            <v>в матрице</v>
          </cell>
          <cell r="L45">
            <v>136.03399999999999</v>
          </cell>
          <cell r="M45">
            <v>-12.625999999999991</v>
          </cell>
          <cell r="P45">
            <v>60</v>
          </cell>
          <cell r="Q45">
            <v>60</v>
          </cell>
          <cell r="R45">
            <v>24.6816</v>
          </cell>
          <cell r="S45">
            <v>102.55039999999997</v>
          </cell>
        </row>
        <row r="46">
          <cell r="A46" t="str">
            <v>6608 С ГОВЯДИНОЙ ОРИГИН. сар б/о мгс 1*3_45с  ОСТАНКИНО</v>
          </cell>
          <cell r="B46" t="str">
            <v>кг</v>
          </cell>
          <cell r="C46">
            <v>6608</v>
          </cell>
          <cell r="D46">
            <v>277.726</v>
          </cell>
          <cell r="E46">
            <v>184.40100000000001</v>
          </cell>
          <cell r="F46">
            <v>212.54900000000001</v>
          </cell>
          <cell r="G46">
            <v>194.066</v>
          </cell>
          <cell r="H46">
            <v>1</v>
          </cell>
          <cell r="I46">
            <v>45</v>
          </cell>
          <cell r="J46" t="str">
            <v>в матрице</v>
          </cell>
          <cell r="L46">
            <v>217.93100000000001</v>
          </cell>
          <cell r="M46">
            <v>-5.382000000000005</v>
          </cell>
          <cell r="P46">
            <v>85</v>
          </cell>
          <cell r="Q46">
            <v>85</v>
          </cell>
          <cell r="R46">
            <v>42.509799999999998</v>
          </cell>
          <cell r="S46">
            <v>231.07119999999998</v>
          </cell>
        </row>
        <row r="47">
          <cell r="A47" t="str">
            <v>6616 МОЛОЧНЫЕ КЛАССИЧЕСКИЕ сос п/о в/у 0,3 кг  Останкино</v>
          </cell>
          <cell r="B47" t="str">
            <v>шт</v>
          </cell>
          <cell r="C47">
            <v>6616</v>
          </cell>
          <cell r="D47">
            <v>463</v>
          </cell>
          <cell r="E47">
            <v>7378</v>
          </cell>
          <cell r="F47">
            <v>5625</v>
          </cell>
          <cell r="G47">
            <v>2022</v>
          </cell>
          <cell r="H47">
            <v>0.3</v>
          </cell>
          <cell r="I47">
            <v>45</v>
          </cell>
          <cell r="J47" t="str">
            <v>в матрице</v>
          </cell>
          <cell r="L47">
            <v>5795</v>
          </cell>
          <cell r="M47">
            <v>-170</v>
          </cell>
          <cell r="P47">
            <v>1000</v>
          </cell>
          <cell r="Q47">
            <v>1000</v>
          </cell>
          <cell r="R47">
            <v>1125</v>
          </cell>
          <cell r="S47">
            <v>11728</v>
          </cell>
          <cell r="T47">
            <v>1700</v>
          </cell>
          <cell r="U47" t="str">
            <v>прошлый заказ 5300шт был под сеть ЮгТех</v>
          </cell>
        </row>
        <row r="48">
          <cell r="A48" t="str">
            <v>6661 СОЧНЫЙ ГРИЛЬ ПМ сос п/о мгс 1,5*4_Маяк Останкино</v>
          </cell>
          <cell r="B48" t="str">
            <v>кг</v>
          </cell>
          <cell r="C48">
            <v>6661</v>
          </cell>
          <cell r="D48">
            <v>4.6920000000000002</v>
          </cell>
          <cell r="E48">
            <v>31.140999999999998</v>
          </cell>
          <cell r="F48">
            <v>13.323</v>
          </cell>
          <cell r="G48">
            <v>15.605</v>
          </cell>
          <cell r="H48">
            <v>1</v>
          </cell>
          <cell r="I48">
            <v>45</v>
          </cell>
          <cell r="J48" t="str">
            <v>в матрице</v>
          </cell>
          <cell r="L48">
            <v>13.663</v>
          </cell>
          <cell r="M48">
            <v>-0.33999999999999986</v>
          </cell>
          <cell r="P48">
            <v>5</v>
          </cell>
          <cell r="Q48">
            <v>5</v>
          </cell>
          <cell r="R48">
            <v>2.6646000000000001</v>
          </cell>
        </row>
        <row r="49">
          <cell r="A49" t="str">
            <v>6697 СЕРВЕЛАТ ФИНСКИЙ ПМ в/к в/у 0,35кг 8шт  ОСТАНКИНО</v>
          </cell>
          <cell r="B49" t="str">
            <v>шт</v>
          </cell>
          <cell r="C49">
            <v>6697</v>
          </cell>
          <cell r="D49">
            <v>301</v>
          </cell>
          <cell r="E49">
            <v>2435</v>
          </cell>
          <cell r="F49">
            <v>1272</v>
          </cell>
          <cell r="G49">
            <v>1322</v>
          </cell>
          <cell r="H49">
            <v>0.35</v>
          </cell>
          <cell r="I49">
            <v>45</v>
          </cell>
          <cell r="J49" t="str">
            <v>ВНИМАНИЕ / в матрице</v>
          </cell>
          <cell r="L49">
            <v>1311</v>
          </cell>
          <cell r="M49">
            <v>-39</v>
          </cell>
          <cell r="P49">
            <v>225</v>
          </cell>
          <cell r="Q49">
            <v>225</v>
          </cell>
          <cell r="R49">
            <v>254.4</v>
          </cell>
          <cell r="S49">
            <v>1789.6</v>
          </cell>
        </row>
        <row r="50">
          <cell r="A50" t="str">
            <v>6713 СОЧНЫЙ ГРИЛЬ ПМ сос п/о мгс 0,41кг 8 шт.  ОСТАНКИНО</v>
          </cell>
          <cell r="B50" t="str">
            <v>шт</v>
          </cell>
          <cell r="C50">
            <v>6713</v>
          </cell>
          <cell r="D50">
            <v>102</v>
          </cell>
          <cell r="E50">
            <v>800</v>
          </cell>
          <cell r="F50">
            <v>450</v>
          </cell>
          <cell r="G50">
            <v>373</v>
          </cell>
          <cell r="H50">
            <v>0.41</v>
          </cell>
          <cell r="I50">
            <v>45</v>
          </cell>
          <cell r="J50" t="str">
            <v>в матрице</v>
          </cell>
          <cell r="L50">
            <v>466</v>
          </cell>
          <cell r="M50">
            <v>-16</v>
          </cell>
          <cell r="P50">
            <v>360</v>
          </cell>
          <cell r="Q50">
            <v>360</v>
          </cell>
          <cell r="R50">
            <v>90</v>
          </cell>
          <cell r="S50">
            <v>167</v>
          </cell>
        </row>
        <row r="51">
          <cell r="A51" t="str">
            <v>6724 МОЛОЧНЫЕ ПМ сос п/о мгс 0,41кг 10шт  Останкино</v>
          </cell>
          <cell r="B51" t="str">
            <v>шт</v>
          </cell>
          <cell r="C51">
            <v>6724</v>
          </cell>
          <cell r="D51">
            <v>105</v>
          </cell>
          <cell r="E51">
            <v>104</v>
          </cell>
          <cell r="F51">
            <v>123</v>
          </cell>
          <cell r="G51">
            <v>71</v>
          </cell>
          <cell r="H51">
            <v>0.41</v>
          </cell>
          <cell r="I51">
            <v>45</v>
          </cell>
          <cell r="J51" t="str">
            <v>в матрице</v>
          </cell>
          <cell r="L51">
            <v>132</v>
          </cell>
          <cell r="M51">
            <v>-9</v>
          </cell>
          <cell r="P51">
            <v>60</v>
          </cell>
          <cell r="Q51">
            <v>60</v>
          </cell>
          <cell r="R51">
            <v>24.6</v>
          </cell>
          <cell r="S51">
            <v>153.40000000000003</v>
          </cell>
        </row>
        <row r="52">
          <cell r="A52" t="str">
            <v>6765 РУБЛЕНЫЕ сос ц/о мгс 0,36кг 6шт  Останкино</v>
          </cell>
          <cell r="B52" t="str">
            <v>шт</v>
          </cell>
          <cell r="C52">
            <v>6765</v>
          </cell>
          <cell r="D52">
            <v>204</v>
          </cell>
          <cell r="E52">
            <v>965</v>
          </cell>
          <cell r="F52">
            <v>309</v>
          </cell>
          <cell r="G52">
            <v>181</v>
          </cell>
          <cell r="H52">
            <v>0.36</v>
          </cell>
          <cell r="I52">
            <v>45</v>
          </cell>
          <cell r="J52" t="str">
            <v>в матрице</v>
          </cell>
          <cell r="L52">
            <v>342</v>
          </cell>
          <cell r="M52">
            <v>-33</v>
          </cell>
          <cell r="P52">
            <v>180</v>
          </cell>
          <cell r="Q52">
            <v>180</v>
          </cell>
          <cell r="R52">
            <v>61.8</v>
          </cell>
          <cell r="S52">
            <v>324.19999999999993</v>
          </cell>
        </row>
        <row r="53">
          <cell r="A53" t="str">
            <v>6787 СЕРВЕЛАТ КРЕМЛЕВСКИЙ в/к в/у 0,33кг 8шт  Останкино</v>
          </cell>
          <cell r="B53" t="str">
            <v>шт</v>
          </cell>
          <cell r="C53">
            <v>6787</v>
          </cell>
          <cell r="D53">
            <v>51</v>
          </cell>
          <cell r="E53">
            <v>548</v>
          </cell>
          <cell r="F53">
            <v>271</v>
          </cell>
          <cell r="G53">
            <v>314</v>
          </cell>
          <cell r="H53">
            <v>0.33</v>
          </cell>
          <cell r="I53">
            <v>45</v>
          </cell>
          <cell r="J53" t="str">
            <v>в матрице</v>
          </cell>
          <cell r="L53">
            <v>282</v>
          </cell>
          <cell r="M53">
            <v>-11</v>
          </cell>
          <cell r="P53">
            <v>150</v>
          </cell>
          <cell r="Q53">
            <v>150</v>
          </cell>
          <cell r="R53">
            <v>54.2</v>
          </cell>
          <cell r="S53">
            <v>144.80000000000007</v>
          </cell>
        </row>
        <row r="54">
          <cell r="A54" t="str">
            <v>6793 БАЛЫКОВАЯ в/к в/у 0,33кг 8шт  Останкино</v>
          </cell>
          <cell r="B54" t="str">
            <v>шт</v>
          </cell>
          <cell r="C54">
            <v>6793</v>
          </cell>
          <cell r="D54">
            <v>-8</v>
          </cell>
          <cell r="E54">
            <v>128</v>
          </cell>
          <cell r="F54">
            <v>-1</v>
          </cell>
          <cell r="H54">
            <v>0.33</v>
          </cell>
          <cell r="I54">
            <v>45</v>
          </cell>
          <cell r="J54" t="str">
            <v>в матрице</v>
          </cell>
          <cell r="L54">
            <v>140</v>
          </cell>
          <cell r="M54">
            <v>-141</v>
          </cell>
          <cell r="P54">
            <v>50</v>
          </cell>
          <cell r="Q54">
            <v>50</v>
          </cell>
          <cell r="R54">
            <v>-0.2</v>
          </cell>
        </row>
        <row r="55">
          <cell r="A55" t="str">
            <v>6797 С ИНДЕЙКОЙ Папа может вар п/о 0,4кг 8шт. ОСТАНКИНО</v>
          </cell>
          <cell r="B55" t="str">
            <v>шт</v>
          </cell>
          <cell r="C55">
            <v>6797</v>
          </cell>
          <cell r="D55">
            <v>401</v>
          </cell>
          <cell r="E55">
            <v>87</v>
          </cell>
          <cell r="F55">
            <v>187</v>
          </cell>
          <cell r="G55">
            <v>279</v>
          </cell>
          <cell r="H55">
            <v>0.4</v>
          </cell>
          <cell r="I55" t="e">
            <v>#N/A</v>
          </cell>
          <cell r="J55" t="e">
            <v>#N/A</v>
          </cell>
          <cell r="L55">
            <v>193</v>
          </cell>
          <cell r="M55">
            <v>-6</v>
          </cell>
          <cell r="P55">
            <v>80</v>
          </cell>
          <cell r="Q55">
            <v>80</v>
          </cell>
          <cell r="R55">
            <v>37.4</v>
          </cell>
          <cell r="S55">
            <v>84.600000000000023</v>
          </cell>
        </row>
        <row r="56">
          <cell r="A56" t="str">
            <v>6807 СЕРВЕЛАТ ЕВРОПЕЙСКИЙ в/к в/у 0,33кг 8шт  Останкино</v>
          </cell>
          <cell r="B56" t="str">
            <v>шт</v>
          </cell>
          <cell r="C56">
            <v>6807</v>
          </cell>
          <cell r="D56">
            <v>21</v>
          </cell>
          <cell r="E56">
            <v>347</v>
          </cell>
          <cell r="F56">
            <v>31</v>
          </cell>
          <cell r="G56">
            <v>330</v>
          </cell>
          <cell r="H56">
            <v>0.33</v>
          </cell>
          <cell r="I56">
            <v>45</v>
          </cell>
          <cell r="J56" t="str">
            <v>в матрице</v>
          </cell>
          <cell r="L56">
            <v>36</v>
          </cell>
          <cell r="M56">
            <v>-5</v>
          </cell>
          <cell r="P56">
            <v>25</v>
          </cell>
          <cell r="Q56">
            <v>25</v>
          </cell>
          <cell r="R56">
            <v>6.2</v>
          </cell>
        </row>
        <row r="57">
          <cell r="A57" t="str">
            <v>6829  МОЛОЧНЫЕ КЛАССИЧЕСКИЕ сос п/о мгс 2*4 С  Останккино</v>
          </cell>
          <cell r="B57" t="str">
            <v>кг</v>
          </cell>
          <cell r="C57">
            <v>6829</v>
          </cell>
          <cell r="D57">
            <v>180.94399999999999</v>
          </cell>
          <cell r="E57">
            <v>745.44600000000003</v>
          </cell>
          <cell r="F57">
            <v>466.47800000000001</v>
          </cell>
          <cell r="G57">
            <v>373.649</v>
          </cell>
          <cell r="H57">
            <v>1</v>
          </cell>
          <cell r="I57">
            <v>45</v>
          </cell>
          <cell r="J57" t="str">
            <v>в матрице</v>
          </cell>
          <cell r="L57">
            <v>472.25599999999997</v>
          </cell>
          <cell r="M57">
            <v>-5.7779999999999632</v>
          </cell>
          <cell r="P57">
            <v>200</v>
          </cell>
          <cell r="Q57">
            <v>200</v>
          </cell>
          <cell r="R57">
            <v>93.295600000000007</v>
          </cell>
          <cell r="S57">
            <v>532.48940000000005</v>
          </cell>
        </row>
        <row r="58">
          <cell r="A58" t="str">
            <v>6832 АССОРТИ СЫРОКОПЧЕНЫХ КОЛБАС Коровино в/у  ОСТАНКИНО</v>
          </cell>
          <cell r="B58" t="str">
            <v>кг</v>
          </cell>
          <cell r="C58">
            <v>6832</v>
          </cell>
          <cell r="E58">
            <v>60.999000000000002</v>
          </cell>
          <cell r="F58">
            <v>42.953000000000003</v>
          </cell>
          <cell r="G58">
            <v>18.045999999999999</v>
          </cell>
          <cell r="H58">
            <v>1</v>
          </cell>
          <cell r="I58">
            <v>0</v>
          </cell>
          <cell r="J58">
            <v>0</v>
          </cell>
          <cell r="L58">
            <v>42.4</v>
          </cell>
          <cell r="M58">
            <v>0.55300000000000438</v>
          </cell>
          <cell r="P58">
            <v>0</v>
          </cell>
          <cell r="Q58">
            <v>0</v>
          </cell>
          <cell r="R58">
            <v>8.5906000000000002</v>
          </cell>
          <cell r="S58">
            <v>102.22239999999999</v>
          </cell>
        </row>
        <row r="59">
          <cell r="A59" t="str">
            <v>6834 ПОСОЛЬСКАЯ с/к с/н в/у 1/100 10шт  Останкино</v>
          </cell>
          <cell r="B59" t="str">
            <v>шт</v>
          </cell>
          <cell r="C59">
            <v>6834</v>
          </cell>
          <cell r="D59">
            <v>22</v>
          </cell>
          <cell r="F59">
            <v>14</v>
          </cell>
          <cell r="G59">
            <v>5</v>
          </cell>
          <cell r="H59">
            <v>0.1</v>
          </cell>
          <cell r="I59">
            <v>60</v>
          </cell>
          <cell r="J59" t="str">
            <v>в матрице</v>
          </cell>
          <cell r="L59">
            <v>14</v>
          </cell>
          <cell r="M59">
            <v>0</v>
          </cell>
          <cell r="P59">
            <v>25</v>
          </cell>
          <cell r="Q59">
            <v>25</v>
          </cell>
          <cell r="R59">
            <v>2.8</v>
          </cell>
        </row>
        <row r="60">
          <cell r="A60" t="str">
            <v>6837 ФИЛЕЙНЫЕ Папа Может сос ц/о мгс 0,4кг  Останкино</v>
          </cell>
          <cell r="B60" t="str">
            <v>шт</v>
          </cell>
          <cell r="C60">
            <v>6837</v>
          </cell>
          <cell r="D60">
            <v>41</v>
          </cell>
          <cell r="E60">
            <v>37</v>
          </cell>
          <cell r="F60">
            <v>45</v>
          </cell>
          <cell r="G60">
            <v>22</v>
          </cell>
          <cell r="H60">
            <v>0.4</v>
          </cell>
          <cell r="I60">
            <v>45</v>
          </cell>
          <cell r="J60" t="str">
            <v>в матрице</v>
          </cell>
          <cell r="L60">
            <v>54</v>
          </cell>
          <cell r="M60">
            <v>-9</v>
          </cell>
          <cell r="P60">
            <v>0</v>
          </cell>
          <cell r="Q60">
            <v>0</v>
          </cell>
          <cell r="R60">
            <v>9</v>
          </cell>
          <cell r="S60">
            <v>104</v>
          </cell>
        </row>
        <row r="61">
          <cell r="A61" t="str">
            <v>6861 ДОМАШНИЙ РЕЦЕПТ Коровино вар п/о  Останкино</v>
          </cell>
          <cell r="B61" t="str">
            <v>кг</v>
          </cell>
          <cell r="C61">
            <v>6861</v>
          </cell>
          <cell r="D61">
            <v>19.616</v>
          </cell>
          <cell r="E61">
            <v>7.8570000000000002</v>
          </cell>
          <cell r="F61">
            <v>3.8290000000000002</v>
          </cell>
          <cell r="G61">
            <v>11.795</v>
          </cell>
          <cell r="H61">
            <v>1</v>
          </cell>
          <cell r="I61">
            <v>60</v>
          </cell>
          <cell r="J61" t="str">
            <v>новинка</v>
          </cell>
          <cell r="L61">
            <v>33.5</v>
          </cell>
          <cell r="M61">
            <v>-29.670999999999999</v>
          </cell>
          <cell r="P61">
            <v>10</v>
          </cell>
          <cell r="Q61">
            <v>10</v>
          </cell>
          <cell r="R61">
            <v>0.76580000000000004</v>
          </cell>
        </row>
        <row r="62">
          <cell r="A62" t="str">
            <v>6866 ВЕТЧ.НЕЖНАЯ Коровино п/о_Маяк  Останкино</v>
          </cell>
          <cell r="B62" t="str">
            <v>кг</v>
          </cell>
          <cell r="C62">
            <v>6866</v>
          </cell>
          <cell r="D62">
            <v>13.54</v>
          </cell>
          <cell r="E62">
            <v>18.085000000000001</v>
          </cell>
          <cell r="F62">
            <v>22.64</v>
          </cell>
          <cell r="G62">
            <v>5.9749999999999996</v>
          </cell>
          <cell r="H62">
            <v>1</v>
          </cell>
          <cell r="I62">
            <v>60</v>
          </cell>
          <cell r="J62" t="str">
            <v>в матрице</v>
          </cell>
          <cell r="L62">
            <v>22.4</v>
          </cell>
          <cell r="M62">
            <v>0.24000000000000199</v>
          </cell>
          <cell r="P62">
            <v>3</v>
          </cell>
          <cell r="Q62">
            <v>3</v>
          </cell>
          <cell r="R62">
            <v>4.5280000000000005</v>
          </cell>
          <cell r="S62">
            <v>51.417000000000009</v>
          </cell>
        </row>
        <row r="63">
          <cell r="A63" t="str">
            <v>6925 ВЕТЧ.КЛАССИЧЕСКАЯ в/у 0,6кг 8шт. ОСТАНКИНО</v>
          </cell>
          <cell r="B63" t="str">
            <v>шт</v>
          </cell>
          <cell r="C63">
            <v>6925</v>
          </cell>
          <cell r="D63">
            <v>105</v>
          </cell>
          <cell r="F63">
            <v>15</v>
          </cell>
          <cell r="G63">
            <v>89</v>
          </cell>
          <cell r="H63">
            <v>0.6</v>
          </cell>
          <cell r="I63">
            <v>0</v>
          </cell>
          <cell r="J63" t="e">
            <v>#N/A</v>
          </cell>
          <cell r="L63">
            <v>17</v>
          </cell>
          <cell r="M63">
            <v>-2</v>
          </cell>
          <cell r="P63">
            <v>0</v>
          </cell>
          <cell r="Q63">
            <v>0</v>
          </cell>
          <cell r="R63">
            <v>3</v>
          </cell>
        </row>
        <row r="64">
          <cell r="A64" t="str">
            <v>6967 БУРГУНДИЯ Папа может с/к в/у 1/250 8шт  Останкино</v>
          </cell>
          <cell r="B64" t="str">
            <v>шт</v>
          </cell>
          <cell r="C64">
            <v>6967</v>
          </cell>
          <cell r="D64">
            <v>8</v>
          </cell>
          <cell r="E64">
            <v>176</v>
          </cell>
          <cell r="F64">
            <v>23</v>
          </cell>
          <cell r="G64">
            <v>159</v>
          </cell>
          <cell r="H64">
            <v>0.25</v>
          </cell>
          <cell r="I64">
            <v>120</v>
          </cell>
          <cell r="J64" t="str">
            <v>в матрице</v>
          </cell>
          <cell r="L64">
            <v>24</v>
          </cell>
          <cell r="M64">
            <v>-1</v>
          </cell>
          <cell r="P64">
            <v>20</v>
          </cell>
          <cell r="Q64">
            <v>20</v>
          </cell>
          <cell r="R64">
            <v>4.5999999999999996</v>
          </cell>
        </row>
        <row r="65">
          <cell r="A65" t="str">
            <v>7001 КЛАССИЧЕСКИЕ Папа может сар б/о мгс 1*3  Останкино</v>
          </cell>
          <cell r="B65" t="str">
            <v>кг</v>
          </cell>
          <cell r="C65">
            <v>7001</v>
          </cell>
          <cell r="D65">
            <v>30.16</v>
          </cell>
          <cell r="E65">
            <v>18.667000000000002</v>
          </cell>
          <cell r="F65">
            <v>17.103000000000002</v>
          </cell>
          <cell r="G65">
            <v>30.068999999999999</v>
          </cell>
          <cell r="H65">
            <v>1</v>
          </cell>
          <cell r="I65">
            <v>45</v>
          </cell>
          <cell r="J65" t="str">
            <v>в матрице</v>
          </cell>
          <cell r="L65">
            <v>18.600000000000001</v>
          </cell>
          <cell r="M65">
            <v>-1.4969999999999999</v>
          </cell>
          <cell r="P65">
            <v>0</v>
          </cell>
          <cell r="Q65">
            <v>0</v>
          </cell>
          <cell r="R65">
            <v>3.4206000000000003</v>
          </cell>
          <cell r="S65">
            <v>17.819400000000005</v>
          </cell>
        </row>
        <row r="66">
          <cell r="A66" t="str">
            <v>7059 ШПИКАЧКИ СОЧНЫЕ С БЕК. п/о мгс 0,3кг 60с ОСТАНКИНО</v>
          </cell>
          <cell r="B66" t="str">
            <v>шт</v>
          </cell>
          <cell r="C66">
            <v>7059</v>
          </cell>
          <cell r="D66">
            <v>337</v>
          </cell>
          <cell r="E66">
            <v>1</v>
          </cell>
          <cell r="F66">
            <v>131</v>
          </cell>
          <cell r="G66">
            <v>200</v>
          </cell>
          <cell r="H66">
            <v>0.3</v>
          </cell>
          <cell r="I66">
            <v>0</v>
          </cell>
          <cell r="J66" t="e">
            <v>#N/A</v>
          </cell>
          <cell r="L66">
            <v>138</v>
          </cell>
          <cell r="M66">
            <v>-7</v>
          </cell>
          <cell r="P66">
            <v>0</v>
          </cell>
          <cell r="Q66">
            <v>0</v>
          </cell>
          <cell r="R66">
            <v>26.2</v>
          </cell>
          <cell r="S66">
            <v>166.8</v>
          </cell>
        </row>
        <row r="67">
          <cell r="A67" t="str">
            <v>7066 СОЧНЫЕ ПМ сос п/о мгс 0,41кг 10шт 50с  Останкино</v>
          </cell>
          <cell r="B67" t="str">
            <v>шт</v>
          </cell>
          <cell r="C67">
            <v>7066</v>
          </cell>
          <cell r="D67">
            <v>639</v>
          </cell>
          <cell r="E67">
            <v>6267</v>
          </cell>
          <cell r="F67">
            <v>1410</v>
          </cell>
          <cell r="G67">
            <v>1389</v>
          </cell>
          <cell r="H67">
            <v>0.41</v>
          </cell>
          <cell r="I67">
            <v>50</v>
          </cell>
          <cell r="J67" t="str">
            <v>в матрице</v>
          </cell>
          <cell r="L67">
            <v>1452</v>
          </cell>
          <cell r="M67">
            <v>-42</v>
          </cell>
          <cell r="P67">
            <v>1250</v>
          </cell>
          <cell r="Q67">
            <v>1250</v>
          </cell>
          <cell r="R67">
            <v>282</v>
          </cell>
          <cell r="S67">
            <v>59</v>
          </cell>
        </row>
        <row r="68">
          <cell r="A68" t="str">
            <v>7070 СОЧНЫЕ ПМ сос п/о 1,5*4_А_50с  Останкино</v>
          </cell>
          <cell r="B68" t="str">
            <v>кг</v>
          </cell>
          <cell r="C68">
            <v>7070</v>
          </cell>
          <cell r="D68">
            <v>836.83199999999999</v>
          </cell>
          <cell r="E68">
            <v>685.10400000000004</v>
          </cell>
          <cell r="F68">
            <v>474.55500000000001</v>
          </cell>
          <cell r="G68">
            <v>634.01400000000001</v>
          </cell>
          <cell r="H68">
            <v>1</v>
          </cell>
          <cell r="I68">
            <v>50</v>
          </cell>
          <cell r="J68" t="str">
            <v>в матрице</v>
          </cell>
          <cell r="L68">
            <v>469.07400000000001</v>
          </cell>
          <cell r="M68">
            <v>5.4809999999999945</v>
          </cell>
          <cell r="P68">
            <v>50</v>
          </cell>
          <cell r="Q68">
            <v>50</v>
          </cell>
          <cell r="R68">
            <v>94.911000000000001</v>
          </cell>
          <cell r="S68">
            <v>594.7399999999999</v>
          </cell>
        </row>
        <row r="69">
          <cell r="A69" t="str">
            <v>7073 МОЛОЧ.ПРЕМИУМ ПМ сос п/о в/у 1/350_50с  Останкино</v>
          </cell>
          <cell r="B69" t="str">
            <v>шт</v>
          </cell>
          <cell r="C69">
            <v>7073</v>
          </cell>
          <cell r="D69">
            <v>59</v>
          </cell>
          <cell r="E69">
            <v>88</v>
          </cell>
          <cell r="F69">
            <v>47</v>
          </cell>
          <cell r="G69">
            <v>97</v>
          </cell>
          <cell r="H69">
            <v>0.35</v>
          </cell>
          <cell r="I69">
            <v>50</v>
          </cell>
          <cell r="J69" t="str">
            <v>в матрице</v>
          </cell>
          <cell r="L69">
            <v>50</v>
          </cell>
          <cell r="M69">
            <v>-3</v>
          </cell>
          <cell r="P69">
            <v>10</v>
          </cell>
          <cell r="Q69">
            <v>10</v>
          </cell>
          <cell r="R69">
            <v>9.4</v>
          </cell>
          <cell r="T69">
            <v>50</v>
          </cell>
        </row>
        <row r="70">
          <cell r="A70" t="str">
            <v>7080 СЛИВОЧНЫЕ ПМ сос п/о мгс 0,41кг 10шт 50с  Останкино</v>
          </cell>
          <cell r="B70" t="str">
            <v>шт</v>
          </cell>
          <cell r="C70">
            <v>7080</v>
          </cell>
          <cell r="D70">
            <v>2571</v>
          </cell>
          <cell r="E70">
            <v>25</v>
          </cell>
          <cell r="F70">
            <v>620</v>
          </cell>
          <cell r="G70">
            <v>1945</v>
          </cell>
          <cell r="H70">
            <v>0.41</v>
          </cell>
          <cell r="I70">
            <v>50</v>
          </cell>
          <cell r="J70" t="str">
            <v>в матрице</v>
          </cell>
          <cell r="L70">
            <v>638.1</v>
          </cell>
          <cell r="M70">
            <v>-18.100000000000023</v>
          </cell>
          <cell r="P70">
            <v>0</v>
          </cell>
          <cell r="Q70">
            <v>0</v>
          </cell>
          <cell r="R70">
            <v>124</v>
          </cell>
        </row>
        <row r="71">
          <cell r="A71" t="str">
            <v>7083 СЛИВОЧНЫЕ ПМ сос п/о мгс 1.5*4_А_50с  ОСТАНКИНО</v>
          </cell>
          <cell r="B71" t="str">
            <v>кг</v>
          </cell>
          <cell r="C71">
            <v>7083</v>
          </cell>
          <cell r="D71">
            <v>144.976</v>
          </cell>
          <cell r="E71">
            <v>241.316</v>
          </cell>
          <cell r="F71">
            <v>195</v>
          </cell>
          <cell r="G71">
            <v>127.062</v>
          </cell>
          <cell r="H71">
            <v>1</v>
          </cell>
          <cell r="I71">
            <v>0</v>
          </cell>
          <cell r="J71" t="e">
            <v>#N/A</v>
          </cell>
          <cell r="L71">
            <v>133.065</v>
          </cell>
          <cell r="M71">
            <v>61.935000000000002</v>
          </cell>
          <cell r="P71">
            <v>115</v>
          </cell>
          <cell r="Q71">
            <v>115</v>
          </cell>
          <cell r="R71">
            <v>39</v>
          </cell>
          <cell r="T71">
            <v>120</v>
          </cell>
        </row>
        <row r="72">
          <cell r="A72" t="str">
            <v>7090 СВИНИНА ПО-ДОМ.к/в мл/к в/у 0,3кг_50с  Останкино</v>
          </cell>
          <cell r="B72" t="str">
            <v>шт</v>
          </cell>
          <cell r="C72">
            <v>7090</v>
          </cell>
          <cell r="E72">
            <v>12</v>
          </cell>
          <cell r="F72">
            <v>-3</v>
          </cell>
          <cell r="G72">
            <v>12</v>
          </cell>
          <cell r="H72">
            <v>0.3</v>
          </cell>
          <cell r="I72">
            <v>50</v>
          </cell>
          <cell r="J72" t="str">
            <v>в матрице</v>
          </cell>
          <cell r="L72">
            <v>163</v>
          </cell>
          <cell r="M72">
            <v>-166</v>
          </cell>
          <cell r="P72">
            <v>15</v>
          </cell>
          <cell r="Q72">
            <v>15</v>
          </cell>
          <cell r="R72">
            <v>-0.6</v>
          </cell>
        </row>
        <row r="73">
          <cell r="A73" t="str">
            <v>7103 БЕКОН Останкино с/к с/н в/у 1/180_50с  Останкино</v>
          </cell>
          <cell r="B73" t="str">
            <v>шт</v>
          </cell>
          <cell r="C73">
            <v>7103</v>
          </cell>
          <cell r="D73">
            <v>37</v>
          </cell>
          <cell r="E73">
            <v>1229</v>
          </cell>
          <cell r="F73">
            <v>243</v>
          </cell>
          <cell r="G73">
            <v>479</v>
          </cell>
          <cell r="H73">
            <v>0.18</v>
          </cell>
          <cell r="I73">
            <v>50</v>
          </cell>
          <cell r="J73" t="str">
            <v>в матрице</v>
          </cell>
          <cell r="L73">
            <v>255</v>
          </cell>
          <cell r="M73">
            <v>-12</v>
          </cell>
          <cell r="P73">
            <v>85</v>
          </cell>
          <cell r="Q73">
            <v>85</v>
          </cell>
          <cell r="R73">
            <v>48.6</v>
          </cell>
        </row>
        <row r="74">
          <cell r="A74" t="str">
            <v>7131 БАЛЫКОВАЯ в/к в/у 0,84кг  Останкино</v>
          </cell>
          <cell r="B74" t="str">
            <v>кг</v>
          </cell>
          <cell r="C74">
            <v>7131</v>
          </cell>
          <cell r="D74">
            <v>-4.2999999999999997E-2</v>
          </cell>
          <cell r="E74">
            <v>0.93700000000000006</v>
          </cell>
          <cell r="F74">
            <v>0</v>
          </cell>
          <cell r="H74">
            <v>1</v>
          </cell>
          <cell r="I74">
            <v>45</v>
          </cell>
          <cell r="J74" t="str">
            <v>в матрице</v>
          </cell>
          <cell r="L74">
            <v>0</v>
          </cell>
          <cell r="M74">
            <v>0</v>
          </cell>
          <cell r="P74">
            <v>8</v>
          </cell>
          <cell r="Q74">
            <v>8</v>
          </cell>
          <cell r="R74">
            <v>0</v>
          </cell>
        </row>
        <row r="75">
          <cell r="A75" t="str">
            <v>7147 САЛЬЧИЧОН Останкино с/к в/у 1/220 8 шт  Останкино</v>
          </cell>
          <cell r="B75" t="str">
            <v>шт</v>
          </cell>
          <cell r="C75">
            <v>7147</v>
          </cell>
          <cell r="D75">
            <v>12</v>
          </cell>
          <cell r="E75">
            <v>16</v>
          </cell>
          <cell r="F75">
            <v>15</v>
          </cell>
          <cell r="G75">
            <v>9</v>
          </cell>
          <cell r="H75">
            <v>0.22</v>
          </cell>
          <cell r="I75">
            <v>120</v>
          </cell>
          <cell r="J75" t="str">
            <v>ВНИМАНИЕ / в матрице</v>
          </cell>
          <cell r="L75">
            <v>16</v>
          </cell>
          <cell r="M75">
            <v>-1</v>
          </cell>
          <cell r="P75">
            <v>0</v>
          </cell>
          <cell r="Q75">
            <v>0</v>
          </cell>
          <cell r="R75">
            <v>3</v>
          </cell>
          <cell r="T75">
            <v>24</v>
          </cell>
        </row>
        <row r="76">
          <cell r="A76" t="str">
            <v>7154 СЕРВЕЛАТ ЗЕРНИСТЫЙ ПМ в/к в/у 0,35кг_50с  Останкино</v>
          </cell>
          <cell r="B76" t="str">
            <v>шт</v>
          </cell>
          <cell r="C76">
            <v>7154</v>
          </cell>
          <cell r="D76">
            <v>500</v>
          </cell>
          <cell r="E76">
            <v>1398</v>
          </cell>
          <cell r="F76">
            <v>883.34400000000005</v>
          </cell>
          <cell r="G76">
            <v>919</v>
          </cell>
          <cell r="H76">
            <v>0.35</v>
          </cell>
          <cell r="I76">
            <v>50</v>
          </cell>
          <cell r="J76" t="str">
            <v>ВНИМАНИЕ / в матрице</v>
          </cell>
          <cell r="L76">
            <v>900</v>
          </cell>
          <cell r="M76">
            <v>-16.655999999999949</v>
          </cell>
          <cell r="P76">
            <v>195</v>
          </cell>
          <cell r="Q76">
            <v>195</v>
          </cell>
          <cell r="R76">
            <v>176.6688</v>
          </cell>
          <cell r="S76">
            <v>1164.3632000000002</v>
          </cell>
        </row>
        <row r="77">
          <cell r="A77" t="str">
            <v>7157 СЕРВЕЛАТ ЗЕРНИСТЫЙ ПМ в/к в/у_50с  Останкино</v>
          </cell>
          <cell r="B77" t="str">
            <v>кг</v>
          </cell>
          <cell r="C77">
            <v>7157</v>
          </cell>
          <cell r="D77">
            <v>216.76</v>
          </cell>
          <cell r="E77">
            <v>65.977999999999994</v>
          </cell>
          <cell r="F77">
            <v>122.435</v>
          </cell>
          <cell r="G77">
            <v>153.51</v>
          </cell>
          <cell r="H77">
            <v>1</v>
          </cell>
          <cell r="I77">
            <v>50</v>
          </cell>
          <cell r="J77" t="str">
            <v>в матрице</v>
          </cell>
          <cell r="L77">
            <v>121.447</v>
          </cell>
          <cell r="M77">
            <v>0.98799999999999955</v>
          </cell>
          <cell r="P77">
            <v>30</v>
          </cell>
          <cell r="Q77">
            <v>30</v>
          </cell>
          <cell r="R77">
            <v>24.487000000000002</v>
          </cell>
          <cell r="S77">
            <v>129.30800000000005</v>
          </cell>
        </row>
        <row r="78">
          <cell r="A78" t="str">
            <v>7163 СЕРВЕЛАТ КЛАССИЧ.ПМ в/к в/у 0,62кг_50с  Останкино</v>
          </cell>
          <cell r="B78" t="str">
            <v>шт</v>
          </cell>
          <cell r="C78">
            <v>7163</v>
          </cell>
          <cell r="D78">
            <v>14</v>
          </cell>
          <cell r="F78">
            <v>0</v>
          </cell>
          <cell r="G78">
            <v>14</v>
          </cell>
          <cell r="H78">
            <v>0.62</v>
          </cell>
          <cell r="I78">
            <v>0</v>
          </cell>
          <cell r="J78" t="e">
            <v>#N/A</v>
          </cell>
          <cell r="L78">
            <v>6.22</v>
          </cell>
          <cell r="M78">
            <v>-6.22</v>
          </cell>
          <cell r="P78">
            <v>0</v>
          </cell>
          <cell r="Q78">
            <v>0</v>
          </cell>
          <cell r="R78">
            <v>0</v>
          </cell>
        </row>
        <row r="79">
          <cell r="A79" t="str">
            <v>7166 СЕРВЕЛАТ ОХОТНИЧИЙ ПМ в/к в/у_50с  Останкино</v>
          </cell>
          <cell r="B79" t="str">
            <v>кг</v>
          </cell>
          <cell r="C79">
            <v>7166</v>
          </cell>
          <cell r="D79">
            <v>273.642</v>
          </cell>
          <cell r="E79">
            <v>491.245</v>
          </cell>
          <cell r="F79">
            <v>388.30700000000002</v>
          </cell>
          <cell r="G79">
            <v>300.95499999999998</v>
          </cell>
          <cell r="H79">
            <v>1</v>
          </cell>
          <cell r="I79">
            <v>50</v>
          </cell>
          <cell r="J79" t="str">
            <v>в матрице</v>
          </cell>
          <cell r="L79">
            <v>388.24299999999999</v>
          </cell>
          <cell r="M79">
            <v>6.4000000000021373E-2</v>
          </cell>
          <cell r="P79">
            <v>280</v>
          </cell>
          <cell r="Q79">
            <v>280</v>
          </cell>
          <cell r="R79">
            <v>77.6614</v>
          </cell>
          <cell r="S79">
            <v>226.30460000000016</v>
          </cell>
        </row>
        <row r="80">
          <cell r="A80" t="str">
            <v>7169 СЕРВЕЛАТ ОХОТНИЧИЙ ПМ в/к в/у 0,35кг_50с  Останкино</v>
          </cell>
          <cell r="B80" t="str">
            <v>шт</v>
          </cell>
          <cell r="C80">
            <v>7169</v>
          </cell>
          <cell r="D80">
            <v>2336</v>
          </cell>
          <cell r="E80">
            <v>276</v>
          </cell>
          <cell r="F80">
            <v>867</v>
          </cell>
          <cell r="G80">
            <v>1624</v>
          </cell>
          <cell r="H80">
            <v>0.35</v>
          </cell>
          <cell r="I80">
            <v>50</v>
          </cell>
          <cell r="J80" t="str">
            <v>в матрице</v>
          </cell>
          <cell r="L80">
            <v>890.7</v>
          </cell>
          <cell r="M80">
            <v>-23.700000000000045</v>
          </cell>
          <cell r="P80">
            <v>0</v>
          </cell>
          <cell r="Q80">
            <v>0</v>
          </cell>
          <cell r="R80">
            <v>173.4</v>
          </cell>
          <cell r="S80">
            <v>803.59999999999991</v>
          </cell>
        </row>
        <row r="81">
          <cell r="A81" t="str">
            <v>7187 ГРУДИНКА ПРЕМИУМ к/в мл/к в/у 0,3кг_50с  Останкино</v>
          </cell>
          <cell r="B81" t="str">
            <v>шт</v>
          </cell>
          <cell r="C81">
            <v>7187</v>
          </cell>
          <cell r="D81">
            <v>45</v>
          </cell>
          <cell r="E81">
            <v>140</v>
          </cell>
          <cell r="F81">
            <v>110</v>
          </cell>
          <cell r="G81">
            <v>61</v>
          </cell>
          <cell r="H81">
            <v>0.3</v>
          </cell>
          <cell r="I81">
            <v>50</v>
          </cell>
          <cell r="J81" t="str">
            <v>ВНИМАНИЕ / в матрице</v>
          </cell>
          <cell r="L81">
            <v>117</v>
          </cell>
          <cell r="M81">
            <v>-7</v>
          </cell>
          <cell r="P81">
            <v>35</v>
          </cell>
          <cell r="Q81">
            <v>35</v>
          </cell>
          <cell r="R81">
            <v>22</v>
          </cell>
          <cell r="S81">
            <v>177</v>
          </cell>
        </row>
        <row r="82">
          <cell r="A82" t="str">
            <v>7216 СОЧНЫЕ СО СЛ.МАСЛ.ПМ пельм пл.0.7кг зам. ОСТАНКИНО</v>
          </cell>
          <cell r="B82" t="str">
            <v>шт</v>
          </cell>
          <cell r="C82">
            <v>7216</v>
          </cell>
          <cell r="D82">
            <v>41</v>
          </cell>
          <cell r="F82">
            <v>5</v>
          </cell>
          <cell r="G82">
            <v>36</v>
          </cell>
          <cell r="H82">
            <v>0.7</v>
          </cell>
          <cell r="I82" t="e">
            <v>#N/A</v>
          </cell>
          <cell r="J82" t="e">
            <v>#N/A</v>
          </cell>
          <cell r="L82">
            <v>87</v>
          </cell>
          <cell r="M82">
            <v>-82</v>
          </cell>
          <cell r="P82">
            <v>75</v>
          </cell>
          <cell r="Q82">
            <v>75</v>
          </cell>
          <cell r="R82">
            <v>1</v>
          </cell>
        </row>
        <row r="83">
          <cell r="A83" t="str">
            <v>7231 КЛАССИЧЕСКАЯ ПМ вар п/о 0,3кг 8 шт_209к  Останкино</v>
          </cell>
          <cell r="B83" t="str">
            <v>шт</v>
          </cell>
          <cell r="C83">
            <v>7231</v>
          </cell>
          <cell r="D83">
            <v>190</v>
          </cell>
          <cell r="F83">
            <v>75</v>
          </cell>
          <cell r="G83">
            <v>111</v>
          </cell>
          <cell r="H83">
            <v>0.3</v>
          </cell>
          <cell r="I83">
            <v>60</v>
          </cell>
          <cell r="J83" t="str">
            <v>в матрице</v>
          </cell>
          <cell r="L83">
            <v>81</v>
          </cell>
          <cell r="M83">
            <v>-6</v>
          </cell>
          <cell r="P83">
            <v>0</v>
          </cell>
          <cell r="Q83">
            <v>0</v>
          </cell>
          <cell r="R83">
            <v>15</v>
          </cell>
          <cell r="S83">
            <v>99</v>
          </cell>
        </row>
        <row r="84">
          <cell r="A84" t="str">
            <v>7232 БОЯNСКАЯ ПМ п/к в/у 0,28кг 8шт_209к  Останкино</v>
          </cell>
          <cell r="B84" t="str">
            <v>шт</v>
          </cell>
          <cell r="C84">
            <v>7232</v>
          </cell>
          <cell r="D84">
            <v>129</v>
          </cell>
          <cell r="E84">
            <v>248</v>
          </cell>
          <cell r="F84">
            <v>163</v>
          </cell>
          <cell r="G84">
            <v>188</v>
          </cell>
          <cell r="H84">
            <v>0.28000000000000003</v>
          </cell>
          <cell r="I84">
            <v>50</v>
          </cell>
          <cell r="J84" t="str">
            <v>в матрице</v>
          </cell>
          <cell r="L84">
            <v>165</v>
          </cell>
          <cell r="M84">
            <v>-2</v>
          </cell>
          <cell r="P84">
            <v>170</v>
          </cell>
          <cell r="Q84">
            <v>170</v>
          </cell>
          <cell r="R84">
            <v>32.6</v>
          </cell>
        </row>
        <row r="85">
          <cell r="A85" t="str">
            <v>7236 СЕРВЕЛАТ КАРЕЛЬСКИЙ в/к в/у 0,28кг_209к  Останкино</v>
          </cell>
          <cell r="B85" t="str">
            <v>шт</v>
          </cell>
          <cell r="C85">
            <v>7236</v>
          </cell>
          <cell r="D85">
            <v>204</v>
          </cell>
          <cell r="E85">
            <v>291</v>
          </cell>
          <cell r="F85">
            <v>302</v>
          </cell>
          <cell r="G85">
            <v>138</v>
          </cell>
          <cell r="H85">
            <v>0.28000000000000003</v>
          </cell>
          <cell r="I85">
            <v>45</v>
          </cell>
          <cell r="J85" t="str">
            <v>в матрице</v>
          </cell>
          <cell r="L85">
            <v>336</v>
          </cell>
          <cell r="M85">
            <v>-34</v>
          </cell>
          <cell r="P85">
            <v>25</v>
          </cell>
          <cell r="Q85">
            <v>25</v>
          </cell>
          <cell r="R85">
            <v>60.4</v>
          </cell>
          <cell r="S85">
            <v>657.6</v>
          </cell>
        </row>
        <row r="86">
          <cell r="A86" t="str">
            <v>7237 СЕРВЕЛАТ ШВАРЦЕР ПМ в/к в/у 0,28кг_209к  Останкино</v>
          </cell>
          <cell r="B86" t="str">
            <v>шт</v>
          </cell>
          <cell r="C86">
            <v>7237</v>
          </cell>
          <cell r="D86">
            <v>-6</v>
          </cell>
          <cell r="E86">
            <v>185</v>
          </cell>
          <cell r="F86">
            <v>54</v>
          </cell>
          <cell r="G86">
            <v>113</v>
          </cell>
          <cell r="H86">
            <v>0.28000000000000003</v>
          </cell>
          <cell r="I86">
            <v>45</v>
          </cell>
          <cell r="J86" t="str">
            <v>в матрице</v>
          </cell>
          <cell r="L86">
            <v>64</v>
          </cell>
          <cell r="M86">
            <v>-10</v>
          </cell>
          <cell r="P86">
            <v>60</v>
          </cell>
          <cell r="Q86">
            <v>60</v>
          </cell>
          <cell r="R86">
            <v>10.8</v>
          </cell>
        </row>
        <row r="87">
          <cell r="A87" t="str">
            <v>7241 САЛЯМИ Папа может п/к в/у 0,28кг ОСТАНКИНО</v>
          </cell>
          <cell r="B87" t="str">
            <v>шт</v>
          </cell>
          <cell r="C87">
            <v>7241</v>
          </cell>
          <cell r="D87">
            <v>31</v>
          </cell>
          <cell r="E87">
            <v>696</v>
          </cell>
          <cell r="F87">
            <v>255</v>
          </cell>
          <cell r="G87">
            <v>419</v>
          </cell>
          <cell r="H87">
            <v>0.28000000000000003</v>
          </cell>
          <cell r="I87">
            <v>45</v>
          </cell>
          <cell r="J87" t="str">
            <v>в матрице</v>
          </cell>
          <cell r="L87">
            <v>298</v>
          </cell>
          <cell r="M87">
            <v>-43</v>
          </cell>
          <cell r="P87">
            <v>0</v>
          </cell>
          <cell r="Q87">
            <v>0</v>
          </cell>
          <cell r="R87">
            <v>51</v>
          </cell>
          <cell r="S87">
            <v>295</v>
          </cell>
        </row>
        <row r="88">
          <cell r="A88" t="str">
            <v>7255 МЯСНЫЕ С ГОВЯД.ПМ сос п/о мгс 0.4кг 6шт.  ОСТАНКИНО</v>
          </cell>
          <cell r="B88" t="str">
            <v>шт</v>
          </cell>
          <cell r="C88">
            <v>7255</v>
          </cell>
          <cell r="D88">
            <v>579</v>
          </cell>
          <cell r="E88">
            <v>255</v>
          </cell>
          <cell r="F88">
            <v>448</v>
          </cell>
          <cell r="G88">
            <v>302</v>
          </cell>
          <cell r="H88">
            <v>0.4</v>
          </cell>
          <cell r="I88">
            <v>50</v>
          </cell>
          <cell r="J88" t="str">
            <v>в матрице</v>
          </cell>
          <cell r="L88">
            <v>453</v>
          </cell>
          <cell r="M88">
            <v>-5</v>
          </cell>
          <cell r="P88">
            <v>30</v>
          </cell>
          <cell r="Q88">
            <v>30</v>
          </cell>
          <cell r="R88">
            <v>89.6</v>
          </cell>
          <cell r="S88">
            <v>892.39999999999986</v>
          </cell>
        </row>
        <row r="89">
          <cell r="A89" t="str">
            <v>7276 СЛИВОЧНЫЕ ПМ сос п/о мгс 0,3кг 7шт  Останкино</v>
          </cell>
          <cell r="B89" t="str">
            <v>шт</v>
          </cell>
          <cell r="C89">
            <v>7276</v>
          </cell>
          <cell r="D89">
            <v>9</v>
          </cell>
          <cell r="E89">
            <v>119</v>
          </cell>
          <cell r="F89">
            <v>12</v>
          </cell>
          <cell r="G89">
            <v>116</v>
          </cell>
          <cell r="H89">
            <v>0.3</v>
          </cell>
          <cell r="I89">
            <v>0</v>
          </cell>
          <cell r="J89">
            <v>0</v>
          </cell>
          <cell r="L89">
            <v>12</v>
          </cell>
          <cell r="M89">
            <v>0</v>
          </cell>
          <cell r="P89">
            <v>55</v>
          </cell>
          <cell r="Q89">
            <v>55</v>
          </cell>
          <cell r="R89">
            <v>2.4</v>
          </cell>
        </row>
        <row r="90">
          <cell r="A90" t="str">
            <v>7284 ДЛЯ ДЕТЕЙ сос п/о мгс 0,33кг 6шт  Останкино</v>
          </cell>
          <cell r="B90" t="str">
            <v>шт</v>
          </cell>
          <cell r="C90">
            <v>7284</v>
          </cell>
          <cell r="D90">
            <v>5</v>
          </cell>
          <cell r="E90">
            <v>48</v>
          </cell>
          <cell r="F90">
            <v>18</v>
          </cell>
          <cell r="G90">
            <v>30</v>
          </cell>
          <cell r="H90">
            <v>0.33</v>
          </cell>
          <cell r="I90">
            <v>30</v>
          </cell>
          <cell r="J90" t="str">
            <v>ВНИМАНИЕ / в матрице</v>
          </cell>
          <cell r="L90">
            <v>49</v>
          </cell>
          <cell r="M90">
            <v>-31</v>
          </cell>
          <cell r="P90">
            <v>0</v>
          </cell>
          <cell r="Q90">
            <v>0</v>
          </cell>
          <cell r="R90">
            <v>3.6</v>
          </cell>
        </row>
        <row r="91">
          <cell r="A91" t="str">
            <v>7288 БАЛЫК с/к с/н в/у 1/100 10шт ОСТАНКИНО</v>
          </cell>
          <cell r="B91" t="str">
            <v>шт</v>
          </cell>
          <cell r="C91">
            <v>7288</v>
          </cell>
          <cell r="D91">
            <v>120</v>
          </cell>
          <cell r="E91">
            <v>59</v>
          </cell>
          <cell r="F91">
            <v>65</v>
          </cell>
          <cell r="G91">
            <v>44</v>
          </cell>
          <cell r="H91">
            <v>0.1</v>
          </cell>
          <cell r="I91">
            <v>60</v>
          </cell>
          <cell r="J91" t="str">
            <v>в матрице</v>
          </cell>
          <cell r="L91">
            <v>76</v>
          </cell>
          <cell r="M91">
            <v>-11</v>
          </cell>
          <cell r="P91">
            <v>0</v>
          </cell>
          <cell r="Q91">
            <v>0</v>
          </cell>
          <cell r="R91">
            <v>13</v>
          </cell>
          <cell r="S91">
            <v>138</v>
          </cell>
        </row>
        <row r="92">
          <cell r="A92" t="str">
            <v>7332 БОЯРСКАЯ ПМ п/к в/у 0,28кг ОСТАНКИНО</v>
          </cell>
          <cell r="B92" t="str">
            <v>шт</v>
          </cell>
          <cell r="C92">
            <v>7332</v>
          </cell>
          <cell r="D92">
            <v>5</v>
          </cell>
          <cell r="E92">
            <v>64</v>
          </cell>
          <cell r="F92">
            <v>22</v>
          </cell>
          <cell r="G92">
            <v>39</v>
          </cell>
          <cell r="H92">
            <v>0.28000000000000003</v>
          </cell>
          <cell r="I92">
            <v>50</v>
          </cell>
          <cell r="J92" t="str">
            <v>в матрице</v>
          </cell>
          <cell r="L92">
            <v>33</v>
          </cell>
          <cell r="M92">
            <v>-11</v>
          </cell>
          <cell r="P92">
            <v>0</v>
          </cell>
          <cell r="Q92">
            <v>0</v>
          </cell>
          <cell r="R92">
            <v>4.4000000000000004</v>
          </cell>
          <cell r="T92">
            <v>30</v>
          </cell>
        </row>
        <row r="93">
          <cell r="A93" t="str">
            <v>7333 СЕРВЕЛАТ ОХОТНИЧИЙ ПМ в/к в/у 0,28кг ОСТАНКИНО</v>
          </cell>
          <cell r="B93" t="str">
            <v>шт</v>
          </cell>
          <cell r="C93">
            <v>7333</v>
          </cell>
          <cell r="D93">
            <v>13</v>
          </cell>
          <cell r="E93">
            <v>48</v>
          </cell>
          <cell r="F93">
            <v>20</v>
          </cell>
          <cell r="G93">
            <v>41</v>
          </cell>
          <cell r="H93">
            <v>0.28000000000000003</v>
          </cell>
          <cell r="I93">
            <v>50</v>
          </cell>
          <cell r="J93" t="str">
            <v>в матрице</v>
          </cell>
          <cell r="L93">
            <v>20</v>
          </cell>
          <cell r="M93">
            <v>0</v>
          </cell>
          <cell r="P93">
            <v>0</v>
          </cell>
          <cell r="Q93">
            <v>0</v>
          </cell>
          <cell r="R93">
            <v>4</v>
          </cell>
        </row>
        <row r="94">
          <cell r="A94" t="str">
            <v>7371 БРЕСТСКИЕ сос п/о в/у 0,3кг 8шт. ОСТАНКИНО</v>
          </cell>
          <cell r="B94" t="str">
            <v>шт</v>
          </cell>
          <cell r="C94">
            <v>7371</v>
          </cell>
          <cell r="D94">
            <v>194</v>
          </cell>
          <cell r="E94">
            <v>116</v>
          </cell>
          <cell r="F94">
            <v>163</v>
          </cell>
          <cell r="G94">
            <v>131</v>
          </cell>
          <cell r="H94">
            <v>0.3</v>
          </cell>
          <cell r="I94">
            <v>0</v>
          </cell>
          <cell r="J94" t="e">
            <v>#N/A</v>
          </cell>
          <cell r="L94">
            <v>173</v>
          </cell>
          <cell r="M94">
            <v>-10</v>
          </cell>
          <cell r="P94">
            <v>70</v>
          </cell>
          <cell r="Q94">
            <v>70</v>
          </cell>
          <cell r="R94">
            <v>32.6</v>
          </cell>
          <cell r="S94">
            <v>185.40000000000003</v>
          </cell>
        </row>
        <row r="95">
          <cell r="A95" t="str">
            <v>7382  САЛЯМИ МЕЛКОЗЕРНЕНАЯ с/к в/у1/120 8шт.  ОСТАНКИНО</v>
          </cell>
          <cell r="B95" t="str">
            <v>шт</v>
          </cell>
          <cell r="C95">
            <v>7382</v>
          </cell>
          <cell r="D95">
            <v>42</v>
          </cell>
          <cell r="E95">
            <v>551</v>
          </cell>
          <cell r="F95">
            <v>253</v>
          </cell>
          <cell r="G95">
            <v>297</v>
          </cell>
          <cell r="H95">
            <v>0.12</v>
          </cell>
          <cell r="I95">
            <v>60</v>
          </cell>
          <cell r="J95" t="str">
            <v>в матрице</v>
          </cell>
          <cell r="L95">
            <v>267</v>
          </cell>
          <cell r="M95">
            <v>-14</v>
          </cell>
          <cell r="P95">
            <v>60</v>
          </cell>
          <cell r="Q95">
            <v>60</v>
          </cell>
          <cell r="R95">
            <v>50.6</v>
          </cell>
          <cell r="S95">
            <v>291.39999999999998</v>
          </cell>
        </row>
        <row r="96">
          <cell r="A96" t="str">
            <v>7461 ДЛЯ ДЕТЕЙ Папа Может сос п/о мгс 0,33кг ОСТАНКИНО</v>
          </cell>
          <cell r="B96" t="str">
            <v>шт</v>
          </cell>
          <cell r="C96">
            <v>7461</v>
          </cell>
          <cell r="D96">
            <v>275</v>
          </cell>
          <cell r="E96">
            <v>206</v>
          </cell>
          <cell r="F96">
            <v>281</v>
          </cell>
          <cell r="G96">
            <v>176</v>
          </cell>
          <cell r="H96">
            <v>0.33</v>
          </cell>
          <cell r="I96">
            <v>0</v>
          </cell>
          <cell r="J96" t="e">
            <v>#N/A</v>
          </cell>
          <cell r="L96">
            <v>296</v>
          </cell>
          <cell r="M96">
            <v>-15</v>
          </cell>
          <cell r="P96">
            <v>110</v>
          </cell>
          <cell r="Q96">
            <v>110</v>
          </cell>
          <cell r="R96">
            <v>56.2</v>
          </cell>
          <cell r="S96">
            <v>390.80000000000007</v>
          </cell>
        </row>
        <row r="97">
          <cell r="A97" t="str">
            <v>7523 ГОВЯЖЬЯ Папа Может вар п/о 0,4кг 6шт. ОСТАНКИНО</v>
          </cell>
          <cell r="B97" t="str">
            <v>шт</v>
          </cell>
          <cell r="C97">
            <v>7523</v>
          </cell>
          <cell r="D97">
            <v>229</v>
          </cell>
          <cell r="E97">
            <v>205</v>
          </cell>
          <cell r="F97">
            <v>176</v>
          </cell>
          <cell r="G97">
            <v>24</v>
          </cell>
          <cell r="H97">
            <v>0.4</v>
          </cell>
          <cell r="I97">
            <v>0</v>
          </cell>
          <cell r="J97" t="str">
            <v>ротация</v>
          </cell>
          <cell r="L97">
            <v>181</v>
          </cell>
          <cell r="M97">
            <v>-5</v>
          </cell>
          <cell r="P97">
            <v>25</v>
          </cell>
          <cell r="Q97">
            <v>25</v>
          </cell>
          <cell r="R97">
            <v>35.200000000000003</v>
          </cell>
          <cell r="S97">
            <v>418.80000000000007</v>
          </cell>
        </row>
        <row r="98">
          <cell r="A98" t="str">
            <v>7564 Балыковая в/к в/у Останкино Вес  ОСТАНКИНО</v>
          </cell>
          <cell r="B98" t="str">
            <v>кг</v>
          </cell>
          <cell r="C98">
            <v>7564</v>
          </cell>
          <cell r="D98">
            <v>25.773</v>
          </cell>
          <cell r="E98">
            <v>5.0880000000000001</v>
          </cell>
          <cell r="F98">
            <v>23.315999999999999</v>
          </cell>
          <cell r="G98">
            <v>6.7030000000000003</v>
          </cell>
          <cell r="H98">
            <v>1</v>
          </cell>
          <cell r="I98" t="e">
            <v>#N/A</v>
          </cell>
          <cell r="J98" t="e">
            <v>#N/A</v>
          </cell>
          <cell r="L98">
            <v>22.635000000000002</v>
          </cell>
          <cell r="M98">
            <v>0.68099999999999739</v>
          </cell>
          <cell r="P98">
            <v>7</v>
          </cell>
          <cell r="Q98">
            <v>7</v>
          </cell>
          <cell r="R98">
            <v>4.6631999999999998</v>
          </cell>
        </row>
        <row r="99">
          <cell r="A99" t="str">
            <v>БОНУС_6087 СОЧНЫЕ ПМ сос п/о мгс 0,41кг 10шт.  ОСТАНКИНО</v>
          </cell>
          <cell r="B99" t="str">
            <v>шт</v>
          </cell>
          <cell r="C99">
            <v>0</v>
          </cell>
          <cell r="D99">
            <v>40</v>
          </cell>
          <cell r="F99">
            <v>13</v>
          </cell>
          <cell r="G99">
            <v>21</v>
          </cell>
          <cell r="H99">
            <v>0</v>
          </cell>
          <cell r="I99">
            <v>0</v>
          </cell>
          <cell r="J99">
            <v>0</v>
          </cell>
          <cell r="L99">
            <v>17</v>
          </cell>
          <cell r="M99">
            <v>-4</v>
          </cell>
          <cell r="P99">
            <v>0</v>
          </cell>
          <cell r="Q99">
            <v>0</v>
          </cell>
          <cell r="R99">
            <v>2.6</v>
          </cell>
          <cell r="T99">
            <v>300</v>
          </cell>
        </row>
        <row r="100">
          <cell r="A100" t="str">
            <v>БОНУС_6954 СОЧНЫЕ Папа может сос п/о мгс 1.5*4_Х5  ОСТАНКИНО</v>
          </cell>
          <cell r="B100" t="str">
            <v>кг</v>
          </cell>
          <cell r="C100">
            <v>0</v>
          </cell>
          <cell r="D100">
            <v>-19.481000000000002</v>
          </cell>
          <cell r="F100">
            <v>63.18</v>
          </cell>
          <cell r="G100">
            <v>-90.355000000000004</v>
          </cell>
          <cell r="H100">
            <v>0</v>
          </cell>
          <cell r="I100">
            <v>0</v>
          </cell>
          <cell r="J100">
            <v>0</v>
          </cell>
          <cell r="L100">
            <v>0</v>
          </cell>
          <cell r="M100">
            <v>63.18</v>
          </cell>
          <cell r="P100">
            <v>0</v>
          </cell>
          <cell r="Q100">
            <v>0</v>
          </cell>
          <cell r="R100">
            <v>12.635999999999999</v>
          </cell>
          <cell r="S100">
            <v>267.25900000000001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autoPageBreaks="0"/>
  </sheetPr>
  <dimension ref="A1:CE390"/>
  <sheetViews>
    <sheetView tabSelected="1" workbookViewId="0">
      <pane xSplit="1" ySplit="10" topLeftCell="B11" activePane="bottomRight" state="frozen"/>
      <selection pane="topRight" activeCell="B1" sqref="B1"/>
      <selection pane="bottomLeft" activeCell="A11" sqref="A11"/>
      <selection pane="bottomRight" activeCell="X4" sqref="X4"/>
    </sheetView>
  </sheetViews>
  <sheetFormatPr defaultColWidth="10.5" defaultRowHeight="11.45" customHeight="1" outlineLevelRow="1" x14ac:dyDescent="0.2"/>
  <cols>
    <col min="1" max="1" width="54.5" style="1" customWidth="1"/>
    <col min="2" max="3" width="5.1640625" style="1" customWidth="1"/>
    <col min="4" max="4" width="9" style="1" customWidth="1"/>
    <col min="5" max="6" width="9.1640625" style="1" bestFit="1" customWidth="1"/>
    <col min="7" max="7" width="9.83203125" style="1" customWidth="1"/>
    <col min="8" max="18" width="7.33203125" customWidth="1"/>
    <col min="19" max="19" width="7.33203125" style="42" customWidth="1"/>
    <col min="20" max="21" width="7.33203125" style="38" customWidth="1"/>
    <col min="22" max="32" width="7.33203125" customWidth="1"/>
  </cols>
  <sheetData>
    <row r="1" spans="1:83" s="1" customFormat="1" ht="9.9499999999999993" customHeight="1" x14ac:dyDescent="0.2">
      <c r="S1" s="41"/>
      <c r="T1" s="37"/>
      <c r="U1" s="37"/>
    </row>
    <row r="2" spans="1:83" ht="24.95" customHeight="1" x14ac:dyDescent="0.2">
      <c r="A2" s="2" t="s">
        <v>0</v>
      </c>
    </row>
    <row r="3" spans="1:83" s="1" customFormat="1" ht="9.9499999999999993" customHeight="1" x14ac:dyDescent="0.2">
      <c r="S3" s="41"/>
      <c r="T3" s="37"/>
      <c r="U3" s="37"/>
    </row>
    <row r="4" spans="1:83" ht="12.95" customHeight="1" outlineLevel="1" x14ac:dyDescent="0.2">
      <c r="A4" s="3" t="s">
        <v>1</v>
      </c>
      <c r="B4" s="3"/>
      <c r="C4" s="3"/>
      <c r="D4" s="3"/>
    </row>
    <row r="5" spans="1:83" ht="12.95" customHeight="1" outlineLevel="1" x14ac:dyDescent="0.2">
      <c r="B5" s="3"/>
      <c r="C5" s="3"/>
      <c r="D5" s="3"/>
    </row>
    <row r="6" spans="1:83" ht="26.1" customHeight="1" outlineLevel="1" x14ac:dyDescent="0.2">
      <c r="A6" s="4" t="s">
        <v>2</v>
      </c>
      <c r="B6" s="3"/>
      <c r="C6" s="3"/>
      <c r="D6" s="3"/>
      <c r="E6" s="3"/>
      <c r="F6" s="3"/>
      <c r="G6" s="3"/>
    </row>
    <row r="7" spans="1:83" s="1" customFormat="1" ht="9.9499999999999993" customHeight="1" x14ac:dyDescent="0.2">
      <c r="S7" s="41"/>
      <c r="T7" s="37"/>
      <c r="U7" s="37"/>
    </row>
    <row r="8" spans="1:83" ht="12.95" customHeight="1" x14ac:dyDescent="0.25">
      <c r="A8" s="6" t="s">
        <v>3</v>
      </c>
      <c r="B8" s="6" t="s">
        <v>4</v>
      </c>
      <c r="C8" s="6"/>
      <c r="D8" s="5" t="s">
        <v>5</v>
      </c>
      <c r="E8" s="5" t="s">
        <v>6</v>
      </c>
      <c r="F8" s="5" t="s">
        <v>7</v>
      </c>
      <c r="G8" s="5" t="s">
        <v>8</v>
      </c>
      <c r="H8" s="12" t="s">
        <v>101</v>
      </c>
      <c r="I8" s="12" t="s">
        <v>102</v>
      </c>
      <c r="J8" s="13" t="s">
        <v>103</v>
      </c>
      <c r="K8" s="14" t="s">
        <v>104</v>
      </c>
      <c r="L8" s="14" t="s">
        <v>105</v>
      </c>
      <c r="M8" s="14" t="s">
        <v>106</v>
      </c>
      <c r="N8" s="14" t="s">
        <v>107</v>
      </c>
      <c r="O8" s="14" t="s">
        <v>108</v>
      </c>
      <c r="P8" s="14" t="s">
        <v>109</v>
      </c>
      <c r="Q8" s="14" t="s">
        <v>109</v>
      </c>
      <c r="R8" s="14" t="s">
        <v>110</v>
      </c>
      <c r="S8" s="43" t="s">
        <v>111</v>
      </c>
      <c r="T8" s="15" t="s">
        <v>129</v>
      </c>
      <c r="U8" s="15" t="s">
        <v>129</v>
      </c>
      <c r="V8" s="16" t="s">
        <v>112</v>
      </c>
      <c r="W8" s="16" t="s">
        <v>113</v>
      </c>
      <c r="X8" s="14" t="s">
        <v>114</v>
      </c>
      <c r="Y8" s="14" t="s">
        <v>115</v>
      </c>
      <c r="Z8" s="14" t="s">
        <v>116</v>
      </c>
      <c r="AA8" s="14" t="s">
        <v>116</v>
      </c>
      <c r="AB8" s="14" t="s">
        <v>116</v>
      </c>
      <c r="AC8" s="14" t="s">
        <v>116</v>
      </c>
      <c r="AD8" s="14" t="s">
        <v>117</v>
      </c>
      <c r="AE8" s="14" t="s">
        <v>118</v>
      </c>
      <c r="AF8" s="14" t="s">
        <v>118</v>
      </c>
    </row>
    <row r="9" spans="1:83" ht="12.95" customHeight="1" x14ac:dyDescent="0.2">
      <c r="A9" s="6"/>
      <c r="B9" s="6"/>
      <c r="C9" s="6"/>
      <c r="D9" s="5"/>
      <c r="E9" s="5"/>
      <c r="F9" s="5"/>
      <c r="G9" s="5"/>
      <c r="H9" s="17"/>
      <c r="I9" s="17"/>
      <c r="J9" s="18"/>
      <c r="K9" s="17"/>
      <c r="L9" s="17"/>
      <c r="M9" s="17"/>
      <c r="N9" s="17"/>
      <c r="O9" s="17"/>
      <c r="P9" s="17" t="s">
        <v>120</v>
      </c>
      <c r="Q9" s="17" t="s">
        <v>121</v>
      </c>
      <c r="R9" s="17" t="s">
        <v>121</v>
      </c>
      <c r="S9" s="17" t="s">
        <v>125</v>
      </c>
      <c r="T9" s="39" t="s">
        <v>130</v>
      </c>
      <c r="U9" s="39" t="s">
        <v>126</v>
      </c>
      <c r="V9" s="17" t="s">
        <v>126</v>
      </c>
      <c r="W9" s="17"/>
      <c r="X9" s="17"/>
      <c r="Y9" s="17"/>
      <c r="Z9" s="19" t="s">
        <v>122</v>
      </c>
      <c r="AA9" s="19" t="s">
        <v>124</v>
      </c>
      <c r="AB9" s="19" t="s">
        <v>123</v>
      </c>
      <c r="AC9" s="19" t="s">
        <v>119</v>
      </c>
      <c r="AD9" s="17"/>
      <c r="AE9" s="17" t="s">
        <v>130</v>
      </c>
      <c r="AF9" s="17" t="s">
        <v>126</v>
      </c>
    </row>
    <row r="10" spans="1:83" ht="12.95" customHeight="1" x14ac:dyDescent="0.2">
      <c r="A10" s="6"/>
      <c r="B10" s="6"/>
      <c r="C10" s="21"/>
      <c r="D10" s="20">
        <f>SUM(D11:D358)</f>
        <v>19570.662000000004</v>
      </c>
      <c r="E10" s="20">
        <f t="shared" ref="E10:G10" si="0">SUM(E11:E358)</f>
        <v>42781.095000000001</v>
      </c>
      <c r="F10" s="20">
        <f t="shared" si="0"/>
        <v>26548.022000000001</v>
      </c>
      <c r="G10" s="20">
        <f t="shared" si="0"/>
        <v>26280.718000000001</v>
      </c>
      <c r="H10" s="17"/>
      <c r="I10" s="17"/>
      <c r="J10" s="18"/>
      <c r="K10" s="17"/>
      <c r="L10" s="20">
        <f>SUM(L11:L358)</f>
        <v>28222.245999999999</v>
      </c>
      <c r="M10" s="20">
        <f>SUM(M11:M358)</f>
        <v>-1674.2239999999999</v>
      </c>
      <c r="N10" s="17"/>
      <c r="O10" s="20">
        <f t="shared" ref="O10:V10" si="1">SUM(O11:O358)</f>
        <v>0</v>
      </c>
      <c r="P10" s="20">
        <f t="shared" si="1"/>
        <v>9953</v>
      </c>
      <c r="Q10" s="20">
        <f t="shared" si="1"/>
        <v>9953</v>
      </c>
      <c r="R10" s="20">
        <f t="shared" si="1"/>
        <v>5309.6044000000011</v>
      </c>
      <c r="S10" s="44">
        <f t="shared" si="1"/>
        <v>20284</v>
      </c>
      <c r="T10" s="40">
        <f t="shared" si="1"/>
        <v>10292</v>
      </c>
      <c r="U10" s="40">
        <f t="shared" ref="U10" si="2">SUM(U11:U358)</f>
        <v>9992</v>
      </c>
      <c r="V10" s="20">
        <f t="shared" si="1"/>
        <v>2224</v>
      </c>
      <c r="W10" s="17"/>
      <c r="X10" s="17"/>
      <c r="Y10" s="17"/>
      <c r="Z10" s="20">
        <f>SUM(Z11:Z358)</f>
        <v>3533.6551999999997</v>
      </c>
      <c r="AA10" s="20">
        <f>SUM(AA11:AA358)</f>
        <v>3708.2139999999995</v>
      </c>
      <c r="AB10" s="20">
        <f>SUM(AB11:AB358)</f>
        <v>3634.0737999999992</v>
      </c>
      <c r="AC10" s="20">
        <f>SUM(AC11:AC358)</f>
        <v>3524.2385999999997</v>
      </c>
      <c r="AD10" s="17"/>
      <c r="AE10" s="20">
        <f>SUM(AE11:AE358)</f>
        <v>5391.9900000000007</v>
      </c>
      <c r="AF10" s="20">
        <f>SUM(AF11:AF358)</f>
        <v>5091.99</v>
      </c>
    </row>
    <row r="11" spans="1:83" ht="11.1" customHeight="1" x14ac:dyDescent="0.2">
      <c r="A11" s="7" t="s">
        <v>9</v>
      </c>
      <c r="B11" s="7" t="s">
        <v>10</v>
      </c>
      <c r="C11" s="7">
        <f>VLOOKUP(A:A,[1]TDSheet!$A:$C,3,0)</f>
        <v>3215</v>
      </c>
      <c r="D11" s="8">
        <v>525</v>
      </c>
      <c r="E11" s="8">
        <v>195</v>
      </c>
      <c r="F11" s="8">
        <v>382</v>
      </c>
      <c r="G11" s="8">
        <v>310</v>
      </c>
      <c r="H11" s="22">
        <f>VLOOKUP(A:A,[1]TDSheet!$A:$H,8,0)</f>
        <v>0.4</v>
      </c>
      <c r="I11" s="9">
        <f>VLOOKUP(A:A,[1]TDSheet!$A:$I,9,0)</f>
        <v>60</v>
      </c>
      <c r="J11" s="9" t="str">
        <f>VLOOKUP(A:A,[1]TDSheet!$A:$J,10,0)</f>
        <v>в матрице</v>
      </c>
      <c r="K11" s="9"/>
      <c r="L11" s="9">
        <f>VLOOKUP(A:A,[2]TDSheet!$A:$B,2,0)</f>
        <v>392</v>
      </c>
      <c r="M11" s="9">
        <f>F11-L11</f>
        <v>-10</v>
      </c>
      <c r="N11" s="9"/>
      <c r="O11" s="9"/>
      <c r="P11" s="9">
        <f>VLOOKUP(A:A,[1]TDSheet!$A:$S,19,0)</f>
        <v>110</v>
      </c>
      <c r="Q11" s="9">
        <v>110</v>
      </c>
      <c r="R11" s="9">
        <f>F11/5</f>
        <v>76.400000000000006</v>
      </c>
      <c r="S11" s="45">
        <v>540</v>
      </c>
      <c r="T11" s="23">
        <f>ROUND(S11/2,0)</f>
        <v>270</v>
      </c>
      <c r="U11" s="23">
        <f>S11-T11</f>
        <v>270</v>
      </c>
      <c r="V11" s="23"/>
      <c r="W11" s="9">
        <f>VLOOKUP(A:A,[3]TDSheet!$A:$U,21,0)</f>
        <v>0</v>
      </c>
      <c r="X11" s="9">
        <f>(G11+P11+Q11+S11)/R11</f>
        <v>14.00523560209424</v>
      </c>
      <c r="Y11" s="9">
        <f>G11/R11</f>
        <v>4.0575916230366493</v>
      </c>
      <c r="Z11" s="9">
        <f>VLOOKUP(A:A,[1]TDSheet!$A:$Y,25,0)</f>
        <v>59.8</v>
      </c>
      <c r="AA11" s="9">
        <f>VLOOKUP(A:A,[1]TDSheet!$A:$Z,26,0)</f>
        <v>79.8</v>
      </c>
      <c r="AB11" s="9">
        <f>VLOOKUP(A:A,[1]TDSheet!$A:$AA,27,0)</f>
        <v>60.4</v>
      </c>
      <c r="AC11" s="9">
        <f>VLOOKUP(A:A,[1]TDSheet!$A:$R,18,0)</f>
        <v>56.2</v>
      </c>
      <c r="AD11" s="9" t="str">
        <f>VLOOKUP(A:A,[1]TDSheet!$A:$AB,28,0)</f>
        <v>ТС Обжора</v>
      </c>
      <c r="AE11" s="9">
        <f>T11*H11</f>
        <v>108</v>
      </c>
      <c r="AF11" s="9">
        <f>U11*H11</f>
        <v>108</v>
      </c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</row>
    <row r="12" spans="1:83" ht="11.1" customHeight="1" x14ac:dyDescent="0.2">
      <c r="A12" s="7" t="s">
        <v>11</v>
      </c>
      <c r="B12" s="7" t="s">
        <v>12</v>
      </c>
      <c r="C12" s="7">
        <f>VLOOKUP(A:A,[1]TDSheet!$A:$C,3,0)</f>
        <v>3287</v>
      </c>
      <c r="D12" s="8">
        <v>22.356000000000002</v>
      </c>
      <c r="E12" s="8"/>
      <c r="F12" s="8">
        <v>9.8279999999999994</v>
      </c>
      <c r="G12" s="8">
        <v>12.528</v>
      </c>
      <c r="H12" s="22">
        <f>VLOOKUP(A:A,[1]TDSheet!$A:$H,8,0)</f>
        <v>1</v>
      </c>
      <c r="I12" s="9">
        <f>VLOOKUP(A:A,[1]TDSheet!$A:$I,9,0)</f>
        <v>120</v>
      </c>
      <c r="J12" s="9" t="str">
        <f>VLOOKUP(A:A,[1]TDSheet!$A:$J,10,0)</f>
        <v>в матрице</v>
      </c>
      <c r="K12" s="9"/>
      <c r="L12" s="9">
        <f>VLOOKUP(A:A,[2]TDSheet!$A:$B,2,0)</f>
        <v>10.1</v>
      </c>
      <c r="M12" s="9">
        <f t="shared" ref="M12:M75" si="3">F12-L12</f>
        <v>-0.27200000000000024</v>
      </c>
      <c r="N12" s="9"/>
      <c r="O12" s="9"/>
      <c r="P12" s="9">
        <f>VLOOKUP(A:A,[1]TDSheet!$A:$S,19,0)</f>
        <v>0</v>
      </c>
      <c r="Q12" s="9">
        <v>0</v>
      </c>
      <c r="R12" s="9">
        <f t="shared" ref="R12:R75" si="4">F12/5</f>
        <v>1.9655999999999998</v>
      </c>
      <c r="S12" s="45">
        <v>20</v>
      </c>
      <c r="T12" s="23">
        <f t="shared" ref="T12:T75" si="5">ROUND(S12/2,0)</f>
        <v>10</v>
      </c>
      <c r="U12" s="23">
        <f t="shared" ref="U12:U75" si="6">S12-T12</f>
        <v>10</v>
      </c>
      <c r="V12" s="23"/>
      <c r="W12" s="9">
        <f>VLOOKUP(A:A,[3]TDSheet!$A:$U,21,0)</f>
        <v>0</v>
      </c>
      <c r="X12" s="9">
        <f t="shared" ref="X12:X75" si="7">(G12+P12+Q12+S12)/R12</f>
        <v>16.548636548636551</v>
      </c>
      <c r="Y12" s="9">
        <f t="shared" ref="Y12:Y75" si="8">G12/R12</f>
        <v>6.373626373626375</v>
      </c>
      <c r="Z12" s="9">
        <f>VLOOKUP(A:A,[1]TDSheet!$A:$Y,25,0)</f>
        <v>1.6341999999999999</v>
      </c>
      <c r="AA12" s="9">
        <f>VLOOKUP(A:A,[1]TDSheet!$A:$Z,26,0)</f>
        <v>1.167</v>
      </c>
      <c r="AB12" s="9">
        <f>VLOOKUP(A:A,[1]TDSheet!$A:$AA,27,0)</f>
        <v>0.98599999999999999</v>
      </c>
      <c r="AC12" s="9">
        <f>VLOOKUP(A:A,[1]TDSheet!$A:$R,18,0)</f>
        <v>1.5744</v>
      </c>
      <c r="AD12" s="9" t="str">
        <f>VLOOKUP(A:A,[1]TDSheet!$A:$AB,28,0)</f>
        <v>увел продажи</v>
      </c>
      <c r="AE12" s="9">
        <f t="shared" ref="AE12:AE75" si="9">T12*H12</f>
        <v>10</v>
      </c>
      <c r="AF12" s="9">
        <f t="shared" ref="AF12:AF75" si="10">U12*H12</f>
        <v>10</v>
      </c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</row>
    <row r="13" spans="1:83" ht="11.1" customHeight="1" x14ac:dyDescent="0.2">
      <c r="A13" s="7" t="s">
        <v>13</v>
      </c>
      <c r="B13" s="7" t="s">
        <v>10</v>
      </c>
      <c r="C13" s="7">
        <f>VLOOKUP(A:A,[1]TDSheet!$A:$C,3,0)</f>
        <v>3986</v>
      </c>
      <c r="D13" s="8">
        <v>95</v>
      </c>
      <c r="E13" s="8">
        <v>584</v>
      </c>
      <c r="F13" s="8">
        <v>229</v>
      </c>
      <c r="G13" s="8">
        <v>430</v>
      </c>
      <c r="H13" s="22">
        <f>VLOOKUP(A:A,[1]TDSheet!$A:$H,8,0)</f>
        <v>0.25</v>
      </c>
      <c r="I13" s="9">
        <f>VLOOKUP(A:A,[1]TDSheet!$A:$I,9,0)</f>
        <v>120</v>
      </c>
      <c r="J13" s="9" t="str">
        <f>VLOOKUP(A:A,[1]TDSheet!$A:$J,10,0)</f>
        <v>ВНИМАНИЕ / в матрице</v>
      </c>
      <c r="K13" s="9"/>
      <c r="L13" s="9">
        <f>VLOOKUP(A:A,[2]TDSheet!$A:$B,2,0)</f>
        <v>230</v>
      </c>
      <c r="M13" s="9">
        <f t="shared" si="3"/>
        <v>-1</v>
      </c>
      <c r="N13" s="9"/>
      <c r="O13" s="9"/>
      <c r="P13" s="9">
        <f>VLOOKUP(A:A,[1]TDSheet!$A:$S,19,0)</f>
        <v>140</v>
      </c>
      <c r="Q13" s="9">
        <v>140</v>
      </c>
      <c r="R13" s="9">
        <f t="shared" si="4"/>
        <v>45.8</v>
      </c>
      <c r="S13" s="45"/>
      <c r="T13" s="23">
        <f t="shared" si="5"/>
        <v>0</v>
      </c>
      <c r="U13" s="23">
        <f t="shared" si="6"/>
        <v>0</v>
      </c>
      <c r="V13" s="23"/>
      <c r="W13" s="9">
        <f>VLOOKUP(A:A,[3]TDSheet!$A:$U,21,0)</f>
        <v>0</v>
      </c>
      <c r="X13" s="9">
        <f t="shared" si="7"/>
        <v>15.502183406113538</v>
      </c>
      <c r="Y13" s="9">
        <f t="shared" si="8"/>
        <v>9.3886462882096069</v>
      </c>
      <c r="Z13" s="9">
        <f>VLOOKUP(A:A,[1]TDSheet!$A:$Y,25,0)</f>
        <v>42.2</v>
      </c>
      <c r="AA13" s="9">
        <f>VLOOKUP(A:A,[1]TDSheet!$A:$Z,26,0)</f>
        <v>25.8</v>
      </c>
      <c r="AB13" s="9">
        <f>VLOOKUP(A:A,[1]TDSheet!$A:$AA,27,0)</f>
        <v>49.4</v>
      </c>
      <c r="AC13" s="9">
        <f>VLOOKUP(A:A,[1]TDSheet!$A:$R,18,0)</f>
        <v>55.2</v>
      </c>
      <c r="AD13" s="9" t="str">
        <f>VLOOKUP(A:A,[1]TDSheet!$A:$AB,28,0)</f>
        <v>вместо 5706</v>
      </c>
      <c r="AE13" s="9">
        <f t="shared" si="9"/>
        <v>0</v>
      </c>
      <c r="AF13" s="9">
        <f t="shared" si="10"/>
        <v>0</v>
      </c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</row>
    <row r="14" spans="1:83" ht="11.1" customHeight="1" x14ac:dyDescent="0.2">
      <c r="A14" s="7" t="s">
        <v>14</v>
      </c>
      <c r="B14" s="7" t="s">
        <v>12</v>
      </c>
      <c r="C14" s="7">
        <f>VLOOKUP(A:A,[1]TDSheet!$A:$C,3,0)</f>
        <v>4063</v>
      </c>
      <c r="D14" s="8">
        <v>1137.5119999999999</v>
      </c>
      <c r="E14" s="8">
        <v>1678.473</v>
      </c>
      <c r="F14" s="8">
        <v>1365.954</v>
      </c>
      <c r="G14" s="8">
        <v>1165.71</v>
      </c>
      <c r="H14" s="22">
        <f>VLOOKUP(A:A,[1]TDSheet!$A:$H,8,0)</f>
        <v>1</v>
      </c>
      <c r="I14" s="9">
        <f>VLOOKUP(A:A,[1]TDSheet!$A:$I,9,0)</f>
        <v>60</v>
      </c>
      <c r="J14" s="9" t="str">
        <f>VLOOKUP(A:A,[1]TDSheet!$A:$J,10,0)</f>
        <v>в матрице</v>
      </c>
      <c r="K14" s="9"/>
      <c r="L14" s="9">
        <f>VLOOKUP(A:A,[2]TDSheet!$A:$B,2,0)</f>
        <v>1358.326</v>
      </c>
      <c r="M14" s="9">
        <f t="shared" si="3"/>
        <v>7.6279999999999291</v>
      </c>
      <c r="N14" s="9"/>
      <c r="O14" s="9"/>
      <c r="P14" s="9">
        <f>VLOOKUP(A:A,[1]TDSheet!$A:$S,19,0)</f>
        <v>700</v>
      </c>
      <c r="Q14" s="9">
        <v>700</v>
      </c>
      <c r="R14" s="9">
        <f t="shared" si="4"/>
        <v>273.19079999999997</v>
      </c>
      <c r="S14" s="45">
        <v>1300</v>
      </c>
      <c r="T14" s="23">
        <v>800</v>
      </c>
      <c r="U14" s="23">
        <f t="shared" si="6"/>
        <v>500</v>
      </c>
      <c r="V14" s="23"/>
      <c r="W14" s="9">
        <f>VLOOKUP(A:A,[3]TDSheet!$A:$U,21,0)</f>
        <v>0</v>
      </c>
      <c r="X14" s="9">
        <f t="shared" si="7"/>
        <v>14.150220285602591</v>
      </c>
      <c r="Y14" s="9">
        <f t="shared" si="8"/>
        <v>4.2670177765869139</v>
      </c>
      <c r="Z14" s="9">
        <f>VLOOKUP(A:A,[1]TDSheet!$A:$Y,25,0)</f>
        <v>182.46039999999999</v>
      </c>
      <c r="AA14" s="9">
        <f>VLOOKUP(A:A,[1]TDSheet!$A:$Z,26,0)</f>
        <v>221.37100000000001</v>
      </c>
      <c r="AB14" s="9">
        <f>VLOOKUP(A:A,[1]TDSheet!$A:$AA,27,0)</f>
        <v>197.34700000000001</v>
      </c>
      <c r="AC14" s="9">
        <f>VLOOKUP(A:A,[1]TDSheet!$A:$R,18,0)</f>
        <v>222.8562</v>
      </c>
      <c r="AD14" s="9">
        <f>VLOOKUP(A:A,[1]TDSheet!$A:$AB,28,0)</f>
        <v>0</v>
      </c>
      <c r="AE14" s="9">
        <f t="shared" si="9"/>
        <v>800</v>
      </c>
      <c r="AF14" s="9">
        <f t="shared" si="10"/>
        <v>500</v>
      </c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</row>
    <row r="15" spans="1:83" ht="11.1" customHeight="1" x14ac:dyDescent="0.2">
      <c r="A15" s="7" t="s">
        <v>15</v>
      </c>
      <c r="B15" s="7" t="s">
        <v>12</v>
      </c>
      <c r="C15" s="7">
        <f>VLOOKUP(A:A,[1]TDSheet!$A:$C,3,0)</f>
        <v>4117</v>
      </c>
      <c r="D15" s="8">
        <v>37.734000000000002</v>
      </c>
      <c r="E15" s="8">
        <v>40.451999999999998</v>
      </c>
      <c r="F15" s="8">
        <v>34.307000000000002</v>
      </c>
      <c r="G15" s="8">
        <v>43.878999999999998</v>
      </c>
      <c r="H15" s="22">
        <f>VLOOKUP(A:A,[1]TDSheet!$A:$H,8,0)</f>
        <v>1</v>
      </c>
      <c r="I15" s="9">
        <f>VLOOKUP(A:A,[1]TDSheet!$A:$I,9,0)</f>
        <v>120</v>
      </c>
      <c r="J15" s="9" t="str">
        <f>VLOOKUP(A:A,[1]TDSheet!$A:$J,10,0)</f>
        <v>в матрице</v>
      </c>
      <c r="K15" s="9"/>
      <c r="L15" s="9">
        <f>VLOOKUP(A:A,[2]TDSheet!$A:$B,2,0)</f>
        <v>33.6</v>
      </c>
      <c r="M15" s="9">
        <f t="shared" si="3"/>
        <v>0.70700000000000074</v>
      </c>
      <c r="N15" s="9"/>
      <c r="O15" s="9"/>
      <c r="P15" s="9">
        <f>VLOOKUP(A:A,[1]TDSheet!$A:$S,19,0)</f>
        <v>0</v>
      </c>
      <c r="Q15" s="9">
        <v>0</v>
      </c>
      <c r="R15" s="9">
        <f t="shared" si="4"/>
        <v>6.8614000000000006</v>
      </c>
      <c r="S15" s="45">
        <v>60</v>
      </c>
      <c r="T15" s="23">
        <f t="shared" si="5"/>
        <v>30</v>
      </c>
      <c r="U15" s="23">
        <f t="shared" si="6"/>
        <v>30</v>
      </c>
      <c r="V15" s="23"/>
      <c r="W15" s="9">
        <f>VLOOKUP(A:A,[3]TDSheet!$A:$U,21,0)</f>
        <v>0</v>
      </c>
      <c r="X15" s="9">
        <f t="shared" si="7"/>
        <v>15.139621651557988</v>
      </c>
      <c r="Y15" s="9">
        <f t="shared" si="8"/>
        <v>6.3950505727694047</v>
      </c>
      <c r="Z15" s="9">
        <f>VLOOKUP(A:A,[1]TDSheet!$A:$Y,25,0)</f>
        <v>1.8820000000000001</v>
      </c>
      <c r="AA15" s="9">
        <f>VLOOKUP(A:A,[1]TDSheet!$A:$Z,26,0)</f>
        <v>0.79900000000000004</v>
      </c>
      <c r="AB15" s="9">
        <f>VLOOKUP(A:A,[1]TDSheet!$A:$AA,27,0)</f>
        <v>6.34</v>
      </c>
      <c r="AC15" s="9">
        <f>VLOOKUP(A:A,[1]TDSheet!$A:$R,18,0)</f>
        <v>3.8715999999999999</v>
      </c>
      <c r="AD15" s="9" t="str">
        <f>VLOOKUP(A:A,[1]TDSheet!$A:$AB,28,0)</f>
        <v>увел продажи</v>
      </c>
      <c r="AE15" s="9">
        <f t="shared" si="9"/>
        <v>30</v>
      </c>
      <c r="AF15" s="9">
        <f t="shared" si="10"/>
        <v>30</v>
      </c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</row>
    <row r="16" spans="1:83" ht="11.1" customHeight="1" x14ac:dyDescent="0.2">
      <c r="A16" s="7" t="s">
        <v>16</v>
      </c>
      <c r="B16" s="7" t="s">
        <v>12</v>
      </c>
      <c r="C16" s="7">
        <f>VLOOKUP(A:A,[1]TDSheet!$A:$C,3,0)</f>
        <v>4574</v>
      </c>
      <c r="D16" s="8">
        <v>57.837000000000003</v>
      </c>
      <c r="E16" s="8">
        <v>385.13799999999998</v>
      </c>
      <c r="F16" s="8">
        <v>184.208</v>
      </c>
      <c r="G16" s="8">
        <v>185.91900000000001</v>
      </c>
      <c r="H16" s="22">
        <f>VLOOKUP(A:A,[1]TDSheet!$A:$H,8,0)</f>
        <v>1</v>
      </c>
      <c r="I16" s="9">
        <f>VLOOKUP(A:A,[1]TDSheet!$A:$I,9,0)</f>
        <v>60</v>
      </c>
      <c r="J16" s="9" t="str">
        <f>VLOOKUP(A:A,[1]TDSheet!$A:$J,10,0)</f>
        <v>в матрице</v>
      </c>
      <c r="K16" s="9"/>
      <c r="L16" s="9">
        <f>VLOOKUP(A:A,[2]TDSheet!$A:$B,2,0)</f>
        <v>187.298</v>
      </c>
      <c r="M16" s="9">
        <f t="shared" si="3"/>
        <v>-3.0900000000000034</v>
      </c>
      <c r="N16" s="9"/>
      <c r="O16" s="9"/>
      <c r="P16" s="9">
        <f>VLOOKUP(A:A,[1]TDSheet!$A:$S,19,0)</f>
        <v>75</v>
      </c>
      <c r="Q16" s="9">
        <v>75</v>
      </c>
      <c r="R16" s="9">
        <f t="shared" si="4"/>
        <v>36.8416</v>
      </c>
      <c r="S16" s="45">
        <v>180</v>
      </c>
      <c r="T16" s="23">
        <f t="shared" si="5"/>
        <v>90</v>
      </c>
      <c r="U16" s="23">
        <f t="shared" si="6"/>
        <v>90</v>
      </c>
      <c r="V16" s="23"/>
      <c r="W16" s="9">
        <f>VLOOKUP(A:A,[3]TDSheet!$A:$U,21,0)</f>
        <v>0</v>
      </c>
      <c r="X16" s="9">
        <f t="shared" si="7"/>
        <v>14.003707765135065</v>
      </c>
      <c r="Y16" s="9">
        <f t="shared" si="8"/>
        <v>5.0464420654911839</v>
      </c>
      <c r="Z16" s="9">
        <f>VLOOKUP(A:A,[1]TDSheet!$A:$Y,25,0)</f>
        <v>21.529199999999999</v>
      </c>
      <c r="AA16" s="9">
        <f>VLOOKUP(A:A,[1]TDSheet!$A:$Z,26,0)</f>
        <v>24.9114</v>
      </c>
      <c r="AB16" s="9">
        <f>VLOOKUP(A:A,[1]TDSheet!$A:$AA,27,0)</f>
        <v>29.545400000000001</v>
      </c>
      <c r="AC16" s="9">
        <f>VLOOKUP(A:A,[1]TDSheet!$A:$R,18,0)</f>
        <v>27.542200000000001</v>
      </c>
      <c r="AD16" s="9">
        <f>VLOOKUP(A:A,[1]TDSheet!$A:$AB,28,0)</f>
        <v>0</v>
      </c>
      <c r="AE16" s="9">
        <f t="shared" si="9"/>
        <v>90</v>
      </c>
      <c r="AF16" s="9">
        <f t="shared" si="10"/>
        <v>90</v>
      </c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</row>
    <row r="17" spans="1:83" ht="11.1" customHeight="1" x14ac:dyDescent="0.2">
      <c r="A17" s="7" t="s">
        <v>17</v>
      </c>
      <c r="B17" s="7" t="s">
        <v>12</v>
      </c>
      <c r="C17" s="7">
        <f>VLOOKUP(A:A,[1]TDSheet!$A:$C,3,0)</f>
        <v>4813</v>
      </c>
      <c r="D17" s="8">
        <v>410.22300000000001</v>
      </c>
      <c r="E17" s="8">
        <v>947.46699999999998</v>
      </c>
      <c r="F17" s="8">
        <v>517.26499999999999</v>
      </c>
      <c r="G17" s="8">
        <v>740.43</v>
      </c>
      <c r="H17" s="22">
        <f>VLOOKUP(A:A,[1]TDSheet!$A:$H,8,0)</f>
        <v>1</v>
      </c>
      <c r="I17" s="9">
        <f>VLOOKUP(A:A,[1]TDSheet!$A:$I,9,0)</f>
        <v>60</v>
      </c>
      <c r="J17" s="9" t="str">
        <f>VLOOKUP(A:A,[1]TDSheet!$A:$J,10,0)</f>
        <v>в матрице</v>
      </c>
      <c r="K17" s="9"/>
      <c r="L17" s="9">
        <f>VLOOKUP(A:A,[2]TDSheet!$A:$B,2,0)</f>
        <v>517.83199999999999</v>
      </c>
      <c r="M17" s="9">
        <f t="shared" si="3"/>
        <v>-0.56700000000000728</v>
      </c>
      <c r="N17" s="9"/>
      <c r="O17" s="9"/>
      <c r="P17" s="9">
        <f>VLOOKUP(A:A,[1]TDSheet!$A:$S,19,0)</f>
        <v>65</v>
      </c>
      <c r="Q17" s="9">
        <v>65</v>
      </c>
      <c r="R17" s="9">
        <f t="shared" si="4"/>
        <v>103.453</v>
      </c>
      <c r="S17" s="45">
        <v>580</v>
      </c>
      <c r="T17" s="23">
        <f t="shared" si="5"/>
        <v>290</v>
      </c>
      <c r="U17" s="23">
        <f t="shared" si="6"/>
        <v>290</v>
      </c>
      <c r="V17" s="23"/>
      <c r="W17" s="9">
        <f>VLOOKUP(A:A,[3]TDSheet!$A:$U,21,0)</f>
        <v>0</v>
      </c>
      <c r="X17" s="9">
        <f t="shared" si="7"/>
        <v>14.020183078306088</v>
      </c>
      <c r="Y17" s="9">
        <f t="shared" si="8"/>
        <v>7.1571631562158657</v>
      </c>
      <c r="Z17" s="9">
        <f>VLOOKUP(A:A,[1]TDSheet!$A:$Y,25,0)</f>
        <v>79.201400000000007</v>
      </c>
      <c r="AA17" s="9">
        <f>VLOOKUP(A:A,[1]TDSheet!$A:$Z,26,0)</f>
        <v>95.4328</v>
      </c>
      <c r="AB17" s="9">
        <f>VLOOKUP(A:A,[1]TDSheet!$A:$AA,27,0)</f>
        <v>114.4444</v>
      </c>
      <c r="AC17" s="9">
        <f>VLOOKUP(A:A,[1]TDSheet!$A:$R,18,0)</f>
        <v>86.782200000000003</v>
      </c>
      <c r="AD17" s="9">
        <f>VLOOKUP(A:A,[1]TDSheet!$A:$AB,28,0)</f>
        <v>0</v>
      </c>
      <c r="AE17" s="9">
        <f t="shared" si="9"/>
        <v>290</v>
      </c>
      <c r="AF17" s="9">
        <f t="shared" si="10"/>
        <v>290</v>
      </c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</row>
    <row r="18" spans="1:83" ht="11.1" customHeight="1" x14ac:dyDescent="0.2">
      <c r="A18" s="7" t="s">
        <v>18</v>
      </c>
      <c r="B18" s="7" t="s">
        <v>10</v>
      </c>
      <c r="C18" s="7">
        <f>VLOOKUP(A:A,[1]TDSheet!$A:$C,3,0)</f>
        <v>4993</v>
      </c>
      <c r="D18" s="8">
        <v>26</v>
      </c>
      <c r="E18" s="8">
        <v>208</v>
      </c>
      <c r="F18" s="8">
        <v>100.486</v>
      </c>
      <c r="G18" s="8">
        <v>129</v>
      </c>
      <c r="H18" s="22">
        <f>VLOOKUP(A:A,[1]TDSheet!$A:$H,8,0)</f>
        <v>0.25</v>
      </c>
      <c r="I18" s="9">
        <f>VLOOKUP(A:A,[1]TDSheet!$A:$I,9,0)</f>
        <v>120</v>
      </c>
      <c r="J18" s="9" t="str">
        <f>VLOOKUP(A:A,[1]TDSheet!$A:$J,10,0)</f>
        <v>ВНИМАНИЕ / в матрице</v>
      </c>
      <c r="K18" s="9"/>
      <c r="L18" s="9">
        <f>VLOOKUP(A:A,[2]TDSheet!$A:$B,2,0)</f>
        <v>101</v>
      </c>
      <c r="M18" s="9">
        <f t="shared" si="3"/>
        <v>-0.51399999999999579</v>
      </c>
      <c r="N18" s="9"/>
      <c r="O18" s="9"/>
      <c r="P18" s="9">
        <f>VLOOKUP(A:A,[1]TDSheet!$A:$S,19,0)</f>
        <v>0</v>
      </c>
      <c r="Q18" s="9">
        <v>0</v>
      </c>
      <c r="R18" s="9">
        <f t="shared" si="4"/>
        <v>20.097200000000001</v>
      </c>
      <c r="S18" s="45">
        <v>150</v>
      </c>
      <c r="T18" s="23">
        <f t="shared" si="5"/>
        <v>75</v>
      </c>
      <c r="U18" s="23">
        <f t="shared" si="6"/>
        <v>75</v>
      </c>
      <c r="V18" s="23"/>
      <c r="W18" s="9">
        <f>VLOOKUP(A:A,[3]TDSheet!$A:$U,21,0)</f>
        <v>0</v>
      </c>
      <c r="X18" s="9">
        <f t="shared" si="7"/>
        <v>13.882530899826842</v>
      </c>
      <c r="Y18" s="9">
        <f t="shared" si="8"/>
        <v>6.4188046095973563</v>
      </c>
      <c r="Z18" s="9">
        <f>VLOOKUP(A:A,[1]TDSheet!$A:$Y,25,0)</f>
        <v>15.8</v>
      </c>
      <c r="AA18" s="9">
        <f>VLOOKUP(A:A,[1]TDSheet!$A:$Z,26,0)</f>
        <v>13.2</v>
      </c>
      <c r="AB18" s="9">
        <f>VLOOKUP(A:A,[1]TDSheet!$A:$AA,27,0)</f>
        <v>23</v>
      </c>
      <c r="AC18" s="9">
        <f>VLOOKUP(A:A,[1]TDSheet!$A:$R,18,0)</f>
        <v>14.2</v>
      </c>
      <c r="AD18" s="9" t="str">
        <f>VLOOKUP(A:A,[1]TDSheet!$A:$AB,28,0)</f>
        <v>Обжора / Паллет</v>
      </c>
      <c r="AE18" s="9">
        <f t="shared" si="9"/>
        <v>18.75</v>
      </c>
      <c r="AF18" s="9">
        <f t="shared" si="10"/>
        <v>18.75</v>
      </c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/>
    </row>
    <row r="19" spans="1:83" ht="11.1" customHeight="1" x14ac:dyDescent="0.2">
      <c r="A19" s="7" t="s">
        <v>19</v>
      </c>
      <c r="B19" s="7" t="s">
        <v>12</v>
      </c>
      <c r="C19" s="7">
        <f>VLOOKUP(A:A,[1]TDSheet!$A:$C,3,0)</f>
        <v>5452</v>
      </c>
      <c r="D19" s="8">
        <v>74.631</v>
      </c>
      <c r="E19" s="8">
        <v>85.763000000000005</v>
      </c>
      <c r="F19" s="8">
        <v>65.414000000000001</v>
      </c>
      <c r="G19" s="8">
        <v>64.863</v>
      </c>
      <c r="H19" s="22">
        <f>VLOOKUP(A:A,[1]TDSheet!$A:$H,8,0)</f>
        <v>1</v>
      </c>
      <c r="I19" s="9">
        <f>VLOOKUP(A:A,[1]TDSheet!$A:$I,9,0)</f>
        <v>60</v>
      </c>
      <c r="J19" s="9" t="str">
        <f>VLOOKUP(A:A,[1]TDSheet!$A:$J,10,0)</f>
        <v>в матрице</v>
      </c>
      <c r="K19" s="9"/>
      <c r="L19" s="9">
        <f>VLOOKUP(A:A,[2]TDSheet!$A:$B,2,0)</f>
        <v>62.4</v>
      </c>
      <c r="M19" s="9">
        <f t="shared" si="3"/>
        <v>3.0140000000000029</v>
      </c>
      <c r="N19" s="9"/>
      <c r="O19" s="9"/>
      <c r="P19" s="9">
        <f>VLOOKUP(A:A,[1]TDSheet!$A:$S,19,0)</f>
        <v>17.5</v>
      </c>
      <c r="Q19" s="9">
        <v>17.5</v>
      </c>
      <c r="R19" s="9">
        <f t="shared" si="4"/>
        <v>13.082800000000001</v>
      </c>
      <c r="S19" s="45">
        <v>80</v>
      </c>
      <c r="T19" s="23">
        <f t="shared" si="5"/>
        <v>40</v>
      </c>
      <c r="U19" s="23">
        <f t="shared" si="6"/>
        <v>40</v>
      </c>
      <c r="V19" s="23"/>
      <c r="W19" s="9">
        <f>VLOOKUP(A:A,[3]TDSheet!$A:$U,21,0)</f>
        <v>0</v>
      </c>
      <c r="X19" s="9">
        <f t="shared" si="7"/>
        <v>13.748050875959274</v>
      </c>
      <c r="Y19" s="9">
        <f t="shared" si="8"/>
        <v>4.9578836334729566</v>
      </c>
      <c r="Z19" s="9">
        <f>VLOOKUP(A:A,[1]TDSheet!$A:$Y,25,0)</f>
        <v>7.8231999999999999</v>
      </c>
      <c r="AA19" s="9">
        <f>VLOOKUP(A:A,[1]TDSheet!$A:$Z,26,0)</f>
        <v>13.077400000000001</v>
      </c>
      <c r="AB19" s="9">
        <f>VLOOKUP(A:A,[1]TDSheet!$A:$AA,27,0)</f>
        <v>11.439400000000001</v>
      </c>
      <c r="AC19" s="9">
        <f>VLOOKUP(A:A,[1]TDSheet!$A:$R,18,0)</f>
        <v>10.8256</v>
      </c>
      <c r="AD19" s="9">
        <f>VLOOKUP(A:A,[1]TDSheet!$A:$AB,28,0)</f>
        <v>0</v>
      </c>
      <c r="AE19" s="9">
        <f t="shared" si="9"/>
        <v>40</v>
      </c>
      <c r="AF19" s="9">
        <f t="shared" si="10"/>
        <v>40</v>
      </c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</row>
    <row r="20" spans="1:83" ht="11.1" customHeight="1" x14ac:dyDescent="0.2">
      <c r="A20" s="24" t="s">
        <v>20</v>
      </c>
      <c r="B20" s="24" t="s">
        <v>10</v>
      </c>
      <c r="C20" s="24">
        <f>VLOOKUP(A:A,[1]TDSheet!$A:$C,3,0)</f>
        <v>5483</v>
      </c>
      <c r="D20" s="25">
        <v>573</v>
      </c>
      <c r="E20" s="25">
        <v>25</v>
      </c>
      <c r="F20" s="25">
        <v>68</v>
      </c>
      <c r="G20" s="25">
        <v>499</v>
      </c>
      <c r="H20" s="26">
        <f>VLOOKUP(A:A,[1]TDSheet!$A:$H,8,0)</f>
        <v>0.25</v>
      </c>
      <c r="I20" s="27">
        <f>VLOOKUP(A:A,[1]TDSheet!$A:$I,9,0)</f>
        <v>120</v>
      </c>
      <c r="J20" s="27" t="str">
        <f>VLOOKUP(A:A,[1]TDSheet!$A:$J,10,0)</f>
        <v>в матрице</v>
      </c>
      <c r="K20" s="9"/>
      <c r="L20" s="9">
        <f>VLOOKUP(A:A,[2]TDSheet!$A:$B,2,0)</f>
        <v>70</v>
      </c>
      <c r="M20" s="9">
        <f t="shared" si="3"/>
        <v>-2</v>
      </c>
      <c r="N20" s="9"/>
      <c r="O20" s="9"/>
      <c r="P20" s="9">
        <f>VLOOKUP(A:A,[1]TDSheet!$A:$S,19,0)</f>
        <v>0</v>
      </c>
      <c r="Q20" s="9">
        <v>0</v>
      </c>
      <c r="R20" s="9">
        <f t="shared" si="4"/>
        <v>13.6</v>
      </c>
      <c r="S20" s="45"/>
      <c r="T20" s="23">
        <f t="shared" si="5"/>
        <v>0</v>
      </c>
      <c r="U20" s="23">
        <f t="shared" si="6"/>
        <v>0</v>
      </c>
      <c r="V20" s="23"/>
      <c r="W20" s="9">
        <f>VLOOKUP(A:A,[3]TDSheet!$A:$U,21,0)</f>
        <v>0</v>
      </c>
      <c r="X20" s="9">
        <f t="shared" si="7"/>
        <v>36.691176470588239</v>
      </c>
      <c r="Y20" s="9">
        <f t="shared" si="8"/>
        <v>36.691176470588239</v>
      </c>
      <c r="Z20" s="9">
        <f>VLOOKUP(A:A,[1]TDSheet!$A:$Y,25,0)</f>
        <v>61</v>
      </c>
      <c r="AA20" s="9">
        <f>VLOOKUP(A:A,[1]TDSheet!$A:$Z,26,0)</f>
        <v>10.4</v>
      </c>
      <c r="AB20" s="9">
        <f>VLOOKUP(A:A,[1]TDSheet!$A:$AA,27,0)</f>
        <v>34</v>
      </c>
      <c r="AC20" s="9">
        <f>VLOOKUP(A:A,[1]TDSheet!$A:$R,18,0)</f>
        <v>20.2</v>
      </c>
      <c r="AD20" s="9" t="str">
        <f>VLOOKUP(A:A,[1]TDSheet!$A:$AB,28,0)</f>
        <v>Обжора / Паллет</v>
      </c>
      <c r="AE20" s="9">
        <f t="shared" si="9"/>
        <v>0</v>
      </c>
      <c r="AF20" s="9">
        <f t="shared" si="10"/>
        <v>0</v>
      </c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</row>
    <row r="21" spans="1:83" ht="11.1" customHeight="1" x14ac:dyDescent="0.2">
      <c r="A21" s="7" t="s">
        <v>21</v>
      </c>
      <c r="B21" s="7" t="s">
        <v>10</v>
      </c>
      <c r="C21" s="7">
        <f>VLOOKUP(A:A,[1]TDSheet!$A:$C,3,0)</f>
        <v>5495</v>
      </c>
      <c r="D21" s="8">
        <v>456</v>
      </c>
      <c r="E21" s="8">
        <v>479</v>
      </c>
      <c r="F21" s="8">
        <v>452</v>
      </c>
      <c r="G21" s="8">
        <v>396</v>
      </c>
      <c r="H21" s="22">
        <f>VLOOKUP(A:A,[1]TDSheet!$A:$H,8,0)</f>
        <v>0.4</v>
      </c>
      <c r="I21" s="9">
        <f>VLOOKUP(A:A,[1]TDSheet!$A:$I,9,0)</f>
        <v>60</v>
      </c>
      <c r="J21" s="9" t="str">
        <f>VLOOKUP(A:A,[1]TDSheet!$A:$J,10,0)</f>
        <v>в матрице</v>
      </c>
      <c r="K21" s="9"/>
      <c r="L21" s="9">
        <f>VLOOKUP(A:A,[2]TDSheet!$A:$B,2,0)</f>
        <v>461</v>
      </c>
      <c r="M21" s="9">
        <f t="shared" si="3"/>
        <v>-9</v>
      </c>
      <c r="N21" s="9"/>
      <c r="O21" s="9"/>
      <c r="P21" s="9">
        <f>VLOOKUP(A:A,[1]TDSheet!$A:$S,19,0)</f>
        <v>270</v>
      </c>
      <c r="Q21" s="9">
        <v>270</v>
      </c>
      <c r="R21" s="9">
        <f t="shared" si="4"/>
        <v>90.4</v>
      </c>
      <c r="S21" s="45">
        <v>330</v>
      </c>
      <c r="T21" s="23">
        <f t="shared" si="5"/>
        <v>165</v>
      </c>
      <c r="U21" s="23">
        <f t="shared" si="6"/>
        <v>165</v>
      </c>
      <c r="V21" s="23"/>
      <c r="W21" s="9">
        <f>VLOOKUP(A:A,[3]TDSheet!$A:$U,21,0)</f>
        <v>0</v>
      </c>
      <c r="X21" s="9">
        <f t="shared" si="7"/>
        <v>14.004424778761061</v>
      </c>
      <c r="Y21" s="9">
        <f t="shared" si="8"/>
        <v>4.3805309734513269</v>
      </c>
      <c r="Z21" s="9">
        <f>VLOOKUP(A:A,[1]TDSheet!$A:$Y,25,0)</f>
        <v>68</v>
      </c>
      <c r="AA21" s="9">
        <f>VLOOKUP(A:A,[1]TDSheet!$A:$Z,26,0)</f>
        <v>82.4</v>
      </c>
      <c r="AB21" s="9">
        <f>VLOOKUP(A:A,[1]TDSheet!$A:$AA,27,0)</f>
        <v>65.400000000000006</v>
      </c>
      <c r="AC21" s="9">
        <f>VLOOKUP(A:A,[1]TDSheet!$A:$R,18,0)</f>
        <v>74.8</v>
      </c>
      <c r="AD21" s="9" t="str">
        <f>VLOOKUP(A:A,[1]TDSheet!$A:$AB,28,0)</f>
        <v>Обжора / Паллет / 19,01,26 завод не отгрузил 250шт.</v>
      </c>
      <c r="AE21" s="9">
        <f t="shared" si="9"/>
        <v>66</v>
      </c>
      <c r="AF21" s="9">
        <f t="shared" si="10"/>
        <v>66</v>
      </c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</row>
    <row r="22" spans="1:83" ht="11.1" customHeight="1" x14ac:dyDescent="0.2">
      <c r="A22" s="7" t="s">
        <v>22</v>
      </c>
      <c r="B22" s="7" t="s">
        <v>12</v>
      </c>
      <c r="C22" s="7">
        <f>VLOOKUP(A:A,[1]TDSheet!$A:$C,3,0)</f>
        <v>5544</v>
      </c>
      <c r="D22" s="8">
        <v>241.53399999999999</v>
      </c>
      <c r="E22" s="8">
        <v>592.40599999999995</v>
      </c>
      <c r="F22" s="8">
        <v>381.92700000000002</v>
      </c>
      <c r="G22" s="8">
        <v>392.62599999999998</v>
      </c>
      <c r="H22" s="22">
        <f>VLOOKUP(A:A,[1]TDSheet!$A:$H,8,0)</f>
        <v>1</v>
      </c>
      <c r="I22" s="9">
        <f>VLOOKUP(A:A,[1]TDSheet!$A:$I,9,0)</f>
        <v>45</v>
      </c>
      <c r="J22" s="9" t="str">
        <f>VLOOKUP(A:A,[1]TDSheet!$A:$J,10,0)</f>
        <v>в матрице</v>
      </c>
      <c r="K22" s="9"/>
      <c r="L22" s="9">
        <f>VLOOKUP(A:A,[2]TDSheet!$A:$B,2,0)</f>
        <v>372.71</v>
      </c>
      <c r="M22" s="9">
        <f t="shared" si="3"/>
        <v>9.2170000000000414</v>
      </c>
      <c r="N22" s="9"/>
      <c r="O22" s="9"/>
      <c r="P22" s="9">
        <f>VLOOKUP(A:A,[1]TDSheet!$A:$S,19,0)</f>
        <v>225</v>
      </c>
      <c r="Q22" s="9">
        <v>225</v>
      </c>
      <c r="R22" s="9">
        <f t="shared" si="4"/>
        <v>76.385400000000004</v>
      </c>
      <c r="S22" s="45">
        <v>230</v>
      </c>
      <c r="T22" s="23">
        <f t="shared" si="5"/>
        <v>115</v>
      </c>
      <c r="U22" s="23">
        <f t="shared" si="6"/>
        <v>115</v>
      </c>
      <c r="V22" s="23"/>
      <c r="W22" s="9">
        <f>VLOOKUP(A:A,[3]TDSheet!$A:$U,21,0)</f>
        <v>0</v>
      </c>
      <c r="X22" s="9">
        <f t="shared" si="7"/>
        <v>14.04229080426364</v>
      </c>
      <c r="Y22" s="9">
        <f t="shared" si="8"/>
        <v>5.1400660335613866</v>
      </c>
      <c r="Z22" s="9">
        <f>VLOOKUP(A:A,[1]TDSheet!$A:$Y,25,0)</f>
        <v>56.423400000000001</v>
      </c>
      <c r="AA22" s="9">
        <f>VLOOKUP(A:A,[1]TDSheet!$A:$Z,26,0)</f>
        <v>67.234400000000008</v>
      </c>
      <c r="AB22" s="9">
        <f>VLOOKUP(A:A,[1]TDSheet!$A:$AA,27,0)</f>
        <v>65.8172</v>
      </c>
      <c r="AC22" s="9">
        <f>VLOOKUP(A:A,[1]TDSheet!$A:$R,18,0)</f>
        <v>70.875</v>
      </c>
      <c r="AD22" s="9">
        <f>VLOOKUP(A:A,[1]TDSheet!$A:$AB,28,0)</f>
        <v>0</v>
      </c>
      <c r="AE22" s="9">
        <f t="shared" si="9"/>
        <v>115</v>
      </c>
      <c r="AF22" s="9">
        <f t="shared" si="10"/>
        <v>115</v>
      </c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  <c r="BY22" s="9"/>
      <c r="BZ22" s="9"/>
      <c r="CA22" s="9"/>
      <c r="CB22" s="9"/>
      <c r="CC22" s="9"/>
      <c r="CD22" s="9"/>
      <c r="CE22" s="9"/>
    </row>
    <row r="23" spans="1:83" ht="11.1" customHeight="1" x14ac:dyDescent="0.2">
      <c r="A23" s="7" t="s">
        <v>23</v>
      </c>
      <c r="B23" s="7" t="s">
        <v>12</v>
      </c>
      <c r="C23" s="7">
        <f>VLOOKUP(A:A,[1]TDSheet!$A:$C,3,0)</f>
        <v>5708</v>
      </c>
      <c r="D23" s="10"/>
      <c r="E23" s="8">
        <v>20.079999999999998</v>
      </c>
      <c r="F23" s="8">
        <v>3.411</v>
      </c>
      <c r="G23" s="8">
        <v>12.151999999999999</v>
      </c>
      <c r="H23" s="22">
        <f>VLOOKUP(A:A,[1]TDSheet!$A:$H,8,0)</f>
        <v>1</v>
      </c>
      <c r="I23" s="9">
        <f>VLOOKUP(A:A,[1]TDSheet!$A:$I,9,0)</f>
        <v>120</v>
      </c>
      <c r="J23" s="9" t="str">
        <f>VLOOKUP(A:A,[1]TDSheet!$A:$J,10,0)</f>
        <v>в матрице</v>
      </c>
      <c r="K23" s="9"/>
      <c r="L23" s="9">
        <f>VLOOKUP(A:A,[2]TDSheet!$A:$B,2,0)</f>
        <v>20.626000000000001</v>
      </c>
      <c r="M23" s="9">
        <f t="shared" si="3"/>
        <v>-17.215</v>
      </c>
      <c r="N23" s="9"/>
      <c r="O23" s="9"/>
      <c r="P23" s="9">
        <f>VLOOKUP(A:A,[1]TDSheet!$A:$S,19,0)</f>
        <v>12.5</v>
      </c>
      <c r="Q23" s="9">
        <v>12.5</v>
      </c>
      <c r="R23" s="9">
        <f t="shared" si="4"/>
        <v>0.68220000000000003</v>
      </c>
      <c r="S23" s="45"/>
      <c r="T23" s="23">
        <f t="shared" si="5"/>
        <v>0</v>
      </c>
      <c r="U23" s="23">
        <f t="shared" si="6"/>
        <v>0</v>
      </c>
      <c r="V23" s="23"/>
      <c r="W23" s="9">
        <f>VLOOKUP(A:A,[3]TDSheet!$A:$U,21,0)</f>
        <v>0</v>
      </c>
      <c r="X23" s="9">
        <f t="shared" si="7"/>
        <v>54.459102902374667</v>
      </c>
      <c r="Y23" s="9">
        <f t="shared" si="8"/>
        <v>17.812958076810318</v>
      </c>
      <c r="Z23" s="9">
        <f>VLOOKUP(A:A,[1]TDSheet!$A:$Y,25,0)</f>
        <v>2.8746</v>
      </c>
      <c r="AA23" s="9">
        <f>VLOOKUP(A:A,[1]TDSheet!$A:$Z,26,0)</f>
        <v>0.99380000000000002</v>
      </c>
      <c r="AB23" s="9">
        <f>VLOOKUP(A:A,[1]TDSheet!$A:$AA,27,0)</f>
        <v>3.379</v>
      </c>
      <c r="AC23" s="9">
        <f>VLOOKUP(A:A,[1]TDSheet!$A:$R,18,0)</f>
        <v>9.8799999999999999E-2</v>
      </c>
      <c r="AD23" s="9">
        <f>VLOOKUP(A:A,[1]TDSheet!$A:$AB,28,0)</f>
        <v>0</v>
      </c>
      <c r="AE23" s="9">
        <f t="shared" si="9"/>
        <v>0</v>
      </c>
      <c r="AF23" s="9">
        <f t="shared" si="10"/>
        <v>0</v>
      </c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</row>
    <row r="24" spans="1:83" ht="11.1" customHeight="1" x14ac:dyDescent="0.2">
      <c r="A24" s="7" t="s">
        <v>24</v>
      </c>
      <c r="B24" s="7" t="s">
        <v>10</v>
      </c>
      <c r="C24" s="7">
        <f>VLOOKUP(A:A,[1]TDSheet!$A:$C,3,0)</f>
        <v>5819</v>
      </c>
      <c r="D24" s="8">
        <v>73</v>
      </c>
      <c r="E24" s="8">
        <v>609</v>
      </c>
      <c r="F24" s="8">
        <v>283</v>
      </c>
      <c r="G24" s="8">
        <v>397</v>
      </c>
      <c r="H24" s="22">
        <f>VLOOKUP(A:A,[1]TDSheet!$A:$H,8,0)</f>
        <v>0.4</v>
      </c>
      <c r="I24" s="9">
        <f>VLOOKUP(A:A,[1]TDSheet!$A:$I,9,0)</f>
        <v>45</v>
      </c>
      <c r="J24" s="9" t="str">
        <f>VLOOKUP(A:A,[1]TDSheet!$A:$J,10,0)</f>
        <v>в матрице</v>
      </c>
      <c r="K24" s="9"/>
      <c r="L24" s="9">
        <f>VLOOKUP(A:A,[2]TDSheet!$A:$B,2,0)</f>
        <v>284</v>
      </c>
      <c r="M24" s="9">
        <f t="shared" si="3"/>
        <v>-1</v>
      </c>
      <c r="N24" s="9"/>
      <c r="O24" s="9"/>
      <c r="P24" s="9">
        <f>VLOOKUP(A:A,[1]TDSheet!$A:$S,19,0)</f>
        <v>275</v>
      </c>
      <c r="Q24" s="9">
        <v>275</v>
      </c>
      <c r="R24" s="9">
        <f t="shared" si="4"/>
        <v>56.6</v>
      </c>
      <c r="S24" s="45"/>
      <c r="T24" s="23">
        <f t="shared" si="5"/>
        <v>0</v>
      </c>
      <c r="U24" s="23">
        <f t="shared" si="6"/>
        <v>0</v>
      </c>
      <c r="V24" s="23"/>
      <c r="W24" s="9">
        <f>VLOOKUP(A:A,[3]TDSheet!$A:$U,21,0)</f>
        <v>0</v>
      </c>
      <c r="X24" s="9">
        <f t="shared" si="7"/>
        <v>16.731448763250881</v>
      </c>
      <c r="Y24" s="9">
        <f t="shared" si="8"/>
        <v>7.0141342756183747</v>
      </c>
      <c r="Z24" s="9">
        <f>VLOOKUP(A:A,[1]TDSheet!$A:$Y,25,0)</f>
        <v>67.400000000000006</v>
      </c>
      <c r="AA24" s="9">
        <f>VLOOKUP(A:A,[1]TDSheet!$A:$Z,26,0)</f>
        <v>44</v>
      </c>
      <c r="AB24" s="9">
        <f>VLOOKUP(A:A,[1]TDSheet!$A:$AA,27,0)</f>
        <v>55</v>
      </c>
      <c r="AC24" s="9">
        <f>VLOOKUP(A:A,[1]TDSheet!$A:$R,18,0)</f>
        <v>71.2</v>
      </c>
      <c r="AD24" s="9" t="str">
        <f>VLOOKUP(A:A,[1]TDSheet!$A:$AB,28,0)</f>
        <v>Обжора / Паллет</v>
      </c>
      <c r="AE24" s="9">
        <f t="shared" si="9"/>
        <v>0</v>
      </c>
      <c r="AF24" s="9">
        <f t="shared" si="10"/>
        <v>0</v>
      </c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  <c r="BW24" s="9"/>
      <c r="BX24" s="9"/>
      <c r="BY24" s="9"/>
      <c r="BZ24" s="9"/>
      <c r="CA24" s="9"/>
      <c r="CB24" s="9"/>
      <c r="CC24" s="9"/>
      <c r="CD24" s="9"/>
      <c r="CE24" s="9"/>
    </row>
    <row r="25" spans="1:83" ht="11.1" customHeight="1" x14ac:dyDescent="0.2">
      <c r="A25" s="7" t="s">
        <v>25</v>
      </c>
      <c r="B25" s="7" t="s">
        <v>12</v>
      </c>
      <c r="C25" s="7">
        <f>VLOOKUP(A:A,[1]TDSheet!$A:$C,3,0)</f>
        <v>5851</v>
      </c>
      <c r="D25" s="8">
        <v>235.44800000000001</v>
      </c>
      <c r="E25" s="8">
        <v>540.44200000000001</v>
      </c>
      <c r="F25" s="8">
        <v>342.51299999999998</v>
      </c>
      <c r="G25" s="8">
        <v>370.75599999999997</v>
      </c>
      <c r="H25" s="22">
        <f>VLOOKUP(A:A,[1]TDSheet!$A:$H,8,0)</f>
        <v>1</v>
      </c>
      <c r="I25" s="9">
        <f>VLOOKUP(A:A,[1]TDSheet!$A:$I,9,0)</f>
        <v>60</v>
      </c>
      <c r="J25" s="9" t="str">
        <f>VLOOKUP(A:A,[1]TDSheet!$A:$J,10,0)</f>
        <v>в матрице</v>
      </c>
      <c r="K25" s="9"/>
      <c r="L25" s="9">
        <f>VLOOKUP(A:A,[2]TDSheet!$A:$B,2,0)</f>
        <v>331.32299999999998</v>
      </c>
      <c r="M25" s="9">
        <f t="shared" si="3"/>
        <v>11.189999999999998</v>
      </c>
      <c r="N25" s="9"/>
      <c r="O25" s="9"/>
      <c r="P25" s="9">
        <f>VLOOKUP(A:A,[1]TDSheet!$A:$S,19,0)</f>
        <v>50</v>
      </c>
      <c r="Q25" s="9">
        <v>50</v>
      </c>
      <c r="R25" s="9">
        <f t="shared" si="4"/>
        <v>68.502600000000001</v>
      </c>
      <c r="S25" s="45">
        <v>490</v>
      </c>
      <c r="T25" s="23">
        <f t="shared" si="5"/>
        <v>245</v>
      </c>
      <c r="U25" s="23">
        <f t="shared" si="6"/>
        <v>245</v>
      </c>
      <c r="V25" s="23"/>
      <c r="W25" s="9">
        <f>VLOOKUP(A:A,[3]TDSheet!$A:$U,21,0)</f>
        <v>0</v>
      </c>
      <c r="X25" s="9">
        <f t="shared" si="7"/>
        <v>14.025102696831944</v>
      </c>
      <c r="Y25" s="9">
        <f t="shared" si="8"/>
        <v>5.4122909203446286</v>
      </c>
      <c r="Z25" s="9">
        <f>VLOOKUP(A:A,[1]TDSheet!$A:$Y,25,0)</f>
        <v>41.588000000000001</v>
      </c>
      <c r="AA25" s="9">
        <f>VLOOKUP(A:A,[1]TDSheet!$A:$Z,26,0)</f>
        <v>50.5824</v>
      </c>
      <c r="AB25" s="9">
        <f>VLOOKUP(A:A,[1]TDSheet!$A:$AA,27,0)</f>
        <v>56.876400000000004</v>
      </c>
      <c r="AC25" s="9">
        <f>VLOOKUP(A:A,[1]TDSheet!$A:$R,18,0)</f>
        <v>42.729599999999998</v>
      </c>
      <c r="AD25" s="9">
        <f>VLOOKUP(A:A,[1]TDSheet!$A:$AB,28,0)</f>
        <v>0</v>
      </c>
      <c r="AE25" s="9">
        <f t="shared" si="9"/>
        <v>245</v>
      </c>
      <c r="AF25" s="9">
        <f t="shared" si="10"/>
        <v>245</v>
      </c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  <c r="BY25" s="9"/>
      <c r="BZ25" s="9"/>
      <c r="CA25" s="9"/>
      <c r="CB25" s="9"/>
      <c r="CC25" s="9"/>
      <c r="CD25" s="9"/>
      <c r="CE25" s="9"/>
    </row>
    <row r="26" spans="1:83" ht="11.1" customHeight="1" x14ac:dyDescent="0.2">
      <c r="A26" s="7" t="s">
        <v>26</v>
      </c>
      <c r="B26" s="7" t="s">
        <v>10</v>
      </c>
      <c r="C26" s="7">
        <f>VLOOKUP(A:A,[1]TDSheet!$A:$C,3,0)</f>
        <v>5931</v>
      </c>
      <c r="D26" s="8">
        <v>131</v>
      </c>
      <c r="E26" s="8">
        <v>232</v>
      </c>
      <c r="F26" s="8">
        <v>220</v>
      </c>
      <c r="G26" s="8">
        <v>132</v>
      </c>
      <c r="H26" s="22">
        <f>VLOOKUP(A:A,[1]TDSheet!$A:$H,8,0)</f>
        <v>0.22</v>
      </c>
      <c r="I26" s="9">
        <f>VLOOKUP(A:A,[1]TDSheet!$A:$I,9,0)</f>
        <v>120</v>
      </c>
      <c r="J26" s="9" t="str">
        <f>VLOOKUP(A:A,[1]TDSheet!$A:$J,10,0)</f>
        <v>в матрице</v>
      </c>
      <c r="K26" s="9"/>
      <c r="L26" s="9">
        <f>VLOOKUP(A:A,[2]TDSheet!$A:$B,2,0)</f>
        <v>220</v>
      </c>
      <c r="M26" s="9">
        <f t="shared" si="3"/>
        <v>0</v>
      </c>
      <c r="N26" s="9"/>
      <c r="O26" s="9"/>
      <c r="P26" s="9">
        <f>VLOOKUP(A:A,[1]TDSheet!$A:$S,19,0)</f>
        <v>30</v>
      </c>
      <c r="Q26" s="9">
        <v>30</v>
      </c>
      <c r="R26" s="9">
        <f t="shared" si="4"/>
        <v>44</v>
      </c>
      <c r="S26" s="45">
        <v>430</v>
      </c>
      <c r="T26" s="23">
        <f t="shared" si="5"/>
        <v>215</v>
      </c>
      <c r="U26" s="23">
        <f t="shared" si="6"/>
        <v>215</v>
      </c>
      <c r="V26" s="23"/>
      <c r="W26" s="9">
        <f>VLOOKUP(A:A,[3]TDSheet!$A:$U,21,0)</f>
        <v>0</v>
      </c>
      <c r="X26" s="9">
        <f t="shared" si="7"/>
        <v>14.136363636363637</v>
      </c>
      <c r="Y26" s="9">
        <f t="shared" si="8"/>
        <v>3</v>
      </c>
      <c r="Z26" s="9">
        <f>VLOOKUP(A:A,[1]TDSheet!$A:$Y,25,0)</f>
        <v>26.4</v>
      </c>
      <c r="AA26" s="9">
        <f>VLOOKUP(A:A,[1]TDSheet!$A:$Z,26,0)</f>
        <v>17.2</v>
      </c>
      <c r="AB26" s="9">
        <f>VLOOKUP(A:A,[1]TDSheet!$A:$AA,27,0)</f>
        <v>28.8</v>
      </c>
      <c r="AC26" s="9">
        <f>VLOOKUP(A:A,[1]TDSheet!$A:$R,18,0)</f>
        <v>17.399999999999999</v>
      </c>
      <c r="AD26" s="9">
        <f>VLOOKUP(A:A,[1]TDSheet!$A:$AB,28,0)</f>
        <v>0</v>
      </c>
      <c r="AE26" s="9">
        <f t="shared" si="9"/>
        <v>47.3</v>
      </c>
      <c r="AF26" s="9">
        <f t="shared" si="10"/>
        <v>47.3</v>
      </c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  <c r="BY26" s="9"/>
      <c r="BZ26" s="9"/>
      <c r="CA26" s="9"/>
      <c r="CB26" s="9"/>
      <c r="CC26" s="9"/>
      <c r="CD26" s="9"/>
      <c r="CE26" s="9"/>
    </row>
    <row r="27" spans="1:83" ht="11.1" customHeight="1" x14ac:dyDescent="0.2">
      <c r="A27" s="24" t="s">
        <v>27</v>
      </c>
      <c r="B27" s="24" t="s">
        <v>10</v>
      </c>
      <c r="C27" s="24">
        <f>VLOOKUP(A:A,[1]TDSheet!$A:$C,3,0)</f>
        <v>6208</v>
      </c>
      <c r="D27" s="25">
        <v>90</v>
      </c>
      <c r="E27" s="25"/>
      <c r="F27" s="25">
        <v>11</v>
      </c>
      <c r="G27" s="25">
        <v>76</v>
      </c>
      <c r="H27" s="26">
        <f>VLOOKUP(A:A,[1]TDSheet!$A:$H,8,0)</f>
        <v>0.15</v>
      </c>
      <c r="I27" s="27">
        <f>VLOOKUP(A:A,[1]TDSheet!$A:$I,9,0)</f>
        <v>45</v>
      </c>
      <c r="J27" s="27" t="str">
        <f>VLOOKUP(A:A,[1]TDSheet!$A:$J,10,0)</f>
        <v>ВНИМАНИЕ / в матрице</v>
      </c>
      <c r="K27" s="9"/>
      <c r="L27" s="9">
        <f>VLOOKUP(A:A,[2]TDSheet!$A:$B,2,0)</f>
        <v>11</v>
      </c>
      <c r="M27" s="9">
        <f t="shared" si="3"/>
        <v>0</v>
      </c>
      <c r="N27" s="9"/>
      <c r="O27" s="9"/>
      <c r="P27" s="9">
        <f>VLOOKUP(A:A,[1]TDSheet!$A:$S,19,0)</f>
        <v>0</v>
      </c>
      <c r="Q27" s="9">
        <v>0</v>
      </c>
      <c r="R27" s="9">
        <f t="shared" si="4"/>
        <v>2.2000000000000002</v>
      </c>
      <c r="S27" s="45"/>
      <c r="T27" s="23">
        <f t="shared" si="5"/>
        <v>0</v>
      </c>
      <c r="U27" s="23">
        <f t="shared" si="6"/>
        <v>0</v>
      </c>
      <c r="V27" s="23"/>
      <c r="W27" s="9">
        <f>VLOOKUP(A:A,[3]TDSheet!$A:$U,21,0)</f>
        <v>0</v>
      </c>
      <c r="X27" s="9">
        <f t="shared" si="7"/>
        <v>34.54545454545454</v>
      </c>
      <c r="Y27" s="9">
        <f t="shared" si="8"/>
        <v>34.54545454545454</v>
      </c>
      <c r="Z27" s="9">
        <f>VLOOKUP(A:A,[1]TDSheet!$A:$Y,25,0)</f>
        <v>1.8</v>
      </c>
      <c r="AA27" s="9">
        <f>VLOOKUP(A:A,[1]TDSheet!$A:$Z,26,0)</f>
        <v>9</v>
      </c>
      <c r="AB27" s="9">
        <f>VLOOKUP(A:A,[1]TDSheet!$A:$AA,27,0)</f>
        <v>2.8</v>
      </c>
      <c r="AC27" s="9">
        <f>VLOOKUP(A:A,[1]TDSheet!$A:$R,18,0)</f>
        <v>4</v>
      </c>
      <c r="AD27" s="9" t="str">
        <f>VLOOKUP(A:A,[1]TDSheet!$A:$AB,28,0)</f>
        <v>остатки?</v>
      </c>
      <c r="AE27" s="9">
        <f t="shared" si="9"/>
        <v>0</v>
      </c>
      <c r="AF27" s="9">
        <f t="shared" si="10"/>
        <v>0</v>
      </c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  <c r="BW27" s="9"/>
      <c r="BX27" s="9"/>
      <c r="BY27" s="9"/>
      <c r="BZ27" s="9"/>
      <c r="CA27" s="9"/>
      <c r="CB27" s="9"/>
      <c r="CC27" s="9"/>
      <c r="CD27" s="9"/>
      <c r="CE27" s="9"/>
    </row>
    <row r="28" spans="1:83" ht="11.1" customHeight="1" x14ac:dyDescent="0.2">
      <c r="A28" s="7" t="s">
        <v>28</v>
      </c>
      <c r="B28" s="7" t="s">
        <v>12</v>
      </c>
      <c r="C28" s="7">
        <f>VLOOKUP(A:A,[1]TDSheet!$A:$C,3,0)</f>
        <v>6220</v>
      </c>
      <c r="D28" s="8">
        <v>240.21299999999999</v>
      </c>
      <c r="E28" s="8">
        <v>362.10199999999998</v>
      </c>
      <c r="F28" s="8">
        <v>361.02100000000002</v>
      </c>
      <c r="G28" s="8">
        <v>159.71600000000001</v>
      </c>
      <c r="H28" s="22">
        <f>VLOOKUP(A:A,[1]TDSheet!$A:$H,8,0)</f>
        <v>1</v>
      </c>
      <c r="I28" s="9">
        <f>VLOOKUP(A:A,[1]TDSheet!$A:$I,9,0)</f>
        <v>60</v>
      </c>
      <c r="J28" s="9" t="str">
        <f>VLOOKUP(A:A,[1]TDSheet!$A:$J,10,0)</f>
        <v>в матрице</v>
      </c>
      <c r="K28" s="9"/>
      <c r="L28" s="9">
        <f>VLOOKUP(A:A,[2]TDSheet!$A:$B,2,0)</f>
        <v>359.65800000000002</v>
      </c>
      <c r="M28" s="9">
        <f t="shared" si="3"/>
        <v>1.3629999999999995</v>
      </c>
      <c r="N28" s="9"/>
      <c r="O28" s="9"/>
      <c r="P28" s="9">
        <f>VLOOKUP(A:A,[1]TDSheet!$A:$S,19,0)</f>
        <v>100</v>
      </c>
      <c r="Q28" s="9">
        <v>100</v>
      </c>
      <c r="R28" s="9">
        <f t="shared" si="4"/>
        <v>72.2042</v>
      </c>
      <c r="S28" s="45">
        <v>650</v>
      </c>
      <c r="T28" s="23">
        <f t="shared" si="5"/>
        <v>325</v>
      </c>
      <c r="U28" s="23">
        <f t="shared" si="6"/>
        <v>325</v>
      </c>
      <c r="V28" s="23"/>
      <c r="W28" s="9">
        <f>VLOOKUP(A:A,[3]TDSheet!$A:$U,21,0)</f>
        <v>0</v>
      </c>
      <c r="X28" s="9">
        <f t="shared" si="7"/>
        <v>13.984172665856002</v>
      </c>
      <c r="Y28" s="9">
        <f t="shared" si="8"/>
        <v>2.2120042878392119</v>
      </c>
      <c r="Z28" s="9">
        <f>VLOOKUP(A:A,[1]TDSheet!$A:$Y,25,0)</f>
        <v>33.980000000000004</v>
      </c>
      <c r="AA28" s="9">
        <f>VLOOKUP(A:A,[1]TDSheet!$A:$Z,26,0)</f>
        <v>58.654399999999995</v>
      </c>
      <c r="AB28" s="9">
        <f>VLOOKUP(A:A,[1]TDSheet!$A:$AA,27,0)</f>
        <v>38.292200000000001</v>
      </c>
      <c r="AC28" s="9">
        <f>VLOOKUP(A:A,[1]TDSheet!$A:$R,18,0)</f>
        <v>37.873399999999997</v>
      </c>
      <c r="AD28" s="9" t="str">
        <f>VLOOKUP(A:A,[1]TDSheet!$A:$AB,28,0)</f>
        <v>новинка</v>
      </c>
      <c r="AE28" s="9">
        <f t="shared" si="9"/>
        <v>325</v>
      </c>
      <c r="AF28" s="9">
        <f t="shared" si="10"/>
        <v>325</v>
      </c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  <c r="BS28" s="9"/>
      <c r="BT28" s="9"/>
      <c r="BU28" s="9"/>
      <c r="BV28" s="9"/>
      <c r="BW28" s="9"/>
      <c r="BX28" s="9"/>
      <c r="BY28" s="9"/>
      <c r="BZ28" s="9"/>
      <c r="CA28" s="9"/>
      <c r="CB28" s="9"/>
      <c r="CC28" s="9"/>
      <c r="CD28" s="9"/>
      <c r="CE28" s="9"/>
    </row>
    <row r="29" spans="1:83" ht="11.1" customHeight="1" x14ac:dyDescent="0.2">
      <c r="A29" s="7" t="s">
        <v>29</v>
      </c>
      <c r="B29" s="7" t="s">
        <v>10</v>
      </c>
      <c r="C29" s="7">
        <f>VLOOKUP(A:A,[1]TDSheet!$A:$C,3,0)</f>
        <v>6221</v>
      </c>
      <c r="D29" s="8">
        <v>219</v>
      </c>
      <c r="E29" s="8">
        <v>800</v>
      </c>
      <c r="F29" s="8">
        <v>444</v>
      </c>
      <c r="G29" s="8">
        <v>551</v>
      </c>
      <c r="H29" s="22">
        <f>VLOOKUP(A:A,[1]TDSheet!$A:$H,8,0)</f>
        <v>0.09</v>
      </c>
      <c r="I29" s="9">
        <f>VLOOKUP(A:A,[1]TDSheet!$A:$I,9,0)</f>
        <v>60</v>
      </c>
      <c r="J29" s="9" t="str">
        <f>VLOOKUP(A:A,[1]TDSheet!$A:$J,10,0)</f>
        <v>ВНИМАНИЕ / в матрице</v>
      </c>
      <c r="K29" s="9"/>
      <c r="L29" s="9">
        <f>VLOOKUP(A:A,[2]TDSheet!$A:$B,2,0)</f>
        <v>455</v>
      </c>
      <c r="M29" s="9">
        <f t="shared" si="3"/>
        <v>-11</v>
      </c>
      <c r="N29" s="9"/>
      <c r="O29" s="9"/>
      <c r="P29" s="9">
        <f>VLOOKUP(A:A,[1]TDSheet!$A:$S,19,0)</f>
        <v>0</v>
      </c>
      <c r="Q29" s="9">
        <v>0</v>
      </c>
      <c r="R29" s="9">
        <f t="shared" si="4"/>
        <v>88.8</v>
      </c>
      <c r="S29" s="45">
        <v>690</v>
      </c>
      <c r="T29" s="23">
        <f t="shared" si="5"/>
        <v>345</v>
      </c>
      <c r="U29" s="23">
        <f t="shared" si="6"/>
        <v>345</v>
      </c>
      <c r="V29" s="23"/>
      <c r="W29" s="9">
        <f>VLOOKUP(A:A,[3]TDSheet!$A:$U,21,0)</f>
        <v>0</v>
      </c>
      <c r="X29" s="9">
        <f t="shared" si="7"/>
        <v>13.975225225225225</v>
      </c>
      <c r="Y29" s="9">
        <f t="shared" si="8"/>
        <v>6.204954954954955</v>
      </c>
      <c r="Z29" s="9">
        <f>VLOOKUP(A:A,[1]TDSheet!$A:$Y,25,0)</f>
        <v>72</v>
      </c>
      <c r="AA29" s="9">
        <f>VLOOKUP(A:A,[1]TDSheet!$A:$Z,26,0)</f>
        <v>76.599999999999994</v>
      </c>
      <c r="AB29" s="9">
        <f>VLOOKUP(A:A,[1]TDSheet!$A:$AA,27,0)</f>
        <v>96</v>
      </c>
      <c r="AC29" s="9">
        <f>VLOOKUP(A:A,[1]TDSheet!$A:$R,18,0)</f>
        <v>71.8</v>
      </c>
      <c r="AD29" s="9">
        <f>VLOOKUP(A:A,[1]TDSheet!$A:$AB,28,0)</f>
        <v>0</v>
      </c>
      <c r="AE29" s="9">
        <f t="shared" si="9"/>
        <v>31.049999999999997</v>
      </c>
      <c r="AF29" s="9">
        <f t="shared" si="10"/>
        <v>31.049999999999997</v>
      </c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</row>
    <row r="30" spans="1:83" ht="11.1" customHeight="1" x14ac:dyDescent="0.2">
      <c r="A30" s="7" t="s">
        <v>30</v>
      </c>
      <c r="B30" s="7" t="s">
        <v>10</v>
      </c>
      <c r="C30" s="7">
        <f>VLOOKUP(A:A,[1]TDSheet!$A:$C,3,0)</f>
        <v>6228</v>
      </c>
      <c r="D30" s="8">
        <v>29</v>
      </c>
      <c r="E30" s="8">
        <v>454</v>
      </c>
      <c r="F30" s="8">
        <v>204</v>
      </c>
      <c r="G30" s="8">
        <v>18</v>
      </c>
      <c r="H30" s="22">
        <f>VLOOKUP(A:A,[1]TDSheet!$A:$H,8,0)</f>
        <v>0.09</v>
      </c>
      <c r="I30" s="9">
        <f>VLOOKUP(A:A,[1]TDSheet!$A:$I,9,0)</f>
        <v>45</v>
      </c>
      <c r="J30" s="9" t="str">
        <f>VLOOKUP(A:A,[1]TDSheet!$A:$J,10,0)</f>
        <v>в матрице</v>
      </c>
      <c r="K30" s="9"/>
      <c r="L30" s="9">
        <f>VLOOKUP(A:A,[2]TDSheet!$A:$B,2,0)</f>
        <v>213</v>
      </c>
      <c r="M30" s="9">
        <f t="shared" si="3"/>
        <v>-9</v>
      </c>
      <c r="N30" s="9"/>
      <c r="O30" s="9"/>
      <c r="P30" s="9">
        <f>VLOOKUP(A:A,[1]TDSheet!$A:$S,19,0)</f>
        <v>25</v>
      </c>
      <c r="Q30" s="9">
        <v>25</v>
      </c>
      <c r="R30" s="9">
        <f t="shared" si="4"/>
        <v>40.799999999999997</v>
      </c>
      <c r="S30" s="45">
        <v>500</v>
      </c>
      <c r="T30" s="23">
        <f t="shared" si="5"/>
        <v>250</v>
      </c>
      <c r="U30" s="23">
        <f t="shared" si="6"/>
        <v>250</v>
      </c>
      <c r="V30" s="23"/>
      <c r="W30" s="9">
        <f>VLOOKUP(A:A,[3]TDSheet!$A:$U,21,0)</f>
        <v>0</v>
      </c>
      <c r="X30" s="9">
        <f t="shared" si="7"/>
        <v>13.921568627450981</v>
      </c>
      <c r="Y30" s="9">
        <f t="shared" si="8"/>
        <v>0.44117647058823534</v>
      </c>
      <c r="Z30" s="9">
        <f>VLOOKUP(A:A,[1]TDSheet!$A:$Y,25,0)</f>
        <v>19</v>
      </c>
      <c r="AA30" s="9">
        <f>VLOOKUP(A:A,[1]TDSheet!$A:$Z,26,0)</f>
        <v>14.8</v>
      </c>
      <c r="AB30" s="9">
        <f>VLOOKUP(A:A,[1]TDSheet!$A:$AA,27,0)</f>
        <v>20.2</v>
      </c>
      <c r="AC30" s="9">
        <f>VLOOKUP(A:A,[1]TDSheet!$A:$R,18,0)</f>
        <v>13.2</v>
      </c>
      <c r="AD30" s="9" t="str">
        <f>VLOOKUP(A:A,[1]TDSheet!$A:$AB,28,0)</f>
        <v>Обжора / Паллет</v>
      </c>
      <c r="AE30" s="9">
        <f t="shared" si="9"/>
        <v>22.5</v>
      </c>
      <c r="AF30" s="9">
        <f t="shared" si="10"/>
        <v>22.5</v>
      </c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  <c r="BY30" s="9"/>
      <c r="BZ30" s="9"/>
      <c r="CA30" s="9"/>
      <c r="CB30" s="9"/>
      <c r="CC30" s="9"/>
      <c r="CD30" s="9"/>
      <c r="CE30" s="9"/>
    </row>
    <row r="31" spans="1:83" ht="11.1" customHeight="1" x14ac:dyDescent="0.2">
      <c r="A31" s="7" t="s">
        <v>31</v>
      </c>
      <c r="B31" s="7" t="s">
        <v>10</v>
      </c>
      <c r="C31" s="7">
        <f>VLOOKUP(A:A,[1]TDSheet!$A:$C,3,0)</f>
        <v>6279</v>
      </c>
      <c r="D31" s="8">
        <v>98</v>
      </c>
      <c r="E31" s="8">
        <v>564</v>
      </c>
      <c r="F31" s="8">
        <v>147</v>
      </c>
      <c r="G31" s="8">
        <v>475</v>
      </c>
      <c r="H31" s="22">
        <f>VLOOKUP(A:A,[1]TDSheet!$A:$H,8,0)</f>
        <v>0.15</v>
      </c>
      <c r="I31" s="9">
        <f>VLOOKUP(A:A,[1]TDSheet!$A:$I,9,0)</f>
        <v>45</v>
      </c>
      <c r="J31" s="9" t="str">
        <f>VLOOKUP(A:A,[1]TDSheet!$A:$J,10,0)</f>
        <v>в матрице</v>
      </c>
      <c r="K31" s="9"/>
      <c r="L31" s="9">
        <f>VLOOKUP(A:A,[2]TDSheet!$A:$B,2,0)</f>
        <v>161</v>
      </c>
      <c r="M31" s="9">
        <f t="shared" si="3"/>
        <v>-14</v>
      </c>
      <c r="N31" s="9"/>
      <c r="O31" s="9"/>
      <c r="P31" s="9">
        <f>VLOOKUP(A:A,[1]TDSheet!$A:$S,19,0)</f>
        <v>0</v>
      </c>
      <c r="Q31" s="9">
        <v>0</v>
      </c>
      <c r="R31" s="9">
        <f t="shared" si="4"/>
        <v>29.4</v>
      </c>
      <c r="S31" s="45"/>
      <c r="T31" s="23">
        <f t="shared" si="5"/>
        <v>0</v>
      </c>
      <c r="U31" s="23">
        <f t="shared" si="6"/>
        <v>0</v>
      </c>
      <c r="V31" s="23"/>
      <c r="W31" s="9">
        <f>VLOOKUP(A:A,[3]TDSheet!$A:$U,21,0)</f>
        <v>0</v>
      </c>
      <c r="X31" s="9">
        <f t="shared" si="7"/>
        <v>16.156462585034014</v>
      </c>
      <c r="Y31" s="9">
        <f t="shared" si="8"/>
        <v>16.156462585034014</v>
      </c>
      <c r="Z31" s="9">
        <f>VLOOKUP(A:A,[1]TDSheet!$A:$Y,25,0)</f>
        <v>16.600000000000001</v>
      </c>
      <c r="AA31" s="9">
        <f>VLOOKUP(A:A,[1]TDSheet!$A:$Z,26,0)</f>
        <v>24.6</v>
      </c>
      <c r="AB31" s="9">
        <f>VLOOKUP(A:A,[1]TDSheet!$A:$AA,27,0)</f>
        <v>45.6</v>
      </c>
      <c r="AC31" s="9">
        <f>VLOOKUP(A:A,[1]TDSheet!$A:$R,18,0)</f>
        <v>6.2</v>
      </c>
      <c r="AD31" s="9" t="str">
        <f>VLOOKUP(A:A,[1]TDSheet!$A:$AB,28,0)</f>
        <v>Галактика</v>
      </c>
      <c r="AE31" s="9">
        <f t="shared" si="9"/>
        <v>0</v>
      </c>
      <c r="AF31" s="9">
        <f t="shared" si="10"/>
        <v>0</v>
      </c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</row>
    <row r="32" spans="1:83" ht="11.1" customHeight="1" x14ac:dyDescent="0.2">
      <c r="A32" s="7" t="s">
        <v>32</v>
      </c>
      <c r="B32" s="7" t="s">
        <v>12</v>
      </c>
      <c r="C32" s="7">
        <f>VLOOKUP(A:A,[1]TDSheet!$A:$C,3,0)</f>
        <v>6303</v>
      </c>
      <c r="D32" s="8">
        <v>205.36500000000001</v>
      </c>
      <c r="E32" s="8">
        <v>539.65800000000002</v>
      </c>
      <c r="F32" s="8">
        <v>368.84199999999998</v>
      </c>
      <c r="G32" s="8">
        <v>273.45999999999998</v>
      </c>
      <c r="H32" s="22">
        <f>VLOOKUP(A:A,[1]TDSheet!$A:$H,8,0)</f>
        <v>1</v>
      </c>
      <c r="I32" s="9">
        <f>VLOOKUP(A:A,[1]TDSheet!$A:$I,9,0)</f>
        <v>45</v>
      </c>
      <c r="J32" s="9" t="str">
        <f>VLOOKUP(A:A,[1]TDSheet!$A:$J,10,0)</f>
        <v>в матрице</v>
      </c>
      <c r="K32" s="9"/>
      <c r="L32" s="9">
        <f>VLOOKUP(A:A,[2]TDSheet!$A:$B,2,0)</f>
        <v>360.91199999999998</v>
      </c>
      <c r="M32" s="9">
        <f t="shared" si="3"/>
        <v>7.9300000000000068</v>
      </c>
      <c r="N32" s="9"/>
      <c r="O32" s="9"/>
      <c r="P32" s="9">
        <f>VLOOKUP(A:A,[1]TDSheet!$A:$S,19,0)</f>
        <v>210</v>
      </c>
      <c r="Q32" s="9">
        <v>210</v>
      </c>
      <c r="R32" s="9">
        <f t="shared" si="4"/>
        <v>73.7684</v>
      </c>
      <c r="S32" s="45">
        <v>340</v>
      </c>
      <c r="T32" s="23">
        <f t="shared" si="5"/>
        <v>170</v>
      </c>
      <c r="U32" s="23">
        <f t="shared" si="6"/>
        <v>170</v>
      </c>
      <c r="V32" s="23"/>
      <c r="W32" s="9">
        <f>VLOOKUP(A:A,[3]TDSheet!$A:$U,21,0)</f>
        <v>0</v>
      </c>
      <c r="X32" s="9">
        <f t="shared" si="7"/>
        <v>14.009521692215095</v>
      </c>
      <c r="Y32" s="9">
        <f t="shared" si="8"/>
        <v>3.707007336474696</v>
      </c>
      <c r="Z32" s="9">
        <f>VLOOKUP(A:A,[1]TDSheet!$A:$Y,25,0)</f>
        <v>25.926400000000001</v>
      </c>
      <c r="AA32" s="9">
        <f>VLOOKUP(A:A,[1]TDSheet!$A:$Z,26,0)</f>
        <v>46.323399999999999</v>
      </c>
      <c r="AB32" s="9">
        <f>VLOOKUP(A:A,[1]TDSheet!$A:$AA,27,0)</f>
        <v>37.568799999999996</v>
      </c>
      <c r="AC32" s="9">
        <f>VLOOKUP(A:A,[1]TDSheet!$A:$R,18,0)</f>
        <v>53.324800000000003</v>
      </c>
      <c r="AD32" s="9">
        <f>VLOOKUP(A:A,[1]TDSheet!$A:$AB,28,0)</f>
        <v>0</v>
      </c>
      <c r="AE32" s="9">
        <f t="shared" si="9"/>
        <v>170</v>
      </c>
      <c r="AF32" s="9">
        <f t="shared" si="10"/>
        <v>170</v>
      </c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</row>
    <row r="33" spans="1:83" ht="11.1" customHeight="1" x14ac:dyDescent="0.2">
      <c r="A33" s="7" t="s">
        <v>33</v>
      </c>
      <c r="B33" s="7" t="s">
        <v>10</v>
      </c>
      <c r="C33" s="7">
        <f>VLOOKUP(A:A,[1]TDSheet!$A:$C,3,0)</f>
        <v>6324</v>
      </c>
      <c r="D33" s="8">
        <v>9</v>
      </c>
      <c r="E33" s="8">
        <v>118</v>
      </c>
      <c r="F33" s="8">
        <v>0</v>
      </c>
      <c r="G33" s="8"/>
      <c r="H33" s="22">
        <f>VLOOKUP(A:A,[1]TDSheet!$A:$H,8,0)</f>
        <v>0.4</v>
      </c>
      <c r="I33" s="9">
        <f>VLOOKUP(A:A,[1]TDSheet!$A:$I,9,0)</f>
        <v>60</v>
      </c>
      <c r="J33" s="9" t="str">
        <f>VLOOKUP(A:A,[1]TDSheet!$A:$J,10,0)</f>
        <v>в матрице</v>
      </c>
      <c r="K33" s="9"/>
      <c r="L33" s="9">
        <f>VLOOKUP(A:A,[2]TDSheet!$A:$B,2,0)</f>
        <v>390</v>
      </c>
      <c r="M33" s="9">
        <f t="shared" si="3"/>
        <v>-390</v>
      </c>
      <c r="N33" s="9"/>
      <c r="O33" s="9"/>
      <c r="P33" s="9">
        <f>VLOOKUP(A:A,[1]TDSheet!$A:$S,19,0)</f>
        <v>30</v>
      </c>
      <c r="Q33" s="9">
        <v>30</v>
      </c>
      <c r="R33" s="9">
        <f t="shared" si="4"/>
        <v>0</v>
      </c>
      <c r="S33" s="45"/>
      <c r="T33" s="23">
        <f t="shared" si="5"/>
        <v>0</v>
      </c>
      <c r="U33" s="23">
        <f t="shared" si="6"/>
        <v>0</v>
      </c>
      <c r="V33" s="23">
        <f>VLOOKUP(A:A,[3]TDSheet!$A:$T,20,0)</f>
        <v>0</v>
      </c>
      <c r="W33" s="9" t="str">
        <f>VLOOKUP(A:A,[3]TDSheet!$A:$U,21,0)</f>
        <v>ротация на код 7539</v>
      </c>
      <c r="X33" s="9" t="e">
        <f t="shared" si="7"/>
        <v>#DIV/0!</v>
      </c>
      <c r="Y33" s="9" t="e">
        <f t="shared" si="8"/>
        <v>#DIV/0!</v>
      </c>
      <c r="Z33" s="9">
        <f>VLOOKUP(A:A,[1]TDSheet!$A:$Y,25,0)</f>
        <v>29</v>
      </c>
      <c r="AA33" s="9">
        <f>VLOOKUP(A:A,[1]TDSheet!$A:$Z,26,0)</f>
        <v>2.6</v>
      </c>
      <c r="AB33" s="9">
        <f>VLOOKUP(A:A,[1]TDSheet!$A:$AA,27,0)</f>
        <v>0.4</v>
      </c>
      <c r="AC33" s="9">
        <f>VLOOKUP(A:A,[1]TDSheet!$A:$R,18,0)</f>
        <v>0</v>
      </c>
      <c r="AD33" s="9" t="str">
        <f>VLOOKUP(A:A,[1]TDSheet!$A:$AB,28,0)</f>
        <v>Обжора / Паллет</v>
      </c>
      <c r="AE33" s="9">
        <f t="shared" si="9"/>
        <v>0</v>
      </c>
      <c r="AF33" s="9">
        <f t="shared" si="10"/>
        <v>0</v>
      </c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</row>
    <row r="34" spans="1:83" ht="11.1" customHeight="1" x14ac:dyDescent="0.2">
      <c r="A34" s="7" t="s">
        <v>34</v>
      </c>
      <c r="B34" s="7" t="s">
        <v>10</v>
      </c>
      <c r="C34" s="7">
        <f>VLOOKUP(A:A,[1]TDSheet!$A:$C,3,0)</f>
        <v>6325</v>
      </c>
      <c r="D34" s="8">
        <v>37</v>
      </c>
      <c r="E34" s="8">
        <v>128</v>
      </c>
      <c r="F34" s="8">
        <v>46</v>
      </c>
      <c r="G34" s="8">
        <v>18</v>
      </c>
      <c r="H34" s="22">
        <f>VLOOKUP(A:A,[1]TDSheet!$A:$H,8,0)</f>
        <v>0.4</v>
      </c>
      <c r="I34" s="9">
        <f>VLOOKUP(A:A,[1]TDSheet!$A:$I,9,0)</f>
        <v>60</v>
      </c>
      <c r="J34" s="9" t="str">
        <f>VLOOKUP(A:A,[1]TDSheet!$A:$J,10,0)</f>
        <v>в матрице</v>
      </c>
      <c r="K34" s="9"/>
      <c r="L34" s="9">
        <f>VLOOKUP(A:A,[2]TDSheet!$A:$B,2,0)</f>
        <v>149</v>
      </c>
      <c r="M34" s="9">
        <f t="shared" si="3"/>
        <v>-103</v>
      </c>
      <c r="N34" s="9"/>
      <c r="O34" s="9"/>
      <c r="P34" s="9">
        <f>VLOOKUP(A:A,[1]TDSheet!$A:$S,19,0)</f>
        <v>20</v>
      </c>
      <c r="Q34" s="9">
        <v>20</v>
      </c>
      <c r="R34" s="9">
        <f t="shared" si="4"/>
        <v>9.1999999999999993</v>
      </c>
      <c r="S34" s="45">
        <v>80</v>
      </c>
      <c r="T34" s="23">
        <f t="shared" si="5"/>
        <v>40</v>
      </c>
      <c r="U34" s="23">
        <f t="shared" si="6"/>
        <v>40</v>
      </c>
      <c r="V34" s="23"/>
      <c r="W34" s="9">
        <f>VLOOKUP(A:A,[3]TDSheet!$A:$U,21,0)</f>
        <v>0</v>
      </c>
      <c r="X34" s="9">
        <f t="shared" si="7"/>
        <v>15.000000000000002</v>
      </c>
      <c r="Y34" s="9">
        <f t="shared" si="8"/>
        <v>1.956521739130435</v>
      </c>
      <c r="Z34" s="9">
        <f>VLOOKUP(A:A,[1]TDSheet!$A:$Y,25,0)</f>
        <v>5.2</v>
      </c>
      <c r="AA34" s="9">
        <f>VLOOKUP(A:A,[1]TDSheet!$A:$Z,26,0)</f>
        <v>-0.2</v>
      </c>
      <c r="AB34" s="9">
        <f>VLOOKUP(A:A,[1]TDSheet!$A:$AA,27,0)</f>
        <v>6</v>
      </c>
      <c r="AC34" s="9">
        <f>VLOOKUP(A:A,[1]TDSheet!$A:$R,18,0)</f>
        <v>-0.2</v>
      </c>
      <c r="AD34" s="9">
        <f>VLOOKUP(A:A,[1]TDSheet!$A:$AB,28,0)</f>
        <v>0</v>
      </c>
      <c r="AE34" s="9">
        <f t="shared" si="9"/>
        <v>16</v>
      </c>
      <c r="AF34" s="9">
        <f t="shared" si="10"/>
        <v>16</v>
      </c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</row>
    <row r="35" spans="1:83" ht="11.1" customHeight="1" x14ac:dyDescent="0.2">
      <c r="A35" s="7" t="s">
        <v>35</v>
      </c>
      <c r="B35" s="7" t="s">
        <v>10</v>
      </c>
      <c r="C35" s="7">
        <f>VLOOKUP(A:A,[1]TDSheet!$A:$C,3,0)</f>
        <v>6333</v>
      </c>
      <c r="D35" s="8">
        <v>464.65499999999997</v>
      </c>
      <c r="E35" s="8">
        <v>952</v>
      </c>
      <c r="F35" s="8">
        <v>658</v>
      </c>
      <c r="G35" s="8">
        <v>729.65499999999997</v>
      </c>
      <c r="H35" s="22">
        <f>VLOOKUP(A:A,[1]TDSheet!$A:$H,8,0)</f>
        <v>0.4</v>
      </c>
      <c r="I35" s="9">
        <f>VLOOKUP(A:A,[1]TDSheet!$A:$I,9,0)</f>
        <v>60</v>
      </c>
      <c r="J35" s="9" t="str">
        <f>VLOOKUP(A:A,[1]TDSheet!$A:$J,10,0)</f>
        <v>ВНИМАНИЕ / в матрице</v>
      </c>
      <c r="K35" s="9"/>
      <c r="L35" s="9">
        <f>VLOOKUP(A:A,[2]TDSheet!$A:$B,2,0)</f>
        <v>669.3</v>
      </c>
      <c r="M35" s="9">
        <f t="shared" si="3"/>
        <v>-11.299999999999955</v>
      </c>
      <c r="N35" s="9"/>
      <c r="O35" s="9"/>
      <c r="P35" s="9">
        <f>VLOOKUP(A:A,[1]TDSheet!$A:$S,19,0)</f>
        <v>600</v>
      </c>
      <c r="Q35" s="9">
        <v>600</v>
      </c>
      <c r="R35" s="9">
        <f t="shared" si="4"/>
        <v>131.6</v>
      </c>
      <c r="S35" s="45"/>
      <c r="T35" s="23">
        <f t="shared" si="5"/>
        <v>0</v>
      </c>
      <c r="U35" s="23">
        <f t="shared" si="6"/>
        <v>0</v>
      </c>
      <c r="V35" s="23"/>
      <c r="W35" s="9">
        <f>VLOOKUP(A:A,[3]TDSheet!$A:$U,21,0)</f>
        <v>0</v>
      </c>
      <c r="X35" s="9">
        <f t="shared" si="7"/>
        <v>14.663031914893617</v>
      </c>
      <c r="Y35" s="9">
        <f t="shared" si="8"/>
        <v>5.5444908814589668</v>
      </c>
      <c r="Z35" s="9">
        <f>VLOOKUP(A:A,[1]TDSheet!$A:$Y,25,0)</f>
        <v>108.6</v>
      </c>
      <c r="AA35" s="9">
        <f>VLOOKUP(A:A,[1]TDSheet!$A:$Z,26,0)</f>
        <v>119.2</v>
      </c>
      <c r="AB35" s="9">
        <f>VLOOKUP(A:A,[1]TDSheet!$A:$AA,27,0)</f>
        <v>106</v>
      </c>
      <c r="AC35" s="9">
        <f>VLOOKUP(A:A,[1]TDSheet!$A:$R,18,0)</f>
        <v>145</v>
      </c>
      <c r="AD35" s="9" t="str">
        <f>VLOOKUP(A:A,[1]TDSheet!$A:$AB,28,0)</f>
        <v>Обжора / Паллет</v>
      </c>
      <c r="AE35" s="9">
        <f t="shared" si="9"/>
        <v>0</v>
      </c>
      <c r="AF35" s="9">
        <f t="shared" si="10"/>
        <v>0</v>
      </c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  <c r="BZ35" s="9"/>
      <c r="CA35" s="9"/>
      <c r="CB35" s="9"/>
      <c r="CC35" s="9"/>
      <c r="CD35" s="9"/>
      <c r="CE35" s="9"/>
    </row>
    <row r="36" spans="1:83" ht="11.1" customHeight="1" x14ac:dyDescent="0.2">
      <c r="A36" s="7" t="s">
        <v>36</v>
      </c>
      <c r="B36" s="7" t="s">
        <v>10</v>
      </c>
      <c r="C36" s="7">
        <f>VLOOKUP(A:A,[1]TDSheet!$A:$C,3,0)</f>
        <v>6353</v>
      </c>
      <c r="D36" s="8">
        <v>80</v>
      </c>
      <c r="E36" s="8">
        <v>786</v>
      </c>
      <c r="F36" s="8">
        <v>555</v>
      </c>
      <c r="G36" s="8">
        <v>265</v>
      </c>
      <c r="H36" s="22">
        <f>VLOOKUP(A:A,[1]TDSheet!$A:$H,8,0)</f>
        <v>0.4</v>
      </c>
      <c r="I36" s="9">
        <f>VLOOKUP(A:A,[1]TDSheet!$A:$I,9,0)</f>
        <v>60</v>
      </c>
      <c r="J36" s="9" t="str">
        <f>VLOOKUP(A:A,[1]TDSheet!$A:$J,10,0)</f>
        <v>ВНИМАНИЕ / в матрице</v>
      </c>
      <c r="K36" s="9"/>
      <c r="L36" s="9">
        <f>VLOOKUP(A:A,[2]TDSheet!$A:$B,2,0)</f>
        <v>572.6</v>
      </c>
      <c r="M36" s="9">
        <f t="shared" si="3"/>
        <v>-17.600000000000023</v>
      </c>
      <c r="N36" s="9"/>
      <c r="O36" s="9"/>
      <c r="P36" s="9">
        <f>VLOOKUP(A:A,[1]TDSheet!$A:$S,19,0)</f>
        <v>500</v>
      </c>
      <c r="Q36" s="9">
        <v>500</v>
      </c>
      <c r="R36" s="9">
        <f t="shared" si="4"/>
        <v>111</v>
      </c>
      <c r="S36" s="45"/>
      <c r="T36" s="23">
        <f t="shared" si="5"/>
        <v>0</v>
      </c>
      <c r="U36" s="23">
        <f t="shared" si="6"/>
        <v>0</v>
      </c>
      <c r="V36" s="23">
        <f>VLOOKUP(A:A,[3]TDSheet!$A:$T,20,0)</f>
        <v>0</v>
      </c>
      <c r="W36" s="9" t="str">
        <f>VLOOKUP(A:A,[3]TDSheet!$A:$U,21,0)</f>
        <v>ротация на код 7632</v>
      </c>
      <c r="X36" s="9">
        <f t="shared" si="7"/>
        <v>11.396396396396396</v>
      </c>
      <c r="Y36" s="9">
        <f t="shared" si="8"/>
        <v>2.3873873873873874</v>
      </c>
      <c r="Z36" s="9">
        <f>VLOOKUP(A:A,[1]TDSheet!$A:$Y,25,0)</f>
        <v>112.6</v>
      </c>
      <c r="AA36" s="9">
        <f>VLOOKUP(A:A,[1]TDSheet!$A:$Z,26,0)</f>
        <v>84</v>
      </c>
      <c r="AB36" s="9">
        <f>VLOOKUP(A:A,[1]TDSheet!$A:$AA,27,0)</f>
        <v>105.4</v>
      </c>
      <c r="AC36" s="9">
        <f>VLOOKUP(A:A,[1]TDSheet!$A:$R,18,0)</f>
        <v>131.80000000000001</v>
      </c>
      <c r="AD36" s="9" t="str">
        <f>VLOOKUP(A:A,[1]TDSheet!$A:$AB,28,0)</f>
        <v>Обжора / Паллет</v>
      </c>
      <c r="AE36" s="9">
        <f t="shared" si="9"/>
        <v>0</v>
      </c>
      <c r="AF36" s="9">
        <f t="shared" si="10"/>
        <v>0</v>
      </c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</row>
    <row r="37" spans="1:83" ht="11.1" customHeight="1" x14ac:dyDescent="0.2">
      <c r="A37" s="7" t="s">
        <v>37</v>
      </c>
      <c r="B37" s="7" t="s">
        <v>10</v>
      </c>
      <c r="C37" s="7">
        <f>VLOOKUP(A:A,[1]TDSheet!$A:$C,3,0)</f>
        <v>6392</v>
      </c>
      <c r="D37" s="8">
        <v>585</v>
      </c>
      <c r="E37" s="8">
        <v>1294</v>
      </c>
      <c r="F37" s="8">
        <v>813</v>
      </c>
      <c r="G37" s="8">
        <v>988</v>
      </c>
      <c r="H37" s="22">
        <f>VLOOKUP(A:A,[1]TDSheet!$A:$H,8,0)</f>
        <v>0.4</v>
      </c>
      <c r="I37" s="9">
        <f>VLOOKUP(A:A,[1]TDSheet!$A:$I,9,0)</f>
        <v>60</v>
      </c>
      <c r="J37" s="9" t="str">
        <f>VLOOKUP(A:A,[1]TDSheet!$A:$J,10,0)</f>
        <v>ВНИМАНИЕ / в матрице</v>
      </c>
      <c r="K37" s="9"/>
      <c r="L37" s="9">
        <f>VLOOKUP(A:A,[2]TDSheet!$A:$B,2,0)</f>
        <v>826</v>
      </c>
      <c r="M37" s="9">
        <f t="shared" si="3"/>
        <v>-13</v>
      </c>
      <c r="N37" s="9"/>
      <c r="O37" s="9"/>
      <c r="P37" s="9">
        <f>VLOOKUP(A:A,[1]TDSheet!$A:$S,19,0)</f>
        <v>800</v>
      </c>
      <c r="Q37" s="9">
        <v>800</v>
      </c>
      <c r="R37" s="9">
        <f t="shared" si="4"/>
        <v>162.6</v>
      </c>
      <c r="S37" s="45"/>
      <c r="T37" s="23">
        <f t="shared" si="5"/>
        <v>0</v>
      </c>
      <c r="U37" s="23">
        <f t="shared" si="6"/>
        <v>0</v>
      </c>
      <c r="V37" s="23"/>
      <c r="W37" s="9">
        <f>VLOOKUP(A:A,[3]TDSheet!$A:$U,21,0)</f>
        <v>0</v>
      </c>
      <c r="X37" s="9">
        <f t="shared" si="7"/>
        <v>15.916359163591636</v>
      </c>
      <c r="Y37" s="9">
        <f t="shared" si="8"/>
        <v>6.0762607626076264</v>
      </c>
      <c r="Z37" s="9">
        <f>VLOOKUP(A:A,[1]TDSheet!$A:$Y,25,0)</f>
        <v>195.6</v>
      </c>
      <c r="AA37" s="9">
        <f>VLOOKUP(A:A,[1]TDSheet!$A:$Z,26,0)</f>
        <v>155.80000000000001</v>
      </c>
      <c r="AB37" s="9">
        <f>VLOOKUP(A:A,[1]TDSheet!$A:$AA,27,0)</f>
        <v>136.4</v>
      </c>
      <c r="AC37" s="9">
        <f>VLOOKUP(A:A,[1]TDSheet!$A:$R,18,0)</f>
        <v>189.4</v>
      </c>
      <c r="AD37" s="9" t="str">
        <f>VLOOKUP(A:A,[1]TDSheet!$A:$AB,28,0)</f>
        <v>Обжора / Паллет</v>
      </c>
      <c r="AE37" s="9">
        <f t="shared" si="9"/>
        <v>0</v>
      </c>
      <c r="AF37" s="9">
        <f t="shared" si="10"/>
        <v>0</v>
      </c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  <c r="BY37" s="9"/>
      <c r="BZ37" s="9"/>
      <c r="CA37" s="9"/>
      <c r="CB37" s="9"/>
      <c r="CC37" s="9"/>
      <c r="CD37" s="9"/>
      <c r="CE37" s="9"/>
    </row>
    <row r="38" spans="1:83" ht="11.1" customHeight="1" x14ac:dyDescent="0.2">
      <c r="A38" s="7" t="s">
        <v>38</v>
      </c>
      <c r="B38" s="7" t="s">
        <v>10</v>
      </c>
      <c r="C38" s="7">
        <f>VLOOKUP(A:A,[1]TDSheet!$A:$C,3,0)</f>
        <v>6453</v>
      </c>
      <c r="D38" s="8">
        <v>75</v>
      </c>
      <c r="E38" s="8">
        <v>1056</v>
      </c>
      <c r="F38" s="8">
        <v>362</v>
      </c>
      <c r="G38" s="8">
        <v>718</v>
      </c>
      <c r="H38" s="22">
        <f>VLOOKUP(A:A,[1]TDSheet!$A:$H,8,0)</f>
        <v>0.1</v>
      </c>
      <c r="I38" s="9">
        <f>VLOOKUP(A:A,[1]TDSheet!$A:$I,9,0)</f>
        <v>60</v>
      </c>
      <c r="J38" s="9" t="str">
        <f>VLOOKUP(A:A,[1]TDSheet!$A:$J,10,0)</f>
        <v>в матрице</v>
      </c>
      <c r="K38" s="9"/>
      <c r="L38" s="9">
        <f>VLOOKUP(A:A,[2]TDSheet!$A:$B,2,0)</f>
        <v>376</v>
      </c>
      <c r="M38" s="9">
        <f t="shared" si="3"/>
        <v>-14</v>
      </c>
      <c r="N38" s="9"/>
      <c r="O38" s="9"/>
      <c r="P38" s="9">
        <f>VLOOKUP(A:A,[1]TDSheet!$A:$S,19,0)</f>
        <v>30</v>
      </c>
      <c r="Q38" s="9">
        <v>30</v>
      </c>
      <c r="R38" s="9">
        <f t="shared" si="4"/>
        <v>72.400000000000006</v>
      </c>
      <c r="S38" s="45">
        <v>240</v>
      </c>
      <c r="T38" s="23">
        <f t="shared" si="5"/>
        <v>120</v>
      </c>
      <c r="U38" s="23">
        <f t="shared" si="6"/>
        <v>120</v>
      </c>
      <c r="V38" s="23"/>
      <c r="W38" s="9">
        <f>VLOOKUP(A:A,[3]TDSheet!$A:$U,21,0)</f>
        <v>0</v>
      </c>
      <c r="X38" s="9">
        <f t="shared" si="7"/>
        <v>14.060773480662982</v>
      </c>
      <c r="Y38" s="9">
        <f t="shared" si="8"/>
        <v>9.9171270718232041</v>
      </c>
      <c r="Z38" s="9">
        <f>VLOOKUP(A:A,[1]TDSheet!$A:$Y,25,0)</f>
        <v>65.2</v>
      </c>
      <c r="AA38" s="9">
        <f>VLOOKUP(A:A,[1]TDSheet!$A:$Z,26,0)</f>
        <v>59</v>
      </c>
      <c r="AB38" s="9">
        <f>VLOOKUP(A:A,[1]TDSheet!$A:$AA,27,0)</f>
        <v>96.6</v>
      </c>
      <c r="AC38" s="9">
        <f>VLOOKUP(A:A,[1]TDSheet!$A:$R,18,0)</f>
        <v>47.6</v>
      </c>
      <c r="AD38" s="9" t="str">
        <f>VLOOKUP(A:A,[1]TDSheet!$A:$AB,28,0)</f>
        <v>Обжора / Паллет</v>
      </c>
      <c r="AE38" s="9">
        <f t="shared" si="9"/>
        <v>12</v>
      </c>
      <c r="AF38" s="9">
        <f t="shared" si="10"/>
        <v>12</v>
      </c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  <c r="BW38" s="9"/>
      <c r="BX38" s="9"/>
      <c r="BY38" s="9"/>
      <c r="BZ38" s="9"/>
      <c r="CA38" s="9"/>
      <c r="CB38" s="9"/>
      <c r="CC38" s="9"/>
      <c r="CD38" s="9"/>
      <c r="CE38" s="9"/>
    </row>
    <row r="39" spans="1:83" ht="11.1" customHeight="1" x14ac:dyDescent="0.2">
      <c r="A39" s="7" t="s">
        <v>39</v>
      </c>
      <c r="B39" s="7" t="s">
        <v>10</v>
      </c>
      <c r="C39" s="7">
        <f>VLOOKUP(A:A,[1]TDSheet!$A:$C,3,0)</f>
        <v>6454</v>
      </c>
      <c r="D39" s="8">
        <v>227</v>
      </c>
      <c r="E39" s="8">
        <v>258</v>
      </c>
      <c r="F39" s="8">
        <v>220</v>
      </c>
      <c r="G39" s="8">
        <v>235</v>
      </c>
      <c r="H39" s="22">
        <f>VLOOKUP(A:A,[1]TDSheet!$A:$H,8,0)</f>
        <v>0.1</v>
      </c>
      <c r="I39" s="9">
        <f>VLOOKUP(A:A,[1]TDSheet!$A:$I,9,0)</f>
        <v>60</v>
      </c>
      <c r="J39" s="9" t="str">
        <f>VLOOKUP(A:A,[1]TDSheet!$A:$J,10,0)</f>
        <v>в матрице</v>
      </c>
      <c r="K39" s="9"/>
      <c r="L39" s="9">
        <f>VLOOKUP(A:A,[2]TDSheet!$A:$B,2,0)</f>
        <v>246</v>
      </c>
      <c r="M39" s="9">
        <f t="shared" si="3"/>
        <v>-26</v>
      </c>
      <c r="N39" s="9"/>
      <c r="O39" s="9"/>
      <c r="P39" s="9">
        <f>VLOOKUP(A:A,[1]TDSheet!$A:$S,19,0)</f>
        <v>200</v>
      </c>
      <c r="Q39" s="9">
        <v>200</v>
      </c>
      <c r="R39" s="9">
        <f t="shared" si="4"/>
        <v>44</v>
      </c>
      <c r="S39" s="45"/>
      <c r="T39" s="23">
        <f t="shared" si="5"/>
        <v>0</v>
      </c>
      <c r="U39" s="23">
        <f t="shared" si="6"/>
        <v>0</v>
      </c>
      <c r="V39" s="23"/>
      <c r="W39" s="9">
        <f>VLOOKUP(A:A,[3]TDSheet!$A:$U,21,0)</f>
        <v>0</v>
      </c>
      <c r="X39" s="9">
        <f t="shared" si="7"/>
        <v>14.431818181818182</v>
      </c>
      <c r="Y39" s="9">
        <f t="shared" si="8"/>
        <v>5.3409090909090908</v>
      </c>
      <c r="Z39" s="9">
        <f>VLOOKUP(A:A,[1]TDSheet!$A:$Y,25,0)</f>
        <v>32.799999999999997</v>
      </c>
      <c r="AA39" s="9">
        <f>VLOOKUP(A:A,[1]TDSheet!$A:$Z,26,0)</f>
        <v>42.6</v>
      </c>
      <c r="AB39" s="9">
        <f>VLOOKUP(A:A,[1]TDSheet!$A:$AA,27,0)</f>
        <v>28</v>
      </c>
      <c r="AC39" s="9">
        <f>VLOOKUP(A:A,[1]TDSheet!$A:$R,18,0)</f>
        <v>48.2</v>
      </c>
      <c r="AD39" s="9" t="str">
        <f>VLOOKUP(A:A,[1]TDSheet!$A:$AB,28,0)</f>
        <v>Обжора / Паллет</v>
      </c>
      <c r="AE39" s="9">
        <f t="shared" si="9"/>
        <v>0</v>
      </c>
      <c r="AF39" s="9">
        <f t="shared" si="10"/>
        <v>0</v>
      </c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</row>
    <row r="40" spans="1:83" ht="11.1" customHeight="1" x14ac:dyDescent="0.2">
      <c r="A40" s="7" t="s">
        <v>40</v>
      </c>
      <c r="B40" s="7" t="s">
        <v>10</v>
      </c>
      <c r="C40" s="7">
        <f>VLOOKUP(A:A,[1]TDSheet!$A:$C,3,0)</f>
        <v>6459</v>
      </c>
      <c r="D40" s="8">
        <v>15</v>
      </c>
      <c r="E40" s="8">
        <v>237</v>
      </c>
      <c r="F40" s="8">
        <v>126</v>
      </c>
      <c r="G40" s="8">
        <v>118</v>
      </c>
      <c r="H40" s="22">
        <f>VLOOKUP(A:A,[1]TDSheet!$A:$H,8,0)</f>
        <v>0.1</v>
      </c>
      <c r="I40" s="9">
        <f>VLOOKUP(A:A,[1]TDSheet!$A:$I,9,0)</f>
        <v>45</v>
      </c>
      <c r="J40" s="9" t="str">
        <f>VLOOKUP(A:A,[1]TDSheet!$A:$J,10,0)</f>
        <v>в матрице</v>
      </c>
      <c r="K40" s="9"/>
      <c r="L40" s="9">
        <f>VLOOKUP(A:A,[2]TDSheet!$A:$B,2,0)</f>
        <v>134</v>
      </c>
      <c r="M40" s="9">
        <f t="shared" si="3"/>
        <v>-8</v>
      </c>
      <c r="N40" s="9"/>
      <c r="O40" s="9"/>
      <c r="P40" s="9">
        <f>VLOOKUP(A:A,[1]TDSheet!$A:$S,19,0)</f>
        <v>35</v>
      </c>
      <c r="Q40" s="9">
        <v>35</v>
      </c>
      <c r="R40" s="9">
        <f t="shared" si="4"/>
        <v>25.2</v>
      </c>
      <c r="S40" s="45">
        <v>160</v>
      </c>
      <c r="T40" s="23">
        <f t="shared" si="5"/>
        <v>80</v>
      </c>
      <c r="U40" s="23">
        <f t="shared" si="6"/>
        <v>80</v>
      </c>
      <c r="V40" s="23"/>
      <c r="W40" s="9">
        <f>VLOOKUP(A:A,[3]TDSheet!$A:$U,21,0)</f>
        <v>0</v>
      </c>
      <c r="X40" s="9">
        <f t="shared" si="7"/>
        <v>13.80952380952381</v>
      </c>
      <c r="Y40" s="9">
        <f t="shared" si="8"/>
        <v>4.6825396825396828</v>
      </c>
      <c r="Z40" s="9">
        <f>VLOOKUP(A:A,[1]TDSheet!$A:$Y,25,0)</f>
        <v>13.4</v>
      </c>
      <c r="AA40" s="9">
        <f>VLOOKUP(A:A,[1]TDSheet!$A:$Z,26,0)</f>
        <v>5</v>
      </c>
      <c r="AB40" s="9">
        <f>VLOOKUP(A:A,[1]TDSheet!$A:$AA,27,0)</f>
        <v>20.6</v>
      </c>
      <c r="AC40" s="9">
        <f>VLOOKUP(A:A,[1]TDSheet!$A:$R,18,0)</f>
        <v>13.2</v>
      </c>
      <c r="AD40" s="9">
        <f>VLOOKUP(A:A,[1]TDSheet!$A:$AB,28,0)</f>
        <v>0</v>
      </c>
      <c r="AE40" s="9">
        <f t="shared" si="9"/>
        <v>8</v>
      </c>
      <c r="AF40" s="9">
        <f t="shared" si="10"/>
        <v>8</v>
      </c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</row>
    <row r="41" spans="1:83" ht="11.1" customHeight="1" x14ac:dyDescent="0.2">
      <c r="A41" s="7" t="s">
        <v>41</v>
      </c>
      <c r="B41" s="7" t="s">
        <v>10</v>
      </c>
      <c r="C41" s="7">
        <f>VLOOKUP(A:A,[1]TDSheet!$A:$C,3,0)</f>
        <v>6475</v>
      </c>
      <c r="D41" s="8">
        <v>23</v>
      </c>
      <c r="E41" s="8">
        <v>39</v>
      </c>
      <c r="F41" s="8">
        <v>15</v>
      </c>
      <c r="G41" s="8">
        <v>31</v>
      </c>
      <c r="H41" s="22">
        <f>VLOOKUP(A:A,[1]TDSheet!$A:$H,8,0)</f>
        <v>0.4</v>
      </c>
      <c r="I41" s="9">
        <f>VLOOKUP(A:A,[1]TDSheet!$A:$I,9,0)</f>
        <v>0</v>
      </c>
      <c r="J41" s="9">
        <f>VLOOKUP(A:A,[1]TDSheet!$A:$J,10,0)</f>
        <v>0</v>
      </c>
      <c r="K41" s="9"/>
      <c r="L41" s="9">
        <f>VLOOKUP(A:A,[2]TDSheet!$A:$B,2,0)</f>
        <v>66</v>
      </c>
      <c r="M41" s="9">
        <f t="shared" si="3"/>
        <v>-51</v>
      </c>
      <c r="N41" s="9"/>
      <c r="O41" s="9"/>
      <c r="P41" s="9">
        <f>VLOOKUP(A:A,[1]TDSheet!$A:$S,19,0)</f>
        <v>30</v>
      </c>
      <c r="Q41" s="9">
        <v>30</v>
      </c>
      <c r="R41" s="9">
        <f t="shared" si="4"/>
        <v>3</v>
      </c>
      <c r="S41" s="45"/>
      <c r="T41" s="23">
        <f t="shared" si="5"/>
        <v>0</v>
      </c>
      <c r="U41" s="23">
        <f t="shared" si="6"/>
        <v>0</v>
      </c>
      <c r="V41" s="23"/>
      <c r="W41" s="9">
        <f>VLOOKUP(A:A,[3]TDSheet!$A:$U,21,0)</f>
        <v>0</v>
      </c>
      <c r="X41" s="9">
        <f t="shared" si="7"/>
        <v>30.333333333333332</v>
      </c>
      <c r="Y41" s="9">
        <f t="shared" si="8"/>
        <v>10.333333333333334</v>
      </c>
      <c r="Z41" s="9">
        <f>VLOOKUP(A:A,[1]TDSheet!$A:$Y,25,0)</f>
        <v>7.4</v>
      </c>
      <c r="AA41" s="9">
        <f>VLOOKUP(A:A,[1]TDSheet!$A:$Z,26,0)</f>
        <v>1.6</v>
      </c>
      <c r="AB41" s="9">
        <f>VLOOKUP(A:A,[1]TDSheet!$A:$AA,27,0)</f>
        <v>0</v>
      </c>
      <c r="AC41" s="9">
        <f>VLOOKUP(A:A,[1]TDSheet!$A:$R,18,0)</f>
        <v>1.2</v>
      </c>
      <c r="AD41" s="9" t="str">
        <f>VLOOKUP(A:A,[1]TDSheet!$A:$AB,28,0)</f>
        <v>Обжора / Паллет</v>
      </c>
      <c r="AE41" s="9">
        <f t="shared" si="9"/>
        <v>0</v>
      </c>
      <c r="AF41" s="9">
        <f t="shared" si="10"/>
        <v>0</v>
      </c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</row>
    <row r="42" spans="1:83" ht="11.1" customHeight="1" x14ac:dyDescent="0.2">
      <c r="A42" s="7" t="s">
        <v>42</v>
      </c>
      <c r="B42" s="7" t="s">
        <v>10</v>
      </c>
      <c r="C42" s="7">
        <f>VLOOKUP(A:A,[1]TDSheet!$A:$C,3,0)</f>
        <v>6495</v>
      </c>
      <c r="D42" s="8">
        <v>335</v>
      </c>
      <c r="E42" s="8">
        <v>21</v>
      </c>
      <c r="F42" s="8">
        <v>210</v>
      </c>
      <c r="G42" s="8">
        <v>119</v>
      </c>
      <c r="H42" s="22">
        <f>VLOOKUP(A:A,[1]TDSheet!$A:$H,8,0)</f>
        <v>0.3</v>
      </c>
      <c r="I42" s="9" t="e">
        <f>VLOOKUP(A:A,[1]TDSheet!$A:$I,9,0)</f>
        <v>#N/A</v>
      </c>
      <c r="J42" s="9" t="e">
        <f>VLOOKUP(A:A,[1]TDSheet!$A:$J,10,0)</f>
        <v>#N/A</v>
      </c>
      <c r="K42" s="9"/>
      <c r="L42" s="9">
        <f>VLOOKUP(A:A,[2]TDSheet!$A:$B,2,0)</f>
        <v>212</v>
      </c>
      <c r="M42" s="9">
        <f t="shared" si="3"/>
        <v>-2</v>
      </c>
      <c r="N42" s="9"/>
      <c r="O42" s="9"/>
      <c r="P42" s="9">
        <f>VLOOKUP(A:A,[1]TDSheet!$A:$S,19,0)</f>
        <v>20</v>
      </c>
      <c r="Q42" s="9">
        <v>20</v>
      </c>
      <c r="R42" s="9">
        <f t="shared" si="4"/>
        <v>42</v>
      </c>
      <c r="S42" s="45">
        <v>420</v>
      </c>
      <c r="T42" s="23">
        <f t="shared" si="5"/>
        <v>210</v>
      </c>
      <c r="U42" s="23">
        <f t="shared" si="6"/>
        <v>210</v>
      </c>
      <c r="V42" s="23"/>
      <c r="W42" s="9">
        <f>VLOOKUP(A:A,[3]TDSheet!$A:$U,21,0)</f>
        <v>0</v>
      </c>
      <c r="X42" s="9">
        <f t="shared" si="7"/>
        <v>13.785714285714286</v>
      </c>
      <c r="Y42" s="9">
        <f t="shared" si="8"/>
        <v>2.8333333333333335</v>
      </c>
      <c r="Z42" s="9">
        <f>VLOOKUP(A:A,[1]TDSheet!$A:$Y,25,0)</f>
        <v>0</v>
      </c>
      <c r="AA42" s="9">
        <f>VLOOKUP(A:A,[1]TDSheet!$A:$Z,26,0)</f>
        <v>0</v>
      </c>
      <c r="AB42" s="9">
        <f>VLOOKUP(A:A,[1]TDSheet!$A:$AA,27,0)</f>
        <v>0</v>
      </c>
      <c r="AC42" s="9">
        <f>VLOOKUP(A:A,[1]TDSheet!$A:$R,18,0)</f>
        <v>18.399999999999999</v>
      </c>
      <c r="AD42" s="9" t="e">
        <f>VLOOKUP(A:A,[1]TDSheet!$A:$AB,28,0)</f>
        <v>#N/A</v>
      </c>
      <c r="AE42" s="9">
        <f t="shared" si="9"/>
        <v>63</v>
      </c>
      <c r="AF42" s="9">
        <f t="shared" si="10"/>
        <v>63</v>
      </c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  <c r="BY42" s="9"/>
      <c r="BZ42" s="9"/>
      <c r="CA42" s="9"/>
      <c r="CB42" s="9"/>
      <c r="CC42" s="9"/>
      <c r="CD42" s="9"/>
      <c r="CE42" s="9"/>
    </row>
    <row r="43" spans="1:83" ht="11.1" customHeight="1" x14ac:dyDescent="0.2">
      <c r="A43" s="7" t="s">
        <v>43</v>
      </c>
      <c r="B43" s="7" t="s">
        <v>12</v>
      </c>
      <c r="C43" s="7">
        <f>VLOOKUP(A:A,[1]TDSheet!$A:$C,3,0)</f>
        <v>6498</v>
      </c>
      <c r="D43" s="8">
        <v>3.0310000000000001</v>
      </c>
      <c r="E43" s="8">
        <v>236.71299999999999</v>
      </c>
      <c r="F43" s="8">
        <v>114.22799999999999</v>
      </c>
      <c r="G43" s="8">
        <v>73.822000000000003</v>
      </c>
      <c r="H43" s="22">
        <f>VLOOKUP(A:A,[1]TDSheet!$A:$H,8,0)</f>
        <v>1</v>
      </c>
      <c r="I43" s="9">
        <f>VLOOKUP(A:A,[1]TDSheet!$A:$I,9,0)</f>
        <v>60</v>
      </c>
      <c r="J43" s="9" t="str">
        <f>VLOOKUP(A:A,[1]TDSheet!$A:$J,10,0)</f>
        <v>в матрице</v>
      </c>
      <c r="K43" s="9"/>
      <c r="L43" s="9">
        <f>VLOOKUP(A:A,[2]TDSheet!$A:$B,2,0)</f>
        <v>159.19300000000001</v>
      </c>
      <c r="M43" s="9">
        <f t="shared" si="3"/>
        <v>-44.965000000000018</v>
      </c>
      <c r="N43" s="9"/>
      <c r="O43" s="9"/>
      <c r="P43" s="9">
        <f>VLOOKUP(A:A,[1]TDSheet!$A:$S,19,0)</f>
        <v>75</v>
      </c>
      <c r="Q43" s="9">
        <v>75</v>
      </c>
      <c r="R43" s="9">
        <f t="shared" si="4"/>
        <v>22.845599999999997</v>
      </c>
      <c r="S43" s="45">
        <v>100</v>
      </c>
      <c r="T43" s="23">
        <f t="shared" si="5"/>
        <v>50</v>
      </c>
      <c r="U43" s="23">
        <f t="shared" si="6"/>
        <v>50</v>
      </c>
      <c r="V43" s="23"/>
      <c r="W43" s="9">
        <f>VLOOKUP(A:A,[3]TDSheet!$A:$U,21,0)</f>
        <v>0</v>
      </c>
      <c r="X43" s="9">
        <f t="shared" si="7"/>
        <v>14.174370557131352</v>
      </c>
      <c r="Y43" s="9">
        <f t="shared" si="8"/>
        <v>3.2313443288860881</v>
      </c>
      <c r="Z43" s="9">
        <f>VLOOKUP(A:A,[1]TDSheet!$A:$Y,25,0)</f>
        <v>21.195799999999998</v>
      </c>
      <c r="AA43" s="9">
        <f>VLOOKUP(A:A,[1]TDSheet!$A:$Z,26,0)</f>
        <v>26.767200000000003</v>
      </c>
      <c r="AB43" s="9">
        <f>VLOOKUP(A:A,[1]TDSheet!$A:$AA,27,0)</f>
        <v>22.452999999999999</v>
      </c>
      <c r="AC43" s="9">
        <f>VLOOKUP(A:A,[1]TDSheet!$A:$R,18,0)</f>
        <v>14.877000000000001</v>
      </c>
      <c r="AD43" s="9">
        <f>VLOOKUP(A:A,[1]TDSheet!$A:$AB,28,0)</f>
        <v>0</v>
      </c>
      <c r="AE43" s="9">
        <f t="shared" si="9"/>
        <v>50</v>
      </c>
      <c r="AF43" s="9">
        <f t="shared" si="10"/>
        <v>50</v>
      </c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  <c r="CE43" s="9"/>
    </row>
    <row r="44" spans="1:83" ht="11.1" customHeight="1" x14ac:dyDescent="0.2">
      <c r="A44" s="7" t="s">
        <v>44</v>
      </c>
      <c r="B44" s="7" t="s">
        <v>12</v>
      </c>
      <c r="C44" s="7">
        <f>VLOOKUP(A:A,[1]TDSheet!$A:$C,3,0)</f>
        <v>6527</v>
      </c>
      <c r="D44" s="8">
        <v>135.21700000000001</v>
      </c>
      <c r="E44" s="8">
        <v>47.067999999999998</v>
      </c>
      <c r="F44" s="8">
        <v>72.197999999999993</v>
      </c>
      <c r="G44" s="8">
        <v>104.116</v>
      </c>
      <c r="H44" s="22">
        <f>VLOOKUP(A:A,[1]TDSheet!$A:$H,8,0)</f>
        <v>1</v>
      </c>
      <c r="I44" s="9">
        <f>VLOOKUP(A:A,[1]TDSheet!$A:$I,9,0)</f>
        <v>45</v>
      </c>
      <c r="J44" s="9" t="str">
        <f>VLOOKUP(A:A,[1]TDSheet!$A:$J,10,0)</f>
        <v>в матрице</v>
      </c>
      <c r="K44" s="9"/>
      <c r="L44" s="9">
        <f>VLOOKUP(A:A,[2]TDSheet!$A:$B,2,0)</f>
        <v>78.099999999999994</v>
      </c>
      <c r="M44" s="9">
        <f t="shared" si="3"/>
        <v>-5.902000000000001</v>
      </c>
      <c r="N44" s="9"/>
      <c r="O44" s="9"/>
      <c r="P44" s="9">
        <f>VLOOKUP(A:A,[1]TDSheet!$A:$S,19,0)</f>
        <v>10</v>
      </c>
      <c r="Q44" s="9">
        <v>10</v>
      </c>
      <c r="R44" s="9">
        <f t="shared" si="4"/>
        <v>14.439599999999999</v>
      </c>
      <c r="S44" s="45">
        <v>80</v>
      </c>
      <c r="T44" s="23">
        <f t="shared" si="5"/>
        <v>40</v>
      </c>
      <c r="U44" s="23">
        <f t="shared" si="6"/>
        <v>40</v>
      </c>
      <c r="V44" s="23"/>
      <c r="W44" s="9">
        <f>VLOOKUP(A:A,[3]TDSheet!$A:$U,21,0)</f>
        <v>0</v>
      </c>
      <c r="X44" s="9">
        <f t="shared" si="7"/>
        <v>14.13584863846644</v>
      </c>
      <c r="Y44" s="9">
        <f t="shared" si="8"/>
        <v>7.2104490429097767</v>
      </c>
      <c r="Z44" s="9">
        <f>VLOOKUP(A:A,[1]TDSheet!$A:$Y,25,0)</f>
        <v>14.8492</v>
      </c>
      <c r="AA44" s="9">
        <f>VLOOKUP(A:A,[1]TDSheet!$A:$Z,26,0)</f>
        <v>17.9648</v>
      </c>
      <c r="AB44" s="9">
        <f>VLOOKUP(A:A,[1]TDSheet!$A:$AA,27,0)</f>
        <v>14.7774</v>
      </c>
      <c r="AC44" s="9">
        <f>VLOOKUP(A:A,[1]TDSheet!$A:$R,18,0)</f>
        <v>12.758799999999999</v>
      </c>
      <c r="AD44" s="9">
        <f>VLOOKUP(A:A,[1]TDSheet!$A:$AB,28,0)</f>
        <v>0</v>
      </c>
      <c r="AE44" s="9">
        <f t="shared" si="9"/>
        <v>40</v>
      </c>
      <c r="AF44" s="9">
        <f t="shared" si="10"/>
        <v>40</v>
      </c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  <c r="CE44" s="9"/>
    </row>
    <row r="45" spans="1:83" ht="11.1" customHeight="1" x14ac:dyDescent="0.2">
      <c r="A45" s="7" t="s">
        <v>45</v>
      </c>
      <c r="B45" s="7" t="s">
        <v>12</v>
      </c>
      <c r="C45" s="7">
        <f>VLOOKUP(A:A,[1]TDSheet!$A:$C,3,0)</f>
        <v>6550</v>
      </c>
      <c r="D45" s="8">
        <v>132.76900000000001</v>
      </c>
      <c r="E45" s="8">
        <v>162.06899999999999</v>
      </c>
      <c r="F45" s="8">
        <v>123.408</v>
      </c>
      <c r="G45" s="8">
        <v>122.992</v>
      </c>
      <c r="H45" s="22">
        <f>VLOOKUP(A:A,[1]TDSheet!$A:$H,8,0)</f>
        <v>1</v>
      </c>
      <c r="I45" s="9">
        <f>VLOOKUP(A:A,[1]TDSheet!$A:$I,9,0)</f>
        <v>45</v>
      </c>
      <c r="J45" s="9" t="str">
        <f>VLOOKUP(A:A,[1]TDSheet!$A:$J,10,0)</f>
        <v>в матрице</v>
      </c>
      <c r="K45" s="9"/>
      <c r="L45" s="9">
        <f>VLOOKUP(A:A,[2]TDSheet!$A:$B,2,0)</f>
        <v>136.03399999999999</v>
      </c>
      <c r="M45" s="9">
        <f t="shared" si="3"/>
        <v>-12.625999999999991</v>
      </c>
      <c r="N45" s="9"/>
      <c r="O45" s="9"/>
      <c r="P45" s="9">
        <f>VLOOKUP(A:A,[1]TDSheet!$A:$S,19,0)</f>
        <v>60</v>
      </c>
      <c r="Q45" s="9">
        <v>60</v>
      </c>
      <c r="R45" s="9">
        <f t="shared" si="4"/>
        <v>24.6816</v>
      </c>
      <c r="S45" s="45">
        <v>100</v>
      </c>
      <c r="T45" s="23">
        <f t="shared" si="5"/>
        <v>50</v>
      </c>
      <c r="U45" s="23">
        <f t="shared" si="6"/>
        <v>50</v>
      </c>
      <c r="V45" s="23"/>
      <c r="W45" s="9">
        <f>VLOOKUP(A:A,[3]TDSheet!$A:$U,21,0)</f>
        <v>0</v>
      </c>
      <c r="X45" s="9">
        <f t="shared" si="7"/>
        <v>13.89666796317905</v>
      </c>
      <c r="Y45" s="9">
        <f t="shared" si="8"/>
        <v>4.9831453390379883</v>
      </c>
      <c r="Z45" s="9">
        <f>VLOOKUP(A:A,[1]TDSheet!$A:$Y,25,0)</f>
        <v>17.996199999999998</v>
      </c>
      <c r="AA45" s="9">
        <f>VLOOKUP(A:A,[1]TDSheet!$A:$Z,26,0)</f>
        <v>17.272200000000002</v>
      </c>
      <c r="AB45" s="9">
        <f>VLOOKUP(A:A,[1]TDSheet!$A:$AA,27,0)</f>
        <v>10.6646</v>
      </c>
      <c r="AC45" s="9">
        <f>VLOOKUP(A:A,[1]TDSheet!$A:$R,18,0)</f>
        <v>20.631999999999998</v>
      </c>
      <c r="AD45" s="9">
        <f>VLOOKUP(A:A,[1]TDSheet!$A:$AB,28,0)</f>
        <v>0</v>
      </c>
      <c r="AE45" s="9">
        <f t="shared" si="9"/>
        <v>50</v>
      </c>
      <c r="AF45" s="9">
        <f t="shared" si="10"/>
        <v>50</v>
      </c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 spans="1:83" ht="11.1" customHeight="1" x14ac:dyDescent="0.2">
      <c r="A46" s="7" t="s">
        <v>46</v>
      </c>
      <c r="B46" s="7" t="s">
        <v>12</v>
      </c>
      <c r="C46" s="7">
        <f>VLOOKUP(A:A,[1]TDSheet!$A:$C,3,0)</f>
        <v>6608</v>
      </c>
      <c r="D46" s="8">
        <v>277.726</v>
      </c>
      <c r="E46" s="8">
        <v>184.40100000000001</v>
      </c>
      <c r="F46" s="8">
        <v>212.54900000000001</v>
      </c>
      <c r="G46" s="8">
        <v>194.066</v>
      </c>
      <c r="H46" s="22">
        <f>VLOOKUP(A:A,[1]TDSheet!$A:$H,8,0)</f>
        <v>1</v>
      </c>
      <c r="I46" s="9">
        <f>VLOOKUP(A:A,[1]TDSheet!$A:$I,9,0)</f>
        <v>45</v>
      </c>
      <c r="J46" s="9" t="str">
        <f>VLOOKUP(A:A,[1]TDSheet!$A:$J,10,0)</f>
        <v>в матрице</v>
      </c>
      <c r="K46" s="9"/>
      <c r="L46" s="9">
        <f>VLOOKUP(A:A,[2]TDSheet!$A:$B,2,0)</f>
        <v>217.93100000000001</v>
      </c>
      <c r="M46" s="9">
        <f t="shared" si="3"/>
        <v>-5.382000000000005</v>
      </c>
      <c r="N46" s="9"/>
      <c r="O46" s="9"/>
      <c r="P46" s="9">
        <f>VLOOKUP(A:A,[1]TDSheet!$A:$S,19,0)</f>
        <v>85</v>
      </c>
      <c r="Q46" s="9">
        <v>85</v>
      </c>
      <c r="R46" s="9">
        <f t="shared" si="4"/>
        <v>42.509799999999998</v>
      </c>
      <c r="S46" s="45">
        <v>220</v>
      </c>
      <c r="T46" s="23">
        <f t="shared" si="5"/>
        <v>110</v>
      </c>
      <c r="U46" s="23">
        <f t="shared" si="6"/>
        <v>110</v>
      </c>
      <c r="V46" s="23"/>
      <c r="W46" s="9">
        <f>VLOOKUP(A:A,[3]TDSheet!$A:$U,21,0)</f>
        <v>0</v>
      </c>
      <c r="X46" s="9">
        <f t="shared" si="7"/>
        <v>13.73956123058683</v>
      </c>
      <c r="Y46" s="9">
        <f t="shared" si="8"/>
        <v>4.5652061407016733</v>
      </c>
      <c r="Z46" s="9">
        <f>VLOOKUP(A:A,[1]TDSheet!$A:$Y,25,0)</f>
        <v>27.579799999999999</v>
      </c>
      <c r="AA46" s="9">
        <f>VLOOKUP(A:A,[1]TDSheet!$A:$Z,26,0)</f>
        <v>40.957799999999999</v>
      </c>
      <c r="AB46" s="9">
        <f>VLOOKUP(A:A,[1]TDSheet!$A:$AA,27,0)</f>
        <v>29.583199999999998</v>
      </c>
      <c r="AC46" s="9">
        <f>VLOOKUP(A:A,[1]TDSheet!$A:$R,18,0)</f>
        <v>33.079799999999999</v>
      </c>
      <c r="AD46" s="9">
        <f>VLOOKUP(A:A,[1]TDSheet!$A:$AB,28,0)</f>
        <v>0</v>
      </c>
      <c r="AE46" s="9">
        <f t="shared" si="9"/>
        <v>110</v>
      </c>
      <c r="AF46" s="9">
        <f t="shared" si="10"/>
        <v>110</v>
      </c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  <c r="CE46" s="9"/>
    </row>
    <row r="47" spans="1:83" ht="11.1" customHeight="1" x14ac:dyDescent="0.2">
      <c r="A47" s="7" t="s">
        <v>47</v>
      </c>
      <c r="B47" s="7" t="s">
        <v>10</v>
      </c>
      <c r="C47" s="7">
        <f>VLOOKUP(A:A,[1]TDSheet!$A:$C,3,0)</f>
        <v>6616</v>
      </c>
      <c r="D47" s="8">
        <v>463</v>
      </c>
      <c r="E47" s="8">
        <v>7378</v>
      </c>
      <c r="F47" s="8">
        <v>5625</v>
      </c>
      <c r="G47" s="8">
        <v>2022</v>
      </c>
      <c r="H47" s="22">
        <f>VLOOKUP(A:A,[1]TDSheet!$A:$H,8,0)</f>
        <v>0.3</v>
      </c>
      <c r="I47" s="9">
        <f>VLOOKUP(A:A,[1]TDSheet!$A:$I,9,0)</f>
        <v>45</v>
      </c>
      <c r="J47" s="9" t="str">
        <f>VLOOKUP(A:A,[1]TDSheet!$A:$J,10,0)</f>
        <v>в матрице</v>
      </c>
      <c r="K47" s="9"/>
      <c r="L47" s="9">
        <f>VLOOKUP(A:A,[2]TDSheet!$A:$B,2,0)</f>
        <v>5795</v>
      </c>
      <c r="M47" s="9">
        <f t="shared" si="3"/>
        <v>-170</v>
      </c>
      <c r="N47" s="9"/>
      <c r="O47" s="9"/>
      <c r="P47" s="9">
        <f>VLOOKUP(A:A,[1]TDSheet!$A:$S,19,0)</f>
        <v>1000</v>
      </c>
      <c r="Q47" s="9">
        <v>1000</v>
      </c>
      <c r="R47" s="9">
        <f t="shared" si="4"/>
        <v>1125</v>
      </c>
      <c r="S47" s="45">
        <v>1700</v>
      </c>
      <c r="T47" s="23">
        <f t="shared" si="5"/>
        <v>850</v>
      </c>
      <c r="U47" s="23">
        <f t="shared" si="6"/>
        <v>850</v>
      </c>
      <c r="V47" s="23">
        <f>VLOOKUP(A:A,[3]TDSheet!$A:$T,20,0)</f>
        <v>1700</v>
      </c>
      <c r="W47" s="9" t="str">
        <f>VLOOKUP(A:A,[3]TDSheet!$A:$U,21,0)</f>
        <v>прошлый заказ 5300шт был под сеть ЮгТех</v>
      </c>
      <c r="X47" s="9">
        <f t="shared" si="7"/>
        <v>5.0862222222222222</v>
      </c>
      <c r="Y47" s="9">
        <f t="shared" si="8"/>
        <v>1.7973333333333332</v>
      </c>
      <c r="Z47" s="9">
        <f>VLOOKUP(A:A,[1]TDSheet!$A:$Y,25,0)</f>
        <v>88.8</v>
      </c>
      <c r="AA47" s="9">
        <f>VLOOKUP(A:A,[1]TDSheet!$A:$Z,26,0)</f>
        <v>92.2</v>
      </c>
      <c r="AB47" s="9">
        <f>VLOOKUP(A:A,[1]TDSheet!$A:$AA,27,0)</f>
        <v>90.2</v>
      </c>
      <c r="AC47" s="9">
        <f>VLOOKUP(A:A,[1]TDSheet!$A:$R,18,0)</f>
        <v>75.2</v>
      </c>
      <c r="AD47" s="9">
        <f>VLOOKUP(A:A,[1]TDSheet!$A:$AB,28,0)</f>
        <v>0</v>
      </c>
      <c r="AE47" s="9">
        <f t="shared" si="9"/>
        <v>255</v>
      </c>
      <c r="AF47" s="9">
        <f t="shared" si="10"/>
        <v>255</v>
      </c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</row>
    <row r="48" spans="1:83" ht="11.1" customHeight="1" x14ac:dyDescent="0.2">
      <c r="A48" s="7" t="s">
        <v>48</v>
      </c>
      <c r="B48" s="7" t="s">
        <v>12</v>
      </c>
      <c r="C48" s="7">
        <f>VLOOKUP(A:A,[1]TDSheet!$A:$C,3,0)</f>
        <v>6661</v>
      </c>
      <c r="D48" s="8">
        <v>4.6920000000000002</v>
      </c>
      <c r="E48" s="8">
        <v>31.140999999999998</v>
      </c>
      <c r="F48" s="8">
        <v>13.323</v>
      </c>
      <c r="G48" s="8">
        <v>15.605</v>
      </c>
      <c r="H48" s="22">
        <f>VLOOKUP(A:A,[1]TDSheet!$A:$H,8,0)</f>
        <v>1</v>
      </c>
      <c r="I48" s="9">
        <f>VLOOKUP(A:A,[1]TDSheet!$A:$I,9,0)</f>
        <v>45</v>
      </c>
      <c r="J48" s="9" t="str">
        <f>VLOOKUP(A:A,[1]TDSheet!$A:$J,10,0)</f>
        <v>в матрице</v>
      </c>
      <c r="K48" s="9"/>
      <c r="L48" s="9">
        <f>VLOOKUP(A:A,[2]TDSheet!$A:$B,2,0)</f>
        <v>13.663</v>
      </c>
      <c r="M48" s="9">
        <f t="shared" si="3"/>
        <v>-0.33999999999999986</v>
      </c>
      <c r="N48" s="9"/>
      <c r="O48" s="9"/>
      <c r="P48" s="9">
        <f>VLOOKUP(A:A,[1]TDSheet!$A:$S,19,0)</f>
        <v>5</v>
      </c>
      <c r="Q48" s="9">
        <v>5</v>
      </c>
      <c r="R48" s="9">
        <f t="shared" si="4"/>
        <v>2.6646000000000001</v>
      </c>
      <c r="S48" s="45"/>
      <c r="T48" s="23">
        <f t="shared" si="5"/>
        <v>0</v>
      </c>
      <c r="U48" s="23">
        <f t="shared" si="6"/>
        <v>0</v>
      </c>
      <c r="V48" s="23"/>
      <c r="W48" s="9">
        <f>VLOOKUP(A:A,[3]TDSheet!$A:$U,21,0)</f>
        <v>0</v>
      </c>
      <c r="X48" s="9">
        <f t="shared" si="7"/>
        <v>9.6093222247241616</v>
      </c>
      <c r="Y48" s="9">
        <f t="shared" si="8"/>
        <v>5.8564137206334905</v>
      </c>
      <c r="Z48" s="9">
        <f>VLOOKUP(A:A,[1]TDSheet!$A:$Y,25,0)</f>
        <v>1.2428000000000001</v>
      </c>
      <c r="AA48" s="9">
        <f>VLOOKUP(A:A,[1]TDSheet!$A:$Z,26,0)</f>
        <v>1.234</v>
      </c>
      <c r="AB48" s="9">
        <f>VLOOKUP(A:A,[1]TDSheet!$A:$AA,27,0)</f>
        <v>3.0461999999999998</v>
      </c>
      <c r="AC48" s="9">
        <f>VLOOKUP(A:A,[1]TDSheet!$A:$R,18,0)</f>
        <v>2.7833999999999999</v>
      </c>
      <c r="AD48" s="9" t="str">
        <f>VLOOKUP(A:A,[1]TDSheet!$A:$AB,28,0)</f>
        <v>нужно увеличить продажи / 31,07,25 в уценку 25кг / 22,04,25 в уценку 25кг</v>
      </c>
      <c r="AE48" s="9">
        <f t="shared" si="9"/>
        <v>0</v>
      </c>
      <c r="AF48" s="9">
        <f t="shared" si="10"/>
        <v>0</v>
      </c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9"/>
      <c r="BY48" s="9"/>
      <c r="BZ48" s="9"/>
      <c r="CA48" s="9"/>
      <c r="CB48" s="9"/>
      <c r="CC48" s="9"/>
      <c r="CD48" s="9"/>
      <c r="CE48" s="9"/>
    </row>
    <row r="49" spans="1:83" ht="11.1" customHeight="1" x14ac:dyDescent="0.2">
      <c r="A49" s="7" t="s">
        <v>49</v>
      </c>
      <c r="B49" s="7" t="s">
        <v>10</v>
      </c>
      <c r="C49" s="7">
        <f>VLOOKUP(A:A,[1]TDSheet!$A:$C,3,0)</f>
        <v>6697</v>
      </c>
      <c r="D49" s="8">
        <v>301</v>
      </c>
      <c r="E49" s="8">
        <v>2435</v>
      </c>
      <c r="F49" s="8">
        <v>1272</v>
      </c>
      <c r="G49" s="8">
        <v>1322</v>
      </c>
      <c r="H49" s="22">
        <f>VLOOKUP(A:A,[1]TDSheet!$A:$H,8,0)</f>
        <v>0.35</v>
      </c>
      <c r="I49" s="9">
        <f>VLOOKUP(A:A,[1]TDSheet!$A:$I,9,0)</f>
        <v>45</v>
      </c>
      <c r="J49" s="9" t="str">
        <f>VLOOKUP(A:A,[1]TDSheet!$A:$J,10,0)</f>
        <v>ВНИМАНИЕ / в матрице</v>
      </c>
      <c r="K49" s="9"/>
      <c r="L49" s="9">
        <f>VLOOKUP(A:A,[2]TDSheet!$A:$B,2,0)</f>
        <v>1311</v>
      </c>
      <c r="M49" s="9">
        <f t="shared" si="3"/>
        <v>-39</v>
      </c>
      <c r="N49" s="9"/>
      <c r="O49" s="9"/>
      <c r="P49" s="9">
        <f>VLOOKUP(A:A,[1]TDSheet!$A:$S,19,0)</f>
        <v>225</v>
      </c>
      <c r="Q49" s="9">
        <v>225</v>
      </c>
      <c r="R49" s="9">
        <f t="shared" si="4"/>
        <v>254.4</v>
      </c>
      <c r="S49" s="45">
        <v>1800</v>
      </c>
      <c r="T49" s="23">
        <f t="shared" si="5"/>
        <v>900</v>
      </c>
      <c r="U49" s="23">
        <f t="shared" si="6"/>
        <v>900</v>
      </c>
      <c r="V49" s="23"/>
      <c r="W49" s="9">
        <f>VLOOKUP(A:A,[3]TDSheet!$A:$U,21,0)</f>
        <v>0</v>
      </c>
      <c r="X49" s="9">
        <f t="shared" si="7"/>
        <v>14.040880503144654</v>
      </c>
      <c r="Y49" s="9">
        <f t="shared" si="8"/>
        <v>5.1965408805031448</v>
      </c>
      <c r="Z49" s="9">
        <f>VLOOKUP(A:A,[1]TDSheet!$A:$Y,25,0)</f>
        <v>225.4</v>
      </c>
      <c r="AA49" s="9">
        <f>VLOOKUP(A:A,[1]TDSheet!$A:$Z,26,0)</f>
        <v>174.6</v>
      </c>
      <c r="AB49" s="9">
        <f>VLOOKUP(A:A,[1]TDSheet!$A:$AA,27,0)</f>
        <v>242.8</v>
      </c>
      <c r="AC49" s="9">
        <f>VLOOKUP(A:A,[1]TDSheet!$A:$R,18,0)</f>
        <v>195.2</v>
      </c>
      <c r="AD49" s="9" t="str">
        <f>VLOOKUP(A:A,[1]TDSheet!$A:$AB,28,0)</f>
        <v>ТС Обжора</v>
      </c>
      <c r="AE49" s="9">
        <f t="shared" si="9"/>
        <v>315</v>
      </c>
      <c r="AF49" s="9">
        <f t="shared" si="10"/>
        <v>315</v>
      </c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</row>
    <row r="50" spans="1:83" ht="11.1" customHeight="1" x14ac:dyDescent="0.2">
      <c r="A50" s="7" t="s">
        <v>50</v>
      </c>
      <c r="B50" s="7" t="s">
        <v>10</v>
      </c>
      <c r="C50" s="7">
        <f>VLOOKUP(A:A,[1]TDSheet!$A:$C,3,0)</f>
        <v>6713</v>
      </c>
      <c r="D50" s="8">
        <v>102</v>
      </c>
      <c r="E50" s="8">
        <v>800</v>
      </c>
      <c r="F50" s="8">
        <v>450</v>
      </c>
      <c r="G50" s="8">
        <v>373</v>
      </c>
      <c r="H50" s="22">
        <f>VLOOKUP(A:A,[1]TDSheet!$A:$H,8,0)</f>
        <v>0.41</v>
      </c>
      <c r="I50" s="9">
        <f>VLOOKUP(A:A,[1]TDSheet!$A:$I,9,0)</f>
        <v>45</v>
      </c>
      <c r="J50" s="9" t="str">
        <f>VLOOKUP(A:A,[1]TDSheet!$A:$J,10,0)</f>
        <v>в матрице</v>
      </c>
      <c r="K50" s="9"/>
      <c r="L50" s="9">
        <f>VLOOKUP(A:A,[2]TDSheet!$A:$B,2,0)</f>
        <v>466</v>
      </c>
      <c r="M50" s="9">
        <f t="shared" si="3"/>
        <v>-16</v>
      </c>
      <c r="N50" s="9"/>
      <c r="O50" s="9"/>
      <c r="P50" s="9">
        <f>VLOOKUP(A:A,[1]TDSheet!$A:$S,19,0)</f>
        <v>360</v>
      </c>
      <c r="Q50" s="9">
        <v>360</v>
      </c>
      <c r="R50" s="9">
        <f t="shared" si="4"/>
        <v>90</v>
      </c>
      <c r="S50" s="45">
        <v>160</v>
      </c>
      <c r="T50" s="23">
        <f t="shared" si="5"/>
        <v>80</v>
      </c>
      <c r="U50" s="23">
        <f t="shared" si="6"/>
        <v>80</v>
      </c>
      <c r="V50" s="23"/>
      <c r="W50" s="9">
        <f>VLOOKUP(A:A,[3]TDSheet!$A:$U,21,0)</f>
        <v>0</v>
      </c>
      <c r="X50" s="9">
        <f t="shared" si="7"/>
        <v>13.922222222222222</v>
      </c>
      <c r="Y50" s="9">
        <f t="shared" si="8"/>
        <v>4.1444444444444448</v>
      </c>
      <c r="Z50" s="9">
        <f>VLOOKUP(A:A,[1]TDSheet!$A:$Y,25,0)</f>
        <v>70.8</v>
      </c>
      <c r="AA50" s="9">
        <f>VLOOKUP(A:A,[1]TDSheet!$A:$Z,26,0)</f>
        <v>61</v>
      </c>
      <c r="AB50" s="9">
        <f>VLOOKUP(A:A,[1]TDSheet!$A:$AA,27,0)</f>
        <v>64.599999999999994</v>
      </c>
      <c r="AC50" s="9">
        <f>VLOOKUP(A:A,[1]TDSheet!$A:$R,18,0)</f>
        <v>87.2</v>
      </c>
      <c r="AD50" s="9" t="str">
        <f>VLOOKUP(A:A,[1]TDSheet!$A:$AB,28,0)</f>
        <v>Обжора / Паллет</v>
      </c>
      <c r="AE50" s="9">
        <f t="shared" si="9"/>
        <v>32.799999999999997</v>
      </c>
      <c r="AF50" s="9">
        <f t="shared" si="10"/>
        <v>32.799999999999997</v>
      </c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</row>
    <row r="51" spans="1:83" ht="11.1" customHeight="1" x14ac:dyDescent="0.2">
      <c r="A51" s="7" t="s">
        <v>51</v>
      </c>
      <c r="B51" s="7" t="s">
        <v>10</v>
      </c>
      <c r="C51" s="7">
        <f>VLOOKUP(A:A,[1]TDSheet!$A:$C,3,0)</f>
        <v>6724</v>
      </c>
      <c r="D51" s="8">
        <v>105</v>
      </c>
      <c r="E51" s="8">
        <v>104</v>
      </c>
      <c r="F51" s="8">
        <v>123</v>
      </c>
      <c r="G51" s="8">
        <v>71</v>
      </c>
      <c r="H51" s="22">
        <f>VLOOKUP(A:A,[1]TDSheet!$A:$H,8,0)</f>
        <v>0.41</v>
      </c>
      <c r="I51" s="9">
        <f>VLOOKUP(A:A,[1]TDSheet!$A:$I,9,0)</f>
        <v>45</v>
      </c>
      <c r="J51" s="9" t="str">
        <f>VLOOKUP(A:A,[1]TDSheet!$A:$J,10,0)</f>
        <v>в матрице</v>
      </c>
      <c r="K51" s="9"/>
      <c r="L51" s="9">
        <f>VLOOKUP(A:A,[2]TDSheet!$A:$B,2,0)</f>
        <v>132</v>
      </c>
      <c r="M51" s="9">
        <f t="shared" si="3"/>
        <v>-9</v>
      </c>
      <c r="N51" s="9"/>
      <c r="O51" s="9"/>
      <c r="P51" s="9">
        <f>VLOOKUP(A:A,[1]TDSheet!$A:$S,19,0)</f>
        <v>60</v>
      </c>
      <c r="Q51" s="9">
        <v>60</v>
      </c>
      <c r="R51" s="9">
        <f t="shared" si="4"/>
        <v>24.6</v>
      </c>
      <c r="S51" s="45">
        <v>160</v>
      </c>
      <c r="T51" s="23">
        <f t="shared" si="5"/>
        <v>80</v>
      </c>
      <c r="U51" s="23">
        <f t="shared" si="6"/>
        <v>80</v>
      </c>
      <c r="V51" s="23"/>
      <c r="W51" s="9">
        <f>VLOOKUP(A:A,[3]TDSheet!$A:$U,21,0)</f>
        <v>0</v>
      </c>
      <c r="X51" s="9">
        <f t="shared" si="7"/>
        <v>14.268292682926829</v>
      </c>
      <c r="Y51" s="9">
        <f t="shared" si="8"/>
        <v>2.8861788617886179</v>
      </c>
      <c r="Z51" s="9">
        <f>VLOOKUP(A:A,[1]TDSheet!$A:$Y,25,0)</f>
        <v>24.6</v>
      </c>
      <c r="AA51" s="9">
        <f>VLOOKUP(A:A,[1]TDSheet!$A:$Z,26,0)</f>
        <v>19</v>
      </c>
      <c r="AB51" s="9">
        <f>VLOOKUP(A:A,[1]TDSheet!$A:$AA,27,0)</f>
        <v>12.2</v>
      </c>
      <c r="AC51" s="9">
        <f>VLOOKUP(A:A,[1]TDSheet!$A:$R,18,0)</f>
        <v>19.8</v>
      </c>
      <c r="AD51" s="9">
        <f>VLOOKUP(A:A,[1]TDSheet!$A:$AB,28,0)</f>
        <v>0</v>
      </c>
      <c r="AE51" s="9">
        <f t="shared" si="9"/>
        <v>32.799999999999997</v>
      </c>
      <c r="AF51" s="9">
        <f t="shared" si="10"/>
        <v>32.799999999999997</v>
      </c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  <c r="CE51" s="9"/>
    </row>
    <row r="52" spans="1:83" ht="11.1" customHeight="1" x14ac:dyDescent="0.2">
      <c r="A52" s="7" t="s">
        <v>52</v>
      </c>
      <c r="B52" s="7" t="s">
        <v>10</v>
      </c>
      <c r="C52" s="7">
        <f>VLOOKUP(A:A,[1]TDSheet!$A:$C,3,0)</f>
        <v>6765</v>
      </c>
      <c r="D52" s="8">
        <v>204</v>
      </c>
      <c r="E52" s="8">
        <v>965</v>
      </c>
      <c r="F52" s="8">
        <v>309</v>
      </c>
      <c r="G52" s="8">
        <v>181</v>
      </c>
      <c r="H52" s="22">
        <f>VLOOKUP(A:A,[1]TDSheet!$A:$H,8,0)</f>
        <v>0.36</v>
      </c>
      <c r="I52" s="9">
        <f>VLOOKUP(A:A,[1]TDSheet!$A:$I,9,0)</f>
        <v>45</v>
      </c>
      <c r="J52" s="9" t="str">
        <f>VLOOKUP(A:A,[1]TDSheet!$A:$J,10,0)</f>
        <v>в матрице</v>
      </c>
      <c r="K52" s="9"/>
      <c r="L52" s="9">
        <f>VLOOKUP(A:A,[2]TDSheet!$A:$B,2,0)</f>
        <v>342</v>
      </c>
      <c r="M52" s="9">
        <f t="shared" si="3"/>
        <v>-33</v>
      </c>
      <c r="N52" s="9"/>
      <c r="O52" s="9"/>
      <c r="P52" s="9">
        <f>VLOOKUP(A:A,[1]TDSheet!$A:$S,19,0)</f>
        <v>180</v>
      </c>
      <c r="Q52" s="9">
        <v>180</v>
      </c>
      <c r="R52" s="9">
        <f t="shared" si="4"/>
        <v>61.8</v>
      </c>
      <c r="S52" s="45">
        <v>320</v>
      </c>
      <c r="T52" s="23">
        <f t="shared" si="5"/>
        <v>160</v>
      </c>
      <c r="U52" s="23">
        <f t="shared" si="6"/>
        <v>160</v>
      </c>
      <c r="V52" s="23"/>
      <c r="W52" s="9">
        <f>VLOOKUP(A:A,[3]TDSheet!$A:$U,21,0)</f>
        <v>0</v>
      </c>
      <c r="X52" s="9">
        <f t="shared" si="7"/>
        <v>13.932038834951458</v>
      </c>
      <c r="Y52" s="9">
        <f t="shared" si="8"/>
        <v>2.9288025889967639</v>
      </c>
      <c r="Z52" s="9">
        <f>VLOOKUP(A:A,[1]TDSheet!$A:$Y,25,0)</f>
        <v>30.8</v>
      </c>
      <c r="AA52" s="9">
        <f>VLOOKUP(A:A,[1]TDSheet!$A:$Z,26,0)</f>
        <v>48.8</v>
      </c>
      <c r="AB52" s="9">
        <f>VLOOKUP(A:A,[1]TDSheet!$A:$AA,27,0)</f>
        <v>26.6</v>
      </c>
      <c r="AC52" s="9">
        <f>VLOOKUP(A:A,[1]TDSheet!$A:$R,18,0)</f>
        <v>45.8</v>
      </c>
      <c r="AD52" s="9" t="str">
        <f>VLOOKUP(A:A,[1]TDSheet!$A:$AB,28,0)</f>
        <v>Обжора / Паллет</v>
      </c>
      <c r="AE52" s="9">
        <f t="shared" si="9"/>
        <v>57.599999999999994</v>
      </c>
      <c r="AF52" s="9">
        <f t="shared" si="10"/>
        <v>57.599999999999994</v>
      </c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</row>
    <row r="53" spans="1:83" ht="11.1" customHeight="1" x14ac:dyDescent="0.2">
      <c r="A53" s="7" t="s">
        <v>53</v>
      </c>
      <c r="B53" s="7" t="s">
        <v>10</v>
      </c>
      <c r="C53" s="7">
        <f>VLOOKUP(A:A,[1]TDSheet!$A:$C,3,0)</f>
        <v>6787</v>
      </c>
      <c r="D53" s="8">
        <v>51</v>
      </c>
      <c r="E53" s="8">
        <v>548</v>
      </c>
      <c r="F53" s="8">
        <v>271</v>
      </c>
      <c r="G53" s="8">
        <v>314</v>
      </c>
      <c r="H53" s="22">
        <f>VLOOKUP(A:A,[1]TDSheet!$A:$H,8,0)</f>
        <v>0.33</v>
      </c>
      <c r="I53" s="9">
        <f>VLOOKUP(A:A,[1]TDSheet!$A:$I,9,0)</f>
        <v>45</v>
      </c>
      <c r="J53" s="9" t="str">
        <f>VLOOKUP(A:A,[1]TDSheet!$A:$J,10,0)</f>
        <v>в матрице</v>
      </c>
      <c r="K53" s="9"/>
      <c r="L53" s="9">
        <f>VLOOKUP(A:A,[2]TDSheet!$A:$B,2,0)</f>
        <v>282</v>
      </c>
      <c r="M53" s="9">
        <f t="shared" si="3"/>
        <v>-11</v>
      </c>
      <c r="N53" s="9"/>
      <c r="O53" s="9"/>
      <c r="P53" s="9">
        <f>VLOOKUP(A:A,[1]TDSheet!$A:$S,19,0)</f>
        <v>150</v>
      </c>
      <c r="Q53" s="9">
        <v>150</v>
      </c>
      <c r="R53" s="9">
        <f t="shared" si="4"/>
        <v>54.2</v>
      </c>
      <c r="S53" s="45">
        <v>140</v>
      </c>
      <c r="T53" s="23">
        <f t="shared" si="5"/>
        <v>70</v>
      </c>
      <c r="U53" s="23">
        <f t="shared" si="6"/>
        <v>70</v>
      </c>
      <c r="V53" s="23"/>
      <c r="W53" s="9">
        <f>VLOOKUP(A:A,[3]TDSheet!$A:$U,21,0)</f>
        <v>0</v>
      </c>
      <c r="X53" s="9">
        <f t="shared" si="7"/>
        <v>13.911439114391143</v>
      </c>
      <c r="Y53" s="9">
        <f t="shared" si="8"/>
        <v>5.7933579335793359</v>
      </c>
      <c r="Z53" s="9">
        <f>VLOOKUP(A:A,[1]TDSheet!$A:$Y,25,0)</f>
        <v>59.2</v>
      </c>
      <c r="AA53" s="9">
        <f>VLOOKUP(A:A,[1]TDSheet!$A:$Z,26,0)</f>
        <v>41.2</v>
      </c>
      <c r="AB53" s="9">
        <f>VLOOKUP(A:A,[1]TDSheet!$A:$AA,27,0)</f>
        <v>51.6</v>
      </c>
      <c r="AC53" s="9">
        <f>VLOOKUP(A:A,[1]TDSheet!$A:$R,18,0)</f>
        <v>54.8</v>
      </c>
      <c r="AD53" s="9" t="str">
        <f>VLOOKUP(A:A,[1]TDSheet!$A:$AB,28,0)</f>
        <v>Обжора / Паллет</v>
      </c>
      <c r="AE53" s="9">
        <f t="shared" si="9"/>
        <v>23.1</v>
      </c>
      <c r="AF53" s="9">
        <f t="shared" si="10"/>
        <v>23.1</v>
      </c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9"/>
    </row>
    <row r="54" spans="1:83" ht="11.1" customHeight="1" x14ac:dyDescent="0.2">
      <c r="A54" s="7" t="s">
        <v>54</v>
      </c>
      <c r="B54" s="7" t="s">
        <v>10</v>
      </c>
      <c r="C54" s="7">
        <f>VLOOKUP(A:A,[1]TDSheet!$A:$C,3,0)</f>
        <v>6793</v>
      </c>
      <c r="D54" s="8">
        <v>-8</v>
      </c>
      <c r="E54" s="8">
        <v>128</v>
      </c>
      <c r="F54" s="8">
        <v>-1</v>
      </c>
      <c r="G54" s="8"/>
      <c r="H54" s="22">
        <f>VLOOKUP(A:A,[1]TDSheet!$A:$H,8,0)</f>
        <v>0.33</v>
      </c>
      <c r="I54" s="9">
        <f>VLOOKUP(A:A,[1]TDSheet!$A:$I,9,0)</f>
        <v>45</v>
      </c>
      <c r="J54" s="9" t="str">
        <f>VLOOKUP(A:A,[1]TDSheet!$A:$J,10,0)</f>
        <v>в матрице</v>
      </c>
      <c r="K54" s="9"/>
      <c r="L54" s="9">
        <f>VLOOKUP(A:A,[2]TDSheet!$A:$B,2,0)</f>
        <v>140</v>
      </c>
      <c r="M54" s="9">
        <f t="shared" si="3"/>
        <v>-141</v>
      </c>
      <c r="N54" s="9"/>
      <c r="O54" s="9"/>
      <c r="P54" s="9">
        <f>VLOOKUP(A:A,[1]TDSheet!$A:$S,19,0)</f>
        <v>50</v>
      </c>
      <c r="Q54" s="9">
        <v>50</v>
      </c>
      <c r="R54" s="9">
        <f t="shared" si="4"/>
        <v>-0.2</v>
      </c>
      <c r="S54" s="45"/>
      <c r="T54" s="23">
        <f t="shared" si="5"/>
        <v>0</v>
      </c>
      <c r="U54" s="23">
        <f t="shared" si="6"/>
        <v>0</v>
      </c>
      <c r="V54" s="23"/>
      <c r="W54" s="9">
        <f>VLOOKUP(A:A,[3]TDSheet!$A:$U,21,0)</f>
        <v>0</v>
      </c>
      <c r="X54" s="9">
        <f t="shared" si="7"/>
        <v>-500</v>
      </c>
      <c r="Y54" s="9">
        <f t="shared" si="8"/>
        <v>0</v>
      </c>
      <c r="Z54" s="9">
        <f>VLOOKUP(A:A,[1]TDSheet!$A:$Y,25,0)</f>
        <v>12.4</v>
      </c>
      <c r="AA54" s="9">
        <f>VLOOKUP(A:A,[1]TDSheet!$A:$Z,26,0)</f>
        <v>5.8</v>
      </c>
      <c r="AB54" s="9">
        <f>VLOOKUP(A:A,[1]TDSheet!$A:$AA,27,0)</f>
        <v>26.4</v>
      </c>
      <c r="AC54" s="9">
        <f>VLOOKUP(A:A,[1]TDSheet!$A:$R,18,0)</f>
        <v>7.2</v>
      </c>
      <c r="AD54" s="9" t="str">
        <f>VLOOKUP(A:A,[1]TDSheet!$A:$AB,28,0)</f>
        <v>ТС Обжора</v>
      </c>
      <c r="AE54" s="9">
        <f t="shared" si="9"/>
        <v>0</v>
      </c>
      <c r="AF54" s="9">
        <f t="shared" si="10"/>
        <v>0</v>
      </c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</row>
    <row r="55" spans="1:83" ht="11.1" customHeight="1" x14ac:dyDescent="0.2">
      <c r="A55" s="7" t="s">
        <v>55</v>
      </c>
      <c r="B55" s="7" t="s">
        <v>10</v>
      </c>
      <c r="C55" s="7">
        <f>VLOOKUP(A:A,[1]TDSheet!$A:$C,3,0)</f>
        <v>6797</v>
      </c>
      <c r="D55" s="8">
        <v>401</v>
      </c>
      <c r="E55" s="8">
        <v>87</v>
      </c>
      <c r="F55" s="8">
        <v>187</v>
      </c>
      <c r="G55" s="8">
        <v>279</v>
      </c>
      <c r="H55" s="22">
        <f>VLOOKUP(A:A,[1]TDSheet!$A:$H,8,0)</f>
        <v>0.4</v>
      </c>
      <c r="I55" s="9" t="e">
        <f>VLOOKUP(A:A,[1]TDSheet!$A:$I,9,0)</f>
        <v>#N/A</v>
      </c>
      <c r="J55" s="9" t="e">
        <f>VLOOKUP(A:A,[1]TDSheet!$A:$J,10,0)</f>
        <v>#N/A</v>
      </c>
      <c r="K55" s="9"/>
      <c r="L55" s="9">
        <f>VLOOKUP(A:A,[2]TDSheet!$A:$B,2,0)</f>
        <v>193</v>
      </c>
      <c r="M55" s="9">
        <f t="shared" si="3"/>
        <v>-6</v>
      </c>
      <c r="N55" s="9"/>
      <c r="O55" s="9"/>
      <c r="P55" s="9">
        <f>VLOOKUP(A:A,[1]TDSheet!$A:$S,19,0)</f>
        <v>80</v>
      </c>
      <c r="Q55" s="9">
        <v>80</v>
      </c>
      <c r="R55" s="9">
        <f t="shared" si="4"/>
        <v>37.4</v>
      </c>
      <c r="S55" s="45">
        <v>80</v>
      </c>
      <c r="T55" s="23">
        <f t="shared" si="5"/>
        <v>40</v>
      </c>
      <c r="U55" s="23">
        <f t="shared" si="6"/>
        <v>40</v>
      </c>
      <c r="V55" s="23"/>
      <c r="W55" s="9">
        <f>VLOOKUP(A:A,[3]TDSheet!$A:$U,21,0)</f>
        <v>0</v>
      </c>
      <c r="X55" s="9">
        <f t="shared" si="7"/>
        <v>13.877005347593583</v>
      </c>
      <c r="Y55" s="9">
        <f t="shared" si="8"/>
        <v>7.4598930481283423</v>
      </c>
      <c r="Z55" s="9">
        <f>VLOOKUP(A:A,[1]TDSheet!$A:$Y,25,0)</f>
        <v>0</v>
      </c>
      <c r="AA55" s="9">
        <f>VLOOKUP(A:A,[1]TDSheet!$A:$Z,26,0)</f>
        <v>0</v>
      </c>
      <c r="AB55" s="9">
        <f>VLOOKUP(A:A,[1]TDSheet!$A:$AA,27,0)</f>
        <v>11.2</v>
      </c>
      <c r="AC55" s="9">
        <f>VLOOKUP(A:A,[1]TDSheet!$A:$R,18,0)</f>
        <v>40.200000000000003</v>
      </c>
      <c r="AD55" s="9" t="e">
        <f>VLOOKUP(A:A,[1]TDSheet!$A:$AB,28,0)</f>
        <v>#N/A</v>
      </c>
      <c r="AE55" s="9">
        <f t="shared" si="9"/>
        <v>16</v>
      </c>
      <c r="AF55" s="9">
        <f t="shared" si="10"/>
        <v>16</v>
      </c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</row>
    <row r="56" spans="1:83" ht="11.1" customHeight="1" x14ac:dyDescent="0.2">
      <c r="A56" s="7" t="s">
        <v>56</v>
      </c>
      <c r="B56" s="7" t="s">
        <v>10</v>
      </c>
      <c r="C56" s="7">
        <f>VLOOKUP(A:A,[1]TDSheet!$A:$C,3,0)</f>
        <v>6807</v>
      </c>
      <c r="D56" s="8">
        <v>21</v>
      </c>
      <c r="E56" s="8">
        <v>347</v>
      </c>
      <c r="F56" s="8">
        <v>31</v>
      </c>
      <c r="G56" s="8">
        <v>330</v>
      </c>
      <c r="H56" s="22">
        <f>VLOOKUP(A:A,[1]TDSheet!$A:$H,8,0)</f>
        <v>0.33</v>
      </c>
      <c r="I56" s="9">
        <f>VLOOKUP(A:A,[1]TDSheet!$A:$I,9,0)</f>
        <v>45</v>
      </c>
      <c r="J56" s="9" t="str">
        <f>VLOOKUP(A:A,[1]TDSheet!$A:$J,10,0)</f>
        <v>в матрице</v>
      </c>
      <c r="K56" s="9"/>
      <c r="L56" s="9">
        <f>VLOOKUP(A:A,[2]TDSheet!$A:$B,2,0)</f>
        <v>36</v>
      </c>
      <c r="M56" s="9">
        <f t="shared" si="3"/>
        <v>-5</v>
      </c>
      <c r="N56" s="9"/>
      <c r="O56" s="9"/>
      <c r="P56" s="9">
        <f>VLOOKUP(A:A,[1]TDSheet!$A:$S,19,0)</f>
        <v>25</v>
      </c>
      <c r="Q56" s="9">
        <v>25</v>
      </c>
      <c r="R56" s="9">
        <f t="shared" si="4"/>
        <v>6.2</v>
      </c>
      <c r="S56" s="45"/>
      <c r="T56" s="23">
        <f t="shared" si="5"/>
        <v>0</v>
      </c>
      <c r="U56" s="23">
        <f t="shared" si="6"/>
        <v>0</v>
      </c>
      <c r="V56" s="23"/>
      <c r="W56" s="9">
        <f>VLOOKUP(A:A,[3]TDSheet!$A:$U,21,0)</f>
        <v>0</v>
      </c>
      <c r="X56" s="9">
        <f t="shared" si="7"/>
        <v>61.29032258064516</v>
      </c>
      <c r="Y56" s="9">
        <f t="shared" si="8"/>
        <v>53.225806451612904</v>
      </c>
      <c r="Z56" s="9">
        <f>VLOOKUP(A:A,[1]TDSheet!$A:$Y,25,0)</f>
        <v>18</v>
      </c>
      <c r="AA56" s="9">
        <f>VLOOKUP(A:A,[1]TDSheet!$A:$Z,26,0)</f>
        <v>13</v>
      </c>
      <c r="AB56" s="9">
        <f>VLOOKUP(A:A,[1]TDSheet!$A:$AA,27,0)</f>
        <v>26.6</v>
      </c>
      <c r="AC56" s="9">
        <f>VLOOKUP(A:A,[1]TDSheet!$A:$R,18,0)</f>
        <v>4.8</v>
      </c>
      <c r="AD56" s="9" t="str">
        <f>VLOOKUP(A:A,[1]TDSheet!$A:$AB,28,0)</f>
        <v>Обжора / Паллет</v>
      </c>
      <c r="AE56" s="9">
        <f t="shared" si="9"/>
        <v>0</v>
      </c>
      <c r="AF56" s="9">
        <f t="shared" si="10"/>
        <v>0</v>
      </c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</row>
    <row r="57" spans="1:83" ht="11.1" customHeight="1" x14ac:dyDescent="0.2">
      <c r="A57" s="7" t="s">
        <v>57</v>
      </c>
      <c r="B57" s="7" t="s">
        <v>12</v>
      </c>
      <c r="C57" s="7">
        <f>VLOOKUP(A:A,[1]TDSheet!$A:$C,3,0)</f>
        <v>6829</v>
      </c>
      <c r="D57" s="8">
        <v>180.94399999999999</v>
      </c>
      <c r="E57" s="8">
        <v>745.44600000000003</v>
      </c>
      <c r="F57" s="8">
        <v>466.47800000000001</v>
      </c>
      <c r="G57" s="8">
        <v>373.649</v>
      </c>
      <c r="H57" s="22">
        <f>VLOOKUP(A:A,[1]TDSheet!$A:$H,8,0)</f>
        <v>1</v>
      </c>
      <c r="I57" s="9">
        <f>VLOOKUP(A:A,[1]TDSheet!$A:$I,9,0)</f>
        <v>45</v>
      </c>
      <c r="J57" s="9" t="str">
        <f>VLOOKUP(A:A,[1]TDSheet!$A:$J,10,0)</f>
        <v>в матрице</v>
      </c>
      <c r="K57" s="9"/>
      <c r="L57" s="9">
        <f>VLOOKUP(A:A,[2]TDSheet!$A:$B,2,0)</f>
        <v>472.25599999999997</v>
      </c>
      <c r="M57" s="9">
        <f t="shared" si="3"/>
        <v>-5.7779999999999632</v>
      </c>
      <c r="N57" s="9"/>
      <c r="O57" s="9"/>
      <c r="P57" s="9">
        <f>VLOOKUP(A:A,[1]TDSheet!$A:$S,19,0)</f>
        <v>200</v>
      </c>
      <c r="Q57" s="9">
        <v>200</v>
      </c>
      <c r="R57" s="9">
        <f t="shared" si="4"/>
        <v>93.295600000000007</v>
      </c>
      <c r="S57" s="45">
        <v>520</v>
      </c>
      <c r="T57" s="23">
        <f t="shared" si="5"/>
        <v>260</v>
      </c>
      <c r="U57" s="23">
        <f t="shared" si="6"/>
        <v>260</v>
      </c>
      <c r="V57" s="23"/>
      <c r="W57" s="9">
        <f>VLOOKUP(A:A,[3]TDSheet!$A:$U,21,0)</f>
        <v>0</v>
      </c>
      <c r="X57" s="9">
        <f t="shared" si="7"/>
        <v>13.866130878626642</v>
      </c>
      <c r="Y57" s="9">
        <f t="shared" si="8"/>
        <v>4.0050013076715301</v>
      </c>
      <c r="Z57" s="9">
        <f>VLOOKUP(A:A,[1]TDSheet!$A:$Y,25,0)</f>
        <v>55.942399999999999</v>
      </c>
      <c r="AA57" s="9">
        <f>VLOOKUP(A:A,[1]TDSheet!$A:$Z,26,0)</f>
        <v>66.259600000000006</v>
      </c>
      <c r="AB57" s="9">
        <f>VLOOKUP(A:A,[1]TDSheet!$A:$AA,27,0)</f>
        <v>76.353999999999999</v>
      </c>
      <c r="AC57" s="9">
        <f>VLOOKUP(A:A,[1]TDSheet!$A:$R,18,0)</f>
        <v>67.717999999999989</v>
      </c>
      <c r="AD57" s="9">
        <f>VLOOKUP(A:A,[1]TDSheet!$A:$AB,28,0)</f>
        <v>0</v>
      </c>
      <c r="AE57" s="9">
        <f t="shared" si="9"/>
        <v>260</v>
      </c>
      <c r="AF57" s="9">
        <f t="shared" si="10"/>
        <v>260</v>
      </c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  <c r="CE57" s="9"/>
    </row>
    <row r="58" spans="1:83" ht="11.1" customHeight="1" x14ac:dyDescent="0.2">
      <c r="A58" s="7" t="s">
        <v>58</v>
      </c>
      <c r="B58" s="7" t="s">
        <v>12</v>
      </c>
      <c r="C58" s="7">
        <f>VLOOKUP(A:A,[1]TDSheet!$A:$C,3,0)</f>
        <v>6832</v>
      </c>
      <c r="D58" s="10"/>
      <c r="E58" s="8">
        <v>60.999000000000002</v>
      </c>
      <c r="F58" s="8">
        <v>42.953000000000003</v>
      </c>
      <c r="G58" s="8">
        <v>18.045999999999999</v>
      </c>
      <c r="H58" s="22">
        <f>VLOOKUP(A:A,[1]TDSheet!$A:$H,8,0)</f>
        <v>1</v>
      </c>
      <c r="I58" s="9">
        <f>VLOOKUP(A:A,[1]TDSheet!$A:$I,9,0)</f>
        <v>0</v>
      </c>
      <c r="J58" s="9">
        <f>VLOOKUP(A:A,[1]TDSheet!$A:$J,10,0)</f>
        <v>0</v>
      </c>
      <c r="K58" s="9"/>
      <c r="L58" s="9">
        <f>VLOOKUP(A:A,[2]TDSheet!$A:$B,2,0)</f>
        <v>42.4</v>
      </c>
      <c r="M58" s="9">
        <f t="shared" si="3"/>
        <v>0.55300000000000438</v>
      </c>
      <c r="N58" s="9"/>
      <c r="O58" s="9"/>
      <c r="P58" s="9">
        <f>VLOOKUP(A:A,[1]TDSheet!$A:$S,19,0)</f>
        <v>0</v>
      </c>
      <c r="Q58" s="9">
        <v>0</v>
      </c>
      <c r="R58" s="9">
        <f t="shared" si="4"/>
        <v>8.5906000000000002</v>
      </c>
      <c r="S58" s="45">
        <v>100</v>
      </c>
      <c r="T58" s="23">
        <f t="shared" si="5"/>
        <v>50</v>
      </c>
      <c r="U58" s="23">
        <f t="shared" si="6"/>
        <v>50</v>
      </c>
      <c r="V58" s="23"/>
      <c r="W58" s="9">
        <f>VLOOKUP(A:A,[3]TDSheet!$A:$U,21,0)</f>
        <v>0</v>
      </c>
      <c r="X58" s="9">
        <f t="shared" si="7"/>
        <v>13.74129862873373</v>
      </c>
      <c r="Y58" s="9">
        <f t="shared" si="8"/>
        <v>2.1006681721882057</v>
      </c>
      <c r="Z58" s="9">
        <f>VLOOKUP(A:A,[1]TDSheet!$A:$Y,25,0)</f>
        <v>5.4905999999999997</v>
      </c>
      <c r="AA58" s="9">
        <f>VLOOKUP(A:A,[1]TDSheet!$A:$Z,26,0)</f>
        <v>0.93459999999999999</v>
      </c>
      <c r="AB58" s="9">
        <f>VLOOKUP(A:A,[1]TDSheet!$A:$AA,27,0)</f>
        <v>5.4938000000000002</v>
      </c>
      <c r="AC58" s="9">
        <f>VLOOKUP(A:A,[1]TDSheet!$A:$R,18,0)</f>
        <v>4.8000000000000001E-2</v>
      </c>
      <c r="AD58" s="9" t="str">
        <f>VLOOKUP(A:A,[1]TDSheet!$A:$AB,28,0)</f>
        <v>нужно увеличить продажи!!!</v>
      </c>
      <c r="AE58" s="9">
        <f t="shared" si="9"/>
        <v>50</v>
      </c>
      <c r="AF58" s="9">
        <f t="shared" si="10"/>
        <v>50</v>
      </c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</row>
    <row r="59" spans="1:83" ht="11.1" customHeight="1" x14ac:dyDescent="0.2">
      <c r="A59" s="7" t="s">
        <v>59</v>
      </c>
      <c r="B59" s="7" t="s">
        <v>10</v>
      </c>
      <c r="C59" s="7">
        <f>VLOOKUP(A:A,[1]TDSheet!$A:$C,3,0)</f>
        <v>6834</v>
      </c>
      <c r="D59" s="8">
        <v>22</v>
      </c>
      <c r="E59" s="8"/>
      <c r="F59" s="8">
        <v>14</v>
      </c>
      <c r="G59" s="8">
        <v>5</v>
      </c>
      <c r="H59" s="22">
        <f>VLOOKUP(A:A,[1]TDSheet!$A:$H,8,0)</f>
        <v>0.1</v>
      </c>
      <c r="I59" s="9">
        <f>VLOOKUP(A:A,[1]TDSheet!$A:$I,9,0)</f>
        <v>60</v>
      </c>
      <c r="J59" s="9" t="str">
        <f>VLOOKUP(A:A,[1]TDSheet!$A:$J,10,0)</f>
        <v>в матрице</v>
      </c>
      <c r="K59" s="9"/>
      <c r="L59" s="9">
        <f>VLOOKUP(A:A,[2]TDSheet!$A:$B,2,0)</f>
        <v>14</v>
      </c>
      <c r="M59" s="9">
        <f t="shared" si="3"/>
        <v>0</v>
      </c>
      <c r="N59" s="9"/>
      <c r="O59" s="9"/>
      <c r="P59" s="9">
        <f>VLOOKUP(A:A,[1]TDSheet!$A:$S,19,0)</f>
        <v>25</v>
      </c>
      <c r="Q59" s="9">
        <v>25</v>
      </c>
      <c r="R59" s="9">
        <f t="shared" si="4"/>
        <v>2.8</v>
      </c>
      <c r="S59" s="45"/>
      <c r="T59" s="23">
        <f t="shared" si="5"/>
        <v>0</v>
      </c>
      <c r="U59" s="23">
        <f t="shared" si="6"/>
        <v>0</v>
      </c>
      <c r="V59" s="23"/>
      <c r="W59" s="9">
        <f>VLOOKUP(A:A,[3]TDSheet!$A:$U,21,0)</f>
        <v>0</v>
      </c>
      <c r="X59" s="9">
        <f t="shared" si="7"/>
        <v>19.642857142857142</v>
      </c>
      <c r="Y59" s="9">
        <f t="shared" si="8"/>
        <v>1.7857142857142858</v>
      </c>
      <c r="Z59" s="9">
        <f>VLOOKUP(A:A,[1]TDSheet!$A:$Y,25,0)</f>
        <v>2.4</v>
      </c>
      <c r="AA59" s="9">
        <f>VLOOKUP(A:A,[1]TDSheet!$A:$Z,26,0)</f>
        <v>2.2000000000000002</v>
      </c>
      <c r="AB59" s="9">
        <f>VLOOKUP(A:A,[1]TDSheet!$A:$AA,27,0)</f>
        <v>2</v>
      </c>
      <c r="AC59" s="9">
        <f>VLOOKUP(A:A,[1]TDSheet!$A:$R,18,0)</f>
        <v>3.4</v>
      </c>
      <c r="AD59" s="9">
        <f>VLOOKUP(A:A,[1]TDSheet!$A:$AB,28,0)</f>
        <v>0</v>
      </c>
      <c r="AE59" s="9">
        <f t="shared" si="9"/>
        <v>0</v>
      </c>
      <c r="AF59" s="9">
        <f t="shared" si="10"/>
        <v>0</v>
      </c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</row>
    <row r="60" spans="1:83" ht="11.1" customHeight="1" x14ac:dyDescent="0.2">
      <c r="A60" s="7" t="s">
        <v>60</v>
      </c>
      <c r="B60" s="7" t="s">
        <v>10</v>
      </c>
      <c r="C60" s="7">
        <f>VLOOKUP(A:A,[1]TDSheet!$A:$C,3,0)</f>
        <v>6837</v>
      </c>
      <c r="D60" s="8">
        <v>41</v>
      </c>
      <c r="E60" s="8">
        <v>37</v>
      </c>
      <c r="F60" s="8">
        <v>45</v>
      </c>
      <c r="G60" s="8">
        <v>22</v>
      </c>
      <c r="H60" s="22">
        <f>VLOOKUP(A:A,[1]TDSheet!$A:$H,8,0)</f>
        <v>0.4</v>
      </c>
      <c r="I60" s="9">
        <f>VLOOKUP(A:A,[1]TDSheet!$A:$I,9,0)</f>
        <v>45</v>
      </c>
      <c r="J60" s="9" t="str">
        <f>VLOOKUP(A:A,[1]TDSheet!$A:$J,10,0)</f>
        <v>в матрице</v>
      </c>
      <c r="K60" s="9"/>
      <c r="L60" s="9">
        <f>VLOOKUP(A:A,[2]TDSheet!$A:$B,2,0)</f>
        <v>54</v>
      </c>
      <c r="M60" s="9">
        <f t="shared" si="3"/>
        <v>-9</v>
      </c>
      <c r="N60" s="9"/>
      <c r="O60" s="9"/>
      <c r="P60" s="9">
        <f>VLOOKUP(A:A,[1]TDSheet!$A:$S,19,0)</f>
        <v>0</v>
      </c>
      <c r="Q60" s="9">
        <v>0</v>
      </c>
      <c r="R60" s="9">
        <f t="shared" si="4"/>
        <v>9</v>
      </c>
      <c r="S60" s="45">
        <v>100</v>
      </c>
      <c r="T60" s="23">
        <f t="shared" si="5"/>
        <v>50</v>
      </c>
      <c r="U60" s="23">
        <f t="shared" si="6"/>
        <v>50</v>
      </c>
      <c r="V60" s="23"/>
      <c r="W60" s="9">
        <f>VLOOKUP(A:A,[3]TDSheet!$A:$U,21,0)</f>
        <v>0</v>
      </c>
      <c r="X60" s="9">
        <f t="shared" si="7"/>
        <v>13.555555555555555</v>
      </c>
      <c r="Y60" s="9">
        <f t="shared" si="8"/>
        <v>2.4444444444444446</v>
      </c>
      <c r="Z60" s="9">
        <f>VLOOKUP(A:A,[1]TDSheet!$A:$Y,25,0)</f>
        <v>6.2</v>
      </c>
      <c r="AA60" s="9">
        <f>VLOOKUP(A:A,[1]TDSheet!$A:$Z,26,0)</f>
        <v>7.2</v>
      </c>
      <c r="AB60" s="9">
        <f>VLOOKUP(A:A,[1]TDSheet!$A:$AA,27,0)</f>
        <v>7.2</v>
      </c>
      <c r="AC60" s="9">
        <f>VLOOKUP(A:A,[1]TDSheet!$A:$R,18,0)</f>
        <v>2.6</v>
      </c>
      <c r="AD60" s="9" t="str">
        <f>VLOOKUP(A:A,[1]TDSheet!$A:$AB,28,0)</f>
        <v>увел продажи</v>
      </c>
      <c r="AE60" s="9">
        <f t="shared" si="9"/>
        <v>20</v>
      </c>
      <c r="AF60" s="9">
        <f t="shared" si="10"/>
        <v>20</v>
      </c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</row>
    <row r="61" spans="1:83" ht="11.1" customHeight="1" x14ac:dyDescent="0.2">
      <c r="A61" s="24" t="s">
        <v>61</v>
      </c>
      <c r="B61" s="24" t="s">
        <v>12</v>
      </c>
      <c r="C61" s="24">
        <f>VLOOKUP(A:A,[1]TDSheet!$A:$C,3,0)</f>
        <v>6861</v>
      </c>
      <c r="D61" s="25">
        <v>19.616</v>
      </c>
      <c r="E61" s="25">
        <v>7.8570000000000002</v>
      </c>
      <c r="F61" s="25">
        <v>3.8290000000000002</v>
      </c>
      <c r="G61" s="25">
        <v>11.795</v>
      </c>
      <c r="H61" s="26">
        <f>VLOOKUP(A:A,[1]TDSheet!$A:$H,8,0)</f>
        <v>1</v>
      </c>
      <c r="I61" s="27">
        <f>VLOOKUP(A:A,[1]TDSheet!$A:$I,9,0)</f>
        <v>60</v>
      </c>
      <c r="J61" s="27" t="str">
        <f>VLOOKUP(A:A,[1]TDSheet!$A:$J,10,0)</f>
        <v>новинка</v>
      </c>
      <c r="K61" s="9"/>
      <c r="L61" s="9">
        <f>VLOOKUP(A:A,[2]TDSheet!$A:$B,2,0)</f>
        <v>33.5</v>
      </c>
      <c r="M61" s="9">
        <f t="shared" si="3"/>
        <v>-29.670999999999999</v>
      </c>
      <c r="N61" s="9"/>
      <c r="O61" s="9"/>
      <c r="P61" s="9">
        <f>VLOOKUP(A:A,[1]TDSheet!$A:$S,19,0)</f>
        <v>10</v>
      </c>
      <c r="Q61" s="9">
        <v>10</v>
      </c>
      <c r="R61" s="9">
        <f t="shared" si="4"/>
        <v>0.76580000000000004</v>
      </c>
      <c r="S61" s="45"/>
      <c r="T61" s="23">
        <f t="shared" si="5"/>
        <v>0</v>
      </c>
      <c r="U61" s="23">
        <f t="shared" si="6"/>
        <v>0</v>
      </c>
      <c r="V61" s="23"/>
      <c r="W61" s="9">
        <f>VLOOKUP(A:A,[3]TDSheet!$A:$U,21,0)</f>
        <v>0</v>
      </c>
      <c r="X61" s="9">
        <f t="shared" si="7"/>
        <v>41.518673282841476</v>
      </c>
      <c r="Y61" s="9">
        <f t="shared" si="8"/>
        <v>15.402193784277879</v>
      </c>
      <c r="Z61" s="9">
        <f>VLOOKUP(A:A,[1]TDSheet!$A:$Y,25,0)</f>
        <v>4.7548000000000004</v>
      </c>
      <c r="AA61" s="9">
        <f>VLOOKUP(A:A,[1]TDSheet!$A:$Z,26,0)</f>
        <v>5.0624000000000002</v>
      </c>
      <c r="AB61" s="9">
        <f>VLOOKUP(A:A,[1]TDSheet!$A:$AA,27,0)</f>
        <v>3.1055999999999999</v>
      </c>
      <c r="AC61" s="9">
        <f>VLOOKUP(A:A,[1]TDSheet!$A:$R,18,0)</f>
        <v>4.3197999999999999</v>
      </c>
      <c r="AD61" s="9" t="str">
        <f>VLOOKUP(A:A,[1]TDSheet!$A:$AB,28,0)</f>
        <v>увел продажи</v>
      </c>
      <c r="AE61" s="9">
        <f t="shared" si="9"/>
        <v>0</v>
      </c>
      <c r="AF61" s="9">
        <f t="shared" si="10"/>
        <v>0</v>
      </c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</row>
    <row r="62" spans="1:83" ht="11.1" customHeight="1" x14ac:dyDescent="0.2">
      <c r="A62" s="7" t="s">
        <v>62</v>
      </c>
      <c r="B62" s="7" t="s">
        <v>12</v>
      </c>
      <c r="C62" s="7">
        <f>VLOOKUP(A:A,[1]TDSheet!$A:$C,3,0)</f>
        <v>6866</v>
      </c>
      <c r="D62" s="8">
        <v>13.54</v>
      </c>
      <c r="E62" s="8">
        <v>18.085000000000001</v>
      </c>
      <c r="F62" s="8">
        <v>22.64</v>
      </c>
      <c r="G62" s="8">
        <v>5.9749999999999996</v>
      </c>
      <c r="H62" s="22">
        <f>VLOOKUP(A:A,[1]TDSheet!$A:$H,8,0)</f>
        <v>1</v>
      </c>
      <c r="I62" s="9">
        <f>VLOOKUP(A:A,[1]TDSheet!$A:$I,9,0)</f>
        <v>60</v>
      </c>
      <c r="J62" s="9" t="str">
        <f>VLOOKUP(A:A,[1]TDSheet!$A:$J,10,0)</f>
        <v>в матрице</v>
      </c>
      <c r="K62" s="9"/>
      <c r="L62" s="9">
        <f>VLOOKUP(A:A,[2]TDSheet!$A:$B,2,0)</f>
        <v>22.4</v>
      </c>
      <c r="M62" s="9">
        <f t="shared" si="3"/>
        <v>0.24000000000000199</v>
      </c>
      <c r="N62" s="9"/>
      <c r="O62" s="9"/>
      <c r="P62" s="9">
        <f>VLOOKUP(A:A,[1]TDSheet!$A:$S,19,0)</f>
        <v>3</v>
      </c>
      <c r="Q62" s="9">
        <v>3</v>
      </c>
      <c r="R62" s="9">
        <f t="shared" si="4"/>
        <v>4.5280000000000005</v>
      </c>
      <c r="S62" s="45">
        <v>50</v>
      </c>
      <c r="T62" s="23">
        <f t="shared" si="5"/>
        <v>25</v>
      </c>
      <c r="U62" s="23">
        <f t="shared" si="6"/>
        <v>25</v>
      </c>
      <c r="V62" s="23"/>
      <c r="W62" s="9">
        <f>VLOOKUP(A:A,[3]TDSheet!$A:$U,21,0)</f>
        <v>0</v>
      </c>
      <c r="X62" s="9">
        <f t="shared" si="7"/>
        <v>13.687058303886925</v>
      </c>
      <c r="Y62" s="9">
        <f t="shared" si="8"/>
        <v>1.3195671378091871</v>
      </c>
      <c r="Z62" s="9">
        <f>VLOOKUP(A:A,[1]TDSheet!$A:$Y,25,0)</f>
        <v>3.6310000000000002</v>
      </c>
      <c r="AA62" s="9">
        <f>VLOOKUP(A:A,[1]TDSheet!$A:$Z,26,0)</f>
        <v>3.617</v>
      </c>
      <c r="AB62" s="9">
        <f>VLOOKUP(A:A,[1]TDSheet!$A:$AA,27,0)</f>
        <v>1.8579999999999999</v>
      </c>
      <c r="AC62" s="9">
        <f>VLOOKUP(A:A,[1]TDSheet!$A:$R,18,0)</f>
        <v>2.8533999999999997</v>
      </c>
      <c r="AD62" s="9">
        <f>VLOOKUP(A:A,[1]TDSheet!$A:$AB,28,0)</f>
        <v>0</v>
      </c>
      <c r="AE62" s="9">
        <f t="shared" si="9"/>
        <v>25</v>
      </c>
      <c r="AF62" s="9">
        <f t="shared" si="10"/>
        <v>25</v>
      </c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</row>
    <row r="63" spans="1:83" ht="11.1" customHeight="1" x14ac:dyDescent="0.2">
      <c r="A63" s="7" t="s">
        <v>63</v>
      </c>
      <c r="B63" s="7" t="s">
        <v>10</v>
      </c>
      <c r="C63" s="7">
        <f>VLOOKUP(A:A,[1]TDSheet!$A:$C,3,0)</f>
        <v>6925</v>
      </c>
      <c r="D63" s="8">
        <v>105</v>
      </c>
      <c r="E63" s="8"/>
      <c r="F63" s="8">
        <v>15</v>
      </c>
      <c r="G63" s="8">
        <v>89</v>
      </c>
      <c r="H63" s="22">
        <f>VLOOKUP(A:A,[1]TDSheet!$A:$H,8,0)</f>
        <v>0.6</v>
      </c>
      <c r="I63" s="9">
        <f>VLOOKUP(A:A,[1]TDSheet!$A:$I,9,0)</f>
        <v>0</v>
      </c>
      <c r="J63" s="9" t="e">
        <f>VLOOKUP(A:A,[1]TDSheet!$A:$J,10,0)</f>
        <v>#N/A</v>
      </c>
      <c r="K63" s="9"/>
      <c r="L63" s="9">
        <f>VLOOKUP(A:A,[2]TDSheet!$A:$B,2,0)</f>
        <v>17</v>
      </c>
      <c r="M63" s="9">
        <f t="shared" si="3"/>
        <v>-2</v>
      </c>
      <c r="N63" s="9"/>
      <c r="O63" s="9"/>
      <c r="P63" s="9">
        <f>VLOOKUP(A:A,[1]TDSheet!$A:$S,19,0)</f>
        <v>0</v>
      </c>
      <c r="Q63" s="9">
        <v>0</v>
      </c>
      <c r="R63" s="9">
        <f t="shared" si="4"/>
        <v>3</v>
      </c>
      <c r="S63" s="45"/>
      <c r="T63" s="23">
        <f t="shared" si="5"/>
        <v>0</v>
      </c>
      <c r="U63" s="23">
        <f t="shared" si="6"/>
        <v>0</v>
      </c>
      <c r="V63" s="23"/>
      <c r="W63" s="9">
        <f>VLOOKUP(A:A,[3]TDSheet!$A:$U,21,0)</f>
        <v>0</v>
      </c>
      <c r="X63" s="9">
        <f t="shared" si="7"/>
        <v>29.666666666666668</v>
      </c>
      <c r="Y63" s="9">
        <f t="shared" si="8"/>
        <v>29.666666666666668</v>
      </c>
      <c r="Z63" s="9">
        <f>VLOOKUP(A:A,[1]TDSheet!$A:$Y,25,0)</f>
        <v>10.4</v>
      </c>
      <c r="AA63" s="9">
        <f>VLOOKUP(A:A,[1]TDSheet!$A:$Z,26,0)</f>
        <v>6</v>
      </c>
      <c r="AB63" s="9">
        <f>VLOOKUP(A:A,[1]TDSheet!$A:$AA,27,0)</f>
        <v>7</v>
      </c>
      <c r="AC63" s="9">
        <f>VLOOKUP(A:A,[1]TDSheet!$A:$R,18,0)</f>
        <v>4.8</v>
      </c>
      <c r="AD63" s="9" t="e">
        <f>VLOOKUP(A:A,[1]TDSheet!$A:$AB,28,0)</f>
        <v>#N/A</v>
      </c>
      <c r="AE63" s="9">
        <f t="shared" si="9"/>
        <v>0</v>
      </c>
      <c r="AF63" s="9">
        <f t="shared" si="10"/>
        <v>0</v>
      </c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</row>
    <row r="64" spans="1:83" ht="11.1" customHeight="1" x14ac:dyDescent="0.2">
      <c r="A64" s="7" t="s">
        <v>64</v>
      </c>
      <c r="B64" s="7" t="s">
        <v>10</v>
      </c>
      <c r="C64" s="7">
        <f>VLOOKUP(A:A,[1]TDSheet!$A:$C,3,0)</f>
        <v>6967</v>
      </c>
      <c r="D64" s="8">
        <v>8</v>
      </c>
      <c r="E64" s="8">
        <v>176</v>
      </c>
      <c r="F64" s="8">
        <v>23</v>
      </c>
      <c r="G64" s="8">
        <v>159</v>
      </c>
      <c r="H64" s="22">
        <f>VLOOKUP(A:A,[1]TDSheet!$A:$H,8,0)</f>
        <v>0.25</v>
      </c>
      <c r="I64" s="9">
        <f>VLOOKUP(A:A,[1]TDSheet!$A:$I,9,0)</f>
        <v>120</v>
      </c>
      <c r="J64" s="9" t="str">
        <f>VLOOKUP(A:A,[1]TDSheet!$A:$J,10,0)</f>
        <v>в матрице</v>
      </c>
      <c r="K64" s="9"/>
      <c r="L64" s="9">
        <f>VLOOKUP(A:A,[2]TDSheet!$A:$B,2,0)</f>
        <v>24</v>
      </c>
      <c r="M64" s="9">
        <f t="shared" si="3"/>
        <v>-1</v>
      </c>
      <c r="N64" s="9"/>
      <c r="O64" s="9"/>
      <c r="P64" s="9">
        <f>VLOOKUP(A:A,[1]TDSheet!$A:$S,19,0)</f>
        <v>20</v>
      </c>
      <c r="Q64" s="9">
        <v>20</v>
      </c>
      <c r="R64" s="9">
        <f t="shared" si="4"/>
        <v>4.5999999999999996</v>
      </c>
      <c r="S64" s="45"/>
      <c r="T64" s="23">
        <f t="shared" si="5"/>
        <v>0</v>
      </c>
      <c r="U64" s="23">
        <f t="shared" si="6"/>
        <v>0</v>
      </c>
      <c r="V64" s="23"/>
      <c r="W64" s="9">
        <f>VLOOKUP(A:A,[3]TDSheet!$A:$U,21,0)</f>
        <v>0</v>
      </c>
      <c r="X64" s="9">
        <f t="shared" si="7"/>
        <v>43.260869565217398</v>
      </c>
      <c r="Y64" s="9">
        <f t="shared" si="8"/>
        <v>34.565217391304351</v>
      </c>
      <c r="Z64" s="9">
        <f>VLOOKUP(A:A,[1]TDSheet!$A:$Y,25,0)</f>
        <v>7</v>
      </c>
      <c r="AA64" s="9">
        <f>VLOOKUP(A:A,[1]TDSheet!$A:$Z,26,0)</f>
        <v>8.8000000000000007</v>
      </c>
      <c r="AB64" s="9">
        <f>VLOOKUP(A:A,[1]TDSheet!$A:$AA,27,0)</f>
        <v>15.8</v>
      </c>
      <c r="AC64" s="9">
        <f>VLOOKUP(A:A,[1]TDSheet!$A:$R,18,0)</f>
        <v>8</v>
      </c>
      <c r="AD64" s="9">
        <f>VLOOKUP(A:A,[1]TDSheet!$A:$AB,28,0)</f>
        <v>0</v>
      </c>
      <c r="AE64" s="9">
        <f t="shared" si="9"/>
        <v>0</v>
      </c>
      <c r="AF64" s="9">
        <f t="shared" si="10"/>
        <v>0</v>
      </c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</row>
    <row r="65" spans="1:83" ht="11.1" customHeight="1" x14ac:dyDescent="0.2">
      <c r="A65" s="7" t="s">
        <v>65</v>
      </c>
      <c r="B65" s="7" t="s">
        <v>12</v>
      </c>
      <c r="C65" s="7">
        <f>VLOOKUP(A:A,[1]TDSheet!$A:$C,3,0)</f>
        <v>7001</v>
      </c>
      <c r="D65" s="8">
        <v>30.16</v>
      </c>
      <c r="E65" s="8">
        <v>18.667000000000002</v>
      </c>
      <c r="F65" s="8">
        <v>17.103000000000002</v>
      </c>
      <c r="G65" s="8">
        <v>30.068999999999999</v>
      </c>
      <c r="H65" s="22">
        <f>VLOOKUP(A:A,[1]TDSheet!$A:$H,8,0)</f>
        <v>1</v>
      </c>
      <c r="I65" s="9">
        <f>VLOOKUP(A:A,[1]TDSheet!$A:$I,9,0)</f>
        <v>45</v>
      </c>
      <c r="J65" s="9" t="str">
        <f>VLOOKUP(A:A,[1]TDSheet!$A:$J,10,0)</f>
        <v>в матрице</v>
      </c>
      <c r="K65" s="9"/>
      <c r="L65" s="9">
        <f>VLOOKUP(A:A,[2]TDSheet!$A:$B,2,0)</f>
        <v>18.600000000000001</v>
      </c>
      <c r="M65" s="9">
        <f t="shared" si="3"/>
        <v>-1.4969999999999999</v>
      </c>
      <c r="N65" s="9"/>
      <c r="O65" s="9"/>
      <c r="P65" s="9">
        <f>VLOOKUP(A:A,[1]TDSheet!$A:$S,19,0)</f>
        <v>0</v>
      </c>
      <c r="Q65" s="9">
        <v>0</v>
      </c>
      <c r="R65" s="9">
        <f t="shared" si="4"/>
        <v>3.4206000000000003</v>
      </c>
      <c r="S65" s="45">
        <v>20</v>
      </c>
      <c r="T65" s="23">
        <f t="shared" si="5"/>
        <v>10</v>
      </c>
      <c r="U65" s="23">
        <f t="shared" si="6"/>
        <v>10</v>
      </c>
      <c r="V65" s="23"/>
      <c r="W65" s="9">
        <f>VLOOKUP(A:A,[3]TDSheet!$A:$U,21,0)</f>
        <v>0</v>
      </c>
      <c r="X65" s="9">
        <f t="shared" si="7"/>
        <v>14.63749049874291</v>
      </c>
      <c r="Y65" s="9">
        <f t="shared" si="8"/>
        <v>8.7905630591124346</v>
      </c>
      <c r="Z65" s="9">
        <f>VLOOKUP(A:A,[1]TDSheet!$A:$Y,25,0)</f>
        <v>3.7978000000000001</v>
      </c>
      <c r="AA65" s="9">
        <f>VLOOKUP(A:A,[1]TDSheet!$A:$Z,26,0)</f>
        <v>2.9956</v>
      </c>
      <c r="AB65" s="9">
        <f>VLOOKUP(A:A,[1]TDSheet!$A:$AA,27,0)</f>
        <v>3.9387999999999996</v>
      </c>
      <c r="AC65" s="9">
        <f>VLOOKUP(A:A,[1]TDSheet!$A:$R,18,0)</f>
        <v>3.18</v>
      </c>
      <c r="AD65" s="9">
        <f>VLOOKUP(A:A,[1]TDSheet!$A:$AB,28,0)</f>
        <v>0</v>
      </c>
      <c r="AE65" s="9">
        <f t="shared" si="9"/>
        <v>10</v>
      </c>
      <c r="AF65" s="9">
        <f t="shared" si="10"/>
        <v>10</v>
      </c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</row>
    <row r="66" spans="1:83" ht="11.1" customHeight="1" x14ac:dyDescent="0.2">
      <c r="A66" s="7" t="s">
        <v>66</v>
      </c>
      <c r="B66" s="7" t="s">
        <v>10</v>
      </c>
      <c r="C66" s="7">
        <f>VLOOKUP(A:A,[1]TDSheet!$A:$C,3,0)</f>
        <v>7059</v>
      </c>
      <c r="D66" s="8">
        <v>337</v>
      </c>
      <c r="E66" s="8">
        <v>1</v>
      </c>
      <c r="F66" s="8">
        <v>131</v>
      </c>
      <c r="G66" s="8">
        <v>200</v>
      </c>
      <c r="H66" s="22">
        <f>VLOOKUP(A:A,[1]TDSheet!$A:$H,8,0)</f>
        <v>0.3</v>
      </c>
      <c r="I66" s="9">
        <f>VLOOKUP(A:A,[1]TDSheet!$A:$I,9,0)</f>
        <v>0</v>
      </c>
      <c r="J66" s="9" t="e">
        <f>VLOOKUP(A:A,[1]TDSheet!$A:$J,10,0)</f>
        <v>#N/A</v>
      </c>
      <c r="K66" s="9"/>
      <c r="L66" s="9">
        <f>VLOOKUP(A:A,[2]TDSheet!$A:$B,2,0)</f>
        <v>138</v>
      </c>
      <c r="M66" s="9">
        <f t="shared" si="3"/>
        <v>-7</v>
      </c>
      <c r="N66" s="9"/>
      <c r="O66" s="9"/>
      <c r="P66" s="9">
        <f>VLOOKUP(A:A,[1]TDSheet!$A:$S,19,0)</f>
        <v>0</v>
      </c>
      <c r="Q66" s="9">
        <v>0</v>
      </c>
      <c r="R66" s="9">
        <f t="shared" si="4"/>
        <v>26.2</v>
      </c>
      <c r="S66" s="45">
        <v>170</v>
      </c>
      <c r="T66" s="23">
        <f t="shared" si="5"/>
        <v>85</v>
      </c>
      <c r="U66" s="23">
        <f t="shared" si="6"/>
        <v>85</v>
      </c>
      <c r="V66" s="23"/>
      <c r="W66" s="9">
        <f>VLOOKUP(A:A,[3]TDSheet!$A:$U,21,0)</f>
        <v>0</v>
      </c>
      <c r="X66" s="9">
        <f t="shared" si="7"/>
        <v>14.122137404580153</v>
      </c>
      <c r="Y66" s="9">
        <f t="shared" si="8"/>
        <v>7.6335877862595423</v>
      </c>
      <c r="Z66" s="9">
        <f>VLOOKUP(A:A,[1]TDSheet!$A:$Y,25,0)</f>
        <v>33.4</v>
      </c>
      <c r="AA66" s="9">
        <f>VLOOKUP(A:A,[1]TDSheet!$A:$Z,26,0)</f>
        <v>35.6</v>
      </c>
      <c r="AB66" s="9">
        <f>VLOOKUP(A:A,[1]TDSheet!$A:$AA,27,0)</f>
        <v>17.600000000000001</v>
      </c>
      <c r="AC66" s="9">
        <f>VLOOKUP(A:A,[1]TDSheet!$A:$R,18,0)</f>
        <v>13.2</v>
      </c>
      <c r="AD66" s="9" t="e">
        <f>VLOOKUP(A:A,[1]TDSheet!$A:$AB,28,0)</f>
        <v>#N/A</v>
      </c>
      <c r="AE66" s="9">
        <f t="shared" si="9"/>
        <v>25.5</v>
      </c>
      <c r="AF66" s="9">
        <f t="shared" si="10"/>
        <v>25.5</v>
      </c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</row>
    <row r="67" spans="1:83" ht="11.1" customHeight="1" x14ac:dyDescent="0.2">
      <c r="A67" s="28" t="s">
        <v>67</v>
      </c>
      <c r="B67" s="28" t="s">
        <v>10</v>
      </c>
      <c r="C67" s="28">
        <f>VLOOKUP(A:A,[1]TDSheet!$A:$C,3,0)</f>
        <v>7066</v>
      </c>
      <c r="D67" s="29">
        <v>639</v>
      </c>
      <c r="E67" s="29">
        <v>6267</v>
      </c>
      <c r="F67" s="29">
        <v>1410</v>
      </c>
      <c r="G67" s="29">
        <v>1389</v>
      </c>
      <c r="H67" s="30">
        <f>VLOOKUP(A:A,[1]TDSheet!$A:$H,8,0)</f>
        <v>0.41</v>
      </c>
      <c r="I67" s="31">
        <f>VLOOKUP(A:A,[1]TDSheet!$A:$I,9,0)</f>
        <v>50</v>
      </c>
      <c r="J67" s="31" t="str">
        <f>VLOOKUP(A:A,[1]TDSheet!$A:$J,10,0)</f>
        <v>в матрице</v>
      </c>
      <c r="K67" s="9"/>
      <c r="L67" s="9">
        <f>VLOOKUP(A:A,[2]TDSheet!$A:$B,2,0)</f>
        <v>1452</v>
      </c>
      <c r="M67" s="9">
        <f t="shared" si="3"/>
        <v>-42</v>
      </c>
      <c r="N67" s="9"/>
      <c r="O67" s="9"/>
      <c r="P67" s="9">
        <f>VLOOKUP(A:A,[1]TDSheet!$A:$S,19,0)</f>
        <v>1250</v>
      </c>
      <c r="Q67" s="9">
        <v>1250</v>
      </c>
      <c r="R67" s="9">
        <f t="shared" si="4"/>
        <v>282</v>
      </c>
      <c r="S67" s="45">
        <v>400</v>
      </c>
      <c r="T67" s="23">
        <f t="shared" si="5"/>
        <v>200</v>
      </c>
      <c r="U67" s="23">
        <f t="shared" si="6"/>
        <v>200</v>
      </c>
      <c r="V67" s="23"/>
      <c r="W67" s="9" t="s">
        <v>127</v>
      </c>
      <c r="X67" s="9">
        <f t="shared" si="7"/>
        <v>15.209219858156029</v>
      </c>
      <c r="Y67" s="9">
        <f t="shared" si="8"/>
        <v>4.9255319148936172</v>
      </c>
      <c r="Z67" s="9">
        <f>VLOOKUP(A:A,[1]TDSheet!$A:$Y,25,0)</f>
        <v>262.39999999999998</v>
      </c>
      <c r="AA67" s="9">
        <f>VLOOKUP(A:A,[1]TDSheet!$A:$Z,26,0)</f>
        <v>228</v>
      </c>
      <c r="AB67" s="9">
        <f>VLOOKUP(A:A,[1]TDSheet!$A:$AA,27,0)</f>
        <v>234</v>
      </c>
      <c r="AC67" s="9">
        <f>VLOOKUP(A:A,[1]TDSheet!$A:$R,18,0)</f>
        <v>316.39999999999998</v>
      </c>
      <c r="AD67" s="9" t="str">
        <f>VLOOKUP(A:A,[1]TDSheet!$A:$AB,28,0)</f>
        <v>Обжора / Паллет</v>
      </c>
      <c r="AE67" s="9">
        <f t="shared" si="9"/>
        <v>82</v>
      </c>
      <c r="AF67" s="9">
        <f t="shared" si="10"/>
        <v>82</v>
      </c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  <c r="CE67" s="9"/>
    </row>
    <row r="68" spans="1:83" ht="11.1" customHeight="1" x14ac:dyDescent="0.2">
      <c r="A68" s="28" t="s">
        <v>68</v>
      </c>
      <c r="B68" s="28" t="s">
        <v>12</v>
      </c>
      <c r="C68" s="28">
        <f>VLOOKUP(A:A,[1]TDSheet!$A:$C,3,0)</f>
        <v>7070</v>
      </c>
      <c r="D68" s="29">
        <v>836.83199999999999</v>
      </c>
      <c r="E68" s="29">
        <v>685.10400000000004</v>
      </c>
      <c r="F68" s="29">
        <v>474.55500000000001</v>
      </c>
      <c r="G68" s="29">
        <v>634.01400000000001</v>
      </c>
      <c r="H68" s="30">
        <f>VLOOKUP(A:A,[1]TDSheet!$A:$H,8,0)</f>
        <v>1</v>
      </c>
      <c r="I68" s="31">
        <f>VLOOKUP(A:A,[1]TDSheet!$A:$I,9,0)</f>
        <v>50</v>
      </c>
      <c r="J68" s="31" t="str">
        <f>VLOOKUP(A:A,[1]TDSheet!$A:$J,10,0)</f>
        <v>в матрице</v>
      </c>
      <c r="K68" s="9"/>
      <c r="L68" s="9">
        <f>VLOOKUP(A:A,[2]TDSheet!$A:$B,2,0)</f>
        <v>469.07400000000001</v>
      </c>
      <c r="M68" s="9">
        <f t="shared" si="3"/>
        <v>5.4809999999999945</v>
      </c>
      <c r="N68" s="9"/>
      <c r="O68" s="9"/>
      <c r="P68" s="9">
        <f>VLOOKUP(A:A,[1]TDSheet!$A:$S,19,0)</f>
        <v>50</v>
      </c>
      <c r="Q68" s="9">
        <v>50</v>
      </c>
      <c r="R68" s="9">
        <f t="shared" si="4"/>
        <v>94.911000000000001</v>
      </c>
      <c r="S68" s="45">
        <v>600</v>
      </c>
      <c r="T68" s="23">
        <f t="shared" si="5"/>
        <v>300</v>
      </c>
      <c r="U68" s="23">
        <f t="shared" si="6"/>
        <v>300</v>
      </c>
      <c r="V68" s="23"/>
      <c r="W68" s="9">
        <f>VLOOKUP(A:A,[3]TDSheet!$A:$U,21,0)</f>
        <v>0</v>
      </c>
      <c r="X68" s="9">
        <f t="shared" si="7"/>
        <v>14.055420341161721</v>
      </c>
      <c r="Y68" s="9">
        <f t="shared" si="8"/>
        <v>6.6800897683092577</v>
      </c>
      <c r="Z68" s="9">
        <f>VLOOKUP(A:A,[1]TDSheet!$A:$Y,25,0)</f>
        <v>43.7624</v>
      </c>
      <c r="AA68" s="9">
        <f>VLOOKUP(A:A,[1]TDSheet!$A:$Z,26,0)</f>
        <v>79.599999999999994</v>
      </c>
      <c r="AB68" s="9">
        <f>VLOOKUP(A:A,[1]TDSheet!$A:$AA,27,0)</f>
        <v>20.056000000000001</v>
      </c>
      <c r="AC68" s="9">
        <f>VLOOKUP(A:A,[1]TDSheet!$A:$R,18,0)</f>
        <v>51.692399999999999</v>
      </c>
      <c r="AD68" s="9">
        <f>VLOOKUP(A:A,[1]TDSheet!$A:$AB,28,0)</f>
        <v>0</v>
      </c>
      <c r="AE68" s="9">
        <f t="shared" si="9"/>
        <v>300</v>
      </c>
      <c r="AF68" s="9">
        <f t="shared" si="10"/>
        <v>300</v>
      </c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  <c r="CE68" s="9"/>
    </row>
    <row r="69" spans="1:83" ht="11.1" customHeight="1" x14ac:dyDescent="0.2">
      <c r="A69" s="7" t="s">
        <v>69</v>
      </c>
      <c r="B69" s="7" t="s">
        <v>10</v>
      </c>
      <c r="C69" s="7">
        <f>VLOOKUP(A:A,[1]TDSheet!$A:$C,3,0)</f>
        <v>7073</v>
      </c>
      <c r="D69" s="8">
        <v>59</v>
      </c>
      <c r="E69" s="8">
        <v>88</v>
      </c>
      <c r="F69" s="8">
        <v>47</v>
      </c>
      <c r="G69" s="8">
        <v>97</v>
      </c>
      <c r="H69" s="22">
        <f>VLOOKUP(A:A,[1]TDSheet!$A:$H,8,0)</f>
        <v>0.35</v>
      </c>
      <c r="I69" s="9">
        <f>VLOOKUP(A:A,[1]TDSheet!$A:$I,9,0)</f>
        <v>50</v>
      </c>
      <c r="J69" s="9" t="str">
        <f>VLOOKUP(A:A,[1]TDSheet!$A:$J,10,0)</f>
        <v>в матрице</v>
      </c>
      <c r="K69" s="9"/>
      <c r="L69" s="9">
        <f>VLOOKUP(A:A,[2]TDSheet!$A:$B,2,0)</f>
        <v>50</v>
      </c>
      <c r="M69" s="9">
        <f t="shared" si="3"/>
        <v>-3</v>
      </c>
      <c r="N69" s="9"/>
      <c r="O69" s="9"/>
      <c r="P69" s="9">
        <f>VLOOKUP(A:A,[1]TDSheet!$A:$S,19,0)</f>
        <v>10</v>
      </c>
      <c r="Q69" s="9">
        <v>10</v>
      </c>
      <c r="R69" s="9">
        <f t="shared" si="4"/>
        <v>9.4</v>
      </c>
      <c r="S69" s="45">
        <v>50</v>
      </c>
      <c r="T69" s="23">
        <f t="shared" si="5"/>
        <v>25</v>
      </c>
      <c r="U69" s="23">
        <f t="shared" si="6"/>
        <v>25</v>
      </c>
      <c r="V69" s="23">
        <f>VLOOKUP(A:A,[3]TDSheet!$A:$T,20,0)</f>
        <v>50</v>
      </c>
      <c r="W69" s="9">
        <f>VLOOKUP(A:A,[3]TDSheet!$A:$U,21,0)</f>
        <v>0</v>
      </c>
      <c r="X69" s="9">
        <f t="shared" si="7"/>
        <v>17.76595744680851</v>
      </c>
      <c r="Y69" s="9">
        <f t="shared" si="8"/>
        <v>10.319148936170212</v>
      </c>
      <c r="Z69" s="9">
        <f>VLOOKUP(A:A,[1]TDSheet!$A:$Y,25,0)</f>
        <v>8</v>
      </c>
      <c r="AA69" s="9">
        <f>VLOOKUP(A:A,[1]TDSheet!$A:$Z,26,0)</f>
        <v>7.6</v>
      </c>
      <c r="AB69" s="9">
        <f>VLOOKUP(A:A,[1]TDSheet!$A:$AA,27,0)</f>
        <v>12.6</v>
      </c>
      <c r="AC69" s="9">
        <f>VLOOKUP(A:A,[1]TDSheet!$A:$R,18,0)</f>
        <v>5.4</v>
      </c>
      <c r="AD69" s="9">
        <f>VLOOKUP(A:A,[1]TDSheet!$A:$AB,28,0)</f>
        <v>0</v>
      </c>
      <c r="AE69" s="9">
        <f t="shared" si="9"/>
        <v>8.75</v>
      </c>
      <c r="AF69" s="9">
        <f t="shared" si="10"/>
        <v>8.75</v>
      </c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</row>
    <row r="70" spans="1:83" ht="11.1" customHeight="1" x14ac:dyDescent="0.2">
      <c r="A70" s="32" t="s">
        <v>70</v>
      </c>
      <c r="B70" s="32" t="s">
        <v>10</v>
      </c>
      <c r="C70" s="32">
        <f>VLOOKUP(A:A,[1]TDSheet!$A:$C,3,0)</f>
        <v>7080</v>
      </c>
      <c r="D70" s="33">
        <v>2571</v>
      </c>
      <c r="E70" s="33">
        <v>25</v>
      </c>
      <c r="F70" s="33">
        <v>620</v>
      </c>
      <c r="G70" s="33">
        <v>1945</v>
      </c>
      <c r="H70" s="34">
        <f>VLOOKUP(A:A,[1]TDSheet!$A:$H,8,0)</f>
        <v>0.41</v>
      </c>
      <c r="I70" s="35">
        <f>VLOOKUP(A:A,[1]TDSheet!$A:$I,9,0)</f>
        <v>50</v>
      </c>
      <c r="J70" s="35" t="str">
        <f>VLOOKUP(A:A,[1]TDSheet!$A:$J,10,0)</f>
        <v>в матрице</v>
      </c>
      <c r="K70" s="9"/>
      <c r="L70" s="9">
        <f>VLOOKUP(A:A,[2]TDSheet!$A:$B,2,0)</f>
        <v>638.1</v>
      </c>
      <c r="M70" s="9">
        <f t="shared" si="3"/>
        <v>-18.100000000000023</v>
      </c>
      <c r="N70" s="9"/>
      <c r="O70" s="9"/>
      <c r="P70" s="9">
        <f>VLOOKUP(A:A,[1]TDSheet!$A:$S,19,0)</f>
        <v>0</v>
      </c>
      <c r="Q70" s="9">
        <v>0</v>
      </c>
      <c r="R70" s="9">
        <f t="shared" si="4"/>
        <v>124</v>
      </c>
      <c r="S70" s="45"/>
      <c r="T70" s="23">
        <f t="shared" si="5"/>
        <v>0</v>
      </c>
      <c r="U70" s="23">
        <f t="shared" si="6"/>
        <v>0</v>
      </c>
      <c r="V70" s="23"/>
      <c r="W70" s="9">
        <f>VLOOKUP(A:A,[3]TDSheet!$A:$U,21,0)</f>
        <v>0</v>
      </c>
      <c r="X70" s="9">
        <f t="shared" si="7"/>
        <v>15.685483870967742</v>
      </c>
      <c r="Y70" s="9">
        <f t="shared" si="8"/>
        <v>15.685483870967742</v>
      </c>
      <c r="Z70" s="9">
        <f>VLOOKUP(A:A,[1]TDSheet!$A:$Y,25,0)</f>
        <v>154.19999999999999</v>
      </c>
      <c r="AA70" s="9">
        <f>VLOOKUP(A:A,[1]TDSheet!$A:$Z,26,0)</f>
        <v>270.60000000000002</v>
      </c>
      <c r="AB70" s="9">
        <f>VLOOKUP(A:A,[1]TDSheet!$A:$AA,27,0)</f>
        <v>133</v>
      </c>
      <c r="AC70" s="9">
        <f>VLOOKUP(A:A,[1]TDSheet!$A:$R,18,0)</f>
        <v>136.80000000000001</v>
      </c>
      <c r="AD70" s="9" t="str">
        <f>VLOOKUP(A:A,[1]TDSheet!$A:$AB,28,0)</f>
        <v>Обжора / Паллет</v>
      </c>
      <c r="AE70" s="9">
        <f t="shared" si="9"/>
        <v>0</v>
      </c>
      <c r="AF70" s="9">
        <f t="shared" si="10"/>
        <v>0</v>
      </c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</row>
    <row r="71" spans="1:83" ht="11.1" customHeight="1" x14ac:dyDescent="0.2">
      <c r="A71" s="32" t="s">
        <v>71</v>
      </c>
      <c r="B71" s="32" t="s">
        <v>12</v>
      </c>
      <c r="C71" s="32">
        <f>VLOOKUP(A:A,[1]TDSheet!$A:$C,3,0)</f>
        <v>7083</v>
      </c>
      <c r="D71" s="33">
        <v>144.976</v>
      </c>
      <c r="E71" s="33">
        <v>241.316</v>
      </c>
      <c r="F71" s="33">
        <v>195</v>
      </c>
      <c r="G71" s="33">
        <v>127.062</v>
      </c>
      <c r="H71" s="34">
        <f>VLOOKUP(A:A,[1]TDSheet!$A:$H,8,0)</f>
        <v>1</v>
      </c>
      <c r="I71" s="35">
        <f>VLOOKUP(A:A,[1]TDSheet!$A:$I,9,0)</f>
        <v>0</v>
      </c>
      <c r="J71" s="35" t="e">
        <f>VLOOKUP(A:A,[1]TDSheet!$A:$J,10,0)</f>
        <v>#N/A</v>
      </c>
      <c r="K71" s="9"/>
      <c r="L71" s="9">
        <f>VLOOKUP(A:A,[2]TDSheet!$A:$B,2,0)</f>
        <v>133.065</v>
      </c>
      <c r="M71" s="9">
        <f t="shared" si="3"/>
        <v>61.935000000000002</v>
      </c>
      <c r="N71" s="9"/>
      <c r="O71" s="9"/>
      <c r="P71" s="9">
        <f>VLOOKUP(A:A,[1]TDSheet!$A:$S,19,0)</f>
        <v>115</v>
      </c>
      <c r="Q71" s="9">
        <v>115</v>
      </c>
      <c r="R71" s="9">
        <f t="shared" si="4"/>
        <v>39</v>
      </c>
      <c r="S71" s="45">
        <v>120</v>
      </c>
      <c r="T71" s="23">
        <f t="shared" si="5"/>
        <v>60</v>
      </c>
      <c r="U71" s="23">
        <f t="shared" si="6"/>
        <v>60</v>
      </c>
      <c r="V71" s="23">
        <f>VLOOKUP(A:A,[3]TDSheet!$A:$T,20,0)</f>
        <v>120</v>
      </c>
      <c r="W71" s="9">
        <f>VLOOKUP(A:A,[3]TDSheet!$A:$U,21,0)</f>
        <v>0</v>
      </c>
      <c r="X71" s="9">
        <f t="shared" si="7"/>
        <v>12.232358974358975</v>
      </c>
      <c r="Y71" s="9">
        <f t="shared" si="8"/>
        <v>3.258</v>
      </c>
      <c r="Z71" s="9">
        <f>VLOOKUP(A:A,[1]TDSheet!$A:$Y,25,0)</f>
        <v>44.2</v>
      </c>
      <c r="AA71" s="9">
        <f>VLOOKUP(A:A,[1]TDSheet!$A:$Z,26,0)</f>
        <v>23.9648</v>
      </c>
      <c r="AB71" s="9">
        <f>VLOOKUP(A:A,[1]TDSheet!$A:$AA,27,0)</f>
        <v>22.8184</v>
      </c>
      <c r="AC71" s="9">
        <f>VLOOKUP(A:A,[1]TDSheet!$A:$R,18,0)</f>
        <v>27.2654</v>
      </c>
      <c r="AD71" s="9" t="e">
        <f>VLOOKUP(A:A,[1]TDSheet!$A:$AB,28,0)</f>
        <v>#N/A</v>
      </c>
      <c r="AE71" s="9">
        <f t="shared" si="9"/>
        <v>60</v>
      </c>
      <c r="AF71" s="9">
        <f t="shared" si="10"/>
        <v>60</v>
      </c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</row>
    <row r="72" spans="1:83" ht="11.1" customHeight="1" x14ac:dyDescent="0.2">
      <c r="A72" s="7" t="s">
        <v>72</v>
      </c>
      <c r="B72" s="7" t="s">
        <v>10</v>
      </c>
      <c r="C72" s="7">
        <f>VLOOKUP(A:A,[1]TDSheet!$A:$C,3,0)</f>
        <v>7090</v>
      </c>
      <c r="D72" s="10"/>
      <c r="E72" s="8">
        <v>12</v>
      </c>
      <c r="F72" s="8">
        <v>-3</v>
      </c>
      <c r="G72" s="8">
        <v>12</v>
      </c>
      <c r="H72" s="22">
        <f>VLOOKUP(A:A,[1]TDSheet!$A:$H,8,0)</f>
        <v>0.3</v>
      </c>
      <c r="I72" s="9">
        <f>VLOOKUP(A:A,[1]TDSheet!$A:$I,9,0)</f>
        <v>50</v>
      </c>
      <c r="J72" s="9" t="str">
        <f>VLOOKUP(A:A,[1]TDSheet!$A:$J,10,0)</f>
        <v>в матрице</v>
      </c>
      <c r="K72" s="9"/>
      <c r="L72" s="9">
        <f>VLOOKUP(A:A,[2]TDSheet!$A:$B,2,0)</f>
        <v>163</v>
      </c>
      <c r="M72" s="9">
        <f t="shared" si="3"/>
        <v>-166</v>
      </c>
      <c r="N72" s="9"/>
      <c r="O72" s="9"/>
      <c r="P72" s="9">
        <f>VLOOKUP(A:A,[1]TDSheet!$A:$S,19,0)</f>
        <v>15</v>
      </c>
      <c r="Q72" s="9">
        <v>15</v>
      </c>
      <c r="R72" s="9">
        <f t="shared" si="4"/>
        <v>-0.6</v>
      </c>
      <c r="S72" s="45"/>
      <c r="T72" s="23">
        <f t="shared" si="5"/>
        <v>0</v>
      </c>
      <c r="U72" s="23">
        <f t="shared" si="6"/>
        <v>0</v>
      </c>
      <c r="V72" s="23"/>
      <c r="W72" s="9">
        <f>VLOOKUP(A:A,[3]TDSheet!$A:$U,21,0)</f>
        <v>0</v>
      </c>
      <c r="X72" s="9">
        <f t="shared" si="7"/>
        <v>-70</v>
      </c>
      <c r="Y72" s="9">
        <f t="shared" si="8"/>
        <v>-20</v>
      </c>
      <c r="Z72" s="9">
        <f>VLOOKUP(A:A,[1]TDSheet!$A:$Y,25,0)</f>
        <v>7.2</v>
      </c>
      <c r="AA72" s="9">
        <f>VLOOKUP(A:A,[1]TDSheet!$A:$Z,26,0)</f>
        <v>39.799999999999997</v>
      </c>
      <c r="AB72" s="9">
        <f>VLOOKUP(A:A,[1]TDSheet!$A:$AA,27,0)</f>
        <v>10.6</v>
      </c>
      <c r="AC72" s="9">
        <f>VLOOKUP(A:A,[1]TDSheet!$A:$R,18,0)</f>
        <v>1.2</v>
      </c>
      <c r="AD72" s="9">
        <f>VLOOKUP(A:A,[1]TDSheet!$A:$AB,28,0)</f>
        <v>0</v>
      </c>
      <c r="AE72" s="9">
        <f t="shared" si="9"/>
        <v>0</v>
      </c>
      <c r="AF72" s="9">
        <f t="shared" si="10"/>
        <v>0</v>
      </c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  <c r="CE72" s="9"/>
    </row>
    <row r="73" spans="1:83" ht="11.1" customHeight="1" x14ac:dyDescent="0.2">
      <c r="A73" s="7" t="s">
        <v>73</v>
      </c>
      <c r="B73" s="7" t="s">
        <v>10</v>
      </c>
      <c r="C73" s="7">
        <f>VLOOKUP(A:A,[1]TDSheet!$A:$C,3,0)</f>
        <v>7103</v>
      </c>
      <c r="D73" s="8">
        <v>37</v>
      </c>
      <c r="E73" s="8">
        <v>1229</v>
      </c>
      <c r="F73" s="8">
        <v>243</v>
      </c>
      <c r="G73" s="8">
        <v>479</v>
      </c>
      <c r="H73" s="22">
        <f>VLOOKUP(A:A,[1]TDSheet!$A:$H,8,0)</f>
        <v>0.18</v>
      </c>
      <c r="I73" s="9">
        <f>VLOOKUP(A:A,[1]TDSheet!$A:$I,9,0)</f>
        <v>50</v>
      </c>
      <c r="J73" s="9" t="str">
        <f>VLOOKUP(A:A,[1]TDSheet!$A:$J,10,0)</f>
        <v>в матрице</v>
      </c>
      <c r="K73" s="9"/>
      <c r="L73" s="9">
        <f>VLOOKUP(A:A,[2]TDSheet!$A:$B,2,0)</f>
        <v>255</v>
      </c>
      <c r="M73" s="9">
        <f t="shared" si="3"/>
        <v>-12</v>
      </c>
      <c r="N73" s="9"/>
      <c r="O73" s="9"/>
      <c r="P73" s="9">
        <f>VLOOKUP(A:A,[1]TDSheet!$A:$S,19,0)</f>
        <v>85</v>
      </c>
      <c r="Q73" s="9">
        <v>85</v>
      </c>
      <c r="R73" s="9">
        <f t="shared" si="4"/>
        <v>48.6</v>
      </c>
      <c r="S73" s="45"/>
      <c r="T73" s="23">
        <f t="shared" si="5"/>
        <v>0</v>
      </c>
      <c r="U73" s="23">
        <f t="shared" si="6"/>
        <v>0</v>
      </c>
      <c r="V73" s="23"/>
      <c r="W73" s="9">
        <f>VLOOKUP(A:A,[3]TDSheet!$A:$U,21,0)</f>
        <v>0</v>
      </c>
      <c r="X73" s="9">
        <f t="shared" si="7"/>
        <v>13.353909465020577</v>
      </c>
      <c r="Y73" s="9">
        <f t="shared" si="8"/>
        <v>9.8559670781893001</v>
      </c>
      <c r="Z73" s="9">
        <f>VLOOKUP(A:A,[1]TDSheet!$A:$Y,25,0)</f>
        <v>28</v>
      </c>
      <c r="AA73" s="9">
        <f>VLOOKUP(A:A,[1]TDSheet!$A:$Z,26,0)</f>
        <v>25.8</v>
      </c>
      <c r="AB73" s="9">
        <f>VLOOKUP(A:A,[1]TDSheet!$A:$AA,27,0)</f>
        <v>49.4</v>
      </c>
      <c r="AC73" s="9">
        <f>VLOOKUP(A:A,[1]TDSheet!$A:$R,18,0)</f>
        <v>15.2</v>
      </c>
      <c r="AD73" s="9" t="str">
        <f>VLOOKUP(A:A,[1]TDSheet!$A:$AB,28,0)</f>
        <v>Обжора / Паллет</v>
      </c>
      <c r="AE73" s="9">
        <f t="shared" si="9"/>
        <v>0</v>
      </c>
      <c r="AF73" s="9">
        <f t="shared" si="10"/>
        <v>0</v>
      </c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  <c r="CE73" s="9"/>
    </row>
    <row r="74" spans="1:83" ht="11.1" customHeight="1" x14ac:dyDescent="0.2">
      <c r="A74" s="7" t="s">
        <v>74</v>
      </c>
      <c r="B74" s="7" t="s">
        <v>12</v>
      </c>
      <c r="C74" s="7">
        <f>VLOOKUP(A:A,[1]TDSheet!$A:$C,3,0)</f>
        <v>7131</v>
      </c>
      <c r="D74" s="8">
        <v>-4.2999999999999997E-2</v>
      </c>
      <c r="E74" s="8">
        <v>0.93700000000000006</v>
      </c>
      <c r="F74" s="8">
        <v>0</v>
      </c>
      <c r="G74" s="8"/>
      <c r="H74" s="22">
        <f>VLOOKUP(A:A,[1]TDSheet!$A:$H,8,0)</f>
        <v>1</v>
      </c>
      <c r="I74" s="9">
        <f>VLOOKUP(A:A,[1]TDSheet!$A:$I,9,0)</f>
        <v>45</v>
      </c>
      <c r="J74" s="9" t="str">
        <f>VLOOKUP(A:A,[1]TDSheet!$A:$J,10,0)</f>
        <v>в матрице</v>
      </c>
      <c r="K74" s="9"/>
      <c r="L74" s="9">
        <v>0</v>
      </c>
      <c r="M74" s="9">
        <f t="shared" si="3"/>
        <v>0</v>
      </c>
      <c r="N74" s="9"/>
      <c r="O74" s="9"/>
      <c r="P74" s="9">
        <f>VLOOKUP(A:A,[1]TDSheet!$A:$S,19,0)</f>
        <v>8</v>
      </c>
      <c r="Q74" s="9">
        <v>8</v>
      </c>
      <c r="R74" s="9">
        <f t="shared" si="4"/>
        <v>0</v>
      </c>
      <c r="S74" s="45"/>
      <c r="T74" s="23">
        <f t="shared" si="5"/>
        <v>0</v>
      </c>
      <c r="U74" s="23">
        <f t="shared" si="6"/>
        <v>0</v>
      </c>
      <c r="V74" s="23"/>
      <c r="W74" s="9">
        <f>VLOOKUP(A:A,[3]TDSheet!$A:$U,21,0)</f>
        <v>0</v>
      </c>
      <c r="X74" s="9" t="e">
        <f t="shared" si="7"/>
        <v>#DIV/0!</v>
      </c>
      <c r="Y74" s="9" t="e">
        <f t="shared" si="8"/>
        <v>#DIV/0!</v>
      </c>
      <c r="Z74" s="9">
        <f>VLOOKUP(A:A,[1]TDSheet!$A:$Y,25,0)</f>
        <v>2.0225999999999997</v>
      </c>
      <c r="AA74" s="9">
        <f>VLOOKUP(A:A,[1]TDSheet!$A:$Z,26,0)</f>
        <v>3.5729999999999995</v>
      </c>
      <c r="AB74" s="9">
        <f>VLOOKUP(A:A,[1]TDSheet!$A:$AA,27,0)</f>
        <v>0.34140000000000004</v>
      </c>
      <c r="AC74" s="9">
        <f>VLOOKUP(A:A,[1]TDSheet!$A:$R,18,0)</f>
        <v>-0.16899999999999998</v>
      </c>
      <c r="AD74" s="9">
        <f>VLOOKUP(A:A,[1]TDSheet!$A:$AB,28,0)</f>
        <v>0</v>
      </c>
      <c r="AE74" s="9">
        <f t="shared" si="9"/>
        <v>0</v>
      </c>
      <c r="AF74" s="9">
        <f t="shared" si="10"/>
        <v>0</v>
      </c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</row>
    <row r="75" spans="1:83" ht="11.1" customHeight="1" x14ac:dyDescent="0.2">
      <c r="A75" s="7" t="s">
        <v>75</v>
      </c>
      <c r="B75" s="7" t="s">
        <v>10</v>
      </c>
      <c r="C75" s="7">
        <f>VLOOKUP(A:A,[1]TDSheet!$A:$C,3,0)</f>
        <v>7147</v>
      </c>
      <c r="D75" s="8">
        <v>12</v>
      </c>
      <c r="E75" s="8">
        <v>16</v>
      </c>
      <c r="F75" s="8">
        <v>15</v>
      </c>
      <c r="G75" s="8">
        <v>9</v>
      </c>
      <c r="H75" s="22">
        <f>VLOOKUP(A:A,[1]TDSheet!$A:$H,8,0)</f>
        <v>0.22</v>
      </c>
      <c r="I75" s="9">
        <f>VLOOKUP(A:A,[1]TDSheet!$A:$I,9,0)</f>
        <v>120</v>
      </c>
      <c r="J75" s="9" t="str">
        <f>VLOOKUP(A:A,[1]TDSheet!$A:$J,10,0)</f>
        <v>ВНИМАНИЕ / в матрице</v>
      </c>
      <c r="K75" s="9"/>
      <c r="L75" s="9">
        <f>VLOOKUP(A:A,[2]TDSheet!$A:$B,2,0)</f>
        <v>16</v>
      </c>
      <c r="M75" s="9">
        <f t="shared" si="3"/>
        <v>-1</v>
      </c>
      <c r="N75" s="9"/>
      <c r="O75" s="9"/>
      <c r="P75" s="9">
        <f>VLOOKUP(A:A,[1]TDSheet!$A:$S,19,0)</f>
        <v>0</v>
      </c>
      <c r="Q75" s="9">
        <v>0</v>
      </c>
      <c r="R75" s="9">
        <f t="shared" si="4"/>
        <v>3</v>
      </c>
      <c r="S75" s="45">
        <v>24</v>
      </c>
      <c r="T75" s="23">
        <f t="shared" si="5"/>
        <v>12</v>
      </c>
      <c r="U75" s="23">
        <f t="shared" si="6"/>
        <v>12</v>
      </c>
      <c r="V75" s="23">
        <f>VLOOKUP(A:A,[3]TDSheet!$A:$T,20,0)</f>
        <v>24</v>
      </c>
      <c r="W75" s="9">
        <f>VLOOKUP(A:A,[3]TDSheet!$A:$U,21,0)</f>
        <v>0</v>
      </c>
      <c r="X75" s="9">
        <f t="shared" si="7"/>
        <v>11</v>
      </c>
      <c r="Y75" s="9">
        <f t="shared" si="8"/>
        <v>3</v>
      </c>
      <c r="Z75" s="9">
        <f>VLOOKUP(A:A,[1]TDSheet!$A:$Y,25,0)</f>
        <v>2.4</v>
      </c>
      <c r="AA75" s="9">
        <f>VLOOKUP(A:A,[1]TDSheet!$A:$Z,26,0)</f>
        <v>2.4</v>
      </c>
      <c r="AB75" s="9">
        <f>VLOOKUP(A:A,[1]TDSheet!$A:$AA,27,0)</f>
        <v>1.6</v>
      </c>
      <c r="AC75" s="9">
        <f>VLOOKUP(A:A,[1]TDSheet!$A:$R,18,0)</f>
        <v>5.2</v>
      </c>
      <c r="AD75" s="9" t="str">
        <f>VLOOKUP(A:A,[1]TDSheet!$A:$AB,28,0)</f>
        <v>нужно увеличить продажи</v>
      </c>
      <c r="AE75" s="9">
        <f t="shared" si="9"/>
        <v>2.64</v>
      </c>
      <c r="AF75" s="9">
        <f t="shared" si="10"/>
        <v>2.64</v>
      </c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  <c r="CE75" s="9"/>
    </row>
    <row r="76" spans="1:83" ht="11.1" customHeight="1" x14ac:dyDescent="0.2">
      <c r="A76" s="7" t="s">
        <v>76</v>
      </c>
      <c r="B76" s="7" t="s">
        <v>10</v>
      </c>
      <c r="C76" s="7">
        <f>VLOOKUP(A:A,[1]TDSheet!$A:$C,3,0)</f>
        <v>7154</v>
      </c>
      <c r="D76" s="8">
        <v>500</v>
      </c>
      <c r="E76" s="8">
        <v>1398</v>
      </c>
      <c r="F76" s="8">
        <v>883.34400000000005</v>
      </c>
      <c r="G76" s="8">
        <v>919</v>
      </c>
      <c r="H76" s="22">
        <f>VLOOKUP(A:A,[1]TDSheet!$A:$H,8,0)</f>
        <v>0.35</v>
      </c>
      <c r="I76" s="9">
        <f>VLOOKUP(A:A,[1]TDSheet!$A:$I,9,0)</f>
        <v>50</v>
      </c>
      <c r="J76" s="9" t="str">
        <f>VLOOKUP(A:A,[1]TDSheet!$A:$J,10,0)</f>
        <v>ВНИМАНИЕ / в матрице</v>
      </c>
      <c r="K76" s="9"/>
      <c r="L76" s="9">
        <f>VLOOKUP(A:A,[2]TDSheet!$A:$B,2,0)</f>
        <v>900</v>
      </c>
      <c r="M76" s="9">
        <f t="shared" ref="M76:M100" si="11">F76-L76</f>
        <v>-16.655999999999949</v>
      </c>
      <c r="N76" s="9"/>
      <c r="O76" s="9"/>
      <c r="P76" s="9">
        <f>VLOOKUP(A:A,[1]TDSheet!$A:$S,19,0)</f>
        <v>195</v>
      </c>
      <c r="Q76" s="9">
        <v>195</v>
      </c>
      <c r="R76" s="9">
        <f t="shared" ref="R76:R100" si="12">F76/5</f>
        <v>176.6688</v>
      </c>
      <c r="S76" s="45">
        <v>1200</v>
      </c>
      <c r="T76" s="23">
        <f t="shared" ref="T76:T100" si="13">ROUND(S76/2,0)</f>
        <v>600</v>
      </c>
      <c r="U76" s="23">
        <f t="shared" ref="U76:U100" si="14">S76-T76</f>
        <v>600</v>
      </c>
      <c r="V76" s="23"/>
      <c r="W76" s="9">
        <f>VLOOKUP(A:A,[3]TDSheet!$A:$U,21,0)</f>
        <v>0</v>
      </c>
      <c r="X76" s="9">
        <f t="shared" ref="X76:X100" si="15">(G76+P76+Q76+S76)/R76</f>
        <v>14.201715300041659</v>
      </c>
      <c r="Y76" s="9">
        <f t="shared" ref="Y76:Y100" si="16">G76/R76</f>
        <v>5.2018239779746054</v>
      </c>
      <c r="Z76" s="9">
        <f>VLOOKUP(A:A,[1]TDSheet!$A:$Y,25,0)</f>
        <v>152.4</v>
      </c>
      <c r="AA76" s="9">
        <f>VLOOKUP(A:A,[1]TDSheet!$A:$Z,26,0)</f>
        <v>142.6</v>
      </c>
      <c r="AB76" s="9">
        <f>VLOOKUP(A:A,[1]TDSheet!$A:$AA,27,0)</f>
        <v>166</v>
      </c>
      <c r="AC76" s="9">
        <f>VLOOKUP(A:A,[1]TDSheet!$A:$R,18,0)</f>
        <v>139</v>
      </c>
      <c r="AD76" s="9" t="str">
        <f>VLOOKUP(A:A,[1]TDSheet!$A:$AB,28,0)</f>
        <v>ТС Обжора</v>
      </c>
      <c r="AE76" s="9">
        <f t="shared" ref="AE76:AE100" si="17">T76*H76</f>
        <v>210</v>
      </c>
      <c r="AF76" s="9">
        <f t="shared" ref="AF76:AF100" si="18">U76*H76</f>
        <v>210</v>
      </c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</row>
    <row r="77" spans="1:83" ht="11.1" customHeight="1" x14ac:dyDescent="0.2">
      <c r="A77" s="7" t="s">
        <v>77</v>
      </c>
      <c r="B77" s="7" t="s">
        <v>12</v>
      </c>
      <c r="C77" s="7">
        <f>VLOOKUP(A:A,[1]TDSheet!$A:$C,3,0)</f>
        <v>7157</v>
      </c>
      <c r="D77" s="8">
        <v>216.76</v>
      </c>
      <c r="E77" s="8">
        <v>65.977999999999994</v>
      </c>
      <c r="F77" s="8">
        <v>122.435</v>
      </c>
      <c r="G77" s="8">
        <v>153.51</v>
      </c>
      <c r="H77" s="22">
        <f>VLOOKUP(A:A,[1]TDSheet!$A:$H,8,0)</f>
        <v>1</v>
      </c>
      <c r="I77" s="9">
        <f>VLOOKUP(A:A,[1]TDSheet!$A:$I,9,0)</f>
        <v>50</v>
      </c>
      <c r="J77" s="9" t="str">
        <f>VLOOKUP(A:A,[1]TDSheet!$A:$J,10,0)</f>
        <v>в матрице</v>
      </c>
      <c r="K77" s="9"/>
      <c r="L77" s="9">
        <f>VLOOKUP(A:A,[2]TDSheet!$A:$B,2,0)</f>
        <v>121.447</v>
      </c>
      <c r="M77" s="9">
        <f t="shared" si="11"/>
        <v>0.98799999999999955</v>
      </c>
      <c r="N77" s="9"/>
      <c r="O77" s="9"/>
      <c r="P77" s="9">
        <f>VLOOKUP(A:A,[1]TDSheet!$A:$S,19,0)</f>
        <v>30</v>
      </c>
      <c r="Q77" s="9">
        <v>30</v>
      </c>
      <c r="R77" s="9">
        <f t="shared" si="12"/>
        <v>24.487000000000002</v>
      </c>
      <c r="S77" s="45">
        <v>120</v>
      </c>
      <c r="T77" s="23">
        <f t="shared" si="13"/>
        <v>60</v>
      </c>
      <c r="U77" s="23">
        <f t="shared" si="14"/>
        <v>60</v>
      </c>
      <c r="V77" s="23"/>
      <c r="W77" s="9">
        <f>VLOOKUP(A:A,[3]TDSheet!$A:$U,21,0)</f>
        <v>0</v>
      </c>
      <c r="X77" s="9">
        <f t="shared" si="15"/>
        <v>13.619879936292726</v>
      </c>
      <c r="Y77" s="9">
        <f t="shared" si="16"/>
        <v>6.2690407154816832</v>
      </c>
      <c r="Z77" s="9">
        <f>VLOOKUP(A:A,[1]TDSheet!$A:$Y,25,0)</f>
        <v>16.852399999999999</v>
      </c>
      <c r="AA77" s="9">
        <f>VLOOKUP(A:A,[1]TDSheet!$A:$Z,26,0)</f>
        <v>27.894400000000001</v>
      </c>
      <c r="AB77" s="9">
        <f>VLOOKUP(A:A,[1]TDSheet!$A:$AA,27,0)</f>
        <v>17.2348</v>
      </c>
      <c r="AC77" s="9">
        <f>VLOOKUP(A:A,[1]TDSheet!$A:$R,18,0)</f>
        <v>19.504200000000001</v>
      </c>
      <c r="AD77" s="9">
        <f>VLOOKUP(A:A,[1]TDSheet!$A:$AB,28,0)</f>
        <v>0</v>
      </c>
      <c r="AE77" s="9">
        <f t="shared" si="17"/>
        <v>60</v>
      </c>
      <c r="AF77" s="9">
        <f t="shared" si="18"/>
        <v>60</v>
      </c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</row>
    <row r="78" spans="1:83" ht="11.1" customHeight="1" x14ac:dyDescent="0.2">
      <c r="A78" s="7" t="s">
        <v>78</v>
      </c>
      <c r="B78" s="7" t="s">
        <v>10</v>
      </c>
      <c r="C78" s="7">
        <f>VLOOKUP(A:A,[1]TDSheet!$A:$C,3,0)</f>
        <v>7163</v>
      </c>
      <c r="D78" s="8">
        <v>14</v>
      </c>
      <c r="E78" s="8"/>
      <c r="F78" s="8">
        <v>0</v>
      </c>
      <c r="G78" s="8">
        <v>14</v>
      </c>
      <c r="H78" s="22">
        <f>VLOOKUP(A:A,[1]TDSheet!$A:$H,8,0)</f>
        <v>0.62</v>
      </c>
      <c r="I78" s="9">
        <f>VLOOKUP(A:A,[1]TDSheet!$A:$I,9,0)</f>
        <v>0</v>
      </c>
      <c r="J78" s="9" t="e">
        <f>VLOOKUP(A:A,[1]TDSheet!$A:$J,10,0)</f>
        <v>#N/A</v>
      </c>
      <c r="K78" s="9"/>
      <c r="L78" s="9">
        <f>VLOOKUP(A:A,[2]TDSheet!$A:$B,2,0)</f>
        <v>6.22</v>
      </c>
      <c r="M78" s="9">
        <f t="shared" si="11"/>
        <v>-6.22</v>
      </c>
      <c r="N78" s="9"/>
      <c r="O78" s="9"/>
      <c r="P78" s="9">
        <f>VLOOKUP(A:A,[1]TDSheet!$A:$S,19,0)</f>
        <v>0</v>
      </c>
      <c r="Q78" s="9">
        <v>0</v>
      </c>
      <c r="R78" s="9">
        <f t="shared" si="12"/>
        <v>0</v>
      </c>
      <c r="S78" s="45"/>
      <c r="T78" s="23">
        <f t="shared" si="13"/>
        <v>0</v>
      </c>
      <c r="U78" s="23">
        <f t="shared" si="14"/>
        <v>0</v>
      </c>
      <c r="V78" s="23"/>
      <c r="W78" s="9">
        <f>VLOOKUP(A:A,[3]TDSheet!$A:$U,21,0)</f>
        <v>0</v>
      </c>
      <c r="X78" s="9" t="e">
        <f t="shared" si="15"/>
        <v>#DIV/0!</v>
      </c>
      <c r="Y78" s="9" t="e">
        <f t="shared" si="16"/>
        <v>#DIV/0!</v>
      </c>
      <c r="Z78" s="9">
        <f>VLOOKUP(A:A,[1]TDSheet!$A:$Y,25,0)</f>
        <v>0</v>
      </c>
      <c r="AA78" s="9">
        <f>VLOOKUP(A:A,[1]TDSheet!$A:$Z,26,0)</f>
        <v>0</v>
      </c>
      <c r="AB78" s="9">
        <f>VLOOKUP(A:A,[1]TDSheet!$A:$AA,27,0)</f>
        <v>0</v>
      </c>
      <c r="AC78" s="9">
        <f>VLOOKUP(A:A,[1]TDSheet!$A:$R,18,0)</f>
        <v>0</v>
      </c>
      <c r="AD78" s="9" t="e">
        <f>VLOOKUP(A:A,[1]TDSheet!$A:$AB,28,0)</f>
        <v>#N/A</v>
      </c>
      <c r="AE78" s="9">
        <f t="shared" si="17"/>
        <v>0</v>
      </c>
      <c r="AF78" s="9">
        <f t="shared" si="18"/>
        <v>0</v>
      </c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</row>
    <row r="79" spans="1:83" ht="11.1" customHeight="1" x14ac:dyDescent="0.2">
      <c r="A79" s="7" t="s">
        <v>79</v>
      </c>
      <c r="B79" s="7" t="s">
        <v>12</v>
      </c>
      <c r="C79" s="7">
        <f>VLOOKUP(A:A,[1]TDSheet!$A:$C,3,0)</f>
        <v>7166</v>
      </c>
      <c r="D79" s="8">
        <v>273.642</v>
      </c>
      <c r="E79" s="8">
        <v>491.245</v>
      </c>
      <c r="F79" s="8">
        <v>388.30700000000002</v>
      </c>
      <c r="G79" s="8">
        <v>300.95499999999998</v>
      </c>
      <c r="H79" s="22">
        <f>VLOOKUP(A:A,[1]TDSheet!$A:$H,8,0)</f>
        <v>1</v>
      </c>
      <c r="I79" s="9">
        <f>VLOOKUP(A:A,[1]TDSheet!$A:$I,9,0)</f>
        <v>50</v>
      </c>
      <c r="J79" s="9" t="str">
        <f>VLOOKUP(A:A,[1]TDSheet!$A:$J,10,0)</f>
        <v>в матрице</v>
      </c>
      <c r="K79" s="9"/>
      <c r="L79" s="9">
        <f>VLOOKUP(A:A,[2]TDSheet!$A:$B,2,0)</f>
        <v>388.24299999999999</v>
      </c>
      <c r="M79" s="9">
        <f t="shared" si="11"/>
        <v>6.4000000000021373E-2</v>
      </c>
      <c r="N79" s="9"/>
      <c r="O79" s="9"/>
      <c r="P79" s="9">
        <f>VLOOKUP(A:A,[1]TDSheet!$A:$S,19,0)</f>
        <v>280</v>
      </c>
      <c r="Q79" s="9">
        <v>280</v>
      </c>
      <c r="R79" s="9">
        <f t="shared" si="12"/>
        <v>77.6614</v>
      </c>
      <c r="S79" s="45">
        <v>220</v>
      </c>
      <c r="T79" s="23">
        <f t="shared" si="13"/>
        <v>110</v>
      </c>
      <c r="U79" s="23">
        <f t="shared" si="14"/>
        <v>110</v>
      </c>
      <c r="V79" s="23"/>
      <c r="W79" s="9">
        <f>VLOOKUP(A:A,[3]TDSheet!$A:$U,21,0)</f>
        <v>0</v>
      </c>
      <c r="X79" s="9">
        <f t="shared" si="15"/>
        <v>13.918819387752473</v>
      </c>
      <c r="Y79" s="9">
        <f t="shared" si="16"/>
        <v>3.8752198646946874</v>
      </c>
      <c r="Z79" s="9">
        <f>VLOOKUP(A:A,[1]TDSheet!$A:$Y,25,0)</f>
        <v>51.933399999999992</v>
      </c>
      <c r="AA79" s="9">
        <f>VLOOKUP(A:A,[1]TDSheet!$A:$Z,26,0)</f>
        <v>61.083799999999997</v>
      </c>
      <c r="AB79" s="9">
        <f>VLOOKUP(A:A,[1]TDSheet!$A:$AA,27,0)</f>
        <v>50.800599999999996</v>
      </c>
      <c r="AC79" s="9">
        <f>VLOOKUP(A:A,[1]TDSheet!$A:$R,18,0)</f>
        <v>63.891399999999997</v>
      </c>
      <c r="AD79" s="9">
        <f>VLOOKUP(A:A,[1]TDSheet!$A:$AB,28,0)</f>
        <v>0</v>
      </c>
      <c r="AE79" s="9">
        <f t="shared" si="17"/>
        <v>110</v>
      </c>
      <c r="AF79" s="9">
        <f t="shared" si="18"/>
        <v>110</v>
      </c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</row>
    <row r="80" spans="1:83" ht="11.1" customHeight="1" x14ac:dyDescent="0.2">
      <c r="A80" s="7" t="s">
        <v>80</v>
      </c>
      <c r="B80" s="7" t="s">
        <v>10</v>
      </c>
      <c r="C80" s="7">
        <f>VLOOKUP(A:A,[1]TDSheet!$A:$C,3,0)</f>
        <v>7169</v>
      </c>
      <c r="D80" s="8">
        <v>2336</v>
      </c>
      <c r="E80" s="8">
        <v>276</v>
      </c>
      <c r="F80" s="8">
        <v>867</v>
      </c>
      <c r="G80" s="8">
        <v>1624</v>
      </c>
      <c r="H80" s="22">
        <f>VLOOKUP(A:A,[1]TDSheet!$A:$H,8,0)</f>
        <v>0.35</v>
      </c>
      <c r="I80" s="9">
        <f>VLOOKUP(A:A,[1]TDSheet!$A:$I,9,0)</f>
        <v>50</v>
      </c>
      <c r="J80" s="9" t="str">
        <f>VLOOKUP(A:A,[1]TDSheet!$A:$J,10,0)</f>
        <v>в матрице</v>
      </c>
      <c r="K80" s="9"/>
      <c r="L80" s="9">
        <f>VLOOKUP(A:A,[2]TDSheet!$A:$B,2,0)</f>
        <v>890.7</v>
      </c>
      <c r="M80" s="9">
        <f t="shared" si="11"/>
        <v>-23.700000000000045</v>
      </c>
      <c r="N80" s="9"/>
      <c r="O80" s="9"/>
      <c r="P80" s="9">
        <f>VLOOKUP(A:A,[1]TDSheet!$A:$S,19,0)</f>
        <v>0</v>
      </c>
      <c r="Q80" s="9">
        <v>0</v>
      </c>
      <c r="R80" s="9">
        <f t="shared" si="12"/>
        <v>173.4</v>
      </c>
      <c r="S80" s="45">
        <v>800</v>
      </c>
      <c r="T80" s="23">
        <f t="shared" si="13"/>
        <v>400</v>
      </c>
      <c r="U80" s="23">
        <f t="shared" si="14"/>
        <v>400</v>
      </c>
      <c r="V80" s="23"/>
      <c r="W80" s="9">
        <f>VLOOKUP(A:A,[3]TDSheet!$A:$U,21,0)</f>
        <v>0</v>
      </c>
      <c r="X80" s="9">
        <f t="shared" si="15"/>
        <v>13.979238754325259</v>
      </c>
      <c r="Y80" s="9">
        <f t="shared" si="16"/>
        <v>9.3656286043829287</v>
      </c>
      <c r="Z80" s="9">
        <f>VLOOKUP(A:A,[1]TDSheet!$A:$Y,25,0)</f>
        <v>162.80000000000001</v>
      </c>
      <c r="AA80" s="9">
        <f>VLOOKUP(A:A,[1]TDSheet!$A:$Z,26,0)</f>
        <v>250.2</v>
      </c>
      <c r="AB80" s="9">
        <f>VLOOKUP(A:A,[1]TDSheet!$A:$AA,27,0)</f>
        <v>195.6</v>
      </c>
      <c r="AC80" s="9">
        <f>VLOOKUP(A:A,[1]TDSheet!$A:$R,18,0)</f>
        <v>125.8</v>
      </c>
      <c r="AD80" s="9">
        <f>VLOOKUP(A:A,[1]TDSheet!$A:$AB,28,0)</f>
        <v>0</v>
      </c>
      <c r="AE80" s="9">
        <f t="shared" si="17"/>
        <v>140</v>
      </c>
      <c r="AF80" s="9">
        <f t="shared" si="18"/>
        <v>140</v>
      </c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</row>
    <row r="81" spans="1:83" ht="11.1" customHeight="1" x14ac:dyDescent="0.2">
      <c r="A81" s="7" t="s">
        <v>81</v>
      </c>
      <c r="B81" s="7" t="s">
        <v>10</v>
      </c>
      <c r="C81" s="7">
        <f>VLOOKUP(A:A,[1]TDSheet!$A:$C,3,0)</f>
        <v>7187</v>
      </c>
      <c r="D81" s="8">
        <v>45</v>
      </c>
      <c r="E81" s="8">
        <v>140</v>
      </c>
      <c r="F81" s="8">
        <v>110</v>
      </c>
      <c r="G81" s="8">
        <v>61</v>
      </c>
      <c r="H81" s="22">
        <f>VLOOKUP(A:A,[1]TDSheet!$A:$H,8,0)</f>
        <v>0.3</v>
      </c>
      <c r="I81" s="9">
        <f>VLOOKUP(A:A,[1]TDSheet!$A:$I,9,0)</f>
        <v>50</v>
      </c>
      <c r="J81" s="9" t="str">
        <f>VLOOKUP(A:A,[1]TDSheet!$A:$J,10,0)</f>
        <v>ВНИМАНИЕ / в матрице</v>
      </c>
      <c r="K81" s="9"/>
      <c r="L81" s="9">
        <f>VLOOKUP(A:A,[2]TDSheet!$A:$B,2,0)</f>
        <v>117</v>
      </c>
      <c r="M81" s="9">
        <f t="shared" si="11"/>
        <v>-7</v>
      </c>
      <c r="N81" s="9"/>
      <c r="O81" s="9"/>
      <c r="P81" s="9">
        <f>VLOOKUP(A:A,[1]TDSheet!$A:$S,19,0)</f>
        <v>35</v>
      </c>
      <c r="Q81" s="9">
        <v>35</v>
      </c>
      <c r="R81" s="9">
        <f t="shared" si="12"/>
        <v>22</v>
      </c>
      <c r="S81" s="45">
        <v>160</v>
      </c>
      <c r="T81" s="23">
        <f t="shared" si="13"/>
        <v>80</v>
      </c>
      <c r="U81" s="23">
        <f t="shared" si="14"/>
        <v>80</v>
      </c>
      <c r="V81" s="23"/>
      <c r="W81" s="9">
        <f>VLOOKUP(A:A,[3]TDSheet!$A:$U,21,0)</f>
        <v>0</v>
      </c>
      <c r="X81" s="9">
        <f t="shared" si="15"/>
        <v>13.227272727272727</v>
      </c>
      <c r="Y81" s="9">
        <f t="shared" si="16"/>
        <v>2.7727272727272729</v>
      </c>
      <c r="Z81" s="9">
        <f>VLOOKUP(A:A,[1]TDSheet!$A:$Y,25,0)</f>
        <v>17.8</v>
      </c>
      <c r="AA81" s="9">
        <f>VLOOKUP(A:A,[1]TDSheet!$A:$Z,26,0)</f>
        <v>15.4</v>
      </c>
      <c r="AB81" s="9">
        <f>VLOOKUP(A:A,[1]TDSheet!$A:$AA,27,0)</f>
        <v>17.2</v>
      </c>
      <c r="AC81" s="9">
        <f>VLOOKUP(A:A,[1]TDSheet!$A:$R,18,0)</f>
        <v>16.2</v>
      </c>
      <c r="AD81" s="9">
        <f>VLOOKUP(A:A,[1]TDSheet!$A:$AB,28,0)</f>
        <v>0</v>
      </c>
      <c r="AE81" s="9">
        <f t="shared" si="17"/>
        <v>24</v>
      </c>
      <c r="AF81" s="9">
        <f t="shared" si="18"/>
        <v>24</v>
      </c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  <c r="CE81" s="9"/>
    </row>
    <row r="82" spans="1:83" ht="11.1" customHeight="1" x14ac:dyDescent="0.2">
      <c r="A82" s="24" t="s">
        <v>82</v>
      </c>
      <c r="B82" s="24" t="s">
        <v>10</v>
      </c>
      <c r="C82" s="24">
        <f>VLOOKUP(A:A,[1]TDSheet!$A:$C,3,0)</f>
        <v>7216</v>
      </c>
      <c r="D82" s="25">
        <v>41</v>
      </c>
      <c r="E82" s="25"/>
      <c r="F82" s="25">
        <v>5</v>
      </c>
      <c r="G82" s="25">
        <v>36</v>
      </c>
      <c r="H82" s="26">
        <f>VLOOKUP(A:A,[1]TDSheet!$A:$H,8,0)</f>
        <v>0.7</v>
      </c>
      <c r="I82" s="27" t="e">
        <f>VLOOKUP(A:A,[1]TDSheet!$A:$I,9,0)</f>
        <v>#N/A</v>
      </c>
      <c r="J82" s="27" t="e">
        <f>VLOOKUP(A:A,[1]TDSheet!$A:$J,10,0)</f>
        <v>#N/A</v>
      </c>
      <c r="K82" s="9"/>
      <c r="L82" s="9">
        <f>VLOOKUP(A:A,[2]TDSheet!$A:$B,2,0)</f>
        <v>87</v>
      </c>
      <c r="M82" s="9">
        <f t="shared" si="11"/>
        <v>-82</v>
      </c>
      <c r="N82" s="9"/>
      <c r="O82" s="9"/>
      <c r="P82" s="9">
        <f>VLOOKUP(A:A,[1]TDSheet!$A:$S,19,0)</f>
        <v>75</v>
      </c>
      <c r="Q82" s="9">
        <v>75</v>
      </c>
      <c r="R82" s="9">
        <f t="shared" si="12"/>
        <v>1</v>
      </c>
      <c r="S82" s="45"/>
      <c r="T82" s="23">
        <f t="shared" si="13"/>
        <v>0</v>
      </c>
      <c r="U82" s="23">
        <f t="shared" si="14"/>
        <v>0</v>
      </c>
      <c r="V82" s="23"/>
      <c r="W82" s="9">
        <f>VLOOKUP(A:A,[3]TDSheet!$A:$U,21,0)</f>
        <v>0</v>
      </c>
      <c r="X82" s="9">
        <f t="shared" si="15"/>
        <v>186</v>
      </c>
      <c r="Y82" s="9">
        <f t="shared" si="16"/>
        <v>36</v>
      </c>
      <c r="Z82" s="9">
        <f>VLOOKUP(A:A,[1]TDSheet!$A:$Y,25,0)</f>
        <v>0</v>
      </c>
      <c r="AA82" s="9">
        <f>VLOOKUP(A:A,[1]TDSheet!$A:$Z,26,0)</f>
        <v>0</v>
      </c>
      <c r="AB82" s="9">
        <f>VLOOKUP(A:A,[1]TDSheet!$A:$AA,27,0)</f>
        <v>0</v>
      </c>
      <c r="AC82" s="9">
        <f>VLOOKUP(A:A,[1]TDSheet!$A:$R,18,0)</f>
        <v>17.8</v>
      </c>
      <c r="AD82" s="9" t="e">
        <f>VLOOKUP(A:A,[1]TDSheet!$A:$AB,28,0)</f>
        <v>#N/A</v>
      </c>
      <c r="AE82" s="9">
        <f t="shared" si="17"/>
        <v>0</v>
      </c>
      <c r="AF82" s="9">
        <f t="shared" si="18"/>
        <v>0</v>
      </c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9"/>
      <c r="CD82" s="9"/>
      <c r="CE82" s="9"/>
    </row>
    <row r="83" spans="1:83" ht="11.1" customHeight="1" x14ac:dyDescent="0.2">
      <c r="A83" s="7" t="s">
        <v>83</v>
      </c>
      <c r="B83" s="7" t="s">
        <v>10</v>
      </c>
      <c r="C83" s="7">
        <f>VLOOKUP(A:A,[1]TDSheet!$A:$C,3,0)</f>
        <v>7231</v>
      </c>
      <c r="D83" s="8">
        <v>190</v>
      </c>
      <c r="E83" s="8"/>
      <c r="F83" s="8">
        <v>75</v>
      </c>
      <c r="G83" s="8">
        <v>111</v>
      </c>
      <c r="H83" s="22">
        <f>VLOOKUP(A:A,[1]TDSheet!$A:$H,8,0)</f>
        <v>0.3</v>
      </c>
      <c r="I83" s="9">
        <f>VLOOKUP(A:A,[1]TDSheet!$A:$I,9,0)</f>
        <v>60</v>
      </c>
      <c r="J83" s="9" t="str">
        <f>VLOOKUP(A:A,[1]TDSheet!$A:$J,10,0)</f>
        <v>в матрице</v>
      </c>
      <c r="K83" s="9"/>
      <c r="L83" s="9">
        <f>VLOOKUP(A:A,[2]TDSheet!$A:$B,2,0)</f>
        <v>81</v>
      </c>
      <c r="M83" s="9">
        <f t="shared" si="11"/>
        <v>-6</v>
      </c>
      <c r="N83" s="9"/>
      <c r="O83" s="9"/>
      <c r="P83" s="9">
        <f>VLOOKUP(A:A,[1]TDSheet!$A:$S,19,0)</f>
        <v>0</v>
      </c>
      <c r="Q83" s="9">
        <v>0</v>
      </c>
      <c r="R83" s="9">
        <f t="shared" si="12"/>
        <v>15</v>
      </c>
      <c r="S83" s="45">
        <v>100</v>
      </c>
      <c r="T83" s="23">
        <f t="shared" si="13"/>
        <v>50</v>
      </c>
      <c r="U83" s="23">
        <f t="shared" si="14"/>
        <v>50</v>
      </c>
      <c r="V83" s="23"/>
      <c r="W83" s="9">
        <f>VLOOKUP(A:A,[3]TDSheet!$A:$U,21,0)</f>
        <v>0</v>
      </c>
      <c r="X83" s="9">
        <f t="shared" si="15"/>
        <v>14.066666666666666</v>
      </c>
      <c r="Y83" s="9">
        <f t="shared" si="16"/>
        <v>7.4</v>
      </c>
      <c r="Z83" s="9">
        <f>VLOOKUP(A:A,[1]TDSheet!$A:$Y,25,0)</f>
        <v>7.6</v>
      </c>
      <c r="AA83" s="9">
        <f>VLOOKUP(A:A,[1]TDSheet!$A:$Z,26,0)</f>
        <v>19</v>
      </c>
      <c r="AB83" s="9">
        <f>VLOOKUP(A:A,[1]TDSheet!$A:$AA,27,0)</f>
        <v>10.199999999999999</v>
      </c>
      <c r="AC83" s="9">
        <f>VLOOKUP(A:A,[1]TDSheet!$A:$R,18,0)</f>
        <v>9.6</v>
      </c>
      <c r="AD83" s="9">
        <f>VLOOKUP(A:A,[1]TDSheet!$A:$AB,28,0)</f>
        <v>0</v>
      </c>
      <c r="AE83" s="9">
        <f t="shared" si="17"/>
        <v>15</v>
      </c>
      <c r="AF83" s="9">
        <f t="shared" si="18"/>
        <v>15</v>
      </c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9"/>
      <c r="CD83" s="9"/>
      <c r="CE83" s="9"/>
    </row>
    <row r="84" spans="1:83" ht="11.1" customHeight="1" x14ac:dyDescent="0.2">
      <c r="A84" s="7" t="s">
        <v>84</v>
      </c>
      <c r="B84" s="7" t="s">
        <v>10</v>
      </c>
      <c r="C84" s="7">
        <f>VLOOKUP(A:A,[1]TDSheet!$A:$C,3,0)</f>
        <v>7232</v>
      </c>
      <c r="D84" s="8">
        <v>129</v>
      </c>
      <c r="E84" s="8">
        <v>248</v>
      </c>
      <c r="F84" s="8">
        <v>163</v>
      </c>
      <c r="G84" s="8">
        <v>188</v>
      </c>
      <c r="H84" s="22">
        <f>VLOOKUP(A:A,[1]TDSheet!$A:$H,8,0)</f>
        <v>0.28000000000000003</v>
      </c>
      <c r="I84" s="9">
        <f>VLOOKUP(A:A,[1]TDSheet!$A:$I,9,0)</f>
        <v>50</v>
      </c>
      <c r="J84" s="9" t="str">
        <f>VLOOKUP(A:A,[1]TDSheet!$A:$J,10,0)</f>
        <v>в матрице</v>
      </c>
      <c r="K84" s="9"/>
      <c r="L84" s="9">
        <f>VLOOKUP(A:A,[2]TDSheet!$A:$B,2,0)</f>
        <v>165</v>
      </c>
      <c r="M84" s="9">
        <f t="shared" si="11"/>
        <v>-2</v>
      </c>
      <c r="N84" s="9"/>
      <c r="O84" s="9"/>
      <c r="P84" s="9">
        <f>VLOOKUP(A:A,[1]TDSheet!$A:$S,19,0)</f>
        <v>170</v>
      </c>
      <c r="Q84" s="9">
        <v>170</v>
      </c>
      <c r="R84" s="9">
        <f t="shared" si="12"/>
        <v>32.6</v>
      </c>
      <c r="S84" s="45"/>
      <c r="T84" s="23">
        <f t="shared" si="13"/>
        <v>0</v>
      </c>
      <c r="U84" s="23">
        <f t="shared" si="14"/>
        <v>0</v>
      </c>
      <c r="V84" s="23"/>
      <c r="W84" s="9">
        <f>VLOOKUP(A:A,[3]TDSheet!$A:$U,21,0)</f>
        <v>0</v>
      </c>
      <c r="X84" s="9">
        <f t="shared" si="15"/>
        <v>16.196319018404907</v>
      </c>
      <c r="Y84" s="9">
        <f t="shared" si="16"/>
        <v>5.7668711656441713</v>
      </c>
      <c r="Z84" s="9">
        <f>VLOOKUP(A:A,[1]TDSheet!$A:$Y,25,0)</f>
        <v>18.8</v>
      </c>
      <c r="AA84" s="9">
        <f>VLOOKUP(A:A,[1]TDSheet!$A:$Z,26,0)</f>
        <v>33.6</v>
      </c>
      <c r="AB84" s="9">
        <f>VLOOKUP(A:A,[1]TDSheet!$A:$AA,27,0)</f>
        <v>27</v>
      </c>
      <c r="AC84" s="9">
        <f>VLOOKUP(A:A,[1]TDSheet!$A:$R,18,0)</f>
        <v>37</v>
      </c>
      <c r="AD84" s="9" t="str">
        <f>VLOOKUP(A:A,[1]TDSheet!$A:$AB,28,0)</f>
        <v>Обжора / Паллет</v>
      </c>
      <c r="AE84" s="9">
        <f t="shared" si="17"/>
        <v>0</v>
      </c>
      <c r="AF84" s="9">
        <f t="shared" si="18"/>
        <v>0</v>
      </c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  <c r="BW84" s="9"/>
      <c r="BX84" s="9"/>
      <c r="BY84" s="9"/>
      <c r="BZ84" s="9"/>
      <c r="CA84" s="9"/>
      <c r="CB84" s="9"/>
      <c r="CC84" s="9"/>
      <c r="CD84" s="9"/>
      <c r="CE84" s="9"/>
    </row>
    <row r="85" spans="1:83" ht="11.1" customHeight="1" x14ac:dyDescent="0.2">
      <c r="A85" s="7" t="s">
        <v>85</v>
      </c>
      <c r="B85" s="7" t="s">
        <v>10</v>
      </c>
      <c r="C85" s="7">
        <f>VLOOKUP(A:A,[1]TDSheet!$A:$C,3,0)</f>
        <v>7236</v>
      </c>
      <c r="D85" s="8">
        <v>204</v>
      </c>
      <c r="E85" s="8">
        <v>291</v>
      </c>
      <c r="F85" s="8">
        <v>302</v>
      </c>
      <c r="G85" s="8">
        <v>138</v>
      </c>
      <c r="H85" s="22">
        <f>VLOOKUP(A:A,[1]TDSheet!$A:$H,8,0)</f>
        <v>0.28000000000000003</v>
      </c>
      <c r="I85" s="9">
        <f>VLOOKUP(A:A,[1]TDSheet!$A:$I,9,0)</f>
        <v>45</v>
      </c>
      <c r="J85" s="9" t="str">
        <f>VLOOKUP(A:A,[1]TDSheet!$A:$J,10,0)</f>
        <v>в матрице</v>
      </c>
      <c r="K85" s="9"/>
      <c r="L85" s="9">
        <f>VLOOKUP(A:A,[2]TDSheet!$A:$B,2,0)</f>
        <v>336</v>
      </c>
      <c r="M85" s="9">
        <f t="shared" si="11"/>
        <v>-34</v>
      </c>
      <c r="N85" s="9"/>
      <c r="O85" s="9"/>
      <c r="P85" s="9">
        <f>VLOOKUP(A:A,[1]TDSheet!$A:$S,19,0)</f>
        <v>25</v>
      </c>
      <c r="Q85" s="9">
        <v>25</v>
      </c>
      <c r="R85" s="9">
        <f t="shared" si="12"/>
        <v>60.4</v>
      </c>
      <c r="S85" s="45">
        <v>660</v>
      </c>
      <c r="T85" s="23">
        <f t="shared" si="13"/>
        <v>330</v>
      </c>
      <c r="U85" s="23">
        <f t="shared" si="14"/>
        <v>330</v>
      </c>
      <c r="V85" s="23"/>
      <c r="W85" s="9">
        <f>VLOOKUP(A:A,[3]TDSheet!$A:$U,21,0)</f>
        <v>0</v>
      </c>
      <c r="X85" s="9">
        <f t="shared" si="15"/>
        <v>14.039735099337749</v>
      </c>
      <c r="Y85" s="9">
        <f t="shared" si="16"/>
        <v>2.2847682119205297</v>
      </c>
      <c r="Z85" s="9">
        <f>VLOOKUP(A:A,[1]TDSheet!$A:$Y,25,0)</f>
        <v>40.799999999999997</v>
      </c>
      <c r="AA85" s="9">
        <f>VLOOKUP(A:A,[1]TDSheet!$A:$Z,26,0)</f>
        <v>41.2</v>
      </c>
      <c r="AB85" s="9">
        <f>VLOOKUP(A:A,[1]TDSheet!$A:$AA,27,0)</f>
        <v>42.6</v>
      </c>
      <c r="AC85" s="9">
        <f>VLOOKUP(A:A,[1]TDSheet!$A:$R,18,0)</f>
        <v>22.4</v>
      </c>
      <c r="AD85" s="9" t="str">
        <f>VLOOKUP(A:A,[1]TDSheet!$A:$AB,28,0)</f>
        <v>Обжора / Паллет</v>
      </c>
      <c r="AE85" s="9">
        <f t="shared" si="17"/>
        <v>92.4</v>
      </c>
      <c r="AF85" s="9">
        <f t="shared" si="18"/>
        <v>92.4</v>
      </c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  <c r="BW85" s="9"/>
      <c r="BX85" s="9"/>
      <c r="BY85" s="9"/>
      <c r="BZ85" s="9"/>
      <c r="CA85" s="9"/>
      <c r="CB85" s="9"/>
      <c r="CC85" s="9"/>
      <c r="CD85" s="9"/>
      <c r="CE85" s="9"/>
    </row>
    <row r="86" spans="1:83" ht="11.1" customHeight="1" x14ac:dyDescent="0.2">
      <c r="A86" s="7" t="s">
        <v>86</v>
      </c>
      <c r="B86" s="7" t="s">
        <v>10</v>
      </c>
      <c r="C86" s="7">
        <f>VLOOKUP(A:A,[1]TDSheet!$A:$C,3,0)</f>
        <v>7237</v>
      </c>
      <c r="D86" s="8">
        <v>-6</v>
      </c>
      <c r="E86" s="8">
        <v>185</v>
      </c>
      <c r="F86" s="8">
        <v>54</v>
      </c>
      <c r="G86" s="8">
        <v>113</v>
      </c>
      <c r="H86" s="22">
        <f>VLOOKUP(A:A,[1]TDSheet!$A:$H,8,0)</f>
        <v>0.28000000000000003</v>
      </c>
      <c r="I86" s="9">
        <f>VLOOKUP(A:A,[1]TDSheet!$A:$I,9,0)</f>
        <v>45</v>
      </c>
      <c r="J86" s="9" t="str">
        <f>VLOOKUP(A:A,[1]TDSheet!$A:$J,10,0)</f>
        <v>в матрице</v>
      </c>
      <c r="K86" s="9"/>
      <c r="L86" s="9">
        <f>VLOOKUP(A:A,[2]TDSheet!$A:$B,2,0)</f>
        <v>64</v>
      </c>
      <c r="M86" s="9">
        <f t="shared" si="11"/>
        <v>-10</v>
      </c>
      <c r="N86" s="9"/>
      <c r="O86" s="9"/>
      <c r="P86" s="9">
        <f>VLOOKUP(A:A,[1]TDSheet!$A:$S,19,0)</f>
        <v>60</v>
      </c>
      <c r="Q86" s="9">
        <v>60</v>
      </c>
      <c r="R86" s="9">
        <f t="shared" si="12"/>
        <v>10.8</v>
      </c>
      <c r="S86" s="45"/>
      <c r="T86" s="23">
        <f t="shared" si="13"/>
        <v>0</v>
      </c>
      <c r="U86" s="23">
        <f t="shared" si="14"/>
        <v>0</v>
      </c>
      <c r="V86" s="23"/>
      <c r="W86" s="9">
        <f>VLOOKUP(A:A,[3]TDSheet!$A:$U,21,0)</f>
        <v>0</v>
      </c>
      <c r="X86" s="9">
        <f t="shared" si="15"/>
        <v>21.574074074074073</v>
      </c>
      <c r="Y86" s="9">
        <f t="shared" si="16"/>
        <v>10.462962962962962</v>
      </c>
      <c r="Z86" s="9">
        <f>VLOOKUP(A:A,[1]TDSheet!$A:$Y,25,0)</f>
        <v>17.600000000000001</v>
      </c>
      <c r="AA86" s="9">
        <f>VLOOKUP(A:A,[1]TDSheet!$A:$Z,26,0)</f>
        <v>12</v>
      </c>
      <c r="AB86" s="9">
        <f>VLOOKUP(A:A,[1]TDSheet!$A:$AA,27,0)</f>
        <v>16.399999999999999</v>
      </c>
      <c r="AC86" s="9">
        <f>VLOOKUP(A:A,[1]TDSheet!$A:$R,18,0)</f>
        <v>18.600000000000001</v>
      </c>
      <c r="AD86" s="9">
        <f>VLOOKUP(A:A,[1]TDSheet!$A:$AB,28,0)</f>
        <v>0</v>
      </c>
      <c r="AE86" s="9">
        <f t="shared" si="17"/>
        <v>0</v>
      </c>
      <c r="AF86" s="9">
        <f t="shared" si="18"/>
        <v>0</v>
      </c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9"/>
      <c r="BZ86" s="9"/>
      <c r="CA86" s="9"/>
      <c r="CB86" s="9"/>
      <c r="CC86" s="9"/>
      <c r="CD86" s="9"/>
      <c r="CE86" s="9"/>
    </row>
    <row r="87" spans="1:83" ht="11.1" customHeight="1" x14ac:dyDescent="0.2">
      <c r="A87" s="7" t="s">
        <v>87</v>
      </c>
      <c r="B87" s="7" t="s">
        <v>10</v>
      </c>
      <c r="C87" s="7">
        <f>VLOOKUP(A:A,[1]TDSheet!$A:$C,3,0)</f>
        <v>7241</v>
      </c>
      <c r="D87" s="8">
        <v>31</v>
      </c>
      <c r="E87" s="8">
        <v>696</v>
      </c>
      <c r="F87" s="8">
        <v>255</v>
      </c>
      <c r="G87" s="8">
        <v>419</v>
      </c>
      <c r="H87" s="22">
        <f>VLOOKUP(A:A,[1]TDSheet!$A:$H,8,0)</f>
        <v>0.28000000000000003</v>
      </c>
      <c r="I87" s="9">
        <f>VLOOKUP(A:A,[1]TDSheet!$A:$I,9,0)</f>
        <v>45</v>
      </c>
      <c r="J87" s="9" t="str">
        <f>VLOOKUP(A:A,[1]TDSheet!$A:$J,10,0)</f>
        <v>в матрице</v>
      </c>
      <c r="K87" s="9"/>
      <c r="L87" s="9">
        <f>VLOOKUP(A:A,[2]TDSheet!$A:$B,2,0)</f>
        <v>298</v>
      </c>
      <c r="M87" s="9">
        <f t="shared" si="11"/>
        <v>-43</v>
      </c>
      <c r="N87" s="9"/>
      <c r="O87" s="9"/>
      <c r="P87" s="9">
        <f>VLOOKUP(A:A,[1]TDSheet!$A:$S,19,0)</f>
        <v>0</v>
      </c>
      <c r="Q87" s="9">
        <v>0</v>
      </c>
      <c r="R87" s="9">
        <f t="shared" si="12"/>
        <v>51</v>
      </c>
      <c r="S87" s="45">
        <v>300</v>
      </c>
      <c r="T87" s="23">
        <f t="shared" si="13"/>
        <v>150</v>
      </c>
      <c r="U87" s="23">
        <f t="shared" si="14"/>
        <v>150</v>
      </c>
      <c r="V87" s="23"/>
      <c r="W87" s="9">
        <f>VLOOKUP(A:A,[3]TDSheet!$A:$U,21,0)</f>
        <v>0</v>
      </c>
      <c r="X87" s="9">
        <f t="shared" si="15"/>
        <v>14.098039215686274</v>
      </c>
      <c r="Y87" s="9">
        <f t="shared" si="16"/>
        <v>8.2156862745098032</v>
      </c>
      <c r="Z87" s="9">
        <f>VLOOKUP(A:A,[1]TDSheet!$A:$Y,25,0)</f>
        <v>34</v>
      </c>
      <c r="AA87" s="9">
        <f>VLOOKUP(A:A,[1]TDSheet!$A:$Z,26,0)</f>
        <v>10.8</v>
      </c>
      <c r="AB87" s="9">
        <f>VLOOKUP(A:A,[1]TDSheet!$A:$AA,27,0)</f>
        <v>50.6</v>
      </c>
      <c r="AC87" s="9">
        <f>VLOOKUP(A:A,[1]TDSheet!$A:$R,18,0)</f>
        <v>9.1999999999999993</v>
      </c>
      <c r="AD87" s="9" t="str">
        <f>VLOOKUP(A:A,[1]TDSheet!$A:$AB,28,0)</f>
        <v>Обжора / Паллет</v>
      </c>
      <c r="AE87" s="9">
        <f t="shared" si="17"/>
        <v>42.000000000000007</v>
      </c>
      <c r="AF87" s="9">
        <f t="shared" si="18"/>
        <v>42.000000000000007</v>
      </c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</row>
    <row r="88" spans="1:83" ht="11.1" customHeight="1" x14ac:dyDescent="0.2">
      <c r="A88" s="7" t="s">
        <v>88</v>
      </c>
      <c r="B88" s="7" t="s">
        <v>10</v>
      </c>
      <c r="C88" s="7">
        <f>VLOOKUP(A:A,[1]TDSheet!$A:$C,3,0)</f>
        <v>7255</v>
      </c>
      <c r="D88" s="8">
        <v>579</v>
      </c>
      <c r="E88" s="8">
        <v>255</v>
      </c>
      <c r="F88" s="8">
        <v>448</v>
      </c>
      <c r="G88" s="8">
        <v>302</v>
      </c>
      <c r="H88" s="22">
        <f>VLOOKUP(A:A,[1]TDSheet!$A:$H,8,0)</f>
        <v>0.4</v>
      </c>
      <c r="I88" s="9">
        <f>VLOOKUP(A:A,[1]TDSheet!$A:$I,9,0)</f>
        <v>50</v>
      </c>
      <c r="J88" s="9" t="str">
        <f>VLOOKUP(A:A,[1]TDSheet!$A:$J,10,0)</f>
        <v>в матрице</v>
      </c>
      <c r="K88" s="9"/>
      <c r="L88" s="9">
        <f>VLOOKUP(A:A,[2]TDSheet!$A:$B,2,0)</f>
        <v>453</v>
      </c>
      <c r="M88" s="9">
        <f t="shared" si="11"/>
        <v>-5</v>
      </c>
      <c r="N88" s="9"/>
      <c r="O88" s="9"/>
      <c r="P88" s="9">
        <f>VLOOKUP(A:A,[1]TDSheet!$A:$S,19,0)</f>
        <v>30</v>
      </c>
      <c r="Q88" s="9">
        <v>30</v>
      </c>
      <c r="R88" s="9">
        <f t="shared" si="12"/>
        <v>89.6</v>
      </c>
      <c r="S88" s="45">
        <v>840</v>
      </c>
      <c r="T88" s="23">
        <f t="shared" si="13"/>
        <v>420</v>
      </c>
      <c r="U88" s="23">
        <f t="shared" si="14"/>
        <v>420</v>
      </c>
      <c r="V88" s="23"/>
      <c r="W88" s="9">
        <f>VLOOKUP(A:A,[3]TDSheet!$A:$U,21,0)</f>
        <v>0</v>
      </c>
      <c r="X88" s="9">
        <f t="shared" si="15"/>
        <v>13.415178571428573</v>
      </c>
      <c r="Y88" s="9">
        <f t="shared" si="16"/>
        <v>3.3705357142857144</v>
      </c>
      <c r="Z88" s="9">
        <f>VLOOKUP(A:A,[1]TDSheet!$A:$Y,25,0)</f>
        <v>57.4</v>
      </c>
      <c r="AA88" s="9">
        <f>VLOOKUP(A:A,[1]TDSheet!$A:$Z,26,0)</f>
        <v>83.4</v>
      </c>
      <c r="AB88" s="9">
        <f>VLOOKUP(A:A,[1]TDSheet!$A:$AA,27,0)</f>
        <v>67</v>
      </c>
      <c r="AC88" s="9">
        <f>VLOOKUP(A:A,[1]TDSheet!$A:$R,18,0)</f>
        <v>52.6</v>
      </c>
      <c r="AD88" s="9" t="str">
        <f>VLOOKUP(A:A,[1]TDSheet!$A:$AB,28,0)</f>
        <v>вместо 7077</v>
      </c>
      <c r="AE88" s="9">
        <f t="shared" si="17"/>
        <v>168</v>
      </c>
      <c r="AF88" s="9">
        <f t="shared" si="18"/>
        <v>168</v>
      </c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</row>
    <row r="89" spans="1:83" ht="11.1" customHeight="1" x14ac:dyDescent="0.2">
      <c r="A89" s="7" t="s">
        <v>89</v>
      </c>
      <c r="B89" s="7" t="s">
        <v>10</v>
      </c>
      <c r="C89" s="7">
        <f>VLOOKUP(A:A,[1]TDSheet!$A:$C,3,0)</f>
        <v>7276</v>
      </c>
      <c r="D89" s="8">
        <v>9</v>
      </c>
      <c r="E89" s="8">
        <v>119</v>
      </c>
      <c r="F89" s="8">
        <v>12</v>
      </c>
      <c r="G89" s="8">
        <v>116</v>
      </c>
      <c r="H89" s="22">
        <f>VLOOKUP(A:A,[1]TDSheet!$A:$H,8,0)</f>
        <v>0.3</v>
      </c>
      <c r="I89" s="9">
        <f>VLOOKUP(A:A,[1]TDSheet!$A:$I,9,0)</f>
        <v>0</v>
      </c>
      <c r="J89" s="9">
        <f>VLOOKUP(A:A,[1]TDSheet!$A:$J,10,0)</f>
        <v>0</v>
      </c>
      <c r="K89" s="9"/>
      <c r="L89" s="9">
        <f>VLOOKUP(A:A,[2]TDSheet!$A:$B,2,0)</f>
        <v>12</v>
      </c>
      <c r="M89" s="9">
        <f t="shared" si="11"/>
        <v>0</v>
      </c>
      <c r="N89" s="9"/>
      <c r="O89" s="9"/>
      <c r="P89" s="9">
        <f>VLOOKUP(A:A,[1]TDSheet!$A:$S,19,0)</f>
        <v>55</v>
      </c>
      <c r="Q89" s="9">
        <v>55</v>
      </c>
      <c r="R89" s="9">
        <f t="shared" si="12"/>
        <v>2.4</v>
      </c>
      <c r="S89" s="45"/>
      <c r="T89" s="23">
        <f t="shared" si="13"/>
        <v>0</v>
      </c>
      <c r="U89" s="23">
        <f t="shared" si="14"/>
        <v>0</v>
      </c>
      <c r="V89" s="23"/>
      <c r="W89" s="9">
        <f>VLOOKUP(A:A,[3]TDSheet!$A:$U,21,0)</f>
        <v>0</v>
      </c>
      <c r="X89" s="9">
        <f t="shared" si="15"/>
        <v>94.166666666666671</v>
      </c>
      <c r="Y89" s="9">
        <f t="shared" si="16"/>
        <v>48.333333333333336</v>
      </c>
      <c r="Z89" s="9">
        <f>VLOOKUP(A:A,[1]TDSheet!$A:$Y,25,0)</f>
        <v>10.4</v>
      </c>
      <c r="AA89" s="9">
        <f>VLOOKUP(A:A,[1]TDSheet!$A:$Z,26,0)</f>
        <v>6.2</v>
      </c>
      <c r="AB89" s="9">
        <f>VLOOKUP(A:A,[1]TDSheet!$A:$AA,27,0)</f>
        <v>11.4</v>
      </c>
      <c r="AC89" s="9">
        <f>VLOOKUP(A:A,[1]TDSheet!$A:$R,18,0)</f>
        <v>13.6</v>
      </c>
      <c r="AD89" s="9" t="str">
        <f>VLOOKUP(A:A,[1]TDSheet!$A:$AB,28,0)</f>
        <v>31,07,25 в уценку 232шт.</v>
      </c>
      <c r="AE89" s="9">
        <f t="shared" si="17"/>
        <v>0</v>
      </c>
      <c r="AF89" s="9">
        <f t="shared" si="18"/>
        <v>0</v>
      </c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</row>
    <row r="90" spans="1:83" ht="11.1" customHeight="1" x14ac:dyDescent="0.2">
      <c r="A90" s="7" t="s">
        <v>90</v>
      </c>
      <c r="B90" s="7" t="s">
        <v>10</v>
      </c>
      <c r="C90" s="7">
        <f>VLOOKUP(A:A,[1]TDSheet!$A:$C,3,0)</f>
        <v>7284</v>
      </c>
      <c r="D90" s="8">
        <v>5</v>
      </c>
      <c r="E90" s="8">
        <v>48</v>
      </c>
      <c r="F90" s="8">
        <v>18</v>
      </c>
      <c r="G90" s="8">
        <v>30</v>
      </c>
      <c r="H90" s="22">
        <f>VLOOKUP(A:A,[1]TDSheet!$A:$H,8,0)</f>
        <v>0.33</v>
      </c>
      <c r="I90" s="9">
        <f>VLOOKUP(A:A,[1]TDSheet!$A:$I,9,0)</f>
        <v>30</v>
      </c>
      <c r="J90" s="9" t="str">
        <f>VLOOKUP(A:A,[1]TDSheet!$A:$J,10,0)</f>
        <v>ВНИМАНИЕ / в матрице</v>
      </c>
      <c r="K90" s="9"/>
      <c r="L90" s="9">
        <f>VLOOKUP(A:A,[2]TDSheet!$A:$B,2,0)</f>
        <v>49</v>
      </c>
      <c r="M90" s="9">
        <f t="shared" si="11"/>
        <v>-31</v>
      </c>
      <c r="N90" s="9"/>
      <c r="O90" s="9"/>
      <c r="P90" s="9">
        <f>VLOOKUP(A:A,[1]TDSheet!$A:$S,19,0)</f>
        <v>0</v>
      </c>
      <c r="Q90" s="9">
        <v>0</v>
      </c>
      <c r="R90" s="9">
        <f t="shared" si="12"/>
        <v>3.6</v>
      </c>
      <c r="S90" s="45"/>
      <c r="T90" s="23">
        <f t="shared" si="13"/>
        <v>0</v>
      </c>
      <c r="U90" s="23">
        <f t="shared" si="14"/>
        <v>0</v>
      </c>
      <c r="V90" s="23"/>
      <c r="W90" s="9">
        <f>VLOOKUP(A:A,[3]TDSheet!$A:$U,21,0)</f>
        <v>0</v>
      </c>
      <c r="X90" s="9">
        <f t="shared" si="15"/>
        <v>8.3333333333333339</v>
      </c>
      <c r="Y90" s="9">
        <f t="shared" si="16"/>
        <v>8.3333333333333339</v>
      </c>
      <c r="Z90" s="9">
        <f>VLOOKUP(A:A,[1]TDSheet!$A:$Y,25,0)</f>
        <v>2.8</v>
      </c>
      <c r="AA90" s="9">
        <f>VLOOKUP(A:A,[1]TDSheet!$A:$Z,26,0)</f>
        <v>5.8</v>
      </c>
      <c r="AB90" s="9">
        <f>VLOOKUP(A:A,[1]TDSheet!$A:$AA,27,0)</f>
        <v>4</v>
      </c>
      <c r="AC90" s="9">
        <f>VLOOKUP(A:A,[1]TDSheet!$A:$R,18,0)</f>
        <v>1.4</v>
      </c>
      <c r="AD90" s="9">
        <f>VLOOKUP(A:A,[1]TDSheet!$A:$AB,28,0)</f>
        <v>0</v>
      </c>
      <c r="AE90" s="9">
        <f t="shared" si="17"/>
        <v>0</v>
      </c>
      <c r="AF90" s="9">
        <f t="shared" si="18"/>
        <v>0</v>
      </c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  <c r="CE90" s="9"/>
    </row>
    <row r="91" spans="1:83" ht="11.1" customHeight="1" x14ac:dyDescent="0.2">
      <c r="A91" s="7" t="s">
        <v>91</v>
      </c>
      <c r="B91" s="7" t="s">
        <v>10</v>
      </c>
      <c r="C91" s="7">
        <f>VLOOKUP(A:A,[1]TDSheet!$A:$C,3,0)</f>
        <v>7288</v>
      </c>
      <c r="D91" s="8">
        <v>120</v>
      </c>
      <c r="E91" s="8">
        <v>59</v>
      </c>
      <c r="F91" s="8">
        <v>65</v>
      </c>
      <c r="G91" s="8">
        <v>44</v>
      </c>
      <c r="H91" s="22">
        <f>VLOOKUP(A:A,[1]TDSheet!$A:$H,8,0)</f>
        <v>0.1</v>
      </c>
      <c r="I91" s="9">
        <f>VLOOKUP(A:A,[1]TDSheet!$A:$I,9,0)</f>
        <v>60</v>
      </c>
      <c r="J91" s="9" t="str">
        <f>VLOOKUP(A:A,[1]TDSheet!$A:$J,10,0)</f>
        <v>в матрице</v>
      </c>
      <c r="K91" s="9"/>
      <c r="L91" s="9">
        <f>VLOOKUP(A:A,[2]TDSheet!$A:$B,2,0)</f>
        <v>76</v>
      </c>
      <c r="M91" s="9">
        <f t="shared" si="11"/>
        <v>-11</v>
      </c>
      <c r="N91" s="9"/>
      <c r="O91" s="9"/>
      <c r="P91" s="9">
        <f>VLOOKUP(A:A,[1]TDSheet!$A:$S,19,0)</f>
        <v>0</v>
      </c>
      <c r="Q91" s="9">
        <v>0</v>
      </c>
      <c r="R91" s="9">
        <f t="shared" si="12"/>
        <v>13</v>
      </c>
      <c r="S91" s="45">
        <v>140</v>
      </c>
      <c r="T91" s="23">
        <f t="shared" si="13"/>
        <v>70</v>
      </c>
      <c r="U91" s="23">
        <f t="shared" si="14"/>
        <v>70</v>
      </c>
      <c r="V91" s="23"/>
      <c r="W91" s="9">
        <f>VLOOKUP(A:A,[3]TDSheet!$A:$U,21,0)</f>
        <v>0</v>
      </c>
      <c r="X91" s="9">
        <f t="shared" si="15"/>
        <v>14.153846153846153</v>
      </c>
      <c r="Y91" s="9">
        <f t="shared" si="16"/>
        <v>3.3846153846153846</v>
      </c>
      <c r="Z91" s="9">
        <f>VLOOKUP(A:A,[1]TDSheet!$A:$Y,25,0)</f>
        <v>9.1999999999999993</v>
      </c>
      <c r="AA91" s="9">
        <f>VLOOKUP(A:A,[1]TDSheet!$A:$Z,26,0)</f>
        <v>13.6</v>
      </c>
      <c r="AB91" s="9">
        <f>VLOOKUP(A:A,[1]TDSheet!$A:$AA,27,0)</f>
        <v>8.8000000000000007</v>
      </c>
      <c r="AC91" s="9">
        <f>VLOOKUP(A:A,[1]TDSheet!$A:$R,18,0)</f>
        <v>5.2</v>
      </c>
      <c r="AD91" s="9" t="str">
        <f>VLOOKUP(A:A,[1]TDSheet!$A:$AB,28,0)</f>
        <v>нет потребности</v>
      </c>
      <c r="AE91" s="9">
        <f t="shared" si="17"/>
        <v>7</v>
      </c>
      <c r="AF91" s="9">
        <f t="shared" si="18"/>
        <v>7</v>
      </c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  <c r="BW91" s="9"/>
      <c r="BX91" s="9"/>
      <c r="BY91" s="9"/>
      <c r="BZ91" s="9"/>
      <c r="CA91" s="9"/>
      <c r="CB91" s="9"/>
      <c r="CC91" s="9"/>
      <c r="CD91" s="9"/>
      <c r="CE91" s="9"/>
    </row>
    <row r="92" spans="1:83" ht="11.1" customHeight="1" x14ac:dyDescent="0.2">
      <c r="A92" s="7" t="s">
        <v>92</v>
      </c>
      <c r="B92" s="7" t="s">
        <v>10</v>
      </c>
      <c r="C92" s="7">
        <f>VLOOKUP(A:A,[1]TDSheet!$A:$C,3,0)</f>
        <v>7332</v>
      </c>
      <c r="D92" s="8">
        <v>5</v>
      </c>
      <c r="E92" s="8">
        <v>64</v>
      </c>
      <c r="F92" s="8">
        <v>22</v>
      </c>
      <c r="G92" s="8">
        <v>39</v>
      </c>
      <c r="H92" s="22">
        <f>VLOOKUP(A:A,[1]TDSheet!$A:$H,8,0)</f>
        <v>0.28000000000000003</v>
      </c>
      <c r="I92" s="9">
        <f>VLOOKUP(A:A,[1]TDSheet!$A:$I,9,0)</f>
        <v>50</v>
      </c>
      <c r="J92" s="9" t="str">
        <f>VLOOKUP(A:A,[1]TDSheet!$A:$J,10,0)</f>
        <v>в матрице</v>
      </c>
      <c r="K92" s="9"/>
      <c r="L92" s="9">
        <f>VLOOKUP(A:A,[2]TDSheet!$A:$B,2,0)</f>
        <v>33</v>
      </c>
      <c r="M92" s="9">
        <f t="shared" si="11"/>
        <v>-11</v>
      </c>
      <c r="N92" s="9"/>
      <c r="O92" s="9"/>
      <c r="P92" s="9">
        <f>VLOOKUP(A:A,[1]TDSheet!$A:$S,19,0)</f>
        <v>0</v>
      </c>
      <c r="Q92" s="9">
        <v>0</v>
      </c>
      <c r="R92" s="9">
        <f t="shared" si="12"/>
        <v>4.4000000000000004</v>
      </c>
      <c r="S92" s="45"/>
      <c r="T92" s="23">
        <f t="shared" si="13"/>
        <v>0</v>
      </c>
      <c r="U92" s="23">
        <f t="shared" si="14"/>
        <v>0</v>
      </c>
      <c r="V92" s="23">
        <f>VLOOKUP(A:A,[3]TDSheet!$A:$T,20,0)</f>
        <v>30</v>
      </c>
      <c r="W92" s="9">
        <f>VLOOKUP(A:A,[3]TDSheet!$A:$U,21,0)</f>
        <v>0</v>
      </c>
      <c r="X92" s="9">
        <f t="shared" si="15"/>
        <v>8.8636363636363633</v>
      </c>
      <c r="Y92" s="9">
        <f t="shared" si="16"/>
        <v>8.8636363636363633</v>
      </c>
      <c r="Z92" s="9">
        <f>VLOOKUP(A:A,[1]TDSheet!$A:$Y,25,0)</f>
        <v>0.4</v>
      </c>
      <c r="AA92" s="9">
        <f>VLOOKUP(A:A,[1]TDSheet!$A:$Z,26,0)</f>
        <v>3.2</v>
      </c>
      <c r="AB92" s="9">
        <f>VLOOKUP(A:A,[1]TDSheet!$A:$AA,27,0)</f>
        <v>6.4</v>
      </c>
      <c r="AC92" s="9">
        <f>VLOOKUP(A:A,[1]TDSheet!$A:$R,18,0)</f>
        <v>3.6</v>
      </c>
      <c r="AD92" s="9">
        <f>VLOOKUP(A:A,[1]TDSheet!$A:$AB,28,0)</f>
        <v>0</v>
      </c>
      <c r="AE92" s="9">
        <f t="shared" si="17"/>
        <v>0</v>
      </c>
      <c r="AF92" s="9">
        <f t="shared" si="18"/>
        <v>0</v>
      </c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  <c r="CE92" s="9"/>
    </row>
    <row r="93" spans="1:83" ht="11.1" customHeight="1" x14ac:dyDescent="0.2">
      <c r="A93" s="7" t="s">
        <v>93</v>
      </c>
      <c r="B93" s="7" t="s">
        <v>10</v>
      </c>
      <c r="C93" s="7">
        <f>VLOOKUP(A:A,[1]TDSheet!$A:$C,3,0)</f>
        <v>7333</v>
      </c>
      <c r="D93" s="8">
        <v>13</v>
      </c>
      <c r="E93" s="8">
        <v>48</v>
      </c>
      <c r="F93" s="8">
        <v>20</v>
      </c>
      <c r="G93" s="8">
        <v>41</v>
      </c>
      <c r="H93" s="22">
        <f>VLOOKUP(A:A,[1]TDSheet!$A:$H,8,0)</f>
        <v>0.28000000000000003</v>
      </c>
      <c r="I93" s="9">
        <f>VLOOKUP(A:A,[1]TDSheet!$A:$I,9,0)</f>
        <v>50</v>
      </c>
      <c r="J93" s="9" t="str">
        <f>VLOOKUP(A:A,[1]TDSheet!$A:$J,10,0)</f>
        <v>в матрице</v>
      </c>
      <c r="K93" s="9"/>
      <c r="L93" s="9">
        <f>VLOOKUP(A:A,[2]TDSheet!$A:$B,2,0)</f>
        <v>20</v>
      </c>
      <c r="M93" s="9">
        <f t="shared" si="11"/>
        <v>0</v>
      </c>
      <c r="N93" s="9"/>
      <c r="O93" s="9"/>
      <c r="P93" s="9">
        <f>VLOOKUP(A:A,[1]TDSheet!$A:$S,19,0)</f>
        <v>0</v>
      </c>
      <c r="Q93" s="9">
        <v>0</v>
      </c>
      <c r="R93" s="9">
        <f t="shared" si="12"/>
        <v>4</v>
      </c>
      <c r="S93" s="45"/>
      <c r="T93" s="23">
        <f t="shared" si="13"/>
        <v>0</v>
      </c>
      <c r="U93" s="23">
        <f t="shared" si="14"/>
        <v>0</v>
      </c>
      <c r="V93" s="23"/>
      <c r="W93" s="9">
        <f>VLOOKUP(A:A,[3]TDSheet!$A:$U,21,0)</f>
        <v>0</v>
      </c>
      <c r="X93" s="9">
        <f t="shared" si="15"/>
        <v>10.25</v>
      </c>
      <c r="Y93" s="9">
        <f t="shared" si="16"/>
        <v>10.25</v>
      </c>
      <c r="Z93" s="9">
        <f>VLOOKUP(A:A,[1]TDSheet!$A:$Y,25,0)</f>
        <v>0.2</v>
      </c>
      <c r="AA93" s="9">
        <f>VLOOKUP(A:A,[1]TDSheet!$A:$Z,26,0)</f>
        <v>4.5999999999999996</v>
      </c>
      <c r="AB93" s="9">
        <f>VLOOKUP(A:A,[1]TDSheet!$A:$AA,27,0)</f>
        <v>6</v>
      </c>
      <c r="AC93" s="9">
        <f>VLOOKUP(A:A,[1]TDSheet!$A:$R,18,0)</f>
        <v>3.4</v>
      </c>
      <c r="AD93" s="9">
        <f>VLOOKUP(A:A,[1]TDSheet!$A:$AB,28,0)</f>
        <v>0</v>
      </c>
      <c r="AE93" s="9">
        <f t="shared" si="17"/>
        <v>0</v>
      </c>
      <c r="AF93" s="9">
        <f t="shared" si="18"/>
        <v>0</v>
      </c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  <c r="BY93" s="9"/>
      <c r="BZ93" s="9"/>
      <c r="CA93" s="9"/>
      <c r="CB93" s="9"/>
      <c r="CC93" s="9"/>
      <c r="CD93" s="9"/>
      <c r="CE93" s="9"/>
    </row>
    <row r="94" spans="1:83" ht="11.1" customHeight="1" x14ac:dyDescent="0.2">
      <c r="A94" s="7" t="s">
        <v>94</v>
      </c>
      <c r="B94" s="7" t="s">
        <v>10</v>
      </c>
      <c r="C94" s="7">
        <f>VLOOKUP(A:A,[1]TDSheet!$A:$C,3,0)</f>
        <v>7371</v>
      </c>
      <c r="D94" s="8">
        <v>194</v>
      </c>
      <c r="E94" s="8">
        <v>116</v>
      </c>
      <c r="F94" s="8">
        <v>163</v>
      </c>
      <c r="G94" s="8">
        <v>131</v>
      </c>
      <c r="H94" s="22">
        <f>VLOOKUP(A:A,[1]TDSheet!$A:$H,8,0)</f>
        <v>0.3</v>
      </c>
      <c r="I94" s="9">
        <f>VLOOKUP(A:A,[1]TDSheet!$A:$I,9,0)</f>
        <v>0</v>
      </c>
      <c r="J94" s="9" t="e">
        <f>VLOOKUP(A:A,[1]TDSheet!$A:$J,10,0)</f>
        <v>#N/A</v>
      </c>
      <c r="K94" s="9"/>
      <c r="L94" s="9">
        <f>VLOOKUP(A:A,[2]TDSheet!$A:$B,2,0)</f>
        <v>173</v>
      </c>
      <c r="M94" s="9">
        <f t="shared" si="11"/>
        <v>-10</v>
      </c>
      <c r="N94" s="9"/>
      <c r="O94" s="9"/>
      <c r="P94" s="9">
        <f>VLOOKUP(A:A,[1]TDSheet!$A:$S,19,0)</f>
        <v>70</v>
      </c>
      <c r="Q94" s="9">
        <v>70</v>
      </c>
      <c r="R94" s="9">
        <f t="shared" si="12"/>
        <v>32.6</v>
      </c>
      <c r="S94" s="45">
        <v>180</v>
      </c>
      <c r="T94" s="23">
        <f t="shared" si="13"/>
        <v>90</v>
      </c>
      <c r="U94" s="23">
        <f t="shared" si="14"/>
        <v>90</v>
      </c>
      <c r="V94" s="23"/>
      <c r="W94" s="9">
        <f>VLOOKUP(A:A,[3]TDSheet!$A:$U,21,0)</f>
        <v>0</v>
      </c>
      <c r="X94" s="9">
        <f t="shared" si="15"/>
        <v>13.834355828220858</v>
      </c>
      <c r="Y94" s="9">
        <f t="shared" si="16"/>
        <v>4.0184049079754596</v>
      </c>
      <c r="Z94" s="9">
        <f>VLOOKUP(A:A,[1]TDSheet!$A:$Y,25,0)</f>
        <v>21</v>
      </c>
      <c r="AA94" s="9">
        <f>VLOOKUP(A:A,[1]TDSheet!$A:$Z,26,0)</f>
        <v>33.6</v>
      </c>
      <c r="AB94" s="9">
        <f>VLOOKUP(A:A,[1]TDSheet!$A:$AA,27,0)</f>
        <v>28.4</v>
      </c>
      <c r="AC94" s="9">
        <f>VLOOKUP(A:A,[1]TDSheet!$A:$R,18,0)</f>
        <v>25.8</v>
      </c>
      <c r="AD94" s="9" t="e">
        <f>VLOOKUP(A:A,[1]TDSheet!$A:$AB,28,0)</f>
        <v>#N/A</v>
      </c>
      <c r="AE94" s="9">
        <f t="shared" si="17"/>
        <v>27</v>
      </c>
      <c r="AF94" s="9">
        <f t="shared" si="18"/>
        <v>27</v>
      </c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</row>
    <row r="95" spans="1:83" ht="11.1" customHeight="1" x14ac:dyDescent="0.2">
      <c r="A95" s="7" t="s">
        <v>95</v>
      </c>
      <c r="B95" s="7" t="s">
        <v>10</v>
      </c>
      <c r="C95" s="7">
        <f>VLOOKUP(A:A,[1]TDSheet!$A:$C,3,0)</f>
        <v>7382</v>
      </c>
      <c r="D95" s="8">
        <v>42</v>
      </c>
      <c r="E95" s="8">
        <v>551</v>
      </c>
      <c r="F95" s="8">
        <v>253</v>
      </c>
      <c r="G95" s="8">
        <v>297</v>
      </c>
      <c r="H95" s="22">
        <f>VLOOKUP(A:A,[1]TDSheet!$A:$H,8,0)</f>
        <v>0.12</v>
      </c>
      <c r="I95" s="9">
        <f>VLOOKUP(A:A,[1]TDSheet!$A:$I,9,0)</f>
        <v>60</v>
      </c>
      <c r="J95" s="9" t="str">
        <f>VLOOKUP(A:A,[1]TDSheet!$A:$J,10,0)</f>
        <v>в матрице</v>
      </c>
      <c r="K95" s="9"/>
      <c r="L95" s="9">
        <f>VLOOKUP(A:A,[2]TDSheet!$A:$B,2,0)</f>
        <v>267</v>
      </c>
      <c r="M95" s="9">
        <f t="shared" si="11"/>
        <v>-14</v>
      </c>
      <c r="N95" s="9"/>
      <c r="O95" s="9"/>
      <c r="P95" s="9">
        <f>VLOOKUP(A:A,[1]TDSheet!$A:$S,19,0)</f>
        <v>60</v>
      </c>
      <c r="Q95" s="9">
        <v>60</v>
      </c>
      <c r="R95" s="9">
        <f t="shared" si="12"/>
        <v>50.6</v>
      </c>
      <c r="S95" s="45">
        <v>280</v>
      </c>
      <c r="T95" s="23">
        <f t="shared" si="13"/>
        <v>140</v>
      </c>
      <c r="U95" s="23">
        <f t="shared" si="14"/>
        <v>140</v>
      </c>
      <c r="V95" s="23"/>
      <c r="W95" s="9">
        <f>VLOOKUP(A:A,[3]TDSheet!$A:$U,21,0)</f>
        <v>0</v>
      </c>
      <c r="X95" s="9">
        <f t="shared" si="15"/>
        <v>13.774703557312252</v>
      </c>
      <c r="Y95" s="9">
        <f t="shared" si="16"/>
        <v>5.8695652173913038</v>
      </c>
      <c r="Z95" s="9">
        <f>VLOOKUP(A:A,[1]TDSheet!$A:$Y,25,0)</f>
        <v>42.6</v>
      </c>
      <c r="AA95" s="9">
        <f>VLOOKUP(A:A,[1]TDSheet!$A:$Z,26,0)</f>
        <v>30.8</v>
      </c>
      <c r="AB95" s="9">
        <f>VLOOKUP(A:A,[1]TDSheet!$A:$AA,27,0)</f>
        <v>46.2</v>
      </c>
      <c r="AC95" s="9">
        <f>VLOOKUP(A:A,[1]TDSheet!$A:$R,18,0)</f>
        <v>34.200000000000003</v>
      </c>
      <c r="AD95" s="9" t="str">
        <f>VLOOKUP(A:A,[1]TDSheet!$A:$AB,28,0)</f>
        <v>вместо 5682</v>
      </c>
      <c r="AE95" s="9">
        <f t="shared" si="17"/>
        <v>16.8</v>
      </c>
      <c r="AF95" s="9">
        <f t="shared" si="18"/>
        <v>16.8</v>
      </c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  <c r="BW95" s="9"/>
      <c r="BX95" s="9"/>
      <c r="BY95" s="9"/>
      <c r="BZ95" s="9"/>
      <c r="CA95" s="9"/>
      <c r="CB95" s="9"/>
      <c r="CC95" s="9"/>
      <c r="CD95" s="9"/>
      <c r="CE95" s="9"/>
    </row>
    <row r="96" spans="1:83" ht="11.1" customHeight="1" x14ac:dyDescent="0.2">
      <c r="A96" s="7" t="s">
        <v>96</v>
      </c>
      <c r="B96" s="7" t="s">
        <v>10</v>
      </c>
      <c r="C96" s="7">
        <f>VLOOKUP(A:A,[1]TDSheet!$A:$C,3,0)</f>
        <v>7461</v>
      </c>
      <c r="D96" s="8">
        <v>275</v>
      </c>
      <c r="E96" s="8">
        <v>206</v>
      </c>
      <c r="F96" s="8">
        <v>281</v>
      </c>
      <c r="G96" s="8">
        <v>176</v>
      </c>
      <c r="H96" s="22">
        <f>VLOOKUP(A:A,[1]TDSheet!$A:$H,8,0)</f>
        <v>0.33</v>
      </c>
      <c r="I96" s="9">
        <f>VLOOKUP(A:A,[1]TDSheet!$A:$I,9,0)</f>
        <v>0</v>
      </c>
      <c r="J96" s="9" t="e">
        <f>VLOOKUP(A:A,[1]TDSheet!$A:$J,10,0)</f>
        <v>#N/A</v>
      </c>
      <c r="K96" s="9"/>
      <c r="L96" s="9">
        <f>VLOOKUP(A:A,[2]TDSheet!$A:$B,2,0)</f>
        <v>296</v>
      </c>
      <c r="M96" s="9">
        <f t="shared" si="11"/>
        <v>-15</v>
      </c>
      <c r="N96" s="9"/>
      <c r="O96" s="9"/>
      <c r="P96" s="9">
        <f>VLOOKUP(A:A,[1]TDSheet!$A:$S,19,0)</f>
        <v>110</v>
      </c>
      <c r="Q96" s="9">
        <v>110</v>
      </c>
      <c r="R96" s="9">
        <f t="shared" si="12"/>
        <v>56.2</v>
      </c>
      <c r="S96" s="45">
        <v>400</v>
      </c>
      <c r="T96" s="23">
        <f t="shared" si="13"/>
        <v>200</v>
      </c>
      <c r="U96" s="23">
        <f t="shared" si="14"/>
        <v>200</v>
      </c>
      <c r="V96" s="23"/>
      <c r="W96" s="9">
        <f>VLOOKUP(A:A,[3]TDSheet!$A:$U,21,0)</f>
        <v>0</v>
      </c>
      <c r="X96" s="9">
        <f t="shared" si="15"/>
        <v>14.163701067615659</v>
      </c>
      <c r="Y96" s="9">
        <f t="shared" si="16"/>
        <v>3.1316725978647684</v>
      </c>
      <c r="Z96" s="9">
        <f>VLOOKUP(A:A,[1]TDSheet!$A:$Y,25,0)</f>
        <v>49.8</v>
      </c>
      <c r="AA96" s="9">
        <f>VLOOKUP(A:A,[1]TDSheet!$A:$Z,26,0)</f>
        <v>31</v>
      </c>
      <c r="AB96" s="9">
        <f>VLOOKUP(A:A,[1]TDSheet!$A:$AA,27,0)</f>
        <v>40.799999999999997</v>
      </c>
      <c r="AC96" s="9">
        <f>VLOOKUP(A:A,[1]TDSheet!$A:$R,18,0)</f>
        <v>42.8</v>
      </c>
      <c r="AD96" s="9" t="e">
        <f>VLOOKUP(A:A,[1]TDSheet!$A:$AB,28,0)</f>
        <v>#N/A</v>
      </c>
      <c r="AE96" s="9">
        <f t="shared" si="17"/>
        <v>66</v>
      </c>
      <c r="AF96" s="9">
        <f t="shared" si="18"/>
        <v>66</v>
      </c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  <c r="CE96" s="9"/>
    </row>
    <row r="97" spans="1:83" ht="11.1" customHeight="1" x14ac:dyDescent="0.2">
      <c r="A97" s="7" t="s">
        <v>97</v>
      </c>
      <c r="B97" s="7" t="s">
        <v>10</v>
      </c>
      <c r="C97" s="7">
        <f>VLOOKUP(A:A,[1]TDSheet!$A:$C,3,0)</f>
        <v>7523</v>
      </c>
      <c r="D97" s="8">
        <v>229</v>
      </c>
      <c r="E97" s="8">
        <v>205</v>
      </c>
      <c r="F97" s="8">
        <v>176</v>
      </c>
      <c r="G97" s="8">
        <v>24</v>
      </c>
      <c r="H97" s="22">
        <f>VLOOKUP(A:A,[1]TDSheet!$A:$H,8,0)</f>
        <v>0.4</v>
      </c>
      <c r="I97" s="9">
        <f>VLOOKUP(A:A,[1]TDSheet!$A:$I,9,0)</f>
        <v>0</v>
      </c>
      <c r="J97" s="9" t="str">
        <f>VLOOKUP(A:A,[1]TDSheet!$A:$J,10,0)</f>
        <v>ротация</v>
      </c>
      <c r="K97" s="9"/>
      <c r="L97" s="9">
        <f>VLOOKUP(A:A,[2]TDSheet!$A:$B,2,0)</f>
        <v>181</v>
      </c>
      <c r="M97" s="9">
        <f t="shared" si="11"/>
        <v>-5</v>
      </c>
      <c r="N97" s="9"/>
      <c r="O97" s="9"/>
      <c r="P97" s="9">
        <f>VLOOKUP(A:A,[1]TDSheet!$A:$S,19,0)</f>
        <v>25</v>
      </c>
      <c r="Q97" s="9">
        <v>25</v>
      </c>
      <c r="R97" s="9">
        <f t="shared" si="12"/>
        <v>35.200000000000003</v>
      </c>
      <c r="S97" s="45">
        <v>400</v>
      </c>
      <c r="T97" s="23">
        <f t="shared" si="13"/>
        <v>200</v>
      </c>
      <c r="U97" s="23">
        <f t="shared" si="14"/>
        <v>200</v>
      </c>
      <c r="V97" s="23"/>
      <c r="W97" s="9">
        <f>VLOOKUP(A:A,[3]TDSheet!$A:$U,21,0)</f>
        <v>0</v>
      </c>
      <c r="X97" s="9">
        <f t="shared" si="15"/>
        <v>13.46590909090909</v>
      </c>
      <c r="Y97" s="9">
        <f t="shared" si="16"/>
        <v>0.68181818181818177</v>
      </c>
      <c r="Z97" s="9">
        <f>VLOOKUP(A:A,[1]TDSheet!$A:$Y,25,0)</f>
        <v>13</v>
      </c>
      <c r="AA97" s="9">
        <f>VLOOKUP(A:A,[1]TDSheet!$A:$Z,26,0)</f>
        <v>27.6</v>
      </c>
      <c r="AB97" s="9">
        <f>VLOOKUP(A:A,[1]TDSheet!$A:$AA,27,0)</f>
        <v>20.2</v>
      </c>
      <c r="AC97" s="9">
        <f>VLOOKUP(A:A,[1]TDSheet!$A:$R,18,0)</f>
        <v>18.8</v>
      </c>
      <c r="AD97" s="9" t="e">
        <f>VLOOKUP(A:A,[1]TDSheet!$A:$AB,28,0)</f>
        <v>#N/A</v>
      </c>
      <c r="AE97" s="9">
        <f t="shared" si="17"/>
        <v>80</v>
      </c>
      <c r="AF97" s="9">
        <f t="shared" si="18"/>
        <v>80</v>
      </c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  <c r="CE97" s="9"/>
    </row>
    <row r="98" spans="1:83" ht="11.1" customHeight="1" x14ac:dyDescent="0.2">
      <c r="A98" s="7" t="s">
        <v>98</v>
      </c>
      <c r="B98" s="7" t="s">
        <v>12</v>
      </c>
      <c r="C98" s="7">
        <f>VLOOKUP(A:A,[1]TDSheet!$A:$C,3,0)</f>
        <v>7564</v>
      </c>
      <c r="D98" s="8">
        <v>25.773</v>
      </c>
      <c r="E98" s="8">
        <v>5.0880000000000001</v>
      </c>
      <c r="F98" s="8">
        <v>23.315999999999999</v>
      </c>
      <c r="G98" s="8">
        <v>6.7030000000000003</v>
      </c>
      <c r="H98" s="22">
        <f>VLOOKUP(A:A,[1]TDSheet!$A:$H,8,0)</f>
        <v>1</v>
      </c>
      <c r="I98" s="9" t="e">
        <f>VLOOKUP(A:A,[1]TDSheet!$A:$I,9,0)</f>
        <v>#N/A</v>
      </c>
      <c r="J98" s="9" t="e">
        <f>VLOOKUP(A:A,[1]TDSheet!$A:$J,10,0)</f>
        <v>#N/A</v>
      </c>
      <c r="K98" s="9"/>
      <c r="L98" s="9">
        <f>VLOOKUP(A:A,[2]TDSheet!$A:$B,2,0)</f>
        <v>22.635000000000002</v>
      </c>
      <c r="M98" s="9">
        <f t="shared" si="11"/>
        <v>0.68099999999999739</v>
      </c>
      <c r="N98" s="9"/>
      <c r="O98" s="9"/>
      <c r="P98" s="9">
        <f>VLOOKUP(A:A,[1]TDSheet!$A:$S,19,0)</f>
        <v>7</v>
      </c>
      <c r="Q98" s="9">
        <v>7</v>
      </c>
      <c r="R98" s="9">
        <f t="shared" si="12"/>
        <v>4.6631999999999998</v>
      </c>
      <c r="S98" s="45"/>
      <c r="T98" s="23">
        <f t="shared" si="13"/>
        <v>0</v>
      </c>
      <c r="U98" s="23">
        <f t="shared" si="14"/>
        <v>0</v>
      </c>
      <c r="V98" s="23"/>
      <c r="W98" s="9">
        <f>VLOOKUP(A:A,[3]TDSheet!$A:$U,21,0)</f>
        <v>0</v>
      </c>
      <c r="X98" s="9">
        <f t="shared" si="15"/>
        <v>4.4396551724137936</v>
      </c>
      <c r="Y98" s="9">
        <f t="shared" si="16"/>
        <v>1.4374249442442959</v>
      </c>
      <c r="Z98" s="9">
        <f>VLOOKUP(A:A,[1]TDSheet!$A:$Y,25,0)</f>
        <v>0</v>
      </c>
      <c r="AA98" s="9">
        <f>VLOOKUP(A:A,[1]TDSheet!$A:$Z,26,0)</f>
        <v>0</v>
      </c>
      <c r="AB98" s="9">
        <f>VLOOKUP(A:A,[1]TDSheet!$A:$AA,27,0)</f>
        <v>0</v>
      </c>
      <c r="AC98" s="9">
        <f>VLOOKUP(A:A,[1]TDSheet!$A:$R,18,0)</f>
        <v>2.8502000000000001</v>
      </c>
      <c r="AD98" s="9" t="e">
        <f>VLOOKUP(A:A,[1]TDSheet!$A:$AB,28,0)</f>
        <v>#N/A</v>
      </c>
      <c r="AE98" s="9">
        <f t="shared" si="17"/>
        <v>0</v>
      </c>
      <c r="AF98" s="9">
        <f t="shared" si="18"/>
        <v>0</v>
      </c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</row>
    <row r="99" spans="1:83" ht="11.1" customHeight="1" x14ac:dyDescent="0.2">
      <c r="A99" s="28" t="s">
        <v>99</v>
      </c>
      <c r="B99" s="28" t="s">
        <v>10</v>
      </c>
      <c r="C99" s="28">
        <f>VLOOKUP(A:A,[1]TDSheet!$A:$C,3,0)</f>
        <v>0</v>
      </c>
      <c r="D99" s="29">
        <v>40</v>
      </c>
      <c r="E99" s="29"/>
      <c r="F99" s="29">
        <v>13</v>
      </c>
      <c r="G99" s="29">
        <v>21</v>
      </c>
      <c r="H99" s="30">
        <f>VLOOKUP(A:A,[1]TDSheet!$A:$H,8,0)</f>
        <v>0</v>
      </c>
      <c r="I99" s="31">
        <f>VLOOKUP(A:A,[1]TDSheet!$A:$I,9,0)</f>
        <v>0</v>
      </c>
      <c r="J99" s="31">
        <f>VLOOKUP(A:A,[1]TDSheet!$A:$J,10,0)</f>
        <v>0</v>
      </c>
      <c r="K99" s="9"/>
      <c r="L99" s="9">
        <f>VLOOKUP(A:A,[2]TDSheet!$A:$B,2,0)</f>
        <v>17</v>
      </c>
      <c r="M99" s="9">
        <f t="shared" si="11"/>
        <v>-4</v>
      </c>
      <c r="N99" s="9"/>
      <c r="O99" s="9"/>
      <c r="P99" s="9">
        <f>VLOOKUP(A:A,[1]TDSheet!$A:$S,19,0)</f>
        <v>0</v>
      </c>
      <c r="Q99" s="9">
        <v>0</v>
      </c>
      <c r="R99" s="9">
        <f t="shared" si="12"/>
        <v>2.6</v>
      </c>
      <c r="S99" s="45"/>
      <c r="T99" s="23">
        <f t="shared" si="13"/>
        <v>0</v>
      </c>
      <c r="U99" s="23">
        <f t="shared" si="14"/>
        <v>0</v>
      </c>
      <c r="V99" s="23">
        <f>VLOOKUP(A:A,[3]TDSheet!$A:$T,20,0)</f>
        <v>300</v>
      </c>
      <c r="W99" s="9" t="s">
        <v>128</v>
      </c>
      <c r="X99" s="9">
        <f t="shared" si="15"/>
        <v>8.0769230769230766</v>
      </c>
      <c r="Y99" s="9">
        <f t="shared" si="16"/>
        <v>8.0769230769230766</v>
      </c>
      <c r="Z99" s="9">
        <f>VLOOKUP(A:A,[1]TDSheet!$A:$Y,25,0)</f>
        <v>18.2</v>
      </c>
      <c r="AA99" s="9">
        <f>VLOOKUP(A:A,[1]TDSheet!$A:$Z,26,0)</f>
        <v>13.6</v>
      </c>
      <c r="AB99" s="9">
        <f>VLOOKUP(A:A,[1]TDSheet!$A:$AA,27,0)</f>
        <v>1.4</v>
      </c>
      <c r="AC99" s="9">
        <f>VLOOKUP(A:A,[1]TDSheet!$A:$R,18,0)</f>
        <v>0.2</v>
      </c>
      <c r="AD99" s="9" t="e">
        <f>VLOOKUP(A:A,[1]TDSheet!$A:$AB,28,0)</f>
        <v>#N/A</v>
      </c>
      <c r="AE99" s="9">
        <f t="shared" si="17"/>
        <v>0</v>
      </c>
      <c r="AF99" s="9">
        <f t="shared" si="18"/>
        <v>0</v>
      </c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  <c r="CE99" s="9"/>
    </row>
    <row r="100" spans="1:83" ht="11.1" customHeight="1" x14ac:dyDescent="0.2">
      <c r="A100" s="28" t="s">
        <v>100</v>
      </c>
      <c r="B100" s="28" t="s">
        <v>12</v>
      </c>
      <c r="C100" s="28">
        <f>VLOOKUP(A:A,[1]TDSheet!$A:$C,3,0)</f>
        <v>0</v>
      </c>
      <c r="D100" s="29">
        <v>-19.481000000000002</v>
      </c>
      <c r="E100" s="29"/>
      <c r="F100" s="29">
        <v>63.18</v>
      </c>
      <c r="G100" s="29">
        <v>-90.355000000000004</v>
      </c>
      <c r="H100" s="30">
        <f>VLOOKUP(A:A,[1]TDSheet!$A:$H,8,0)</f>
        <v>0</v>
      </c>
      <c r="I100" s="31">
        <f>VLOOKUP(A:A,[1]TDSheet!$A:$I,9,0)</f>
        <v>0</v>
      </c>
      <c r="J100" s="31">
        <f>VLOOKUP(A:A,[1]TDSheet!$A:$J,10,0)</f>
        <v>0</v>
      </c>
      <c r="K100" s="9"/>
      <c r="L100" s="9">
        <v>0</v>
      </c>
      <c r="M100" s="9">
        <f t="shared" si="11"/>
        <v>63.18</v>
      </c>
      <c r="N100" s="9"/>
      <c r="O100" s="9"/>
      <c r="P100" s="9">
        <f>VLOOKUP(A:A,[1]TDSheet!$A:$S,19,0)</f>
        <v>0</v>
      </c>
      <c r="Q100" s="9">
        <v>0</v>
      </c>
      <c r="R100" s="9">
        <f t="shared" si="12"/>
        <v>12.635999999999999</v>
      </c>
      <c r="S100" s="45"/>
      <c r="T100" s="23">
        <f t="shared" si="13"/>
        <v>0</v>
      </c>
      <c r="U100" s="23">
        <f t="shared" si="14"/>
        <v>0</v>
      </c>
      <c r="V100" s="23"/>
      <c r="W100" s="9">
        <f>VLOOKUP(A:A,[3]TDSheet!$A:$U,21,0)</f>
        <v>0</v>
      </c>
      <c r="X100" s="9">
        <f t="shared" si="15"/>
        <v>-7.1506014561570126</v>
      </c>
      <c r="Y100" s="9">
        <f t="shared" si="16"/>
        <v>-7.1506014561570126</v>
      </c>
      <c r="Z100" s="9">
        <f>VLOOKUP(A:A,[1]TDSheet!$A:$Y,25,0)</f>
        <v>14.881200000000002</v>
      </c>
      <c r="AA100" s="9">
        <f>VLOOKUP(A:A,[1]TDSheet!$A:$Z,26,0)</f>
        <v>13.2858</v>
      </c>
      <c r="AB100" s="9">
        <f>VLOOKUP(A:A,[1]TDSheet!$A:$AA,27,0)</f>
        <v>0.31219999999999998</v>
      </c>
      <c r="AC100" s="9">
        <f>VLOOKUP(A:A,[1]TDSheet!$A:$R,18,0)</f>
        <v>0</v>
      </c>
      <c r="AD100" s="9" t="e">
        <f>VLOOKUP(A:A,[1]TDSheet!$A:$AB,28,0)</f>
        <v>#N/A</v>
      </c>
      <c r="AE100" s="9">
        <f t="shared" si="17"/>
        <v>0</v>
      </c>
      <c r="AF100" s="9">
        <f t="shared" si="18"/>
        <v>0</v>
      </c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  <c r="CE100" s="9"/>
    </row>
    <row r="101" spans="1:83" ht="11.45" customHeight="1" x14ac:dyDescent="0.2">
      <c r="D101" s="11"/>
      <c r="E101" s="11"/>
      <c r="F101" s="11"/>
      <c r="G101" s="11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45"/>
      <c r="T101" s="36"/>
      <c r="U101" s="36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</row>
    <row r="102" spans="1:83" ht="11.45" customHeight="1" x14ac:dyDescent="0.2">
      <c r="D102" s="11"/>
      <c r="E102" s="11"/>
      <c r="F102" s="11"/>
      <c r="G102" s="11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46"/>
      <c r="T102" s="36"/>
      <c r="U102" s="36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  <c r="CE102" s="9"/>
    </row>
    <row r="103" spans="1:83" ht="11.45" customHeight="1" x14ac:dyDescent="0.2">
      <c r="D103" s="11"/>
      <c r="E103" s="11"/>
      <c r="F103" s="11"/>
      <c r="G103" s="11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46"/>
      <c r="T103" s="36"/>
      <c r="U103" s="36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  <c r="BY103" s="9"/>
      <c r="BZ103" s="9"/>
      <c r="CA103" s="9"/>
      <c r="CB103" s="9"/>
      <c r="CC103" s="9"/>
      <c r="CD103" s="9"/>
      <c r="CE103" s="9"/>
    </row>
    <row r="104" spans="1:83" ht="11.45" customHeight="1" x14ac:dyDescent="0.2">
      <c r="D104" s="11"/>
      <c r="E104" s="11"/>
      <c r="F104" s="11"/>
      <c r="G104" s="11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46"/>
      <c r="T104" s="36"/>
      <c r="U104" s="36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  <c r="CD104" s="9"/>
      <c r="CE104" s="9"/>
    </row>
    <row r="105" spans="1:83" ht="11.45" customHeight="1" x14ac:dyDescent="0.2">
      <c r="D105" s="11"/>
      <c r="E105" s="11"/>
      <c r="F105" s="11"/>
      <c r="G105" s="11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46"/>
      <c r="T105" s="36"/>
      <c r="U105" s="36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  <c r="BY105" s="9"/>
      <c r="BZ105" s="9"/>
      <c r="CA105" s="9"/>
      <c r="CB105" s="9"/>
      <c r="CC105" s="9"/>
      <c r="CD105" s="9"/>
      <c r="CE105" s="9"/>
    </row>
    <row r="106" spans="1:83" ht="11.45" customHeight="1" x14ac:dyDescent="0.2">
      <c r="D106" s="11"/>
      <c r="E106" s="11"/>
      <c r="F106" s="11"/>
      <c r="G106" s="11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46"/>
      <c r="T106" s="36"/>
      <c r="U106" s="36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  <c r="BW106" s="9"/>
      <c r="BX106" s="9"/>
      <c r="BY106" s="9"/>
      <c r="BZ106" s="9"/>
      <c r="CA106" s="9"/>
      <c r="CB106" s="9"/>
      <c r="CC106" s="9"/>
      <c r="CD106" s="9"/>
      <c r="CE106" s="9"/>
    </row>
    <row r="107" spans="1:83" ht="11.45" customHeight="1" x14ac:dyDescent="0.2">
      <c r="D107" s="11"/>
      <c r="E107" s="11"/>
      <c r="F107" s="11"/>
      <c r="G107" s="11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46"/>
      <c r="T107" s="36"/>
      <c r="U107" s="36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  <c r="BY107" s="9"/>
      <c r="BZ107" s="9"/>
      <c r="CA107" s="9"/>
      <c r="CB107" s="9"/>
      <c r="CC107" s="9"/>
      <c r="CD107" s="9"/>
      <c r="CE107" s="9"/>
    </row>
    <row r="108" spans="1:83" ht="11.45" customHeight="1" x14ac:dyDescent="0.2">
      <c r="D108" s="11"/>
      <c r="E108" s="11"/>
      <c r="F108" s="11"/>
      <c r="G108" s="11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46"/>
      <c r="T108" s="36"/>
      <c r="U108" s="36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  <c r="BW108" s="9"/>
      <c r="BX108" s="9"/>
      <c r="BY108" s="9"/>
      <c r="BZ108" s="9"/>
      <c r="CA108" s="9"/>
      <c r="CB108" s="9"/>
      <c r="CC108" s="9"/>
      <c r="CD108" s="9"/>
      <c r="CE108" s="9"/>
    </row>
    <row r="109" spans="1:83" ht="11.45" customHeight="1" x14ac:dyDescent="0.2">
      <c r="D109" s="11"/>
      <c r="E109" s="11"/>
      <c r="F109" s="11"/>
      <c r="G109" s="11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46"/>
      <c r="T109" s="36"/>
      <c r="U109" s="36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  <c r="BY109" s="9"/>
      <c r="BZ109" s="9"/>
      <c r="CA109" s="9"/>
      <c r="CB109" s="9"/>
      <c r="CC109" s="9"/>
      <c r="CD109" s="9"/>
      <c r="CE109" s="9"/>
    </row>
    <row r="110" spans="1:83" ht="11.45" customHeight="1" x14ac:dyDescent="0.2">
      <c r="D110" s="11"/>
      <c r="E110" s="11"/>
      <c r="F110" s="11"/>
      <c r="G110" s="11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46"/>
      <c r="T110" s="36"/>
      <c r="U110" s="36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  <c r="BS110" s="9"/>
      <c r="BT110" s="9"/>
      <c r="BU110" s="9"/>
      <c r="BV110" s="9"/>
      <c r="BW110" s="9"/>
      <c r="BX110" s="9"/>
      <c r="BY110" s="9"/>
      <c r="BZ110" s="9"/>
      <c r="CA110" s="9"/>
      <c r="CB110" s="9"/>
      <c r="CC110" s="9"/>
      <c r="CD110" s="9"/>
      <c r="CE110" s="9"/>
    </row>
    <row r="111" spans="1:83" ht="11.45" customHeight="1" x14ac:dyDescent="0.2">
      <c r="D111" s="11"/>
      <c r="E111" s="11"/>
      <c r="F111" s="11"/>
      <c r="G111" s="11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46"/>
      <c r="T111" s="36"/>
      <c r="U111" s="36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9"/>
      <c r="BW111" s="9"/>
      <c r="BX111" s="9"/>
      <c r="BY111" s="9"/>
      <c r="BZ111" s="9"/>
      <c r="CA111" s="9"/>
      <c r="CB111" s="9"/>
      <c r="CC111" s="9"/>
      <c r="CD111" s="9"/>
      <c r="CE111" s="9"/>
    </row>
    <row r="112" spans="1:83" ht="11.45" customHeight="1" x14ac:dyDescent="0.2">
      <c r="D112" s="11"/>
      <c r="E112" s="11"/>
      <c r="F112" s="11"/>
      <c r="G112" s="11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46"/>
      <c r="T112" s="36"/>
      <c r="U112" s="36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  <c r="BW112" s="9"/>
      <c r="BX112" s="9"/>
      <c r="BY112" s="9"/>
      <c r="BZ112" s="9"/>
      <c r="CA112" s="9"/>
      <c r="CB112" s="9"/>
      <c r="CC112" s="9"/>
      <c r="CD112" s="9"/>
      <c r="CE112" s="9"/>
    </row>
    <row r="113" spans="4:83" ht="11.45" customHeight="1" x14ac:dyDescent="0.2">
      <c r="D113" s="11"/>
      <c r="E113" s="11"/>
      <c r="F113" s="11"/>
      <c r="G113" s="11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46"/>
      <c r="T113" s="36"/>
      <c r="U113" s="36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  <c r="BW113" s="9"/>
      <c r="BX113" s="9"/>
      <c r="BY113" s="9"/>
      <c r="BZ113" s="9"/>
      <c r="CA113" s="9"/>
      <c r="CB113" s="9"/>
      <c r="CC113" s="9"/>
      <c r="CD113" s="9"/>
      <c r="CE113" s="9"/>
    </row>
    <row r="114" spans="4:83" ht="11.45" customHeight="1" x14ac:dyDescent="0.2">
      <c r="D114" s="11"/>
      <c r="E114" s="11"/>
      <c r="F114" s="11"/>
      <c r="G114" s="11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46"/>
      <c r="T114" s="36"/>
      <c r="U114" s="36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  <c r="BS114" s="9"/>
      <c r="BT114" s="9"/>
      <c r="BU114" s="9"/>
      <c r="BV114" s="9"/>
      <c r="BW114" s="9"/>
      <c r="BX114" s="9"/>
      <c r="BY114" s="9"/>
      <c r="BZ114" s="9"/>
      <c r="CA114" s="9"/>
      <c r="CB114" s="9"/>
      <c r="CC114" s="9"/>
      <c r="CD114" s="9"/>
      <c r="CE114" s="9"/>
    </row>
    <row r="115" spans="4:83" ht="11.45" customHeight="1" x14ac:dyDescent="0.2">
      <c r="D115" s="11"/>
      <c r="E115" s="11"/>
      <c r="F115" s="11"/>
      <c r="G115" s="11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46"/>
      <c r="T115" s="36"/>
      <c r="U115" s="36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  <c r="BS115" s="9"/>
      <c r="BT115" s="9"/>
      <c r="BU115" s="9"/>
      <c r="BV115" s="9"/>
      <c r="BW115" s="9"/>
      <c r="BX115" s="9"/>
      <c r="BY115" s="9"/>
      <c r="BZ115" s="9"/>
      <c r="CA115" s="9"/>
      <c r="CB115" s="9"/>
      <c r="CC115" s="9"/>
      <c r="CD115" s="9"/>
      <c r="CE115" s="9"/>
    </row>
    <row r="116" spans="4:83" ht="11.45" customHeight="1" x14ac:dyDescent="0.2">
      <c r="D116" s="11"/>
      <c r="E116" s="11"/>
      <c r="F116" s="11"/>
      <c r="G116" s="11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46"/>
      <c r="T116" s="36"/>
      <c r="U116" s="36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  <c r="BS116" s="9"/>
      <c r="BT116" s="9"/>
      <c r="BU116" s="9"/>
      <c r="BV116" s="9"/>
      <c r="BW116" s="9"/>
      <c r="BX116" s="9"/>
      <c r="BY116" s="9"/>
      <c r="BZ116" s="9"/>
      <c r="CA116" s="9"/>
      <c r="CB116" s="9"/>
      <c r="CC116" s="9"/>
      <c r="CD116" s="9"/>
      <c r="CE116" s="9"/>
    </row>
    <row r="117" spans="4:83" ht="11.45" customHeight="1" x14ac:dyDescent="0.2">
      <c r="D117" s="11"/>
      <c r="E117" s="11"/>
      <c r="F117" s="11"/>
      <c r="G117" s="11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46"/>
      <c r="T117" s="36"/>
      <c r="U117" s="36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  <c r="BS117" s="9"/>
      <c r="BT117" s="9"/>
      <c r="BU117" s="9"/>
      <c r="BV117" s="9"/>
      <c r="BW117" s="9"/>
      <c r="BX117" s="9"/>
      <c r="BY117" s="9"/>
      <c r="BZ117" s="9"/>
      <c r="CA117" s="9"/>
      <c r="CB117" s="9"/>
      <c r="CC117" s="9"/>
      <c r="CD117" s="9"/>
      <c r="CE117" s="9"/>
    </row>
    <row r="118" spans="4:83" ht="11.45" customHeight="1" x14ac:dyDescent="0.2">
      <c r="D118" s="11"/>
      <c r="E118" s="11"/>
      <c r="F118" s="11"/>
      <c r="G118" s="11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46"/>
      <c r="T118" s="36"/>
      <c r="U118" s="36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  <c r="BS118" s="9"/>
      <c r="BT118" s="9"/>
      <c r="BU118" s="9"/>
      <c r="BV118" s="9"/>
      <c r="BW118" s="9"/>
      <c r="BX118" s="9"/>
      <c r="BY118" s="9"/>
      <c r="BZ118" s="9"/>
      <c r="CA118" s="9"/>
      <c r="CB118" s="9"/>
      <c r="CC118" s="9"/>
      <c r="CD118" s="9"/>
      <c r="CE118" s="9"/>
    </row>
    <row r="119" spans="4:83" ht="11.45" customHeight="1" x14ac:dyDescent="0.2">
      <c r="D119" s="11"/>
      <c r="E119" s="11"/>
      <c r="F119" s="11"/>
      <c r="G119" s="11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46"/>
      <c r="T119" s="36"/>
      <c r="U119" s="36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9"/>
      <c r="BW119" s="9"/>
      <c r="BX119" s="9"/>
      <c r="BY119" s="9"/>
      <c r="BZ119" s="9"/>
      <c r="CA119" s="9"/>
      <c r="CB119" s="9"/>
      <c r="CC119" s="9"/>
      <c r="CD119" s="9"/>
      <c r="CE119" s="9"/>
    </row>
    <row r="120" spans="4:83" ht="11.45" customHeight="1" x14ac:dyDescent="0.2">
      <c r="D120" s="11"/>
      <c r="E120" s="11"/>
      <c r="F120" s="11"/>
      <c r="G120" s="11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46"/>
      <c r="T120" s="36"/>
      <c r="U120" s="36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  <c r="BY120" s="9"/>
      <c r="BZ120" s="9"/>
      <c r="CA120" s="9"/>
      <c r="CB120" s="9"/>
      <c r="CC120" s="9"/>
      <c r="CD120" s="9"/>
      <c r="CE120" s="9"/>
    </row>
    <row r="121" spans="4:83" ht="11.45" customHeight="1" x14ac:dyDescent="0.2">
      <c r="D121" s="11"/>
      <c r="E121" s="11"/>
      <c r="F121" s="11"/>
      <c r="G121" s="11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46"/>
      <c r="T121" s="36"/>
      <c r="U121" s="36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  <c r="BY121" s="9"/>
      <c r="BZ121" s="9"/>
      <c r="CA121" s="9"/>
      <c r="CB121" s="9"/>
      <c r="CC121" s="9"/>
      <c r="CD121" s="9"/>
      <c r="CE121" s="9"/>
    </row>
    <row r="122" spans="4:83" ht="11.45" customHeight="1" x14ac:dyDescent="0.2">
      <c r="D122" s="11"/>
      <c r="E122" s="11"/>
      <c r="F122" s="11"/>
      <c r="G122" s="11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46"/>
      <c r="T122" s="36"/>
      <c r="U122" s="36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  <c r="BW122" s="9"/>
      <c r="BX122" s="9"/>
      <c r="BY122" s="9"/>
      <c r="BZ122" s="9"/>
      <c r="CA122" s="9"/>
      <c r="CB122" s="9"/>
      <c r="CC122" s="9"/>
      <c r="CD122" s="9"/>
      <c r="CE122" s="9"/>
    </row>
    <row r="123" spans="4:83" ht="11.45" customHeight="1" x14ac:dyDescent="0.2">
      <c r="D123" s="11"/>
      <c r="E123" s="11"/>
      <c r="F123" s="11"/>
      <c r="G123" s="11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46"/>
      <c r="T123" s="36"/>
      <c r="U123" s="36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  <c r="BW123" s="9"/>
      <c r="BX123" s="9"/>
      <c r="BY123" s="9"/>
      <c r="BZ123" s="9"/>
      <c r="CA123" s="9"/>
      <c r="CB123" s="9"/>
      <c r="CC123" s="9"/>
      <c r="CD123" s="9"/>
      <c r="CE123" s="9"/>
    </row>
    <row r="124" spans="4:83" ht="11.45" customHeight="1" x14ac:dyDescent="0.2">
      <c r="D124" s="11"/>
      <c r="E124" s="11"/>
      <c r="F124" s="11"/>
      <c r="G124" s="11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46"/>
      <c r="T124" s="36"/>
      <c r="U124" s="36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9"/>
      <c r="BW124" s="9"/>
      <c r="BX124" s="9"/>
      <c r="BY124" s="9"/>
      <c r="BZ124" s="9"/>
      <c r="CA124" s="9"/>
      <c r="CB124" s="9"/>
      <c r="CC124" s="9"/>
      <c r="CD124" s="9"/>
      <c r="CE124" s="9"/>
    </row>
    <row r="125" spans="4:83" ht="11.45" customHeight="1" x14ac:dyDescent="0.2">
      <c r="D125" s="11"/>
      <c r="E125" s="11"/>
      <c r="F125" s="11"/>
      <c r="G125" s="11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46"/>
      <c r="T125" s="36"/>
      <c r="U125" s="36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9"/>
      <c r="CB125" s="9"/>
      <c r="CC125" s="9"/>
      <c r="CD125" s="9"/>
      <c r="CE125" s="9"/>
    </row>
    <row r="126" spans="4:83" ht="11.45" customHeight="1" x14ac:dyDescent="0.2">
      <c r="D126" s="11"/>
      <c r="E126" s="11"/>
      <c r="F126" s="11"/>
      <c r="G126" s="11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46"/>
      <c r="T126" s="36"/>
      <c r="U126" s="36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9"/>
      <c r="CB126" s="9"/>
      <c r="CC126" s="9"/>
      <c r="CD126" s="9"/>
      <c r="CE126" s="9"/>
    </row>
    <row r="127" spans="4:83" ht="11.45" customHeight="1" x14ac:dyDescent="0.2">
      <c r="D127" s="11"/>
      <c r="E127" s="11"/>
      <c r="F127" s="11"/>
      <c r="G127" s="11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46"/>
      <c r="T127" s="36"/>
      <c r="U127" s="36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  <c r="BY127" s="9"/>
      <c r="BZ127" s="9"/>
      <c r="CA127" s="9"/>
      <c r="CB127" s="9"/>
      <c r="CC127" s="9"/>
      <c r="CD127" s="9"/>
      <c r="CE127" s="9"/>
    </row>
    <row r="128" spans="4:83" ht="11.45" customHeight="1" x14ac:dyDescent="0.2">
      <c r="D128" s="11"/>
      <c r="E128" s="11"/>
      <c r="F128" s="11"/>
      <c r="G128" s="11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46"/>
      <c r="T128" s="36"/>
      <c r="U128" s="36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  <c r="BY128" s="9"/>
      <c r="BZ128" s="9"/>
      <c r="CA128" s="9"/>
      <c r="CB128" s="9"/>
      <c r="CC128" s="9"/>
      <c r="CD128" s="9"/>
      <c r="CE128" s="9"/>
    </row>
    <row r="129" spans="4:83" ht="11.45" customHeight="1" x14ac:dyDescent="0.2">
      <c r="D129" s="11"/>
      <c r="E129" s="11"/>
      <c r="F129" s="11"/>
      <c r="G129" s="11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46"/>
      <c r="T129" s="36"/>
      <c r="U129" s="36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  <c r="BW129" s="9"/>
      <c r="BX129" s="9"/>
      <c r="BY129" s="9"/>
      <c r="BZ129" s="9"/>
      <c r="CA129" s="9"/>
      <c r="CB129" s="9"/>
      <c r="CC129" s="9"/>
      <c r="CD129" s="9"/>
      <c r="CE129" s="9"/>
    </row>
    <row r="130" spans="4:83" ht="11.45" customHeight="1" x14ac:dyDescent="0.2">
      <c r="D130" s="11"/>
      <c r="E130" s="11"/>
      <c r="F130" s="11"/>
      <c r="G130" s="11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46"/>
      <c r="T130" s="36"/>
      <c r="U130" s="36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  <c r="BS130" s="9"/>
      <c r="BT130" s="9"/>
      <c r="BU130" s="9"/>
      <c r="BV130" s="9"/>
      <c r="BW130" s="9"/>
      <c r="BX130" s="9"/>
      <c r="BY130" s="9"/>
      <c r="BZ130" s="9"/>
      <c r="CA130" s="9"/>
      <c r="CB130" s="9"/>
      <c r="CC130" s="9"/>
      <c r="CD130" s="9"/>
      <c r="CE130" s="9"/>
    </row>
    <row r="131" spans="4:83" ht="11.45" customHeight="1" x14ac:dyDescent="0.2">
      <c r="D131" s="11"/>
      <c r="E131" s="11"/>
      <c r="F131" s="11"/>
      <c r="G131" s="11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46"/>
      <c r="T131" s="36"/>
      <c r="U131" s="36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  <c r="BS131" s="9"/>
      <c r="BT131" s="9"/>
      <c r="BU131" s="9"/>
      <c r="BV131" s="9"/>
      <c r="BW131" s="9"/>
      <c r="BX131" s="9"/>
      <c r="BY131" s="9"/>
      <c r="BZ131" s="9"/>
      <c r="CA131" s="9"/>
      <c r="CB131" s="9"/>
      <c r="CC131" s="9"/>
      <c r="CD131" s="9"/>
      <c r="CE131" s="9"/>
    </row>
    <row r="132" spans="4:83" ht="11.45" customHeight="1" x14ac:dyDescent="0.2">
      <c r="D132" s="11"/>
      <c r="E132" s="11"/>
      <c r="F132" s="11"/>
      <c r="G132" s="11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46"/>
      <c r="T132" s="36"/>
      <c r="U132" s="36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  <c r="BS132" s="9"/>
      <c r="BT132" s="9"/>
      <c r="BU132" s="9"/>
      <c r="BV132" s="9"/>
      <c r="BW132" s="9"/>
      <c r="BX132" s="9"/>
      <c r="BY132" s="9"/>
      <c r="BZ132" s="9"/>
      <c r="CA132" s="9"/>
      <c r="CB132" s="9"/>
      <c r="CC132" s="9"/>
      <c r="CD132" s="9"/>
      <c r="CE132" s="9"/>
    </row>
    <row r="133" spans="4:83" ht="11.45" customHeight="1" x14ac:dyDescent="0.2">
      <c r="D133" s="11"/>
      <c r="E133" s="11"/>
      <c r="F133" s="11"/>
      <c r="G133" s="11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46"/>
      <c r="T133" s="36"/>
      <c r="U133" s="36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  <c r="BS133" s="9"/>
      <c r="BT133" s="9"/>
      <c r="BU133" s="9"/>
      <c r="BV133" s="9"/>
      <c r="BW133" s="9"/>
      <c r="BX133" s="9"/>
      <c r="BY133" s="9"/>
      <c r="BZ133" s="9"/>
      <c r="CA133" s="9"/>
      <c r="CB133" s="9"/>
      <c r="CC133" s="9"/>
      <c r="CD133" s="9"/>
      <c r="CE133" s="9"/>
    </row>
    <row r="134" spans="4:83" ht="11.45" customHeight="1" x14ac:dyDescent="0.2">
      <c r="D134" s="11"/>
      <c r="E134" s="11"/>
      <c r="F134" s="11"/>
      <c r="G134" s="11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46"/>
      <c r="T134" s="36"/>
      <c r="U134" s="36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  <c r="BW134" s="9"/>
      <c r="BX134" s="9"/>
      <c r="BY134" s="9"/>
      <c r="BZ134" s="9"/>
      <c r="CA134" s="9"/>
      <c r="CB134" s="9"/>
      <c r="CC134" s="9"/>
      <c r="CD134" s="9"/>
      <c r="CE134" s="9"/>
    </row>
    <row r="135" spans="4:83" ht="11.45" customHeight="1" x14ac:dyDescent="0.2">
      <c r="D135" s="11"/>
      <c r="E135" s="11"/>
      <c r="F135" s="11"/>
      <c r="G135" s="11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46"/>
      <c r="T135" s="36"/>
      <c r="U135" s="36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  <c r="BS135" s="9"/>
      <c r="BT135" s="9"/>
      <c r="BU135" s="9"/>
      <c r="BV135" s="9"/>
      <c r="BW135" s="9"/>
      <c r="BX135" s="9"/>
      <c r="BY135" s="9"/>
      <c r="BZ135" s="9"/>
      <c r="CA135" s="9"/>
      <c r="CB135" s="9"/>
      <c r="CC135" s="9"/>
      <c r="CD135" s="9"/>
      <c r="CE135" s="9"/>
    </row>
    <row r="136" spans="4:83" ht="11.45" customHeight="1" x14ac:dyDescent="0.2">
      <c r="D136" s="11"/>
      <c r="E136" s="11"/>
      <c r="F136" s="11"/>
      <c r="G136" s="11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46"/>
      <c r="T136" s="36"/>
      <c r="U136" s="36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  <c r="BS136" s="9"/>
      <c r="BT136" s="9"/>
      <c r="BU136" s="9"/>
      <c r="BV136" s="9"/>
      <c r="BW136" s="9"/>
      <c r="BX136" s="9"/>
      <c r="BY136" s="9"/>
      <c r="BZ136" s="9"/>
      <c r="CA136" s="9"/>
      <c r="CB136" s="9"/>
      <c r="CC136" s="9"/>
      <c r="CD136" s="9"/>
      <c r="CE136" s="9"/>
    </row>
    <row r="137" spans="4:83" ht="11.45" customHeight="1" x14ac:dyDescent="0.2">
      <c r="D137" s="11"/>
      <c r="E137" s="11"/>
      <c r="F137" s="11"/>
      <c r="G137" s="11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46"/>
      <c r="T137" s="36"/>
      <c r="U137" s="36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  <c r="BS137" s="9"/>
      <c r="BT137" s="9"/>
      <c r="BU137" s="9"/>
      <c r="BV137" s="9"/>
      <c r="BW137" s="9"/>
      <c r="BX137" s="9"/>
      <c r="BY137" s="9"/>
      <c r="BZ137" s="9"/>
      <c r="CA137" s="9"/>
      <c r="CB137" s="9"/>
      <c r="CC137" s="9"/>
      <c r="CD137" s="9"/>
      <c r="CE137" s="9"/>
    </row>
    <row r="138" spans="4:83" ht="11.45" customHeight="1" x14ac:dyDescent="0.2">
      <c r="D138" s="11"/>
      <c r="E138" s="11"/>
      <c r="F138" s="11"/>
      <c r="G138" s="11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46"/>
      <c r="T138" s="36"/>
      <c r="U138" s="36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9"/>
      <c r="BW138" s="9"/>
      <c r="BX138" s="9"/>
      <c r="BY138" s="9"/>
      <c r="BZ138" s="9"/>
      <c r="CA138" s="9"/>
      <c r="CB138" s="9"/>
      <c r="CC138" s="9"/>
      <c r="CD138" s="9"/>
      <c r="CE138" s="9"/>
    </row>
    <row r="139" spans="4:83" ht="11.45" customHeight="1" x14ac:dyDescent="0.2">
      <c r="D139" s="11"/>
      <c r="E139" s="11"/>
      <c r="F139" s="11"/>
      <c r="G139" s="11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46"/>
      <c r="T139" s="36"/>
      <c r="U139" s="36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  <c r="BS139" s="9"/>
      <c r="BT139" s="9"/>
      <c r="BU139" s="9"/>
      <c r="BV139" s="9"/>
      <c r="BW139" s="9"/>
      <c r="BX139" s="9"/>
      <c r="BY139" s="9"/>
      <c r="BZ139" s="9"/>
      <c r="CA139" s="9"/>
      <c r="CB139" s="9"/>
      <c r="CC139" s="9"/>
      <c r="CD139" s="9"/>
      <c r="CE139" s="9"/>
    </row>
    <row r="140" spans="4:83" ht="11.45" customHeight="1" x14ac:dyDescent="0.2">
      <c r="D140" s="11"/>
      <c r="E140" s="11"/>
      <c r="F140" s="11"/>
      <c r="G140" s="11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46"/>
      <c r="T140" s="36"/>
      <c r="U140" s="36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  <c r="BS140" s="9"/>
      <c r="BT140" s="9"/>
      <c r="BU140" s="9"/>
      <c r="BV140" s="9"/>
      <c r="BW140" s="9"/>
      <c r="BX140" s="9"/>
      <c r="BY140" s="9"/>
      <c r="BZ140" s="9"/>
      <c r="CA140" s="9"/>
      <c r="CB140" s="9"/>
      <c r="CC140" s="9"/>
      <c r="CD140" s="9"/>
      <c r="CE140" s="9"/>
    </row>
    <row r="141" spans="4:83" ht="11.45" customHeight="1" x14ac:dyDescent="0.2">
      <c r="D141" s="11"/>
      <c r="E141" s="11"/>
      <c r="F141" s="11"/>
      <c r="G141" s="11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46"/>
      <c r="T141" s="36"/>
      <c r="U141" s="36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  <c r="BS141" s="9"/>
      <c r="BT141" s="9"/>
      <c r="BU141" s="9"/>
      <c r="BV141" s="9"/>
      <c r="BW141" s="9"/>
      <c r="BX141" s="9"/>
      <c r="BY141" s="9"/>
      <c r="BZ141" s="9"/>
      <c r="CA141" s="9"/>
      <c r="CB141" s="9"/>
      <c r="CC141" s="9"/>
      <c r="CD141" s="9"/>
      <c r="CE141" s="9"/>
    </row>
    <row r="142" spans="4:83" ht="11.45" customHeight="1" x14ac:dyDescent="0.2">
      <c r="D142" s="11"/>
      <c r="E142" s="11"/>
      <c r="F142" s="11"/>
      <c r="G142" s="11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46"/>
      <c r="T142" s="36"/>
      <c r="U142" s="36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9"/>
      <c r="BW142" s="9"/>
      <c r="BX142" s="9"/>
      <c r="BY142" s="9"/>
      <c r="BZ142" s="9"/>
      <c r="CA142" s="9"/>
      <c r="CB142" s="9"/>
      <c r="CC142" s="9"/>
      <c r="CD142" s="9"/>
      <c r="CE142" s="9"/>
    </row>
    <row r="143" spans="4:83" ht="11.45" customHeight="1" x14ac:dyDescent="0.2">
      <c r="D143" s="11"/>
      <c r="E143" s="11"/>
      <c r="F143" s="11"/>
      <c r="G143" s="11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46"/>
      <c r="T143" s="36"/>
      <c r="U143" s="36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  <c r="BS143" s="9"/>
      <c r="BT143" s="9"/>
      <c r="BU143" s="9"/>
      <c r="BV143" s="9"/>
      <c r="BW143" s="9"/>
      <c r="BX143" s="9"/>
      <c r="BY143" s="9"/>
      <c r="BZ143" s="9"/>
      <c r="CA143" s="9"/>
      <c r="CB143" s="9"/>
      <c r="CC143" s="9"/>
      <c r="CD143" s="9"/>
      <c r="CE143" s="9"/>
    </row>
    <row r="144" spans="4:83" ht="11.45" customHeight="1" x14ac:dyDescent="0.2">
      <c r="D144" s="11"/>
      <c r="E144" s="11"/>
      <c r="F144" s="11"/>
      <c r="G144" s="11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46"/>
      <c r="T144" s="36"/>
      <c r="U144" s="36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  <c r="BS144" s="9"/>
      <c r="BT144" s="9"/>
      <c r="BU144" s="9"/>
      <c r="BV144" s="9"/>
      <c r="BW144" s="9"/>
      <c r="BX144" s="9"/>
      <c r="BY144" s="9"/>
      <c r="BZ144" s="9"/>
      <c r="CA144" s="9"/>
      <c r="CB144" s="9"/>
      <c r="CC144" s="9"/>
      <c r="CD144" s="9"/>
      <c r="CE144" s="9"/>
    </row>
    <row r="145" spans="4:83" ht="11.45" customHeight="1" x14ac:dyDescent="0.2">
      <c r="D145" s="11"/>
      <c r="E145" s="11"/>
      <c r="F145" s="11"/>
      <c r="G145" s="11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46"/>
      <c r="T145" s="36"/>
      <c r="U145" s="36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  <c r="BS145" s="9"/>
      <c r="BT145" s="9"/>
      <c r="BU145" s="9"/>
      <c r="BV145" s="9"/>
      <c r="BW145" s="9"/>
      <c r="BX145" s="9"/>
      <c r="BY145" s="9"/>
      <c r="BZ145" s="9"/>
      <c r="CA145" s="9"/>
      <c r="CB145" s="9"/>
      <c r="CC145" s="9"/>
      <c r="CD145" s="9"/>
      <c r="CE145" s="9"/>
    </row>
    <row r="146" spans="4:83" ht="11.45" customHeight="1" x14ac:dyDescent="0.2">
      <c r="D146" s="11"/>
      <c r="E146" s="11"/>
      <c r="F146" s="11"/>
      <c r="G146" s="11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46"/>
      <c r="T146" s="36"/>
      <c r="U146" s="36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  <c r="BW146" s="9"/>
      <c r="BX146" s="9"/>
      <c r="BY146" s="9"/>
      <c r="BZ146" s="9"/>
      <c r="CA146" s="9"/>
      <c r="CB146" s="9"/>
      <c r="CC146" s="9"/>
      <c r="CD146" s="9"/>
      <c r="CE146" s="9"/>
    </row>
    <row r="147" spans="4:83" ht="11.45" customHeight="1" x14ac:dyDescent="0.2">
      <c r="D147" s="11"/>
      <c r="E147" s="11"/>
      <c r="F147" s="11"/>
      <c r="G147" s="11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46"/>
      <c r="T147" s="36"/>
      <c r="U147" s="36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9"/>
      <c r="BW147" s="9"/>
      <c r="BX147" s="9"/>
      <c r="BY147" s="9"/>
      <c r="BZ147" s="9"/>
      <c r="CA147" s="9"/>
      <c r="CB147" s="9"/>
      <c r="CC147" s="9"/>
      <c r="CD147" s="9"/>
      <c r="CE147" s="9"/>
    </row>
    <row r="148" spans="4:83" ht="11.45" customHeight="1" x14ac:dyDescent="0.2">
      <c r="D148" s="11"/>
      <c r="E148" s="11"/>
      <c r="F148" s="11"/>
      <c r="G148" s="11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46"/>
      <c r="T148" s="36"/>
      <c r="U148" s="36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  <c r="BS148" s="9"/>
      <c r="BT148" s="9"/>
      <c r="BU148" s="9"/>
      <c r="BV148" s="9"/>
      <c r="BW148" s="9"/>
      <c r="BX148" s="9"/>
      <c r="BY148" s="9"/>
      <c r="BZ148" s="9"/>
      <c r="CA148" s="9"/>
      <c r="CB148" s="9"/>
      <c r="CC148" s="9"/>
      <c r="CD148" s="9"/>
      <c r="CE148" s="9"/>
    </row>
    <row r="149" spans="4:83" ht="11.45" customHeight="1" x14ac:dyDescent="0.2">
      <c r="D149" s="11"/>
      <c r="E149" s="11"/>
      <c r="F149" s="11"/>
      <c r="G149" s="11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46"/>
      <c r="T149" s="36"/>
      <c r="U149" s="36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9"/>
      <c r="BW149" s="9"/>
      <c r="BX149" s="9"/>
      <c r="BY149" s="9"/>
      <c r="BZ149" s="9"/>
      <c r="CA149" s="9"/>
      <c r="CB149" s="9"/>
      <c r="CC149" s="9"/>
      <c r="CD149" s="9"/>
      <c r="CE149" s="9"/>
    </row>
    <row r="150" spans="4:83" ht="11.45" customHeight="1" x14ac:dyDescent="0.2">
      <c r="D150" s="11"/>
      <c r="E150" s="11"/>
      <c r="F150" s="11"/>
      <c r="G150" s="11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46"/>
      <c r="T150" s="36"/>
      <c r="U150" s="36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  <c r="BS150" s="9"/>
      <c r="BT150" s="9"/>
      <c r="BU150" s="9"/>
      <c r="BV150" s="9"/>
      <c r="BW150" s="9"/>
      <c r="BX150" s="9"/>
      <c r="BY150" s="9"/>
      <c r="BZ150" s="9"/>
      <c r="CA150" s="9"/>
      <c r="CB150" s="9"/>
      <c r="CC150" s="9"/>
      <c r="CD150" s="9"/>
      <c r="CE150" s="9"/>
    </row>
    <row r="151" spans="4:83" ht="11.45" customHeight="1" x14ac:dyDescent="0.2">
      <c r="D151" s="11"/>
      <c r="E151" s="11"/>
      <c r="F151" s="11"/>
      <c r="G151" s="11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46"/>
      <c r="T151" s="36"/>
      <c r="U151" s="36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  <c r="BS151" s="9"/>
      <c r="BT151" s="9"/>
      <c r="BU151" s="9"/>
      <c r="BV151" s="9"/>
      <c r="BW151" s="9"/>
      <c r="BX151" s="9"/>
      <c r="BY151" s="9"/>
      <c r="BZ151" s="9"/>
      <c r="CA151" s="9"/>
      <c r="CB151" s="9"/>
      <c r="CC151" s="9"/>
      <c r="CD151" s="9"/>
      <c r="CE151" s="9"/>
    </row>
    <row r="152" spans="4:83" ht="11.45" customHeight="1" x14ac:dyDescent="0.2">
      <c r="D152" s="11"/>
      <c r="E152" s="11"/>
      <c r="F152" s="11"/>
      <c r="G152" s="11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46"/>
      <c r="T152" s="36"/>
      <c r="U152" s="36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  <c r="BS152" s="9"/>
      <c r="BT152" s="9"/>
      <c r="BU152" s="9"/>
      <c r="BV152" s="9"/>
      <c r="BW152" s="9"/>
      <c r="BX152" s="9"/>
      <c r="BY152" s="9"/>
      <c r="BZ152" s="9"/>
      <c r="CA152" s="9"/>
      <c r="CB152" s="9"/>
      <c r="CC152" s="9"/>
      <c r="CD152" s="9"/>
      <c r="CE152" s="9"/>
    </row>
    <row r="153" spans="4:83" ht="11.45" customHeight="1" x14ac:dyDescent="0.2">
      <c r="D153" s="11"/>
      <c r="E153" s="11"/>
      <c r="F153" s="11"/>
      <c r="G153" s="11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46"/>
      <c r="T153" s="36"/>
      <c r="U153" s="36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  <c r="BS153" s="9"/>
      <c r="BT153" s="9"/>
      <c r="BU153" s="9"/>
      <c r="BV153" s="9"/>
      <c r="BW153" s="9"/>
      <c r="BX153" s="9"/>
      <c r="BY153" s="9"/>
      <c r="BZ153" s="9"/>
      <c r="CA153" s="9"/>
      <c r="CB153" s="9"/>
      <c r="CC153" s="9"/>
      <c r="CD153" s="9"/>
      <c r="CE153" s="9"/>
    </row>
    <row r="154" spans="4:83" ht="11.45" customHeight="1" x14ac:dyDescent="0.2">
      <c r="D154" s="11"/>
      <c r="E154" s="11"/>
      <c r="F154" s="11"/>
      <c r="G154" s="11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46"/>
      <c r="T154" s="36"/>
      <c r="U154" s="36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  <c r="BS154" s="9"/>
      <c r="BT154" s="9"/>
      <c r="BU154" s="9"/>
      <c r="BV154" s="9"/>
      <c r="BW154" s="9"/>
      <c r="BX154" s="9"/>
      <c r="BY154" s="9"/>
      <c r="BZ154" s="9"/>
      <c r="CA154" s="9"/>
      <c r="CB154" s="9"/>
      <c r="CC154" s="9"/>
      <c r="CD154" s="9"/>
      <c r="CE154" s="9"/>
    </row>
    <row r="155" spans="4:83" ht="11.45" customHeight="1" x14ac:dyDescent="0.2">
      <c r="D155" s="11"/>
      <c r="E155" s="11"/>
      <c r="F155" s="11"/>
      <c r="G155" s="11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46"/>
      <c r="T155" s="36"/>
      <c r="U155" s="36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9"/>
      <c r="BW155" s="9"/>
      <c r="BX155" s="9"/>
      <c r="BY155" s="9"/>
      <c r="BZ155" s="9"/>
      <c r="CA155" s="9"/>
      <c r="CB155" s="9"/>
      <c r="CC155" s="9"/>
      <c r="CD155" s="9"/>
      <c r="CE155" s="9"/>
    </row>
    <row r="156" spans="4:83" ht="11.45" customHeight="1" x14ac:dyDescent="0.2">
      <c r="D156" s="11"/>
      <c r="E156" s="11"/>
      <c r="F156" s="11"/>
      <c r="G156" s="11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46"/>
      <c r="T156" s="36"/>
      <c r="U156" s="36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9"/>
      <c r="CB156" s="9"/>
      <c r="CC156" s="9"/>
      <c r="CD156" s="9"/>
      <c r="CE156" s="9"/>
    </row>
    <row r="157" spans="4:83" ht="11.45" customHeight="1" x14ac:dyDescent="0.2">
      <c r="D157" s="11"/>
      <c r="E157" s="11"/>
      <c r="F157" s="11"/>
      <c r="G157" s="11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46"/>
      <c r="T157" s="36"/>
      <c r="U157" s="36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9"/>
      <c r="CB157" s="9"/>
      <c r="CC157" s="9"/>
      <c r="CD157" s="9"/>
      <c r="CE157" s="9"/>
    </row>
    <row r="158" spans="4:83" ht="11.45" customHeight="1" x14ac:dyDescent="0.2">
      <c r="D158" s="11"/>
      <c r="E158" s="11"/>
      <c r="F158" s="11"/>
      <c r="G158" s="11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46"/>
      <c r="T158" s="36"/>
      <c r="U158" s="36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9"/>
      <c r="BW158" s="9"/>
      <c r="BX158" s="9"/>
      <c r="BY158" s="9"/>
      <c r="BZ158" s="9"/>
      <c r="CA158" s="9"/>
      <c r="CB158" s="9"/>
      <c r="CC158" s="9"/>
      <c r="CD158" s="9"/>
      <c r="CE158" s="9"/>
    </row>
    <row r="159" spans="4:83" ht="11.45" customHeight="1" x14ac:dyDescent="0.2">
      <c r="D159" s="11"/>
      <c r="E159" s="11"/>
      <c r="F159" s="11"/>
      <c r="G159" s="11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46"/>
      <c r="T159" s="36"/>
      <c r="U159" s="36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  <c r="BS159" s="9"/>
      <c r="BT159" s="9"/>
      <c r="BU159" s="9"/>
      <c r="BV159" s="9"/>
      <c r="BW159" s="9"/>
      <c r="BX159" s="9"/>
      <c r="BY159" s="9"/>
      <c r="BZ159" s="9"/>
      <c r="CA159" s="9"/>
      <c r="CB159" s="9"/>
      <c r="CC159" s="9"/>
      <c r="CD159" s="9"/>
      <c r="CE159" s="9"/>
    </row>
    <row r="160" spans="4:83" ht="11.45" customHeight="1" x14ac:dyDescent="0.2">
      <c r="D160" s="11"/>
      <c r="E160" s="11"/>
      <c r="F160" s="11"/>
      <c r="G160" s="11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46"/>
      <c r="T160" s="36"/>
      <c r="U160" s="36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  <c r="BS160" s="9"/>
      <c r="BT160" s="9"/>
      <c r="BU160" s="9"/>
      <c r="BV160" s="9"/>
      <c r="BW160" s="9"/>
      <c r="BX160" s="9"/>
      <c r="BY160" s="9"/>
      <c r="BZ160" s="9"/>
      <c r="CA160" s="9"/>
      <c r="CB160" s="9"/>
      <c r="CC160" s="9"/>
      <c r="CD160" s="9"/>
      <c r="CE160" s="9"/>
    </row>
    <row r="161" spans="4:83" ht="11.45" customHeight="1" x14ac:dyDescent="0.2">
      <c r="D161" s="11"/>
      <c r="E161" s="11"/>
      <c r="F161" s="11"/>
      <c r="G161" s="11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46"/>
      <c r="T161" s="36"/>
      <c r="U161" s="36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  <c r="BS161" s="9"/>
      <c r="BT161" s="9"/>
      <c r="BU161" s="9"/>
      <c r="BV161" s="9"/>
      <c r="BW161" s="9"/>
      <c r="BX161" s="9"/>
      <c r="BY161" s="9"/>
      <c r="BZ161" s="9"/>
      <c r="CA161" s="9"/>
      <c r="CB161" s="9"/>
      <c r="CC161" s="9"/>
      <c r="CD161" s="9"/>
      <c r="CE161" s="9"/>
    </row>
    <row r="162" spans="4:83" ht="11.45" customHeight="1" x14ac:dyDescent="0.2">
      <c r="D162" s="11"/>
      <c r="E162" s="11"/>
      <c r="F162" s="11"/>
      <c r="G162" s="11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46"/>
      <c r="T162" s="36"/>
      <c r="U162" s="36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  <c r="BS162" s="9"/>
      <c r="BT162" s="9"/>
      <c r="BU162" s="9"/>
      <c r="BV162" s="9"/>
      <c r="BW162" s="9"/>
      <c r="BX162" s="9"/>
      <c r="BY162" s="9"/>
      <c r="BZ162" s="9"/>
      <c r="CA162" s="9"/>
      <c r="CB162" s="9"/>
      <c r="CC162" s="9"/>
      <c r="CD162" s="9"/>
      <c r="CE162" s="9"/>
    </row>
    <row r="163" spans="4:83" ht="11.45" customHeight="1" x14ac:dyDescent="0.2">
      <c r="D163" s="11"/>
      <c r="E163" s="11"/>
      <c r="F163" s="11"/>
      <c r="G163" s="11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46"/>
      <c r="T163" s="36"/>
      <c r="U163" s="36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  <c r="BW163" s="9"/>
      <c r="BX163" s="9"/>
      <c r="BY163" s="9"/>
      <c r="BZ163" s="9"/>
      <c r="CA163" s="9"/>
      <c r="CB163" s="9"/>
      <c r="CC163" s="9"/>
      <c r="CD163" s="9"/>
      <c r="CE163" s="9"/>
    </row>
    <row r="164" spans="4:83" ht="11.45" customHeight="1" x14ac:dyDescent="0.2">
      <c r="D164" s="11"/>
      <c r="E164" s="11"/>
      <c r="F164" s="11"/>
      <c r="G164" s="11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46"/>
      <c r="T164" s="36"/>
      <c r="U164" s="36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  <c r="BW164" s="9"/>
      <c r="BX164" s="9"/>
      <c r="BY164" s="9"/>
      <c r="BZ164" s="9"/>
      <c r="CA164" s="9"/>
      <c r="CB164" s="9"/>
      <c r="CC164" s="9"/>
      <c r="CD164" s="9"/>
      <c r="CE164" s="9"/>
    </row>
    <row r="165" spans="4:83" ht="11.45" customHeight="1" x14ac:dyDescent="0.2">
      <c r="D165" s="11"/>
      <c r="E165" s="11"/>
      <c r="F165" s="11"/>
      <c r="G165" s="11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46"/>
      <c r="T165" s="36"/>
      <c r="U165" s="36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  <c r="BS165" s="9"/>
      <c r="BT165" s="9"/>
      <c r="BU165" s="9"/>
      <c r="BV165" s="9"/>
      <c r="BW165" s="9"/>
      <c r="BX165" s="9"/>
      <c r="BY165" s="9"/>
      <c r="BZ165" s="9"/>
      <c r="CA165" s="9"/>
      <c r="CB165" s="9"/>
      <c r="CC165" s="9"/>
      <c r="CD165" s="9"/>
      <c r="CE165" s="9"/>
    </row>
    <row r="166" spans="4:83" ht="11.45" customHeight="1" x14ac:dyDescent="0.2">
      <c r="D166" s="11"/>
      <c r="E166" s="11"/>
      <c r="F166" s="11"/>
      <c r="G166" s="11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46"/>
      <c r="T166" s="36"/>
      <c r="U166" s="36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  <c r="BS166" s="9"/>
      <c r="BT166" s="9"/>
      <c r="BU166" s="9"/>
      <c r="BV166" s="9"/>
      <c r="BW166" s="9"/>
      <c r="BX166" s="9"/>
      <c r="BY166" s="9"/>
      <c r="BZ166" s="9"/>
      <c r="CA166" s="9"/>
      <c r="CB166" s="9"/>
      <c r="CC166" s="9"/>
      <c r="CD166" s="9"/>
      <c r="CE166" s="9"/>
    </row>
    <row r="167" spans="4:83" ht="11.45" customHeight="1" x14ac:dyDescent="0.2">
      <c r="D167" s="11"/>
      <c r="E167" s="11"/>
      <c r="F167" s="11"/>
      <c r="G167" s="11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46"/>
      <c r="T167" s="36"/>
      <c r="U167" s="36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  <c r="BS167" s="9"/>
      <c r="BT167" s="9"/>
      <c r="BU167" s="9"/>
      <c r="BV167" s="9"/>
      <c r="BW167" s="9"/>
      <c r="BX167" s="9"/>
      <c r="BY167" s="9"/>
      <c r="BZ167" s="9"/>
      <c r="CA167" s="9"/>
      <c r="CB167" s="9"/>
      <c r="CC167" s="9"/>
      <c r="CD167" s="9"/>
      <c r="CE167" s="9"/>
    </row>
    <row r="168" spans="4:83" ht="11.45" customHeight="1" x14ac:dyDescent="0.2">
      <c r="D168" s="11"/>
      <c r="E168" s="11"/>
      <c r="F168" s="11"/>
      <c r="G168" s="11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46"/>
      <c r="T168" s="36"/>
      <c r="U168" s="36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  <c r="BS168" s="9"/>
      <c r="BT168" s="9"/>
      <c r="BU168" s="9"/>
      <c r="BV168" s="9"/>
      <c r="BW168" s="9"/>
      <c r="BX168" s="9"/>
      <c r="BY168" s="9"/>
      <c r="BZ168" s="9"/>
      <c r="CA168" s="9"/>
      <c r="CB168" s="9"/>
      <c r="CC168" s="9"/>
      <c r="CD168" s="9"/>
      <c r="CE168" s="9"/>
    </row>
    <row r="169" spans="4:83" ht="11.45" customHeight="1" x14ac:dyDescent="0.2">
      <c r="D169" s="11"/>
      <c r="E169" s="11"/>
      <c r="F169" s="11"/>
      <c r="G169" s="11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46"/>
      <c r="T169" s="36"/>
      <c r="U169" s="36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  <c r="BS169" s="9"/>
      <c r="BT169" s="9"/>
      <c r="BU169" s="9"/>
      <c r="BV169" s="9"/>
      <c r="BW169" s="9"/>
      <c r="BX169" s="9"/>
      <c r="BY169" s="9"/>
      <c r="BZ169" s="9"/>
      <c r="CA169" s="9"/>
      <c r="CB169" s="9"/>
      <c r="CC169" s="9"/>
      <c r="CD169" s="9"/>
      <c r="CE169" s="9"/>
    </row>
    <row r="170" spans="4:83" ht="11.45" customHeight="1" x14ac:dyDescent="0.2">
      <c r="D170" s="11"/>
      <c r="E170" s="11"/>
      <c r="F170" s="11"/>
      <c r="G170" s="11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46"/>
      <c r="T170" s="36"/>
      <c r="U170" s="36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  <c r="BS170" s="9"/>
      <c r="BT170" s="9"/>
      <c r="BU170" s="9"/>
      <c r="BV170" s="9"/>
      <c r="BW170" s="9"/>
      <c r="BX170" s="9"/>
      <c r="BY170" s="9"/>
      <c r="BZ170" s="9"/>
      <c r="CA170" s="9"/>
      <c r="CB170" s="9"/>
      <c r="CC170" s="9"/>
      <c r="CD170" s="9"/>
      <c r="CE170" s="9"/>
    </row>
    <row r="171" spans="4:83" ht="11.45" customHeight="1" x14ac:dyDescent="0.2">
      <c r="D171" s="11"/>
      <c r="E171" s="11"/>
      <c r="F171" s="11"/>
      <c r="G171" s="11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46"/>
      <c r="T171" s="36"/>
      <c r="U171" s="36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  <c r="BS171" s="9"/>
      <c r="BT171" s="9"/>
      <c r="BU171" s="9"/>
      <c r="BV171" s="9"/>
      <c r="BW171" s="9"/>
      <c r="BX171" s="9"/>
      <c r="BY171" s="9"/>
      <c r="BZ171" s="9"/>
      <c r="CA171" s="9"/>
      <c r="CB171" s="9"/>
      <c r="CC171" s="9"/>
      <c r="CD171" s="9"/>
      <c r="CE171" s="9"/>
    </row>
    <row r="172" spans="4:83" ht="11.45" customHeight="1" x14ac:dyDescent="0.2">
      <c r="D172" s="11"/>
      <c r="E172" s="11"/>
      <c r="F172" s="11"/>
      <c r="G172" s="11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46"/>
      <c r="T172" s="36"/>
      <c r="U172" s="36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  <c r="BS172" s="9"/>
      <c r="BT172" s="9"/>
      <c r="BU172" s="9"/>
      <c r="BV172" s="9"/>
      <c r="BW172" s="9"/>
      <c r="BX172" s="9"/>
      <c r="BY172" s="9"/>
      <c r="BZ172" s="9"/>
      <c r="CA172" s="9"/>
      <c r="CB172" s="9"/>
      <c r="CC172" s="9"/>
      <c r="CD172" s="9"/>
      <c r="CE172" s="9"/>
    </row>
    <row r="173" spans="4:83" ht="11.45" customHeight="1" x14ac:dyDescent="0.2">
      <c r="D173" s="11"/>
      <c r="E173" s="11"/>
      <c r="F173" s="11"/>
      <c r="G173" s="11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46"/>
      <c r="T173" s="36"/>
      <c r="U173" s="36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  <c r="BS173" s="9"/>
      <c r="BT173" s="9"/>
      <c r="BU173" s="9"/>
      <c r="BV173" s="9"/>
      <c r="BW173" s="9"/>
      <c r="BX173" s="9"/>
      <c r="BY173" s="9"/>
      <c r="BZ173" s="9"/>
      <c r="CA173" s="9"/>
      <c r="CB173" s="9"/>
      <c r="CC173" s="9"/>
      <c r="CD173" s="9"/>
      <c r="CE173" s="9"/>
    </row>
    <row r="174" spans="4:83" ht="11.45" customHeight="1" x14ac:dyDescent="0.2">
      <c r="D174" s="11"/>
      <c r="E174" s="11"/>
      <c r="F174" s="11"/>
      <c r="G174" s="11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46"/>
      <c r="T174" s="36"/>
      <c r="U174" s="36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  <c r="BS174" s="9"/>
      <c r="BT174" s="9"/>
      <c r="BU174" s="9"/>
      <c r="BV174" s="9"/>
      <c r="BW174" s="9"/>
      <c r="BX174" s="9"/>
      <c r="BY174" s="9"/>
      <c r="BZ174" s="9"/>
      <c r="CA174" s="9"/>
      <c r="CB174" s="9"/>
      <c r="CC174" s="9"/>
      <c r="CD174" s="9"/>
      <c r="CE174" s="9"/>
    </row>
    <row r="175" spans="4:83" ht="11.45" customHeight="1" x14ac:dyDescent="0.2">
      <c r="D175" s="11"/>
      <c r="E175" s="11"/>
      <c r="F175" s="11"/>
      <c r="G175" s="11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46"/>
      <c r="T175" s="36"/>
      <c r="U175" s="36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  <c r="BS175" s="9"/>
      <c r="BT175" s="9"/>
      <c r="BU175" s="9"/>
      <c r="BV175" s="9"/>
      <c r="BW175" s="9"/>
      <c r="BX175" s="9"/>
      <c r="BY175" s="9"/>
      <c r="BZ175" s="9"/>
      <c r="CA175" s="9"/>
      <c r="CB175" s="9"/>
      <c r="CC175" s="9"/>
      <c r="CD175" s="9"/>
      <c r="CE175" s="9"/>
    </row>
    <row r="176" spans="4:83" ht="11.45" customHeight="1" x14ac:dyDescent="0.2">
      <c r="D176" s="11"/>
      <c r="E176" s="11"/>
      <c r="F176" s="11"/>
      <c r="G176" s="11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46"/>
      <c r="T176" s="36"/>
      <c r="U176" s="36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  <c r="BS176" s="9"/>
      <c r="BT176" s="9"/>
      <c r="BU176" s="9"/>
      <c r="BV176" s="9"/>
      <c r="BW176" s="9"/>
      <c r="BX176" s="9"/>
      <c r="BY176" s="9"/>
      <c r="BZ176" s="9"/>
      <c r="CA176" s="9"/>
      <c r="CB176" s="9"/>
      <c r="CC176" s="9"/>
      <c r="CD176" s="9"/>
      <c r="CE176" s="9"/>
    </row>
    <row r="177" spans="4:83" ht="11.45" customHeight="1" x14ac:dyDescent="0.2">
      <c r="D177" s="11"/>
      <c r="E177" s="11"/>
      <c r="F177" s="11"/>
      <c r="G177" s="11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46"/>
      <c r="T177" s="36"/>
      <c r="U177" s="36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  <c r="BS177" s="9"/>
      <c r="BT177" s="9"/>
      <c r="BU177" s="9"/>
      <c r="BV177" s="9"/>
      <c r="BW177" s="9"/>
      <c r="BX177" s="9"/>
      <c r="BY177" s="9"/>
      <c r="BZ177" s="9"/>
      <c r="CA177" s="9"/>
      <c r="CB177" s="9"/>
      <c r="CC177" s="9"/>
      <c r="CD177" s="9"/>
      <c r="CE177" s="9"/>
    </row>
    <row r="178" spans="4:83" ht="11.45" customHeight="1" x14ac:dyDescent="0.2">
      <c r="D178" s="11"/>
      <c r="E178" s="11"/>
      <c r="F178" s="11"/>
      <c r="G178" s="11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46"/>
      <c r="T178" s="36"/>
      <c r="U178" s="36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  <c r="BS178" s="9"/>
      <c r="BT178" s="9"/>
      <c r="BU178" s="9"/>
      <c r="BV178" s="9"/>
      <c r="BW178" s="9"/>
      <c r="BX178" s="9"/>
      <c r="BY178" s="9"/>
      <c r="BZ178" s="9"/>
      <c r="CA178" s="9"/>
      <c r="CB178" s="9"/>
      <c r="CC178" s="9"/>
      <c r="CD178" s="9"/>
      <c r="CE178" s="9"/>
    </row>
    <row r="179" spans="4:83" ht="11.45" customHeight="1" x14ac:dyDescent="0.2">
      <c r="D179" s="11"/>
      <c r="E179" s="11"/>
      <c r="F179" s="11"/>
      <c r="G179" s="11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46"/>
      <c r="T179" s="36"/>
      <c r="U179" s="36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  <c r="BS179" s="9"/>
      <c r="BT179" s="9"/>
      <c r="BU179" s="9"/>
      <c r="BV179" s="9"/>
      <c r="BW179" s="9"/>
      <c r="BX179" s="9"/>
      <c r="BY179" s="9"/>
      <c r="BZ179" s="9"/>
      <c r="CA179" s="9"/>
      <c r="CB179" s="9"/>
      <c r="CC179" s="9"/>
      <c r="CD179" s="9"/>
      <c r="CE179" s="9"/>
    </row>
    <row r="180" spans="4:83" ht="11.45" customHeight="1" x14ac:dyDescent="0.2">
      <c r="D180" s="11"/>
      <c r="E180" s="11"/>
      <c r="F180" s="11"/>
      <c r="G180" s="11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46"/>
      <c r="T180" s="36"/>
      <c r="U180" s="36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  <c r="BS180" s="9"/>
      <c r="BT180" s="9"/>
      <c r="BU180" s="9"/>
      <c r="BV180" s="9"/>
      <c r="BW180" s="9"/>
      <c r="BX180" s="9"/>
      <c r="BY180" s="9"/>
      <c r="BZ180" s="9"/>
      <c r="CA180" s="9"/>
      <c r="CB180" s="9"/>
      <c r="CC180" s="9"/>
      <c r="CD180" s="9"/>
      <c r="CE180" s="9"/>
    </row>
    <row r="181" spans="4:83" ht="11.45" customHeight="1" x14ac:dyDescent="0.2">
      <c r="D181" s="11"/>
      <c r="E181" s="11"/>
      <c r="F181" s="11"/>
      <c r="G181" s="11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46"/>
      <c r="T181" s="36"/>
      <c r="U181" s="36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  <c r="BS181" s="9"/>
      <c r="BT181" s="9"/>
      <c r="BU181" s="9"/>
      <c r="BV181" s="9"/>
      <c r="BW181" s="9"/>
      <c r="BX181" s="9"/>
      <c r="BY181" s="9"/>
      <c r="BZ181" s="9"/>
      <c r="CA181" s="9"/>
      <c r="CB181" s="9"/>
      <c r="CC181" s="9"/>
      <c r="CD181" s="9"/>
      <c r="CE181" s="9"/>
    </row>
    <row r="182" spans="4:83" ht="11.45" customHeight="1" x14ac:dyDescent="0.2">
      <c r="D182" s="11"/>
      <c r="E182" s="11"/>
      <c r="F182" s="11"/>
      <c r="G182" s="11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46"/>
      <c r="T182" s="36"/>
      <c r="U182" s="36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  <c r="BS182" s="9"/>
      <c r="BT182" s="9"/>
      <c r="BU182" s="9"/>
      <c r="BV182" s="9"/>
      <c r="BW182" s="9"/>
      <c r="BX182" s="9"/>
      <c r="BY182" s="9"/>
      <c r="BZ182" s="9"/>
      <c r="CA182" s="9"/>
      <c r="CB182" s="9"/>
      <c r="CC182" s="9"/>
      <c r="CD182" s="9"/>
      <c r="CE182" s="9"/>
    </row>
    <row r="183" spans="4:83" ht="11.45" customHeight="1" x14ac:dyDescent="0.2">
      <c r="D183" s="11"/>
      <c r="E183" s="11"/>
      <c r="F183" s="11"/>
      <c r="G183" s="11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46"/>
      <c r="T183" s="36"/>
      <c r="U183" s="36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  <c r="BS183" s="9"/>
      <c r="BT183" s="9"/>
      <c r="BU183" s="9"/>
      <c r="BV183" s="9"/>
      <c r="BW183" s="9"/>
      <c r="BX183" s="9"/>
      <c r="BY183" s="9"/>
      <c r="BZ183" s="9"/>
      <c r="CA183" s="9"/>
      <c r="CB183" s="9"/>
      <c r="CC183" s="9"/>
      <c r="CD183" s="9"/>
      <c r="CE183" s="9"/>
    </row>
    <row r="184" spans="4:83" ht="11.45" customHeight="1" x14ac:dyDescent="0.2">
      <c r="D184" s="11"/>
      <c r="E184" s="11"/>
      <c r="F184" s="11"/>
      <c r="G184" s="11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46"/>
      <c r="T184" s="36"/>
      <c r="U184" s="36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  <c r="BS184" s="9"/>
      <c r="BT184" s="9"/>
      <c r="BU184" s="9"/>
      <c r="BV184" s="9"/>
      <c r="BW184" s="9"/>
      <c r="BX184" s="9"/>
      <c r="BY184" s="9"/>
      <c r="BZ184" s="9"/>
      <c r="CA184" s="9"/>
      <c r="CB184" s="9"/>
      <c r="CC184" s="9"/>
      <c r="CD184" s="9"/>
      <c r="CE184" s="9"/>
    </row>
    <row r="185" spans="4:83" ht="11.45" customHeight="1" x14ac:dyDescent="0.2">
      <c r="D185" s="11"/>
      <c r="E185" s="11"/>
      <c r="F185" s="11"/>
      <c r="G185" s="11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46"/>
      <c r="T185" s="36"/>
      <c r="U185" s="36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  <c r="BS185" s="9"/>
      <c r="BT185" s="9"/>
      <c r="BU185" s="9"/>
      <c r="BV185" s="9"/>
      <c r="BW185" s="9"/>
      <c r="BX185" s="9"/>
      <c r="BY185" s="9"/>
      <c r="BZ185" s="9"/>
      <c r="CA185" s="9"/>
      <c r="CB185" s="9"/>
      <c r="CC185" s="9"/>
      <c r="CD185" s="9"/>
      <c r="CE185" s="9"/>
    </row>
    <row r="186" spans="4:83" ht="11.45" customHeight="1" x14ac:dyDescent="0.2">
      <c r="D186" s="11"/>
      <c r="E186" s="11"/>
      <c r="F186" s="11"/>
      <c r="G186" s="11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46"/>
      <c r="T186" s="36"/>
      <c r="U186" s="36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  <c r="BS186" s="9"/>
      <c r="BT186" s="9"/>
      <c r="BU186" s="9"/>
      <c r="BV186" s="9"/>
      <c r="BW186" s="9"/>
      <c r="BX186" s="9"/>
      <c r="BY186" s="9"/>
      <c r="BZ186" s="9"/>
      <c r="CA186" s="9"/>
      <c r="CB186" s="9"/>
      <c r="CC186" s="9"/>
      <c r="CD186" s="9"/>
      <c r="CE186" s="9"/>
    </row>
    <row r="187" spans="4:83" ht="11.45" customHeight="1" x14ac:dyDescent="0.2">
      <c r="D187" s="11"/>
      <c r="E187" s="11"/>
      <c r="F187" s="11"/>
      <c r="G187" s="11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46"/>
      <c r="T187" s="36"/>
      <c r="U187" s="36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  <c r="BS187" s="9"/>
      <c r="BT187" s="9"/>
      <c r="BU187" s="9"/>
      <c r="BV187" s="9"/>
      <c r="BW187" s="9"/>
      <c r="BX187" s="9"/>
      <c r="BY187" s="9"/>
      <c r="BZ187" s="9"/>
      <c r="CA187" s="9"/>
      <c r="CB187" s="9"/>
      <c r="CC187" s="9"/>
      <c r="CD187" s="9"/>
      <c r="CE187" s="9"/>
    </row>
    <row r="188" spans="4:83" ht="11.45" customHeight="1" x14ac:dyDescent="0.2">
      <c r="D188" s="11"/>
      <c r="E188" s="11"/>
      <c r="F188" s="11"/>
      <c r="G188" s="11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46"/>
      <c r="T188" s="36"/>
      <c r="U188" s="36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  <c r="BS188" s="9"/>
      <c r="BT188" s="9"/>
      <c r="BU188" s="9"/>
      <c r="BV188" s="9"/>
      <c r="BW188" s="9"/>
      <c r="BX188" s="9"/>
      <c r="BY188" s="9"/>
      <c r="BZ188" s="9"/>
      <c r="CA188" s="9"/>
      <c r="CB188" s="9"/>
      <c r="CC188" s="9"/>
      <c r="CD188" s="9"/>
      <c r="CE188" s="9"/>
    </row>
    <row r="189" spans="4:83" ht="11.45" customHeight="1" x14ac:dyDescent="0.2">
      <c r="D189" s="11"/>
      <c r="E189" s="11"/>
      <c r="F189" s="11"/>
      <c r="G189" s="11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46"/>
      <c r="T189" s="36"/>
      <c r="U189" s="36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  <c r="BS189" s="9"/>
      <c r="BT189" s="9"/>
      <c r="BU189" s="9"/>
      <c r="BV189" s="9"/>
      <c r="BW189" s="9"/>
      <c r="BX189" s="9"/>
      <c r="BY189" s="9"/>
      <c r="BZ189" s="9"/>
      <c r="CA189" s="9"/>
      <c r="CB189" s="9"/>
      <c r="CC189" s="9"/>
      <c r="CD189" s="9"/>
      <c r="CE189" s="9"/>
    </row>
    <row r="190" spans="4:83" ht="11.45" customHeight="1" x14ac:dyDescent="0.2">
      <c r="D190" s="11"/>
      <c r="E190" s="11"/>
      <c r="F190" s="11"/>
      <c r="G190" s="11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46"/>
      <c r="T190" s="36"/>
      <c r="U190" s="36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  <c r="BS190" s="9"/>
      <c r="BT190" s="9"/>
      <c r="BU190" s="9"/>
      <c r="BV190" s="9"/>
      <c r="BW190" s="9"/>
      <c r="BX190" s="9"/>
      <c r="BY190" s="9"/>
      <c r="BZ190" s="9"/>
      <c r="CA190" s="9"/>
      <c r="CB190" s="9"/>
      <c r="CC190" s="9"/>
      <c r="CD190" s="9"/>
      <c r="CE190" s="9"/>
    </row>
    <row r="191" spans="4:83" ht="11.45" customHeight="1" x14ac:dyDescent="0.2">
      <c r="D191" s="11"/>
      <c r="E191" s="11"/>
      <c r="F191" s="11"/>
      <c r="G191" s="11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46"/>
      <c r="T191" s="36"/>
      <c r="U191" s="36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  <c r="BS191" s="9"/>
      <c r="BT191" s="9"/>
      <c r="BU191" s="9"/>
      <c r="BV191" s="9"/>
      <c r="BW191" s="9"/>
      <c r="BX191" s="9"/>
      <c r="BY191" s="9"/>
      <c r="BZ191" s="9"/>
      <c r="CA191" s="9"/>
      <c r="CB191" s="9"/>
      <c r="CC191" s="9"/>
      <c r="CD191" s="9"/>
      <c r="CE191" s="9"/>
    </row>
    <row r="192" spans="4:83" ht="11.45" customHeight="1" x14ac:dyDescent="0.2">
      <c r="D192" s="11"/>
      <c r="E192" s="11"/>
      <c r="F192" s="11"/>
      <c r="G192" s="11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46"/>
      <c r="T192" s="36"/>
      <c r="U192" s="36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  <c r="BS192" s="9"/>
      <c r="BT192" s="9"/>
      <c r="BU192" s="9"/>
      <c r="BV192" s="9"/>
      <c r="BW192" s="9"/>
      <c r="BX192" s="9"/>
      <c r="BY192" s="9"/>
      <c r="BZ192" s="9"/>
      <c r="CA192" s="9"/>
      <c r="CB192" s="9"/>
      <c r="CC192" s="9"/>
      <c r="CD192" s="9"/>
      <c r="CE192" s="9"/>
    </row>
    <row r="193" spans="4:83" ht="11.45" customHeight="1" x14ac:dyDescent="0.2">
      <c r="D193" s="11"/>
      <c r="E193" s="11"/>
      <c r="F193" s="11"/>
      <c r="G193" s="11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46"/>
      <c r="T193" s="36"/>
      <c r="U193" s="36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  <c r="BS193" s="9"/>
      <c r="BT193" s="9"/>
      <c r="BU193" s="9"/>
      <c r="BV193" s="9"/>
      <c r="BW193" s="9"/>
      <c r="BX193" s="9"/>
      <c r="BY193" s="9"/>
      <c r="BZ193" s="9"/>
      <c r="CA193" s="9"/>
      <c r="CB193" s="9"/>
      <c r="CC193" s="9"/>
      <c r="CD193" s="9"/>
      <c r="CE193" s="9"/>
    </row>
    <row r="194" spans="4:83" ht="11.45" customHeight="1" x14ac:dyDescent="0.2">
      <c r="D194" s="11"/>
      <c r="E194" s="11"/>
      <c r="F194" s="11"/>
      <c r="G194" s="11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46"/>
      <c r="T194" s="36"/>
      <c r="U194" s="36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  <c r="BS194" s="9"/>
      <c r="BT194" s="9"/>
      <c r="BU194" s="9"/>
      <c r="BV194" s="9"/>
      <c r="BW194" s="9"/>
      <c r="BX194" s="9"/>
      <c r="BY194" s="9"/>
      <c r="BZ194" s="9"/>
      <c r="CA194" s="9"/>
      <c r="CB194" s="9"/>
      <c r="CC194" s="9"/>
      <c r="CD194" s="9"/>
      <c r="CE194" s="9"/>
    </row>
    <row r="195" spans="4:83" ht="11.45" customHeight="1" x14ac:dyDescent="0.2">
      <c r="D195" s="11"/>
      <c r="E195" s="11"/>
      <c r="F195" s="11"/>
      <c r="G195" s="11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46"/>
      <c r="T195" s="36"/>
      <c r="U195" s="36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  <c r="BS195" s="9"/>
      <c r="BT195" s="9"/>
      <c r="BU195" s="9"/>
      <c r="BV195" s="9"/>
      <c r="BW195" s="9"/>
      <c r="BX195" s="9"/>
      <c r="BY195" s="9"/>
      <c r="BZ195" s="9"/>
      <c r="CA195" s="9"/>
      <c r="CB195" s="9"/>
      <c r="CC195" s="9"/>
      <c r="CD195" s="9"/>
      <c r="CE195" s="9"/>
    </row>
    <row r="196" spans="4:83" ht="11.45" customHeight="1" x14ac:dyDescent="0.2">
      <c r="D196" s="11"/>
      <c r="E196" s="11"/>
      <c r="F196" s="11"/>
      <c r="G196" s="11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46"/>
      <c r="T196" s="36"/>
      <c r="U196" s="36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  <c r="BS196" s="9"/>
      <c r="BT196" s="9"/>
      <c r="BU196" s="9"/>
      <c r="BV196" s="9"/>
      <c r="BW196" s="9"/>
      <c r="BX196" s="9"/>
      <c r="BY196" s="9"/>
      <c r="BZ196" s="9"/>
      <c r="CA196" s="9"/>
      <c r="CB196" s="9"/>
      <c r="CC196" s="9"/>
      <c r="CD196" s="9"/>
      <c r="CE196" s="9"/>
    </row>
    <row r="197" spans="4:83" ht="11.45" customHeight="1" x14ac:dyDescent="0.2">
      <c r="D197" s="11"/>
      <c r="E197" s="11"/>
      <c r="F197" s="11"/>
      <c r="G197" s="11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46"/>
      <c r="T197" s="36"/>
      <c r="U197" s="36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  <c r="BS197" s="9"/>
      <c r="BT197" s="9"/>
      <c r="BU197" s="9"/>
      <c r="BV197" s="9"/>
      <c r="BW197" s="9"/>
      <c r="BX197" s="9"/>
      <c r="BY197" s="9"/>
      <c r="BZ197" s="9"/>
      <c r="CA197" s="9"/>
      <c r="CB197" s="9"/>
      <c r="CC197" s="9"/>
      <c r="CD197" s="9"/>
      <c r="CE197" s="9"/>
    </row>
    <row r="198" spans="4:83" ht="11.45" customHeight="1" x14ac:dyDescent="0.2">
      <c r="D198" s="11"/>
      <c r="E198" s="11"/>
      <c r="F198" s="11"/>
      <c r="G198" s="11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46"/>
      <c r="T198" s="36"/>
      <c r="U198" s="36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  <c r="BS198" s="9"/>
      <c r="BT198" s="9"/>
      <c r="BU198" s="9"/>
      <c r="BV198" s="9"/>
      <c r="BW198" s="9"/>
      <c r="BX198" s="9"/>
      <c r="BY198" s="9"/>
      <c r="BZ198" s="9"/>
      <c r="CA198" s="9"/>
      <c r="CB198" s="9"/>
      <c r="CC198" s="9"/>
      <c r="CD198" s="9"/>
      <c r="CE198" s="9"/>
    </row>
    <row r="199" spans="4:83" ht="11.45" customHeight="1" x14ac:dyDescent="0.2">
      <c r="D199" s="11"/>
      <c r="E199" s="11"/>
      <c r="F199" s="11"/>
      <c r="G199" s="11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46"/>
      <c r="T199" s="36"/>
      <c r="U199" s="36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  <c r="BS199" s="9"/>
      <c r="BT199" s="9"/>
      <c r="BU199" s="9"/>
      <c r="BV199" s="9"/>
      <c r="BW199" s="9"/>
      <c r="BX199" s="9"/>
      <c r="BY199" s="9"/>
      <c r="BZ199" s="9"/>
      <c r="CA199" s="9"/>
      <c r="CB199" s="9"/>
      <c r="CC199" s="9"/>
      <c r="CD199" s="9"/>
      <c r="CE199" s="9"/>
    </row>
    <row r="200" spans="4:83" ht="11.45" customHeight="1" x14ac:dyDescent="0.2">
      <c r="D200" s="11"/>
      <c r="E200" s="11"/>
      <c r="F200" s="11"/>
      <c r="G200" s="11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46"/>
      <c r="T200" s="36"/>
      <c r="U200" s="36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  <c r="BS200" s="9"/>
      <c r="BT200" s="9"/>
      <c r="BU200" s="9"/>
      <c r="BV200" s="9"/>
      <c r="BW200" s="9"/>
      <c r="BX200" s="9"/>
      <c r="BY200" s="9"/>
      <c r="BZ200" s="9"/>
      <c r="CA200" s="9"/>
      <c r="CB200" s="9"/>
      <c r="CC200" s="9"/>
      <c r="CD200" s="9"/>
      <c r="CE200" s="9"/>
    </row>
    <row r="201" spans="4:83" ht="11.45" customHeight="1" x14ac:dyDescent="0.2">
      <c r="D201" s="11"/>
      <c r="E201" s="11"/>
      <c r="F201" s="11"/>
      <c r="G201" s="11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46"/>
      <c r="T201" s="36"/>
      <c r="U201" s="36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9"/>
      <c r="CB201" s="9"/>
      <c r="CC201" s="9"/>
      <c r="CD201" s="9"/>
      <c r="CE201" s="9"/>
    </row>
    <row r="202" spans="4:83" ht="11.45" customHeight="1" x14ac:dyDescent="0.2">
      <c r="D202" s="11"/>
      <c r="E202" s="11"/>
      <c r="F202" s="11"/>
      <c r="G202" s="11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46"/>
      <c r="T202" s="36"/>
      <c r="U202" s="36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  <c r="BS202" s="9"/>
      <c r="BT202" s="9"/>
      <c r="BU202" s="9"/>
      <c r="BV202" s="9"/>
      <c r="BW202" s="9"/>
      <c r="BX202" s="9"/>
      <c r="BY202" s="9"/>
      <c r="BZ202" s="9"/>
      <c r="CA202" s="9"/>
      <c r="CB202" s="9"/>
      <c r="CC202" s="9"/>
      <c r="CD202" s="9"/>
      <c r="CE202" s="9"/>
    </row>
    <row r="203" spans="4:83" ht="11.45" customHeight="1" x14ac:dyDescent="0.2">
      <c r="D203" s="11"/>
      <c r="E203" s="11"/>
      <c r="F203" s="11"/>
      <c r="G203" s="11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46"/>
      <c r="T203" s="36"/>
      <c r="U203" s="36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  <c r="BS203" s="9"/>
      <c r="BT203" s="9"/>
      <c r="BU203" s="9"/>
      <c r="BV203" s="9"/>
      <c r="BW203" s="9"/>
      <c r="BX203" s="9"/>
      <c r="BY203" s="9"/>
      <c r="BZ203" s="9"/>
      <c r="CA203" s="9"/>
      <c r="CB203" s="9"/>
      <c r="CC203" s="9"/>
      <c r="CD203" s="9"/>
      <c r="CE203" s="9"/>
    </row>
    <row r="204" spans="4:83" ht="11.45" customHeight="1" x14ac:dyDescent="0.2">
      <c r="D204" s="11"/>
      <c r="E204" s="11"/>
      <c r="F204" s="11"/>
      <c r="G204" s="11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46"/>
      <c r="T204" s="36"/>
      <c r="U204" s="36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  <c r="BS204" s="9"/>
      <c r="BT204" s="9"/>
      <c r="BU204" s="9"/>
      <c r="BV204" s="9"/>
      <c r="BW204" s="9"/>
      <c r="BX204" s="9"/>
      <c r="BY204" s="9"/>
      <c r="BZ204" s="9"/>
      <c r="CA204" s="9"/>
      <c r="CB204" s="9"/>
      <c r="CC204" s="9"/>
      <c r="CD204" s="9"/>
      <c r="CE204" s="9"/>
    </row>
    <row r="205" spans="4:83" ht="11.45" customHeight="1" x14ac:dyDescent="0.2">
      <c r="D205" s="11"/>
      <c r="E205" s="11"/>
      <c r="F205" s="11"/>
      <c r="G205" s="11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46"/>
      <c r="T205" s="36"/>
      <c r="U205" s="36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  <c r="BS205" s="9"/>
      <c r="BT205" s="9"/>
      <c r="BU205" s="9"/>
      <c r="BV205" s="9"/>
      <c r="BW205" s="9"/>
      <c r="BX205" s="9"/>
      <c r="BY205" s="9"/>
      <c r="BZ205" s="9"/>
      <c r="CA205" s="9"/>
      <c r="CB205" s="9"/>
      <c r="CC205" s="9"/>
      <c r="CD205" s="9"/>
      <c r="CE205" s="9"/>
    </row>
    <row r="206" spans="4:83" ht="11.45" customHeight="1" x14ac:dyDescent="0.2">
      <c r="D206" s="11"/>
      <c r="E206" s="11"/>
      <c r="F206" s="11"/>
      <c r="G206" s="11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46"/>
      <c r="T206" s="36"/>
      <c r="U206" s="36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  <c r="BS206" s="9"/>
      <c r="BT206" s="9"/>
      <c r="BU206" s="9"/>
      <c r="BV206" s="9"/>
      <c r="BW206" s="9"/>
      <c r="BX206" s="9"/>
      <c r="BY206" s="9"/>
      <c r="BZ206" s="9"/>
      <c r="CA206" s="9"/>
      <c r="CB206" s="9"/>
      <c r="CC206" s="9"/>
      <c r="CD206" s="9"/>
      <c r="CE206" s="9"/>
    </row>
    <row r="207" spans="4:83" ht="11.45" customHeight="1" x14ac:dyDescent="0.2">
      <c r="D207" s="11"/>
      <c r="E207" s="11"/>
      <c r="F207" s="11"/>
      <c r="G207" s="11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46"/>
      <c r="T207" s="36"/>
      <c r="U207" s="36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  <c r="CD207" s="9"/>
      <c r="CE207" s="9"/>
    </row>
    <row r="208" spans="4:83" ht="11.45" customHeight="1" x14ac:dyDescent="0.2">
      <c r="D208" s="11"/>
      <c r="E208" s="11"/>
      <c r="F208" s="11"/>
      <c r="G208" s="11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46"/>
      <c r="T208" s="36"/>
      <c r="U208" s="36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  <c r="CD208" s="9"/>
      <c r="CE208" s="9"/>
    </row>
    <row r="209" spans="4:83" ht="11.45" customHeight="1" x14ac:dyDescent="0.2">
      <c r="D209" s="11"/>
      <c r="E209" s="11"/>
      <c r="F209" s="11"/>
      <c r="G209" s="11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46"/>
      <c r="T209" s="36"/>
      <c r="U209" s="36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  <c r="BS209" s="9"/>
      <c r="BT209" s="9"/>
      <c r="BU209" s="9"/>
      <c r="BV209" s="9"/>
      <c r="BW209" s="9"/>
      <c r="BX209" s="9"/>
      <c r="BY209" s="9"/>
      <c r="BZ209" s="9"/>
      <c r="CA209" s="9"/>
      <c r="CB209" s="9"/>
      <c r="CC209" s="9"/>
      <c r="CD209" s="9"/>
      <c r="CE209" s="9"/>
    </row>
    <row r="210" spans="4:83" ht="11.45" customHeight="1" x14ac:dyDescent="0.2">
      <c r="D210" s="11"/>
      <c r="E210" s="11"/>
      <c r="F210" s="11"/>
      <c r="G210" s="11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46"/>
      <c r="T210" s="36"/>
      <c r="U210" s="36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  <c r="BS210" s="9"/>
      <c r="BT210" s="9"/>
      <c r="BU210" s="9"/>
      <c r="BV210" s="9"/>
      <c r="BW210" s="9"/>
      <c r="BX210" s="9"/>
      <c r="BY210" s="9"/>
      <c r="BZ210" s="9"/>
      <c r="CA210" s="9"/>
      <c r="CB210" s="9"/>
      <c r="CC210" s="9"/>
      <c r="CD210" s="9"/>
      <c r="CE210" s="9"/>
    </row>
    <row r="211" spans="4:83" ht="11.45" customHeight="1" x14ac:dyDescent="0.2">
      <c r="D211" s="11"/>
      <c r="E211" s="11"/>
      <c r="F211" s="11"/>
      <c r="G211" s="11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46"/>
      <c r="T211" s="36"/>
      <c r="U211" s="36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  <c r="BS211" s="9"/>
      <c r="BT211" s="9"/>
      <c r="BU211" s="9"/>
      <c r="BV211" s="9"/>
      <c r="BW211" s="9"/>
      <c r="BX211" s="9"/>
      <c r="BY211" s="9"/>
      <c r="BZ211" s="9"/>
      <c r="CA211" s="9"/>
      <c r="CB211" s="9"/>
      <c r="CC211" s="9"/>
      <c r="CD211" s="9"/>
      <c r="CE211" s="9"/>
    </row>
    <row r="212" spans="4:83" ht="11.45" customHeight="1" x14ac:dyDescent="0.2">
      <c r="D212" s="11"/>
      <c r="E212" s="11"/>
      <c r="F212" s="11"/>
      <c r="G212" s="11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46"/>
      <c r="T212" s="36"/>
      <c r="U212" s="36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  <c r="BS212" s="9"/>
      <c r="BT212" s="9"/>
      <c r="BU212" s="9"/>
      <c r="BV212" s="9"/>
      <c r="BW212" s="9"/>
      <c r="BX212" s="9"/>
      <c r="BY212" s="9"/>
      <c r="BZ212" s="9"/>
      <c r="CA212" s="9"/>
      <c r="CB212" s="9"/>
      <c r="CC212" s="9"/>
      <c r="CD212" s="9"/>
      <c r="CE212" s="9"/>
    </row>
    <row r="213" spans="4:83" ht="11.45" customHeight="1" x14ac:dyDescent="0.2">
      <c r="D213" s="11"/>
      <c r="E213" s="11"/>
      <c r="F213" s="11"/>
      <c r="G213" s="11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46"/>
      <c r="T213" s="36"/>
      <c r="U213" s="36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  <c r="CD213" s="9"/>
      <c r="CE213" s="9"/>
    </row>
    <row r="214" spans="4:83" ht="11.45" customHeight="1" x14ac:dyDescent="0.2">
      <c r="D214" s="11"/>
      <c r="E214" s="11"/>
      <c r="F214" s="11"/>
      <c r="G214" s="11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46"/>
      <c r="T214" s="36"/>
      <c r="U214" s="36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  <c r="BS214" s="9"/>
      <c r="BT214" s="9"/>
      <c r="BU214" s="9"/>
      <c r="BV214" s="9"/>
      <c r="BW214" s="9"/>
      <c r="BX214" s="9"/>
      <c r="BY214" s="9"/>
      <c r="BZ214" s="9"/>
      <c r="CA214" s="9"/>
      <c r="CB214" s="9"/>
      <c r="CC214" s="9"/>
      <c r="CD214" s="9"/>
      <c r="CE214" s="9"/>
    </row>
    <row r="215" spans="4:83" ht="11.45" customHeight="1" x14ac:dyDescent="0.2">
      <c r="D215" s="11"/>
      <c r="E215" s="11"/>
      <c r="F215" s="11"/>
      <c r="G215" s="11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46"/>
      <c r="T215" s="36"/>
      <c r="U215" s="36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  <c r="BS215" s="9"/>
      <c r="BT215" s="9"/>
      <c r="BU215" s="9"/>
      <c r="BV215" s="9"/>
      <c r="BW215" s="9"/>
      <c r="BX215" s="9"/>
      <c r="BY215" s="9"/>
      <c r="BZ215" s="9"/>
      <c r="CA215" s="9"/>
      <c r="CB215" s="9"/>
      <c r="CC215" s="9"/>
      <c r="CD215" s="9"/>
      <c r="CE215" s="9"/>
    </row>
    <row r="216" spans="4:83" ht="11.45" customHeight="1" x14ac:dyDescent="0.2">
      <c r="D216" s="11"/>
      <c r="E216" s="11"/>
      <c r="F216" s="11"/>
      <c r="G216" s="11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46"/>
      <c r="T216" s="36"/>
      <c r="U216" s="36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  <c r="BS216" s="9"/>
      <c r="BT216" s="9"/>
      <c r="BU216" s="9"/>
      <c r="BV216" s="9"/>
      <c r="BW216" s="9"/>
      <c r="BX216" s="9"/>
      <c r="BY216" s="9"/>
      <c r="BZ216" s="9"/>
      <c r="CA216" s="9"/>
      <c r="CB216" s="9"/>
      <c r="CC216" s="9"/>
      <c r="CD216" s="9"/>
      <c r="CE216" s="9"/>
    </row>
    <row r="217" spans="4:83" ht="11.45" customHeight="1" x14ac:dyDescent="0.2">
      <c r="D217" s="11"/>
      <c r="E217" s="11"/>
      <c r="F217" s="11"/>
      <c r="G217" s="11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46"/>
      <c r="T217" s="36"/>
      <c r="U217" s="36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  <c r="BS217" s="9"/>
      <c r="BT217" s="9"/>
      <c r="BU217" s="9"/>
      <c r="BV217" s="9"/>
      <c r="BW217" s="9"/>
      <c r="BX217" s="9"/>
      <c r="BY217" s="9"/>
      <c r="BZ217" s="9"/>
      <c r="CA217" s="9"/>
      <c r="CB217" s="9"/>
      <c r="CC217" s="9"/>
      <c r="CD217" s="9"/>
      <c r="CE217" s="9"/>
    </row>
    <row r="218" spans="4:83" ht="11.45" customHeight="1" x14ac:dyDescent="0.2">
      <c r="D218" s="11"/>
      <c r="E218" s="11"/>
      <c r="F218" s="11"/>
      <c r="G218" s="11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46"/>
      <c r="T218" s="36"/>
      <c r="U218" s="36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  <c r="BS218" s="9"/>
      <c r="BT218" s="9"/>
      <c r="BU218" s="9"/>
      <c r="BV218" s="9"/>
      <c r="BW218" s="9"/>
      <c r="BX218" s="9"/>
      <c r="BY218" s="9"/>
      <c r="BZ218" s="9"/>
      <c r="CA218" s="9"/>
      <c r="CB218" s="9"/>
      <c r="CC218" s="9"/>
      <c r="CD218" s="9"/>
      <c r="CE218" s="9"/>
    </row>
    <row r="219" spans="4:83" ht="11.45" customHeight="1" x14ac:dyDescent="0.2">
      <c r="D219" s="11"/>
      <c r="E219" s="11"/>
      <c r="F219" s="11"/>
      <c r="G219" s="11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46"/>
      <c r="T219" s="36"/>
      <c r="U219" s="36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  <c r="BS219" s="9"/>
      <c r="BT219" s="9"/>
      <c r="BU219" s="9"/>
      <c r="BV219" s="9"/>
      <c r="BW219" s="9"/>
      <c r="BX219" s="9"/>
      <c r="BY219" s="9"/>
      <c r="BZ219" s="9"/>
      <c r="CA219" s="9"/>
      <c r="CB219" s="9"/>
      <c r="CC219" s="9"/>
      <c r="CD219" s="9"/>
      <c r="CE219" s="9"/>
    </row>
    <row r="220" spans="4:83" ht="11.45" customHeight="1" x14ac:dyDescent="0.2">
      <c r="D220" s="11"/>
      <c r="E220" s="11"/>
      <c r="F220" s="11"/>
      <c r="G220" s="11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46"/>
      <c r="T220" s="36"/>
      <c r="U220" s="36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  <c r="BS220" s="9"/>
      <c r="BT220" s="9"/>
      <c r="BU220" s="9"/>
      <c r="BV220" s="9"/>
      <c r="BW220" s="9"/>
      <c r="BX220" s="9"/>
      <c r="BY220" s="9"/>
      <c r="BZ220" s="9"/>
      <c r="CA220" s="9"/>
      <c r="CB220" s="9"/>
      <c r="CC220" s="9"/>
      <c r="CD220" s="9"/>
      <c r="CE220" s="9"/>
    </row>
    <row r="221" spans="4:83" ht="11.45" customHeight="1" x14ac:dyDescent="0.2">
      <c r="D221" s="11"/>
      <c r="E221" s="11"/>
      <c r="F221" s="11"/>
      <c r="G221" s="11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46"/>
      <c r="T221" s="36"/>
      <c r="U221" s="36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  <c r="BS221" s="9"/>
      <c r="BT221" s="9"/>
      <c r="BU221" s="9"/>
      <c r="BV221" s="9"/>
      <c r="BW221" s="9"/>
      <c r="BX221" s="9"/>
      <c r="BY221" s="9"/>
      <c r="BZ221" s="9"/>
      <c r="CA221" s="9"/>
      <c r="CB221" s="9"/>
      <c r="CC221" s="9"/>
      <c r="CD221" s="9"/>
      <c r="CE221" s="9"/>
    </row>
    <row r="222" spans="4:83" ht="11.45" customHeight="1" x14ac:dyDescent="0.2">
      <c r="D222" s="11"/>
      <c r="E222" s="11"/>
      <c r="F222" s="11"/>
      <c r="G222" s="11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46"/>
      <c r="T222" s="36"/>
      <c r="U222" s="36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  <c r="BS222" s="9"/>
      <c r="BT222" s="9"/>
      <c r="BU222" s="9"/>
      <c r="BV222" s="9"/>
      <c r="BW222" s="9"/>
      <c r="BX222" s="9"/>
      <c r="BY222" s="9"/>
      <c r="BZ222" s="9"/>
      <c r="CA222" s="9"/>
      <c r="CB222" s="9"/>
      <c r="CC222" s="9"/>
      <c r="CD222" s="9"/>
      <c r="CE222" s="9"/>
    </row>
    <row r="223" spans="4:83" ht="11.45" customHeight="1" x14ac:dyDescent="0.2">
      <c r="D223" s="11"/>
      <c r="E223" s="11"/>
      <c r="F223" s="11"/>
      <c r="G223" s="11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46"/>
      <c r="T223" s="36"/>
      <c r="U223" s="36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  <c r="BS223" s="9"/>
      <c r="BT223" s="9"/>
      <c r="BU223" s="9"/>
      <c r="BV223" s="9"/>
      <c r="BW223" s="9"/>
      <c r="BX223" s="9"/>
      <c r="BY223" s="9"/>
      <c r="BZ223" s="9"/>
      <c r="CA223" s="9"/>
      <c r="CB223" s="9"/>
      <c r="CC223" s="9"/>
      <c r="CD223" s="9"/>
      <c r="CE223" s="9"/>
    </row>
    <row r="224" spans="4:83" ht="11.45" customHeight="1" x14ac:dyDescent="0.2">
      <c r="D224" s="11"/>
      <c r="E224" s="11"/>
      <c r="F224" s="11"/>
      <c r="G224" s="11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46"/>
      <c r="T224" s="36"/>
      <c r="U224" s="36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  <c r="BS224" s="9"/>
      <c r="BT224" s="9"/>
      <c r="BU224" s="9"/>
      <c r="BV224" s="9"/>
      <c r="BW224" s="9"/>
      <c r="BX224" s="9"/>
      <c r="BY224" s="9"/>
      <c r="BZ224" s="9"/>
      <c r="CA224" s="9"/>
      <c r="CB224" s="9"/>
      <c r="CC224" s="9"/>
      <c r="CD224" s="9"/>
      <c r="CE224" s="9"/>
    </row>
    <row r="225" spans="4:83" ht="11.45" customHeight="1" x14ac:dyDescent="0.2">
      <c r="D225" s="11"/>
      <c r="E225" s="11"/>
      <c r="F225" s="11"/>
      <c r="G225" s="11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46"/>
      <c r="T225" s="36"/>
      <c r="U225" s="36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  <c r="BS225" s="9"/>
      <c r="BT225" s="9"/>
      <c r="BU225" s="9"/>
      <c r="BV225" s="9"/>
      <c r="BW225" s="9"/>
      <c r="BX225" s="9"/>
      <c r="BY225" s="9"/>
      <c r="BZ225" s="9"/>
      <c r="CA225" s="9"/>
      <c r="CB225" s="9"/>
      <c r="CC225" s="9"/>
      <c r="CD225" s="9"/>
      <c r="CE225" s="9"/>
    </row>
    <row r="226" spans="4:83" ht="11.45" customHeight="1" x14ac:dyDescent="0.2">
      <c r="D226" s="11"/>
      <c r="E226" s="11"/>
      <c r="F226" s="11"/>
      <c r="G226" s="11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46"/>
      <c r="T226" s="36"/>
      <c r="U226" s="36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  <c r="BS226" s="9"/>
      <c r="BT226" s="9"/>
      <c r="BU226" s="9"/>
      <c r="BV226" s="9"/>
      <c r="BW226" s="9"/>
      <c r="BX226" s="9"/>
      <c r="BY226" s="9"/>
      <c r="BZ226" s="9"/>
      <c r="CA226" s="9"/>
      <c r="CB226" s="9"/>
      <c r="CC226" s="9"/>
      <c r="CD226" s="9"/>
      <c r="CE226" s="9"/>
    </row>
    <row r="227" spans="4:83" ht="11.45" customHeight="1" x14ac:dyDescent="0.2">
      <c r="D227" s="11"/>
      <c r="E227" s="11"/>
      <c r="F227" s="11"/>
      <c r="G227" s="11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46"/>
      <c r="T227" s="36"/>
      <c r="U227" s="36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  <c r="BS227" s="9"/>
      <c r="BT227" s="9"/>
      <c r="BU227" s="9"/>
      <c r="BV227" s="9"/>
      <c r="BW227" s="9"/>
      <c r="BX227" s="9"/>
      <c r="BY227" s="9"/>
      <c r="BZ227" s="9"/>
      <c r="CA227" s="9"/>
      <c r="CB227" s="9"/>
      <c r="CC227" s="9"/>
      <c r="CD227" s="9"/>
      <c r="CE227" s="9"/>
    </row>
    <row r="228" spans="4:83" ht="11.45" customHeight="1" x14ac:dyDescent="0.2">
      <c r="D228" s="11"/>
      <c r="E228" s="11"/>
      <c r="F228" s="11"/>
      <c r="G228" s="11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46"/>
      <c r="T228" s="36"/>
      <c r="U228" s="36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  <c r="BS228" s="9"/>
      <c r="BT228" s="9"/>
      <c r="BU228" s="9"/>
      <c r="BV228" s="9"/>
      <c r="BW228" s="9"/>
      <c r="BX228" s="9"/>
      <c r="BY228" s="9"/>
      <c r="BZ228" s="9"/>
      <c r="CA228" s="9"/>
      <c r="CB228" s="9"/>
      <c r="CC228" s="9"/>
      <c r="CD228" s="9"/>
      <c r="CE228" s="9"/>
    </row>
    <row r="229" spans="4:83" ht="11.45" customHeight="1" x14ac:dyDescent="0.2">
      <c r="D229" s="11"/>
      <c r="E229" s="11"/>
      <c r="F229" s="11"/>
      <c r="G229" s="11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46"/>
      <c r="T229" s="36"/>
      <c r="U229" s="36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  <c r="BS229" s="9"/>
      <c r="BT229" s="9"/>
      <c r="BU229" s="9"/>
      <c r="BV229" s="9"/>
      <c r="BW229" s="9"/>
      <c r="BX229" s="9"/>
      <c r="BY229" s="9"/>
      <c r="BZ229" s="9"/>
      <c r="CA229" s="9"/>
      <c r="CB229" s="9"/>
      <c r="CC229" s="9"/>
      <c r="CD229" s="9"/>
      <c r="CE229" s="9"/>
    </row>
    <row r="230" spans="4:83" ht="11.45" customHeight="1" x14ac:dyDescent="0.2">
      <c r="D230" s="11"/>
      <c r="E230" s="11"/>
      <c r="F230" s="11"/>
      <c r="G230" s="11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46"/>
      <c r="T230" s="36"/>
      <c r="U230" s="36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  <c r="BS230" s="9"/>
      <c r="BT230" s="9"/>
      <c r="BU230" s="9"/>
      <c r="BV230" s="9"/>
      <c r="BW230" s="9"/>
      <c r="BX230" s="9"/>
      <c r="BY230" s="9"/>
      <c r="BZ230" s="9"/>
      <c r="CA230" s="9"/>
      <c r="CB230" s="9"/>
      <c r="CC230" s="9"/>
      <c r="CD230" s="9"/>
      <c r="CE230" s="9"/>
    </row>
    <row r="231" spans="4:83" ht="11.45" customHeight="1" x14ac:dyDescent="0.2">
      <c r="D231" s="11"/>
      <c r="E231" s="11"/>
      <c r="F231" s="11"/>
      <c r="G231" s="11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46"/>
      <c r="T231" s="36"/>
      <c r="U231" s="36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  <c r="BS231" s="9"/>
      <c r="BT231" s="9"/>
      <c r="BU231" s="9"/>
      <c r="BV231" s="9"/>
      <c r="BW231" s="9"/>
      <c r="BX231" s="9"/>
      <c r="BY231" s="9"/>
      <c r="BZ231" s="9"/>
      <c r="CA231" s="9"/>
      <c r="CB231" s="9"/>
      <c r="CC231" s="9"/>
      <c r="CD231" s="9"/>
      <c r="CE231" s="9"/>
    </row>
    <row r="232" spans="4:83" ht="11.45" customHeight="1" x14ac:dyDescent="0.2">
      <c r="D232" s="11"/>
      <c r="E232" s="11"/>
      <c r="F232" s="11"/>
      <c r="G232" s="11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46"/>
      <c r="T232" s="36"/>
      <c r="U232" s="36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  <c r="BS232" s="9"/>
      <c r="BT232" s="9"/>
      <c r="BU232" s="9"/>
      <c r="BV232" s="9"/>
      <c r="BW232" s="9"/>
      <c r="BX232" s="9"/>
      <c r="BY232" s="9"/>
      <c r="BZ232" s="9"/>
      <c r="CA232" s="9"/>
      <c r="CB232" s="9"/>
      <c r="CC232" s="9"/>
      <c r="CD232" s="9"/>
      <c r="CE232" s="9"/>
    </row>
    <row r="233" spans="4:83" ht="11.45" customHeight="1" x14ac:dyDescent="0.2">
      <c r="D233" s="11"/>
      <c r="E233" s="11"/>
      <c r="F233" s="11"/>
      <c r="G233" s="11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46"/>
      <c r="T233" s="36"/>
      <c r="U233" s="36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  <c r="BS233" s="9"/>
      <c r="BT233" s="9"/>
      <c r="BU233" s="9"/>
      <c r="BV233" s="9"/>
      <c r="BW233" s="9"/>
      <c r="BX233" s="9"/>
      <c r="BY233" s="9"/>
      <c r="BZ233" s="9"/>
      <c r="CA233" s="9"/>
      <c r="CB233" s="9"/>
      <c r="CC233" s="9"/>
      <c r="CD233" s="9"/>
      <c r="CE233" s="9"/>
    </row>
    <row r="234" spans="4:83" ht="11.45" customHeight="1" x14ac:dyDescent="0.2">
      <c r="D234" s="11"/>
      <c r="E234" s="11"/>
      <c r="F234" s="11"/>
      <c r="G234" s="11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46"/>
      <c r="T234" s="36"/>
      <c r="U234" s="36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  <c r="BS234" s="9"/>
      <c r="BT234" s="9"/>
      <c r="BU234" s="9"/>
      <c r="BV234" s="9"/>
      <c r="BW234" s="9"/>
      <c r="BX234" s="9"/>
      <c r="BY234" s="9"/>
      <c r="BZ234" s="9"/>
      <c r="CA234" s="9"/>
      <c r="CB234" s="9"/>
      <c r="CC234" s="9"/>
      <c r="CD234" s="9"/>
      <c r="CE234" s="9"/>
    </row>
    <row r="235" spans="4:83" ht="11.45" customHeight="1" x14ac:dyDescent="0.2">
      <c r="D235" s="11"/>
      <c r="E235" s="11"/>
      <c r="F235" s="11"/>
      <c r="G235" s="11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46"/>
      <c r="T235" s="36"/>
      <c r="U235" s="36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  <c r="BS235" s="9"/>
      <c r="BT235" s="9"/>
      <c r="BU235" s="9"/>
      <c r="BV235" s="9"/>
      <c r="BW235" s="9"/>
      <c r="BX235" s="9"/>
      <c r="BY235" s="9"/>
      <c r="BZ235" s="9"/>
      <c r="CA235" s="9"/>
      <c r="CB235" s="9"/>
      <c r="CC235" s="9"/>
      <c r="CD235" s="9"/>
      <c r="CE235" s="9"/>
    </row>
    <row r="236" spans="4:83" ht="11.45" customHeight="1" x14ac:dyDescent="0.2">
      <c r="D236" s="11"/>
      <c r="E236" s="11"/>
      <c r="F236" s="11"/>
      <c r="G236" s="11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46"/>
      <c r="T236" s="36"/>
      <c r="U236" s="36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  <c r="BS236" s="9"/>
      <c r="BT236" s="9"/>
      <c r="BU236" s="9"/>
      <c r="BV236" s="9"/>
      <c r="BW236" s="9"/>
      <c r="BX236" s="9"/>
      <c r="BY236" s="9"/>
      <c r="BZ236" s="9"/>
      <c r="CA236" s="9"/>
      <c r="CB236" s="9"/>
      <c r="CC236" s="9"/>
      <c r="CD236" s="9"/>
      <c r="CE236" s="9"/>
    </row>
    <row r="237" spans="4:83" ht="11.45" customHeight="1" x14ac:dyDescent="0.2">
      <c r="D237" s="11"/>
      <c r="E237" s="11"/>
      <c r="F237" s="11"/>
      <c r="G237" s="11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46"/>
      <c r="T237" s="36"/>
      <c r="U237" s="36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  <c r="BS237" s="9"/>
      <c r="BT237" s="9"/>
      <c r="BU237" s="9"/>
      <c r="BV237" s="9"/>
      <c r="BW237" s="9"/>
      <c r="BX237" s="9"/>
      <c r="BY237" s="9"/>
      <c r="BZ237" s="9"/>
      <c r="CA237" s="9"/>
      <c r="CB237" s="9"/>
      <c r="CC237" s="9"/>
      <c r="CD237" s="9"/>
      <c r="CE237" s="9"/>
    </row>
    <row r="238" spans="4:83" ht="11.45" customHeight="1" x14ac:dyDescent="0.2">
      <c r="D238" s="11"/>
      <c r="E238" s="11"/>
      <c r="F238" s="11"/>
      <c r="G238" s="11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46"/>
      <c r="T238" s="36"/>
      <c r="U238" s="36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  <c r="BS238" s="9"/>
      <c r="BT238" s="9"/>
      <c r="BU238" s="9"/>
      <c r="BV238" s="9"/>
      <c r="BW238" s="9"/>
      <c r="BX238" s="9"/>
      <c r="BY238" s="9"/>
      <c r="BZ238" s="9"/>
      <c r="CA238" s="9"/>
      <c r="CB238" s="9"/>
      <c r="CC238" s="9"/>
      <c r="CD238" s="9"/>
      <c r="CE238" s="9"/>
    </row>
    <row r="239" spans="4:83" ht="11.45" customHeight="1" x14ac:dyDescent="0.2">
      <c r="D239" s="11"/>
      <c r="E239" s="11"/>
      <c r="F239" s="11"/>
      <c r="G239" s="11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46"/>
      <c r="T239" s="36"/>
      <c r="U239" s="36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  <c r="BS239" s="9"/>
      <c r="BT239" s="9"/>
      <c r="BU239" s="9"/>
      <c r="BV239" s="9"/>
      <c r="BW239" s="9"/>
      <c r="BX239" s="9"/>
      <c r="BY239" s="9"/>
      <c r="BZ239" s="9"/>
      <c r="CA239" s="9"/>
      <c r="CB239" s="9"/>
      <c r="CC239" s="9"/>
      <c r="CD239" s="9"/>
      <c r="CE239" s="9"/>
    </row>
    <row r="240" spans="4:83" ht="11.45" customHeight="1" x14ac:dyDescent="0.2">
      <c r="D240" s="11"/>
      <c r="E240" s="11"/>
      <c r="F240" s="11"/>
      <c r="G240" s="11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46"/>
      <c r="T240" s="36"/>
      <c r="U240" s="36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  <c r="CE240" s="9"/>
    </row>
    <row r="241" spans="4:83" ht="11.45" customHeight="1" x14ac:dyDescent="0.2">
      <c r="D241" s="11"/>
      <c r="E241" s="11"/>
      <c r="F241" s="11"/>
      <c r="G241" s="11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46"/>
      <c r="T241" s="36"/>
      <c r="U241" s="36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  <c r="BS241" s="9"/>
      <c r="BT241" s="9"/>
      <c r="BU241" s="9"/>
      <c r="BV241" s="9"/>
      <c r="BW241" s="9"/>
      <c r="BX241" s="9"/>
      <c r="BY241" s="9"/>
      <c r="BZ241" s="9"/>
      <c r="CA241" s="9"/>
      <c r="CB241" s="9"/>
      <c r="CC241" s="9"/>
      <c r="CD241" s="9"/>
      <c r="CE241" s="9"/>
    </row>
    <row r="242" spans="4:83" ht="11.45" customHeight="1" x14ac:dyDescent="0.2">
      <c r="D242" s="11"/>
      <c r="E242" s="11"/>
      <c r="F242" s="11"/>
      <c r="G242" s="11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46"/>
      <c r="T242" s="36"/>
      <c r="U242" s="36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  <c r="BS242" s="9"/>
      <c r="BT242" s="9"/>
      <c r="BU242" s="9"/>
      <c r="BV242" s="9"/>
      <c r="BW242" s="9"/>
      <c r="BX242" s="9"/>
      <c r="BY242" s="9"/>
      <c r="BZ242" s="9"/>
      <c r="CA242" s="9"/>
      <c r="CB242" s="9"/>
      <c r="CC242" s="9"/>
      <c r="CD242" s="9"/>
      <c r="CE242" s="9"/>
    </row>
    <row r="243" spans="4:83" ht="11.45" customHeight="1" x14ac:dyDescent="0.2">
      <c r="D243" s="11"/>
      <c r="E243" s="11"/>
      <c r="F243" s="11"/>
      <c r="G243" s="11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46"/>
      <c r="T243" s="36"/>
      <c r="U243" s="36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  <c r="BS243" s="9"/>
      <c r="BT243" s="9"/>
      <c r="BU243" s="9"/>
      <c r="BV243" s="9"/>
      <c r="BW243" s="9"/>
      <c r="BX243" s="9"/>
      <c r="BY243" s="9"/>
      <c r="BZ243" s="9"/>
      <c r="CA243" s="9"/>
      <c r="CB243" s="9"/>
      <c r="CC243" s="9"/>
      <c r="CD243" s="9"/>
      <c r="CE243" s="9"/>
    </row>
    <row r="244" spans="4:83" ht="11.45" customHeight="1" x14ac:dyDescent="0.2">
      <c r="D244" s="11"/>
      <c r="E244" s="11"/>
      <c r="F244" s="11"/>
      <c r="G244" s="11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46"/>
      <c r="T244" s="36"/>
      <c r="U244" s="36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  <c r="BS244" s="9"/>
      <c r="BT244" s="9"/>
      <c r="BU244" s="9"/>
      <c r="BV244" s="9"/>
      <c r="BW244" s="9"/>
      <c r="BX244" s="9"/>
      <c r="BY244" s="9"/>
      <c r="BZ244" s="9"/>
      <c r="CA244" s="9"/>
      <c r="CB244" s="9"/>
      <c r="CC244" s="9"/>
      <c r="CD244" s="9"/>
      <c r="CE244" s="9"/>
    </row>
    <row r="245" spans="4:83" ht="11.45" customHeight="1" x14ac:dyDescent="0.2">
      <c r="D245" s="11"/>
      <c r="E245" s="11"/>
      <c r="F245" s="11"/>
      <c r="G245" s="11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46"/>
      <c r="T245" s="36"/>
      <c r="U245" s="36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  <c r="CE245" s="9"/>
    </row>
    <row r="246" spans="4:83" ht="11.45" customHeight="1" x14ac:dyDescent="0.2">
      <c r="D246" s="11"/>
      <c r="E246" s="11"/>
      <c r="F246" s="11"/>
      <c r="G246" s="11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46"/>
      <c r="T246" s="36"/>
      <c r="U246" s="36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  <c r="BS246" s="9"/>
      <c r="BT246" s="9"/>
      <c r="BU246" s="9"/>
      <c r="BV246" s="9"/>
      <c r="BW246" s="9"/>
      <c r="BX246" s="9"/>
      <c r="BY246" s="9"/>
      <c r="BZ246" s="9"/>
      <c r="CA246" s="9"/>
      <c r="CB246" s="9"/>
      <c r="CC246" s="9"/>
      <c r="CD246" s="9"/>
      <c r="CE246" s="9"/>
    </row>
    <row r="247" spans="4:83" ht="11.45" customHeight="1" x14ac:dyDescent="0.2">
      <c r="D247" s="11"/>
      <c r="E247" s="11"/>
      <c r="F247" s="11"/>
      <c r="G247" s="11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46"/>
      <c r="T247" s="36"/>
      <c r="U247" s="36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  <c r="BS247" s="9"/>
      <c r="BT247" s="9"/>
      <c r="BU247" s="9"/>
      <c r="BV247" s="9"/>
      <c r="BW247" s="9"/>
      <c r="BX247" s="9"/>
      <c r="BY247" s="9"/>
      <c r="BZ247" s="9"/>
      <c r="CA247" s="9"/>
      <c r="CB247" s="9"/>
      <c r="CC247" s="9"/>
      <c r="CD247" s="9"/>
      <c r="CE247" s="9"/>
    </row>
    <row r="248" spans="4:83" ht="11.45" customHeight="1" x14ac:dyDescent="0.2">
      <c r="D248" s="11"/>
      <c r="E248" s="11"/>
      <c r="F248" s="11"/>
      <c r="G248" s="11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46"/>
      <c r="T248" s="36"/>
      <c r="U248" s="36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  <c r="BS248" s="9"/>
      <c r="BT248" s="9"/>
      <c r="BU248" s="9"/>
      <c r="BV248" s="9"/>
      <c r="BW248" s="9"/>
      <c r="BX248" s="9"/>
      <c r="BY248" s="9"/>
      <c r="BZ248" s="9"/>
      <c r="CA248" s="9"/>
      <c r="CB248" s="9"/>
      <c r="CC248" s="9"/>
      <c r="CD248" s="9"/>
      <c r="CE248" s="9"/>
    </row>
    <row r="249" spans="4:83" ht="11.45" customHeight="1" x14ac:dyDescent="0.2">
      <c r="D249" s="11"/>
      <c r="E249" s="11"/>
      <c r="F249" s="11"/>
      <c r="G249" s="11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46"/>
      <c r="T249" s="36"/>
      <c r="U249" s="36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  <c r="BS249" s="9"/>
      <c r="BT249" s="9"/>
      <c r="BU249" s="9"/>
      <c r="BV249" s="9"/>
      <c r="BW249" s="9"/>
      <c r="BX249" s="9"/>
      <c r="BY249" s="9"/>
      <c r="BZ249" s="9"/>
      <c r="CA249" s="9"/>
      <c r="CB249" s="9"/>
      <c r="CC249" s="9"/>
      <c r="CD249" s="9"/>
      <c r="CE249" s="9"/>
    </row>
    <row r="250" spans="4:83" ht="11.45" customHeight="1" x14ac:dyDescent="0.2">
      <c r="D250" s="11"/>
      <c r="E250" s="11"/>
      <c r="F250" s="11"/>
      <c r="G250" s="11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46"/>
      <c r="T250" s="36"/>
      <c r="U250" s="36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  <c r="BS250" s="9"/>
      <c r="BT250" s="9"/>
      <c r="BU250" s="9"/>
      <c r="BV250" s="9"/>
      <c r="BW250" s="9"/>
      <c r="BX250" s="9"/>
      <c r="BY250" s="9"/>
      <c r="BZ250" s="9"/>
      <c r="CA250" s="9"/>
      <c r="CB250" s="9"/>
      <c r="CC250" s="9"/>
      <c r="CD250" s="9"/>
      <c r="CE250" s="9"/>
    </row>
    <row r="251" spans="4:83" ht="11.45" customHeight="1" x14ac:dyDescent="0.2">
      <c r="D251" s="11"/>
      <c r="E251" s="11"/>
      <c r="F251" s="11"/>
      <c r="G251" s="11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46"/>
      <c r="T251" s="36"/>
      <c r="U251" s="36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  <c r="BS251" s="9"/>
      <c r="BT251" s="9"/>
      <c r="BU251" s="9"/>
      <c r="BV251" s="9"/>
      <c r="BW251" s="9"/>
      <c r="BX251" s="9"/>
      <c r="BY251" s="9"/>
      <c r="BZ251" s="9"/>
      <c r="CA251" s="9"/>
      <c r="CB251" s="9"/>
      <c r="CC251" s="9"/>
      <c r="CD251" s="9"/>
      <c r="CE251" s="9"/>
    </row>
    <row r="252" spans="4:83" ht="11.45" customHeight="1" x14ac:dyDescent="0.2">
      <c r="D252" s="11"/>
      <c r="E252" s="11"/>
      <c r="F252" s="11"/>
      <c r="G252" s="11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46"/>
      <c r="T252" s="36"/>
      <c r="U252" s="36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  <c r="BS252" s="9"/>
      <c r="BT252" s="9"/>
      <c r="BU252" s="9"/>
      <c r="BV252" s="9"/>
      <c r="BW252" s="9"/>
      <c r="BX252" s="9"/>
      <c r="BY252" s="9"/>
      <c r="BZ252" s="9"/>
      <c r="CA252" s="9"/>
      <c r="CB252" s="9"/>
      <c r="CC252" s="9"/>
      <c r="CD252" s="9"/>
      <c r="CE252" s="9"/>
    </row>
    <row r="253" spans="4:83" ht="11.45" customHeight="1" x14ac:dyDescent="0.2">
      <c r="D253" s="11"/>
      <c r="E253" s="11"/>
      <c r="F253" s="11"/>
      <c r="G253" s="11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46"/>
      <c r="T253" s="36"/>
      <c r="U253" s="36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  <c r="BS253" s="9"/>
      <c r="BT253" s="9"/>
      <c r="BU253" s="9"/>
      <c r="BV253" s="9"/>
      <c r="BW253" s="9"/>
      <c r="BX253" s="9"/>
      <c r="BY253" s="9"/>
      <c r="BZ253" s="9"/>
      <c r="CA253" s="9"/>
      <c r="CB253" s="9"/>
      <c r="CC253" s="9"/>
      <c r="CD253" s="9"/>
      <c r="CE253" s="9"/>
    </row>
    <row r="254" spans="4:83" ht="11.45" customHeight="1" x14ac:dyDescent="0.2">
      <c r="D254" s="11"/>
      <c r="E254" s="11"/>
      <c r="F254" s="11"/>
      <c r="G254" s="11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46"/>
      <c r="T254" s="36"/>
      <c r="U254" s="36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  <c r="BS254" s="9"/>
      <c r="BT254" s="9"/>
      <c r="BU254" s="9"/>
      <c r="BV254" s="9"/>
      <c r="BW254" s="9"/>
      <c r="BX254" s="9"/>
      <c r="BY254" s="9"/>
      <c r="BZ254" s="9"/>
      <c r="CA254" s="9"/>
      <c r="CB254" s="9"/>
      <c r="CC254" s="9"/>
      <c r="CD254" s="9"/>
      <c r="CE254" s="9"/>
    </row>
    <row r="255" spans="4:83" ht="11.45" customHeight="1" x14ac:dyDescent="0.2">
      <c r="D255" s="11"/>
      <c r="E255" s="11"/>
      <c r="F255" s="11"/>
      <c r="G255" s="11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46"/>
      <c r="T255" s="36"/>
      <c r="U255" s="36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  <c r="BS255" s="9"/>
      <c r="BT255" s="9"/>
      <c r="BU255" s="9"/>
      <c r="BV255" s="9"/>
      <c r="BW255" s="9"/>
      <c r="BX255" s="9"/>
      <c r="BY255" s="9"/>
      <c r="BZ255" s="9"/>
      <c r="CA255" s="9"/>
      <c r="CB255" s="9"/>
      <c r="CC255" s="9"/>
      <c r="CD255" s="9"/>
      <c r="CE255" s="9"/>
    </row>
    <row r="256" spans="4:83" ht="11.45" customHeight="1" x14ac:dyDescent="0.2">
      <c r="D256" s="11"/>
      <c r="E256" s="11"/>
      <c r="F256" s="11"/>
      <c r="G256" s="11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46"/>
      <c r="T256" s="36"/>
      <c r="U256" s="36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  <c r="BS256" s="9"/>
      <c r="BT256" s="9"/>
      <c r="BU256" s="9"/>
      <c r="BV256" s="9"/>
      <c r="BW256" s="9"/>
      <c r="BX256" s="9"/>
      <c r="BY256" s="9"/>
      <c r="BZ256" s="9"/>
      <c r="CA256" s="9"/>
      <c r="CB256" s="9"/>
      <c r="CC256" s="9"/>
      <c r="CD256" s="9"/>
      <c r="CE256" s="9"/>
    </row>
    <row r="257" spans="4:83" ht="11.45" customHeight="1" x14ac:dyDescent="0.2">
      <c r="D257" s="11"/>
      <c r="E257" s="11"/>
      <c r="F257" s="11"/>
      <c r="G257" s="11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46"/>
      <c r="T257" s="36"/>
      <c r="U257" s="36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  <c r="BS257" s="9"/>
      <c r="BT257" s="9"/>
      <c r="BU257" s="9"/>
      <c r="BV257" s="9"/>
      <c r="BW257" s="9"/>
      <c r="BX257" s="9"/>
      <c r="BY257" s="9"/>
      <c r="BZ257" s="9"/>
      <c r="CA257" s="9"/>
      <c r="CB257" s="9"/>
      <c r="CC257" s="9"/>
      <c r="CD257" s="9"/>
      <c r="CE257" s="9"/>
    </row>
    <row r="258" spans="4:83" ht="11.45" customHeight="1" x14ac:dyDescent="0.2">
      <c r="D258" s="11"/>
      <c r="E258" s="11"/>
      <c r="F258" s="11"/>
      <c r="G258" s="11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46"/>
      <c r="T258" s="36"/>
      <c r="U258" s="36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  <c r="BS258" s="9"/>
      <c r="BT258" s="9"/>
      <c r="BU258" s="9"/>
      <c r="BV258" s="9"/>
      <c r="BW258" s="9"/>
      <c r="BX258" s="9"/>
      <c r="BY258" s="9"/>
      <c r="BZ258" s="9"/>
      <c r="CA258" s="9"/>
      <c r="CB258" s="9"/>
      <c r="CC258" s="9"/>
      <c r="CD258" s="9"/>
      <c r="CE258" s="9"/>
    </row>
    <row r="259" spans="4:83" ht="11.45" customHeight="1" x14ac:dyDescent="0.2">
      <c r="D259" s="11"/>
      <c r="E259" s="11"/>
      <c r="F259" s="11"/>
      <c r="G259" s="11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46"/>
      <c r="T259" s="36"/>
      <c r="U259" s="36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  <c r="BS259" s="9"/>
      <c r="BT259" s="9"/>
      <c r="BU259" s="9"/>
      <c r="BV259" s="9"/>
      <c r="BW259" s="9"/>
      <c r="BX259" s="9"/>
      <c r="BY259" s="9"/>
      <c r="BZ259" s="9"/>
      <c r="CA259" s="9"/>
      <c r="CB259" s="9"/>
      <c r="CC259" s="9"/>
      <c r="CD259" s="9"/>
      <c r="CE259" s="9"/>
    </row>
    <row r="260" spans="4:83" ht="11.45" customHeight="1" x14ac:dyDescent="0.2">
      <c r="D260" s="11"/>
      <c r="E260" s="11"/>
      <c r="F260" s="11"/>
      <c r="G260" s="11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46"/>
      <c r="T260" s="36"/>
      <c r="U260" s="36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  <c r="BS260" s="9"/>
      <c r="BT260" s="9"/>
      <c r="BU260" s="9"/>
      <c r="BV260" s="9"/>
      <c r="BW260" s="9"/>
      <c r="BX260" s="9"/>
      <c r="BY260" s="9"/>
      <c r="BZ260" s="9"/>
      <c r="CA260" s="9"/>
      <c r="CB260" s="9"/>
      <c r="CC260" s="9"/>
      <c r="CD260" s="9"/>
      <c r="CE260" s="9"/>
    </row>
    <row r="261" spans="4:83" ht="11.45" customHeight="1" x14ac:dyDescent="0.2">
      <c r="D261" s="11"/>
      <c r="E261" s="11"/>
      <c r="F261" s="11"/>
      <c r="G261" s="11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46"/>
      <c r="T261" s="36"/>
      <c r="U261" s="36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  <c r="BS261" s="9"/>
      <c r="BT261" s="9"/>
      <c r="BU261" s="9"/>
      <c r="BV261" s="9"/>
      <c r="BW261" s="9"/>
      <c r="BX261" s="9"/>
      <c r="BY261" s="9"/>
      <c r="BZ261" s="9"/>
      <c r="CA261" s="9"/>
      <c r="CB261" s="9"/>
      <c r="CC261" s="9"/>
      <c r="CD261" s="9"/>
      <c r="CE261" s="9"/>
    </row>
    <row r="262" spans="4:83" ht="11.45" customHeight="1" x14ac:dyDescent="0.2">
      <c r="D262" s="11"/>
      <c r="E262" s="11"/>
      <c r="F262" s="11"/>
      <c r="G262" s="11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46"/>
      <c r="T262" s="36"/>
      <c r="U262" s="36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  <c r="BS262" s="9"/>
      <c r="BT262" s="9"/>
      <c r="BU262" s="9"/>
      <c r="BV262" s="9"/>
      <c r="BW262" s="9"/>
      <c r="BX262" s="9"/>
      <c r="BY262" s="9"/>
      <c r="BZ262" s="9"/>
      <c r="CA262" s="9"/>
      <c r="CB262" s="9"/>
      <c r="CC262" s="9"/>
      <c r="CD262" s="9"/>
      <c r="CE262" s="9"/>
    </row>
    <row r="263" spans="4:83" ht="11.45" customHeight="1" x14ac:dyDescent="0.2">
      <c r="D263" s="11"/>
      <c r="E263" s="11"/>
      <c r="F263" s="11"/>
      <c r="G263" s="11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46"/>
      <c r="T263" s="36"/>
      <c r="U263" s="36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  <c r="BS263" s="9"/>
      <c r="BT263" s="9"/>
      <c r="BU263" s="9"/>
      <c r="BV263" s="9"/>
      <c r="BW263" s="9"/>
      <c r="BX263" s="9"/>
      <c r="BY263" s="9"/>
      <c r="BZ263" s="9"/>
      <c r="CA263" s="9"/>
      <c r="CB263" s="9"/>
      <c r="CC263" s="9"/>
      <c r="CD263" s="9"/>
      <c r="CE263" s="9"/>
    </row>
    <row r="264" spans="4:83" ht="11.45" customHeight="1" x14ac:dyDescent="0.2">
      <c r="D264" s="11"/>
      <c r="E264" s="11"/>
      <c r="F264" s="11"/>
      <c r="G264" s="11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46"/>
      <c r="T264" s="36"/>
      <c r="U264" s="36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  <c r="BS264" s="9"/>
      <c r="BT264" s="9"/>
      <c r="BU264" s="9"/>
      <c r="BV264" s="9"/>
      <c r="BW264" s="9"/>
      <c r="BX264" s="9"/>
      <c r="BY264" s="9"/>
      <c r="BZ264" s="9"/>
      <c r="CA264" s="9"/>
      <c r="CB264" s="9"/>
      <c r="CC264" s="9"/>
      <c r="CD264" s="9"/>
      <c r="CE264" s="9"/>
    </row>
    <row r="265" spans="4:83" ht="11.45" customHeight="1" x14ac:dyDescent="0.2">
      <c r="D265" s="11"/>
      <c r="E265" s="11"/>
      <c r="F265" s="11"/>
      <c r="G265" s="11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46"/>
      <c r="T265" s="36"/>
      <c r="U265" s="36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  <c r="BS265" s="9"/>
      <c r="BT265" s="9"/>
      <c r="BU265" s="9"/>
      <c r="BV265" s="9"/>
      <c r="BW265" s="9"/>
      <c r="BX265" s="9"/>
      <c r="BY265" s="9"/>
      <c r="BZ265" s="9"/>
      <c r="CA265" s="9"/>
      <c r="CB265" s="9"/>
      <c r="CC265" s="9"/>
      <c r="CD265" s="9"/>
      <c r="CE265" s="9"/>
    </row>
    <row r="266" spans="4:83" ht="11.45" customHeight="1" x14ac:dyDescent="0.2">
      <c r="D266" s="11"/>
      <c r="E266" s="11"/>
      <c r="F266" s="11"/>
      <c r="G266" s="11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46"/>
      <c r="T266" s="36"/>
      <c r="U266" s="36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  <c r="BS266" s="9"/>
      <c r="BT266" s="9"/>
      <c r="BU266" s="9"/>
      <c r="BV266" s="9"/>
      <c r="BW266" s="9"/>
      <c r="BX266" s="9"/>
      <c r="BY266" s="9"/>
      <c r="BZ266" s="9"/>
      <c r="CA266" s="9"/>
      <c r="CB266" s="9"/>
      <c r="CC266" s="9"/>
      <c r="CD266" s="9"/>
      <c r="CE266" s="9"/>
    </row>
    <row r="267" spans="4:83" ht="11.45" customHeight="1" x14ac:dyDescent="0.2">
      <c r="D267" s="11"/>
      <c r="E267" s="11"/>
      <c r="F267" s="11"/>
      <c r="G267" s="11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46"/>
      <c r="T267" s="36"/>
      <c r="U267" s="36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  <c r="BS267" s="9"/>
      <c r="BT267" s="9"/>
      <c r="BU267" s="9"/>
      <c r="BV267" s="9"/>
      <c r="BW267" s="9"/>
      <c r="BX267" s="9"/>
      <c r="BY267" s="9"/>
      <c r="BZ267" s="9"/>
      <c r="CA267" s="9"/>
      <c r="CB267" s="9"/>
      <c r="CC267" s="9"/>
      <c r="CD267" s="9"/>
      <c r="CE267" s="9"/>
    </row>
    <row r="268" spans="4:83" ht="11.45" customHeight="1" x14ac:dyDescent="0.2">
      <c r="D268" s="11"/>
      <c r="E268" s="11"/>
      <c r="F268" s="11"/>
      <c r="G268" s="11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46"/>
      <c r="T268" s="36"/>
      <c r="U268" s="36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  <c r="BS268" s="9"/>
      <c r="BT268" s="9"/>
      <c r="BU268" s="9"/>
      <c r="BV268" s="9"/>
      <c r="BW268" s="9"/>
      <c r="BX268" s="9"/>
      <c r="BY268" s="9"/>
      <c r="BZ268" s="9"/>
      <c r="CA268" s="9"/>
      <c r="CB268" s="9"/>
      <c r="CC268" s="9"/>
      <c r="CD268" s="9"/>
      <c r="CE268" s="9"/>
    </row>
    <row r="269" spans="4:83" ht="11.45" customHeight="1" x14ac:dyDescent="0.2">
      <c r="D269" s="11"/>
      <c r="E269" s="11"/>
      <c r="F269" s="11"/>
      <c r="G269" s="11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46"/>
      <c r="T269" s="36"/>
      <c r="U269" s="36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  <c r="BS269" s="9"/>
      <c r="BT269" s="9"/>
      <c r="BU269" s="9"/>
      <c r="BV269" s="9"/>
      <c r="BW269" s="9"/>
      <c r="BX269" s="9"/>
      <c r="BY269" s="9"/>
      <c r="BZ269" s="9"/>
      <c r="CA269" s="9"/>
      <c r="CB269" s="9"/>
      <c r="CC269" s="9"/>
      <c r="CD269" s="9"/>
      <c r="CE269" s="9"/>
    </row>
    <row r="270" spans="4:83" ht="11.45" customHeight="1" x14ac:dyDescent="0.2">
      <c r="D270" s="11"/>
      <c r="E270" s="11"/>
      <c r="F270" s="11"/>
      <c r="G270" s="11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46"/>
      <c r="T270" s="36"/>
      <c r="U270" s="36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  <c r="BS270" s="9"/>
      <c r="BT270" s="9"/>
      <c r="BU270" s="9"/>
      <c r="BV270" s="9"/>
      <c r="BW270" s="9"/>
      <c r="BX270" s="9"/>
      <c r="BY270" s="9"/>
      <c r="BZ270" s="9"/>
      <c r="CA270" s="9"/>
      <c r="CB270" s="9"/>
      <c r="CC270" s="9"/>
      <c r="CD270" s="9"/>
      <c r="CE270" s="9"/>
    </row>
    <row r="271" spans="4:83" ht="11.45" customHeight="1" x14ac:dyDescent="0.2">
      <c r="D271" s="11"/>
      <c r="E271" s="11"/>
      <c r="F271" s="11"/>
      <c r="G271" s="11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46"/>
      <c r="T271" s="36"/>
      <c r="U271" s="36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  <c r="BS271" s="9"/>
      <c r="BT271" s="9"/>
      <c r="BU271" s="9"/>
      <c r="BV271" s="9"/>
      <c r="BW271" s="9"/>
      <c r="BX271" s="9"/>
      <c r="BY271" s="9"/>
      <c r="BZ271" s="9"/>
      <c r="CA271" s="9"/>
      <c r="CB271" s="9"/>
      <c r="CC271" s="9"/>
      <c r="CD271" s="9"/>
      <c r="CE271" s="9"/>
    </row>
    <row r="272" spans="4:83" ht="11.45" customHeight="1" x14ac:dyDescent="0.2">
      <c r="D272" s="11"/>
      <c r="E272" s="11"/>
      <c r="F272" s="11"/>
      <c r="G272" s="11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46"/>
      <c r="T272" s="36"/>
      <c r="U272" s="36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  <c r="BS272" s="9"/>
      <c r="BT272" s="9"/>
      <c r="BU272" s="9"/>
      <c r="BV272" s="9"/>
      <c r="BW272" s="9"/>
      <c r="BX272" s="9"/>
      <c r="BY272" s="9"/>
      <c r="BZ272" s="9"/>
      <c r="CA272" s="9"/>
      <c r="CB272" s="9"/>
      <c r="CC272" s="9"/>
      <c r="CD272" s="9"/>
      <c r="CE272" s="9"/>
    </row>
    <row r="273" spans="4:83" ht="11.45" customHeight="1" x14ac:dyDescent="0.2">
      <c r="D273" s="11"/>
      <c r="E273" s="11"/>
      <c r="F273" s="11"/>
      <c r="G273" s="11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46"/>
      <c r="T273" s="36"/>
      <c r="U273" s="36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  <c r="BS273" s="9"/>
      <c r="BT273" s="9"/>
      <c r="BU273" s="9"/>
      <c r="BV273" s="9"/>
      <c r="BW273" s="9"/>
      <c r="BX273" s="9"/>
      <c r="BY273" s="9"/>
      <c r="BZ273" s="9"/>
      <c r="CA273" s="9"/>
      <c r="CB273" s="9"/>
      <c r="CC273" s="9"/>
      <c r="CD273" s="9"/>
      <c r="CE273" s="9"/>
    </row>
    <row r="274" spans="4:83" ht="11.45" customHeight="1" x14ac:dyDescent="0.2">
      <c r="D274" s="11"/>
      <c r="E274" s="11"/>
      <c r="F274" s="11"/>
      <c r="G274" s="11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46"/>
      <c r="T274" s="36"/>
      <c r="U274" s="36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  <c r="BS274" s="9"/>
      <c r="BT274" s="9"/>
      <c r="BU274" s="9"/>
      <c r="BV274" s="9"/>
      <c r="BW274" s="9"/>
      <c r="BX274" s="9"/>
      <c r="BY274" s="9"/>
      <c r="BZ274" s="9"/>
      <c r="CA274" s="9"/>
      <c r="CB274" s="9"/>
      <c r="CC274" s="9"/>
      <c r="CD274" s="9"/>
      <c r="CE274" s="9"/>
    </row>
    <row r="275" spans="4:83" ht="11.45" customHeight="1" x14ac:dyDescent="0.2">
      <c r="D275" s="11"/>
      <c r="E275" s="11"/>
      <c r="F275" s="11"/>
      <c r="G275" s="11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46"/>
      <c r="T275" s="36"/>
      <c r="U275" s="36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  <c r="BS275" s="9"/>
      <c r="BT275" s="9"/>
      <c r="BU275" s="9"/>
      <c r="BV275" s="9"/>
      <c r="BW275" s="9"/>
      <c r="BX275" s="9"/>
      <c r="BY275" s="9"/>
      <c r="BZ275" s="9"/>
      <c r="CA275" s="9"/>
      <c r="CB275" s="9"/>
      <c r="CC275" s="9"/>
      <c r="CD275" s="9"/>
      <c r="CE275" s="9"/>
    </row>
    <row r="276" spans="4:83" ht="11.45" customHeight="1" x14ac:dyDescent="0.2">
      <c r="D276" s="11"/>
      <c r="E276" s="11"/>
      <c r="F276" s="11"/>
      <c r="G276" s="11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46"/>
      <c r="T276" s="36"/>
      <c r="U276" s="36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  <c r="BS276" s="9"/>
      <c r="BT276" s="9"/>
      <c r="BU276" s="9"/>
      <c r="BV276" s="9"/>
      <c r="BW276" s="9"/>
      <c r="BX276" s="9"/>
      <c r="BY276" s="9"/>
      <c r="BZ276" s="9"/>
      <c r="CA276" s="9"/>
      <c r="CB276" s="9"/>
      <c r="CC276" s="9"/>
      <c r="CD276" s="9"/>
      <c r="CE276" s="9"/>
    </row>
    <row r="277" spans="4:83" ht="11.45" customHeight="1" x14ac:dyDescent="0.2">
      <c r="D277" s="11"/>
      <c r="E277" s="11"/>
      <c r="F277" s="11"/>
      <c r="G277" s="11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46"/>
      <c r="T277" s="36"/>
      <c r="U277" s="36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  <c r="BS277" s="9"/>
      <c r="BT277" s="9"/>
      <c r="BU277" s="9"/>
      <c r="BV277" s="9"/>
      <c r="BW277" s="9"/>
      <c r="BX277" s="9"/>
      <c r="BY277" s="9"/>
      <c r="BZ277" s="9"/>
      <c r="CA277" s="9"/>
      <c r="CB277" s="9"/>
      <c r="CC277" s="9"/>
      <c r="CD277" s="9"/>
      <c r="CE277" s="9"/>
    </row>
    <row r="278" spans="4:83" ht="11.45" customHeight="1" x14ac:dyDescent="0.2">
      <c r="D278" s="11"/>
      <c r="E278" s="11"/>
      <c r="F278" s="11"/>
      <c r="G278" s="11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46"/>
      <c r="T278" s="36"/>
      <c r="U278" s="36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  <c r="BS278" s="9"/>
      <c r="BT278" s="9"/>
      <c r="BU278" s="9"/>
      <c r="BV278" s="9"/>
      <c r="BW278" s="9"/>
      <c r="BX278" s="9"/>
      <c r="BY278" s="9"/>
      <c r="BZ278" s="9"/>
      <c r="CA278" s="9"/>
      <c r="CB278" s="9"/>
      <c r="CC278" s="9"/>
      <c r="CD278" s="9"/>
      <c r="CE278" s="9"/>
    </row>
    <row r="279" spans="4:83" ht="11.45" customHeight="1" x14ac:dyDescent="0.2">
      <c r="D279" s="11"/>
      <c r="E279" s="11"/>
      <c r="F279" s="11"/>
      <c r="G279" s="11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46"/>
      <c r="T279" s="36"/>
      <c r="U279" s="36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  <c r="BS279" s="9"/>
      <c r="BT279" s="9"/>
      <c r="BU279" s="9"/>
      <c r="BV279" s="9"/>
      <c r="BW279" s="9"/>
      <c r="BX279" s="9"/>
      <c r="BY279" s="9"/>
      <c r="BZ279" s="9"/>
      <c r="CA279" s="9"/>
      <c r="CB279" s="9"/>
      <c r="CC279" s="9"/>
      <c r="CD279" s="9"/>
      <c r="CE279" s="9"/>
    </row>
    <row r="280" spans="4:83" ht="11.45" customHeight="1" x14ac:dyDescent="0.2">
      <c r="D280" s="11"/>
      <c r="E280" s="11"/>
      <c r="F280" s="11"/>
      <c r="G280" s="11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46"/>
      <c r="T280" s="36"/>
      <c r="U280" s="36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  <c r="BS280" s="9"/>
      <c r="BT280" s="9"/>
      <c r="BU280" s="9"/>
      <c r="BV280" s="9"/>
      <c r="BW280" s="9"/>
      <c r="BX280" s="9"/>
      <c r="BY280" s="9"/>
      <c r="BZ280" s="9"/>
      <c r="CA280" s="9"/>
      <c r="CB280" s="9"/>
      <c r="CC280" s="9"/>
      <c r="CD280" s="9"/>
      <c r="CE280" s="9"/>
    </row>
    <row r="281" spans="4:83" ht="11.45" customHeight="1" x14ac:dyDescent="0.2">
      <c r="D281" s="11"/>
      <c r="E281" s="11"/>
      <c r="F281" s="11"/>
      <c r="G281" s="11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46"/>
      <c r="T281" s="36"/>
      <c r="U281" s="36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  <c r="CE281" s="9"/>
    </row>
    <row r="282" spans="4:83" ht="11.45" customHeight="1" x14ac:dyDescent="0.2">
      <c r="D282" s="11"/>
      <c r="E282" s="11"/>
      <c r="F282" s="11"/>
      <c r="G282" s="11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46"/>
      <c r="T282" s="36"/>
      <c r="U282" s="36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  <c r="BS282" s="9"/>
      <c r="BT282" s="9"/>
      <c r="BU282" s="9"/>
      <c r="BV282" s="9"/>
      <c r="BW282" s="9"/>
      <c r="BX282" s="9"/>
      <c r="BY282" s="9"/>
      <c r="BZ282" s="9"/>
      <c r="CA282" s="9"/>
      <c r="CB282" s="9"/>
      <c r="CC282" s="9"/>
      <c r="CD282" s="9"/>
      <c r="CE282" s="9"/>
    </row>
    <row r="283" spans="4:83" ht="11.45" customHeight="1" x14ac:dyDescent="0.2">
      <c r="D283" s="11"/>
      <c r="E283" s="11"/>
      <c r="F283" s="11"/>
      <c r="G283" s="11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46"/>
      <c r="T283" s="36"/>
      <c r="U283" s="36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  <c r="BS283" s="9"/>
      <c r="BT283" s="9"/>
      <c r="BU283" s="9"/>
      <c r="BV283" s="9"/>
      <c r="BW283" s="9"/>
      <c r="BX283" s="9"/>
      <c r="BY283" s="9"/>
      <c r="BZ283" s="9"/>
      <c r="CA283" s="9"/>
      <c r="CB283" s="9"/>
      <c r="CC283" s="9"/>
      <c r="CD283" s="9"/>
      <c r="CE283" s="9"/>
    </row>
    <row r="284" spans="4:83" ht="11.45" customHeight="1" x14ac:dyDescent="0.2">
      <c r="D284" s="11"/>
      <c r="E284" s="11"/>
      <c r="F284" s="11"/>
      <c r="G284" s="11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46"/>
      <c r="T284" s="36"/>
      <c r="U284" s="36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  <c r="BS284" s="9"/>
      <c r="BT284" s="9"/>
      <c r="BU284" s="9"/>
      <c r="BV284" s="9"/>
      <c r="BW284" s="9"/>
      <c r="BX284" s="9"/>
      <c r="BY284" s="9"/>
      <c r="BZ284" s="9"/>
      <c r="CA284" s="9"/>
      <c r="CB284" s="9"/>
      <c r="CC284" s="9"/>
      <c r="CD284" s="9"/>
      <c r="CE284" s="9"/>
    </row>
    <row r="285" spans="4:83" ht="11.45" customHeight="1" x14ac:dyDescent="0.2">
      <c r="D285" s="11"/>
      <c r="E285" s="11"/>
      <c r="F285" s="11"/>
      <c r="G285" s="11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46"/>
      <c r="T285" s="36"/>
      <c r="U285" s="36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  <c r="BS285" s="9"/>
      <c r="BT285" s="9"/>
      <c r="BU285" s="9"/>
      <c r="BV285" s="9"/>
      <c r="BW285" s="9"/>
      <c r="BX285" s="9"/>
      <c r="BY285" s="9"/>
      <c r="BZ285" s="9"/>
      <c r="CA285" s="9"/>
      <c r="CB285" s="9"/>
      <c r="CC285" s="9"/>
      <c r="CD285" s="9"/>
      <c r="CE285" s="9"/>
    </row>
    <row r="286" spans="4:83" ht="11.45" customHeight="1" x14ac:dyDescent="0.2">
      <c r="D286" s="11"/>
      <c r="E286" s="11"/>
      <c r="F286" s="11"/>
      <c r="G286" s="11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46"/>
      <c r="T286" s="36"/>
      <c r="U286" s="36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  <c r="BS286" s="9"/>
      <c r="BT286" s="9"/>
      <c r="BU286" s="9"/>
      <c r="BV286" s="9"/>
      <c r="BW286" s="9"/>
      <c r="BX286" s="9"/>
      <c r="BY286" s="9"/>
      <c r="BZ286" s="9"/>
      <c r="CA286" s="9"/>
      <c r="CB286" s="9"/>
      <c r="CC286" s="9"/>
      <c r="CD286" s="9"/>
      <c r="CE286" s="9"/>
    </row>
    <row r="287" spans="4:83" ht="11.45" customHeight="1" x14ac:dyDescent="0.2">
      <c r="D287" s="11"/>
      <c r="E287" s="11"/>
      <c r="F287" s="11"/>
      <c r="G287" s="11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46"/>
      <c r="T287" s="36"/>
      <c r="U287" s="36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  <c r="BS287" s="9"/>
      <c r="BT287" s="9"/>
      <c r="BU287" s="9"/>
      <c r="BV287" s="9"/>
      <c r="BW287" s="9"/>
      <c r="BX287" s="9"/>
      <c r="BY287" s="9"/>
      <c r="BZ287" s="9"/>
      <c r="CA287" s="9"/>
      <c r="CB287" s="9"/>
      <c r="CC287" s="9"/>
      <c r="CD287" s="9"/>
      <c r="CE287" s="9"/>
    </row>
    <row r="288" spans="4:83" ht="11.45" customHeight="1" x14ac:dyDescent="0.2">
      <c r="D288" s="11"/>
      <c r="E288" s="11"/>
      <c r="F288" s="11"/>
      <c r="G288" s="11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46"/>
      <c r="T288" s="36"/>
      <c r="U288" s="36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  <c r="BS288" s="9"/>
      <c r="BT288" s="9"/>
      <c r="BU288" s="9"/>
      <c r="BV288" s="9"/>
      <c r="BW288" s="9"/>
      <c r="BX288" s="9"/>
      <c r="BY288" s="9"/>
      <c r="BZ288" s="9"/>
      <c r="CA288" s="9"/>
      <c r="CB288" s="9"/>
      <c r="CC288" s="9"/>
      <c r="CD288" s="9"/>
      <c r="CE288" s="9"/>
    </row>
    <row r="289" spans="4:83" ht="11.45" customHeight="1" x14ac:dyDescent="0.2">
      <c r="D289" s="11"/>
      <c r="E289" s="11"/>
      <c r="F289" s="11"/>
      <c r="G289" s="11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46"/>
      <c r="T289" s="36"/>
      <c r="U289" s="36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  <c r="BS289" s="9"/>
      <c r="BT289" s="9"/>
      <c r="BU289" s="9"/>
      <c r="BV289" s="9"/>
      <c r="BW289" s="9"/>
      <c r="BX289" s="9"/>
      <c r="BY289" s="9"/>
      <c r="BZ289" s="9"/>
      <c r="CA289" s="9"/>
      <c r="CB289" s="9"/>
      <c r="CC289" s="9"/>
      <c r="CD289" s="9"/>
      <c r="CE289" s="9"/>
    </row>
    <row r="290" spans="4:83" ht="11.45" customHeight="1" x14ac:dyDescent="0.2">
      <c r="D290" s="11"/>
      <c r="E290" s="11"/>
      <c r="F290" s="11"/>
      <c r="G290" s="11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46"/>
      <c r="T290" s="36"/>
      <c r="U290" s="36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  <c r="CE290" s="9"/>
    </row>
    <row r="291" spans="4:83" ht="11.45" customHeight="1" x14ac:dyDescent="0.2">
      <c r="D291" s="11"/>
      <c r="E291" s="11"/>
      <c r="F291" s="11"/>
      <c r="G291" s="11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46"/>
      <c r="T291" s="36"/>
      <c r="U291" s="36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  <c r="BS291" s="9"/>
      <c r="BT291" s="9"/>
      <c r="BU291" s="9"/>
      <c r="BV291" s="9"/>
      <c r="BW291" s="9"/>
      <c r="BX291" s="9"/>
      <c r="BY291" s="9"/>
      <c r="BZ291" s="9"/>
      <c r="CA291" s="9"/>
      <c r="CB291" s="9"/>
      <c r="CC291" s="9"/>
      <c r="CD291" s="9"/>
      <c r="CE291" s="9"/>
    </row>
    <row r="292" spans="4:83" ht="11.45" customHeight="1" x14ac:dyDescent="0.2">
      <c r="D292" s="11"/>
      <c r="E292" s="11"/>
      <c r="F292" s="11"/>
      <c r="G292" s="11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46"/>
      <c r="T292" s="36"/>
      <c r="U292" s="36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  <c r="BS292" s="9"/>
      <c r="BT292" s="9"/>
      <c r="BU292" s="9"/>
      <c r="BV292" s="9"/>
      <c r="BW292" s="9"/>
      <c r="BX292" s="9"/>
      <c r="BY292" s="9"/>
      <c r="BZ292" s="9"/>
      <c r="CA292" s="9"/>
      <c r="CB292" s="9"/>
      <c r="CC292" s="9"/>
      <c r="CD292" s="9"/>
      <c r="CE292" s="9"/>
    </row>
    <row r="293" spans="4:83" ht="11.45" customHeight="1" x14ac:dyDescent="0.2">
      <c r="D293" s="11"/>
      <c r="E293" s="11"/>
      <c r="F293" s="11"/>
      <c r="G293" s="11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46"/>
      <c r="T293" s="36"/>
      <c r="U293" s="36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9"/>
      <c r="BW293" s="9"/>
      <c r="BX293" s="9"/>
      <c r="BY293" s="9"/>
      <c r="BZ293" s="9"/>
      <c r="CA293" s="9"/>
      <c r="CB293" s="9"/>
      <c r="CC293" s="9"/>
      <c r="CD293" s="9"/>
      <c r="CE293" s="9"/>
    </row>
    <row r="294" spans="4:83" ht="11.45" customHeight="1" x14ac:dyDescent="0.2">
      <c r="D294" s="11"/>
      <c r="E294" s="11"/>
      <c r="F294" s="11"/>
      <c r="G294" s="11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46"/>
      <c r="T294" s="36"/>
      <c r="U294" s="36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  <c r="BS294" s="9"/>
      <c r="BT294" s="9"/>
      <c r="BU294" s="9"/>
      <c r="BV294" s="9"/>
      <c r="BW294" s="9"/>
      <c r="BX294" s="9"/>
      <c r="BY294" s="9"/>
      <c r="BZ294" s="9"/>
      <c r="CA294" s="9"/>
      <c r="CB294" s="9"/>
      <c r="CC294" s="9"/>
      <c r="CD294" s="9"/>
      <c r="CE294" s="9"/>
    </row>
    <row r="295" spans="4:83" ht="11.45" customHeight="1" x14ac:dyDescent="0.2">
      <c r="D295" s="11"/>
      <c r="E295" s="11"/>
      <c r="F295" s="11"/>
      <c r="G295" s="11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46"/>
      <c r="T295" s="36"/>
      <c r="U295" s="36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  <c r="BS295" s="9"/>
      <c r="BT295" s="9"/>
      <c r="BU295" s="9"/>
      <c r="BV295" s="9"/>
      <c r="BW295" s="9"/>
      <c r="BX295" s="9"/>
      <c r="BY295" s="9"/>
      <c r="BZ295" s="9"/>
      <c r="CA295" s="9"/>
      <c r="CB295" s="9"/>
      <c r="CC295" s="9"/>
      <c r="CD295" s="9"/>
      <c r="CE295" s="9"/>
    </row>
    <row r="296" spans="4:83" ht="11.45" customHeight="1" x14ac:dyDescent="0.2">
      <c r="D296" s="11"/>
      <c r="E296" s="11"/>
      <c r="F296" s="11"/>
      <c r="G296" s="11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46"/>
      <c r="T296" s="36"/>
      <c r="U296" s="36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  <c r="BS296" s="9"/>
      <c r="BT296" s="9"/>
      <c r="BU296" s="9"/>
      <c r="BV296" s="9"/>
      <c r="BW296" s="9"/>
      <c r="BX296" s="9"/>
      <c r="BY296" s="9"/>
      <c r="BZ296" s="9"/>
      <c r="CA296" s="9"/>
      <c r="CB296" s="9"/>
      <c r="CC296" s="9"/>
      <c r="CD296" s="9"/>
      <c r="CE296" s="9"/>
    </row>
    <row r="297" spans="4:83" ht="11.45" customHeight="1" x14ac:dyDescent="0.2">
      <c r="D297" s="11"/>
      <c r="E297" s="11"/>
      <c r="F297" s="11"/>
      <c r="G297" s="11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46"/>
      <c r="T297" s="36"/>
      <c r="U297" s="36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  <c r="BS297" s="9"/>
      <c r="BT297" s="9"/>
      <c r="BU297" s="9"/>
      <c r="BV297" s="9"/>
      <c r="BW297" s="9"/>
      <c r="BX297" s="9"/>
      <c r="BY297" s="9"/>
      <c r="BZ297" s="9"/>
      <c r="CA297" s="9"/>
      <c r="CB297" s="9"/>
      <c r="CC297" s="9"/>
      <c r="CD297" s="9"/>
      <c r="CE297" s="9"/>
    </row>
    <row r="298" spans="4:83" ht="11.45" customHeight="1" x14ac:dyDescent="0.2">
      <c r="D298" s="11"/>
      <c r="E298" s="11"/>
      <c r="F298" s="11"/>
      <c r="G298" s="11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46"/>
      <c r="T298" s="36"/>
      <c r="U298" s="36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  <c r="BS298" s="9"/>
      <c r="BT298" s="9"/>
      <c r="BU298" s="9"/>
      <c r="BV298" s="9"/>
      <c r="BW298" s="9"/>
      <c r="BX298" s="9"/>
      <c r="BY298" s="9"/>
      <c r="BZ298" s="9"/>
      <c r="CA298" s="9"/>
      <c r="CB298" s="9"/>
      <c r="CC298" s="9"/>
      <c r="CD298" s="9"/>
      <c r="CE298" s="9"/>
    </row>
    <row r="299" spans="4:83" ht="11.45" customHeight="1" x14ac:dyDescent="0.2">
      <c r="D299" s="11"/>
      <c r="E299" s="11"/>
      <c r="F299" s="11"/>
      <c r="G299" s="11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46"/>
      <c r="T299" s="36"/>
      <c r="U299" s="36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  <c r="BS299" s="9"/>
      <c r="BT299" s="9"/>
      <c r="BU299" s="9"/>
      <c r="BV299" s="9"/>
      <c r="BW299" s="9"/>
      <c r="BX299" s="9"/>
      <c r="BY299" s="9"/>
      <c r="BZ299" s="9"/>
      <c r="CA299" s="9"/>
      <c r="CB299" s="9"/>
      <c r="CC299" s="9"/>
      <c r="CD299" s="9"/>
      <c r="CE299" s="9"/>
    </row>
    <row r="300" spans="4:83" ht="11.45" customHeight="1" x14ac:dyDescent="0.2">
      <c r="D300" s="11"/>
      <c r="E300" s="11"/>
      <c r="F300" s="11"/>
      <c r="G300" s="11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46"/>
      <c r="T300" s="36"/>
      <c r="U300" s="36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  <c r="BS300" s="9"/>
      <c r="BT300" s="9"/>
      <c r="BU300" s="9"/>
      <c r="BV300" s="9"/>
      <c r="BW300" s="9"/>
      <c r="BX300" s="9"/>
      <c r="BY300" s="9"/>
      <c r="BZ300" s="9"/>
      <c r="CA300" s="9"/>
      <c r="CB300" s="9"/>
      <c r="CC300" s="9"/>
      <c r="CD300" s="9"/>
      <c r="CE300" s="9"/>
    </row>
    <row r="301" spans="4:83" ht="11.45" customHeight="1" x14ac:dyDescent="0.2">
      <c r="D301" s="11"/>
      <c r="E301" s="11"/>
      <c r="F301" s="11"/>
      <c r="G301" s="11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46"/>
      <c r="T301" s="36"/>
      <c r="U301" s="36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  <c r="BS301" s="9"/>
      <c r="BT301" s="9"/>
      <c r="BU301" s="9"/>
      <c r="BV301" s="9"/>
      <c r="BW301" s="9"/>
      <c r="BX301" s="9"/>
      <c r="BY301" s="9"/>
      <c r="BZ301" s="9"/>
      <c r="CA301" s="9"/>
      <c r="CB301" s="9"/>
      <c r="CC301" s="9"/>
      <c r="CD301" s="9"/>
      <c r="CE301" s="9"/>
    </row>
    <row r="302" spans="4:83" ht="11.45" customHeight="1" x14ac:dyDescent="0.2">
      <c r="D302" s="11"/>
      <c r="E302" s="11"/>
      <c r="F302" s="11"/>
      <c r="G302" s="11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46"/>
      <c r="T302" s="36"/>
      <c r="U302" s="36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  <c r="BS302" s="9"/>
      <c r="BT302" s="9"/>
      <c r="BU302" s="9"/>
      <c r="BV302" s="9"/>
      <c r="BW302" s="9"/>
      <c r="BX302" s="9"/>
      <c r="BY302" s="9"/>
      <c r="BZ302" s="9"/>
      <c r="CA302" s="9"/>
      <c r="CB302" s="9"/>
      <c r="CC302" s="9"/>
      <c r="CD302" s="9"/>
      <c r="CE302" s="9"/>
    </row>
    <row r="303" spans="4:83" ht="11.45" customHeight="1" x14ac:dyDescent="0.2">
      <c r="D303" s="11"/>
      <c r="E303" s="11"/>
      <c r="F303" s="11"/>
      <c r="G303" s="11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46"/>
      <c r="T303" s="36"/>
      <c r="U303" s="36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  <c r="BS303" s="9"/>
      <c r="BT303" s="9"/>
      <c r="BU303" s="9"/>
      <c r="BV303" s="9"/>
      <c r="BW303" s="9"/>
      <c r="BX303" s="9"/>
      <c r="BY303" s="9"/>
      <c r="BZ303" s="9"/>
      <c r="CA303" s="9"/>
      <c r="CB303" s="9"/>
      <c r="CC303" s="9"/>
      <c r="CD303" s="9"/>
      <c r="CE303" s="9"/>
    </row>
    <row r="304" spans="4:83" ht="11.45" customHeight="1" x14ac:dyDescent="0.2">
      <c r="D304" s="11"/>
      <c r="E304" s="11"/>
      <c r="F304" s="11"/>
      <c r="G304" s="11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46"/>
      <c r="T304" s="36"/>
      <c r="U304" s="36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  <c r="BS304" s="9"/>
      <c r="BT304" s="9"/>
      <c r="BU304" s="9"/>
      <c r="BV304" s="9"/>
      <c r="BW304" s="9"/>
      <c r="BX304" s="9"/>
      <c r="BY304" s="9"/>
      <c r="BZ304" s="9"/>
      <c r="CA304" s="9"/>
      <c r="CB304" s="9"/>
      <c r="CC304" s="9"/>
      <c r="CD304" s="9"/>
      <c r="CE304" s="9"/>
    </row>
    <row r="305" spans="4:83" ht="11.45" customHeight="1" x14ac:dyDescent="0.2">
      <c r="D305" s="11"/>
      <c r="E305" s="11"/>
      <c r="F305" s="11"/>
      <c r="G305" s="11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46"/>
      <c r="T305" s="36"/>
      <c r="U305" s="36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  <c r="CD305" s="9"/>
      <c r="CE305" s="9"/>
    </row>
    <row r="306" spans="4:83" ht="11.45" customHeight="1" x14ac:dyDescent="0.2">
      <c r="D306" s="11"/>
      <c r="E306" s="11"/>
      <c r="F306" s="11"/>
      <c r="G306" s="11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46"/>
      <c r="T306" s="36"/>
      <c r="U306" s="36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  <c r="BS306" s="9"/>
      <c r="BT306" s="9"/>
      <c r="BU306" s="9"/>
      <c r="BV306" s="9"/>
      <c r="BW306" s="9"/>
      <c r="BX306" s="9"/>
      <c r="BY306" s="9"/>
      <c r="BZ306" s="9"/>
      <c r="CA306" s="9"/>
      <c r="CB306" s="9"/>
      <c r="CC306" s="9"/>
      <c r="CD306" s="9"/>
      <c r="CE306" s="9"/>
    </row>
    <row r="307" spans="4:83" ht="11.45" customHeight="1" x14ac:dyDescent="0.2">
      <c r="D307" s="11"/>
      <c r="E307" s="11"/>
      <c r="F307" s="11"/>
      <c r="G307" s="11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46"/>
      <c r="T307" s="36"/>
      <c r="U307" s="36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  <c r="BS307" s="9"/>
      <c r="BT307" s="9"/>
      <c r="BU307" s="9"/>
      <c r="BV307" s="9"/>
      <c r="BW307" s="9"/>
      <c r="BX307" s="9"/>
      <c r="BY307" s="9"/>
      <c r="BZ307" s="9"/>
      <c r="CA307" s="9"/>
      <c r="CB307" s="9"/>
      <c r="CC307" s="9"/>
      <c r="CD307" s="9"/>
      <c r="CE307" s="9"/>
    </row>
    <row r="308" spans="4:83" ht="11.45" customHeight="1" x14ac:dyDescent="0.2">
      <c r="D308" s="11"/>
      <c r="E308" s="11"/>
      <c r="F308" s="11"/>
      <c r="G308" s="11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46"/>
      <c r="T308" s="36"/>
      <c r="U308" s="36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  <c r="BS308" s="9"/>
      <c r="BT308" s="9"/>
      <c r="BU308" s="9"/>
      <c r="BV308" s="9"/>
      <c r="BW308" s="9"/>
      <c r="BX308" s="9"/>
      <c r="BY308" s="9"/>
      <c r="BZ308" s="9"/>
      <c r="CA308" s="9"/>
      <c r="CB308" s="9"/>
      <c r="CC308" s="9"/>
      <c r="CD308" s="9"/>
      <c r="CE308" s="9"/>
    </row>
    <row r="309" spans="4:83" ht="11.45" customHeight="1" x14ac:dyDescent="0.2">
      <c r="D309" s="11"/>
      <c r="E309" s="11"/>
      <c r="F309" s="11"/>
      <c r="G309" s="11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46"/>
      <c r="T309" s="36"/>
      <c r="U309" s="36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  <c r="BS309" s="9"/>
      <c r="BT309" s="9"/>
      <c r="BU309" s="9"/>
      <c r="BV309" s="9"/>
      <c r="BW309" s="9"/>
      <c r="BX309" s="9"/>
      <c r="BY309" s="9"/>
      <c r="BZ309" s="9"/>
      <c r="CA309" s="9"/>
      <c r="CB309" s="9"/>
      <c r="CC309" s="9"/>
      <c r="CD309" s="9"/>
      <c r="CE309" s="9"/>
    </row>
    <row r="310" spans="4:83" ht="11.45" customHeight="1" x14ac:dyDescent="0.2">
      <c r="D310" s="11"/>
      <c r="E310" s="11"/>
      <c r="F310" s="11"/>
      <c r="G310" s="11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46"/>
      <c r="T310" s="36"/>
      <c r="U310" s="36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  <c r="BS310" s="9"/>
      <c r="BT310" s="9"/>
      <c r="BU310" s="9"/>
      <c r="BV310" s="9"/>
      <c r="BW310" s="9"/>
      <c r="BX310" s="9"/>
      <c r="BY310" s="9"/>
      <c r="BZ310" s="9"/>
      <c r="CA310" s="9"/>
      <c r="CB310" s="9"/>
      <c r="CC310" s="9"/>
      <c r="CD310" s="9"/>
      <c r="CE310" s="9"/>
    </row>
    <row r="311" spans="4:83" ht="11.45" customHeight="1" x14ac:dyDescent="0.2">
      <c r="D311" s="11"/>
      <c r="E311" s="11"/>
      <c r="F311" s="11"/>
      <c r="G311" s="11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46"/>
      <c r="T311" s="36"/>
      <c r="U311" s="36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  <c r="BS311" s="9"/>
      <c r="BT311" s="9"/>
      <c r="BU311" s="9"/>
      <c r="BV311" s="9"/>
      <c r="BW311" s="9"/>
      <c r="BX311" s="9"/>
      <c r="BY311" s="9"/>
      <c r="BZ311" s="9"/>
      <c r="CA311" s="9"/>
      <c r="CB311" s="9"/>
      <c r="CC311" s="9"/>
      <c r="CD311" s="9"/>
      <c r="CE311" s="9"/>
    </row>
    <row r="312" spans="4:83" ht="11.45" customHeight="1" x14ac:dyDescent="0.2">
      <c r="D312" s="11"/>
      <c r="E312" s="11"/>
      <c r="F312" s="11"/>
      <c r="G312" s="11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46"/>
      <c r="T312" s="36"/>
      <c r="U312" s="36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  <c r="BS312" s="9"/>
      <c r="BT312" s="9"/>
      <c r="BU312" s="9"/>
      <c r="BV312" s="9"/>
      <c r="BW312" s="9"/>
      <c r="BX312" s="9"/>
      <c r="BY312" s="9"/>
      <c r="BZ312" s="9"/>
      <c r="CA312" s="9"/>
      <c r="CB312" s="9"/>
      <c r="CC312" s="9"/>
      <c r="CD312" s="9"/>
      <c r="CE312" s="9"/>
    </row>
    <row r="313" spans="4:83" ht="11.45" customHeight="1" x14ac:dyDescent="0.2">
      <c r="D313" s="11"/>
      <c r="E313" s="11"/>
      <c r="F313" s="11"/>
      <c r="G313" s="11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46"/>
      <c r="T313" s="36"/>
      <c r="U313" s="36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  <c r="BS313" s="9"/>
      <c r="BT313" s="9"/>
      <c r="BU313" s="9"/>
      <c r="BV313" s="9"/>
      <c r="BW313" s="9"/>
      <c r="BX313" s="9"/>
      <c r="BY313" s="9"/>
      <c r="BZ313" s="9"/>
      <c r="CA313" s="9"/>
      <c r="CB313" s="9"/>
      <c r="CC313" s="9"/>
      <c r="CD313" s="9"/>
      <c r="CE313" s="9"/>
    </row>
    <row r="314" spans="4:83" ht="11.45" customHeight="1" x14ac:dyDescent="0.2">
      <c r="D314" s="11"/>
      <c r="E314" s="11"/>
      <c r="F314" s="11"/>
      <c r="G314" s="11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46"/>
      <c r="T314" s="36"/>
      <c r="U314" s="36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  <c r="BS314" s="9"/>
      <c r="BT314" s="9"/>
      <c r="BU314" s="9"/>
      <c r="BV314" s="9"/>
      <c r="BW314" s="9"/>
      <c r="BX314" s="9"/>
      <c r="BY314" s="9"/>
      <c r="BZ314" s="9"/>
      <c r="CA314" s="9"/>
      <c r="CB314" s="9"/>
      <c r="CC314" s="9"/>
      <c r="CD314" s="9"/>
      <c r="CE314" s="9"/>
    </row>
    <row r="315" spans="4:83" ht="11.45" customHeight="1" x14ac:dyDescent="0.2">
      <c r="D315" s="11"/>
      <c r="E315" s="11"/>
      <c r="F315" s="11"/>
      <c r="G315" s="11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46"/>
      <c r="T315" s="36"/>
      <c r="U315" s="36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  <c r="BS315" s="9"/>
      <c r="BT315" s="9"/>
      <c r="BU315" s="9"/>
      <c r="BV315" s="9"/>
      <c r="BW315" s="9"/>
      <c r="BX315" s="9"/>
      <c r="BY315" s="9"/>
      <c r="BZ315" s="9"/>
      <c r="CA315" s="9"/>
      <c r="CB315" s="9"/>
      <c r="CC315" s="9"/>
      <c r="CD315" s="9"/>
      <c r="CE315" s="9"/>
    </row>
    <row r="316" spans="4:83" ht="11.45" customHeight="1" x14ac:dyDescent="0.2">
      <c r="D316" s="11"/>
      <c r="E316" s="11"/>
      <c r="F316" s="11"/>
      <c r="G316" s="11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46"/>
      <c r="T316" s="36"/>
      <c r="U316" s="36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  <c r="BS316" s="9"/>
      <c r="BT316" s="9"/>
      <c r="BU316" s="9"/>
      <c r="BV316" s="9"/>
      <c r="BW316" s="9"/>
      <c r="BX316" s="9"/>
      <c r="BY316" s="9"/>
      <c r="BZ316" s="9"/>
      <c r="CA316" s="9"/>
      <c r="CB316" s="9"/>
      <c r="CC316" s="9"/>
      <c r="CD316" s="9"/>
      <c r="CE316" s="9"/>
    </row>
    <row r="317" spans="4:83" ht="11.45" customHeight="1" x14ac:dyDescent="0.2">
      <c r="D317" s="11"/>
      <c r="E317" s="11"/>
      <c r="F317" s="11"/>
      <c r="G317" s="11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46"/>
      <c r="T317" s="36"/>
      <c r="U317" s="36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  <c r="BS317" s="9"/>
      <c r="BT317" s="9"/>
      <c r="BU317" s="9"/>
      <c r="BV317" s="9"/>
      <c r="BW317" s="9"/>
      <c r="BX317" s="9"/>
      <c r="BY317" s="9"/>
      <c r="BZ317" s="9"/>
      <c r="CA317" s="9"/>
      <c r="CB317" s="9"/>
      <c r="CC317" s="9"/>
      <c r="CD317" s="9"/>
      <c r="CE317" s="9"/>
    </row>
    <row r="318" spans="4:83" ht="11.45" customHeight="1" x14ac:dyDescent="0.2">
      <c r="D318" s="11"/>
      <c r="E318" s="11"/>
      <c r="F318" s="11"/>
      <c r="G318" s="11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46"/>
      <c r="T318" s="36"/>
      <c r="U318" s="36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  <c r="BS318" s="9"/>
      <c r="BT318" s="9"/>
      <c r="BU318" s="9"/>
      <c r="BV318" s="9"/>
      <c r="BW318" s="9"/>
      <c r="BX318" s="9"/>
      <c r="BY318" s="9"/>
      <c r="BZ318" s="9"/>
      <c r="CA318" s="9"/>
      <c r="CB318" s="9"/>
      <c r="CC318" s="9"/>
      <c r="CD318" s="9"/>
      <c r="CE318" s="9"/>
    </row>
    <row r="319" spans="4:83" ht="11.45" customHeight="1" x14ac:dyDescent="0.2">
      <c r="D319" s="11"/>
      <c r="E319" s="11"/>
      <c r="F319" s="11"/>
      <c r="G319" s="11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46"/>
      <c r="T319" s="36"/>
      <c r="U319" s="36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  <c r="BS319" s="9"/>
      <c r="BT319" s="9"/>
      <c r="BU319" s="9"/>
      <c r="BV319" s="9"/>
      <c r="BW319" s="9"/>
      <c r="BX319" s="9"/>
      <c r="BY319" s="9"/>
      <c r="BZ319" s="9"/>
      <c r="CA319" s="9"/>
      <c r="CB319" s="9"/>
      <c r="CC319" s="9"/>
      <c r="CD319" s="9"/>
      <c r="CE319" s="9"/>
    </row>
    <row r="320" spans="4:83" ht="11.45" customHeight="1" x14ac:dyDescent="0.2">
      <c r="D320" s="11"/>
      <c r="E320" s="11"/>
      <c r="F320" s="11"/>
      <c r="G320" s="11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46"/>
      <c r="T320" s="36"/>
      <c r="U320" s="36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  <c r="BS320" s="9"/>
      <c r="BT320" s="9"/>
      <c r="BU320" s="9"/>
      <c r="BV320" s="9"/>
      <c r="BW320" s="9"/>
      <c r="BX320" s="9"/>
      <c r="BY320" s="9"/>
      <c r="BZ320" s="9"/>
      <c r="CA320" s="9"/>
      <c r="CB320" s="9"/>
      <c r="CC320" s="9"/>
      <c r="CD320" s="9"/>
      <c r="CE320" s="9"/>
    </row>
    <row r="321" spans="4:83" ht="11.45" customHeight="1" x14ac:dyDescent="0.2">
      <c r="D321" s="11"/>
      <c r="E321" s="11"/>
      <c r="F321" s="11"/>
      <c r="G321" s="11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46"/>
      <c r="T321" s="36"/>
      <c r="U321" s="36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  <c r="BS321" s="9"/>
      <c r="BT321" s="9"/>
      <c r="BU321" s="9"/>
      <c r="BV321" s="9"/>
      <c r="BW321" s="9"/>
      <c r="BX321" s="9"/>
      <c r="BY321" s="9"/>
      <c r="BZ321" s="9"/>
      <c r="CA321" s="9"/>
      <c r="CB321" s="9"/>
      <c r="CC321" s="9"/>
      <c r="CD321" s="9"/>
      <c r="CE321" s="9"/>
    </row>
    <row r="322" spans="4:83" ht="11.45" customHeight="1" x14ac:dyDescent="0.2">
      <c r="D322" s="11"/>
      <c r="E322" s="11"/>
      <c r="F322" s="11"/>
      <c r="G322" s="11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46"/>
      <c r="T322" s="36"/>
      <c r="U322" s="36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  <c r="BS322" s="9"/>
      <c r="BT322" s="9"/>
      <c r="BU322" s="9"/>
      <c r="BV322" s="9"/>
      <c r="BW322" s="9"/>
      <c r="BX322" s="9"/>
      <c r="BY322" s="9"/>
      <c r="BZ322" s="9"/>
      <c r="CA322" s="9"/>
      <c r="CB322" s="9"/>
      <c r="CC322" s="9"/>
      <c r="CD322" s="9"/>
      <c r="CE322" s="9"/>
    </row>
    <row r="323" spans="4:83" ht="11.45" customHeight="1" x14ac:dyDescent="0.2">
      <c r="D323" s="11"/>
      <c r="E323" s="11"/>
      <c r="F323" s="11"/>
      <c r="G323" s="11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46"/>
      <c r="T323" s="36"/>
      <c r="U323" s="36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  <c r="BS323" s="9"/>
      <c r="BT323" s="9"/>
      <c r="BU323" s="9"/>
      <c r="BV323" s="9"/>
      <c r="BW323" s="9"/>
      <c r="BX323" s="9"/>
      <c r="BY323" s="9"/>
      <c r="BZ323" s="9"/>
      <c r="CA323" s="9"/>
      <c r="CB323" s="9"/>
      <c r="CC323" s="9"/>
      <c r="CD323" s="9"/>
      <c r="CE323" s="9"/>
    </row>
    <row r="324" spans="4:83" ht="11.45" customHeight="1" x14ac:dyDescent="0.2">
      <c r="D324" s="11"/>
      <c r="E324" s="11"/>
      <c r="F324" s="11"/>
      <c r="G324" s="11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46"/>
      <c r="T324" s="36"/>
      <c r="U324" s="36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  <c r="BS324" s="9"/>
      <c r="BT324" s="9"/>
      <c r="BU324" s="9"/>
      <c r="BV324" s="9"/>
      <c r="BW324" s="9"/>
      <c r="BX324" s="9"/>
      <c r="BY324" s="9"/>
      <c r="BZ324" s="9"/>
      <c r="CA324" s="9"/>
      <c r="CB324" s="9"/>
      <c r="CC324" s="9"/>
      <c r="CD324" s="9"/>
      <c r="CE324" s="9"/>
    </row>
    <row r="325" spans="4:83" ht="11.45" customHeight="1" x14ac:dyDescent="0.2">
      <c r="D325" s="11"/>
      <c r="E325" s="11"/>
      <c r="F325" s="11"/>
      <c r="G325" s="11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46"/>
      <c r="T325" s="36"/>
      <c r="U325" s="36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  <c r="BS325" s="9"/>
      <c r="BT325" s="9"/>
      <c r="BU325" s="9"/>
      <c r="BV325" s="9"/>
      <c r="BW325" s="9"/>
      <c r="BX325" s="9"/>
      <c r="BY325" s="9"/>
      <c r="BZ325" s="9"/>
      <c r="CA325" s="9"/>
      <c r="CB325" s="9"/>
      <c r="CC325" s="9"/>
      <c r="CD325" s="9"/>
      <c r="CE325" s="9"/>
    </row>
    <row r="326" spans="4:83" ht="11.45" customHeight="1" x14ac:dyDescent="0.2">
      <c r="D326" s="11"/>
      <c r="E326" s="11"/>
      <c r="F326" s="11"/>
      <c r="G326" s="11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46"/>
      <c r="T326" s="36"/>
      <c r="U326" s="36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  <c r="BS326" s="9"/>
      <c r="BT326" s="9"/>
      <c r="BU326" s="9"/>
      <c r="BV326" s="9"/>
      <c r="BW326" s="9"/>
      <c r="BX326" s="9"/>
      <c r="BY326" s="9"/>
      <c r="BZ326" s="9"/>
      <c r="CA326" s="9"/>
      <c r="CB326" s="9"/>
      <c r="CC326" s="9"/>
      <c r="CD326" s="9"/>
      <c r="CE326" s="9"/>
    </row>
    <row r="327" spans="4:83" ht="11.45" customHeight="1" x14ac:dyDescent="0.2">
      <c r="D327" s="11"/>
      <c r="E327" s="11"/>
      <c r="F327" s="11"/>
      <c r="G327" s="11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46"/>
      <c r="T327" s="36"/>
      <c r="U327" s="36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  <c r="BS327" s="9"/>
      <c r="BT327" s="9"/>
      <c r="BU327" s="9"/>
      <c r="BV327" s="9"/>
      <c r="BW327" s="9"/>
      <c r="BX327" s="9"/>
      <c r="BY327" s="9"/>
      <c r="BZ327" s="9"/>
      <c r="CA327" s="9"/>
      <c r="CB327" s="9"/>
      <c r="CC327" s="9"/>
      <c r="CD327" s="9"/>
      <c r="CE327" s="9"/>
    </row>
    <row r="328" spans="4:83" ht="11.45" customHeight="1" x14ac:dyDescent="0.2">
      <c r="D328" s="11"/>
      <c r="E328" s="11"/>
      <c r="F328" s="11"/>
      <c r="G328" s="11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46"/>
      <c r="T328" s="36"/>
      <c r="U328" s="36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  <c r="BS328" s="9"/>
      <c r="BT328" s="9"/>
      <c r="BU328" s="9"/>
      <c r="BV328" s="9"/>
      <c r="BW328" s="9"/>
      <c r="BX328" s="9"/>
      <c r="BY328" s="9"/>
      <c r="BZ328" s="9"/>
      <c r="CA328" s="9"/>
      <c r="CB328" s="9"/>
      <c r="CC328" s="9"/>
      <c r="CD328" s="9"/>
      <c r="CE328" s="9"/>
    </row>
    <row r="329" spans="4:83" ht="11.45" customHeight="1" x14ac:dyDescent="0.2">
      <c r="D329" s="11"/>
      <c r="E329" s="11"/>
      <c r="F329" s="11"/>
      <c r="G329" s="11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46"/>
      <c r="T329" s="36"/>
      <c r="U329" s="36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  <c r="BS329" s="9"/>
      <c r="BT329" s="9"/>
      <c r="BU329" s="9"/>
      <c r="BV329" s="9"/>
      <c r="BW329" s="9"/>
      <c r="BX329" s="9"/>
      <c r="BY329" s="9"/>
      <c r="BZ329" s="9"/>
      <c r="CA329" s="9"/>
      <c r="CB329" s="9"/>
      <c r="CC329" s="9"/>
      <c r="CD329" s="9"/>
      <c r="CE329" s="9"/>
    </row>
    <row r="330" spans="4:83" ht="11.45" customHeight="1" x14ac:dyDescent="0.2">
      <c r="D330" s="11"/>
      <c r="E330" s="11"/>
      <c r="F330" s="11"/>
      <c r="G330" s="11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46"/>
      <c r="T330" s="36"/>
      <c r="U330" s="36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  <c r="BS330" s="9"/>
      <c r="BT330" s="9"/>
      <c r="BU330" s="9"/>
      <c r="BV330" s="9"/>
      <c r="BW330" s="9"/>
      <c r="BX330" s="9"/>
      <c r="BY330" s="9"/>
      <c r="BZ330" s="9"/>
      <c r="CA330" s="9"/>
      <c r="CB330" s="9"/>
      <c r="CC330" s="9"/>
      <c r="CD330" s="9"/>
      <c r="CE330" s="9"/>
    </row>
    <row r="331" spans="4:83" ht="11.45" customHeight="1" x14ac:dyDescent="0.2">
      <c r="D331" s="11"/>
      <c r="E331" s="11"/>
      <c r="F331" s="11"/>
      <c r="G331" s="11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46"/>
      <c r="T331" s="36"/>
      <c r="U331" s="36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  <c r="BS331" s="9"/>
      <c r="BT331" s="9"/>
      <c r="BU331" s="9"/>
      <c r="BV331" s="9"/>
      <c r="BW331" s="9"/>
      <c r="BX331" s="9"/>
      <c r="BY331" s="9"/>
      <c r="BZ331" s="9"/>
      <c r="CA331" s="9"/>
      <c r="CB331" s="9"/>
      <c r="CC331" s="9"/>
      <c r="CD331" s="9"/>
      <c r="CE331" s="9"/>
    </row>
    <row r="332" spans="4:83" ht="11.45" customHeight="1" x14ac:dyDescent="0.2">
      <c r="D332" s="11"/>
      <c r="E332" s="11"/>
      <c r="F332" s="11"/>
      <c r="G332" s="11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46"/>
      <c r="T332" s="36"/>
      <c r="U332" s="36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  <c r="BS332" s="9"/>
      <c r="BT332" s="9"/>
      <c r="BU332" s="9"/>
      <c r="BV332" s="9"/>
      <c r="BW332" s="9"/>
      <c r="BX332" s="9"/>
      <c r="BY332" s="9"/>
      <c r="BZ332" s="9"/>
      <c r="CA332" s="9"/>
      <c r="CB332" s="9"/>
      <c r="CC332" s="9"/>
      <c r="CD332" s="9"/>
      <c r="CE332" s="9"/>
    </row>
    <row r="333" spans="4:83" ht="11.45" customHeight="1" x14ac:dyDescent="0.2">
      <c r="D333" s="11"/>
      <c r="E333" s="11"/>
      <c r="F333" s="11"/>
      <c r="G333" s="11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46"/>
      <c r="T333" s="36"/>
      <c r="U333" s="36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  <c r="BS333" s="9"/>
      <c r="BT333" s="9"/>
      <c r="BU333" s="9"/>
      <c r="BV333" s="9"/>
      <c r="BW333" s="9"/>
      <c r="BX333" s="9"/>
      <c r="BY333" s="9"/>
      <c r="BZ333" s="9"/>
      <c r="CA333" s="9"/>
      <c r="CB333" s="9"/>
      <c r="CC333" s="9"/>
      <c r="CD333" s="9"/>
      <c r="CE333" s="9"/>
    </row>
    <row r="334" spans="4:83" ht="11.45" customHeight="1" x14ac:dyDescent="0.2">
      <c r="D334" s="11"/>
      <c r="E334" s="11"/>
      <c r="F334" s="11"/>
      <c r="G334" s="11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46"/>
      <c r="T334" s="36"/>
      <c r="U334" s="36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  <c r="BS334" s="9"/>
      <c r="BT334" s="9"/>
      <c r="BU334" s="9"/>
      <c r="BV334" s="9"/>
      <c r="BW334" s="9"/>
      <c r="BX334" s="9"/>
      <c r="BY334" s="9"/>
      <c r="BZ334" s="9"/>
      <c r="CA334" s="9"/>
      <c r="CB334" s="9"/>
      <c r="CC334" s="9"/>
      <c r="CD334" s="9"/>
      <c r="CE334" s="9"/>
    </row>
    <row r="335" spans="4:83" ht="11.45" customHeight="1" x14ac:dyDescent="0.2">
      <c r="D335" s="11"/>
      <c r="E335" s="11"/>
      <c r="F335" s="11"/>
      <c r="G335" s="11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46"/>
      <c r="T335" s="36"/>
      <c r="U335" s="36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  <c r="BS335" s="9"/>
      <c r="BT335" s="9"/>
      <c r="BU335" s="9"/>
      <c r="BV335" s="9"/>
      <c r="BW335" s="9"/>
      <c r="BX335" s="9"/>
      <c r="BY335" s="9"/>
      <c r="BZ335" s="9"/>
      <c r="CA335" s="9"/>
      <c r="CB335" s="9"/>
      <c r="CC335" s="9"/>
      <c r="CD335" s="9"/>
      <c r="CE335" s="9"/>
    </row>
    <row r="336" spans="4:83" ht="11.45" customHeight="1" x14ac:dyDescent="0.2">
      <c r="D336" s="11"/>
      <c r="E336" s="11"/>
      <c r="F336" s="11"/>
      <c r="G336" s="11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46"/>
      <c r="T336" s="36"/>
      <c r="U336" s="36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  <c r="BS336" s="9"/>
      <c r="BT336" s="9"/>
      <c r="BU336" s="9"/>
      <c r="BV336" s="9"/>
      <c r="BW336" s="9"/>
      <c r="BX336" s="9"/>
      <c r="BY336" s="9"/>
      <c r="BZ336" s="9"/>
      <c r="CA336" s="9"/>
      <c r="CB336" s="9"/>
      <c r="CC336" s="9"/>
      <c r="CD336" s="9"/>
      <c r="CE336" s="9"/>
    </row>
    <row r="337" spans="4:83" ht="11.45" customHeight="1" x14ac:dyDescent="0.2">
      <c r="D337" s="11"/>
      <c r="E337" s="11"/>
      <c r="F337" s="11"/>
      <c r="G337" s="11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46"/>
      <c r="T337" s="36"/>
      <c r="U337" s="36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  <c r="BS337" s="9"/>
      <c r="BT337" s="9"/>
      <c r="BU337" s="9"/>
      <c r="BV337" s="9"/>
      <c r="BW337" s="9"/>
      <c r="BX337" s="9"/>
      <c r="BY337" s="9"/>
      <c r="BZ337" s="9"/>
      <c r="CA337" s="9"/>
      <c r="CB337" s="9"/>
      <c r="CC337" s="9"/>
      <c r="CD337" s="9"/>
      <c r="CE337" s="9"/>
    </row>
    <row r="338" spans="4:83" ht="11.45" customHeight="1" x14ac:dyDescent="0.2">
      <c r="D338" s="11"/>
      <c r="E338" s="11"/>
      <c r="F338" s="11"/>
      <c r="G338" s="11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46"/>
      <c r="T338" s="36"/>
      <c r="U338" s="36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  <c r="BS338" s="9"/>
      <c r="BT338" s="9"/>
      <c r="BU338" s="9"/>
      <c r="BV338" s="9"/>
      <c r="BW338" s="9"/>
      <c r="BX338" s="9"/>
      <c r="BY338" s="9"/>
      <c r="BZ338" s="9"/>
      <c r="CA338" s="9"/>
      <c r="CB338" s="9"/>
      <c r="CC338" s="9"/>
      <c r="CD338" s="9"/>
      <c r="CE338" s="9"/>
    </row>
    <row r="339" spans="4:83" ht="11.45" customHeight="1" x14ac:dyDescent="0.2">
      <c r="D339" s="11"/>
      <c r="E339" s="11"/>
      <c r="F339" s="11"/>
      <c r="G339" s="11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46"/>
      <c r="T339" s="36"/>
      <c r="U339" s="36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  <c r="BS339" s="9"/>
      <c r="BT339" s="9"/>
      <c r="BU339" s="9"/>
      <c r="BV339" s="9"/>
      <c r="BW339" s="9"/>
      <c r="BX339" s="9"/>
      <c r="BY339" s="9"/>
      <c r="BZ339" s="9"/>
      <c r="CA339" s="9"/>
      <c r="CB339" s="9"/>
      <c r="CC339" s="9"/>
      <c r="CD339" s="9"/>
      <c r="CE339" s="9"/>
    </row>
    <row r="340" spans="4:83" ht="11.45" customHeight="1" x14ac:dyDescent="0.2">
      <c r="D340" s="11"/>
      <c r="E340" s="11"/>
      <c r="F340" s="11"/>
      <c r="G340" s="11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46"/>
      <c r="T340" s="36"/>
      <c r="U340" s="36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  <c r="BS340" s="9"/>
      <c r="BT340" s="9"/>
      <c r="BU340" s="9"/>
      <c r="BV340" s="9"/>
      <c r="BW340" s="9"/>
      <c r="BX340" s="9"/>
      <c r="BY340" s="9"/>
      <c r="BZ340" s="9"/>
      <c r="CA340" s="9"/>
      <c r="CB340" s="9"/>
      <c r="CC340" s="9"/>
      <c r="CD340" s="9"/>
      <c r="CE340" s="9"/>
    </row>
    <row r="341" spans="4:83" ht="11.45" customHeight="1" x14ac:dyDescent="0.2">
      <c r="D341" s="11"/>
      <c r="E341" s="11"/>
      <c r="F341" s="11"/>
      <c r="G341" s="11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46"/>
      <c r="T341" s="36"/>
      <c r="U341" s="36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  <c r="BS341" s="9"/>
      <c r="BT341" s="9"/>
      <c r="BU341" s="9"/>
      <c r="BV341" s="9"/>
      <c r="BW341" s="9"/>
      <c r="BX341" s="9"/>
      <c r="BY341" s="9"/>
      <c r="BZ341" s="9"/>
      <c r="CA341" s="9"/>
      <c r="CB341" s="9"/>
      <c r="CC341" s="9"/>
      <c r="CD341" s="9"/>
      <c r="CE341" s="9"/>
    </row>
    <row r="342" spans="4:83" ht="11.45" customHeight="1" x14ac:dyDescent="0.2">
      <c r="D342" s="11"/>
      <c r="E342" s="11"/>
      <c r="F342" s="11"/>
      <c r="G342" s="11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46"/>
      <c r="T342" s="36"/>
      <c r="U342" s="36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  <c r="BS342" s="9"/>
      <c r="BT342" s="9"/>
      <c r="BU342" s="9"/>
      <c r="BV342" s="9"/>
      <c r="BW342" s="9"/>
      <c r="BX342" s="9"/>
      <c r="BY342" s="9"/>
      <c r="BZ342" s="9"/>
      <c r="CA342" s="9"/>
      <c r="CB342" s="9"/>
      <c r="CC342" s="9"/>
      <c r="CD342" s="9"/>
      <c r="CE342" s="9"/>
    </row>
    <row r="343" spans="4:83" ht="11.45" customHeight="1" x14ac:dyDescent="0.2">
      <c r="D343" s="11"/>
      <c r="E343" s="11"/>
      <c r="F343" s="11"/>
      <c r="G343" s="11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46"/>
      <c r="T343" s="36"/>
      <c r="U343" s="36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  <c r="BS343" s="9"/>
      <c r="BT343" s="9"/>
      <c r="BU343" s="9"/>
      <c r="BV343" s="9"/>
      <c r="BW343" s="9"/>
      <c r="BX343" s="9"/>
      <c r="BY343" s="9"/>
      <c r="BZ343" s="9"/>
      <c r="CA343" s="9"/>
      <c r="CB343" s="9"/>
      <c r="CC343" s="9"/>
      <c r="CD343" s="9"/>
      <c r="CE343" s="9"/>
    </row>
    <row r="344" spans="4:83" ht="11.45" customHeight="1" x14ac:dyDescent="0.2">
      <c r="D344" s="11"/>
      <c r="E344" s="11"/>
      <c r="F344" s="11"/>
      <c r="G344" s="11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46"/>
      <c r="T344" s="36"/>
      <c r="U344" s="36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  <c r="BS344" s="9"/>
      <c r="BT344" s="9"/>
      <c r="BU344" s="9"/>
      <c r="BV344" s="9"/>
      <c r="BW344" s="9"/>
      <c r="BX344" s="9"/>
      <c r="BY344" s="9"/>
      <c r="BZ344" s="9"/>
      <c r="CA344" s="9"/>
      <c r="CB344" s="9"/>
      <c r="CC344" s="9"/>
      <c r="CD344" s="9"/>
      <c r="CE344" s="9"/>
    </row>
    <row r="345" spans="4:83" ht="11.45" customHeight="1" x14ac:dyDescent="0.2">
      <c r="D345" s="11"/>
      <c r="E345" s="11"/>
      <c r="F345" s="11"/>
      <c r="G345" s="11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46"/>
      <c r="T345" s="36"/>
      <c r="U345" s="36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  <c r="BS345" s="9"/>
      <c r="BT345" s="9"/>
      <c r="BU345" s="9"/>
      <c r="BV345" s="9"/>
      <c r="BW345" s="9"/>
      <c r="BX345" s="9"/>
      <c r="BY345" s="9"/>
      <c r="BZ345" s="9"/>
      <c r="CA345" s="9"/>
      <c r="CB345" s="9"/>
      <c r="CC345" s="9"/>
      <c r="CD345" s="9"/>
      <c r="CE345" s="9"/>
    </row>
    <row r="346" spans="4:83" ht="11.45" customHeight="1" x14ac:dyDescent="0.2">
      <c r="D346" s="11"/>
      <c r="E346" s="11"/>
      <c r="F346" s="11"/>
      <c r="G346" s="11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46"/>
      <c r="T346" s="36"/>
      <c r="U346" s="36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  <c r="BS346" s="9"/>
      <c r="BT346" s="9"/>
      <c r="BU346" s="9"/>
      <c r="BV346" s="9"/>
      <c r="BW346" s="9"/>
      <c r="BX346" s="9"/>
      <c r="BY346" s="9"/>
      <c r="BZ346" s="9"/>
      <c r="CA346" s="9"/>
      <c r="CB346" s="9"/>
      <c r="CC346" s="9"/>
      <c r="CD346" s="9"/>
      <c r="CE346" s="9"/>
    </row>
    <row r="347" spans="4:83" ht="11.45" customHeight="1" x14ac:dyDescent="0.2">
      <c r="D347" s="11"/>
      <c r="E347" s="11"/>
      <c r="F347" s="11"/>
      <c r="G347" s="11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46"/>
      <c r="T347" s="36"/>
      <c r="U347" s="36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  <c r="BS347" s="9"/>
      <c r="BT347" s="9"/>
      <c r="BU347" s="9"/>
      <c r="BV347" s="9"/>
      <c r="BW347" s="9"/>
      <c r="BX347" s="9"/>
      <c r="BY347" s="9"/>
      <c r="BZ347" s="9"/>
      <c r="CA347" s="9"/>
      <c r="CB347" s="9"/>
      <c r="CC347" s="9"/>
      <c r="CD347" s="9"/>
      <c r="CE347" s="9"/>
    </row>
    <row r="348" spans="4:83" ht="11.45" customHeight="1" x14ac:dyDescent="0.2">
      <c r="D348" s="11"/>
      <c r="E348" s="11"/>
      <c r="F348" s="11"/>
      <c r="G348" s="11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46"/>
      <c r="T348" s="36"/>
      <c r="U348" s="36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  <c r="BS348" s="9"/>
      <c r="BT348" s="9"/>
      <c r="BU348" s="9"/>
      <c r="BV348" s="9"/>
      <c r="BW348" s="9"/>
      <c r="BX348" s="9"/>
      <c r="BY348" s="9"/>
      <c r="BZ348" s="9"/>
      <c r="CA348" s="9"/>
      <c r="CB348" s="9"/>
      <c r="CC348" s="9"/>
      <c r="CD348" s="9"/>
      <c r="CE348" s="9"/>
    </row>
    <row r="349" spans="4:83" ht="11.45" customHeight="1" x14ac:dyDescent="0.2">
      <c r="D349" s="11"/>
      <c r="E349" s="11"/>
      <c r="F349" s="11"/>
      <c r="G349" s="11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46"/>
      <c r="T349" s="36"/>
      <c r="U349" s="36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  <c r="BS349" s="9"/>
      <c r="BT349" s="9"/>
      <c r="BU349" s="9"/>
      <c r="BV349" s="9"/>
      <c r="BW349" s="9"/>
      <c r="BX349" s="9"/>
      <c r="BY349" s="9"/>
      <c r="BZ349" s="9"/>
      <c r="CA349" s="9"/>
      <c r="CB349" s="9"/>
      <c r="CC349" s="9"/>
      <c r="CD349" s="9"/>
      <c r="CE349" s="9"/>
    </row>
    <row r="350" spans="4:83" ht="11.45" customHeight="1" x14ac:dyDescent="0.2">
      <c r="D350" s="11"/>
      <c r="E350" s="11"/>
      <c r="F350" s="11"/>
      <c r="G350" s="11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46"/>
      <c r="T350" s="36"/>
      <c r="U350" s="36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  <c r="BS350" s="9"/>
      <c r="BT350" s="9"/>
      <c r="BU350" s="9"/>
      <c r="BV350" s="9"/>
      <c r="BW350" s="9"/>
      <c r="BX350" s="9"/>
      <c r="BY350" s="9"/>
      <c r="BZ350" s="9"/>
      <c r="CA350" s="9"/>
      <c r="CB350" s="9"/>
      <c r="CC350" s="9"/>
      <c r="CD350" s="9"/>
      <c r="CE350" s="9"/>
    </row>
    <row r="351" spans="4:83" ht="11.45" customHeight="1" x14ac:dyDescent="0.2">
      <c r="D351" s="11"/>
      <c r="E351" s="11"/>
      <c r="F351" s="11"/>
      <c r="G351" s="11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46"/>
      <c r="T351" s="36"/>
      <c r="U351" s="36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  <c r="BS351" s="9"/>
      <c r="BT351" s="9"/>
      <c r="BU351" s="9"/>
      <c r="BV351" s="9"/>
      <c r="BW351" s="9"/>
      <c r="BX351" s="9"/>
      <c r="BY351" s="9"/>
      <c r="BZ351" s="9"/>
      <c r="CA351" s="9"/>
      <c r="CB351" s="9"/>
      <c r="CC351" s="9"/>
      <c r="CD351" s="9"/>
      <c r="CE351" s="9"/>
    </row>
    <row r="352" spans="4:83" ht="11.45" customHeight="1" x14ac:dyDescent="0.2">
      <c r="D352" s="11"/>
      <c r="E352" s="11"/>
      <c r="F352" s="11"/>
      <c r="G352" s="11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46"/>
      <c r="T352" s="36"/>
      <c r="U352" s="36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  <c r="BS352" s="9"/>
      <c r="BT352" s="9"/>
      <c r="BU352" s="9"/>
      <c r="BV352" s="9"/>
      <c r="BW352" s="9"/>
      <c r="BX352" s="9"/>
      <c r="BY352" s="9"/>
      <c r="BZ352" s="9"/>
      <c r="CA352" s="9"/>
      <c r="CB352" s="9"/>
      <c r="CC352" s="9"/>
      <c r="CD352" s="9"/>
      <c r="CE352" s="9"/>
    </row>
    <row r="353" spans="4:83" ht="11.45" customHeight="1" x14ac:dyDescent="0.2">
      <c r="D353" s="11"/>
      <c r="E353" s="11"/>
      <c r="F353" s="11"/>
      <c r="G353" s="11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46"/>
      <c r="T353" s="36"/>
      <c r="U353" s="36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  <c r="BS353" s="9"/>
      <c r="BT353" s="9"/>
      <c r="BU353" s="9"/>
      <c r="BV353" s="9"/>
      <c r="BW353" s="9"/>
      <c r="BX353" s="9"/>
      <c r="BY353" s="9"/>
      <c r="BZ353" s="9"/>
      <c r="CA353" s="9"/>
      <c r="CB353" s="9"/>
      <c r="CC353" s="9"/>
      <c r="CD353" s="9"/>
      <c r="CE353" s="9"/>
    </row>
    <row r="354" spans="4:83" ht="11.45" customHeight="1" x14ac:dyDescent="0.2">
      <c r="D354" s="11"/>
      <c r="E354" s="11"/>
      <c r="F354" s="11"/>
      <c r="G354" s="11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46"/>
      <c r="T354" s="36"/>
      <c r="U354" s="36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  <c r="BS354" s="9"/>
      <c r="BT354" s="9"/>
      <c r="BU354" s="9"/>
      <c r="BV354" s="9"/>
      <c r="BW354" s="9"/>
      <c r="BX354" s="9"/>
      <c r="BY354" s="9"/>
      <c r="BZ354" s="9"/>
      <c r="CA354" s="9"/>
      <c r="CB354" s="9"/>
      <c r="CC354" s="9"/>
      <c r="CD354" s="9"/>
      <c r="CE354" s="9"/>
    </row>
    <row r="355" spans="4:83" ht="11.45" customHeight="1" x14ac:dyDescent="0.2">
      <c r="D355" s="11"/>
      <c r="E355" s="11"/>
      <c r="F355" s="11"/>
      <c r="G355" s="11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46"/>
      <c r="T355" s="36"/>
      <c r="U355" s="36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  <c r="BS355" s="9"/>
      <c r="BT355" s="9"/>
      <c r="BU355" s="9"/>
      <c r="BV355" s="9"/>
      <c r="BW355" s="9"/>
      <c r="BX355" s="9"/>
      <c r="BY355" s="9"/>
      <c r="BZ355" s="9"/>
      <c r="CA355" s="9"/>
      <c r="CB355" s="9"/>
      <c r="CC355" s="9"/>
      <c r="CD355" s="9"/>
      <c r="CE355" s="9"/>
    </row>
    <row r="356" spans="4:83" ht="11.45" customHeight="1" x14ac:dyDescent="0.2">
      <c r="D356" s="11"/>
      <c r="E356" s="11"/>
      <c r="F356" s="11"/>
      <c r="G356" s="11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46"/>
      <c r="T356" s="36"/>
      <c r="U356" s="36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  <c r="BS356" s="9"/>
      <c r="BT356" s="9"/>
      <c r="BU356" s="9"/>
      <c r="BV356" s="9"/>
      <c r="BW356" s="9"/>
      <c r="BX356" s="9"/>
      <c r="BY356" s="9"/>
      <c r="BZ356" s="9"/>
      <c r="CA356" s="9"/>
      <c r="CB356" s="9"/>
      <c r="CC356" s="9"/>
      <c r="CD356" s="9"/>
      <c r="CE356" s="9"/>
    </row>
    <row r="357" spans="4:83" ht="11.45" customHeight="1" x14ac:dyDescent="0.2">
      <c r="D357" s="11"/>
      <c r="E357" s="11"/>
      <c r="F357" s="11"/>
      <c r="G357" s="11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46"/>
      <c r="T357" s="36"/>
      <c r="U357" s="36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  <c r="BS357" s="9"/>
      <c r="BT357" s="9"/>
      <c r="BU357" s="9"/>
      <c r="BV357" s="9"/>
      <c r="BW357" s="9"/>
      <c r="BX357" s="9"/>
      <c r="BY357" s="9"/>
      <c r="BZ357" s="9"/>
      <c r="CA357" s="9"/>
      <c r="CB357" s="9"/>
      <c r="CC357" s="9"/>
      <c r="CD357" s="9"/>
      <c r="CE357" s="9"/>
    </row>
    <row r="358" spans="4:83" ht="11.45" customHeight="1" x14ac:dyDescent="0.2">
      <c r="D358" s="11"/>
      <c r="E358" s="11"/>
      <c r="F358" s="11"/>
      <c r="G358" s="11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46"/>
      <c r="T358" s="36"/>
      <c r="U358" s="36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  <c r="BS358" s="9"/>
      <c r="BT358" s="9"/>
      <c r="BU358" s="9"/>
      <c r="BV358" s="9"/>
      <c r="BW358" s="9"/>
      <c r="BX358" s="9"/>
      <c r="BY358" s="9"/>
      <c r="BZ358" s="9"/>
      <c r="CA358" s="9"/>
      <c r="CB358" s="9"/>
      <c r="CC358" s="9"/>
      <c r="CD358" s="9"/>
      <c r="CE358" s="9"/>
    </row>
    <row r="359" spans="4:83" ht="11.45" customHeight="1" x14ac:dyDescent="0.2">
      <c r="D359" s="11"/>
      <c r="E359" s="11"/>
      <c r="F359" s="11"/>
      <c r="G359" s="11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46"/>
      <c r="T359" s="36"/>
      <c r="U359" s="36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  <c r="BS359" s="9"/>
      <c r="BT359" s="9"/>
      <c r="BU359" s="9"/>
      <c r="BV359" s="9"/>
      <c r="BW359" s="9"/>
      <c r="BX359" s="9"/>
      <c r="BY359" s="9"/>
      <c r="BZ359" s="9"/>
      <c r="CA359" s="9"/>
      <c r="CB359" s="9"/>
      <c r="CC359" s="9"/>
      <c r="CD359" s="9"/>
      <c r="CE359" s="9"/>
    </row>
    <row r="360" spans="4:83" ht="11.45" customHeight="1" x14ac:dyDescent="0.2">
      <c r="D360" s="11"/>
      <c r="E360" s="11"/>
      <c r="F360" s="11"/>
      <c r="G360" s="11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46"/>
      <c r="T360" s="36"/>
      <c r="U360" s="36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  <c r="BS360" s="9"/>
      <c r="BT360" s="9"/>
      <c r="BU360" s="9"/>
      <c r="BV360" s="9"/>
      <c r="BW360" s="9"/>
      <c r="BX360" s="9"/>
      <c r="BY360" s="9"/>
      <c r="BZ360" s="9"/>
      <c r="CA360" s="9"/>
      <c r="CB360" s="9"/>
      <c r="CC360" s="9"/>
      <c r="CD360" s="9"/>
      <c r="CE360" s="9"/>
    </row>
    <row r="361" spans="4:83" ht="11.45" customHeight="1" x14ac:dyDescent="0.2">
      <c r="D361" s="11"/>
      <c r="E361" s="11"/>
      <c r="F361" s="11"/>
      <c r="G361" s="11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46"/>
      <c r="T361" s="36"/>
      <c r="U361" s="36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  <c r="BS361" s="9"/>
      <c r="BT361" s="9"/>
      <c r="BU361" s="9"/>
      <c r="BV361" s="9"/>
      <c r="BW361" s="9"/>
      <c r="BX361" s="9"/>
      <c r="BY361" s="9"/>
      <c r="BZ361" s="9"/>
      <c r="CA361" s="9"/>
      <c r="CB361" s="9"/>
      <c r="CC361" s="9"/>
      <c r="CD361" s="9"/>
      <c r="CE361" s="9"/>
    </row>
    <row r="362" spans="4:83" ht="11.45" customHeight="1" x14ac:dyDescent="0.2">
      <c r="D362" s="11"/>
      <c r="E362" s="11"/>
      <c r="F362" s="11"/>
      <c r="G362" s="11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46"/>
      <c r="T362" s="36"/>
      <c r="U362" s="36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  <c r="BS362" s="9"/>
      <c r="BT362" s="9"/>
      <c r="BU362" s="9"/>
      <c r="BV362" s="9"/>
      <c r="BW362" s="9"/>
      <c r="BX362" s="9"/>
      <c r="BY362" s="9"/>
      <c r="BZ362" s="9"/>
      <c r="CA362" s="9"/>
      <c r="CB362" s="9"/>
      <c r="CC362" s="9"/>
      <c r="CD362" s="9"/>
      <c r="CE362" s="9"/>
    </row>
    <row r="363" spans="4:83" ht="11.45" customHeight="1" x14ac:dyDescent="0.2">
      <c r="D363" s="11"/>
      <c r="E363" s="11"/>
      <c r="F363" s="11"/>
      <c r="G363" s="11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46"/>
      <c r="T363" s="36"/>
      <c r="U363" s="36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  <c r="BS363" s="9"/>
      <c r="BT363" s="9"/>
      <c r="BU363" s="9"/>
      <c r="BV363" s="9"/>
      <c r="BW363" s="9"/>
      <c r="BX363" s="9"/>
      <c r="BY363" s="9"/>
      <c r="BZ363" s="9"/>
      <c r="CA363" s="9"/>
      <c r="CB363" s="9"/>
      <c r="CC363" s="9"/>
      <c r="CD363" s="9"/>
      <c r="CE363" s="9"/>
    </row>
    <row r="364" spans="4:83" ht="11.45" customHeight="1" x14ac:dyDescent="0.2">
      <c r="D364" s="11"/>
      <c r="E364" s="11"/>
      <c r="F364" s="11"/>
      <c r="G364" s="11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46"/>
      <c r="T364" s="36"/>
      <c r="U364" s="36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  <c r="BS364" s="9"/>
      <c r="BT364" s="9"/>
      <c r="BU364" s="9"/>
      <c r="BV364" s="9"/>
      <c r="BW364" s="9"/>
      <c r="BX364" s="9"/>
      <c r="BY364" s="9"/>
      <c r="BZ364" s="9"/>
      <c r="CA364" s="9"/>
      <c r="CB364" s="9"/>
      <c r="CC364" s="9"/>
      <c r="CD364" s="9"/>
      <c r="CE364" s="9"/>
    </row>
    <row r="365" spans="4:83" ht="11.45" customHeight="1" x14ac:dyDescent="0.2">
      <c r="D365" s="11"/>
      <c r="E365" s="11"/>
      <c r="F365" s="11"/>
      <c r="G365" s="11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46"/>
      <c r="T365" s="36"/>
      <c r="U365" s="36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  <c r="CE365" s="9"/>
    </row>
    <row r="366" spans="4:83" ht="11.45" customHeight="1" x14ac:dyDescent="0.2">
      <c r="D366" s="11"/>
      <c r="E366" s="11"/>
      <c r="F366" s="11"/>
      <c r="G366" s="11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46"/>
      <c r="T366" s="36"/>
      <c r="U366" s="36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  <c r="CE366" s="9"/>
    </row>
    <row r="367" spans="4:83" ht="11.45" customHeight="1" x14ac:dyDescent="0.2">
      <c r="D367" s="11"/>
      <c r="E367" s="11"/>
      <c r="F367" s="11"/>
      <c r="G367" s="11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46"/>
      <c r="T367" s="36"/>
      <c r="U367" s="36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  <c r="CE367" s="9"/>
    </row>
    <row r="368" spans="4:83" ht="11.45" customHeight="1" x14ac:dyDescent="0.2">
      <c r="D368" s="11"/>
      <c r="E368" s="11"/>
      <c r="F368" s="11"/>
      <c r="G368" s="11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46"/>
      <c r="T368" s="36"/>
      <c r="U368" s="36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  <c r="CE368" s="9"/>
    </row>
    <row r="369" spans="4:83" ht="11.45" customHeight="1" x14ac:dyDescent="0.2">
      <c r="D369" s="11"/>
      <c r="E369" s="11"/>
      <c r="F369" s="11"/>
      <c r="G369" s="11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46"/>
      <c r="T369" s="36"/>
      <c r="U369" s="36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  <c r="CE369" s="9"/>
    </row>
    <row r="370" spans="4:83" ht="11.45" customHeight="1" x14ac:dyDescent="0.2">
      <c r="D370" s="11"/>
      <c r="E370" s="11"/>
      <c r="F370" s="11"/>
      <c r="G370" s="11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46"/>
      <c r="T370" s="36"/>
      <c r="U370" s="36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  <c r="CE370" s="9"/>
    </row>
    <row r="371" spans="4:83" ht="11.45" customHeight="1" x14ac:dyDescent="0.2">
      <c r="D371" s="11"/>
      <c r="E371" s="11"/>
      <c r="F371" s="11"/>
      <c r="G371" s="11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46"/>
      <c r="T371" s="36"/>
      <c r="U371" s="36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  <c r="BS371" s="9"/>
      <c r="BT371" s="9"/>
      <c r="BU371" s="9"/>
      <c r="BV371" s="9"/>
      <c r="BW371" s="9"/>
      <c r="BX371" s="9"/>
      <c r="BY371" s="9"/>
      <c r="BZ371" s="9"/>
      <c r="CA371" s="9"/>
      <c r="CB371" s="9"/>
      <c r="CC371" s="9"/>
      <c r="CD371" s="9"/>
      <c r="CE371" s="9"/>
    </row>
    <row r="372" spans="4:83" ht="11.45" customHeight="1" x14ac:dyDescent="0.2">
      <c r="D372" s="11"/>
      <c r="E372" s="11"/>
      <c r="F372" s="11"/>
      <c r="G372" s="11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46"/>
      <c r="T372" s="36"/>
      <c r="U372" s="36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  <c r="BS372" s="9"/>
      <c r="BT372" s="9"/>
      <c r="BU372" s="9"/>
      <c r="BV372" s="9"/>
      <c r="BW372" s="9"/>
      <c r="BX372" s="9"/>
      <c r="BY372" s="9"/>
      <c r="BZ372" s="9"/>
      <c r="CA372" s="9"/>
      <c r="CB372" s="9"/>
      <c r="CC372" s="9"/>
      <c r="CD372" s="9"/>
      <c r="CE372" s="9"/>
    </row>
    <row r="373" spans="4:83" ht="11.45" customHeight="1" x14ac:dyDescent="0.2">
      <c r="D373" s="11"/>
      <c r="E373" s="11"/>
      <c r="F373" s="11"/>
      <c r="G373" s="11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46"/>
      <c r="T373" s="36"/>
      <c r="U373" s="36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  <c r="BS373" s="9"/>
      <c r="BT373" s="9"/>
      <c r="BU373" s="9"/>
      <c r="BV373" s="9"/>
      <c r="BW373" s="9"/>
      <c r="BX373" s="9"/>
      <c r="BY373" s="9"/>
      <c r="BZ373" s="9"/>
      <c r="CA373" s="9"/>
      <c r="CB373" s="9"/>
      <c r="CC373" s="9"/>
      <c r="CD373" s="9"/>
      <c r="CE373" s="9"/>
    </row>
    <row r="374" spans="4:83" ht="11.45" customHeight="1" x14ac:dyDescent="0.2">
      <c r="D374" s="11"/>
      <c r="E374" s="11"/>
      <c r="F374" s="11"/>
      <c r="G374" s="11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46"/>
      <c r="T374" s="36"/>
      <c r="U374" s="36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  <c r="BS374" s="9"/>
      <c r="BT374" s="9"/>
      <c r="BU374" s="9"/>
      <c r="BV374" s="9"/>
      <c r="BW374" s="9"/>
      <c r="BX374" s="9"/>
      <c r="BY374" s="9"/>
      <c r="BZ374" s="9"/>
      <c r="CA374" s="9"/>
      <c r="CB374" s="9"/>
      <c r="CC374" s="9"/>
      <c r="CD374" s="9"/>
      <c r="CE374" s="9"/>
    </row>
    <row r="375" spans="4:83" ht="11.45" customHeight="1" x14ac:dyDescent="0.2">
      <c r="D375" s="11"/>
      <c r="E375" s="11"/>
      <c r="F375" s="11"/>
      <c r="G375" s="11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46"/>
      <c r="T375" s="36"/>
      <c r="U375" s="36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  <c r="BS375" s="9"/>
      <c r="BT375" s="9"/>
      <c r="BU375" s="9"/>
      <c r="BV375" s="9"/>
      <c r="BW375" s="9"/>
      <c r="BX375" s="9"/>
      <c r="BY375" s="9"/>
      <c r="BZ375" s="9"/>
      <c r="CA375" s="9"/>
      <c r="CB375" s="9"/>
      <c r="CC375" s="9"/>
      <c r="CD375" s="9"/>
      <c r="CE375" s="9"/>
    </row>
    <row r="376" spans="4:83" ht="11.45" customHeight="1" x14ac:dyDescent="0.2">
      <c r="D376" s="11"/>
      <c r="E376" s="11"/>
      <c r="F376" s="11"/>
      <c r="G376" s="11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46"/>
      <c r="T376" s="36"/>
      <c r="U376" s="36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  <c r="BS376" s="9"/>
      <c r="BT376" s="9"/>
      <c r="BU376" s="9"/>
      <c r="BV376" s="9"/>
      <c r="BW376" s="9"/>
      <c r="BX376" s="9"/>
      <c r="BY376" s="9"/>
      <c r="BZ376" s="9"/>
      <c r="CA376" s="9"/>
      <c r="CB376" s="9"/>
      <c r="CC376" s="9"/>
      <c r="CD376" s="9"/>
      <c r="CE376" s="9"/>
    </row>
    <row r="377" spans="4:83" ht="11.45" customHeight="1" x14ac:dyDescent="0.2">
      <c r="D377" s="11"/>
      <c r="E377" s="11"/>
      <c r="F377" s="11"/>
      <c r="G377" s="11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46"/>
      <c r="T377" s="36"/>
      <c r="U377" s="36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  <c r="BS377" s="9"/>
      <c r="BT377" s="9"/>
      <c r="BU377" s="9"/>
      <c r="BV377" s="9"/>
      <c r="BW377" s="9"/>
      <c r="BX377" s="9"/>
      <c r="BY377" s="9"/>
      <c r="BZ377" s="9"/>
      <c r="CA377" s="9"/>
      <c r="CB377" s="9"/>
      <c r="CC377" s="9"/>
      <c r="CD377" s="9"/>
      <c r="CE377" s="9"/>
    </row>
    <row r="378" spans="4:83" ht="11.45" customHeight="1" x14ac:dyDescent="0.2">
      <c r="D378" s="11"/>
      <c r="E378" s="11"/>
      <c r="F378" s="11"/>
      <c r="G378" s="11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46"/>
      <c r="T378" s="36"/>
      <c r="U378" s="36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  <c r="BS378" s="9"/>
      <c r="BT378" s="9"/>
      <c r="BU378" s="9"/>
      <c r="BV378" s="9"/>
      <c r="BW378" s="9"/>
      <c r="BX378" s="9"/>
      <c r="BY378" s="9"/>
      <c r="BZ378" s="9"/>
      <c r="CA378" s="9"/>
      <c r="CB378" s="9"/>
      <c r="CC378" s="9"/>
      <c r="CD378" s="9"/>
      <c r="CE378" s="9"/>
    </row>
    <row r="379" spans="4:83" ht="11.45" customHeight="1" x14ac:dyDescent="0.2">
      <c r="D379" s="11"/>
      <c r="E379" s="11"/>
      <c r="F379" s="11"/>
      <c r="G379" s="11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46"/>
      <c r="T379" s="36"/>
      <c r="U379" s="36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  <c r="BS379" s="9"/>
      <c r="BT379" s="9"/>
      <c r="BU379" s="9"/>
      <c r="BV379" s="9"/>
      <c r="BW379" s="9"/>
      <c r="BX379" s="9"/>
      <c r="BY379" s="9"/>
      <c r="BZ379" s="9"/>
      <c r="CA379" s="9"/>
      <c r="CB379" s="9"/>
      <c r="CC379" s="9"/>
      <c r="CD379" s="9"/>
      <c r="CE379" s="9"/>
    </row>
    <row r="380" spans="4:83" ht="11.45" customHeight="1" x14ac:dyDescent="0.2">
      <c r="D380" s="11"/>
      <c r="E380" s="11"/>
      <c r="F380" s="11"/>
      <c r="G380" s="11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46"/>
      <c r="T380" s="36"/>
      <c r="U380" s="36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  <c r="BS380" s="9"/>
      <c r="BT380" s="9"/>
      <c r="BU380" s="9"/>
      <c r="BV380" s="9"/>
      <c r="BW380" s="9"/>
      <c r="BX380" s="9"/>
      <c r="BY380" s="9"/>
      <c r="BZ380" s="9"/>
      <c r="CA380" s="9"/>
      <c r="CB380" s="9"/>
      <c r="CC380" s="9"/>
      <c r="CD380" s="9"/>
      <c r="CE380" s="9"/>
    </row>
    <row r="381" spans="4:83" ht="11.45" customHeight="1" x14ac:dyDescent="0.2">
      <c r="D381" s="11"/>
      <c r="E381" s="11"/>
      <c r="F381" s="11"/>
      <c r="G381" s="11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46"/>
      <c r="T381" s="36"/>
      <c r="U381" s="36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  <c r="BS381" s="9"/>
      <c r="BT381" s="9"/>
      <c r="BU381" s="9"/>
      <c r="BV381" s="9"/>
      <c r="BW381" s="9"/>
      <c r="BX381" s="9"/>
      <c r="BY381" s="9"/>
      <c r="BZ381" s="9"/>
      <c r="CA381" s="9"/>
      <c r="CB381" s="9"/>
      <c r="CC381" s="9"/>
      <c r="CD381" s="9"/>
      <c r="CE381" s="9"/>
    </row>
    <row r="382" spans="4:83" ht="11.45" customHeight="1" x14ac:dyDescent="0.2">
      <c r="D382" s="11"/>
      <c r="E382" s="11"/>
      <c r="F382" s="11"/>
      <c r="G382" s="11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46"/>
      <c r="T382" s="36"/>
      <c r="U382" s="36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  <c r="BS382" s="9"/>
      <c r="BT382" s="9"/>
      <c r="BU382" s="9"/>
      <c r="BV382" s="9"/>
      <c r="BW382" s="9"/>
      <c r="BX382" s="9"/>
      <c r="BY382" s="9"/>
      <c r="BZ382" s="9"/>
      <c r="CA382" s="9"/>
      <c r="CB382" s="9"/>
      <c r="CC382" s="9"/>
      <c r="CD382" s="9"/>
      <c r="CE382" s="9"/>
    </row>
    <row r="383" spans="4:83" ht="11.45" customHeight="1" x14ac:dyDescent="0.2">
      <c r="D383" s="11"/>
      <c r="E383" s="11"/>
      <c r="F383" s="11"/>
      <c r="G383" s="11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46"/>
      <c r="T383" s="36"/>
      <c r="U383" s="36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  <c r="BS383" s="9"/>
      <c r="BT383" s="9"/>
      <c r="BU383" s="9"/>
      <c r="BV383" s="9"/>
      <c r="BW383" s="9"/>
      <c r="BX383" s="9"/>
      <c r="BY383" s="9"/>
      <c r="BZ383" s="9"/>
      <c r="CA383" s="9"/>
      <c r="CB383" s="9"/>
      <c r="CC383" s="9"/>
      <c r="CD383" s="9"/>
      <c r="CE383" s="9"/>
    </row>
    <row r="384" spans="4:83" ht="11.45" customHeight="1" x14ac:dyDescent="0.2">
      <c r="D384" s="11"/>
      <c r="E384" s="11"/>
      <c r="F384" s="11"/>
      <c r="G384" s="11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46"/>
      <c r="T384" s="36"/>
      <c r="U384" s="36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  <c r="BS384" s="9"/>
      <c r="BT384" s="9"/>
      <c r="BU384" s="9"/>
      <c r="BV384" s="9"/>
      <c r="BW384" s="9"/>
      <c r="BX384" s="9"/>
      <c r="BY384" s="9"/>
      <c r="BZ384" s="9"/>
      <c r="CA384" s="9"/>
      <c r="CB384" s="9"/>
      <c r="CC384" s="9"/>
      <c r="CD384" s="9"/>
      <c r="CE384" s="9"/>
    </row>
    <row r="385" spans="4:83" ht="11.45" customHeight="1" x14ac:dyDescent="0.2">
      <c r="D385" s="11"/>
      <c r="E385" s="11"/>
      <c r="F385" s="11"/>
      <c r="G385" s="11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46"/>
      <c r="T385" s="36"/>
      <c r="U385" s="36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  <c r="BS385" s="9"/>
      <c r="BT385" s="9"/>
      <c r="BU385" s="9"/>
      <c r="BV385" s="9"/>
      <c r="BW385" s="9"/>
      <c r="BX385" s="9"/>
      <c r="BY385" s="9"/>
      <c r="BZ385" s="9"/>
      <c r="CA385" s="9"/>
      <c r="CB385" s="9"/>
      <c r="CC385" s="9"/>
      <c r="CD385" s="9"/>
      <c r="CE385" s="9"/>
    </row>
    <row r="386" spans="4:83" ht="11.45" customHeight="1" x14ac:dyDescent="0.2">
      <c r="D386" s="11"/>
      <c r="E386" s="11"/>
      <c r="F386" s="11"/>
      <c r="G386" s="11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46"/>
      <c r="T386" s="36"/>
      <c r="U386" s="36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  <c r="BS386" s="9"/>
      <c r="BT386" s="9"/>
      <c r="BU386" s="9"/>
      <c r="BV386" s="9"/>
      <c r="BW386" s="9"/>
      <c r="BX386" s="9"/>
      <c r="BY386" s="9"/>
      <c r="BZ386" s="9"/>
      <c r="CA386" s="9"/>
      <c r="CB386" s="9"/>
      <c r="CC386" s="9"/>
      <c r="CD386" s="9"/>
      <c r="CE386" s="9"/>
    </row>
    <row r="387" spans="4:83" ht="11.45" customHeight="1" x14ac:dyDescent="0.2">
      <c r="D387" s="11"/>
      <c r="E387" s="11"/>
      <c r="F387" s="11"/>
      <c r="G387" s="11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46"/>
      <c r="T387" s="36"/>
      <c r="U387" s="36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  <c r="BS387" s="9"/>
      <c r="BT387" s="9"/>
      <c r="BU387" s="9"/>
      <c r="BV387" s="9"/>
      <c r="BW387" s="9"/>
      <c r="BX387" s="9"/>
      <c r="BY387" s="9"/>
      <c r="BZ387" s="9"/>
      <c r="CA387" s="9"/>
      <c r="CB387" s="9"/>
      <c r="CC387" s="9"/>
      <c r="CD387" s="9"/>
      <c r="CE387" s="9"/>
    </row>
    <row r="388" spans="4:83" ht="11.45" customHeight="1" x14ac:dyDescent="0.2">
      <c r="D388" s="11"/>
      <c r="E388" s="11"/>
      <c r="F388" s="11"/>
      <c r="G388" s="11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46"/>
      <c r="T388" s="36"/>
      <c r="U388" s="36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  <c r="BS388" s="9"/>
      <c r="BT388" s="9"/>
      <c r="BU388" s="9"/>
      <c r="BV388" s="9"/>
      <c r="BW388" s="9"/>
      <c r="BX388" s="9"/>
      <c r="BY388" s="9"/>
      <c r="BZ388" s="9"/>
      <c r="CA388" s="9"/>
      <c r="CB388" s="9"/>
      <c r="CC388" s="9"/>
      <c r="CD388" s="9"/>
      <c r="CE388" s="9"/>
    </row>
    <row r="389" spans="4:83" ht="11.45" customHeight="1" x14ac:dyDescent="0.2">
      <c r="D389" s="11"/>
      <c r="E389" s="11"/>
      <c r="F389" s="11"/>
      <c r="G389" s="11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46"/>
      <c r="T389" s="36"/>
      <c r="U389" s="36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  <c r="BS389" s="9"/>
      <c r="BT389" s="9"/>
      <c r="BU389" s="9"/>
      <c r="BV389" s="9"/>
      <c r="BW389" s="9"/>
      <c r="BX389" s="9"/>
      <c r="BY389" s="9"/>
      <c r="BZ389" s="9"/>
      <c r="CA389" s="9"/>
      <c r="CB389" s="9"/>
      <c r="CC389" s="9"/>
      <c r="CD389" s="9"/>
      <c r="CE389" s="9"/>
    </row>
    <row r="390" spans="4:83" ht="11.45" customHeight="1" x14ac:dyDescent="0.2">
      <c r="D390" s="11"/>
      <c r="E390" s="11"/>
      <c r="F390" s="11"/>
      <c r="G390" s="11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46"/>
      <c r="T390" s="36"/>
      <c r="U390" s="36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  <c r="BS390" s="9"/>
      <c r="BT390" s="9"/>
      <c r="BU390" s="9"/>
      <c r="BV390" s="9"/>
      <c r="BW390" s="9"/>
      <c r="BX390" s="9"/>
      <c r="BY390" s="9"/>
      <c r="BZ390" s="9"/>
      <c r="CA390" s="9"/>
      <c r="CB390" s="9"/>
      <c r="CC390" s="9"/>
      <c r="CD390" s="9"/>
      <c r="CE390" s="9"/>
    </row>
  </sheetData>
  <pageMargins left="0.75" right="1" top="0.75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2026-06-28T06:08:46Z</dcterms:modified>
</cp:coreProperties>
</file>