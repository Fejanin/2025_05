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2026\ЗАВОДЫ\Останкино\филиалы НВ\06,26\24,06,26 Останкино КИ\КИ + ЗПФ\Бердянск\"/>
    </mc:Choice>
  </mc:AlternateContent>
  <xr:revisionPtr revIDLastSave="0" documentId="13_ncr:1_{5FD8F828-E984-4962-A470-873184D0CD8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externalReferences>
    <externalReference r:id="rId2"/>
    <externalReference r:id="rId3"/>
    <externalReference r:id="rId4"/>
    <externalReference r:id="rId5"/>
  </externalReferences>
  <definedNames>
    <definedName name="_xlnm._FilterDatabase" localSheetId="0" hidden="1">TDSheet!$A$8:$AF$109</definedName>
  </definedNames>
  <calcPr calcId="191029" refMode="R1C1"/>
</workbook>
</file>

<file path=xl/calcChain.xml><?xml version="1.0" encoding="utf-8"?>
<calcChain xmlns="http://schemas.openxmlformats.org/spreadsheetml/2006/main">
  <c r="V15" i="1" l="1"/>
  <c r="V16" i="1"/>
  <c r="W13" i="1"/>
  <c r="W14" i="1"/>
  <c r="W15" i="1"/>
  <c r="W16" i="1"/>
  <c r="W17" i="1"/>
  <c r="W18" i="1"/>
  <c r="W19" i="1"/>
  <c r="AF19" i="1" s="1"/>
  <c r="W20" i="1"/>
  <c r="W21" i="1"/>
  <c r="W22" i="1"/>
  <c r="W23" i="1"/>
  <c r="W24" i="1"/>
  <c r="W25" i="1"/>
  <c r="W26" i="1"/>
  <c r="W27" i="1"/>
  <c r="W28" i="1"/>
  <c r="W29" i="1"/>
  <c r="AF29" i="1" s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AF102" i="1" s="1"/>
  <c r="W103" i="1"/>
  <c r="W104" i="1"/>
  <c r="W105" i="1"/>
  <c r="W106" i="1"/>
  <c r="W107" i="1"/>
  <c r="AF107" i="1" s="1"/>
  <c r="W108" i="1"/>
  <c r="AF108" i="1" s="1"/>
  <c r="W109" i="1"/>
  <c r="V13" i="1"/>
  <c r="V14" i="1"/>
  <c r="V17" i="1"/>
  <c r="V18" i="1"/>
  <c r="V19" i="1"/>
  <c r="AE19" i="1" s="1"/>
  <c r="V20" i="1"/>
  <c r="V21" i="1"/>
  <c r="V22" i="1"/>
  <c r="V23" i="1"/>
  <c r="V24" i="1"/>
  <c r="V25" i="1"/>
  <c r="V26" i="1"/>
  <c r="V27" i="1"/>
  <c r="V28" i="1"/>
  <c r="V29" i="1"/>
  <c r="AE29" i="1" s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AE102" i="1" s="1"/>
  <c r="V103" i="1"/>
  <c r="V104" i="1"/>
  <c r="V105" i="1"/>
  <c r="V106" i="1"/>
  <c r="V107" i="1"/>
  <c r="AE107" i="1" s="1"/>
  <c r="V108" i="1"/>
  <c r="AE108" i="1" s="1"/>
  <c r="V109" i="1"/>
  <c r="W10" i="1" l="1"/>
  <c r="M34" i="1" l="1"/>
  <c r="M41" i="1"/>
  <c r="M59" i="1"/>
  <c r="M80" i="1"/>
  <c r="M109" i="1"/>
  <c r="R12" i="1"/>
  <c r="R13" i="1"/>
  <c r="R14" i="1"/>
  <c r="R15" i="1"/>
  <c r="R16" i="1"/>
  <c r="R17" i="1"/>
  <c r="R18" i="1"/>
  <c r="R20" i="1"/>
  <c r="R21" i="1"/>
  <c r="R22" i="1"/>
  <c r="R23" i="1"/>
  <c r="R24" i="1"/>
  <c r="R25" i="1"/>
  <c r="R26" i="1"/>
  <c r="R27" i="1"/>
  <c r="R28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3" i="1"/>
  <c r="R104" i="1"/>
  <c r="R105" i="1"/>
  <c r="R106" i="1"/>
  <c r="R109" i="1"/>
  <c r="R11" i="1"/>
  <c r="S12" i="1"/>
  <c r="S13" i="1"/>
  <c r="S14" i="1"/>
  <c r="S15" i="1"/>
  <c r="S16" i="1"/>
  <c r="S17" i="1"/>
  <c r="S18" i="1"/>
  <c r="S20" i="1"/>
  <c r="S21" i="1"/>
  <c r="S22" i="1"/>
  <c r="S23" i="1"/>
  <c r="S24" i="1"/>
  <c r="S25" i="1"/>
  <c r="S26" i="1"/>
  <c r="S27" i="1"/>
  <c r="S28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3" i="1"/>
  <c r="S104" i="1"/>
  <c r="S105" i="1"/>
  <c r="S106" i="1"/>
  <c r="S109" i="1"/>
  <c r="S11" i="1"/>
  <c r="AD52" i="1" l="1"/>
  <c r="L12" i="1"/>
  <c r="M12" i="1" s="1"/>
  <c r="L13" i="1"/>
  <c r="M13" i="1" s="1"/>
  <c r="L14" i="1"/>
  <c r="M14" i="1" s="1"/>
  <c r="L15" i="1"/>
  <c r="M15" i="1" s="1"/>
  <c r="L16" i="1"/>
  <c r="M16" i="1" s="1"/>
  <c r="L17" i="1"/>
  <c r="M17" i="1" s="1"/>
  <c r="L18" i="1"/>
  <c r="M18" i="1" s="1"/>
  <c r="L19" i="1"/>
  <c r="M19" i="1" s="1"/>
  <c r="L20" i="1"/>
  <c r="M20" i="1" s="1"/>
  <c r="L21" i="1"/>
  <c r="M21" i="1" s="1"/>
  <c r="L22" i="1"/>
  <c r="M22" i="1" s="1"/>
  <c r="L23" i="1"/>
  <c r="M23" i="1" s="1"/>
  <c r="L24" i="1"/>
  <c r="M24" i="1" s="1"/>
  <c r="L25" i="1"/>
  <c r="M25" i="1" s="1"/>
  <c r="L26" i="1"/>
  <c r="M26" i="1" s="1"/>
  <c r="L27" i="1"/>
  <c r="M27" i="1" s="1"/>
  <c r="L28" i="1"/>
  <c r="M28" i="1" s="1"/>
  <c r="L29" i="1"/>
  <c r="M29" i="1" s="1"/>
  <c r="L30" i="1"/>
  <c r="M30" i="1" s="1"/>
  <c r="L31" i="1"/>
  <c r="M31" i="1" s="1"/>
  <c r="L32" i="1"/>
  <c r="M32" i="1" s="1"/>
  <c r="L33" i="1"/>
  <c r="M33" i="1" s="1"/>
  <c r="L35" i="1"/>
  <c r="M35" i="1" s="1"/>
  <c r="L36" i="1"/>
  <c r="M36" i="1" s="1"/>
  <c r="L37" i="1"/>
  <c r="M37" i="1" s="1"/>
  <c r="L38" i="1"/>
  <c r="M38" i="1" s="1"/>
  <c r="L39" i="1"/>
  <c r="M39" i="1" s="1"/>
  <c r="L40" i="1"/>
  <c r="M40" i="1" s="1"/>
  <c r="L42" i="1"/>
  <c r="M42" i="1" s="1"/>
  <c r="L43" i="1"/>
  <c r="M43" i="1" s="1"/>
  <c r="L44" i="1"/>
  <c r="M44" i="1" s="1"/>
  <c r="L45" i="1"/>
  <c r="M45" i="1" s="1"/>
  <c r="L46" i="1"/>
  <c r="M46" i="1" s="1"/>
  <c r="L47" i="1"/>
  <c r="M47" i="1" s="1"/>
  <c r="L48" i="1"/>
  <c r="M48" i="1" s="1"/>
  <c r="L49" i="1"/>
  <c r="M49" i="1" s="1"/>
  <c r="L50" i="1"/>
  <c r="M50" i="1" s="1"/>
  <c r="L51" i="1"/>
  <c r="M51" i="1" s="1"/>
  <c r="L52" i="1"/>
  <c r="M52" i="1" s="1"/>
  <c r="L53" i="1"/>
  <c r="M53" i="1" s="1"/>
  <c r="L54" i="1"/>
  <c r="M54" i="1" s="1"/>
  <c r="L55" i="1"/>
  <c r="M55" i="1" s="1"/>
  <c r="L56" i="1"/>
  <c r="M56" i="1" s="1"/>
  <c r="L57" i="1"/>
  <c r="M57" i="1" s="1"/>
  <c r="L58" i="1"/>
  <c r="M58" i="1" s="1"/>
  <c r="L60" i="1"/>
  <c r="M60" i="1" s="1"/>
  <c r="L61" i="1"/>
  <c r="M61" i="1" s="1"/>
  <c r="L62" i="1"/>
  <c r="M62" i="1" s="1"/>
  <c r="L63" i="1"/>
  <c r="M63" i="1" s="1"/>
  <c r="L64" i="1"/>
  <c r="M64" i="1" s="1"/>
  <c r="L65" i="1"/>
  <c r="M65" i="1" s="1"/>
  <c r="L66" i="1"/>
  <c r="M66" i="1" s="1"/>
  <c r="L67" i="1"/>
  <c r="M67" i="1" s="1"/>
  <c r="L68" i="1"/>
  <c r="M68" i="1" s="1"/>
  <c r="L69" i="1"/>
  <c r="M69" i="1" s="1"/>
  <c r="L70" i="1"/>
  <c r="M70" i="1" s="1"/>
  <c r="L71" i="1"/>
  <c r="M71" i="1" s="1"/>
  <c r="L72" i="1"/>
  <c r="M72" i="1" s="1"/>
  <c r="L73" i="1"/>
  <c r="M73" i="1" s="1"/>
  <c r="L74" i="1"/>
  <c r="M74" i="1" s="1"/>
  <c r="L75" i="1"/>
  <c r="M75" i="1" s="1"/>
  <c r="L76" i="1"/>
  <c r="M76" i="1" s="1"/>
  <c r="L77" i="1"/>
  <c r="M77" i="1" s="1"/>
  <c r="L78" i="1"/>
  <c r="M78" i="1" s="1"/>
  <c r="L79" i="1"/>
  <c r="M79" i="1" s="1"/>
  <c r="L81" i="1"/>
  <c r="M81" i="1" s="1"/>
  <c r="L82" i="1"/>
  <c r="M82" i="1" s="1"/>
  <c r="L83" i="1"/>
  <c r="M83" i="1" s="1"/>
  <c r="L84" i="1"/>
  <c r="M84" i="1" s="1"/>
  <c r="L85" i="1"/>
  <c r="M85" i="1" s="1"/>
  <c r="L86" i="1"/>
  <c r="M86" i="1" s="1"/>
  <c r="L87" i="1"/>
  <c r="M87" i="1" s="1"/>
  <c r="L88" i="1"/>
  <c r="M88" i="1" s="1"/>
  <c r="L89" i="1"/>
  <c r="M89" i="1" s="1"/>
  <c r="L90" i="1"/>
  <c r="M90" i="1" s="1"/>
  <c r="L91" i="1"/>
  <c r="M91" i="1" s="1"/>
  <c r="L92" i="1"/>
  <c r="M92" i="1" s="1"/>
  <c r="L93" i="1"/>
  <c r="M93" i="1" s="1"/>
  <c r="L94" i="1"/>
  <c r="M94" i="1" s="1"/>
  <c r="L95" i="1"/>
  <c r="M95" i="1" s="1"/>
  <c r="L96" i="1"/>
  <c r="M96" i="1" s="1"/>
  <c r="L97" i="1"/>
  <c r="M97" i="1" s="1"/>
  <c r="L98" i="1"/>
  <c r="M98" i="1" s="1"/>
  <c r="L99" i="1"/>
  <c r="M99" i="1" s="1"/>
  <c r="L100" i="1"/>
  <c r="M100" i="1" s="1"/>
  <c r="L101" i="1"/>
  <c r="M101" i="1" s="1"/>
  <c r="L102" i="1"/>
  <c r="M102" i="1" s="1"/>
  <c r="L103" i="1"/>
  <c r="M103" i="1" s="1"/>
  <c r="L104" i="1"/>
  <c r="M104" i="1" s="1"/>
  <c r="L105" i="1"/>
  <c r="M105" i="1" s="1"/>
  <c r="L106" i="1"/>
  <c r="M106" i="1" s="1"/>
  <c r="L107" i="1"/>
  <c r="M107" i="1" s="1"/>
  <c r="L108" i="1"/>
  <c r="M108" i="1" s="1"/>
  <c r="L11" i="1"/>
  <c r="M11" i="1" s="1"/>
  <c r="AD12" i="1" l="1"/>
  <c r="AD23" i="1"/>
  <c r="AD26" i="1"/>
  <c r="AD33" i="1"/>
  <c r="AD37" i="1"/>
  <c r="AD38" i="1"/>
  <c r="AD40" i="1"/>
  <c r="AD42" i="1"/>
  <c r="AD43" i="1"/>
  <c r="AD49" i="1"/>
  <c r="AD53" i="1"/>
  <c r="AD56" i="1"/>
  <c r="AD59" i="1"/>
  <c r="AD60" i="1"/>
  <c r="AD63" i="1"/>
  <c r="AD65" i="1"/>
  <c r="AD69" i="1"/>
  <c r="AD78" i="1"/>
  <c r="AD82" i="1"/>
  <c r="AD96" i="1"/>
  <c r="AD97" i="1"/>
  <c r="AD98" i="1"/>
  <c r="AD99" i="1"/>
  <c r="AD100" i="1"/>
  <c r="AD101" i="1"/>
  <c r="AD102" i="1"/>
  <c r="AD103" i="1"/>
  <c r="AD104" i="1"/>
  <c r="AD105" i="1"/>
  <c r="AD106" i="1"/>
  <c r="AD107" i="1"/>
  <c r="AD108" i="1"/>
  <c r="AD109" i="1"/>
  <c r="AC12" i="1"/>
  <c r="AC13" i="1"/>
  <c r="AC14" i="1"/>
  <c r="AC15" i="1"/>
  <c r="AC16" i="1"/>
  <c r="AC17" i="1"/>
  <c r="AC18" i="1"/>
  <c r="AC20" i="1"/>
  <c r="AC21" i="1"/>
  <c r="AC22" i="1"/>
  <c r="AC23" i="1"/>
  <c r="AC24" i="1"/>
  <c r="AC25" i="1"/>
  <c r="AC26" i="1"/>
  <c r="AC27" i="1"/>
  <c r="AC28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56" i="1"/>
  <c r="AC57" i="1"/>
  <c r="AC58" i="1"/>
  <c r="AC59" i="1"/>
  <c r="AC60" i="1"/>
  <c r="AC61" i="1"/>
  <c r="AC62" i="1"/>
  <c r="AC63" i="1"/>
  <c r="AC64" i="1"/>
  <c r="AC65" i="1"/>
  <c r="AC66" i="1"/>
  <c r="AC67" i="1"/>
  <c r="AC68" i="1"/>
  <c r="AC69" i="1"/>
  <c r="AC70" i="1"/>
  <c r="AC72" i="1"/>
  <c r="AC73" i="1"/>
  <c r="AC74" i="1"/>
  <c r="AC75" i="1"/>
  <c r="AC76" i="1"/>
  <c r="AC77" i="1"/>
  <c r="AC78" i="1"/>
  <c r="AC79" i="1"/>
  <c r="AC80" i="1"/>
  <c r="AC81" i="1"/>
  <c r="AC82" i="1"/>
  <c r="AC83" i="1"/>
  <c r="AC84" i="1"/>
  <c r="AC85" i="1"/>
  <c r="AC86" i="1"/>
  <c r="AC87" i="1"/>
  <c r="AC88" i="1"/>
  <c r="AC89" i="1"/>
  <c r="AC90" i="1"/>
  <c r="AC91" i="1"/>
  <c r="AC92" i="1"/>
  <c r="AC93" i="1"/>
  <c r="AC94" i="1"/>
  <c r="AC95" i="1"/>
  <c r="AC96" i="1"/>
  <c r="AC97" i="1"/>
  <c r="AC98" i="1"/>
  <c r="AC99" i="1"/>
  <c r="AC100" i="1"/>
  <c r="AC101" i="1"/>
  <c r="AC103" i="1"/>
  <c r="AC104" i="1"/>
  <c r="AC105" i="1"/>
  <c r="AC106" i="1"/>
  <c r="AC109" i="1"/>
  <c r="AC11" i="1"/>
  <c r="AB12" i="1"/>
  <c r="AB13" i="1"/>
  <c r="AB14" i="1"/>
  <c r="AB15" i="1"/>
  <c r="AB16" i="1"/>
  <c r="AB17" i="1"/>
  <c r="AB18" i="1"/>
  <c r="AB20" i="1"/>
  <c r="AB21" i="1"/>
  <c r="AB22" i="1"/>
  <c r="AB23" i="1"/>
  <c r="AB24" i="1"/>
  <c r="AB25" i="1"/>
  <c r="AB26" i="1"/>
  <c r="AB27" i="1"/>
  <c r="AB28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B57" i="1"/>
  <c r="AB58" i="1"/>
  <c r="AB59" i="1"/>
  <c r="AB60" i="1"/>
  <c r="AB61" i="1"/>
  <c r="AB62" i="1"/>
  <c r="AB63" i="1"/>
  <c r="AB64" i="1"/>
  <c r="AB65" i="1"/>
  <c r="AB66" i="1"/>
  <c r="AB67" i="1"/>
  <c r="AB68" i="1"/>
  <c r="AB69" i="1"/>
  <c r="AB70" i="1"/>
  <c r="AB72" i="1"/>
  <c r="AB73" i="1"/>
  <c r="AB74" i="1"/>
  <c r="AB75" i="1"/>
  <c r="AB76" i="1"/>
  <c r="AB77" i="1"/>
  <c r="AB78" i="1"/>
  <c r="AB79" i="1"/>
  <c r="AB80" i="1"/>
  <c r="AB81" i="1"/>
  <c r="AB82" i="1"/>
  <c r="AB83" i="1"/>
  <c r="AB84" i="1"/>
  <c r="AB85" i="1"/>
  <c r="AB86" i="1"/>
  <c r="AB87" i="1"/>
  <c r="AB88" i="1"/>
  <c r="AB89" i="1"/>
  <c r="AB90" i="1"/>
  <c r="AB91" i="1"/>
  <c r="AB92" i="1"/>
  <c r="AB93" i="1"/>
  <c r="AB94" i="1"/>
  <c r="AB95" i="1"/>
  <c r="AB96" i="1"/>
  <c r="AB97" i="1"/>
  <c r="AB98" i="1"/>
  <c r="AB99" i="1"/>
  <c r="AB100" i="1"/>
  <c r="AB101" i="1"/>
  <c r="AB103" i="1"/>
  <c r="AB104" i="1"/>
  <c r="AB105" i="1"/>
  <c r="AB106" i="1"/>
  <c r="AB109" i="1"/>
  <c r="AB11" i="1"/>
  <c r="AA12" i="1"/>
  <c r="AA13" i="1"/>
  <c r="AA14" i="1"/>
  <c r="AA15" i="1"/>
  <c r="AA16" i="1"/>
  <c r="AA17" i="1"/>
  <c r="AA18" i="1"/>
  <c r="AA20" i="1"/>
  <c r="AA21" i="1"/>
  <c r="AA22" i="1"/>
  <c r="AA23" i="1"/>
  <c r="AA24" i="1"/>
  <c r="AA25" i="1"/>
  <c r="AA26" i="1"/>
  <c r="AA27" i="1"/>
  <c r="AA28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AA62" i="1"/>
  <c r="AA63" i="1"/>
  <c r="AA64" i="1"/>
  <c r="AA65" i="1"/>
  <c r="AA66" i="1"/>
  <c r="AA67" i="1"/>
  <c r="AA68" i="1"/>
  <c r="AA69" i="1"/>
  <c r="AA70" i="1"/>
  <c r="AA72" i="1"/>
  <c r="AA73" i="1"/>
  <c r="AA74" i="1"/>
  <c r="AA75" i="1"/>
  <c r="AA76" i="1"/>
  <c r="AA77" i="1"/>
  <c r="AA78" i="1"/>
  <c r="AA79" i="1"/>
  <c r="AA80" i="1"/>
  <c r="AA81" i="1"/>
  <c r="AA82" i="1"/>
  <c r="AA83" i="1"/>
  <c r="AA84" i="1"/>
  <c r="AA85" i="1"/>
  <c r="AA86" i="1"/>
  <c r="AA87" i="1"/>
  <c r="AA88" i="1"/>
  <c r="AA89" i="1"/>
  <c r="AA90" i="1"/>
  <c r="AA91" i="1"/>
  <c r="AA92" i="1"/>
  <c r="AA93" i="1"/>
  <c r="AA94" i="1"/>
  <c r="AA95" i="1"/>
  <c r="AA96" i="1"/>
  <c r="AA97" i="1"/>
  <c r="AA98" i="1"/>
  <c r="AA99" i="1"/>
  <c r="AA100" i="1"/>
  <c r="AA101" i="1"/>
  <c r="AA103" i="1"/>
  <c r="AA104" i="1"/>
  <c r="AA105" i="1"/>
  <c r="AA106" i="1"/>
  <c r="AA109" i="1"/>
  <c r="AA11" i="1"/>
  <c r="Z12" i="1"/>
  <c r="Z13" i="1"/>
  <c r="Z14" i="1"/>
  <c r="Z15" i="1"/>
  <c r="Z16" i="1"/>
  <c r="Z17" i="1"/>
  <c r="Z18" i="1"/>
  <c r="Z20" i="1"/>
  <c r="Z21" i="1"/>
  <c r="Z22" i="1"/>
  <c r="Z23" i="1"/>
  <c r="Z24" i="1"/>
  <c r="Z25" i="1"/>
  <c r="Z26" i="1"/>
  <c r="Z27" i="1"/>
  <c r="Z28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101" i="1"/>
  <c r="Z103" i="1"/>
  <c r="Z104" i="1"/>
  <c r="Z105" i="1"/>
  <c r="Z106" i="1"/>
  <c r="Z109" i="1"/>
  <c r="Z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" i="1"/>
  <c r="J12" i="1"/>
  <c r="J13" i="1"/>
  <c r="J14" i="1"/>
  <c r="J15" i="1"/>
  <c r="J16" i="1"/>
  <c r="J17" i="1"/>
  <c r="J18" i="1"/>
  <c r="J20" i="1"/>
  <c r="J21" i="1"/>
  <c r="J22" i="1"/>
  <c r="J23" i="1"/>
  <c r="J24" i="1"/>
  <c r="J26" i="1"/>
  <c r="J27" i="1"/>
  <c r="J28" i="1"/>
  <c r="J31" i="1"/>
  <c r="J32" i="1"/>
  <c r="J33" i="1"/>
  <c r="J34" i="1"/>
  <c r="J35" i="1"/>
  <c r="J36" i="1"/>
  <c r="J37" i="1"/>
  <c r="J38" i="1"/>
  <c r="J39" i="1"/>
  <c r="J40" i="1"/>
  <c r="J42" i="1"/>
  <c r="J43" i="1"/>
  <c r="J44" i="1"/>
  <c r="J45" i="1"/>
  <c r="J49" i="1"/>
  <c r="J50" i="1"/>
  <c r="J51" i="1"/>
  <c r="J52" i="1"/>
  <c r="J53" i="1"/>
  <c r="J54" i="1"/>
  <c r="J55" i="1"/>
  <c r="J56" i="1"/>
  <c r="J57" i="1"/>
  <c r="J58" i="1"/>
  <c r="J59" i="1"/>
  <c r="J60" i="1"/>
  <c r="J62" i="1"/>
  <c r="J63" i="1"/>
  <c r="J66" i="1"/>
  <c r="J67" i="1"/>
  <c r="J68" i="1"/>
  <c r="J69" i="1"/>
  <c r="J72" i="1"/>
  <c r="J73" i="1"/>
  <c r="J75" i="1"/>
  <c r="J76" i="1"/>
  <c r="J77" i="1"/>
  <c r="J78" i="1"/>
  <c r="J79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100" i="1"/>
  <c r="J11" i="1"/>
  <c r="I12" i="1"/>
  <c r="I13" i="1"/>
  <c r="I14" i="1"/>
  <c r="I15" i="1"/>
  <c r="I16" i="1"/>
  <c r="I17" i="1"/>
  <c r="I18" i="1"/>
  <c r="I20" i="1"/>
  <c r="I21" i="1"/>
  <c r="I22" i="1"/>
  <c r="I23" i="1"/>
  <c r="I24" i="1"/>
  <c r="I26" i="1"/>
  <c r="I27" i="1"/>
  <c r="I28" i="1"/>
  <c r="I31" i="1"/>
  <c r="I32" i="1"/>
  <c r="I33" i="1"/>
  <c r="I34" i="1"/>
  <c r="I35" i="1"/>
  <c r="I36" i="1"/>
  <c r="I37" i="1"/>
  <c r="I38" i="1"/>
  <c r="I39" i="1"/>
  <c r="I40" i="1"/>
  <c r="I42" i="1"/>
  <c r="I43" i="1"/>
  <c r="I44" i="1"/>
  <c r="I45" i="1"/>
  <c r="I49" i="1"/>
  <c r="I50" i="1"/>
  <c r="I51" i="1"/>
  <c r="I52" i="1"/>
  <c r="I53" i="1"/>
  <c r="I54" i="1"/>
  <c r="I55" i="1"/>
  <c r="I56" i="1"/>
  <c r="I57" i="1"/>
  <c r="I58" i="1"/>
  <c r="I59" i="1"/>
  <c r="I60" i="1"/>
  <c r="I62" i="1"/>
  <c r="I63" i="1"/>
  <c r="I66" i="1"/>
  <c r="I67" i="1"/>
  <c r="I68" i="1"/>
  <c r="I69" i="1"/>
  <c r="I72" i="1"/>
  <c r="I73" i="1"/>
  <c r="I75" i="1"/>
  <c r="I76" i="1"/>
  <c r="I77" i="1"/>
  <c r="I78" i="1"/>
  <c r="I79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100" i="1"/>
  <c r="I11" i="1"/>
  <c r="H12" i="1"/>
  <c r="H13" i="1"/>
  <c r="H14" i="1"/>
  <c r="H15" i="1"/>
  <c r="H16" i="1"/>
  <c r="H17" i="1"/>
  <c r="H18" i="1"/>
  <c r="H20" i="1"/>
  <c r="H21" i="1"/>
  <c r="H22" i="1"/>
  <c r="H23" i="1"/>
  <c r="H24" i="1"/>
  <c r="H25" i="1"/>
  <c r="H26" i="1"/>
  <c r="H27" i="1"/>
  <c r="H28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3" i="1"/>
  <c r="H104" i="1"/>
  <c r="H105" i="1"/>
  <c r="H106" i="1"/>
  <c r="H109" i="1"/>
  <c r="H11" i="1"/>
  <c r="C12" i="1"/>
  <c r="C13" i="1"/>
  <c r="C14" i="1"/>
  <c r="C15" i="1"/>
  <c r="C16" i="1"/>
  <c r="C17" i="1"/>
  <c r="C18" i="1"/>
  <c r="C20" i="1"/>
  <c r="C21" i="1"/>
  <c r="C22" i="1"/>
  <c r="C23" i="1"/>
  <c r="C24" i="1"/>
  <c r="C25" i="1"/>
  <c r="C26" i="1"/>
  <c r="C27" i="1"/>
  <c r="C28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3" i="1"/>
  <c r="C104" i="1"/>
  <c r="C105" i="1"/>
  <c r="C106" i="1"/>
  <c r="C109" i="1"/>
  <c r="C11" i="1"/>
  <c r="D10" i="1"/>
  <c r="E10" i="1"/>
  <c r="F10" i="1"/>
  <c r="G10" i="1"/>
  <c r="V10" i="1"/>
  <c r="S10" i="1"/>
  <c r="R10" i="1"/>
  <c r="Q10" i="1"/>
  <c r="P10" i="1"/>
  <c r="O10" i="1"/>
  <c r="M10" i="1"/>
  <c r="L10" i="1"/>
  <c r="AE109" i="1" l="1"/>
  <c r="AF109" i="1"/>
  <c r="AE103" i="1"/>
  <c r="AF103" i="1"/>
  <c r="AE98" i="1"/>
  <c r="AF98" i="1"/>
  <c r="AE94" i="1"/>
  <c r="AF94" i="1"/>
  <c r="AE90" i="1"/>
  <c r="AF90" i="1"/>
  <c r="AE86" i="1"/>
  <c r="AF86" i="1"/>
  <c r="AF84" i="1"/>
  <c r="AE84" i="1"/>
  <c r="AE82" i="1"/>
  <c r="AF82" i="1"/>
  <c r="AE78" i="1"/>
  <c r="AF78" i="1"/>
  <c r="AE74" i="1"/>
  <c r="AF74" i="1"/>
  <c r="AE69" i="1"/>
  <c r="AF69" i="1"/>
  <c r="AE65" i="1"/>
  <c r="AF65" i="1"/>
  <c r="AE63" i="1"/>
  <c r="AF63" i="1"/>
  <c r="AE59" i="1"/>
  <c r="AF59" i="1"/>
  <c r="AE57" i="1"/>
  <c r="AF57" i="1"/>
  <c r="AE53" i="1"/>
  <c r="AF53" i="1"/>
  <c r="AE49" i="1"/>
  <c r="AF49" i="1"/>
  <c r="AE47" i="1"/>
  <c r="AF47" i="1"/>
  <c r="AE43" i="1"/>
  <c r="AF43" i="1"/>
  <c r="AE39" i="1"/>
  <c r="AF39" i="1"/>
  <c r="AE35" i="1"/>
  <c r="AF35" i="1"/>
  <c r="AE31" i="1"/>
  <c r="AF31" i="1"/>
  <c r="AE26" i="1"/>
  <c r="AF26" i="1"/>
  <c r="AE22" i="1"/>
  <c r="AF22" i="1"/>
  <c r="AE17" i="1"/>
  <c r="AF17" i="1"/>
  <c r="AF13" i="1"/>
  <c r="AE13" i="1"/>
  <c r="AE105" i="1"/>
  <c r="AF105" i="1"/>
  <c r="AF100" i="1"/>
  <c r="AE100" i="1"/>
  <c r="AF96" i="1"/>
  <c r="AE96" i="1"/>
  <c r="AF92" i="1"/>
  <c r="AE92" i="1"/>
  <c r="AF88" i="1"/>
  <c r="AE88" i="1"/>
  <c r="AF80" i="1"/>
  <c r="AE80" i="1"/>
  <c r="AF76" i="1"/>
  <c r="AE76" i="1"/>
  <c r="AF72" i="1"/>
  <c r="AE72" i="1"/>
  <c r="AE67" i="1"/>
  <c r="AF67" i="1"/>
  <c r="AE61" i="1"/>
  <c r="AF61" i="1"/>
  <c r="AE55" i="1"/>
  <c r="AF55" i="1"/>
  <c r="AE51" i="1"/>
  <c r="AF51" i="1"/>
  <c r="AE45" i="1"/>
  <c r="AF45" i="1"/>
  <c r="AE41" i="1"/>
  <c r="AF41" i="1"/>
  <c r="AE37" i="1"/>
  <c r="AF37" i="1"/>
  <c r="AE33" i="1"/>
  <c r="AF33" i="1"/>
  <c r="AF28" i="1"/>
  <c r="AE28" i="1"/>
  <c r="AF24" i="1"/>
  <c r="AE24" i="1"/>
  <c r="AF20" i="1"/>
  <c r="AE20" i="1"/>
  <c r="AF15" i="1"/>
  <c r="AE15" i="1"/>
  <c r="AE11" i="1"/>
  <c r="AF11" i="1"/>
  <c r="AF106" i="1"/>
  <c r="AE106" i="1"/>
  <c r="AE104" i="1"/>
  <c r="AF104" i="1"/>
  <c r="AE101" i="1"/>
  <c r="AF101" i="1"/>
  <c r="AE99" i="1"/>
  <c r="AF99" i="1"/>
  <c r="AE97" i="1"/>
  <c r="AF97" i="1"/>
  <c r="AE95" i="1"/>
  <c r="AF95" i="1"/>
  <c r="AE93" i="1"/>
  <c r="AF93" i="1"/>
  <c r="AE91" i="1"/>
  <c r="AF91" i="1"/>
  <c r="AE89" i="1"/>
  <c r="AF89" i="1"/>
  <c r="AE87" i="1"/>
  <c r="AF87" i="1"/>
  <c r="AE85" i="1"/>
  <c r="AF85" i="1"/>
  <c r="AE83" i="1"/>
  <c r="AF83" i="1"/>
  <c r="AE81" i="1"/>
  <c r="AF81" i="1"/>
  <c r="AE79" i="1"/>
  <c r="AF79" i="1"/>
  <c r="AE77" i="1"/>
  <c r="AF77" i="1"/>
  <c r="AE75" i="1"/>
  <c r="AF75" i="1"/>
  <c r="AE73" i="1"/>
  <c r="AF73" i="1"/>
  <c r="AE70" i="1"/>
  <c r="AF70" i="1"/>
  <c r="AF68" i="1"/>
  <c r="AE68" i="1"/>
  <c r="AE66" i="1"/>
  <c r="AF66" i="1"/>
  <c r="AF64" i="1"/>
  <c r="AE64" i="1"/>
  <c r="AE62" i="1"/>
  <c r="AF62" i="1"/>
  <c r="AF60" i="1"/>
  <c r="AE60" i="1"/>
  <c r="AE58" i="1"/>
  <c r="AF58" i="1"/>
  <c r="AF56" i="1"/>
  <c r="AE56" i="1"/>
  <c r="AE54" i="1"/>
  <c r="AF54" i="1"/>
  <c r="AF52" i="1"/>
  <c r="AE52" i="1"/>
  <c r="AE50" i="1"/>
  <c r="AF50" i="1"/>
  <c r="AF48" i="1"/>
  <c r="AE48" i="1"/>
  <c r="AE46" i="1"/>
  <c r="AF46" i="1"/>
  <c r="AF44" i="1"/>
  <c r="AE44" i="1"/>
  <c r="AE42" i="1"/>
  <c r="AF42" i="1"/>
  <c r="AF40" i="1"/>
  <c r="AE40" i="1"/>
  <c r="AE38" i="1"/>
  <c r="AF38" i="1"/>
  <c r="AF36" i="1"/>
  <c r="AE36" i="1"/>
  <c r="AE34" i="1"/>
  <c r="AF34" i="1"/>
  <c r="AF32" i="1"/>
  <c r="AE32" i="1"/>
  <c r="AE30" i="1"/>
  <c r="AF30" i="1"/>
  <c r="AE27" i="1"/>
  <c r="AF27" i="1"/>
  <c r="AE25" i="1"/>
  <c r="AF25" i="1"/>
  <c r="AE23" i="1"/>
  <c r="AF23" i="1"/>
  <c r="AE21" i="1"/>
  <c r="AF21" i="1"/>
  <c r="AE18" i="1"/>
  <c r="AF18" i="1"/>
  <c r="AF16" i="1"/>
  <c r="AE16" i="1"/>
  <c r="AF14" i="1"/>
  <c r="AE14" i="1"/>
  <c r="AE12" i="1"/>
  <c r="AF12" i="1"/>
  <c r="Y85" i="1"/>
  <c r="Y108" i="1"/>
  <c r="Y100" i="1"/>
  <c r="Y84" i="1"/>
  <c r="X84" i="1"/>
  <c r="Y68" i="1"/>
  <c r="Y60" i="1"/>
  <c r="X60" i="1"/>
  <c r="Y44" i="1"/>
  <c r="Y36" i="1"/>
  <c r="Y20" i="1"/>
  <c r="X20" i="1"/>
  <c r="Y12" i="1"/>
  <c r="Y107" i="1"/>
  <c r="Y91" i="1"/>
  <c r="Y83" i="1"/>
  <c r="X83" i="1"/>
  <c r="Y67" i="1"/>
  <c r="Y59" i="1"/>
  <c r="X59" i="1"/>
  <c r="Y51" i="1"/>
  <c r="Y35" i="1"/>
  <c r="Y27" i="1"/>
  <c r="X19" i="1"/>
  <c r="Y19" i="1"/>
  <c r="Y106" i="1"/>
  <c r="X106" i="1"/>
  <c r="Y98" i="1"/>
  <c r="X98" i="1"/>
  <c r="Y90" i="1"/>
  <c r="X90" i="1"/>
  <c r="Y82" i="1"/>
  <c r="X82" i="1"/>
  <c r="Y74" i="1"/>
  <c r="Y66" i="1"/>
  <c r="Y58" i="1"/>
  <c r="X58" i="1"/>
  <c r="Y50" i="1"/>
  <c r="Y42" i="1"/>
  <c r="Y34" i="1"/>
  <c r="X34" i="1"/>
  <c r="Y26" i="1"/>
  <c r="X26" i="1"/>
  <c r="Y18" i="1"/>
  <c r="X18" i="1"/>
  <c r="Y105" i="1"/>
  <c r="X105" i="1"/>
  <c r="Y97" i="1"/>
  <c r="Y89" i="1"/>
  <c r="Y81" i="1"/>
  <c r="Y73" i="1"/>
  <c r="X73" i="1"/>
  <c r="Y65" i="1"/>
  <c r="X65" i="1"/>
  <c r="Y57" i="1"/>
  <c r="Y49" i="1"/>
  <c r="Y41" i="1"/>
  <c r="Y33" i="1"/>
  <c r="Y25" i="1"/>
  <c r="X25" i="1"/>
  <c r="Y17" i="1"/>
  <c r="Y11" i="1"/>
  <c r="X11" i="1"/>
  <c r="Y102" i="1"/>
  <c r="X102" i="1"/>
  <c r="Y94" i="1"/>
  <c r="Y86" i="1"/>
  <c r="Y78" i="1"/>
  <c r="X78" i="1"/>
  <c r="Y70" i="1"/>
  <c r="X70" i="1"/>
  <c r="Y62" i="1"/>
  <c r="X62" i="1"/>
  <c r="Y54" i="1"/>
  <c r="Y46" i="1"/>
  <c r="Y38" i="1"/>
  <c r="Y30" i="1"/>
  <c r="X30" i="1"/>
  <c r="Y22" i="1"/>
  <c r="X22" i="1"/>
  <c r="Y14" i="1"/>
  <c r="Y109" i="1"/>
  <c r="Y101" i="1"/>
  <c r="Y93" i="1"/>
  <c r="X93" i="1"/>
  <c r="Y77" i="1"/>
  <c r="Y69" i="1"/>
  <c r="Y61" i="1"/>
  <c r="X61" i="1"/>
  <c r="Y53" i="1"/>
  <c r="X45" i="1"/>
  <c r="Y45" i="1"/>
  <c r="Y37" i="1"/>
  <c r="X37" i="1"/>
  <c r="Y29" i="1"/>
  <c r="X29" i="1"/>
  <c r="Y21" i="1"/>
  <c r="Y13" i="1"/>
  <c r="Y92" i="1"/>
  <c r="Y76" i="1"/>
  <c r="Y52" i="1"/>
  <c r="X52" i="1"/>
  <c r="Y28" i="1"/>
  <c r="Y99" i="1"/>
  <c r="Y75" i="1"/>
  <c r="Y43" i="1"/>
  <c r="Y104" i="1"/>
  <c r="X104" i="1"/>
  <c r="Y96" i="1"/>
  <c r="Y88" i="1"/>
  <c r="Y80" i="1"/>
  <c r="X80" i="1"/>
  <c r="Y72" i="1"/>
  <c r="X72" i="1"/>
  <c r="Y64" i="1"/>
  <c r="X64" i="1"/>
  <c r="Y56" i="1"/>
  <c r="Y48" i="1"/>
  <c r="Y40" i="1"/>
  <c r="Y32" i="1"/>
  <c r="Y24" i="1"/>
  <c r="Y16" i="1"/>
  <c r="X16" i="1"/>
  <c r="Y103" i="1"/>
  <c r="Y95" i="1"/>
  <c r="Y87" i="1"/>
  <c r="Y79" i="1"/>
  <c r="Y71" i="1"/>
  <c r="Y63" i="1"/>
  <c r="X63" i="1"/>
  <c r="Y55" i="1"/>
  <c r="X55" i="1"/>
  <c r="Y47" i="1"/>
  <c r="Y39" i="1"/>
  <c r="Y31" i="1"/>
  <c r="X31" i="1"/>
  <c r="Y23" i="1"/>
  <c r="Y15" i="1"/>
  <c r="AB10" i="1"/>
  <c r="AA10" i="1"/>
  <c r="AC10" i="1"/>
  <c r="Z10" i="1"/>
  <c r="T10" i="1"/>
  <c r="AF10" i="1" l="1"/>
  <c r="X28" i="1"/>
  <c r="X77" i="1"/>
  <c r="X74" i="1"/>
  <c r="X15" i="1"/>
  <c r="X43" i="1"/>
  <c r="X100" i="1"/>
  <c r="X47" i="1"/>
  <c r="X48" i="1"/>
  <c r="X81" i="1"/>
  <c r="X24" i="1"/>
  <c r="X75" i="1"/>
  <c r="X76" i="1"/>
  <c r="X101" i="1"/>
  <c r="X94" i="1"/>
  <c r="X88" i="1"/>
  <c r="X57" i="1"/>
  <c r="X89" i="1"/>
  <c r="X27" i="1"/>
  <c r="X67" i="1"/>
  <c r="X108" i="1"/>
  <c r="X95" i="1"/>
  <c r="X32" i="1"/>
  <c r="X96" i="1"/>
  <c r="X92" i="1"/>
  <c r="X71" i="1"/>
  <c r="X13" i="1"/>
  <c r="X53" i="1"/>
  <c r="X54" i="1"/>
  <c r="X79" i="1"/>
  <c r="X21" i="1"/>
  <c r="X49" i="1"/>
  <c r="X107" i="1"/>
  <c r="X23" i="1"/>
  <c r="X56" i="1"/>
  <c r="X99" i="1"/>
  <c r="X69" i="1"/>
  <c r="X109" i="1"/>
  <c r="X38" i="1"/>
  <c r="X33" i="1"/>
  <c r="X97" i="1"/>
  <c r="X66" i="1"/>
  <c r="X35" i="1"/>
  <c r="X68" i="1"/>
  <c r="X85" i="1"/>
  <c r="X39" i="1"/>
  <c r="X86" i="1"/>
  <c r="X50" i="1"/>
  <c r="X17" i="1"/>
  <c r="X44" i="1"/>
  <c r="X87" i="1"/>
  <c r="X12" i="1"/>
  <c r="U10" i="1"/>
  <c r="X103" i="1"/>
  <c r="X40" i="1"/>
  <c r="X14" i="1"/>
  <c r="X46" i="1"/>
  <c r="X41" i="1"/>
  <c r="X42" i="1"/>
  <c r="X51" i="1"/>
  <c r="X91" i="1"/>
  <c r="X36" i="1"/>
  <c r="AE10" i="1" l="1"/>
</calcChain>
</file>

<file path=xl/sharedStrings.xml><?xml version="1.0" encoding="utf-8"?>
<sst xmlns="http://schemas.openxmlformats.org/spreadsheetml/2006/main" count="247" uniqueCount="141">
  <si>
    <t>Ведомость по товарам на складах</t>
  </si>
  <si>
    <t>Параметры:</t>
  </si>
  <si>
    <t>Период: 15.06.2026 - 22.06.2026</t>
  </si>
  <si>
    <t>Количество товаров: В единицах хранения</t>
  </si>
  <si>
    <t>Отбор:</t>
  </si>
  <si>
    <t>Склад В списке "АСП Бердянск; АСП Бердянск Заморозка; Склад БЕРДЯНСК; АСП Бердянск Молоко Остан...; АСП Бердянск Останкино; АСП Бердянск ПОКОМ" И
Номенклатура В группе из списка "Останкино ООО"</t>
  </si>
  <si>
    <t>Номенклатура</t>
  </si>
  <si>
    <t>Ед. изм.</t>
  </si>
  <si>
    <t>Количество</t>
  </si>
  <si>
    <t>Начальный остаток</t>
  </si>
  <si>
    <t>Приход</t>
  </si>
  <si>
    <t>Расход</t>
  </si>
  <si>
    <t>Конечный остаток</t>
  </si>
  <si>
    <t>3215 ВЕТЧ.МЯСНАЯ Папа может п/о 0.4кг 8шт.    ОСТАНКИНО</t>
  </si>
  <si>
    <t>шт</t>
  </si>
  <si>
    <t>3287 САЛЯМИ ИТАЛЬЯНСКАЯ с/к в/у ОСТАНКИНО</t>
  </si>
  <si>
    <t>кг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</si>
  <si>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</si>
  <si>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</si>
  <si>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</si>
  <si>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</si>
  <si>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</si>
  <si>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</si>
  <si>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5341 СЕРВЕЛАТ ОХОТНИЧИЙ в/к в/у 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</si>
  <si>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</si>
  <si>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</si>
  <si>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</si>
  <si>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</si>
  <si>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5706 АРОМАТНАЯ Папа может с/к в/у 1/250 8шт. 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</si>
  <si>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</si>
  <si>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</si>
  <si>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</si>
  <si>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</si>
  <si>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</si>
  <si>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6208 ДЫМОВИЦА ИЗ ЛОПАТКИ ПМ к/в с/н в/у 1/150 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</si>
  <si>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</si>
  <si>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</si>
  <si>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</si>
  <si>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6268 Колбаса Папа может 400г Говяжья вар п/о  ОСТАНКИНО</t>
  </si>
  <si>
    <t>6279 КОРЕЙКА ПО-ОСТ.к/в в/с с/н в/у 1/150_45с  Останкино</t>
  </si>
  <si>
    <t>6303 Мясные Папа может сос п/о мгс 1,5*3  Останкино</t>
  </si>
  <si>
    <t>6324 ДОКТОРСКАЯ ГОСТ вар п/о 0,4кг 8шт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</si>
  <si>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</si>
  <si>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</si>
  <si>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</si>
  <si>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6364 СЕРВЕЛАТ ЗЕРНИСТЫЙ ПМ в/к в/у 0.35кг  ОСТАНКИНО</t>
  </si>
  <si>
    <t>6392 ФИЛЕЙНАЯ Папа может вар п/о 0,4кг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</si>
  <si>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</si>
  <si>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</si>
  <si>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</si>
  <si>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6470 ВЕТЧ.МРАМОРНАЯ в/у_45с  Останкино</t>
  </si>
  <si>
    <t>6475 Сосиски Папа может 400г С сыром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</si>
  <si>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</si>
  <si>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</si>
  <si>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</si>
  <si>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</si>
  <si>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</si>
  <si>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</si>
  <si>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</si>
  <si>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</si>
  <si>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</si>
  <si>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</si>
  <si>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</si>
  <si>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6761 МОЛОЧНЫЕ ГОСТ сос ц/о мгс 1*4  Останкино</t>
  </si>
  <si>
    <t>6765 РУБЛЕНЫЕ сос ц/о мгс 0,36кг 6шт  Останкино</t>
  </si>
  <si>
    <t>6767 РУБЛЕНЫЕ сос ц/о мгс 1*4  Останкино</t>
  </si>
  <si>
    <t>6787 СЕРВЕЛАТ КРЕМЛЕВСКИЙ в/к в/у 0,33кг 8шт  Останкино</t>
  </si>
  <si>
    <t>6793 БАЛЫКОВАЯ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</si>
  <si>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</si>
  <si>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</si>
  <si>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</si>
  <si>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6834 ПОСОЛЬСКАЯ с/к с/н в/у 1/100 10шт  Останкино</t>
  </si>
  <si>
    <t>6837 ФИЛЕЙНЫЕ Папа Может сос ц/о мгс 0,4кг  Останкино</t>
  </si>
  <si>
    <t>6866 ВЕТЧ.НЕЖНАЯ Коровино п/о_Маяк  Останкино</t>
  </si>
  <si>
    <t>6925 ВЕТЧ.КЛАССИЧЕСКАЯ в/у 0,6кг 8шт. ОСТАНКИНО</t>
  </si>
  <si>
    <t>6955 СОЧНЫЕ Папа может сос п/о мгс 1,5*4 А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</si>
  <si>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</si>
  <si>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</si>
  <si>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7059 ШПИКАЧКИ СОЧНЫЕ С БЕК. п/о мгс 0,3кг 60с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</si>
  <si>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</si>
  <si>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</si>
  <si>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</si>
  <si>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</si>
  <si>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</si>
  <si>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7082 СЛИВОЧНЫЕ ПМ сос п/о мгс 1,5*4_50с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</si>
  <si>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</si>
  <si>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</si>
  <si>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</si>
  <si>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7131 БАЛЫКОВАЯ в/к в/у 0,84кг  Останкино</t>
  </si>
  <si>
    <t>7154 СЕРВЕЛАТ ЗЕРНИСТЫЙ ПМ в/к в/у 0,35кг_50с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</si>
  <si>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</si>
  <si>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</si>
  <si>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</si>
  <si>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</si>
  <si>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</si>
  <si>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</si>
  <si>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</si>
  <si>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</si>
  <si>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</si>
  <si>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</si>
  <si>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7288 БАЛЫК с/к с/н в/у 1/100 10шт ОСТАНКИНО</t>
  </si>
  <si>
    <t>7332 БОЯРСКАЯ ПМ п/к в/у 0,28кг ОСТАНКИНО</t>
  </si>
  <si>
    <t>7333 СЕРВЕЛАТ ОХОТНИЧИЙ ПМ в/к в/у 0,28кг ОСТАНКИНО</t>
  </si>
  <si>
    <t>7371 БРЕСТСКИЕ сос п/о в/у 0,3кг 8шт. ОСТАНКИНО</t>
  </si>
  <si>
    <t>7382  САЛЯМИ МЕЛКОЗЕРНЕНАЯ с/к в/у1/120 8шт.  ОСТАНКИНО</t>
  </si>
  <si>
    <t>7461 ДЛЯ ДЕТЕЙ Папа Может сос п/о мгс 0,33кг ОСТАНКИНО</t>
  </si>
  <si>
    <t>7489 СЫРРРВЕЛАТ Папа Может в/к в/у 0,28кг 8шт. ОСТАНКИНО</t>
  </si>
  <si>
    <t>7523 ГОВЯЖЬЯ Папа Может вар п/о 0,4кг 6шт. ОСТАНКИНО</t>
  </si>
  <si>
    <t>7539 ДОКТОРСКАЯ ГОСТ вар п/о 0,35кг ОСТАНКИНО</t>
  </si>
  <si>
    <t>7564 Балыковая в/к в/у Останкино Вес  ОСТАНКИНО</t>
  </si>
  <si>
    <t>7603 БАЛЫКОВАЯ в/к в/у 0.33кг 8шт. ОСТАНКИНО</t>
  </si>
  <si>
    <t>А_5452 ВЕТЧ.МЯСНАЯ Папа может п/о    ОСТАНКИНО</t>
  </si>
  <si>
    <t>А_5544 Сервелат Финский в/к в/у_45с НОВАЯ ОСТАНКИНО</t>
  </si>
  <si>
    <t>БОНУС_6087 СОЧНЫЕ ПМ сос п/о мгс 0,41кг 10шт.  ОСТАНКИНО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</si>
  <si>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</si>
  <si>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</si>
  <si>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</si>
  <si>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</si>
  <si>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</si>
  <si>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</si>
  <si>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</si>
  <si>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</si>
  <si>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</t>
  </si>
  <si>
    <t>ср нов</t>
  </si>
  <si>
    <t>расчет</t>
  </si>
  <si>
    <t>заказ филиала</t>
  </si>
  <si>
    <t>кон ост</t>
  </si>
  <si>
    <t>факт</t>
  </si>
  <si>
    <t>ср</t>
  </si>
  <si>
    <t>комментарии</t>
  </si>
  <si>
    <t>вес</t>
  </si>
  <si>
    <t>25,05,</t>
  </si>
  <si>
    <t>01,06,</t>
  </si>
  <si>
    <t>08,06,</t>
  </si>
  <si>
    <t>22,06,</t>
  </si>
  <si>
    <t>28,06,</t>
  </si>
  <si>
    <t>15,05,</t>
  </si>
  <si>
    <t>21,06,</t>
  </si>
  <si>
    <t>Берд</t>
  </si>
  <si>
    <t>Мариуп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</si>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</sst>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9" x14ac:knownFonts="1">
    <font>
      <sz val="8"/>
      <name val="Arial"/>
    </font>
    <font>
      <b/>
      <sz val="18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sz val="8"/>
      <color rgb="FFFF0000"/>
      <name val="Arial"/>
      <family val="2"/>
      <charset val="204"/>
    </font>
    <font>
      <b/>
      <sz val="8"/>
      <name val="Arial"/>
      <family val="2"/>
      <charset val="204"/>
    </font>
    <font>
      <b/>
      <sz val="1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FF4C5"/>
      </patternFill>
    </fill>
    <fill>
      <patternFill patternType="solid">
        <fgColor rgb="FF13E22E"/>
        <bgColor rgb="FF13E22E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/>
    </xf>
    <xf numFmtId="0" fontId="2" fillId="2" borderId="2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left" vertical="top"/>
    </xf>
    <xf numFmtId="0" fontId="2" fillId="2" borderId="3" xfId="0" applyFont="1" applyFill="1" applyBorder="1" applyAlignment="1">
      <alignment horizontal="left" vertical="top"/>
    </xf>
    <xf numFmtId="0" fontId="0" fillId="0" borderId="4" xfId="0" applyBorder="1" applyAlignment="1">
      <alignment horizontal="left" vertical="top"/>
    </xf>
    <xf numFmtId="164" fontId="0" fillId="0" borderId="4" xfId="0" applyNumberFormat="1" applyBorder="1" applyAlignment="1">
      <alignment horizontal="right" vertical="top"/>
    </xf>
    <xf numFmtId="164" fontId="0" fillId="0" borderId="5" xfId="0" applyNumberFormat="1" applyBorder="1" applyAlignment="1">
      <alignment horizontal="right" vertical="top"/>
    </xf>
    <xf numFmtId="164" fontId="3" fillId="2" borderId="0" xfId="0" applyNumberFormat="1" applyFont="1" applyFill="1" applyAlignment="1">
      <alignment horizontal="left" vertical="top"/>
    </xf>
    <xf numFmtId="164" fontId="4" fillId="3" borderId="0" xfId="1" applyNumberFormat="1" applyFont="1" applyFill="1"/>
    <xf numFmtId="164" fontId="5" fillId="3" borderId="0" xfId="1" applyNumberFormat="1" applyFont="1" applyFill="1"/>
    <xf numFmtId="164" fontId="4" fillId="4" borderId="0" xfId="1" applyNumberFormat="1" applyFont="1" applyFill="1"/>
    <xf numFmtId="164" fontId="3" fillId="2" borderId="4" xfId="0" applyNumberFormat="1" applyFont="1" applyFill="1" applyBorder="1" applyAlignment="1">
      <alignment horizontal="left" vertical="top"/>
    </xf>
    <xf numFmtId="164" fontId="3" fillId="5" borderId="0" xfId="1" applyNumberFormat="1" applyFill="1"/>
    <xf numFmtId="164" fontId="0" fillId="0" borderId="0" xfId="0" applyNumberFormat="1"/>
    <xf numFmtId="164" fontId="0" fillId="0" borderId="6" xfId="0" applyNumberFormat="1" applyBorder="1"/>
    <xf numFmtId="0" fontId="2" fillId="2" borderId="0" xfId="0" applyFont="1" applyFill="1" applyAlignment="1">
      <alignment horizontal="left" vertical="top"/>
    </xf>
    <xf numFmtId="164" fontId="2" fillId="2" borderId="4" xfId="0" applyNumberFormat="1" applyFont="1" applyFill="1" applyBorder="1" applyAlignment="1">
      <alignment horizontal="left" vertical="top"/>
    </xf>
    <xf numFmtId="0" fontId="0" fillId="6" borderId="4" xfId="0" applyFill="1" applyBorder="1" applyAlignment="1">
      <alignment horizontal="left" vertical="top"/>
    </xf>
    <xf numFmtId="164" fontId="6" fillId="0" borderId="4" xfId="0" applyNumberFormat="1" applyFont="1" applyBorder="1" applyAlignment="1">
      <alignment horizontal="right" vertical="top"/>
    </xf>
    <xf numFmtId="0" fontId="0" fillId="7" borderId="4" xfId="0" applyFill="1" applyBorder="1" applyAlignment="1">
      <alignment horizontal="left" vertical="top"/>
    </xf>
    <xf numFmtId="164" fontId="0" fillId="7" borderId="5" xfId="0" applyNumberFormat="1" applyFill="1" applyBorder="1" applyAlignment="1">
      <alignment horizontal="right" vertical="top"/>
    </xf>
    <xf numFmtId="164" fontId="0" fillId="7" borderId="4" xfId="0" applyNumberFormat="1" applyFill="1" applyBorder="1" applyAlignment="1">
      <alignment horizontal="right" vertical="top"/>
    </xf>
    <xf numFmtId="0" fontId="0" fillId="7" borderId="0" xfId="0" applyFill="1"/>
    <xf numFmtId="164" fontId="0" fillId="7" borderId="0" xfId="0" applyNumberFormat="1" applyFill="1"/>
    <xf numFmtId="164" fontId="0" fillId="7" borderId="6" xfId="0" applyNumberFormat="1" applyFill="1" applyBorder="1"/>
    <xf numFmtId="0" fontId="7" fillId="0" borderId="0" xfId="0" applyFont="1" applyAlignment="1">
      <alignment horizontal="left"/>
    </xf>
    <xf numFmtId="0" fontId="7" fillId="0" borderId="0" xfId="0" applyFont="1"/>
    <xf numFmtId="164" fontId="8" fillId="2" borderId="4" xfId="0" applyNumberFormat="1" applyFont="1" applyFill="1" applyBorder="1" applyAlignment="1">
      <alignment horizontal="left" vertical="top"/>
    </xf>
    <xf numFmtId="164" fontId="8" fillId="5" borderId="0" xfId="1" applyNumberFormat="1" applyFont="1" applyFill="1"/>
    <xf numFmtId="164" fontId="7" fillId="0" borderId="6" xfId="0" applyNumberFormat="1" applyFont="1" applyBorder="1"/>
    <xf numFmtId="164" fontId="7" fillId="0" borderId="0" xfId="0" applyNumberFormat="1" applyFont="1"/>
    <xf numFmtId="164" fontId="7" fillId="7" borderId="6" xfId="0" applyNumberFormat="1" applyFont="1" applyFill="1" applyBorder="1"/>
    <xf numFmtId="164" fontId="7" fillId="7" borderId="0" xfId="0" applyNumberFormat="1" applyFont="1" applyFill="1"/>
  </cellXfs>
  <cellStyles count="2">
    <cellStyle name="Arial10px" xfId="1" xr:uid="{00000000-0005-0000-0000-000000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&#1045;&#1074;&#1075;&#1077;&#1085;&#1080;&#1103;\Desktop\&#1044;&#1074;.%2015.06.2026%20&#1054;&#1089;&#1090;&#1072;&#1085;&#1082;&#1080;&#1085;&#1086;%20&#1050;&#1048;%20&#1041;&#1077;&#1088;&#1076;&#1103;&#1085;&#1089;&#1082;%20(1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&#1045;&#1074;&#1075;&#1077;&#1085;&#1080;&#1103;\Desktop\&#1079;&#1072;&#1103;&#1074;.%20&#1086;&#1090;&#1075;&#1088;&#1091;&#1078;.%2022.06.2026%20&#1054;&#1089;&#1090;&#1072;&#1085;&#1082;&#1080;&#1085;&#1086;%20&#1050;&#1048;%20&#1041;&#1077;&#1088;&#1076;&#1103;&#1085;&#1089;&#1082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ser\Desktop\&#1044;&#1074;.%2022.06.2026%20&#1054;&#1089;&#1090;&#1072;&#1085;&#1082;&#1080;&#1085;&#1086;%20&#1050;&#1048;%20&#1041;&#1077;&#1088;&#1076;&#1103;&#1085;&#1089;&#1082;%20130438122&#1058;&#1040;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ser\Desktop\&#1044;&#1074;.%2022.06.2026%20&#1054;&#1089;&#1090;&#1072;&#1085;&#1082;&#1080;&#1085;&#1086;%20&#1050;&#1048;%20&#1052;&#1072;&#1088;&#1080;&#1091;&#1087;&#1086;&#1083;&#1100;%20130439104&#1058;&#104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Ведомость по товарам на складах</v>
          </cell>
        </row>
        <row r="4">
          <cell r="A4" t="str">
            <v>Параметры:</v>
          </cell>
          <cell r="B4" t="str">
            <v>Период: 08.06.2026 - 15.06.2026</v>
          </cell>
        </row>
        <row r="5">
          <cell r="B5" t="str">
            <v>Количество товаров: В единицах хранения</v>
          </cell>
        </row>
        <row r="6">
          <cell r="A6" t="str">
            <v>Отбор:</v>
          </cell>
          <cell r="B6" t="str">
            <v>Склад В списке "АСП Бердянск; АСП Бердянск Заморозка; Склад БЕРДЯНСК; АСП Бердянск Молоко Остан...; АСП Бердянск Останкино; АСП Бердянск ПОКОМ" И
Номенклатура В группе из списка "Останкино ООО"</v>
          </cell>
        </row>
        <row r="7">
          <cell r="R7" t="str">
            <v>есть</v>
          </cell>
          <cell r="S7" t="str">
            <v>есть</v>
          </cell>
        </row>
        <row r="8">
          <cell r="A8" t="str">
            <v>Номенклатура</v>
          </cell>
          <cell r="B8" t="str">
            <v>Ед. изм.</v>
          </cell>
          <cell r="D8" t="str">
            <v>Количество</v>
          </cell>
          <cell r="H8" t="str">
            <v>крат</v>
          </cell>
          <cell r="I8" t="str">
            <v>сроки</v>
          </cell>
          <cell r="J8" t="str">
            <v>метка</v>
          </cell>
          <cell r="K8" t="str">
            <v>метка2</v>
          </cell>
          <cell r="L8" t="str">
            <v>заяв</v>
          </cell>
          <cell r="M8" t="str">
            <v>разн</v>
          </cell>
          <cell r="N8" t="str">
            <v>без опта</v>
          </cell>
          <cell r="O8" t="str">
            <v>опт</v>
          </cell>
          <cell r="P8" t="str">
            <v>Заказ</v>
          </cell>
          <cell r="Q8" t="str">
            <v>Заказ</v>
          </cell>
          <cell r="R8" t="str">
            <v>Заказ</v>
          </cell>
          <cell r="S8" t="str">
            <v>Заказ</v>
          </cell>
          <cell r="T8" t="str">
            <v>ср нов</v>
          </cell>
          <cell r="U8" t="str">
            <v>расчет</v>
          </cell>
          <cell r="V8" t="str">
            <v>заказ филиала</v>
          </cell>
          <cell r="W8" t="str">
            <v>Бердянск</v>
          </cell>
          <cell r="X8" t="str">
            <v>Мариуполь</v>
          </cell>
          <cell r="Y8" t="str">
            <v>кон ост</v>
          </cell>
          <cell r="Z8" t="str">
            <v>факт</v>
          </cell>
          <cell r="AA8" t="str">
            <v>ср</v>
          </cell>
          <cell r="AB8" t="str">
            <v>ср</v>
          </cell>
          <cell r="AC8" t="str">
            <v>ср</v>
          </cell>
          <cell r="AD8" t="str">
            <v>ср</v>
          </cell>
          <cell r="AE8" t="str">
            <v>комментарии</v>
          </cell>
        </row>
        <row r="9">
          <cell r="D9" t="str">
            <v>Начальный остаток</v>
          </cell>
          <cell r="E9" t="str">
            <v>Приход</v>
          </cell>
          <cell r="F9" t="str">
            <v>Расход</v>
          </cell>
          <cell r="G9" t="str">
            <v>Конечный остаток</v>
          </cell>
          <cell r="P9" t="str">
            <v>нак 18.06.</v>
          </cell>
          <cell r="Q9" t="str">
            <v>нак 17,06</v>
          </cell>
          <cell r="R9" t="str">
            <v>14,06,</v>
          </cell>
          <cell r="S9" t="str">
            <v>14,06,</v>
          </cell>
          <cell r="T9" t="str">
            <v>15,06,</v>
          </cell>
          <cell r="U9" t="str">
            <v>21,06,</v>
          </cell>
          <cell r="AA9" t="str">
            <v>18,05,</v>
          </cell>
          <cell r="AB9" t="str">
            <v>25,05,</v>
          </cell>
          <cell r="AC9" t="str">
            <v>01,06,</v>
          </cell>
          <cell r="AD9" t="str">
            <v>08,06,</v>
          </cell>
        </row>
        <row r="10">
          <cell r="D10">
            <v>14642.915999999999</v>
          </cell>
          <cell r="E10">
            <v>10440.467000000001</v>
          </cell>
          <cell r="F10">
            <v>11280.66</v>
          </cell>
          <cell r="G10">
            <v>12504.784</v>
          </cell>
          <cell r="L10">
            <v>11972.972</v>
          </cell>
          <cell r="M10">
            <v>-692.31200000000001</v>
          </cell>
          <cell r="O10">
            <v>5550</v>
          </cell>
          <cell r="P10">
            <v>7057.0280000000002</v>
          </cell>
          <cell r="Q10">
            <v>7028.1289999999999</v>
          </cell>
          <cell r="R10">
            <v>7325</v>
          </cell>
          <cell r="S10">
            <v>7325</v>
          </cell>
          <cell r="T10">
            <v>2256.1320000000001</v>
          </cell>
          <cell r="U10">
            <v>11100</v>
          </cell>
          <cell r="V10">
            <v>11198</v>
          </cell>
          <cell r="W10">
            <v>6525</v>
          </cell>
          <cell r="X10">
            <v>4575</v>
          </cell>
          <cell r="AA10">
            <v>2174.0454</v>
          </cell>
          <cell r="AB10">
            <v>2316.4052000000001</v>
          </cell>
          <cell r="AC10">
            <v>2211.1446000000001</v>
          </cell>
          <cell r="AD10">
            <v>2422.5052000000001</v>
          </cell>
        </row>
        <row r="11">
          <cell r="A11" t="str">
            <v>3215 ВЕТЧ.МЯСНАЯ Папа может п/о 0.4кг 8шт.    ОСТАНКИНО</v>
          </cell>
          <cell r="B11" t="str">
            <v>шт</v>
          </cell>
          <cell r="C11">
            <v>3215</v>
          </cell>
          <cell r="D11">
            <v>288</v>
          </cell>
          <cell r="E11">
            <v>82</v>
          </cell>
          <cell r="F11">
            <v>205</v>
          </cell>
          <cell r="G11">
            <v>158</v>
          </cell>
          <cell r="H11">
            <v>0.4</v>
          </cell>
          <cell r="I11">
            <v>60</v>
          </cell>
          <cell r="J11" t="str">
            <v>ВНИМАНИЕ / в матрице</v>
          </cell>
          <cell r="L11">
            <v>206</v>
          </cell>
          <cell r="M11">
            <v>-1</v>
          </cell>
          <cell r="O11">
            <v>25</v>
          </cell>
          <cell r="P11">
            <v>280</v>
          </cell>
          <cell r="Q11">
            <v>280</v>
          </cell>
          <cell r="R11">
            <v>280</v>
          </cell>
          <cell r="S11">
            <v>280</v>
          </cell>
          <cell r="T11">
            <v>41</v>
          </cell>
          <cell r="U11">
            <v>50</v>
          </cell>
          <cell r="V11">
            <v>50</v>
          </cell>
          <cell r="W11">
            <v>25</v>
          </cell>
          <cell r="X11">
            <v>25</v>
          </cell>
          <cell r="Y11">
            <v>18.731707317073202</v>
          </cell>
          <cell r="Z11">
            <v>3.8536585365853702</v>
          </cell>
          <cell r="AA11">
            <v>58.8</v>
          </cell>
          <cell r="AB11">
            <v>53.6</v>
          </cell>
          <cell r="AC11">
            <v>39.6</v>
          </cell>
          <cell r="AD11">
            <v>57.8</v>
          </cell>
        </row>
        <row r="12">
          <cell r="A12" t="str">
            <v>3287 САЛЯМИ ИТАЛЬЯНСКАЯ с/к в/у ОСТАНКИНО</v>
          </cell>
          <cell r="B12" t="str">
            <v>кг</v>
          </cell>
          <cell r="C12">
            <v>3287</v>
          </cell>
          <cell r="D12">
            <v>18.504000000000001</v>
          </cell>
          <cell r="F12">
            <v>16.067</v>
          </cell>
          <cell r="G12">
            <v>2.4369999999999998</v>
          </cell>
          <cell r="H12">
            <v>1</v>
          </cell>
          <cell r="I12">
            <v>120</v>
          </cell>
          <cell r="J12" t="str">
            <v>в матрице</v>
          </cell>
          <cell r="L12">
            <v>22.5</v>
          </cell>
          <cell r="M12">
            <v>-6.4329999999999998</v>
          </cell>
          <cell r="O12">
            <v>0</v>
          </cell>
          <cell r="P12">
            <v>48.555</v>
          </cell>
          <cell r="Q12">
            <v>20.100999999999999</v>
          </cell>
          <cell r="R12">
            <v>50</v>
          </cell>
          <cell r="S12">
            <v>50</v>
          </cell>
          <cell r="T12">
            <v>3.2134</v>
          </cell>
          <cell r="W12">
            <v>0</v>
          </cell>
          <cell r="X12">
            <v>0</v>
          </cell>
          <cell r="Y12">
            <v>31.8780730690235</v>
          </cell>
          <cell r="Z12">
            <v>0.75838675546150502</v>
          </cell>
          <cell r="AA12">
            <v>2.8929999999999998</v>
          </cell>
          <cell r="AB12">
            <v>2.7652000000000001</v>
          </cell>
          <cell r="AC12">
            <v>1.9738</v>
          </cell>
          <cell r="AD12">
            <v>4.6890000000000001</v>
          </cell>
          <cell r="AE12" t="str">
            <v>нужно увеличить продажи!!!</v>
          </cell>
        </row>
        <row r="13">
          <cell r="A13" t="str">
            <v>3986 Ароматная с/к в/у 1/250 ОСТАНКИНО</v>
          </cell>
          <cell r="B13" t="str">
            <v>шт</v>
          </cell>
          <cell r="C13">
            <v>3986</v>
          </cell>
          <cell r="D13">
            <v>113</v>
          </cell>
          <cell r="E13">
            <v>117</v>
          </cell>
          <cell r="F13">
            <v>143</v>
          </cell>
          <cell r="G13">
            <v>82</v>
          </cell>
          <cell r="H13">
            <v>0.25</v>
          </cell>
          <cell r="I13">
            <v>120</v>
          </cell>
          <cell r="J13" t="str">
            <v>в матрице</v>
          </cell>
          <cell r="L13">
            <v>145</v>
          </cell>
          <cell r="M13">
            <v>-2</v>
          </cell>
          <cell r="O13">
            <v>25</v>
          </cell>
          <cell r="P13">
            <v>144</v>
          </cell>
          <cell r="Q13">
            <v>144</v>
          </cell>
          <cell r="R13">
            <v>150</v>
          </cell>
          <cell r="S13">
            <v>150</v>
          </cell>
          <cell r="T13">
            <v>28.6</v>
          </cell>
          <cell r="U13">
            <v>50</v>
          </cell>
          <cell r="V13">
            <v>50</v>
          </cell>
          <cell r="W13">
            <v>25</v>
          </cell>
          <cell r="X13">
            <v>25</v>
          </cell>
          <cell r="Y13">
            <v>15.1048951048951</v>
          </cell>
          <cell r="Z13">
            <v>2.8671328671328702</v>
          </cell>
          <cell r="AA13">
            <v>32.799999999999997</v>
          </cell>
          <cell r="AB13">
            <v>30.8</v>
          </cell>
          <cell r="AC13">
            <v>26.8</v>
          </cell>
          <cell r="AD13">
            <v>35.799999999999997</v>
          </cell>
        </row>
        <row r="14">
          <cell r="A14" t="str">
            <v>4063 МЯСНАЯ Папа может вар п/о_Л   ОСТАНКИНО</v>
          </cell>
          <cell r="B14" t="str">
            <v>кг</v>
          </cell>
          <cell r="C14">
            <v>4063</v>
          </cell>
          <cell r="D14">
            <v>415.88299999999998</v>
          </cell>
          <cell r="E14">
            <v>86.569000000000003</v>
          </cell>
          <cell r="F14">
            <v>225.54599999999999</v>
          </cell>
          <cell r="G14">
            <v>274.959</v>
          </cell>
          <cell r="H14">
            <v>1</v>
          </cell>
          <cell r="I14">
            <v>60</v>
          </cell>
          <cell r="J14" t="str">
            <v>в матрице</v>
          </cell>
          <cell r="L14">
            <v>210.88399999999999</v>
          </cell>
          <cell r="M14">
            <v>14.662000000000001</v>
          </cell>
          <cell r="O14">
            <v>100</v>
          </cell>
          <cell r="P14">
            <v>110.255</v>
          </cell>
          <cell r="Q14">
            <v>109.075</v>
          </cell>
          <cell r="R14">
            <v>110</v>
          </cell>
          <cell r="S14">
            <v>110</v>
          </cell>
          <cell r="T14">
            <v>45.109200000000001</v>
          </cell>
          <cell r="U14">
            <v>200</v>
          </cell>
          <cell r="V14">
            <v>200</v>
          </cell>
          <cell r="W14">
            <v>120</v>
          </cell>
          <cell r="X14">
            <v>80</v>
          </cell>
          <cell r="Y14">
            <v>15.4061477481312</v>
          </cell>
          <cell r="Z14">
            <v>6.0954084754329498</v>
          </cell>
          <cell r="AA14">
            <v>42.243400000000001</v>
          </cell>
          <cell r="AB14">
            <v>55.194800000000001</v>
          </cell>
          <cell r="AC14">
            <v>37.232399999999998</v>
          </cell>
          <cell r="AD14">
            <v>45.118600000000001</v>
          </cell>
        </row>
        <row r="15">
          <cell r="A15" t="str">
            <v>4117 ЭКСТРА Папа может с/к в/у_Л   ОСТАНКИНО</v>
          </cell>
          <cell r="B15" t="str">
            <v>кг</v>
          </cell>
          <cell r="C15">
            <v>4117</v>
          </cell>
          <cell r="D15">
            <v>34.695999999999998</v>
          </cell>
          <cell r="F15">
            <v>16.302</v>
          </cell>
          <cell r="G15">
            <v>19.373999999999999</v>
          </cell>
          <cell r="H15">
            <v>1</v>
          </cell>
          <cell r="I15">
            <v>120</v>
          </cell>
          <cell r="J15" t="str">
            <v>в матрице</v>
          </cell>
          <cell r="L15">
            <v>15.5</v>
          </cell>
          <cell r="M15">
            <v>0.80200000000000005</v>
          </cell>
          <cell r="O15">
            <v>0</v>
          </cell>
          <cell r="P15">
            <v>20.152000000000001</v>
          </cell>
          <cell r="Q15">
            <v>19.853999999999999</v>
          </cell>
          <cell r="R15">
            <v>22.5</v>
          </cell>
          <cell r="S15">
            <v>22.5</v>
          </cell>
          <cell r="T15">
            <v>3.2604000000000002</v>
          </cell>
          <cell r="W15">
            <v>0</v>
          </cell>
          <cell r="X15">
            <v>0</v>
          </cell>
          <cell r="Y15">
            <v>19.744203165255801</v>
          </cell>
          <cell r="Z15">
            <v>5.9422156790577798</v>
          </cell>
          <cell r="AA15">
            <v>3.6884000000000001</v>
          </cell>
          <cell r="AB15">
            <v>1.2904</v>
          </cell>
          <cell r="AC15">
            <v>2.0802</v>
          </cell>
          <cell r="AD15">
            <v>4.3255999999999997</v>
          </cell>
        </row>
        <row r="16">
          <cell r="A16" t="str">
            <v>4574 Мясная со шпиком Папа может вар п/о ОСТАНКИНО</v>
          </cell>
          <cell r="B16" t="str">
            <v>кг</v>
          </cell>
          <cell r="C16">
            <v>4574</v>
          </cell>
          <cell r="D16">
            <v>81.775999999999996</v>
          </cell>
          <cell r="E16">
            <v>1.3340000000000001</v>
          </cell>
          <cell r="F16">
            <v>47.524000000000001</v>
          </cell>
          <cell r="G16">
            <v>35.954000000000001</v>
          </cell>
          <cell r="H16">
            <v>1</v>
          </cell>
          <cell r="I16">
            <v>60</v>
          </cell>
          <cell r="J16" t="str">
            <v>ВНИМАНИЕ / в матрице</v>
          </cell>
          <cell r="L16">
            <v>43.5</v>
          </cell>
          <cell r="M16">
            <v>4.024</v>
          </cell>
          <cell r="O16">
            <v>0</v>
          </cell>
          <cell r="P16">
            <v>65.600999999999999</v>
          </cell>
          <cell r="Q16">
            <v>65.111999999999995</v>
          </cell>
          <cell r="R16">
            <v>65</v>
          </cell>
          <cell r="S16">
            <v>65</v>
          </cell>
          <cell r="T16">
            <v>9.5047999999999995</v>
          </cell>
          <cell r="W16">
            <v>0</v>
          </cell>
          <cell r="X16">
            <v>0</v>
          </cell>
          <cell r="Y16">
            <v>17.4600202003198</v>
          </cell>
          <cell r="Z16">
            <v>3.7827203097382398</v>
          </cell>
          <cell r="AA16">
            <v>8.8737999999999992</v>
          </cell>
          <cell r="AB16">
            <v>9.4993999999999996</v>
          </cell>
          <cell r="AC16">
            <v>9.4778000000000002</v>
          </cell>
          <cell r="AD16">
            <v>11.0764</v>
          </cell>
        </row>
        <row r="17">
          <cell r="A17" t="str">
            <v>4813 ФИЛЕЙНАЯ Папа может вар п/о_Л   ОСТАНКИНО</v>
          </cell>
          <cell r="B17" t="str">
            <v>кг</v>
          </cell>
          <cell r="C17">
            <v>4813</v>
          </cell>
          <cell r="D17">
            <v>273.55599999999998</v>
          </cell>
          <cell r="E17">
            <v>89.206999999999994</v>
          </cell>
          <cell r="F17">
            <v>191.10400000000001</v>
          </cell>
          <cell r="G17">
            <v>166.22300000000001</v>
          </cell>
          <cell r="H17">
            <v>1</v>
          </cell>
          <cell r="I17">
            <v>60</v>
          </cell>
          <cell r="J17" t="str">
            <v>в матрице</v>
          </cell>
          <cell r="L17">
            <v>181.52500000000001</v>
          </cell>
          <cell r="M17">
            <v>9.5790000000000095</v>
          </cell>
          <cell r="O17">
            <v>0</v>
          </cell>
          <cell r="P17">
            <v>216.11699999999999</v>
          </cell>
          <cell r="Q17">
            <v>217.47</v>
          </cell>
          <cell r="R17">
            <v>215</v>
          </cell>
          <cell r="S17">
            <v>215</v>
          </cell>
          <cell r="T17">
            <v>38.220799999999997</v>
          </cell>
          <cell r="W17">
            <v>0</v>
          </cell>
          <cell r="X17">
            <v>0</v>
          </cell>
          <cell r="Y17">
            <v>15.5994380023443</v>
          </cell>
          <cell r="Z17">
            <v>4.3490193821165404</v>
          </cell>
          <cell r="AA17">
            <v>39.800199999999997</v>
          </cell>
          <cell r="AB17">
            <v>47.341200000000001</v>
          </cell>
          <cell r="AC17">
            <v>32.896999999999998</v>
          </cell>
          <cell r="AD17">
            <v>50.7136</v>
          </cell>
        </row>
        <row r="18">
          <cell r="A18" t="str">
            <v>4993 САЛЯМИ ИТАЛЬЯНСКАЯ с/к в/у 1/250*8_120c ОСТАНКИНО</v>
          </cell>
          <cell r="B18" t="str">
            <v>шт</v>
          </cell>
          <cell r="C18">
            <v>4993</v>
          </cell>
          <cell r="D18">
            <v>4</v>
          </cell>
          <cell r="E18">
            <v>193</v>
          </cell>
          <cell r="F18">
            <v>141</v>
          </cell>
          <cell r="G18">
            <v>50</v>
          </cell>
          <cell r="H18">
            <v>0.25</v>
          </cell>
          <cell r="I18">
            <v>120</v>
          </cell>
          <cell r="J18" t="str">
            <v>в матрице</v>
          </cell>
          <cell r="L18">
            <v>152</v>
          </cell>
          <cell r="M18">
            <v>-11</v>
          </cell>
          <cell r="O18">
            <v>75</v>
          </cell>
          <cell r="P18">
            <v>120</v>
          </cell>
          <cell r="Q18">
            <v>120</v>
          </cell>
          <cell r="R18">
            <v>125</v>
          </cell>
          <cell r="S18">
            <v>125</v>
          </cell>
          <cell r="T18">
            <v>28.2</v>
          </cell>
          <cell r="U18">
            <v>150</v>
          </cell>
          <cell r="V18">
            <v>150</v>
          </cell>
          <cell r="W18">
            <v>100</v>
          </cell>
          <cell r="X18">
            <v>50</v>
          </cell>
          <cell r="Y18">
            <v>15.9574468085106</v>
          </cell>
          <cell r="Z18">
            <v>1.7730496453900699</v>
          </cell>
          <cell r="AA18">
            <v>32.4</v>
          </cell>
          <cell r="AB18">
            <v>16.8</v>
          </cell>
          <cell r="AC18">
            <v>22.6</v>
          </cell>
          <cell r="AD18">
            <v>28.2</v>
          </cell>
        </row>
        <row r="19">
          <cell r="A19" t="str">
            <v>5452 ВЕТЧ.МЯСНАЯ Папа может п/о    ОСТАНКИНО</v>
          </cell>
          <cell r="B19" t="str">
            <v>кг</v>
          </cell>
          <cell r="C19">
            <v>5452</v>
          </cell>
          <cell r="D19">
            <v>168.33799999999999</v>
          </cell>
          <cell r="E19">
            <v>4.048</v>
          </cell>
          <cell r="F19">
            <v>124.349</v>
          </cell>
          <cell r="G19">
            <v>45.289000000000001</v>
          </cell>
          <cell r="H19">
            <v>1</v>
          </cell>
          <cell r="I19">
            <v>60</v>
          </cell>
          <cell r="J19" t="str">
            <v>в матрице</v>
          </cell>
          <cell r="L19">
            <v>119.848</v>
          </cell>
          <cell r="M19">
            <v>4.5010000000000003</v>
          </cell>
          <cell r="O19">
            <v>75</v>
          </cell>
          <cell r="P19">
            <v>89.385000000000005</v>
          </cell>
          <cell r="Q19">
            <v>89.081000000000003</v>
          </cell>
          <cell r="R19">
            <v>90</v>
          </cell>
          <cell r="S19">
            <v>90</v>
          </cell>
          <cell r="T19">
            <v>24.869800000000001</v>
          </cell>
          <cell r="U19">
            <v>150</v>
          </cell>
          <cell r="V19">
            <v>150</v>
          </cell>
          <cell r="W19">
            <v>100</v>
          </cell>
          <cell r="X19">
            <v>50</v>
          </cell>
          <cell r="Y19">
            <v>15.0901494985886</v>
          </cell>
          <cell r="Z19">
            <v>1.82104399713709</v>
          </cell>
          <cell r="AA19">
            <v>20.366</v>
          </cell>
          <cell r="AB19">
            <v>20.625</v>
          </cell>
          <cell r="AC19">
            <v>13.4084</v>
          </cell>
          <cell r="AD19">
            <v>20.437999999999999</v>
          </cell>
        </row>
        <row r="20">
          <cell r="A20" t="str">
            <v>5483 ЭКСТРА Папа может с/к в/у 1/250 8шт.   ОСТАНКИНО</v>
          </cell>
          <cell r="B20" t="str">
            <v>шт</v>
          </cell>
          <cell r="C20">
            <v>5483</v>
          </cell>
          <cell r="D20">
            <v>293</v>
          </cell>
          <cell r="E20">
            <v>81</v>
          </cell>
          <cell r="F20">
            <v>144</v>
          </cell>
          <cell r="G20">
            <v>229</v>
          </cell>
          <cell r="H20">
            <v>0.25</v>
          </cell>
          <cell r="I20">
            <v>120</v>
          </cell>
          <cell r="J20" t="str">
            <v>в матрице</v>
          </cell>
          <cell r="L20">
            <v>144</v>
          </cell>
          <cell r="M20">
            <v>0</v>
          </cell>
          <cell r="O20">
            <v>110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28.8</v>
          </cell>
          <cell r="U20">
            <v>220</v>
          </cell>
          <cell r="V20">
            <v>220</v>
          </cell>
          <cell r="W20">
            <v>150</v>
          </cell>
          <cell r="X20">
            <v>70</v>
          </cell>
          <cell r="Y20">
            <v>15.5902777777778</v>
          </cell>
          <cell r="Z20">
            <v>7.9513888888888902</v>
          </cell>
          <cell r="AA20">
            <v>31</v>
          </cell>
          <cell r="AB20">
            <v>35.6</v>
          </cell>
          <cell r="AC20">
            <v>23</v>
          </cell>
          <cell r="AD20">
            <v>23.2</v>
          </cell>
        </row>
        <row r="21">
          <cell r="A21" t="str">
            <v>5495 ВЕТЧ.С ИНДЕЙКОЙ Папа может п/о 400*6  Останкино</v>
          </cell>
          <cell r="B21" t="str">
            <v>шт</v>
          </cell>
          <cell r="C21">
            <v>5495</v>
          </cell>
          <cell r="D21">
            <v>32</v>
          </cell>
          <cell r="E21">
            <v>145</v>
          </cell>
          <cell r="F21">
            <v>133</v>
          </cell>
          <cell r="G21">
            <v>42</v>
          </cell>
          <cell r="H21">
            <v>0.4</v>
          </cell>
          <cell r="I21">
            <v>60</v>
          </cell>
          <cell r="J21" t="str">
            <v>в матрице</v>
          </cell>
          <cell r="L21">
            <v>135</v>
          </cell>
          <cell r="M21">
            <v>-2</v>
          </cell>
          <cell r="O21">
            <v>75</v>
          </cell>
          <cell r="P21">
            <v>120</v>
          </cell>
          <cell r="Q21">
            <v>120</v>
          </cell>
          <cell r="R21">
            <v>125</v>
          </cell>
          <cell r="S21">
            <v>125</v>
          </cell>
          <cell r="T21">
            <v>26.6</v>
          </cell>
          <cell r="U21">
            <v>150</v>
          </cell>
          <cell r="V21">
            <v>150</v>
          </cell>
          <cell r="W21">
            <v>80</v>
          </cell>
          <cell r="X21">
            <v>70</v>
          </cell>
          <cell r="Y21">
            <v>16.6165413533835</v>
          </cell>
          <cell r="Z21">
            <v>1.57894736842105</v>
          </cell>
          <cell r="AA21">
            <v>15.8</v>
          </cell>
          <cell r="AB21">
            <v>12</v>
          </cell>
          <cell r="AC21">
            <v>17.399999999999999</v>
          </cell>
          <cell r="AD21">
            <v>22.4</v>
          </cell>
        </row>
        <row r="22">
          <cell r="A22" t="str">
            <v>5544 Сервелат Финский в/к в/у_45с НОВАЯ ОСТАНКИНО</v>
          </cell>
          <cell r="B22" t="str">
            <v>кг</v>
          </cell>
          <cell r="C22">
            <v>5544</v>
          </cell>
          <cell r="D22">
            <v>88.363</v>
          </cell>
          <cell r="E22">
            <v>152.65700000000001</v>
          </cell>
          <cell r="F22">
            <v>199.06700000000001</v>
          </cell>
          <cell r="G22">
            <v>40.286999999999999</v>
          </cell>
          <cell r="H22">
            <v>1</v>
          </cell>
          <cell r="I22">
            <v>45</v>
          </cell>
          <cell r="J22" t="str">
            <v>в матрице</v>
          </cell>
          <cell r="L22">
            <v>181.94499999999999</v>
          </cell>
          <cell r="M22">
            <v>17.122</v>
          </cell>
          <cell r="O22">
            <v>0</v>
          </cell>
          <cell r="P22">
            <v>337.82400000000001</v>
          </cell>
          <cell r="Q22">
            <v>337.07299999999998</v>
          </cell>
          <cell r="R22">
            <v>325</v>
          </cell>
          <cell r="S22">
            <v>325</v>
          </cell>
          <cell r="T22">
            <v>39.813400000000001</v>
          </cell>
          <cell r="W22">
            <v>0</v>
          </cell>
          <cell r="X22">
            <v>0</v>
          </cell>
          <cell r="Y22">
            <v>17.338057036073302</v>
          </cell>
          <cell r="Z22">
            <v>1.01189549247238</v>
          </cell>
          <cell r="AA22">
            <v>46.175800000000002</v>
          </cell>
          <cell r="AB22">
            <v>33.668999999999997</v>
          </cell>
          <cell r="AC22">
            <v>31.7788</v>
          </cell>
          <cell r="AD22">
            <v>48.798999999999999</v>
          </cell>
          <cell r="AE22" t="str">
            <v>Мкд Трейд</v>
          </cell>
        </row>
        <row r="23">
          <cell r="A23" t="str">
            <v>5708 ПОСОЛЬСКАЯ Папа может с/к в/у ОСТАНКИНО</v>
          </cell>
          <cell r="B23" t="str">
            <v>кг</v>
          </cell>
          <cell r="C23">
            <v>5708</v>
          </cell>
          <cell r="D23">
            <v>0.5</v>
          </cell>
          <cell r="F23">
            <v>1.484</v>
          </cell>
          <cell r="H23">
            <v>1</v>
          </cell>
          <cell r="I23">
            <v>1</v>
          </cell>
          <cell r="L23">
            <v>2.5</v>
          </cell>
          <cell r="M23">
            <v>-1.016</v>
          </cell>
          <cell r="O23">
            <v>0</v>
          </cell>
          <cell r="P23">
            <v>19.670000000000002</v>
          </cell>
          <cell r="Q23">
            <v>19.809999999999999</v>
          </cell>
          <cell r="R23">
            <v>20</v>
          </cell>
          <cell r="S23">
            <v>20</v>
          </cell>
          <cell r="T23">
            <v>0.29680000000000001</v>
          </cell>
          <cell r="W23">
            <v>0</v>
          </cell>
          <cell r="X23">
            <v>0</v>
          </cell>
          <cell r="Y23">
            <v>134.77088948787099</v>
          </cell>
          <cell r="Z23">
            <v>0</v>
          </cell>
          <cell r="AA23">
            <v>2.1842000000000001</v>
          </cell>
          <cell r="AB23">
            <v>2.1798000000000002</v>
          </cell>
          <cell r="AC23">
            <v>1.5960000000000001</v>
          </cell>
          <cell r="AD23">
            <v>3.2924000000000002</v>
          </cell>
        </row>
        <row r="24">
          <cell r="A24" t="str">
            <v>5819 Сосиски Папа может 400г Мясные  ОСТАНКИНО</v>
          </cell>
          <cell r="B24" t="str">
            <v>шт</v>
          </cell>
          <cell r="C24">
            <v>5819</v>
          </cell>
          <cell r="D24">
            <v>53</v>
          </cell>
          <cell r="E24">
            <v>505</v>
          </cell>
          <cell r="F24">
            <v>84</v>
          </cell>
          <cell r="G24">
            <v>470</v>
          </cell>
          <cell r="H24">
            <v>0.4</v>
          </cell>
          <cell r="I24">
            <v>45</v>
          </cell>
          <cell r="J24" t="str">
            <v>в матрице</v>
          </cell>
          <cell r="L24">
            <v>88</v>
          </cell>
          <cell r="M24">
            <v>-4</v>
          </cell>
          <cell r="O24">
            <v>0</v>
          </cell>
          <cell r="P24">
            <v>24</v>
          </cell>
          <cell r="Q24">
            <v>24</v>
          </cell>
          <cell r="R24">
            <v>25</v>
          </cell>
          <cell r="S24">
            <v>25</v>
          </cell>
          <cell r="T24">
            <v>16.8</v>
          </cell>
          <cell r="W24">
            <v>0</v>
          </cell>
          <cell r="X24">
            <v>0</v>
          </cell>
          <cell r="Y24">
            <v>30.952380952380999</v>
          </cell>
          <cell r="Z24">
            <v>27.976190476190499</v>
          </cell>
          <cell r="AA24">
            <v>28.8</v>
          </cell>
          <cell r="AB24">
            <v>0</v>
          </cell>
          <cell r="AC24">
            <v>39.6</v>
          </cell>
          <cell r="AD24">
            <v>27.8</v>
          </cell>
          <cell r="AE24" t="str">
            <v>Мкд Трейд</v>
          </cell>
        </row>
        <row r="25">
          <cell r="A25" t="str">
            <v>5851 ЭКСТРА Папа может вар п/о   ОСТАНКИНО</v>
          </cell>
          <cell r="B25" t="str">
            <v>кг</v>
          </cell>
          <cell r="C25">
            <v>5851</v>
          </cell>
          <cell r="D25">
            <v>264.26600000000002</v>
          </cell>
          <cell r="E25">
            <v>51.643000000000001</v>
          </cell>
          <cell r="F25">
            <v>150.73599999999999</v>
          </cell>
          <cell r="G25">
            <v>162.08500000000001</v>
          </cell>
          <cell r="H25">
            <v>1</v>
          </cell>
          <cell r="I25">
            <v>60</v>
          </cell>
          <cell r="J25" t="str">
            <v>в матрице</v>
          </cell>
          <cell r="L25">
            <v>140.80000000000001</v>
          </cell>
          <cell r="M25">
            <v>9.9359999999999804</v>
          </cell>
          <cell r="O25">
            <v>110</v>
          </cell>
          <cell r="P25">
            <v>48.865000000000002</v>
          </cell>
          <cell r="Q25">
            <v>48.857999999999997</v>
          </cell>
          <cell r="R25">
            <v>50</v>
          </cell>
          <cell r="S25">
            <v>50</v>
          </cell>
          <cell r="T25">
            <v>30.147200000000002</v>
          </cell>
          <cell r="U25">
            <v>220</v>
          </cell>
          <cell r="V25">
            <v>220</v>
          </cell>
          <cell r="W25">
            <v>120</v>
          </cell>
          <cell r="X25">
            <v>100</v>
          </cell>
          <cell r="Y25">
            <v>15.9910373102643</v>
          </cell>
          <cell r="Z25">
            <v>5.3764528712450899</v>
          </cell>
          <cell r="AA25">
            <v>21.884399999999999</v>
          </cell>
          <cell r="AB25">
            <v>28.4008</v>
          </cell>
          <cell r="AC25">
            <v>21.9102</v>
          </cell>
          <cell r="AD25">
            <v>22.085999999999999</v>
          </cell>
        </row>
        <row r="26">
          <cell r="A26" t="str">
            <v>5931 ОХОТНИЧЬЯ Папа может с/к в/у 1/220 8шт.   ОСТАНКИНО</v>
          </cell>
          <cell r="B26" t="str">
            <v>шт</v>
          </cell>
          <cell r="C26">
            <v>5931</v>
          </cell>
          <cell r="D26">
            <v>233</v>
          </cell>
          <cell r="E26">
            <v>50</v>
          </cell>
          <cell r="F26">
            <v>170</v>
          </cell>
          <cell r="G26">
            <v>111</v>
          </cell>
          <cell r="H26">
            <v>0.22</v>
          </cell>
          <cell r="I26">
            <v>120</v>
          </cell>
          <cell r="J26" t="str">
            <v>в матрице</v>
          </cell>
          <cell r="L26">
            <v>167</v>
          </cell>
          <cell r="M26">
            <v>3</v>
          </cell>
          <cell r="O26">
            <v>50</v>
          </cell>
          <cell r="P26">
            <v>160</v>
          </cell>
          <cell r="Q26">
            <v>160</v>
          </cell>
          <cell r="R26">
            <v>160</v>
          </cell>
          <cell r="S26">
            <v>160</v>
          </cell>
          <cell r="T26">
            <v>34</v>
          </cell>
          <cell r="U26">
            <v>100</v>
          </cell>
          <cell r="V26">
            <v>100</v>
          </cell>
          <cell r="W26">
            <v>50</v>
          </cell>
          <cell r="X26">
            <v>50</v>
          </cell>
          <cell r="Y26">
            <v>15.617647058823501</v>
          </cell>
          <cell r="Z26">
            <v>3.2647058823529398</v>
          </cell>
          <cell r="AA26">
            <v>30.2</v>
          </cell>
          <cell r="AB26">
            <v>35</v>
          </cell>
          <cell r="AC26">
            <v>22.6</v>
          </cell>
          <cell r="AD26">
            <v>39.200000000000003</v>
          </cell>
        </row>
        <row r="27">
          <cell r="A27" t="str">
            <v>6208 ДЫМОВИЦА ИЗ ЛОПАТКИ ПМ к/в с/н в/у 1/150  Останкино</v>
          </cell>
          <cell r="B27" t="str">
            <v>шт</v>
          </cell>
          <cell r="C27">
            <v>6208</v>
          </cell>
          <cell r="D27">
            <v>16</v>
          </cell>
          <cell r="F27">
            <v>2</v>
          </cell>
          <cell r="G27">
            <v>-1</v>
          </cell>
          <cell r="H27">
            <v>0.15</v>
          </cell>
          <cell r="I27">
            <v>0.15</v>
          </cell>
          <cell r="L27">
            <v>2</v>
          </cell>
          <cell r="M27">
            <v>0</v>
          </cell>
          <cell r="O27">
            <v>0</v>
          </cell>
          <cell r="P27">
            <v>10</v>
          </cell>
          <cell r="Q27">
            <v>10</v>
          </cell>
          <cell r="R27">
            <v>10</v>
          </cell>
          <cell r="S27">
            <v>10</v>
          </cell>
          <cell r="T27">
            <v>0.4</v>
          </cell>
          <cell r="W27">
            <v>0</v>
          </cell>
          <cell r="X27">
            <v>0</v>
          </cell>
          <cell r="Y27">
            <v>47.5</v>
          </cell>
          <cell r="Z27">
            <v>-2.5</v>
          </cell>
          <cell r="AA27">
            <v>0.2</v>
          </cell>
          <cell r="AB27">
            <v>1.4</v>
          </cell>
          <cell r="AC27">
            <v>1.4</v>
          </cell>
          <cell r="AD27">
            <v>1.6</v>
          </cell>
        </row>
        <row r="28">
          <cell r="A28" t="str">
            <v>6220 ГОВЯЖЬЯ папа может вар п/о  Останкино</v>
          </cell>
          <cell r="B28" t="str">
            <v>кг</v>
          </cell>
          <cell r="C28">
            <v>6220</v>
          </cell>
          <cell r="D28">
            <v>95.274000000000001</v>
          </cell>
          <cell r="E28">
            <v>10.659000000000001</v>
          </cell>
          <cell r="F28">
            <v>69.302999999999997</v>
          </cell>
          <cell r="G28">
            <v>35.353000000000002</v>
          </cell>
          <cell r="H28">
            <v>1</v>
          </cell>
          <cell r="I28">
            <v>60</v>
          </cell>
          <cell r="J28" t="str">
            <v>в матрице</v>
          </cell>
          <cell r="L28">
            <v>65.7</v>
          </cell>
          <cell r="M28">
            <v>3.60299999999999</v>
          </cell>
          <cell r="O28">
            <v>75</v>
          </cell>
          <cell r="P28">
            <v>20.306000000000001</v>
          </cell>
          <cell r="Q28">
            <v>20.143000000000001</v>
          </cell>
          <cell r="R28">
            <v>20</v>
          </cell>
          <cell r="S28">
            <v>20</v>
          </cell>
          <cell r="T28">
            <v>13.8606</v>
          </cell>
          <cell r="U28">
            <v>150</v>
          </cell>
          <cell r="V28">
            <v>150</v>
          </cell>
          <cell r="W28">
            <v>80</v>
          </cell>
          <cell r="X28">
            <v>70</v>
          </cell>
          <cell r="Y28">
            <v>16.258531376708099</v>
          </cell>
          <cell r="Z28">
            <v>2.5506110846572301</v>
          </cell>
          <cell r="AA28">
            <v>14.041</v>
          </cell>
          <cell r="AB28">
            <v>12.271599999999999</v>
          </cell>
          <cell r="AC28">
            <v>10.001799999999999</v>
          </cell>
          <cell r="AD28">
            <v>11.16</v>
          </cell>
        </row>
        <row r="29">
          <cell r="A29" t="str">
            <v>6221 НЕОПОЛИТАНСКИЙ ДУЭТ с/к с/н мгс 1/90  Останкино</v>
          </cell>
          <cell r="B29" t="str">
            <v>шт</v>
          </cell>
          <cell r="C29">
            <v>6221</v>
          </cell>
          <cell r="D29">
            <v>155</v>
          </cell>
          <cell r="E29">
            <v>181</v>
          </cell>
          <cell r="F29">
            <v>119</v>
          </cell>
          <cell r="G29">
            <v>211</v>
          </cell>
          <cell r="H29">
            <v>0.09</v>
          </cell>
          <cell r="I29">
            <v>60</v>
          </cell>
          <cell r="J29" t="str">
            <v>в матрице</v>
          </cell>
          <cell r="L29">
            <v>123</v>
          </cell>
          <cell r="M29">
            <v>-4</v>
          </cell>
          <cell r="O29">
            <v>75</v>
          </cell>
          <cell r="P29">
            <v>10</v>
          </cell>
          <cell r="Q29">
            <v>10</v>
          </cell>
          <cell r="R29">
            <v>10</v>
          </cell>
          <cell r="S29">
            <v>10</v>
          </cell>
          <cell r="T29">
            <v>23.8</v>
          </cell>
          <cell r="U29">
            <v>150</v>
          </cell>
          <cell r="V29">
            <v>150</v>
          </cell>
          <cell r="W29">
            <v>80</v>
          </cell>
          <cell r="X29">
            <v>70</v>
          </cell>
          <cell r="Y29">
            <v>16.008403361344499</v>
          </cell>
          <cell r="Z29">
            <v>8.8655462184874008</v>
          </cell>
          <cell r="AA29">
            <v>23.4</v>
          </cell>
          <cell r="AB29">
            <v>23.8</v>
          </cell>
          <cell r="AC29">
            <v>28</v>
          </cell>
          <cell r="AD29">
            <v>23.8</v>
          </cell>
        </row>
        <row r="30">
          <cell r="A30" t="str">
            <v>6228 МЯСНОЕ АССОРТИ к/з с/н мгс 1/90 10шт  Останкино</v>
          </cell>
          <cell r="B30" t="str">
            <v>шт</v>
          </cell>
          <cell r="C30">
            <v>6228</v>
          </cell>
          <cell r="D30">
            <v>15</v>
          </cell>
          <cell r="E30">
            <v>100</v>
          </cell>
          <cell r="F30">
            <v>35</v>
          </cell>
          <cell r="G30">
            <v>74</v>
          </cell>
          <cell r="H30">
            <v>0.09</v>
          </cell>
          <cell r="I30">
            <v>45</v>
          </cell>
          <cell r="J30" t="str">
            <v>в матрице</v>
          </cell>
          <cell r="L30">
            <v>41</v>
          </cell>
          <cell r="M30">
            <v>-6</v>
          </cell>
          <cell r="O30">
            <v>0</v>
          </cell>
          <cell r="P30">
            <v>70</v>
          </cell>
          <cell r="Q30">
            <v>70</v>
          </cell>
          <cell r="R30">
            <v>75</v>
          </cell>
          <cell r="S30">
            <v>75</v>
          </cell>
          <cell r="T30">
            <v>7</v>
          </cell>
          <cell r="W30">
            <v>0</v>
          </cell>
          <cell r="X30">
            <v>0</v>
          </cell>
          <cell r="Y30">
            <v>32</v>
          </cell>
          <cell r="Z30">
            <v>10.5714285714286</v>
          </cell>
          <cell r="AA30">
            <v>13</v>
          </cell>
          <cell r="AB30">
            <v>7.4</v>
          </cell>
          <cell r="AC30">
            <v>10.6</v>
          </cell>
          <cell r="AD30">
            <v>14.6</v>
          </cell>
          <cell r="AE30" t="str">
            <v>увел продажи</v>
          </cell>
        </row>
        <row r="31">
          <cell r="A31" t="str">
            <v>6268 Колбаса Папа может 400г Говяжья вар п/о  ОСТАНКИНО</v>
          </cell>
          <cell r="B31" t="str">
            <v>шт</v>
          </cell>
          <cell r="C31">
            <v>6268</v>
          </cell>
          <cell r="F31">
            <v>0</v>
          </cell>
          <cell r="G31">
            <v>-2</v>
          </cell>
          <cell r="H31">
            <v>0.4</v>
          </cell>
          <cell r="I31">
            <v>60</v>
          </cell>
          <cell r="J31" t="str">
            <v>в матрице</v>
          </cell>
          <cell r="L31">
            <v>2</v>
          </cell>
          <cell r="M31">
            <v>-2</v>
          </cell>
          <cell r="O31">
            <v>0</v>
          </cell>
          <cell r="P31">
            <v>0</v>
          </cell>
          <cell r="Q31">
            <v>0</v>
          </cell>
          <cell r="R31">
            <v>40</v>
          </cell>
          <cell r="S31">
            <v>40</v>
          </cell>
          <cell r="T31">
            <v>0</v>
          </cell>
          <cell r="W31">
            <v>0</v>
          </cell>
          <cell r="X31">
            <v>0</v>
          </cell>
          <cell r="Y31" t="e">
            <v>#DIV/0!</v>
          </cell>
          <cell r="Z31" t="e">
            <v>#DIV/0!</v>
          </cell>
          <cell r="AA31">
            <v>12.4</v>
          </cell>
          <cell r="AB31">
            <v>1.8</v>
          </cell>
          <cell r="AC31">
            <v>-0.2</v>
          </cell>
          <cell r="AD31">
            <v>0.8</v>
          </cell>
        </row>
        <row r="32">
          <cell r="A32" t="str">
            <v>6279 КОРЕЙКА ПО-ОСТ.к/в в/с с/н в/у 1/150_45с  Останкино</v>
          </cell>
          <cell r="B32" t="str">
            <v>шт</v>
          </cell>
          <cell r="C32">
            <v>6279</v>
          </cell>
          <cell r="D32">
            <v>4</v>
          </cell>
          <cell r="E32">
            <v>48</v>
          </cell>
          <cell r="F32">
            <v>38</v>
          </cell>
          <cell r="G32">
            <v>9</v>
          </cell>
          <cell r="H32">
            <v>0.15</v>
          </cell>
          <cell r="I32">
            <v>45</v>
          </cell>
          <cell r="J32" t="str">
            <v>в матрице</v>
          </cell>
          <cell r="L32">
            <v>99</v>
          </cell>
          <cell r="M32">
            <v>-61</v>
          </cell>
          <cell r="O32">
            <v>25</v>
          </cell>
          <cell r="P32">
            <v>48</v>
          </cell>
          <cell r="Q32">
            <v>48</v>
          </cell>
          <cell r="R32">
            <v>50</v>
          </cell>
          <cell r="S32">
            <v>50</v>
          </cell>
          <cell r="T32">
            <v>7.6</v>
          </cell>
          <cell r="U32">
            <v>50</v>
          </cell>
          <cell r="V32">
            <v>50</v>
          </cell>
          <cell r="W32">
            <v>30</v>
          </cell>
          <cell r="X32">
            <v>20</v>
          </cell>
          <cell r="Y32">
            <v>20.921052631578899</v>
          </cell>
          <cell r="Z32">
            <v>1.18421052631579</v>
          </cell>
          <cell r="AA32">
            <v>15.8</v>
          </cell>
          <cell r="AB32">
            <v>10.6</v>
          </cell>
          <cell r="AC32">
            <v>10</v>
          </cell>
          <cell r="AD32">
            <v>8.6</v>
          </cell>
        </row>
        <row r="33">
          <cell r="A33" t="str">
            <v>6303 Мясные Папа может сос п/о мгс 1,5*3  Останкино</v>
          </cell>
          <cell r="B33" t="str">
            <v>кг</v>
          </cell>
          <cell r="C33">
            <v>6303</v>
          </cell>
          <cell r="D33">
            <v>580.17499999999995</v>
          </cell>
          <cell r="E33">
            <v>9.141</v>
          </cell>
          <cell r="F33">
            <v>168.32400000000001</v>
          </cell>
          <cell r="G33">
            <v>396.56400000000002</v>
          </cell>
          <cell r="H33">
            <v>1</v>
          </cell>
          <cell r="I33">
            <v>45</v>
          </cell>
          <cell r="J33" t="str">
            <v>в матрице</v>
          </cell>
          <cell r="L33">
            <v>175.41800000000001</v>
          </cell>
          <cell r="M33">
            <v>-7.0939999999999896</v>
          </cell>
          <cell r="O33">
            <v>75</v>
          </cell>
          <cell r="P33">
            <v>14.571999999999999</v>
          </cell>
          <cell r="Q33">
            <v>13.805</v>
          </cell>
          <cell r="R33">
            <v>12.5</v>
          </cell>
          <cell r="S33">
            <v>12.5</v>
          </cell>
          <cell r="T33">
            <v>33.6648</v>
          </cell>
          <cell r="U33">
            <v>150</v>
          </cell>
          <cell r="V33">
            <v>150</v>
          </cell>
          <cell r="W33">
            <v>80</v>
          </cell>
          <cell r="X33">
            <v>70</v>
          </cell>
          <cell r="Y33">
            <v>16.978089874290099</v>
          </cell>
          <cell r="Z33">
            <v>11.7797818492907</v>
          </cell>
          <cell r="AA33">
            <v>43.668799999999997</v>
          </cell>
          <cell r="AB33">
            <v>71.153400000000005</v>
          </cell>
          <cell r="AC33">
            <v>33.6068</v>
          </cell>
          <cell r="AD33">
            <v>46.767800000000001</v>
          </cell>
        </row>
        <row r="34">
          <cell r="A34" t="str">
            <v>6324 ДОКТОРСКАЯ ГОСТ вар п/о 0,4кг 8шт  Останкино</v>
          </cell>
          <cell r="B34" t="str">
            <v>шт</v>
          </cell>
          <cell r="C34">
            <v>6324</v>
          </cell>
          <cell r="D34">
            <v>288</v>
          </cell>
          <cell r="F34">
            <v>21</v>
          </cell>
          <cell r="G34">
            <v>266</v>
          </cell>
          <cell r="H34">
            <v>0.4</v>
          </cell>
          <cell r="I34">
            <v>60</v>
          </cell>
          <cell r="J34" t="str">
            <v>в матрице</v>
          </cell>
          <cell r="L34">
            <v>22</v>
          </cell>
          <cell r="M34">
            <v>-1</v>
          </cell>
          <cell r="O34">
            <v>0</v>
          </cell>
          <cell r="P34">
            <v>0</v>
          </cell>
          <cell r="Q34">
            <v>0</v>
          </cell>
          <cell r="R34">
            <v>17.5</v>
          </cell>
          <cell r="S34">
            <v>17.5</v>
          </cell>
          <cell r="T34">
            <v>4.2</v>
          </cell>
          <cell r="W34">
            <v>0</v>
          </cell>
          <cell r="X34">
            <v>0</v>
          </cell>
          <cell r="Y34">
            <v>71.6666666666667</v>
          </cell>
          <cell r="Z34">
            <v>63.3333333333333</v>
          </cell>
          <cell r="AA34">
            <v>3.2</v>
          </cell>
          <cell r="AB34">
            <v>9.4</v>
          </cell>
          <cell r="AC34">
            <v>16.600000000000001</v>
          </cell>
          <cell r="AD34">
            <v>18.600000000000001</v>
          </cell>
          <cell r="AE34" t="str">
            <v>Мкд Трейд</v>
          </cell>
        </row>
        <row r="35">
          <cell r="A35" t="str">
            <v>6325 ДОКТОРСКАЯ ПРЕМИУМ вар п/о 0.4кг 8шт.  ОСТАНКИНО</v>
          </cell>
          <cell r="B35" t="str">
            <v>шт</v>
          </cell>
          <cell r="C35">
            <v>6325</v>
          </cell>
          <cell r="D35">
            <v>174</v>
          </cell>
          <cell r="E35">
            <v>50</v>
          </cell>
          <cell r="F35">
            <v>58</v>
          </cell>
          <cell r="G35">
            <v>161</v>
          </cell>
          <cell r="H35">
            <v>0.4</v>
          </cell>
          <cell r="I35">
            <v>60</v>
          </cell>
          <cell r="J35" t="str">
            <v>ВНИМАНИЕ / в матрице</v>
          </cell>
          <cell r="L35">
            <v>63</v>
          </cell>
          <cell r="M35">
            <v>-5</v>
          </cell>
          <cell r="O35">
            <v>40</v>
          </cell>
          <cell r="P35">
            <v>24</v>
          </cell>
          <cell r="Q35">
            <v>24</v>
          </cell>
          <cell r="R35">
            <v>25</v>
          </cell>
          <cell r="S35">
            <v>25</v>
          </cell>
          <cell r="T35">
            <v>11.6</v>
          </cell>
          <cell r="U35">
            <v>80</v>
          </cell>
          <cell r="V35">
            <v>150</v>
          </cell>
          <cell r="W35">
            <v>40</v>
          </cell>
          <cell r="X35">
            <v>40</v>
          </cell>
          <cell r="Y35">
            <v>25.086206896551701</v>
          </cell>
          <cell r="Z35">
            <v>13.8793103448276</v>
          </cell>
          <cell r="AA35">
            <v>17.2</v>
          </cell>
          <cell r="AB35">
            <v>22.8</v>
          </cell>
          <cell r="AC35">
            <v>23.4</v>
          </cell>
          <cell r="AD35">
            <v>18.2</v>
          </cell>
          <cell r="AE35" t="str">
            <v>ротация0,35</v>
          </cell>
        </row>
        <row r="36">
          <cell r="A36" t="str">
            <v>6333 МЯСНАЯ Папа может вар п/о 0.4кг 8шт.  ОСТАНКИНО</v>
          </cell>
          <cell r="B36" t="str">
            <v>шт</v>
          </cell>
          <cell r="C36">
            <v>6333</v>
          </cell>
          <cell r="D36">
            <v>113</v>
          </cell>
          <cell r="E36">
            <v>692</v>
          </cell>
          <cell r="F36">
            <v>417</v>
          </cell>
          <cell r="G36">
            <v>374</v>
          </cell>
          <cell r="H36">
            <v>0.4</v>
          </cell>
          <cell r="I36">
            <v>60</v>
          </cell>
          <cell r="J36" t="str">
            <v>в матрице</v>
          </cell>
          <cell r="L36">
            <v>428</v>
          </cell>
          <cell r="M36">
            <v>-11</v>
          </cell>
          <cell r="O36">
            <v>60</v>
          </cell>
          <cell r="P36">
            <v>344</v>
          </cell>
          <cell r="Q36">
            <v>344</v>
          </cell>
          <cell r="R36">
            <v>350</v>
          </cell>
          <cell r="S36">
            <v>350</v>
          </cell>
          <cell r="T36">
            <v>83.4</v>
          </cell>
          <cell r="U36">
            <v>120</v>
          </cell>
          <cell r="V36">
            <v>120</v>
          </cell>
          <cell r="W36">
            <v>70</v>
          </cell>
          <cell r="X36">
            <v>50</v>
          </cell>
          <cell r="Y36">
            <v>14.316546762589899</v>
          </cell>
          <cell r="Z36">
            <v>4.4844124700239796</v>
          </cell>
          <cell r="AA36">
            <v>61.8</v>
          </cell>
          <cell r="AB36">
            <v>73.8</v>
          </cell>
          <cell r="AC36">
            <v>90</v>
          </cell>
          <cell r="AD36">
            <v>98.6</v>
          </cell>
        </row>
        <row r="37">
          <cell r="A37" t="str">
            <v>6353 ЭКСТРА Папа может вар п/о 0.4кг 8шт.  ОСТАНКИНО</v>
          </cell>
          <cell r="B37" t="str">
            <v>шт</v>
          </cell>
          <cell r="C37">
            <v>6353</v>
          </cell>
          <cell r="D37">
            <v>580</v>
          </cell>
          <cell r="E37">
            <v>55</v>
          </cell>
          <cell r="F37">
            <v>268</v>
          </cell>
          <cell r="G37">
            <v>366</v>
          </cell>
          <cell r="H37">
            <v>0.4</v>
          </cell>
          <cell r="I37">
            <v>60</v>
          </cell>
          <cell r="J37" t="str">
            <v>в матрице</v>
          </cell>
          <cell r="L37">
            <v>268</v>
          </cell>
          <cell r="M37">
            <v>0</v>
          </cell>
          <cell r="O37">
            <v>210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53.6</v>
          </cell>
          <cell r="U37">
            <v>420</v>
          </cell>
          <cell r="V37">
            <v>420</v>
          </cell>
          <cell r="W37">
            <v>250</v>
          </cell>
          <cell r="X37">
            <v>170</v>
          </cell>
          <cell r="Y37">
            <v>14.664179104477601</v>
          </cell>
          <cell r="Z37">
            <v>6.8283582089552199</v>
          </cell>
          <cell r="AA37">
            <v>43</v>
          </cell>
          <cell r="AB37">
            <v>67</v>
          </cell>
          <cell r="AC37">
            <v>40</v>
          </cell>
          <cell r="AD37">
            <v>45.4</v>
          </cell>
          <cell r="AE37" t="str">
            <v>Мкд Трейд</v>
          </cell>
        </row>
        <row r="38">
          <cell r="A38" t="str">
            <v>6364 СЕРВЕЛАТ ЗЕРНИСТЫЙ ПМ в/к в/у 0.35кг  ОСТАНКИНО</v>
          </cell>
          <cell r="B38" t="str">
            <v>шт</v>
          </cell>
          <cell r="C38">
            <v>6364</v>
          </cell>
          <cell r="D38">
            <v>-1</v>
          </cell>
          <cell r="F38">
            <v>0</v>
          </cell>
          <cell r="G38">
            <v>-1</v>
          </cell>
          <cell r="H38">
            <v>0</v>
          </cell>
          <cell r="L38">
            <v>0</v>
          </cell>
          <cell r="M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W38">
            <v>0</v>
          </cell>
          <cell r="X38">
            <v>0</v>
          </cell>
          <cell r="Y38" t="e">
            <v>#DIV/0!</v>
          </cell>
          <cell r="Z38" t="e">
            <v>#DIV/0!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</row>
        <row r="39">
          <cell r="A39" t="str">
            <v>6392 ФИЛЕЙНАЯ Папа может вар п/о 0,4кг  ОСТАНКИНО</v>
          </cell>
          <cell r="B39" t="str">
            <v>шт</v>
          </cell>
          <cell r="C39">
            <v>6392</v>
          </cell>
          <cell r="D39">
            <v>621</v>
          </cell>
          <cell r="E39">
            <v>113</v>
          </cell>
          <cell r="F39">
            <v>363</v>
          </cell>
          <cell r="G39">
            <v>364</v>
          </cell>
          <cell r="H39">
            <v>0.4</v>
          </cell>
          <cell r="I39">
            <v>60</v>
          </cell>
          <cell r="J39" t="str">
            <v>в матрице</v>
          </cell>
          <cell r="L39">
            <v>370</v>
          </cell>
          <cell r="M39">
            <v>-7</v>
          </cell>
          <cell r="O39">
            <v>250</v>
          </cell>
          <cell r="P39">
            <v>104</v>
          </cell>
          <cell r="Q39">
            <v>104</v>
          </cell>
          <cell r="R39">
            <v>110</v>
          </cell>
          <cell r="S39">
            <v>110</v>
          </cell>
          <cell r="T39">
            <v>72.599999999999994</v>
          </cell>
          <cell r="U39">
            <v>500</v>
          </cell>
          <cell r="V39">
            <v>500</v>
          </cell>
          <cell r="W39">
            <v>300</v>
          </cell>
          <cell r="X39">
            <v>200</v>
          </cell>
          <cell r="Y39">
            <v>14.931129476583999</v>
          </cell>
          <cell r="Z39">
            <v>5.0137741046831996</v>
          </cell>
          <cell r="AA39">
            <v>74.599999999999994</v>
          </cell>
          <cell r="AB39">
            <v>88.8</v>
          </cell>
          <cell r="AC39">
            <v>73.599999999999994</v>
          </cell>
          <cell r="AD39">
            <v>60.8</v>
          </cell>
          <cell r="AE39" t="str">
            <v>Мкд Трейд</v>
          </cell>
        </row>
        <row r="40">
          <cell r="A40" t="str">
            <v>6453 ЭКСТРА Папа может с/к с/н в/у 1/100 14шт.   ОСТАНКИНО</v>
          </cell>
          <cell r="B40" t="str">
            <v>шт</v>
          </cell>
          <cell r="C40">
            <v>6453</v>
          </cell>
          <cell r="D40">
            <v>213</v>
          </cell>
          <cell r="E40">
            <v>1</v>
          </cell>
          <cell r="F40">
            <v>167</v>
          </cell>
          <cell r="G40">
            <v>44</v>
          </cell>
          <cell r="H40">
            <v>0.1</v>
          </cell>
          <cell r="I40">
            <v>60</v>
          </cell>
          <cell r="J40" t="str">
            <v>в матрице</v>
          </cell>
          <cell r="L40">
            <v>160</v>
          </cell>
          <cell r="M40">
            <v>7</v>
          </cell>
          <cell r="O40">
            <v>110</v>
          </cell>
          <cell r="P40">
            <v>112</v>
          </cell>
          <cell r="Q40">
            <v>112</v>
          </cell>
          <cell r="R40">
            <v>115</v>
          </cell>
          <cell r="S40">
            <v>115</v>
          </cell>
          <cell r="T40">
            <v>33.4</v>
          </cell>
          <cell r="U40">
            <v>220</v>
          </cell>
          <cell r="V40">
            <v>220</v>
          </cell>
          <cell r="W40">
            <v>120</v>
          </cell>
          <cell r="X40">
            <v>100</v>
          </cell>
          <cell r="Y40">
            <v>14.790419161676599</v>
          </cell>
          <cell r="Z40">
            <v>1.31736526946108</v>
          </cell>
          <cell r="AA40">
            <v>25.6</v>
          </cell>
          <cell r="AB40">
            <v>45.4</v>
          </cell>
          <cell r="AC40">
            <v>32.799999999999997</v>
          </cell>
          <cell r="AD40">
            <v>31.2</v>
          </cell>
          <cell r="AE40" t="str">
            <v>Мкд Трейд</v>
          </cell>
        </row>
        <row r="41">
          <cell r="A41" t="str">
            <v>6454 АРОМАТНАЯ с/к с/н в/у 1/100 10шт.  ОСТАНКИНО</v>
          </cell>
          <cell r="B41" t="str">
            <v>шт</v>
          </cell>
          <cell r="C41">
            <v>6454</v>
          </cell>
          <cell r="D41">
            <v>191</v>
          </cell>
          <cell r="E41">
            <v>100</v>
          </cell>
          <cell r="F41">
            <v>150</v>
          </cell>
          <cell r="G41">
            <v>138</v>
          </cell>
          <cell r="H41">
            <v>0.1</v>
          </cell>
          <cell r="I41">
            <v>60</v>
          </cell>
          <cell r="J41" t="str">
            <v>в матрице</v>
          </cell>
          <cell r="L41">
            <v>151</v>
          </cell>
          <cell r="M41">
            <v>-1</v>
          </cell>
          <cell r="O41">
            <v>50</v>
          </cell>
          <cell r="P41">
            <v>120</v>
          </cell>
          <cell r="Q41">
            <v>120</v>
          </cell>
          <cell r="R41">
            <v>125</v>
          </cell>
          <cell r="S41">
            <v>125</v>
          </cell>
          <cell r="T41">
            <v>30</v>
          </cell>
          <cell r="U41">
            <v>100</v>
          </cell>
          <cell r="V41">
            <v>100</v>
          </cell>
          <cell r="W41">
            <v>50</v>
          </cell>
          <cell r="X41">
            <v>50</v>
          </cell>
          <cell r="Y41">
            <v>16.266666666666701</v>
          </cell>
          <cell r="Z41">
            <v>4.5999999999999996</v>
          </cell>
          <cell r="AA41">
            <v>25.4</v>
          </cell>
          <cell r="AB41">
            <v>33.4</v>
          </cell>
          <cell r="AC41">
            <v>33</v>
          </cell>
          <cell r="AD41">
            <v>33.799999999999997</v>
          </cell>
        </row>
        <row r="42">
          <cell r="A42" t="str">
            <v>6459 СЕРВЕЛАТ ШВЕЙЦАРСК. в/к с/н в/у 1/100*10  Останкино</v>
          </cell>
          <cell r="B42" t="str">
            <v>шт</v>
          </cell>
          <cell r="C42">
            <v>6459</v>
          </cell>
          <cell r="D42">
            <v>107</v>
          </cell>
          <cell r="E42">
            <v>4</v>
          </cell>
          <cell r="F42">
            <v>21</v>
          </cell>
          <cell r="G42">
            <v>-12</v>
          </cell>
          <cell r="H42">
            <v>0.1</v>
          </cell>
          <cell r="I42">
            <v>45</v>
          </cell>
          <cell r="J42" t="str">
            <v>в матрице</v>
          </cell>
          <cell r="L42">
            <v>24</v>
          </cell>
          <cell r="M42">
            <v>-3</v>
          </cell>
          <cell r="O42">
            <v>60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4.2</v>
          </cell>
          <cell r="U42">
            <v>120</v>
          </cell>
          <cell r="V42">
            <v>180</v>
          </cell>
          <cell r="W42">
            <v>60</v>
          </cell>
          <cell r="X42">
            <v>60</v>
          </cell>
          <cell r="Y42">
            <v>25.714285714285701</v>
          </cell>
          <cell r="Z42">
            <v>-2.8571428571428599</v>
          </cell>
          <cell r="AA42">
            <v>6</v>
          </cell>
          <cell r="AB42">
            <v>5.8</v>
          </cell>
          <cell r="AC42">
            <v>9.8000000000000007</v>
          </cell>
          <cell r="AD42">
            <v>5.2</v>
          </cell>
        </row>
        <row r="43">
          <cell r="A43" t="str">
            <v>6470 ВЕТЧ.МРАМОРНАЯ в/у_45с  Останкино</v>
          </cell>
          <cell r="B43" t="str">
            <v>кг</v>
          </cell>
          <cell r="C43">
            <v>6470</v>
          </cell>
          <cell r="E43">
            <v>67.39</v>
          </cell>
          <cell r="F43">
            <v>7.1950000000000003</v>
          </cell>
          <cell r="G43">
            <v>60.195</v>
          </cell>
          <cell r="H43">
            <v>1</v>
          </cell>
          <cell r="L43">
            <v>3.75</v>
          </cell>
          <cell r="M43">
            <v>3.4449999999999998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1.4390000000000001</v>
          </cell>
          <cell r="W43">
            <v>0</v>
          </cell>
          <cell r="X43">
            <v>0</v>
          </cell>
          <cell r="Y43">
            <v>41.8311327310632</v>
          </cell>
          <cell r="Z43">
            <v>41.8311327310632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</row>
        <row r="44">
          <cell r="A44" t="str">
            <v>6475 Сосиски Папа может 400г С сыром  ОСТАНКИНО</v>
          </cell>
          <cell r="B44" t="str">
            <v>шт</v>
          </cell>
          <cell r="C44">
            <v>6475</v>
          </cell>
          <cell r="D44">
            <v>91</v>
          </cell>
          <cell r="E44">
            <v>192</v>
          </cell>
          <cell r="F44">
            <v>120</v>
          </cell>
          <cell r="G44">
            <v>150</v>
          </cell>
          <cell r="H44">
            <v>0.4</v>
          </cell>
          <cell r="L44">
            <v>133</v>
          </cell>
          <cell r="M44">
            <v>-13</v>
          </cell>
          <cell r="O44">
            <v>125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24</v>
          </cell>
          <cell r="U44">
            <v>250</v>
          </cell>
          <cell r="V44">
            <v>250</v>
          </cell>
          <cell r="W44">
            <v>150</v>
          </cell>
          <cell r="X44">
            <v>100</v>
          </cell>
          <cell r="Y44">
            <v>16.6666666666667</v>
          </cell>
          <cell r="Z44">
            <v>6.25</v>
          </cell>
          <cell r="AA44">
            <v>5.8</v>
          </cell>
          <cell r="AB44">
            <v>19.8</v>
          </cell>
          <cell r="AC44">
            <v>27</v>
          </cell>
          <cell r="AD44">
            <v>19</v>
          </cell>
        </row>
        <row r="45">
          <cell r="A45" t="str">
            <v>6495 ВЕТЧ.МРАМОРНАЯ в/у срез 0,3кг 6шт_45с  Останкино</v>
          </cell>
          <cell r="B45" t="str">
            <v>шт</v>
          </cell>
          <cell r="C45">
            <v>6495</v>
          </cell>
          <cell r="E45">
            <v>246</v>
          </cell>
          <cell r="F45">
            <v>52</v>
          </cell>
          <cell r="G45">
            <v>194</v>
          </cell>
          <cell r="H45">
            <v>0.3</v>
          </cell>
          <cell r="L45">
            <v>52</v>
          </cell>
          <cell r="M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10.4</v>
          </cell>
          <cell r="W45">
            <v>0</v>
          </cell>
          <cell r="X45">
            <v>0</v>
          </cell>
          <cell r="Y45">
            <v>18.653846153846199</v>
          </cell>
          <cell r="Z45">
            <v>18.653846153846199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</row>
        <row r="46">
          <cell r="A46" t="str">
            <v>6498 МОЛОЧНАЯ Папа может вар п/о  ОСТАНКИНО</v>
          </cell>
          <cell r="B46" t="str">
            <v>кг</v>
          </cell>
          <cell r="C46">
            <v>6498</v>
          </cell>
          <cell r="D46">
            <v>205.18100000000001</v>
          </cell>
          <cell r="E46">
            <v>1.984</v>
          </cell>
          <cell r="F46">
            <v>101.31699999999999</v>
          </cell>
          <cell r="G46">
            <v>103.15600000000001</v>
          </cell>
          <cell r="H46">
            <v>1</v>
          </cell>
          <cell r="I46">
            <v>60</v>
          </cell>
          <cell r="J46" t="str">
            <v>в матрице</v>
          </cell>
          <cell r="L46">
            <v>104.1</v>
          </cell>
          <cell r="M46">
            <v>-2.7829999999999999</v>
          </cell>
          <cell r="O46">
            <v>90</v>
          </cell>
          <cell r="P46">
            <v>24.074999999999999</v>
          </cell>
          <cell r="Q46">
            <v>24.062000000000001</v>
          </cell>
          <cell r="R46">
            <v>25</v>
          </cell>
          <cell r="S46">
            <v>25</v>
          </cell>
          <cell r="T46">
            <v>20.263400000000001</v>
          </cell>
          <cell r="U46">
            <v>180</v>
          </cell>
          <cell r="V46">
            <v>180</v>
          </cell>
          <cell r="W46">
            <v>100</v>
          </cell>
          <cell r="X46">
            <v>80</v>
          </cell>
          <cell r="Y46">
            <v>16.441268493934899</v>
          </cell>
          <cell r="Z46">
            <v>5.0907547598132599</v>
          </cell>
          <cell r="AA46">
            <v>19.0962</v>
          </cell>
          <cell r="AB46">
            <v>22.037800000000001</v>
          </cell>
          <cell r="AC46">
            <v>16.8432</v>
          </cell>
          <cell r="AD46">
            <v>15.980399999999999</v>
          </cell>
          <cell r="AE46" t="str">
            <v>увел продажи</v>
          </cell>
        </row>
        <row r="47">
          <cell r="A47" t="str">
            <v>6527 ШПИКАЧКИ СОЧНЫЕ ПМ сар б/о мгс 1*3 45с ОСТАНКИНО</v>
          </cell>
          <cell r="B47" t="str">
            <v>кг</v>
          </cell>
          <cell r="C47">
            <v>6527</v>
          </cell>
          <cell r="D47">
            <v>3.1070000000000002</v>
          </cell>
          <cell r="E47">
            <v>100.762</v>
          </cell>
          <cell r="F47">
            <v>23.279</v>
          </cell>
          <cell r="G47">
            <v>78.64</v>
          </cell>
          <cell r="H47">
            <v>1</v>
          </cell>
          <cell r="I47">
            <v>45</v>
          </cell>
          <cell r="J47" t="str">
            <v>в матрице</v>
          </cell>
          <cell r="L47">
            <v>24</v>
          </cell>
          <cell r="M47">
            <v>-0.72099999999999997</v>
          </cell>
          <cell r="O47">
            <v>0</v>
          </cell>
          <cell r="P47">
            <v>63.052</v>
          </cell>
          <cell r="Q47">
            <v>63.143000000000001</v>
          </cell>
          <cell r="R47">
            <v>60</v>
          </cell>
          <cell r="S47">
            <v>60</v>
          </cell>
          <cell r="T47">
            <v>4.6558000000000002</v>
          </cell>
          <cell r="W47">
            <v>0</v>
          </cell>
          <cell r="X47">
            <v>0</v>
          </cell>
          <cell r="Y47">
            <v>42.665062932256497</v>
          </cell>
          <cell r="Z47">
            <v>16.8907599123674</v>
          </cell>
          <cell r="AA47">
            <v>10.199199999999999</v>
          </cell>
          <cell r="AB47">
            <v>7.4770000000000003</v>
          </cell>
          <cell r="AC47">
            <v>12.334199999999999</v>
          </cell>
          <cell r="AD47">
            <v>13.087199999999999</v>
          </cell>
        </row>
        <row r="48">
          <cell r="A48" t="str">
            <v>6550 МЯСНЫЕ Папа может сар б/о мгс 1*3 О 45с  Останкино</v>
          </cell>
          <cell r="B48" t="str">
            <v>кг</v>
          </cell>
          <cell r="C48">
            <v>6550</v>
          </cell>
          <cell r="D48">
            <v>111.953</v>
          </cell>
          <cell r="E48">
            <v>24.853999999999999</v>
          </cell>
          <cell r="F48">
            <v>54.109000000000002</v>
          </cell>
          <cell r="G48">
            <v>80.477999999999994</v>
          </cell>
          <cell r="H48">
            <v>1</v>
          </cell>
          <cell r="I48">
            <v>45</v>
          </cell>
          <cell r="J48" t="str">
            <v>в матрице</v>
          </cell>
          <cell r="L48">
            <v>53</v>
          </cell>
          <cell r="M48">
            <v>1.109</v>
          </cell>
          <cell r="O48">
            <v>60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10.8218</v>
          </cell>
          <cell r="U48">
            <v>120</v>
          </cell>
          <cell r="V48">
            <v>120</v>
          </cell>
          <cell r="W48">
            <v>60</v>
          </cell>
          <cell r="X48">
            <v>60</v>
          </cell>
          <cell r="Y48">
            <v>18.525383947217701</v>
          </cell>
          <cell r="Z48">
            <v>7.4366556395424004</v>
          </cell>
          <cell r="AA48">
            <v>10.827400000000001</v>
          </cell>
          <cell r="AB48">
            <v>11.1358</v>
          </cell>
          <cell r="AC48">
            <v>9.2463999999999995</v>
          </cell>
          <cell r="AD48">
            <v>7.1630000000000003</v>
          </cell>
        </row>
        <row r="49">
          <cell r="A49" t="str">
            <v>6602 БАВАРСКИЕ ПМ сос ц/о мгс 0,35кг 8шт  Останкино</v>
          </cell>
          <cell r="B49" t="str">
            <v>шт</v>
          </cell>
          <cell r="C49">
            <v>6602</v>
          </cell>
          <cell r="D49">
            <v>7</v>
          </cell>
          <cell r="F49">
            <v>0</v>
          </cell>
          <cell r="G49">
            <v>7</v>
          </cell>
          <cell r="H49">
            <v>0.35</v>
          </cell>
          <cell r="I49">
            <v>45</v>
          </cell>
          <cell r="J49" t="str">
            <v>в матрице</v>
          </cell>
          <cell r="L49">
            <v>0</v>
          </cell>
          <cell r="M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W49">
            <v>0</v>
          </cell>
          <cell r="X49">
            <v>0</v>
          </cell>
          <cell r="Y49" t="e">
            <v>#DIV/0!</v>
          </cell>
          <cell r="Z49" t="e">
            <v>#DIV/0!</v>
          </cell>
          <cell r="AA49">
            <v>0.6</v>
          </cell>
          <cell r="AB49">
            <v>0</v>
          </cell>
          <cell r="AC49">
            <v>0</v>
          </cell>
          <cell r="AD49">
            <v>0.6</v>
          </cell>
          <cell r="AE49" t="str">
            <v>нужно увеличить продажи!!! / 04,11,25 списание 266шт (сроки) / Мкд Трейд / 05,11,25 инфа от ТК (данную позицию продадим.)</v>
          </cell>
        </row>
        <row r="50">
          <cell r="A50" t="str">
            <v>6608 С ГОВЯДИНОЙ ОРИГИН. сар б/о мгс 1*3_45с  ОСТАНКИНО</v>
          </cell>
          <cell r="B50" t="str">
            <v>кг</v>
          </cell>
          <cell r="C50">
            <v>6608</v>
          </cell>
          <cell r="D50">
            <v>42.018000000000001</v>
          </cell>
          <cell r="E50">
            <v>76.331999999999994</v>
          </cell>
          <cell r="F50">
            <v>43.966000000000001</v>
          </cell>
          <cell r="G50">
            <v>68.971999999999994</v>
          </cell>
          <cell r="H50">
            <v>1</v>
          </cell>
          <cell r="I50">
            <v>45</v>
          </cell>
          <cell r="J50" t="str">
            <v>в матрице</v>
          </cell>
          <cell r="L50">
            <v>47</v>
          </cell>
          <cell r="M50">
            <v>-3.0339999999999998</v>
          </cell>
          <cell r="O50">
            <v>40</v>
          </cell>
          <cell r="P50">
            <v>9.3379999999999992</v>
          </cell>
          <cell r="Q50">
            <v>9.27</v>
          </cell>
          <cell r="R50">
            <v>10</v>
          </cell>
          <cell r="S50">
            <v>10</v>
          </cell>
          <cell r="T50">
            <v>8.7932000000000006</v>
          </cell>
          <cell r="U50">
            <v>80</v>
          </cell>
          <cell r="V50">
            <v>100</v>
          </cell>
          <cell r="W50">
            <v>40</v>
          </cell>
          <cell r="X50">
            <v>40</v>
          </cell>
          <cell r="Y50">
            <v>19.2162125278624</v>
          </cell>
          <cell r="Z50">
            <v>7.84378838193149</v>
          </cell>
          <cell r="AA50">
            <v>8.3911999999999995</v>
          </cell>
          <cell r="AB50">
            <v>6.4436</v>
          </cell>
          <cell r="AC50">
            <v>11.228199999999999</v>
          </cell>
          <cell r="AD50">
            <v>8.6042000000000005</v>
          </cell>
          <cell r="AE50" t="str">
            <v>Мкд Трейд</v>
          </cell>
        </row>
        <row r="51">
          <cell r="A51" t="str">
            <v>6616 МОЛОЧНЫЕ КЛАССИЧЕСКИЕ сос п/о в/у 0,3 кг  Останкино</v>
          </cell>
          <cell r="B51" t="str">
            <v>шт</v>
          </cell>
          <cell r="C51">
            <v>6616</v>
          </cell>
          <cell r="D51">
            <v>240</v>
          </cell>
          <cell r="E51">
            <v>307</v>
          </cell>
          <cell r="F51">
            <v>356</v>
          </cell>
          <cell r="G51">
            <v>162</v>
          </cell>
          <cell r="H51">
            <v>0.3</v>
          </cell>
          <cell r="I51">
            <v>45</v>
          </cell>
          <cell r="J51" t="str">
            <v>в матрице</v>
          </cell>
          <cell r="L51">
            <v>377</v>
          </cell>
          <cell r="M51">
            <v>-21</v>
          </cell>
          <cell r="O51">
            <v>150</v>
          </cell>
          <cell r="P51">
            <v>296</v>
          </cell>
          <cell r="Q51">
            <v>296</v>
          </cell>
          <cell r="R51">
            <v>300</v>
          </cell>
          <cell r="S51">
            <v>300</v>
          </cell>
          <cell r="T51">
            <v>71.2</v>
          </cell>
          <cell r="U51">
            <v>300</v>
          </cell>
          <cell r="V51">
            <v>300</v>
          </cell>
          <cell r="W51">
            <v>200</v>
          </cell>
          <cell r="X51">
            <v>100</v>
          </cell>
          <cell r="Y51">
            <v>14.915730337078701</v>
          </cell>
          <cell r="Z51">
            <v>2.2752808988763999</v>
          </cell>
          <cell r="AA51">
            <v>61.8</v>
          </cell>
          <cell r="AB51">
            <v>64.2</v>
          </cell>
          <cell r="AC51">
            <v>63.6</v>
          </cell>
          <cell r="AD51">
            <v>74.400000000000006</v>
          </cell>
        </row>
        <row r="52">
          <cell r="A52" t="str">
            <v>6661 СОЧНЫЙ ГРИЛЬ ПМ сос п/о мгс 1,5*4_Маяк Останкино</v>
          </cell>
          <cell r="B52" t="str">
            <v>кг</v>
          </cell>
          <cell r="C52">
            <v>6661</v>
          </cell>
          <cell r="D52">
            <v>21.914000000000001</v>
          </cell>
          <cell r="F52">
            <v>20.402999999999999</v>
          </cell>
          <cell r="G52">
            <v>-5.7000000000000002E-2</v>
          </cell>
          <cell r="H52">
            <v>1</v>
          </cell>
          <cell r="I52">
            <v>45</v>
          </cell>
          <cell r="J52" t="str">
            <v>в матрице</v>
          </cell>
          <cell r="L52">
            <v>24</v>
          </cell>
          <cell r="M52">
            <v>-3.597</v>
          </cell>
          <cell r="O52">
            <v>40</v>
          </cell>
          <cell r="P52">
            <v>18.585999999999999</v>
          </cell>
          <cell r="Q52">
            <v>18.523</v>
          </cell>
          <cell r="R52">
            <v>17.5</v>
          </cell>
          <cell r="S52">
            <v>17.5</v>
          </cell>
          <cell r="T52">
            <v>4.0805999999999996</v>
          </cell>
          <cell r="U52">
            <v>80</v>
          </cell>
          <cell r="V52">
            <v>100</v>
          </cell>
          <cell r="W52">
            <v>40</v>
          </cell>
          <cell r="X52">
            <v>40</v>
          </cell>
          <cell r="Y52">
            <v>28.168161544870902</v>
          </cell>
          <cell r="Z52">
            <v>-1.3968534039111901E-2</v>
          </cell>
          <cell r="AA52">
            <v>4.3601999999999999</v>
          </cell>
          <cell r="AB52">
            <v>1.7096</v>
          </cell>
          <cell r="AC52">
            <v>1.5278</v>
          </cell>
          <cell r="AD52">
            <v>3.7909999999999999</v>
          </cell>
        </row>
        <row r="53">
          <cell r="A53" t="str">
            <v>6697 СЕРВЕЛАТ ФИНСКИЙ ПМ в/к в/у 0,35кг 8шт  ОСТАНКИНО</v>
          </cell>
          <cell r="B53" t="str">
            <v>шт</v>
          </cell>
          <cell r="C53">
            <v>6697</v>
          </cell>
          <cell r="D53">
            <v>606</v>
          </cell>
          <cell r="E53">
            <v>117</v>
          </cell>
          <cell r="F53">
            <v>525</v>
          </cell>
          <cell r="G53">
            <v>171</v>
          </cell>
          <cell r="H53">
            <v>0.35</v>
          </cell>
          <cell r="I53">
            <v>45</v>
          </cell>
          <cell r="J53" t="str">
            <v>в матрице</v>
          </cell>
          <cell r="L53">
            <v>564</v>
          </cell>
          <cell r="M53">
            <v>-39</v>
          </cell>
          <cell r="O53">
            <v>125</v>
          </cell>
          <cell r="P53">
            <v>544</v>
          </cell>
          <cell r="Q53">
            <v>544</v>
          </cell>
          <cell r="R53">
            <v>550</v>
          </cell>
          <cell r="S53">
            <v>550</v>
          </cell>
          <cell r="T53">
            <v>105</v>
          </cell>
          <cell r="U53">
            <v>250</v>
          </cell>
          <cell r="V53">
            <v>250</v>
          </cell>
          <cell r="W53">
            <v>150</v>
          </cell>
          <cell r="X53">
            <v>100</v>
          </cell>
          <cell r="Y53">
            <v>14.4857142857143</v>
          </cell>
          <cell r="Z53">
            <v>1.6285714285714299</v>
          </cell>
          <cell r="AA53">
            <v>85.6</v>
          </cell>
          <cell r="AB53">
            <v>113.4</v>
          </cell>
          <cell r="AC53">
            <v>93.8</v>
          </cell>
          <cell r="AD53">
            <v>115.8</v>
          </cell>
          <cell r="AE53" t="str">
            <v>Мкд Трейд / Обжора</v>
          </cell>
        </row>
        <row r="54">
          <cell r="A54" t="str">
            <v>6713 СОЧНЫЙ ГРИЛЬ ПМ сос п/о мгс 0,41кг 8 шт.  ОСТАНКИНО</v>
          </cell>
          <cell r="B54" t="str">
            <v>шт</v>
          </cell>
          <cell r="C54">
            <v>6713</v>
          </cell>
          <cell r="D54">
            <v>241</v>
          </cell>
          <cell r="E54">
            <v>337</v>
          </cell>
          <cell r="F54">
            <v>207</v>
          </cell>
          <cell r="G54">
            <v>335</v>
          </cell>
          <cell r="H54">
            <v>0.41</v>
          </cell>
          <cell r="I54">
            <v>45</v>
          </cell>
          <cell r="J54" t="str">
            <v>в матрице</v>
          </cell>
          <cell r="L54">
            <v>242</v>
          </cell>
          <cell r="M54">
            <v>-35</v>
          </cell>
          <cell r="O54">
            <v>0</v>
          </cell>
          <cell r="P54">
            <v>168</v>
          </cell>
          <cell r="Q54">
            <v>168</v>
          </cell>
          <cell r="R54">
            <v>175</v>
          </cell>
          <cell r="S54">
            <v>175</v>
          </cell>
          <cell r="T54">
            <v>41.4</v>
          </cell>
          <cell r="W54">
            <v>0</v>
          </cell>
          <cell r="X54">
            <v>0</v>
          </cell>
          <cell r="Y54">
            <v>16.545893719806799</v>
          </cell>
          <cell r="Z54">
            <v>8.0917874396135296</v>
          </cell>
          <cell r="AA54">
            <v>76</v>
          </cell>
          <cell r="AB54">
            <v>39.4</v>
          </cell>
          <cell r="AC54">
            <v>60.2</v>
          </cell>
          <cell r="AD54">
            <v>61.8</v>
          </cell>
        </row>
        <row r="55">
          <cell r="A55" t="str">
            <v>6724 МОЛОЧНЫЕ ПМ сос п/о мгс 0,41кг 10шт  Останкино</v>
          </cell>
          <cell r="B55" t="str">
            <v>шт</v>
          </cell>
          <cell r="C55">
            <v>6724</v>
          </cell>
          <cell r="D55">
            <v>419</v>
          </cell>
          <cell r="E55">
            <v>1</v>
          </cell>
          <cell r="F55">
            <v>143</v>
          </cell>
          <cell r="G55">
            <v>267</v>
          </cell>
          <cell r="H55">
            <v>0.41</v>
          </cell>
          <cell r="I55">
            <v>45</v>
          </cell>
          <cell r="J55" t="str">
            <v>в матрице</v>
          </cell>
          <cell r="L55">
            <v>153</v>
          </cell>
          <cell r="M55">
            <v>-10</v>
          </cell>
          <cell r="O55">
            <v>125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28.6</v>
          </cell>
          <cell r="U55">
            <v>250</v>
          </cell>
          <cell r="V55">
            <v>250</v>
          </cell>
          <cell r="W55">
            <v>150</v>
          </cell>
          <cell r="X55">
            <v>100</v>
          </cell>
          <cell r="Y55">
            <v>18.076923076923102</v>
          </cell>
          <cell r="Z55">
            <v>9.3356643356643296</v>
          </cell>
          <cell r="AA55">
            <v>39.6</v>
          </cell>
          <cell r="AB55">
            <v>40.799999999999997</v>
          </cell>
          <cell r="AC55">
            <v>27.8</v>
          </cell>
          <cell r="AD55">
            <v>24</v>
          </cell>
        </row>
        <row r="56">
          <cell r="A56" t="str">
            <v>6761 МОЛОЧНЫЕ ГОСТ сос ц/о мгс 1*4  Останкино</v>
          </cell>
          <cell r="B56" t="str">
            <v>кг</v>
          </cell>
          <cell r="C56">
            <v>6761</v>
          </cell>
          <cell r="D56">
            <v>16.449000000000002</v>
          </cell>
          <cell r="F56">
            <v>0</v>
          </cell>
          <cell r="G56">
            <v>16.449000000000002</v>
          </cell>
          <cell r="H56">
            <v>1</v>
          </cell>
          <cell r="I56">
            <v>30</v>
          </cell>
          <cell r="J56" t="str">
            <v>не в матрице</v>
          </cell>
          <cell r="L56">
            <v>1</v>
          </cell>
          <cell r="M56">
            <v>-1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W56">
            <v>0</v>
          </cell>
          <cell r="X56">
            <v>0</v>
          </cell>
          <cell r="Y56" t="e">
            <v>#DIV/0!</v>
          </cell>
          <cell r="Z56" t="e">
            <v>#DIV/0!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 t="str">
            <v>08,12,25 пересчет (оприходовано 16кг / изг. 02,06,25 ???)</v>
          </cell>
        </row>
        <row r="57">
          <cell r="A57" t="str">
            <v>6765 РУБЛЕНЫЕ сос ц/о мгс 0,36кг 6шт  Останкино</v>
          </cell>
          <cell r="B57" t="str">
            <v>шт</v>
          </cell>
          <cell r="C57">
            <v>6765</v>
          </cell>
          <cell r="D57">
            <v>227</v>
          </cell>
          <cell r="E57">
            <v>14</v>
          </cell>
          <cell r="F57">
            <v>-12</v>
          </cell>
          <cell r="G57">
            <v>49</v>
          </cell>
          <cell r="H57">
            <v>0.36</v>
          </cell>
          <cell r="I57">
            <v>45</v>
          </cell>
          <cell r="J57" t="str">
            <v>в матрице</v>
          </cell>
          <cell r="L57">
            <v>115</v>
          </cell>
          <cell r="M57">
            <v>-127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-2.4</v>
          </cell>
          <cell r="W57">
            <v>0</v>
          </cell>
          <cell r="X57">
            <v>0</v>
          </cell>
          <cell r="Y57">
            <v>-20.4166666666667</v>
          </cell>
          <cell r="Z57">
            <v>-20.4166666666667</v>
          </cell>
          <cell r="AA57">
            <v>12.6</v>
          </cell>
          <cell r="AB57">
            <v>8.6</v>
          </cell>
          <cell r="AC57">
            <v>4.2</v>
          </cell>
          <cell r="AD57">
            <v>5.2</v>
          </cell>
          <cell r="AE57" t="str">
            <v>Мкд Трейд</v>
          </cell>
        </row>
        <row r="58">
          <cell r="A58" t="str">
            <v>6767 РУБЛЕНЫЕ сос ц/о мгс 1*4  Останкино</v>
          </cell>
          <cell r="B58" t="str">
            <v>кг</v>
          </cell>
          <cell r="C58">
            <v>6767</v>
          </cell>
          <cell r="D58">
            <v>7.5780000000000003</v>
          </cell>
          <cell r="F58">
            <v>5.3840000000000003</v>
          </cell>
          <cell r="G58">
            <v>2.194</v>
          </cell>
          <cell r="H58">
            <v>1</v>
          </cell>
          <cell r="L58">
            <v>6</v>
          </cell>
          <cell r="M58">
            <v>-0.61599999999999999</v>
          </cell>
          <cell r="O58">
            <v>25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1.0768</v>
          </cell>
          <cell r="U58">
            <v>50</v>
          </cell>
          <cell r="V58">
            <v>50</v>
          </cell>
          <cell r="W58">
            <v>30</v>
          </cell>
          <cell r="X58">
            <v>20</v>
          </cell>
          <cell r="Y58">
            <v>48.471396731055002</v>
          </cell>
          <cell r="Z58">
            <v>2.0375185735512602</v>
          </cell>
          <cell r="AA58">
            <v>0.84899999999999998</v>
          </cell>
          <cell r="AB58">
            <v>0.87439999999999996</v>
          </cell>
          <cell r="AC58">
            <v>0</v>
          </cell>
          <cell r="AD58">
            <v>0.21679999999999999</v>
          </cell>
        </row>
        <row r="59">
          <cell r="A59" t="str">
            <v>6787 СЕРВЕЛАТ КРЕМЛЕВСКИЙ в/к в/у 0,33кг 8шт  Останкино</v>
          </cell>
          <cell r="B59" t="str">
            <v>шт</v>
          </cell>
          <cell r="C59">
            <v>6787</v>
          </cell>
          <cell r="D59">
            <v>180</v>
          </cell>
          <cell r="E59">
            <v>1</v>
          </cell>
          <cell r="F59">
            <v>59</v>
          </cell>
          <cell r="G59">
            <v>113</v>
          </cell>
          <cell r="H59">
            <v>0.33</v>
          </cell>
          <cell r="I59">
            <v>45</v>
          </cell>
          <cell r="J59" t="str">
            <v>в матрице</v>
          </cell>
          <cell r="L59">
            <v>68</v>
          </cell>
          <cell r="M59">
            <v>-9</v>
          </cell>
          <cell r="O59">
            <v>50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11.8</v>
          </cell>
          <cell r="U59">
            <v>100</v>
          </cell>
          <cell r="V59">
            <v>100</v>
          </cell>
          <cell r="W59">
            <v>50</v>
          </cell>
          <cell r="X59">
            <v>50</v>
          </cell>
          <cell r="Y59">
            <v>18.0508474576271</v>
          </cell>
          <cell r="Z59">
            <v>9.57627118644068</v>
          </cell>
          <cell r="AA59">
            <v>20.6</v>
          </cell>
          <cell r="AB59">
            <v>3.6</v>
          </cell>
          <cell r="AC59">
            <v>6</v>
          </cell>
          <cell r="AD59">
            <v>12.6</v>
          </cell>
        </row>
        <row r="60">
          <cell r="A60" t="str">
            <v>6793 БАЛЫКОВАЯ в/к в/у 0,33кг 8шт  Останкино</v>
          </cell>
          <cell r="B60" t="str">
            <v>шт</v>
          </cell>
          <cell r="C60">
            <v>6793</v>
          </cell>
          <cell r="D60">
            <v>253</v>
          </cell>
          <cell r="E60">
            <v>1</v>
          </cell>
          <cell r="F60">
            <v>184</v>
          </cell>
          <cell r="G60">
            <v>27</v>
          </cell>
          <cell r="H60">
            <v>0.33</v>
          </cell>
          <cell r="I60">
            <v>45</v>
          </cell>
          <cell r="J60" t="str">
            <v>в матрице</v>
          </cell>
          <cell r="L60">
            <v>190</v>
          </cell>
          <cell r="M60">
            <v>-6</v>
          </cell>
          <cell r="O60">
            <v>280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36.799999999999997</v>
          </cell>
          <cell r="U60">
            <v>560</v>
          </cell>
          <cell r="V60">
            <v>560</v>
          </cell>
          <cell r="W60">
            <v>360</v>
          </cell>
          <cell r="X60">
            <v>200</v>
          </cell>
          <cell r="Y60">
            <v>15.951086956521699</v>
          </cell>
          <cell r="Z60">
            <v>0.73369565217391297</v>
          </cell>
          <cell r="AA60">
            <v>22.8</v>
          </cell>
          <cell r="AB60">
            <v>27.4</v>
          </cell>
          <cell r="AC60">
            <v>16.600000000000001</v>
          </cell>
          <cell r="AD60">
            <v>8.8000000000000007</v>
          </cell>
          <cell r="AE60" t="str">
            <v>нужно увеличить продажи!!!</v>
          </cell>
        </row>
        <row r="61">
          <cell r="A61" t="str">
            <v>6797 С ИНДЕЙКОЙ Папа может вар п/о 0,4кг 8шт. ОСТАНКИНО</v>
          </cell>
          <cell r="B61" t="str">
            <v>шт</v>
          </cell>
          <cell r="C61">
            <v>6797</v>
          </cell>
          <cell r="D61">
            <v>346</v>
          </cell>
          <cell r="E61">
            <v>147</v>
          </cell>
          <cell r="F61">
            <v>209</v>
          </cell>
          <cell r="G61">
            <v>283</v>
          </cell>
          <cell r="H61">
            <v>0.4</v>
          </cell>
          <cell r="L61">
            <v>210</v>
          </cell>
          <cell r="M61">
            <v>-1</v>
          </cell>
          <cell r="O61">
            <v>200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41.8</v>
          </cell>
          <cell r="U61">
            <v>400</v>
          </cell>
          <cell r="V61">
            <v>400</v>
          </cell>
          <cell r="W61">
            <v>200</v>
          </cell>
          <cell r="X61">
            <v>200</v>
          </cell>
          <cell r="Y61">
            <v>16.3397129186603</v>
          </cell>
          <cell r="Z61">
            <v>6.7703349282296701</v>
          </cell>
          <cell r="AA61">
            <v>0</v>
          </cell>
          <cell r="AB61">
            <v>0</v>
          </cell>
          <cell r="AC61">
            <v>0</v>
          </cell>
          <cell r="AD61">
            <v>2.8</v>
          </cell>
        </row>
        <row r="62">
          <cell r="A62" t="str">
            <v>6807 СЕРВЕЛАТ ЕВРОПЕЙСКИЙ в/к в/у 0,33кг 8шт  Останкино</v>
          </cell>
          <cell r="B62" t="str">
            <v>шт</v>
          </cell>
          <cell r="C62">
            <v>6807</v>
          </cell>
          <cell r="D62">
            <v>56</v>
          </cell>
          <cell r="E62">
            <v>33</v>
          </cell>
          <cell r="F62">
            <v>15</v>
          </cell>
          <cell r="G62">
            <v>57</v>
          </cell>
          <cell r="H62">
            <v>0.33</v>
          </cell>
          <cell r="L62">
            <v>16</v>
          </cell>
          <cell r="M62">
            <v>-1</v>
          </cell>
          <cell r="O62">
            <v>0</v>
          </cell>
          <cell r="P62">
            <v>24</v>
          </cell>
          <cell r="Q62">
            <v>24</v>
          </cell>
          <cell r="R62">
            <v>25</v>
          </cell>
          <cell r="S62">
            <v>25</v>
          </cell>
          <cell r="T62">
            <v>3</v>
          </cell>
          <cell r="W62">
            <v>0</v>
          </cell>
          <cell r="X62">
            <v>0</v>
          </cell>
          <cell r="Y62">
            <v>35.6666666666667</v>
          </cell>
          <cell r="Z62">
            <v>19</v>
          </cell>
          <cell r="AA62">
            <v>17.2</v>
          </cell>
          <cell r="AB62">
            <v>11.8</v>
          </cell>
          <cell r="AC62">
            <v>9.8000000000000007</v>
          </cell>
          <cell r="AD62">
            <v>9.8000000000000007</v>
          </cell>
          <cell r="AE62" t="str">
            <v>Мкд Трейд</v>
          </cell>
        </row>
        <row r="63">
          <cell r="A63" t="str">
            <v>6829  МОЛОЧНЫЕ КЛАССИЧЕСКИЕ сос п/о мгс 2*4 С  Останккино</v>
          </cell>
          <cell r="B63" t="str">
            <v>кг</v>
          </cell>
          <cell r="C63">
            <v>6829</v>
          </cell>
          <cell r="D63">
            <v>109.871</v>
          </cell>
          <cell r="E63">
            <v>162.39599999999999</v>
          </cell>
          <cell r="F63">
            <v>181.61799999999999</v>
          </cell>
          <cell r="G63">
            <v>72.495999999999995</v>
          </cell>
          <cell r="H63">
            <v>1</v>
          </cell>
          <cell r="I63">
            <v>45</v>
          </cell>
          <cell r="J63" t="str">
            <v>в матрице</v>
          </cell>
          <cell r="L63">
            <v>190.12799999999999</v>
          </cell>
          <cell r="M63">
            <v>-8.5099999999999891</v>
          </cell>
          <cell r="O63">
            <v>50</v>
          </cell>
          <cell r="P63">
            <v>165.11600000000001</v>
          </cell>
          <cell r="Q63">
            <v>166.22499999999999</v>
          </cell>
          <cell r="R63">
            <v>175</v>
          </cell>
          <cell r="S63">
            <v>175</v>
          </cell>
          <cell r="T63">
            <v>36.323599999999999</v>
          </cell>
          <cell r="U63">
            <v>100</v>
          </cell>
          <cell r="V63">
            <v>100</v>
          </cell>
          <cell r="W63">
            <v>50</v>
          </cell>
          <cell r="X63">
            <v>50</v>
          </cell>
          <cell r="Y63">
            <v>14.3844773095178</v>
          </cell>
          <cell r="Z63">
            <v>1.9958374169961099</v>
          </cell>
          <cell r="AA63">
            <v>41.088799999999999</v>
          </cell>
          <cell r="AB63">
            <v>31.852</v>
          </cell>
          <cell r="AC63">
            <v>31.178799999999999</v>
          </cell>
          <cell r="AD63">
            <v>40.341200000000001</v>
          </cell>
        </row>
        <row r="64">
          <cell r="A64" t="str">
            <v>6834 ПОСОЛЬСКАЯ с/к с/н в/у 1/100 10шт  Останкино</v>
          </cell>
          <cell r="B64" t="str">
            <v>шт</v>
          </cell>
          <cell r="C64">
            <v>6834</v>
          </cell>
          <cell r="D64">
            <v>58</v>
          </cell>
          <cell r="F64">
            <v>0</v>
          </cell>
          <cell r="G64">
            <v>57</v>
          </cell>
          <cell r="H64">
            <v>0.1</v>
          </cell>
          <cell r="I64">
            <v>60</v>
          </cell>
          <cell r="J64" t="str">
            <v>в матрице</v>
          </cell>
          <cell r="L64">
            <v>1</v>
          </cell>
          <cell r="M64">
            <v>-1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W64">
            <v>0</v>
          </cell>
          <cell r="X64">
            <v>0</v>
          </cell>
          <cell r="Y64" t="e">
            <v>#DIV/0!</v>
          </cell>
          <cell r="Z64" t="e">
            <v>#DIV/0!</v>
          </cell>
          <cell r="AA64">
            <v>1.4</v>
          </cell>
          <cell r="AB64">
            <v>-0.2</v>
          </cell>
          <cell r="AC64">
            <v>1.2</v>
          </cell>
          <cell r="AD64">
            <v>1.2</v>
          </cell>
        </row>
        <row r="65">
          <cell r="A65" t="str">
            <v>6837 ФИЛЕЙНЫЕ Папа Может сос ц/о мгс 0,4кг  Останкино</v>
          </cell>
          <cell r="B65" t="str">
            <v>шт</v>
          </cell>
          <cell r="C65">
            <v>6837</v>
          </cell>
          <cell r="D65">
            <v>320</v>
          </cell>
          <cell r="E65">
            <v>4</v>
          </cell>
          <cell r="F65">
            <v>80</v>
          </cell>
          <cell r="G65">
            <v>206</v>
          </cell>
          <cell r="H65">
            <v>0.4</v>
          </cell>
          <cell r="I65">
            <v>45</v>
          </cell>
          <cell r="J65" t="str">
            <v>в матрице</v>
          </cell>
          <cell r="L65">
            <v>94</v>
          </cell>
          <cell r="M65">
            <v>-14</v>
          </cell>
          <cell r="O65">
            <v>0</v>
          </cell>
          <cell r="P65">
            <v>48</v>
          </cell>
          <cell r="Q65">
            <v>48</v>
          </cell>
          <cell r="R65">
            <v>50</v>
          </cell>
          <cell r="S65">
            <v>50</v>
          </cell>
          <cell r="T65">
            <v>16</v>
          </cell>
          <cell r="W65">
            <v>0</v>
          </cell>
          <cell r="X65">
            <v>0</v>
          </cell>
          <cell r="Y65">
            <v>19.125</v>
          </cell>
          <cell r="Z65">
            <v>12.875</v>
          </cell>
          <cell r="AA65">
            <v>13.2</v>
          </cell>
          <cell r="AB65">
            <v>19.399999999999999</v>
          </cell>
          <cell r="AC65">
            <v>12.2</v>
          </cell>
          <cell r="AD65">
            <v>17.2</v>
          </cell>
        </row>
        <row r="66">
          <cell r="A66" t="str">
            <v>6866 ВЕТЧ.НЕЖНАЯ Коровино п/о_Маяк  Останкино</v>
          </cell>
          <cell r="B66" t="str">
            <v>кг</v>
          </cell>
          <cell r="C66">
            <v>6866</v>
          </cell>
          <cell r="E66">
            <v>11.945</v>
          </cell>
          <cell r="F66">
            <v>4.4400000000000004</v>
          </cell>
          <cell r="G66">
            <v>7.5049999999999999</v>
          </cell>
          <cell r="H66">
            <v>1</v>
          </cell>
          <cell r="I66">
            <v>60</v>
          </cell>
          <cell r="J66" t="str">
            <v>в матрице</v>
          </cell>
          <cell r="L66">
            <v>9.5</v>
          </cell>
          <cell r="M66">
            <v>-5.0599999999999996</v>
          </cell>
          <cell r="O66">
            <v>0</v>
          </cell>
          <cell r="P66">
            <v>5.9649999999999999</v>
          </cell>
          <cell r="Q66">
            <v>5.91</v>
          </cell>
          <cell r="R66">
            <v>5</v>
          </cell>
          <cell r="S66">
            <v>5</v>
          </cell>
          <cell r="T66">
            <v>0.88800000000000001</v>
          </cell>
          <cell r="W66">
            <v>0</v>
          </cell>
          <cell r="X66">
            <v>0</v>
          </cell>
          <cell r="Y66">
            <v>19.7128378378378</v>
          </cell>
          <cell r="Z66">
            <v>8.4515765765765796</v>
          </cell>
          <cell r="AA66">
            <v>2.1070000000000002</v>
          </cell>
          <cell r="AB66">
            <v>1.8169999999999999</v>
          </cell>
          <cell r="AC66">
            <v>1.518</v>
          </cell>
          <cell r="AD66">
            <v>2.411</v>
          </cell>
          <cell r="AE66" t="str">
            <v>Мкд Трейд / Пекарня</v>
          </cell>
        </row>
        <row r="67">
          <cell r="A67" t="str">
            <v>6925 ВЕТЧ.КЛАССИЧЕСКАЯ в/у 0,6кг 8шт. ОСТАНКИНО</v>
          </cell>
          <cell r="B67" t="str">
            <v>шт</v>
          </cell>
          <cell r="C67">
            <v>6925</v>
          </cell>
          <cell r="D67">
            <v>55</v>
          </cell>
          <cell r="E67">
            <v>16</v>
          </cell>
          <cell r="F67">
            <v>71</v>
          </cell>
          <cell r="G67">
            <v>1</v>
          </cell>
          <cell r="H67">
            <v>0.6</v>
          </cell>
          <cell r="L67">
            <v>69</v>
          </cell>
          <cell r="M67">
            <v>2</v>
          </cell>
          <cell r="O67">
            <v>75</v>
          </cell>
          <cell r="P67">
            <v>56</v>
          </cell>
          <cell r="Q67">
            <v>56</v>
          </cell>
          <cell r="R67">
            <v>60</v>
          </cell>
          <cell r="S67">
            <v>60</v>
          </cell>
          <cell r="T67">
            <v>14.2</v>
          </cell>
          <cell r="U67">
            <v>150</v>
          </cell>
          <cell r="V67">
            <v>150</v>
          </cell>
          <cell r="W67">
            <v>100</v>
          </cell>
          <cell r="X67">
            <v>50</v>
          </cell>
          <cell r="Y67">
            <v>19.084507042253499</v>
          </cell>
          <cell r="Z67">
            <v>7.0422535211267595E-2</v>
          </cell>
          <cell r="AA67">
            <v>0</v>
          </cell>
          <cell r="AB67">
            <v>5.8</v>
          </cell>
          <cell r="AC67">
            <v>8.8000000000000007</v>
          </cell>
          <cell r="AD67">
            <v>14.4</v>
          </cell>
        </row>
        <row r="68">
          <cell r="A68" t="str">
            <v>6967 БУРГУНДИЯ Папа может с/к в/у 1/250 8шт  Останкино</v>
          </cell>
          <cell r="B68" t="str">
            <v>шт</v>
          </cell>
          <cell r="C68">
            <v>6967</v>
          </cell>
          <cell r="D68">
            <v>36</v>
          </cell>
          <cell r="F68">
            <v>31</v>
          </cell>
          <cell r="H68">
            <v>0.25</v>
          </cell>
          <cell r="I68">
            <v>120</v>
          </cell>
          <cell r="J68" t="str">
            <v>в матрице</v>
          </cell>
          <cell r="L68">
            <v>42</v>
          </cell>
          <cell r="M68">
            <v>-11</v>
          </cell>
          <cell r="O68">
            <v>0</v>
          </cell>
          <cell r="P68">
            <v>72</v>
          </cell>
          <cell r="Q68">
            <v>72</v>
          </cell>
          <cell r="R68">
            <v>75</v>
          </cell>
          <cell r="S68">
            <v>75</v>
          </cell>
          <cell r="T68">
            <v>6.2</v>
          </cell>
          <cell r="W68">
            <v>0</v>
          </cell>
          <cell r="X68">
            <v>0</v>
          </cell>
          <cell r="Y68">
            <v>24.193548387096801</v>
          </cell>
          <cell r="Z68">
            <v>0</v>
          </cell>
          <cell r="AA68">
            <v>9.6</v>
          </cell>
          <cell r="AB68">
            <v>9.4</v>
          </cell>
          <cell r="AC68">
            <v>7.6</v>
          </cell>
          <cell r="AD68">
            <v>12</v>
          </cell>
        </row>
        <row r="69">
          <cell r="A69" t="str">
            <v>7001 КЛАССИЧЕСКИЕ Папа может сар б/о мгс 1*3  Останкино</v>
          </cell>
          <cell r="B69" t="str">
            <v>кг</v>
          </cell>
          <cell r="C69">
            <v>7001</v>
          </cell>
          <cell r="D69">
            <v>65.795000000000002</v>
          </cell>
          <cell r="F69">
            <v>28.552</v>
          </cell>
          <cell r="G69">
            <v>-13.128</v>
          </cell>
          <cell r="H69">
            <v>1</v>
          </cell>
          <cell r="I69">
            <v>45</v>
          </cell>
          <cell r="J69" t="str">
            <v>в матрице</v>
          </cell>
          <cell r="L69">
            <v>28</v>
          </cell>
          <cell r="M69">
            <v>0.55200000000000005</v>
          </cell>
          <cell r="O69">
            <v>40</v>
          </cell>
          <cell r="P69">
            <v>15.58</v>
          </cell>
          <cell r="Q69">
            <v>15.316000000000001</v>
          </cell>
          <cell r="R69">
            <v>15</v>
          </cell>
          <cell r="S69">
            <v>15</v>
          </cell>
          <cell r="T69">
            <v>5.7103999999999999</v>
          </cell>
          <cell r="U69">
            <v>80</v>
          </cell>
          <cell r="V69">
            <v>100</v>
          </cell>
          <cell r="W69">
            <v>40</v>
          </cell>
          <cell r="X69">
            <v>40</v>
          </cell>
          <cell r="Y69">
            <v>16.9641356122163</v>
          </cell>
          <cell r="Z69">
            <v>-2.2989632950406298</v>
          </cell>
          <cell r="AA69">
            <v>4.3818000000000001</v>
          </cell>
          <cell r="AB69">
            <v>3.7509999999999999</v>
          </cell>
          <cell r="AC69">
            <v>3.8618000000000001</v>
          </cell>
          <cell r="AD69">
            <v>6.8785999999999996</v>
          </cell>
        </row>
        <row r="70">
          <cell r="A70" t="str">
            <v>7059 ШПИКАЧКИ СОЧНЫЕ С БЕК. п/о мгс 0,3кг 60с ОСТАНКИНО</v>
          </cell>
          <cell r="B70" t="str">
            <v>шт</v>
          </cell>
          <cell r="C70">
            <v>7059</v>
          </cell>
          <cell r="D70">
            <v>458</v>
          </cell>
          <cell r="E70">
            <v>4</v>
          </cell>
          <cell r="F70">
            <v>159</v>
          </cell>
          <cell r="G70">
            <v>300</v>
          </cell>
          <cell r="H70">
            <v>0.3</v>
          </cell>
          <cell r="L70">
            <v>162</v>
          </cell>
          <cell r="M70">
            <v>-3</v>
          </cell>
          <cell r="O70">
            <v>75</v>
          </cell>
          <cell r="P70">
            <v>24</v>
          </cell>
          <cell r="Q70">
            <v>24</v>
          </cell>
          <cell r="R70">
            <v>30</v>
          </cell>
          <cell r="S70">
            <v>30</v>
          </cell>
          <cell r="T70">
            <v>31.8</v>
          </cell>
          <cell r="U70">
            <v>150</v>
          </cell>
          <cell r="V70">
            <v>150</v>
          </cell>
          <cell r="W70">
            <v>100</v>
          </cell>
          <cell r="X70">
            <v>50</v>
          </cell>
          <cell r="Y70">
            <v>16.037735849056599</v>
          </cell>
          <cell r="Z70">
            <v>9.4339622641509404</v>
          </cell>
          <cell r="AA70">
            <v>16</v>
          </cell>
          <cell r="AB70">
            <v>20</v>
          </cell>
          <cell r="AC70">
            <v>12.8</v>
          </cell>
          <cell r="AD70">
            <v>37.200000000000003</v>
          </cell>
        </row>
        <row r="71">
          <cell r="A71" t="str">
            <v>7066 СОЧНЫЕ ПМ сос п/о мгс 0,41кг 10шт 50с  Останкино</v>
          </cell>
          <cell r="B71" t="str">
            <v>шт</v>
          </cell>
          <cell r="C71">
            <v>7066</v>
          </cell>
          <cell r="D71">
            <v>53</v>
          </cell>
          <cell r="E71">
            <v>1504</v>
          </cell>
          <cell r="F71">
            <v>773</v>
          </cell>
          <cell r="G71">
            <v>775</v>
          </cell>
          <cell r="H71">
            <v>0.41</v>
          </cell>
          <cell r="I71">
            <v>50</v>
          </cell>
          <cell r="J71" t="str">
            <v>в матрице</v>
          </cell>
          <cell r="L71">
            <v>804</v>
          </cell>
          <cell r="M71">
            <v>-31</v>
          </cell>
          <cell r="O71">
            <v>0</v>
          </cell>
          <cell r="P71">
            <v>750</v>
          </cell>
          <cell r="Q71">
            <v>750</v>
          </cell>
          <cell r="R71">
            <v>750</v>
          </cell>
          <cell r="S71">
            <v>750</v>
          </cell>
          <cell r="T71">
            <v>154.6</v>
          </cell>
          <cell r="W71">
            <v>0</v>
          </cell>
          <cell r="X71">
            <v>0</v>
          </cell>
          <cell r="Y71">
            <v>14.7153945666235</v>
          </cell>
          <cell r="Z71">
            <v>5.01293661060802</v>
          </cell>
          <cell r="AA71">
            <v>149.4</v>
          </cell>
          <cell r="AB71">
            <v>126.6</v>
          </cell>
          <cell r="AC71">
            <v>171.6</v>
          </cell>
          <cell r="AD71">
            <v>201.6</v>
          </cell>
        </row>
        <row r="72">
          <cell r="A72" t="str">
            <v>7070 СОЧНЫЕ ПМ сос п/о 1,5*4_А_50с  Останкино</v>
          </cell>
          <cell r="B72" t="str">
            <v>кг</v>
          </cell>
          <cell r="C72">
            <v>7070</v>
          </cell>
          <cell r="D72">
            <v>17.114000000000001</v>
          </cell>
          <cell r="E72">
            <v>196.62299999999999</v>
          </cell>
          <cell r="F72">
            <v>89.418999999999997</v>
          </cell>
          <cell r="G72">
            <v>118.04300000000001</v>
          </cell>
          <cell r="H72">
            <v>1</v>
          </cell>
          <cell r="I72">
            <v>50</v>
          </cell>
          <cell r="J72" t="str">
            <v>в матрице</v>
          </cell>
          <cell r="L72">
            <v>93</v>
          </cell>
          <cell r="M72">
            <v>-3.581</v>
          </cell>
          <cell r="O72">
            <v>0</v>
          </cell>
          <cell r="P72">
            <v>98.682000000000002</v>
          </cell>
          <cell r="Q72">
            <v>98.58</v>
          </cell>
          <cell r="R72">
            <v>100</v>
          </cell>
          <cell r="S72">
            <v>100</v>
          </cell>
          <cell r="T72">
            <v>17.883800000000001</v>
          </cell>
          <cell r="W72">
            <v>0</v>
          </cell>
          <cell r="X72">
            <v>0</v>
          </cell>
          <cell r="Y72">
            <v>17.7838602534137</v>
          </cell>
          <cell r="Z72">
            <v>6.6005546919558498</v>
          </cell>
          <cell r="AA72">
            <v>17.399999999999999</v>
          </cell>
          <cell r="AB72">
            <v>19.577400000000001</v>
          </cell>
          <cell r="AC72">
            <v>23.4</v>
          </cell>
          <cell r="AD72">
            <v>28.195399999999999</v>
          </cell>
        </row>
        <row r="73">
          <cell r="A73" t="str">
            <v>7073 МОЛОЧ.ПРЕМИУМ ПМ сос п/о в/у 1/350_50с  Останкино</v>
          </cell>
          <cell r="B73" t="str">
            <v>шт</v>
          </cell>
          <cell r="C73">
            <v>7073</v>
          </cell>
          <cell r="D73">
            <v>1</v>
          </cell>
          <cell r="E73">
            <v>338</v>
          </cell>
          <cell r="F73">
            <v>56</v>
          </cell>
          <cell r="G73">
            <v>276</v>
          </cell>
          <cell r="H73">
            <v>0.35</v>
          </cell>
          <cell r="I73">
            <v>50</v>
          </cell>
          <cell r="J73" t="str">
            <v>в матрице</v>
          </cell>
          <cell r="L73">
            <v>66</v>
          </cell>
          <cell r="M73">
            <v>-10</v>
          </cell>
          <cell r="O73">
            <v>0</v>
          </cell>
          <cell r="P73">
            <v>16</v>
          </cell>
          <cell r="Q73">
            <v>16</v>
          </cell>
          <cell r="R73">
            <v>20</v>
          </cell>
          <cell r="S73">
            <v>20</v>
          </cell>
          <cell r="T73">
            <v>11.2</v>
          </cell>
          <cell r="W73">
            <v>0</v>
          </cell>
          <cell r="X73">
            <v>0</v>
          </cell>
          <cell r="Y73">
            <v>28.214285714285701</v>
          </cell>
          <cell r="Z73">
            <v>24.6428571428571</v>
          </cell>
          <cell r="AA73">
            <v>3.8</v>
          </cell>
          <cell r="AB73">
            <v>11.2</v>
          </cell>
          <cell r="AC73">
            <v>26.8</v>
          </cell>
          <cell r="AD73">
            <v>26.4</v>
          </cell>
        </row>
        <row r="74">
          <cell r="A74" t="str">
            <v>7075 МОЛОЧ.ПРЕМИУМ ПМ сос п/о мгс 1,5*4_О_50с  Останкино</v>
          </cell>
          <cell r="B74" t="str">
            <v>кг</v>
          </cell>
          <cell r="C74">
            <v>7075</v>
          </cell>
          <cell r="D74">
            <v>26.484000000000002</v>
          </cell>
          <cell r="F74">
            <v>12.441000000000001</v>
          </cell>
          <cell r="G74">
            <v>-7.7430000000000003</v>
          </cell>
          <cell r="H74">
            <v>1</v>
          </cell>
          <cell r="I74">
            <v>50</v>
          </cell>
          <cell r="J74" t="str">
            <v>в матрице</v>
          </cell>
          <cell r="L74">
            <v>13.7</v>
          </cell>
          <cell r="M74">
            <v>-1.2589999999999999</v>
          </cell>
          <cell r="O74">
            <v>5</v>
          </cell>
          <cell r="P74">
            <v>18.728000000000002</v>
          </cell>
          <cell r="Q74">
            <v>18.812000000000001</v>
          </cell>
          <cell r="R74">
            <v>20</v>
          </cell>
          <cell r="S74">
            <v>20</v>
          </cell>
          <cell r="T74">
            <v>2.4882</v>
          </cell>
          <cell r="U74">
            <v>10</v>
          </cell>
          <cell r="V74">
            <v>10</v>
          </cell>
          <cell r="W74">
            <v>5</v>
          </cell>
          <cell r="X74">
            <v>5</v>
          </cell>
          <cell r="Y74">
            <v>16.9829595691665</v>
          </cell>
          <cell r="Z74">
            <v>-3.1118881118881099</v>
          </cell>
          <cell r="AA74">
            <v>1.534</v>
          </cell>
          <cell r="AB74">
            <v>1.0014000000000001</v>
          </cell>
          <cell r="AC74">
            <v>1.2316</v>
          </cell>
          <cell r="AD74">
            <v>4.0224000000000002</v>
          </cell>
          <cell r="AE74" t="str">
            <v>27,12,25 списание 14кг (пересчет) / 08,12,25 при пересчете нашли 41кг!!!</v>
          </cell>
        </row>
        <row r="75">
          <cell r="A75" t="str">
            <v>7080 СЛИВОЧНЫЕ ПМ сос п/о мгс 0,41кг 10шт 50с  Останкино</v>
          </cell>
          <cell r="B75" t="str">
            <v>шт</v>
          </cell>
          <cell r="C75">
            <v>7080</v>
          </cell>
          <cell r="D75">
            <v>907</v>
          </cell>
          <cell r="E75">
            <v>303</v>
          </cell>
          <cell r="F75">
            <v>487</v>
          </cell>
          <cell r="G75">
            <v>709</v>
          </cell>
          <cell r="H75">
            <v>0.41</v>
          </cell>
          <cell r="I75">
            <v>50</v>
          </cell>
          <cell r="J75" t="str">
            <v>в матрице</v>
          </cell>
          <cell r="L75">
            <v>501</v>
          </cell>
          <cell r="M75">
            <v>-14</v>
          </cell>
          <cell r="O75">
            <v>325</v>
          </cell>
          <cell r="P75">
            <v>50</v>
          </cell>
          <cell r="Q75">
            <v>50</v>
          </cell>
          <cell r="R75">
            <v>50</v>
          </cell>
          <cell r="S75">
            <v>50</v>
          </cell>
          <cell r="T75">
            <v>97.4</v>
          </cell>
          <cell r="U75">
            <v>650</v>
          </cell>
          <cell r="V75">
            <v>650</v>
          </cell>
          <cell r="W75">
            <v>450</v>
          </cell>
          <cell r="X75">
            <v>200</v>
          </cell>
          <cell r="Y75">
            <v>14.9794661190965</v>
          </cell>
          <cell r="Z75">
            <v>7.27926078028747</v>
          </cell>
          <cell r="AA75">
            <v>100.8</v>
          </cell>
          <cell r="AB75">
            <v>126.8</v>
          </cell>
          <cell r="AC75">
            <v>115.4</v>
          </cell>
          <cell r="AD75">
            <v>92.2</v>
          </cell>
        </row>
        <row r="76">
          <cell r="A76" t="str">
            <v>7082 СЛИВОЧНЫЕ ПМ сос п/о мгс 1,5*4_50с  Останкино</v>
          </cell>
          <cell r="B76" t="str">
            <v>кг</v>
          </cell>
          <cell r="C76">
            <v>7082</v>
          </cell>
          <cell r="F76">
            <v>-2.1539999999999999</v>
          </cell>
          <cell r="G76">
            <v>-1.5620000000000001</v>
          </cell>
          <cell r="H76">
            <v>1</v>
          </cell>
          <cell r="L76">
            <v>1.5</v>
          </cell>
          <cell r="M76">
            <v>-3.6539999999999999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-0.43080000000000002</v>
          </cell>
          <cell r="W76">
            <v>0</v>
          </cell>
          <cell r="X76">
            <v>0</v>
          </cell>
          <cell r="Y76">
            <v>3.6258124419684301</v>
          </cell>
          <cell r="Z76">
            <v>3.6258124419684301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</row>
        <row r="77">
          <cell r="A77" t="str">
            <v>7083 СЛИВОЧНЫЕ ПМ сос п/о мгс 1.5*4_А_50с  ОСТАНКИНО</v>
          </cell>
          <cell r="B77" t="str">
            <v>кг</v>
          </cell>
          <cell r="C77">
            <v>7083</v>
          </cell>
          <cell r="D77">
            <v>4.6289999999999996</v>
          </cell>
          <cell r="E77">
            <v>186.68</v>
          </cell>
          <cell r="F77">
            <v>30.798999999999999</v>
          </cell>
          <cell r="G77">
            <v>158.964</v>
          </cell>
          <cell r="H77">
            <v>1</v>
          </cell>
          <cell r="L77">
            <v>32</v>
          </cell>
          <cell r="M77">
            <v>-1.2010000000000001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6.1597999999999997</v>
          </cell>
          <cell r="W77">
            <v>0</v>
          </cell>
          <cell r="X77">
            <v>0</v>
          </cell>
          <cell r="Y77">
            <v>25.806682035131001</v>
          </cell>
          <cell r="Z77">
            <v>25.806682035131001</v>
          </cell>
          <cell r="AA77">
            <v>14.3096</v>
          </cell>
          <cell r="AB77">
            <v>10.958600000000001</v>
          </cell>
          <cell r="AC77">
            <v>16.249199999999998</v>
          </cell>
          <cell r="AD77">
            <v>12.334199999999999</v>
          </cell>
        </row>
        <row r="78">
          <cell r="A78" t="str">
            <v>7090 СВИНИНА ПО-ДОМ.к/в мл/к в/у 0,3кг_50с  Останкино</v>
          </cell>
          <cell r="B78" t="str">
            <v>шт</v>
          </cell>
          <cell r="C78">
            <v>7090</v>
          </cell>
          <cell r="D78">
            <v>260</v>
          </cell>
          <cell r="F78">
            <v>93</v>
          </cell>
          <cell r="G78">
            <v>163</v>
          </cell>
          <cell r="H78">
            <v>0.3</v>
          </cell>
          <cell r="I78">
            <v>50</v>
          </cell>
          <cell r="J78" t="str">
            <v>в матрице</v>
          </cell>
          <cell r="L78">
            <v>96</v>
          </cell>
          <cell r="M78">
            <v>-3</v>
          </cell>
          <cell r="O78">
            <v>0</v>
          </cell>
          <cell r="P78">
            <v>120</v>
          </cell>
          <cell r="Q78">
            <v>120</v>
          </cell>
          <cell r="R78">
            <v>125</v>
          </cell>
          <cell r="S78">
            <v>125</v>
          </cell>
          <cell r="T78">
            <v>18.600000000000001</v>
          </cell>
          <cell r="W78">
            <v>0</v>
          </cell>
          <cell r="X78">
            <v>0</v>
          </cell>
          <cell r="Y78">
            <v>22.204301075268798</v>
          </cell>
          <cell r="Z78">
            <v>8.7634408602150504</v>
          </cell>
          <cell r="AA78">
            <v>18</v>
          </cell>
          <cell r="AB78">
            <v>35.799999999999997</v>
          </cell>
          <cell r="AC78">
            <v>29.6</v>
          </cell>
          <cell r="AD78">
            <v>33.200000000000003</v>
          </cell>
          <cell r="AE78" t="str">
            <v>17,09,25 списание (143 шт. / сроки)</v>
          </cell>
        </row>
        <row r="79">
          <cell r="A79" t="str">
            <v>7092 БЕКОН Папа может с/к с/н в/у 1/140_50с  Останкино</v>
          </cell>
          <cell r="B79" t="str">
            <v>шт</v>
          </cell>
          <cell r="C79">
            <v>7092</v>
          </cell>
          <cell r="E79">
            <v>10</v>
          </cell>
          <cell r="F79">
            <v>0</v>
          </cell>
          <cell r="H79">
            <v>0.14000000000000001</v>
          </cell>
          <cell r="L79">
            <v>20</v>
          </cell>
          <cell r="M79">
            <v>-20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W79">
            <v>0</v>
          </cell>
          <cell r="X79">
            <v>0</v>
          </cell>
          <cell r="Y79" t="e">
            <v>#DIV/0!</v>
          </cell>
          <cell r="Z79" t="e">
            <v>#DIV/0!</v>
          </cell>
          <cell r="AA79">
            <v>0</v>
          </cell>
          <cell r="AB79">
            <v>0</v>
          </cell>
          <cell r="AC79">
            <v>0</v>
          </cell>
          <cell r="AD79">
            <v>0</v>
          </cell>
        </row>
        <row r="80">
          <cell r="A80" t="str">
            <v>7103 БЕКОН Останкино с/к с/н в/у 1/180_50с  Останкино</v>
          </cell>
          <cell r="B80" t="str">
            <v>шт</v>
          </cell>
          <cell r="C80">
            <v>7103</v>
          </cell>
          <cell r="D80">
            <v>12</v>
          </cell>
          <cell r="E80">
            <v>40</v>
          </cell>
          <cell r="F80">
            <v>47</v>
          </cell>
          <cell r="G80">
            <v>5</v>
          </cell>
          <cell r="H80">
            <v>0.18</v>
          </cell>
          <cell r="I80">
            <v>50</v>
          </cell>
          <cell r="J80" t="str">
            <v>в матрице</v>
          </cell>
          <cell r="L80">
            <v>63</v>
          </cell>
          <cell r="M80">
            <v>-16</v>
          </cell>
          <cell r="O80">
            <v>0</v>
          </cell>
          <cell r="P80">
            <v>150</v>
          </cell>
          <cell r="Q80">
            <v>150</v>
          </cell>
          <cell r="R80">
            <v>150</v>
          </cell>
          <cell r="S80">
            <v>150</v>
          </cell>
          <cell r="T80">
            <v>9.4</v>
          </cell>
          <cell r="W80">
            <v>0</v>
          </cell>
          <cell r="X80">
            <v>0</v>
          </cell>
          <cell r="Y80">
            <v>32.446808510638299</v>
          </cell>
          <cell r="Z80">
            <v>0.53191489361702105</v>
          </cell>
          <cell r="AA80">
            <v>9.4</v>
          </cell>
          <cell r="AB80">
            <v>12.8</v>
          </cell>
          <cell r="AC80">
            <v>11</v>
          </cell>
          <cell r="AD80">
            <v>21.8</v>
          </cell>
        </row>
        <row r="81">
          <cell r="A81" t="str">
            <v>7131 БАЛЫКОВАЯ в/к в/у 0,84кг  Останкино</v>
          </cell>
          <cell r="B81" t="str">
            <v>кг</v>
          </cell>
          <cell r="C81">
            <v>7131</v>
          </cell>
          <cell r="E81">
            <v>1.4</v>
          </cell>
          <cell r="F81">
            <v>0.84</v>
          </cell>
          <cell r="G81">
            <v>0.56000000000000005</v>
          </cell>
          <cell r="H81">
            <v>1</v>
          </cell>
          <cell r="I81">
            <v>45</v>
          </cell>
          <cell r="J81" t="str">
            <v>в матрице</v>
          </cell>
          <cell r="L81">
            <v>1.6</v>
          </cell>
          <cell r="M81">
            <v>-0.76</v>
          </cell>
          <cell r="O81">
            <v>0</v>
          </cell>
          <cell r="P81">
            <v>0</v>
          </cell>
          <cell r="Q81">
            <v>0</v>
          </cell>
          <cell r="R81">
            <v>50</v>
          </cell>
          <cell r="S81">
            <v>50</v>
          </cell>
          <cell r="T81">
            <v>0.16800000000000001</v>
          </cell>
          <cell r="W81">
            <v>0</v>
          </cell>
          <cell r="X81">
            <v>0</v>
          </cell>
          <cell r="Y81">
            <v>598.57142857142901</v>
          </cell>
          <cell r="Z81">
            <v>3.3333333333333299</v>
          </cell>
          <cell r="AA81">
            <v>12.849</v>
          </cell>
          <cell r="AB81">
            <v>8.0774000000000008</v>
          </cell>
          <cell r="AC81">
            <v>5.4142000000000001</v>
          </cell>
          <cell r="AD81">
            <v>5.0579999999999998</v>
          </cell>
        </row>
        <row r="82">
          <cell r="A82" t="str">
            <v>7154 СЕРВЕЛАТ ЗЕРНИСТЫЙ ПМ в/к в/у 0,35кг_50с  Останкино</v>
          </cell>
          <cell r="B82" t="str">
            <v>шт</v>
          </cell>
          <cell r="C82">
            <v>7154</v>
          </cell>
          <cell r="D82">
            <v>475</v>
          </cell>
          <cell r="E82">
            <v>406</v>
          </cell>
          <cell r="F82">
            <v>458</v>
          </cell>
          <cell r="G82">
            <v>416</v>
          </cell>
          <cell r="H82">
            <v>0.35</v>
          </cell>
          <cell r="I82">
            <v>50</v>
          </cell>
          <cell r="J82" t="str">
            <v>в матрице</v>
          </cell>
          <cell r="L82">
            <v>465</v>
          </cell>
          <cell r="M82">
            <v>-7</v>
          </cell>
          <cell r="O82">
            <v>425</v>
          </cell>
          <cell r="P82">
            <v>72</v>
          </cell>
          <cell r="Q82">
            <v>72</v>
          </cell>
          <cell r="R82">
            <v>75</v>
          </cell>
          <cell r="S82">
            <v>75</v>
          </cell>
          <cell r="T82">
            <v>91.6</v>
          </cell>
          <cell r="U82">
            <v>850</v>
          </cell>
          <cell r="V82">
            <v>850</v>
          </cell>
          <cell r="W82">
            <v>450</v>
          </cell>
          <cell r="X82">
            <v>400</v>
          </cell>
          <cell r="Y82">
            <v>15.4585152838428</v>
          </cell>
          <cell r="Z82">
            <v>4.5414847161572096</v>
          </cell>
          <cell r="AA82">
            <v>73.2</v>
          </cell>
          <cell r="AB82">
            <v>90.4</v>
          </cell>
          <cell r="AC82">
            <v>82.8</v>
          </cell>
          <cell r="AD82">
            <v>70.8</v>
          </cell>
        </row>
        <row r="83">
          <cell r="A83" t="str">
            <v>7157 СЕРВЕЛАТ ЗЕРНИСТЫЙ ПМ в/к в/у_50с  Останкино</v>
          </cell>
          <cell r="B83" t="str">
            <v>кг</v>
          </cell>
          <cell r="C83">
            <v>7157</v>
          </cell>
          <cell r="D83">
            <v>77.23</v>
          </cell>
          <cell r="E83">
            <v>109.65300000000001</v>
          </cell>
          <cell r="F83">
            <v>129.18</v>
          </cell>
          <cell r="G83">
            <v>53.01</v>
          </cell>
          <cell r="H83">
            <v>1</v>
          </cell>
          <cell r="I83">
            <v>50</v>
          </cell>
          <cell r="J83" t="str">
            <v>в матрице</v>
          </cell>
          <cell r="L83">
            <v>131</v>
          </cell>
          <cell r="M83">
            <v>-1.8199999999999901</v>
          </cell>
          <cell r="O83">
            <v>100</v>
          </cell>
          <cell r="P83">
            <v>80.801000000000002</v>
          </cell>
          <cell r="Q83">
            <v>80.694999999999993</v>
          </cell>
          <cell r="R83">
            <v>75</v>
          </cell>
          <cell r="S83">
            <v>75</v>
          </cell>
          <cell r="T83">
            <v>25.835999999999999</v>
          </cell>
          <cell r="U83">
            <v>200</v>
          </cell>
          <cell r="V83">
            <v>200</v>
          </cell>
          <cell r="W83">
            <v>120</v>
          </cell>
          <cell r="X83">
            <v>80</v>
          </cell>
          <cell r="Y83">
            <v>15.598776900449</v>
          </cell>
          <cell r="Z83">
            <v>2.05178820250813</v>
          </cell>
          <cell r="AA83">
            <v>18.880400000000002</v>
          </cell>
          <cell r="AB83">
            <v>19.853999999999999</v>
          </cell>
          <cell r="AC83">
            <v>17.0016</v>
          </cell>
          <cell r="AD83">
            <v>21.861799999999999</v>
          </cell>
        </row>
        <row r="84">
          <cell r="A84" t="str">
            <v>7166 СЕРВЕЛАТ ОХОТНИЧИЙ ПМ в/к в/у_50с  Останкино</v>
          </cell>
          <cell r="B84" t="str">
            <v>кг</v>
          </cell>
          <cell r="C84">
            <v>7166</v>
          </cell>
          <cell r="D84">
            <v>275.07</v>
          </cell>
          <cell r="E84">
            <v>2.0939999999999999</v>
          </cell>
          <cell r="F84">
            <v>93.125</v>
          </cell>
          <cell r="G84">
            <v>-22.26</v>
          </cell>
          <cell r="H84">
            <v>1</v>
          </cell>
          <cell r="I84">
            <v>50</v>
          </cell>
          <cell r="J84" t="str">
            <v>в матрице</v>
          </cell>
          <cell r="L84">
            <v>175.69399999999999</v>
          </cell>
          <cell r="M84">
            <v>-82.569000000000003</v>
          </cell>
          <cell r="O84">
            <v>0</v>
          </cell>
          <cell r="P84">
            <v>143.803</v>
          </cell>
          <cell r="Q84">
            <v>145.21100000000001</v>
          </cell>
          <cell r="R84">
            <v>150</v>
          </cell>
          <cell r="S84">
            <v>150</v>
          </cell>
          <cell r="T84">
            <v>18.625</v>
          </cell>
          <cell r="W84">
            <v>0</v>
          </cell>
          <cell r="X84">
            <v>0</v>
          </cell>
          <cell r="Y84">
            <v>14.9122147651007</v>
          </cell>
          <cell r="Z84">
            <v>-1.1951677852349001</v>
          </cell>
          <cell r="AA84">
            <v>37.352600000000002</v>
          </cell>
          <cell r="AB84">
            <v>37.647599999999997</v>
          </cell>
          <cell r="AC84">
            <v>32.890799999999999</v>
          </cell>
          <cell r="AD84">
            <v>37.547400000000003</v>
          </cell>
        </row>
        <row r="85">
          <cell r="A85" t="str">
            <v>7169 СЕРВЕЛАТ ОХОТНИЧИЙ ПМ в/к в/у 0,35кг_50с  Останкино</v>
          </cell>
          <cell r="B85" t="str">
            <v>шт</v>
          </cell>
          <cell r="C85">
            <v>7169</v>
          </cell>
          <cell r="D85">
            <v>351</v>
          </cell>
          <cell r="E85">
            <v>345</v>
          </cell>
          <cell r="F85">
            <v>374</v>
          </cell>
          <cell r="G85">
            <v>301</v>
          </cell>
          <cell r="H85">
            <v>0.35</v>
          </cell>
          <cell r="I85">
            <v>50</v>
          </cell>
          <cell r="J85" t="str">
            <v>в матрице</v>
          </cell>
          <cell r="L85">
            <v>394</v>
          </cell>
          <cell r="M85">
            <v>-20</v>
          </cell>
          <cell r="O85">
            <v>0</v>
          </cell>
          <cell r="P85">
            <v>544</v>
          </cell>
          <cell r="Q85">
            <v>544</v>
          </cell>
          <cell r="R85">
            <v>550</v>
          </cell>
          <cell r="S85">
            <v>550</v>
          </cell>
          <cell r="T85">
            <v>74.8</v>
          </cell>
          <cell r="W85">
            <v>0</v>
          </cell>
          <cell r="X85">
            <v>0</v>
          </cell>
          <cell r="Y85">
            <v>18.7299465240642</v>
          </cell>
          <cell r="Z85">
            <v>4.0240641711229896</v>
          </cell>
          <cell r="AA85">
            <v>95</v>
          </cell>
          <cell r="AB85">
            <v>95.8</v>
          </cell>
          <cell r="AC85">
            <v>86.2</v>
          </cell>
          <cell r="AD85">
            <v>110.6</v>
          </cell>
        </row>
        <row r="86">
          <cell r="A86" t="str">
            <v>7187 ГРУДИНКА ПРЕМИУМ к/в мл/к в/у 0,3кг_50с  Останкино</v>
          </cell>
          <cell r="B86" t="str">
            <v>шт</v>
          </cell>
          <cell r="C86">
            <v>7187</v>
          </cell>
          <cell r="D86">
            <v>21</v>
          </cell>
          <cell r="E86">
            <v>97</v>
          </cell>
          <cell r="F86">
            <v>62</v>
          </cell>
          <cell r="G86">
            <v>53</v>
          </cell>
          <cell r="H86">
            <v>0.3</v>
          </cell>
          <cell r="I86">
            <v>50</v>
          </cell>
          <cell r="J86" t="str">
            <v>в матрице</v>
          </cell>
          <cell r="L86">
            <v>65</v>
          </cell>
          <cell r="M86">
            <v>-3</v>
          </cell>
          <cell r="O86">
            <v>0</v>
          </cell>
          <cell r="P86">
            <v>120</v>
          </cell>
          <cell r="Q86">
            <v>120</v>
          </cell>
          <cell r="R86">
            <v>125</v>
          </cell>
          <cell r="S86">
            <v>125</v>
          </cell>
          <cell r="T86">
            <v>12.4</v>
          </cell>
          <cell r="W86">
            <v>0</v>
          </cell>
          <cell r="X86">
            <v>0</v>
          </cell>
          <cell r="Y86">
            <v>24.435483870967701</v>
          </cell>
          <cell r="Z86">
            <v>4.2741935483870996</v>
          </cell>
          <cell r="AA86">
            <v>16.399999999999999</v>
          </cell>
          <cell r="AB86">
            <v>15.6</v>
          </cell>
          <cell r="AC86">
            <v>15.8</v>
          </cell>
          <cell r="AD86">
            <v>21.4</v>
          </cell>
        </row>
        <row r="87">
          <cell r="A87" t="str">
            <v>7216 СОЧНЫЕ СО СЛ.МАСЛ.ПМ пельм пл.0.7кг зам. ОСТАНКИНО</v>
          </cell>
          <cell r="B87" t="str">
            <v>шт</v>
          </cell>
          <cell r="C87">
            <v>7216</v>
          </cell>
          <cell r="E87">
            <v>300</v>
          </cell>
          <cell r="F87">
            <v>0</v>
          </cell>
          <cell r="G87">
            <v>162</v>
          </cell>
          <cell r="H87">
            <v>0.7</v>
          </cell>
          <cell r="L87">
            <v>0</v>
          </cell>
          <cell r="M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W87">
            <v>0</v>
          </cell>
          <cell r="X87">
            <v>0</v>
          </cell>
          <cell r="Y87" t="e">
            <v>#DIV/0!</v>
          </cell>
          <cell r="Z87" t="e">
            <v>#DIV/0!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</row>
        <row r="88">
          <cell r="A88" t="str">
            <v>7231 КЛАССИЧЕСКАЯ ПМ вар п/о 0,3кг 8 шт_209к  Останкино</v>
          </cell>
          <cell r="B88" t="str">
            <v>шт</v>
          </cell>
          <cell r="C88">
            <v>7231</v>
          </cell>
          <cell r="D88">
            <v>199</v>
          </cell>
          <cell r="E88">
            <v>4</v>
          </cell>
          <cell r="F88">
            <v>24</v>
          </cell>
          <cell r="G88">
            <v>177</v>
          </cell>
          <cell r="H88">
            <v>0.3</v>
          </cell>
          <cell r="I88">
            <v>60</v>
          </cell>
          <cell r="J88" t="str">
            <v>в матрице</v>
          </cell>
          <cell r="L88">
            <v>26</v>
          </cell>
          <cell r="M88">
            <v>-2</v>
          </cell>
          <cell r="O88">
            <v>0</v>
          </cell>
          <cell r="P88">
            <v>48</v>
          </cell>
          <cell r="Q88">
            <v>48</v>
          </cell>
          <cell r="R88">
            <v>50</v>
          </cell>
          <cell r="S88">
            <v>50</v>
          </cell>
          <cell r="T88">
            <v>4.8</v>
          </cell>
          <cell r="W88">
            <v>0</v>
          </cell>
          <cell r="X88">
            <v>0</v>
          </cell>
          <cell r="Y88">
            <v>57.7083333333333</v>
          </cell>
          <cell r="Z88">
            <v>36.875</v>
          </cell>
          <cell r="AA88">
            <v>0.8</v>
          </cell>
          <cell r="AB88">
            <v>2</v>
          </cell>
          <cell r="AC88">
            <v>4.4000000000000004</v>
          </cell>
          <cell r="AD88">
            <v>6.2</v>
          </cell>
        </row>
        <row r="89">
          <cell r="A89" t="str">
            <v>7232 БОЯNСКАЯ ПМ п/к в/у 0,28кг 8шт_209к  Останкино</v>
          </cell>
          <cell r="B89" t="str">
            <v>шт</v>
          </cell>
          <cell r="C89">
            <v>7232</v>
          </cell>
          <cell r="D89">
            <v>156</v>
          </cell>
          <cell r="E89">
            <v>243</v>
          </cell>
          <cell r="F89">
            <v>271</v>
          </cell>
          <cell r="G89">
            <v>115</v>
          </cell>
          <cell r="H89">
            <v>0.28000000000000003</v>
          </cell>
          <cell r="I89">
            <v>50</v>
          </cell>
          <cell r="J89" t="str">
            <v>в матрице</v>
          </cell>
          <cell r="L89">
            <v>284</v>
          </cell>
          <cell r="M89">
            <v>-13</v>
          </cell>
          <cell r="O89">
            <v>150</v>
          </cell>
          <cell r="P89">
            <v>224</v>
          </cell>
          <cell r="Q89">
            <v>224</v>
          </cell>
          <cell r="R89">
            <v>225</v>
          </cell>
          <cell r="S89">
            <v>225</v>
          </cell>
          <cell r="T89">
            <v>54.2</v>
          </cell>
          <cell r="U89">
            <v>300</v>
          </cell>
          <cell r="V89">
            <v>300</v>
          </cell>
          <cell r="W89">
            <v>200</v>
          </cell>
          <cell r="X89">
            <v>100</v>
          </cell>
          <cell r="Y89">
            <v>15.9594095940959</v>
          </cell>
          <cell r="Z89">
            <v>2.1217712177121801</v>
          </cell>
          <cell r="AA89">
            <v>58.8</v>
          </cell>
          <cell r="AB89">
            <v>32</v>
          </cell>
          <cell r="AC89">
            <v>44.2</v>
          </cell>
          <cell r="AD89">
            <v>56.8</v>
          </cell>
        </row>
        <row r="90">
          <cell r="A90" t="str">
            <v>7236 СЕРВЕЛАТ КАРЕЛЬСКИЙ в/к в/у 0,28кг_209к  Останкино</v>
          </cell>
          <cell r="B90" t="str">
            <v>шт</v>
          </cell>
          <cell r="C90">
            <v>7236</v>
          </cell>
          <cell r="D90">
            <v>420</v>
          </cell>
          <cell r="E90">
            <v>179</v>
          </cell>
          <cell r="F90">
            <v>305</v>
          </cell>
          <cell r="G90">
            <v>272</v>
          </cell>
          <cell r="H90">
            <v>0.28000000000000003</v>
          </cell>
          <cell r="I90">
            <v>45</v>
          </cell>
          <cell r="J90" t="str">
            <v>в матрице</v>
          </cell>
          <cell r="L90">
            <v>330</v>
          </cell>
          <cell r="M90">
            <v>-25</v>
          </cell>
          <cell r="O90">
            <v>300</v>
          </cell>
          <cell r="P90">
            <v>48</v>
          </cell>
          <cell r="Q90">
            <v>48</v>
          </cell>
          <cell r="R90">
            <v>50</v>
          </cell>
          <cell r="S90">
            <v>50</v>
          </cell>
          <cell r="T90">
            <v>61</v>
          </cell>
          <cell r="U90">
            <v>600</v>
          </cell>
          <cell r="V90">
            <v>600</v>
          </cell>
          <cell r="W90">
            <v>300</v>
          </cell>
          <cell r="X90">
            <v>300</v>
          </cell>
          <cell r="Y90">
            <v>15.934426229508199</v>
          </cell>
          <cell r="Z90">
            <v>4.4590163934426199</v>
          </cell>
          <cell r="AA90">
            <v>55.6</v>
          </cell>
          <cell r="AB90">
            <v>69.400000000000006</v>
          </cell>
          <cell r="AC90">
            <v>60.2</v>
          </cell>
          <cell r="AD90">
            <v>47</v>
          </cell>
        </row>
        <row r="91">
          <cell r="A91" t="str">
            <v>7237 СЕРВЕЛАТ ШВАРЦЕР ПМ в/к в/у 0,28кг_209к  Останкино</v>
          </cell>
          <cell r="B91" t="str">
            <v>шт</v>
          </cell>
          <cell r="C91">
            <v>7237</v>
          </cell>
          <cell r="D91">
            <v>139</v>
          </cell>
          <cell r="E91">
            <v>1</v>
          </cell>
          <cell r="F91">
            <v>78</v>
          </cell>
          <cell r="G91">
            <v>55</v>
          </cell>
          <cell r="H91">
            <v>0.28000000000000003</v>
          </cell>
          <cell r="I91">
            <v>45</v>
          </cell>
          <cell r="J91" t="str">
            <v>в матрице</v>
          </cell>
          <cell r="L91">
            <v>85</v>
          </cell>
          <cell r="M91">
            <v>-7</v>
          </cell>
          <cell r="O91">
            <v>125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15.6</v>
          </cell>
          <cell r="U91">
            <v>250</v>
          </cell>
          <cell r="V91">
            <v>250</v>
          </cell>
          <cell r="W91">
            <v>125</v>
          </cell>
          <cell r="X91">
            <v>125</v>
          </cell>
          <cell r="Y91">
            <v>19.551282051282101</v>
          </cell>
          <cell r="Z91">
            <v>3.52564102564103</v>
          </cell>
          <cell r="AA91">
            <v>12.4</v>
          </cell>
          <cell r="AB91">
            <v>16.600000000000001</v>
          </cell>
          <cell r="AC91">
            <v>14</v>
          </cell>
          <cell r="AD91">
            <v>7.8</v>
          </cell>
        </row>
        <row r="92">
          <cell r="A92" t="str">
            <v>7241 САЛЯМИ Папа может п/к в/у 0,28кг ОСТАНКИНО</v>
          </cell>
          <cell r="B92" t="str">
            <v>шт</v>
          </cell>
          <cell r="C92">
            <v>7241</v>
          </cell>
          <cell r="D92">
            <v>300</v>
          </cell>
          <cell r="E92">
            <v>4</v>
          </cell>
          <cell r="F92">
            <v>223</v>
          </cell>
          <cell r="G92">
            <v>71</v>
          </cell>
          <cell r="H92">
            <v>0.28000000000000003</v>
          </cell>
          <cell r="I92">
            <v>45</v>
          </cell>
          <cell r="J92" t="str">
            <v>в матрице</v>
          </cell>
          <cell r="L92">
            <v>234</v>
          </cell>
          <cell r="M92">
            <v>-11</v>
          </cell>
          <cell r="O92">
            <v>210</v>
          </cell>
          <cell r="P92">
            <v>104</v>
          </cell>
          <cell r="Q92">
            <v>104</v>
          </cell>
          <cell r="R92">
            <v>110</v>
          </cell>
          <cell r="S92">
            <v>110</v>
          </cell>
          <cell r="T92">
            <v>44.6</v>
          </cell>
          <cell r="U92">
            <v>420</v>
          </cell>
          <cell r="V92">
            <v>420</v>
          </cell>
          <cell r="W92">
            <v>220</v>
          </cell>
          <cell r="X92">
            <v>200</v>
          </cell>
          <cell r="Y92">
            <v>15.9417040358744</v>
          </cell>
          <cell r="Z92">
            <v>1.5919282511210799</v>
          </cell>
          <cell r="AA92">
            <v>38.6</v>
          </cell>
          <cell r="AB92">
            <v>45</v>
          </cell>
          <cell r="AC92">
            <v>31.2</v>
          </cell>
          <cell r="AD92">
            <v>35.799999999999997</v>
          </cell>
        </row>
        <row r="93">
          <cell r="A93" t="str">
            <v>7255 МЯСНЫЕ С ГОВЯД.ПМ сос п/о мгс 0.4кг 6шт.  ОСТАНКИНО</v>
          </cell>
          <cell r="B93" t="str">
            <v>шт</v>
          </cell>
          <cell r="C93">
            <v>7255</v>
          </cell>
          <cell r="D93">
            <v>404</v>
          </cell>
          <cell r="E93">
            <v>496</v>
          </cell>
          <cell r="F93">
            <v>464</v>
          </cell>
          <cell r="G93">
            <v>424</v>
          </cell>
          <cell r="H93">
            <v>0.4</v>
          </cell>
          <cell r="I93">
            <v>50</v>
          </cell>
          <cell r="J93" t="str">
            <v>в матрице</v>
          </cell>
          <cell r="L93">
            <v>473</v>
          </cell>
          <cell r="M93">
            <v>-9</v>
          </cell>
          <cell r="O93">
            <v>300</v>
          </cell>
          <cell r="P93">
            <v>174</v>
          </cell>
          <cell r="Q93">
            <v>174</v>
          </cell>
          <cell r="R93">
            <v>175</v>
          </cell>
          <cell r="S93">
            <v>175</v>
          </cell>
          <cell r="T93">
            <v>92.8</v>
          </cell>
          <cell r="U93">
            <v>600</v>
          </cell>
          <cell r="V93">
            <v>600</v>
          </cell>
          <cell r="W93">
            <v>400</v>
          </cell>
          <cell r="X93">
            <v>200</v>
          </cell>
          <cell r="Y93">
            <v>14.8060344827586</v>
          </cell>
          <cell r="Z93">
            <v>4.5689655172413799</v>
          </cell>
          <cell r="AA93">
            <v>121.4</v>
          </cell>
          <cell r="AB93">
            <v>95</v>
          </cell>
          <cell r="AC93">
            <v>89.4</v>
          </cell>
          <cell r="AD93">
            <v>89</v>
          </cell>
        </row>
        <row r="94">
          <cell r="A94" t="str">
            <v>7288 БАЛЫК с/к с/н в/у 1/100 10шт ОСТАНКИНО</v>
          </cell>
          <cell r="B94" t="str">
            <v>шт</v>
          </cell>
          <cell r="C94">
            <v>7288</v>
          </cell>
          <cell r="D94">
            <v>19</v>
          </cell>
          <cell r="E94">
            <v>62</v>
          </cell>
          <cell r="F94">
            <v>32</v>
          </cell>
          <cell r="G94">
            <v>48</v>
          </cell>
          <cell r="H94">
            <v>0.1</v>
          </cell>
          <cell r="I94">
            <v>60</v>
          </cell>
          <cell r="J94" t="str">
            <v>в матрице</v>
          </cell>
          <cell r="L94">
            <v>31</v>
          </cell>
          <cell r="M94">
            <v>1</v>
          </cell>
          <cell r="O94">
            <v>25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6.4</v>
          </cell>
          <cell r="U94">
            <v>50</v>
          </cell>
          <cell r="V94">
            <v>50</v>
          </cell>
          <cell r="W94">
            <v>25</v>
          </cell>
          <cell r="X94">
            <v>25</v>
          </cell>
          <cell r="Y94">
            <v>15.3125</v>
          </cell>
          <cell r="Z94">
            <v>7.5</v>
          </cell>
          <cell r="AA94">
            <v>2.2000000000000002</v>
          </cell>
          <cell r="AB94">
            <v>6.4</v>
          </cell>
          <cell r="AC94">
            <v>7.8</v>
          </cell>
          <cell r="AD94">
            <v>5.8</v>
          </cell>
          <cell r="AE94" t="str">
            <v>новинка</v>
          </cell>
        </row>
        <row r="95">
          <cell r="A95" t="str">
            <v>7332 БОЯРСКАЯ ПМ п/к в/у 0,28кг ОСТАНКИНО</v>
          </cell>
          <cell r="B95" t="str">
            <v>шт</v>
          </cell>
          <cell r="C95">
            <v>7332</v>
          </cell>
          <cell r="D95">
            <v>76</v>
          </cell>
          <cell r="F95">
            <v>28</v>
          </cell>
          <cell r="G95">
            <v>44</v>
          </cell>
          <cell r="H95">
            <v>0.28000000000000003</v>
          </cell>
          <cell r="I95">
            <v>50</v>
          </cell>
          <cell r="J95" t="str">
            <v>в матрице</v>
          </cell>
          <cell r="L95">
            <v>29</v>
          </cell>
          <cell r="M95">
            <v>-1</v>
          </cell>
          <cell r="O95">
            <v>12</v>
          </cell>
          <cell r="P95">
            <v>8</v>
          </cell>
          <cell r="Q95">
            <v>8</v>
          </cell>
          <cell r="R95">
            <v>5</v>
          </cell>
          <cell r="S95">
            <v>5</v>
          </cell>
          <cell r="T95">
            <v>5.6</v>
          </cell>
          <cell r="U95">
            <v>24</v>
          </cell>
          <cell r="W95">
            <v>24</v>
          </cell>
          <cell r="X95">
            <v>0</v>
          </cell>
          <cell r="Y95">
            <v>13.9285714285714</v>
          </cell>
          <cell r="Z95">
            <v>7.8571428571428603</v>
          </cell>
          <cell r="AA95">
            <v>8.1999999999999993</v>
          </cell>
          <cell r="AB95">
            <v>11</v>
          </cell>
          <cell r="AC95">
            <v>5.8</v>
          </cell>
          <cell r="AD95">
            <v>6.2</v>
          </cell>
        </row>
        <row r="96">
          <cell r="A96" t="str">
            <v>7333 СЕРВЕЛАТ ОХОТНИЧИЙ ПМ в/к в/у 0,28кг ОСТАНКИНО</v>
          </cell>
          <cell r="B96" t="str">
            <v>шт</v>
          </cell>
          <cell r="C96">
            <v>7333</v>
          </cell>
          <cell r="D96">
            <v>14</v>
          </cell>
          <cell r="F96">
            <v>3</v>
          </cell>
          <cell r="G96">
            <v>11</v>
          </cell>
          <cell r="H96">
            <v>0.28000000000000003</v>
          </cell>
          <cell r="I96">
            <v>50</v>
          </cell>
          <cell r="J96" t="str">
            <v>в матрице</v>
          </cell>
          <cell r="L96">
            <v>3</v>
          </cell>
          <cell r="M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  <cell r="T96">
            <v>0.6</v>
          </cell>
          <cell r="W96">
            <v>0</v>
          </cell>
          <cell r="X96">
            <v>0</v>
          </cell>
          <cell r="Y96">
            <v>18.3333333333333</v>
          </cell>
          <cell r="Z96">
            <v>18.3333333333333</v>
          </cell>
          <cell r="AA96">
            <v>1</v>
          </cell>
          <cell r="AB96">
            <v>1.2</v>
          </cell>
          <cell r="AC96">
            <v>0</v>
          </cell>
          <cell r="AD96">
            <v>0.4</v>
          </cell>
        </row>
        <row r="97">
          <cell r="A97" t="str">
            <v>7371 БРЕСТСКИЕ сос п/о в/у 0,3кг 8шт. ОСТАНКИНО</v>
          </cell>
          <cell r="B97" t="str">
            <v>шт</v>
          </cell>
          <cell r="C97">
            <v>7371</v>
          </cell>
          <cell r="D97">
            <v>14</v>
          </cell>
          <cell r="E97">
            <v>403</v>
          </cell>
          <cell r="F97">
            <v>111</v>
          </cell>
          <cell r="G97">
            <v>307</v>
          </cell>
          <cell r="H97">
            <v>0.3</v>
          </cell>
          <cell r="L97">
            <v>131</v>
          </cell>
          <cell r="M97">
            <v>-20</v>
          </cell>
          <cell r="O97">
            <v>0</v>
          </cell>
          <cell r="P97">
            <v>72</v>
          </cell>
          <cell r="Q97">
            <v>72</v>
          </cell>
          <cell r="R97">
            <v>75</v>
          </cell>
          <cell r="S97">
            <v>75</v>
          </cell>
          <cell r="T97">
            <v>22.2</v>
          </cell>
          <cell r="W97">
            <v>0</v>
          </cell>
          <cell r="X97">
            <v>0</v>
          </cell>
          <cell r="Y97">
            <v>20.585585585585601</v>
          </cell>
          <cell r="Z97">
            <v>13.828828828828801</v>
          </cell>
          <cell r="AA97">
            <v>0</v>
          </cell>
          <cell r="AB97">
            <v>24.6</v>
          </cell>
          <cell r="AC97">
            <v>35.799999999999997</v>
          </cell>
          <cell r="AD97">
            <v>37</v>
          </cell>
        </row>
        <row r="98">
          <cell r="A98" t="str">
            <v>7382  САЛЯМИ МЕЛКОЗЕРНЕНАЯ с/к в/у1/120 8шт.  ОСТАНКИНО</v>
          </cell>
          <cell r="B98" t="str">
            <v>шт</v>
          </cell>
          <cell r="C98">
            <v>7382</v>
          </cell>
          <cell r="D98">
            <v>253</v>
          </cell>
          <cell r="E98">
            <v>108</v>
          </cell>
          <cell r="F98">
            <v>94</v>
          </cell>
          <cell r="G98">
            <v>255</v>
          </cell>
          <cell r="H98">
            <v>0.12</v>
          </cell>
          <cell r="I98">
            <v>60</v>
          </cell>
          <cell r="J98" t="str">
            <v>в матрице</v>
          </cell>
          <cell r="L98">
            <v>104</v>
          </cell>
          <cell r="M98">
            <v>-10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18.8</v>
          </cell>
          <cell r="W98">
            <v>0</v>
          </cell>
          <cell r="X98">
            <v>0</v>
          </cell>
          <cell r="Y98">
            <v>13.563829787234001</v>
          </cell>
          <cell r="Z98">
            <v>13.563829787234001</v>
          </cell>
          <cell r="AA98">
            <v>22.6</v>
          </cell>
          <cell r="AB98">
            <v>26.6</v>
          </cell>
          <cell r="AC98">
            <v>32</v>
          </cell>
          <cell r="AD98">
            <v>24.8</v>
          </cell>
        </row>
        <row r="99">
          <cell r="A99" t="str">
            <v>7461 ДЛЯ ДЕТЕЙ Папа Может сос п/о мгс 0,33кг ОСТАНКИНО</v>
          </cell>
          <cell r="B99" t="str">
            <v>шт</v>
          </cell>
          <cell r="C99">
            <v>7461</v>
          </cell>
          <cell r="D99">
            <v>258</v>
          </cell>
          <cell r="E99">
            <v>196</v>
          </cell>
          <cell r="F99">
            <v>248</v>
          </cell>
          <cell r="G99">
            <v>201</v>
          </cell>
          <cell r="H99">
            <v>0.33</v>
          </cell>
          <cell r="L99">
            <v>258</v>
          </cell>
          <cell r="M99">
            <v>-10</v>
          </cell>
          <cell r="O99">
            <v>250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49.6</v>
          </cell>
          <cell r="U99">
            <v>500</v>
          </cell>
          <cell r="V99">
            <v>500</v>
          </cell>
          <cell r="W99">
            <v>300</v>
          </cell>
          <cell r="X99">
            <v>200</v>
          </cell>
          <cell r="Y99">
            <v>14.133064516129</v>
          </cell>
          <cell r="Z99">
            <v>4.05241935483871</v>
          </cell>
          <cell r="AA99">
            <v>0</v>
          </cell>
          <cell r="AB99">
            <v>30.6</v>
          </cell>
          <cell r="AC99">
            <v>29.2</v>
          </cell>
          <cell r="AD99">
            <v>18</v>
          </cell>
        </row>
        <row r="100">
          <cell r="A100" t="str">
            <v>7523 ГОВЯЖЬЯ Папа Может вар п/о 0,4кг 6шт. ОСТАНКИНО</v>
          </cell>
          <cell r="B100" t="str">
            <v>шт</v>
          </cell>
          <cell r="C100">
            <v>7523</v>
          </cell>
          <cell r="D100">
            <v>146</v>
          </cell>
          <cell r="E100">
            <v>97</v>
          </cell>
          <cell r="F100">
            <v>79</v>
          </cell>
          <cell r="G100">
            <v>163</v>
          </cell>
          <cell r="H100">
            <v>0.4</v>
          </cell>
          <cell r="L100">
            <v>80</v>
          </cell>
          <cell r="M100">
            <v>-1</v>
          </cell>
          <cell r="O100">
            <v>30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15.8</v>
          </cell>
          <cell r="U100">
            <v>60</v>
          </cell>
          <cell r="W100">
            <v>60</v>
          </cell>
          <cell r="X100">
            <v>0</v>
          </cell>
          <cell r="Y100">
            <v>14.1139240506329</v>
          </cell>
          <cell r="Z100">
            <v>10.3164556962025</v>
          </cell>
          <cell r="AA100">
            <v>2.4</v>
          </cell>
          <cell r="AB100">
            <v>14</v>
          </cell>
          <cell r="AC100">
            <v>20</v>
          </cell>
          <cell r="AD100">
            <v>16</v>
          </cell>
        </row>
        <row r="101">
          <cell r="A101" t="str">
            <v>7539 ДОКТОРСКАЯ ГОСТ вар п/о 0,35кг ОСТАНКИНО</v>
          </cell>
          <cell r="B101" t="str">
            <v>шт</v>
          </cell>
          <cell r="C101">
            <v>7539</v>
          </cell>
          <cell r="D101">
            <v>44</v>
          </cell>
          <cell r="F101">
            <v>4</v>
          </cell>
          <cell r="G101">
            <v>40</v>
          </cell>
          <cell r="H101">
            <v>0.35</v>
          </cell>
          <cell r="L101">
            <v>4</v>
          </cell>
          <cell r="M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0.8</v>
          </cell>
          <cell r="W101">
            <v>0</v>
          </cell>
          <cell r="X101">
            <v>0</v>
          </cell>
          <cell r="Y101">
            <v>50</v>
          </cell>
          <cell r="Z101">
            <v>50</v>
          </cell>
          <cell r="AA101">
            <v>0</v>
          </cell>
          <cell r="AB101">
            <v>0</v>
          </cell>
          <cell r="AC101">
            <v>0</v>
          </cell>
          <cell r="AD101">
            <v>0.4</v>
          </cell>
        </row>
        <row r="102">
          <cell r="A102" t="str">
            <v>7564 Балыковая в/к в/у Останкино Вес  ОСТАНКИНО</v>
          </cell>
          <cell r="B102" t="str">
            <v>кг</v>
          </cell>
          <cell r="C102">
            <v>7564</v>
          </cell>
          <cell r="D102">
            <v>30.192</v>
          </cell>
          <cell r="E102">
            <v>20.096</v>
          </cell>
          <cell r="F102">
            <v>46.941000000000003</v>
          </cell>
          <cell r="G102">
            <v>3.347</v>
          </cell>
          <cell r="H102">
            <v>1</v>
          </cell>
          <cell r="L102">
            <v>41.88</v>
          </cell>
          <cell r="M102">
            <v>5.0609999999999999</v>
          </cell>
          <cell r="O102">
            <v>64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9.3881999999999994</v>
          </cell>
          <cell r="U102">
            <v>128</v>
          </cell>
          <cell r="V102">
            <v>128</v>
          </cell>
          <cell r="W102">
            <v>88</v>
          </cell>
          <cell r="X102">
            <v>40</v>
          </cell>
          <cell r="Y102">
            <v>13.9906478345157</v>
          </cell>
          <cell r="Z102">
            <v>0.35651136533094702</v>
          </cell>
          <cell r="AA102">
            <v>0</v>
          </cell>
          <cell r="AB102">
            <v>0</v>
          </cell>
          <cell r="AC102">
            <v>0</v>
          </cell>
          <cell r="AD102">
            <v>0</v>
          </cell>
        </row>
        <row r="103">
          <cell r="A103" t="str">
            <v>7603 БАЛЫКОВАЯ в/к в/у 0.33кг 8шт. ОСТАНКИНО</v>
          </cell>
          <cell r="B103" t="str">
            <v>шт</v>
          </cell>
          <cell r="C103">
            <v>7603</v>
          </cell>
          <cell r="F103">
            <v>2</v>
          </cell>
          <cell r="G103">
            <v>-2</v>
          </cell>
          <cell r="H103">
            <v>0.33</v>
          </cell>
          <cell r="L103">
            <v>2</v>
          </cell>
          <cell r="M103">
            <v>0</v>
          </cell>
          <cell r="O103">
            <v>4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0.4</v>
          </cell>
          <cell r="U103">
            <v>8</v>
          </cell>
          <cell r="W103">
            <v>8</v>
          </cell>
          <cell r="X103">
            <v>0</v>
          </cell>
          <cell r="Y103">
            <v>15</v>
          </cell>
          <cell r="Z103">
            <v>-5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</row>
        <row r="104">
          <cell r="A104" t="str">
            <v>БОНУС_6087 СОЧНЫЕ ПМ сос п/о мгс 0,41кг 10шт.  ОСТАНКИНО</v>
          </cell>
          <cell r="B104" t="str">
            <v>шт</v>
          </cell>
          <cell r="F104">
            <v>6</v>
          </cell>
          <cell r="G104">
            <v>-6</v>
          </cell>
          <cell r="H104">
            <v>0.41</v>
          </cell>
          <cell r="L104">
            <v>6</v>
          </cell>
          <cell r="M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1.2</v>
          </cell>
          <cell r="W104">
            <v>0</v>
          </cell>
          <cell r="X104">
            <v>0</v>
          </cell>
          <cell r="Y104">
            <v>-5</v>
          </cell>
          <cell r="Z104">
            <v>-5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</row>
        <row r="105">
          <cell r="A105" t="str">
            <v>5706 АРОМАТНАЯ Папа может с/к в/у 1/250 8шт.  ОСТАНКИНО</v>
          </cell>
          <cell r="B105" t="str">
            <v>шт</v>
          </cell>
          <cell r="C105">
            <v>5706</v>
          </cell>
          <cell r="F105">
            <v>0</v>
          </cell>
          <cell r="H105">
            <v>0.25</v>
          </cell>
          <cell r="I105">
            <v>0.25</v>
          </cell>
          <cell r="J105" t="str">
            <v>дубль</v>
          </cell>
          <cell r="L105">
            <v>0</v>
          </cell>
          <cell r="M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  <cell r="W105">
            <v>0</v>
          </cell>
          <cell r="X105">
            <v>0</v>
          </cell>
          <cell r="Y105" t="e">
            <v>#DIV/0!</v>
          </cell>
          <cell r="Z105" t="e">
            <v>#DIV/0!</v>
          </cell>
          <cell r="AA105">
            <v>0</v>
          </cell>
          <cell r="AB105">
            <v>-0.2</v>
          </cell>
          <cell r="AC105">
            <v>-0.2</v>
          </cell>
          <cell r="AD105">
            <v>-0.4</v>
          </cell>
        </row>
        <row r="106">
          <cell r="A106" t="str">
            <v>7477 ДОКТОРСКАЯ ГОСТ ПМ вар п/о 0,35кг 8шт ОСТАНКИНО</v>
          </cell>
          <cell r="B106" t="str">
            <v>шт</v>
          </cell>
          <cell r="C106">
            <v>7477</v>
          </cell>
          <cell r="F106">
            <v>0</v>
          </cell>
          <cell r="H106">
            <v>0.35</v>
          </cell>
          <cell r="L106">
            <v>0</v>
          </cell>
          <cell r="M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25</v>
          </cell>
          <cell r="S106">
            <v>25</v>
          </cell>
          <cell r="T106">
            <v>0</v>
          </cell>
          <cell r="W106">
            <v>0</v>
          </cell>
          <cell r="X106">
            <v>0</v>
          </cell>
          <cell r="Y106" t="e">
            <v>#DIV/0!</v>
          </cell>
          <cell r="Z106" t="e">
            <v>#DIV/0!</v>
          </cell>
          <cell r="AA106">
            <v>0.4</v>
          </cell>
          <cell r="AB106">
            <v>0</v>
          </cell>
          <cell r="AC106">
            <v>0</v>
          </cell>
          <cell r="AD106">
            <v>-0.2</v>
          </cell>
        </row>
        <row r="107">
          <cell r="A107" t="str">
            <v>6794 БАЛЫКОВАЯ в/к в/у  Останкино</v>
          </cell>
          <cell r="B107" t="str">
            <v>кг</v>
          </cell>
          <cell r="C107">
            <v>6794</v>
          </cell>
          <cell r="F107">
            <v>0</v>
          </cell>
          <cell r="H107">
            <v>1</v>
          </cell>
          <cell r="L107">
            <v>0</v>
          </cell>
          <cell r="M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25</v>
          </cell>
          <cell r="S107">
            <v>25</v>
          </cell>
          <cell r="T107">
            <v>0</v>
          </cell>
          <cell r="W107">
            <v>0</v>
          </cell>
          <cell r="X107">
            <v>0</v>
          </cell>
          <cell r="Y107" t="e">
            <v>#DIV/0!</v>
          </cell>
          <cell r="Z107" t="e">
            <v>#DIV/0!</v>
          </cell>
          <cell r="AA107">
            <v>0</v>
          </cell>
          <cell r="AB107">
            <v>0</v>
          </cell>
          <cell r="AC107">
            <v>6.0556000000000001</v>
          </cell>
          <cell r="AD107">
            <v>5.5461999999999998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Параметры:</v>
          </cell>
          <cell r="B2" t="str">
            <v>Период отчета: 16.06.2026 - 22.06.2026</v>
          </cell>
        </row>
        <row r="3">
          <cell r="A3" t="str">
            <v>Отбор:</v>
          </cell>
          <cell r="B3" t="str">
            <v>Организация В группе из списка "НОВОЕ ВРЕМЯ; Общий прайс" И
Номенклатура В группе из списка "Останкино ООО" И
Номенклатура.Товарная категория.Группа категорий В группе ""</v>
          </cell>
        </row>
        <row r="5">
          <cell r="A5" t="str">
            <v>Документ.Склад</v>
          </cell>
          <cell r="B5" t="str">
            <v>по заказам</v>
          </cell>
        </row>
        <row r="6">
          <cell r="A6" t="str">
            <v>Номенклатура</v>
          </cell>
          <cell r="B6" t="str">
            <v>Заказано</v>
          </cell>
        </row>
        <row r="7">
          <cell r="A7" t="str">
            <v>АСП Бердянск Останкино</v>
          </cell>
          <cell r="B7">
            <v>13277.828</v>
          </cell>
        </row>
        <row r="8">
          <cell r="A8" t="str">
            <v>Останкино ООО</v>
          </cell>
          <cell r="B8">
            <v>13277.828</v>
          </cell>
        </row>
        <row r="9">
          <cell r="A9" t="str">
            <v>ООО Останкино-Краснодар</v>
          </cell>
          <cell r="B9">
            <v>2391.828</v>
          </cell>
        </row>
        <row r="10">
          <cell r="A10" t="str">
            <v>3287 САЛЯМИ ИТАЛЬЯНСКАЯ с/к в/у ОСТАНКИНО</v>
          </cell>
          <cell r="B10">
            <v>21</v>
          </cell>
        </row>
        <row r="11">
          <cell r="A11" t="str">
            <v>4063 МЯСНАЯ Папа может вар п/о_Л   ОСТАНКИНО</v>
          </cell>
          <cell r="B11">
            <v>198</v>
          </cell>
        </row>
        <row r="12">
          <cell r="A12" t="str">
            <v>4117 ЭКСТРА Папа может с/к в/у_Л   ОСТАНКИНО</v>
          </cell>
          <cell r="B12">
            <v>20.5</v>
          </cell>
        </row>
        <row r="13">
          <cell r="A13" t="str">
            <v>4574 Мясная со шпиком Папа может вар п/о ОСТАНКИНО</v>
          </cell>
          <cell r="B13">
            <v>35.799999999999997</v>
          </cell>
        </row>
        <row r="14">
          <cell r="A14" t="str">
            <v>4813 ФИЛЕЙНАЯ Папа может вар п/о_Л   ОСТАНКИНО</v>
          </cell>
          <cell r="B14">
            <v>231.8</v>
          </cell>
        </row>
        <row r="15">
          <cell r="A15" t="str">
            <v>5341 СЕРВЕЛАТ ОХОТНИЧИЙ в/к в/у  ОСТАНКИНО</v>
          </cell>
          <cell r="B15">
            <v>1.6</v>
          </cell>
        </row>
        <row r="16">
          <cell r="A16" t="str">
            <v>5452 ВЕТЧ.МЯСНАЯ Папа может п/о    ОСТАНКИНО</v>
          </cell>
          <cell r="B16">
            <v>92.5</v>
          </cell>
        </row>
        <row r="17">
          <cell r="A17" t="str">
            <v>5544 Сервелат Финский в/к в/у_45с НОВАЯ ОСТАНКИНО</v>
          </cell>
          <cell r="B17">
            <v>232.3</v>
          </cell>
        </row>
        <row r="18">
          <cell r="A18" t="str">
            <v>5708 ПОСОЛЬСКАЯ Папа может с/к в/у ОСТАНКИНО</v>
          </cell>
          <cell r="B18">
            <v>6.5</v>
          </cell>
        </row>
        <row r="19">
          <cell r="A19" t="str">
            <v>5851 ЭКСТРА Папа может вар п/о   ОСТАНКИНО</v>
          </cell>
          <cell r="B19">
            <v>133.9</v>
          </cell>
        </row>
        <row r="20">
          <cell r="A20" t="str">
            <v>6008 САЛО СОЛЕНОЕ С ЧЕРНЫМ ПЕРЦЕМ мл/к в/у ОСТАНКИНО</v>
          </cell>
          <cell r="B20">
            <v>11.332000000000001</v>
          </cell>
        </row>
        <row r="21">
          <cell r="A21" t="str">
            <v>6220 ГОВЯЖЬЯ папа может вар п/о  Останкино</v>
          </cell>
          <cell r="B21">
            <v>53</v>
          </cell>
        </row>
        <row r="22">
          <cell r="A22" t="str">
            <v>6303 Мясные Папа может сос п/о мгс 1,5*3  Останкино</v>
          </cell>
          <cell r="B22">
            <v>276.79599999999999</v>
          </cell>
        </row>
        <row r="23">
          <cell r="A23" t="str">
            <v>6470 ВЕТЧ.МРАМОРНАЯ в/у_45с  Останкино</v>
          </cell>
          <cell r="B23">
            <v>32.4</v>
          </cell>
        </row>
        <row r="24">
          <cell r="A24" t="str">
            <v>6498 МОЛОЧНАЯ Папа может вар п/о  ОСТАНКИНО</v>
          </cell>
          <cell r="B24">
            <v>103.5</v>
          </cell>
        </row>
        <row r="25">
          <cell r="A25" t="str">
            <v>6527 ШПИКАЧКИ СОЧНЫЕ ПМ сар б/о мгс 1*3 45с ОСТАНКИНО</v>
          </cell>
          <cell r="B25">
            <v>60</v>
          </cell>
        </row>
        <row r="26">
          <cell r="A26" t="str">
            <v>6550 МЯСНЫЕ Папа может сар б/о мгс 1*3 О 45с  Останкино</v>
          </cell>
          <cell r="B26">
            <v>73.099999999999994</v>
          </cell>
        </row>
        <row r="27">
          <cell r="A27" t="str">
            <v>6608 С ГОВЯДИНОЙ ОРИГИН. сар б/о мгс 1*3_45с  ОСТАНКИНО</v>
          </cell>
          <cell r="B27">
            <v>65</v>
          </cell>
        </row>
        <row r="28">
          <cell r="A28" t="str">
            <v>6661 СОЧНЫЙ ГРИЛЬ ПМ сос п/о мгс 1,5*4_Маяк Останкино</v>
          </cell>
          <cell r="B28">
            <v>9.1</v>
          </cell>
        </row>
        <row r="29">
          <cell r="A29" t="str">
            <v>6767 РУБЛЕНЫЕ сос ц/о мгс 1*4  Останкино</v>
          </cell>
          <cell r="B29">
            <v>1</v>
          </cell>
        </row>
        <row r="30">
          <cell r="A30" t="str">
            <v>6829  МОЛОЧНЫЕ КЛАССИЧЕСКИЕ сос п/о мгс 2*4 С  Останккино</v>
          </cell>
          <cell r="B30">
            <v>185.6</v>
          </cell>
        </row>
        <row r="31">
          <cell r="A31" t="str">
            <v>6955 СОЧНЫЕ Папа может сос п/о мгс 1,5*4 А  Останкино</v>
          </cell>
          <cell r="B31">
            <v>1.5</v>
          </cell>
        </row>
        <row r="32">
          <cell r="A32" t="str">
            <v>7001 КЛАССИЧЕСКИЕ Папа может сар б/о мгс 1*3  Останкино</v>
          </cell>
          <cell r="B32">
            <v>7</v>
          </cell>
        </row>
        <row r="33">
          <cell r="A33" t="str">
            <v>7070 СОЧНЫЕ ПМ сос п/о 1,5*4_А_50с  Останкино</v>
          </cell>
          <cell r="B33">
            <v>126.5</v>
          </cell>
        </row>
        <row r="34">
          <cell r="A34" t="str">
            <v>7075 МОЛОЧ.ПРЕМИУМ ПМ сос п/о мгс 1,5*4_О_50с  Останкино</v>
          </cell>
          <cell r="B34">
            <v>1.5</v>
          </cell>
        </row>
        <row r="35">
          <cell r="A35" t="str">
            <v>7083 СЛИВОЧНЫЕ ПМ сос п/о мгс 1.5*4_А_50с  ОСТАНКИНО</v>
          </cell>
          <cell r="B35">
            <v>61.8</v>
          </cell>
        </row>
        <row r="36">
          <cell r="A36" t="str">
            <v>7131 БАЛЫКОВАЯ в/к в/у 0,84кг  Останкино</v>
          </cell>
          <cell r="B36">
            <v>10.5</v>
          </cell>
        </row>
        <row r="37">
          <cell r="A37" t="str">
            <v>7157 СЕРВЕЛАТ ЗЕРНИСТЫЙ ПМ в/к в/у_50с  Останкино</v>
          </cell>
          <cell r="B37">
            <v>151.5</v>
          </cell>
        </row>
        <row r="38">
          <cell r="A38" t="str">
            <v>7166 СЕРВЕЛАТ ОХОТНИЧИЙ ПМ в/к в/у_50с  Останкино</v>
          </cell>
          <cell r="B38">
            <v>164.4</v>
          </cell>
        </row>
        <row r="39">
          <cell r="A39" t="str">
            <v>7564 Балыковая в/к в/у Останкино Вес  ОСТАНКИНО</v>
          </cell>
          <cell r="B39">
            <v>18.7</v>
          </cell>
        </row>
        <row r="40">
          <cell r="A40" t="str">
            <v>А_5452 ВЕТЧ.МЯСНАЯ Папа может п/о    ОСТАНКИНО</v>
          </cell>
          <cell r="B40">
            <v>1.3</v>
          </cell>
        </row>
        <row r="41">
          <cell r="A41" t="str">
            <v>А_5544 Сервелат Финский в/к в/у_45с НОВАЯ ОСТАНКИНО</v>
          </cell>
          <cell r="B41">
            <v>2.4</v>
          </cell>
        </row>
        <row r="42">
          <cell r="A42" t="str">
            <v>3215 ВЕТЧ.МЯСНАЯ Папа может п/о 0.4кг 8шт.    ОСТАНКИНО</v>
          </cell>
          <cell r="B42">
            <v>201</v>
          </cell>
        </row>
        <row r="43">
          <cell r="A43" t="str">
            <v>3986 Ароматная с/к в/у 1/250 ОСТАНКИНО</v>
          </cell>
          <cell r="B43">
            <v>170</v>
          </cell>
        </row>
        <row r="44">
          <cell r="A44" t="str">
            <v>4993 САЛЯМИ ИТАЛЬЯНСКАЯ с/к в/у 1/250*8_120c ОСТАНКИНО</v>
          </cell>
          <cell r="B44">
            <v>131</v>
          </cell>
        </row>
        <row r="45">
          <cell r="A45" t="str">
            <v>5483 ЭКСТРА Папа может с/к в/у 1/250 8шт.   ОСТАНКИНО</v>
          </cell>
          <cell r="B45">
            <v>125</v>
          </cell>
        </row>
        <row r="46">
          <cell r="A46" t="str">
            <v>5495 ВЕТЧ.С ИНДЕЙКОЙ Папа может п/о 400*6  Останкино</v>
          </cell>
          <cell r="B46">
            <v>115</v>
          </cell>
        </row>
        <row r="47">
          <cell r="A47" t="str">
            <v>5706 АРОМАТНАЯ Папа может с/к в/у 1/250 8шт.  ОСТАНКИНО</v>
          </cell>
          <cell r="B47">
            <v>1</v>
          </cell>
        </row>
        <row r="48">
          <cell r="A48" t="str">
            <v>5819 Сосиски Папа может 400г Мясные  ОСТАНКИНО</v>
          </cell>
          <cell r="B48">
            <v>85</v>
          </cell>
        </row>
        <row r="49">
          <cell r="A49" t="str">
            <v>5931 ОХОТНИЧЬЯ Папа может с/к в/у 1/220 8шт.   ОСТАНКИНО</v>
          </cell>
          <cell r="B49">
            <v>188</v>
          </cell>
        </row>
        <row r="50">
          <cell r="A50" t="str">
            <v>6208 ДЫМОВИЦА ИЗ ЛОПАТКИ ПМ к/в с/н в/у 1/150  Останкино</v>
          </cell>
          <cell r="B50">
            <v>5</v>
          </cell>
        </row>
        <row r="51">
          <cell r="A51" t="str">
            <v>6221 НЕОПОЛИТАНСКИЙ ДУЭТ с/к с/н мгс 1/90  Останкино</v>
          </cell>
          <cell r="B51">
            <v>180</v>
          </cell>
        </row>
        <row r="52">
          <cell r="A52" t="str">
            <v>6228 МЯСНОЕ АССОРТИ к/з с/н мгс 1/90 10шт  Останкино</v>
          </cell>
          <cell r="B52">
            <v>104</v>
          </cell>
        </row>
        <row r="53">
          <cell r="A53" t="str">
            <v>6279 КОРЕЙКА ПО-ОСТ.к/в в/с с/н в/у 1/150_45с  Останкино</v>
          </cell>
          <cell r="B53">
            <v>106</v>
          </cell>
        </row>
        <row r="54">
          <cell r="A54" t="str">
            <v>6324 ДОКТОРСКАЯ ГОСТ вар п/о 0,4кг 8шт  Останкино</v>
          </cell>
          <cell r="B54">
            <v>82</v>
          </cell>
        </row>
        <row r="55">
          <cell r="A55" t="str">
            <v>6325 ДОКТОРСКАЯ ПРЕМИУМ вар п/о 0.4кг 8шт.  ОСТАНКИНО</v>
          </cell>
          <cell r="B55">
            <v>90</v>
          </cell>
        </row>
        <row r="56">
          <cell r="A56" t="str">
            <v>6333 МЯСНАЯ Папа может вар п/о 0.4кг 8шт.  ОСТАНКИНО</v>
          </cell>
          <cell r="B56">
            <v>490</v>
          </cell>
        </row>
        <row r="57">
          <cell r="A57" t="str">
            <v>6353 ЭКСТРА Папа может вар п/о 0.4кг 8шт.  ОСТАНКИНО</v>
          </cell>
          <cell r="B57">
            <v>221</v>
          </cell>
        </row>
        <row r="58">
          <cell r="A58" t="str">
            <v>6392 ФИЛЕЙНАЯ Папа может вар п/о 0,4кг  ОСТАНКИНО</v>
          </cell>
          <cell r="B58">
            <v>291</v>
          </cell>
        </row>
        <row r="59">
          <cell r="A59" t="str">
            <v>6453 ЭКСТРА Папа может с/к с/н в/у 1/100 14шт.   ОСТАНКИНО</v>
          </cell>
          <cell r="B59">
            <v>175</v>
          </cell>
        </row>
        <row r="60">
          <cell r="A60" t="str">
            <v>6454 АРОМАТНАЯ с/к с/н в/у 1/100 10шт.  ОСТАНКИНО</v>
          </cell>
          <cell r="B60">
            <v>191</v>
          </cell>
        </row>
        <row r="61">
          <cell r="A61" t="str">
            <v>6459 СЕРВЕЛАТ ШВЕЙЦАРСК. в/к с/н в/у 1/100*10  Останкино</v>
          </cell>
          <cell r="B61">
            <v>3</v>
          </cell>
        </row>
        <row r="62">
          <cell r="A62" t="str">
            <v>6475 Сосиски Папа может 400г С сыром  ОСТАНКИНО</v>
          </cell>
          <cell r="B62">
            <v>182</v>
          </cell>
        </row>
        <row r="63">
          <cell r="A63" t="str">
            <v>6495 ВЕТЧ.МРАМОРНАЯ в/у срез 0,3кг 6шт_45с  Останкино</v>
          </cell>
          <cell r="B63">
            <v>195</v>
          </cell>
        </row>
        <row r="64">
          <cell r="A64" t="str">
            <v>6602 БАВАРСКИЕ ПМ сос ц/о мгс 0,35кг 8шт  Останкино</v>
          </cell>
          <cell r="B64">
            <v>5</v>
          </cell>
        </row>
        <row r="65">
          <cell r="A65" t="str">
            <v>6616 МОЛОЧНЫЕ КЛАССИЧЕСКИЕ сос п/о в/у 0,3 кг  Останкино</v>
          </cell>
          <cell r="B65">
            <v>353</v>
          </cell>
        </row>
        <row r="66">
          <cell r="A66" t="str">
            <v>6697 СЕРВЕЛАТ ФИНСКИЙ ПМ в/к в/у 0,35кг 8шт  ОСТАНКИНО</v>
          </cell>
          <cell r="B66">
            <v>583</v>
          </cell>
        </row>
        <row r="67">
          <cell r="A67" t="str">
            <v>6713 СОЧНЫЙ ГРИЛЬ ПМ сос п/о мгс 0,41кг 8 шт.  ОСТАНКИНО</v>
          </cell>
          <cell r="B67">
            <v>388</v>
          </cell>
        </row>
        <row r="68">
          <cell r="A68" t="str">
            <v>6724 МОЛОЧНЫЕ ПМ сос п/о мгс 0,41кг 10шт  Останкино</v>
          </cell>
          <cell r="B68">
            <v>114</v>
          </cell>
        </row>
        <row r="69">
          <cell r="A69" t="str">
            <v>6765 РУБЛЕНЫЕ сос ц/о мгс 0,36кг 6шт  Останкино</v>
          </cell>
          <cell r="B69">
            <v>105</v>
          </cell>
        </row>
        <row r="70">
          <cell r="A70" t="str">
            <v>6787 СЕРВЕЛАТ КРЕМЛЕВСКИЙ в/к в/у 0,33кг 8шт  Останкино</v>
          </cell>
          <cell r="B70">
            <v>91</v>
          </cell>
        </row>
        <row r="71">
          <cell r="A71" t="str">
            <v>6793 БАЛЫКОВАЯ в/к в/у 0,33кг 8шт  Останкино</v>
          </cell>
          <cell r="B71">
            <v>82</v>
          </cell>
        </row>
        <row r="72">
          <cell r="A72" t="str">
            <v>6797 С ИНДЕЙКОЙ Папа может вар п/о 0,4кг 8шт. ОСТАНКИНО</v>
          </cell>
          <cell r="B72">
            <v>139</v>
          </cell>
        </row>
        <row r="73">
          <cell r="A73" t="str">
            <v>6807 СЕРВЕЛАТ ЕВРОПЕЙСКИЙ в/к в/у 0,33кг 8шт  Останкино</v>
          </cell>
          <cell r="B73">
            <v>17</v>
          </cell>
        </row>
        <row r="74">
          <cell r="A74" t="str">
            <v>6834 ПОСОЛЬСКАЯ с/к с/н в/у 1/100 10шт  Останкино</v>
          </cell>
          <cell r="B74">
            <v>26</v>
          </cell>
        </row>
        <row r="75">
          <cell r="A75" t="str">
            <v>6837 ФИЛЕЙНЫЕ Папа Может сос ц/о мгс 0,4кг  Останкино</v>
          </cell>
          <cell r="B75">
            <v>93</v>
          </cell>
        </row>
        <row r="76">
          <cell r="A76" t="str">
            <v>6925 ВЕТЧ.КЛАССИЧЕСКАЯ в/у 0,6кг 8шт. ОСТАНКИНО</v>
          </cell>
          <cell r="B76">
            <v>32</v>
          </cell>
        </row>
        <row r="77">
          <cell r="A77" t="str">
            <v>6967 БУРГУНДИЯ Папа может с/к в/у 1/250 8шт  Останкино</v>
          </cell>
          <cell r="B77">
            <v>34</v>
          </cell>
        </row>
        <row r="78">
          <cell r="A78" t="str">
            <v>7059 ШПИКАЧКИ СОЧНЫЕ С БЕК. п/о мгс 0,3кг 60с ОСТАНКИНО</v>
          </cell>
          <cell r="B78">
            <v>188</v>
          </cell>
        </row>
        <row r="79">
          <cell r="A79" t="str">
            <v>7066 СОЧНЫЕ ПМ сос п/о мгс 0,41кг 10шт 50с  Останкино</v>
          </cell>
          <cell r="B79">
            <v>962</v>
          </cell>
        </row>
        <row r="80">
          <cell r="A80" t="str">
            <v>7073 МОЛОЧ.ПРЕМИУМ ПМ сос п/о в/у 1/350_50с  Останкино</v>
          </cell>
          <cell r="B80">
            <v>161</v>
          </cell>
        </row>
        <row r="81">
          <cell r="A81" t="str">
            <v>7080 СЛИВОЧНЫЕ ПМ сос п/о мгс 0,41кг 10шт 50с  Останкино</v>
          </cell>
          <cell r="B81">
            <v>498</v>
          </cell>
        </row>
        <row r="82">
          <cell r="A82" t="str">
            <v>7090 СВИНИНА ПО-ДОМ.к/в мл/к в/у 0,3кг_50с  Останкино</v>
          </cell>
          <cell r="B82">
            <v>102</v>
          </cell>
        </row>
        <row r="83">
          <cell r="A83" t="str">
            <v>7092 БЕКОН Папа может с/к с/н в/у 1/140_50с  Останкино</v>
          </cell>
          <cell r="B83">
            <v>20</v>
          </cell>
        </row>
        <row r="84">
          <cell r="A84" t="str">
            <v>7103 БЕКОН Останкино с/к с/н в/у 1/180_50с  Останкино</v>
          </cell>
          <cell r="B84">
            <v>124</v>
          </cell>
        </row>
        <row r="85">
          <cell r="A85" t="str">
            <v>7147 САЛЬЧИЧОН Останкино с/к в/у 1/220 8 шт  Останкино</v>
          </cell>
          <cell r="B85">
            <v>1</v>
          </cell>
        </row>
        <row r="86">
          <cell r="A86" t="str">
            <v>7154 СЕРВЕЛАТ ЗЕРНИСТЫЙ ПМ в/к в/у 0,35кг_50с  Останкино</v>
          </cell>
          <cell r="B86">
            <v>496</v>
          </cell>
        </row>
        <row r="87">
          <cell r="A87" t="str">
            <v>7169 СЕРВЕЛАТ ОХОТНИЧИЙ ПМ в/к в/у 0,35кг_50с  Останкино</v>
          </cell>
          <cell r="B87">
            <v>539</v>
          </cell>
        </row>
        <row r="88">
          <cell r="A88" t="str">
            <v>7187 ГРУДИНКА ПРЕМИУМ к/в мл/к в/у 0,3кг_50с  Останкино</v>
          </cell>
          <cell r="B88">
            <v>100</v>
          </cell>
        </row>
        <row r="89">
          <cell r="A89" t="str">
            <v>7231 КЛАССИЧЕСКАЯ ПМ вар п/о 0,3кг 8 шт_209к  Останкино</v>
          </cell>
          <cell r="B89">
            <v>25</v>
          </cell>
        </row>
        <row r="90">
          <cell r="A90" t="str">
            <v>7232 БОЯNСКАЯ ПМ п/к в/у 0,28кг 8шт_209к  Останкино</v>
          </cell>
          <cell r="B90">
            <v>322</v>
          </cell>
        </row>
        <row r="91">
          <cell r="A91" t="str">
            <v>7236 СЕРВЕЛАТ КАРЕЛЬСКИЙ в/к в/у 0,28кг_209к  Останкино</v>
          </cell>
          <cell r="B91">
            <v>335</v>
          </cell>
        </row>
        <row r="92">
          <cell r="A92" t="str">
            <v>7237 СЕРВЕЛАТ ШВАРЦЕР ПМ в/к в/у 0,28кг_209к  Останкино</v>
          </cell>
          <cell r="B92">
            <v>71</v>
          </cell>
        </row>
        <row r="93">
          <cell r="A93" t="str">
            <v>7241 САЛЯМИ Папа может п/к в/у 0,28кг ОСТАНКИНО</v>
          </cell>
          <cell r="B93">
            <v>236</v>
          </cell>
        </row>
        <row r="94">
          <cell r="A94" t="str">
            <v>7255 МЯСНЫЕ С ГОВЯД.ПМ сос п/о мгс 0.4кг 6шт.  ОСТАНКИНО</v>
          </cell>
          <cell r="B94">
            <v>507</v>
          </cell>
        </row>
        <row r="95">
          <cell r="A95" t="str">
            <v>7288 БАЛЫК с/к с/н в/у 1/100 10шт ОСТАНКИНО</v>
          </cell>
          <cell r="B95">
            <v>40</v>
          </cell>
        </row>
        <row r="96">
          <cell r="A96" t="str">
            <v>7332 БОЯРСКАЯ ПМ п/к в/у 0,28кг ОСТАНКИНО</v>
          </cell>
          <cell r="B96">
            <v>35</v>
          </cell>
        </row>
        <row r="97">
          <cell r="A97" t="str">
            <v>7333 СЕРВЕЛАТ ОХОТНИЧИЙ ПМ в/к в/у 0,28кг ОСТАНКИНО</v>
          </cell>
          <cell r="B97">
            <v>1</v>
          </cell>
        </row>
        <row r="98">
          <cell r="A98" t="str">
            <v>7371 БРЕСТСКИЕ сос п/о в/у 0,3кг 8шт. ОСТАНКИНО</v>
          </cell>
          <cell r="B98">
            <v>196</v>
          </cell>
        </row>
        <row r="99">
          <cell r="A99" t="str">
            <v>7382  САЛЯМИ МЕЛКОЗЕРНЕНАЯ с/к в/у1/120 8шт.  ОСТАНКИНО</v>
          </cell>
          <cell r="B99">
            <v>172</v>
          </cell>
        </row>
        <row r="100">
          <cell r="A100" t="str">
            <v>7461 ДЛЯ ДЕТЕЙ Папа Может сос п/о мгс 0,33кг ОСТАНКИНО</v>
          </cell>
          <cell r="B100">
            <v>233</v>
          </cell>
        </row>
        <row r="101">
          <cell r="A101" t="str">
            <v>7489 СЫРРРВЕЛАТ Папа Может в/к в/у 0,28кг 8шт. ОСТАНКИНО</v>
          </cell>
          <cell r="B101">
            <v>15</v>
          </cell>
        </row>
        <row r="102">
          <cell r="A102" t="str">
            <v>7523 ГОВЯЖЬЯ Папа Может вар п/о 0,4кг 6шт. ОСТАНКИНО</v>
          </cell>
          <cell r="B102">
            <v>102</v>
          </cell>
        </row>
        <row r="103">
          <cell r="A103" t="str">
            <v>7539 ДОКТОРСКАЯ ГОСТ вар п/о 0,35кг ОСТАНКИНО</v>
          </cell>
          <cell r="B103">
            <v>2</v>
          </cell>
        </row>
        <row r="104">
          <cell r="A104" t="str">
            <v>7603 БАЛЫКОВАЯ в/к в/у 0.33кг 8шт. ОСТАНКИНО</v>
          </cell>
          <cell r="B104">
            <v>1</v>
          </cell>
        </row>
        <row r="105">
          <cell r="A105" t="str">
            <v>6866 ВЕТЧ.НЕЖНАЯ Коровино п/о_Маяк  Останкино</v>
          </cell>
          <cell r="B105">
            <v>9</v>
          </cell>
        </row>
        <row r="106">
          <cell r="B106">
            <v>13277.828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Ведомость по товарам на складах</v>
          </cell>
        </row>
        <row r="4">
          <cell r="A4" t="str">
            <v>Параметры:</v>
          </cell>
          <cell r="B4" t="str">
            <v>Период: 15.06.2026 - 22.06.2026</v>
          </cell>
        </row>
        <row r="5">
          <cell r="B5" t="str">
            <v>Количество товаров: В единицах хранения</v>
          </cell>
        </row>
        <row r="6">
          <cell r="A6" t="str">
            <v>Отбор:</v>
          </cell>
          <cell r="B6" t="str">
            <v>Склад В списке "АСП Бердянск; АСП Бердянск Заморозка; Склад БЕРДЯНСК; АСП Бердянск Молоко Остан...; АСП Бердянск Останкино; АСП Бердянск ПОКОМ" И
Номенклатура В группе из списка "Останкино ООО"</v>
          </cell>
        </row>
        <row r="8">
          <cell r="A8" t="str">
            <v>Номенклатура</v>
          </cell>
          <cell r="B8" t="str">
            <v>Ед. изм.</v>
          </cell>
          <cell r="D8" t="str">
            <v>Количество</v>
          </cell>
          <cell r="H8" t="str">
            <v>крат</v>
          </cell>
          <cell r="I8" t="str">
            <v>сроки</v>
          </cell>
          <cell r="J8" t="str">
            <v>метка</v>
          </cell>
          <cell r="K8" t="str">
            <v>метка2</v>
          </cell>
          <cell r="L8" t="str">
            <v>заяв</v>
          </cell>
          <cell r="M8" t="str">
            <v>разн</v>
          </cell>
          <cell r="N8" t="str">
            <v>без опта</v>
          </cell>
          <cell r="O8" t="str">
            <v>опт</v>
          </cell>
          <cell r="P8" t="str">
            <v>Заказ</v>
          </cell>
          <cell r="Q8" t="str">
            <v>Заказ</v>
          </cell>
          <cell r="R8" t="str">
            <v>Заказ</v>
          </cell>
          <cell r="S8" t="str">
            <v>Заказ</v>
          </cell>
          <cell r="T8" t="str">
            <v>ср нов</v>
          </cell>
          <cell r="U8" t="str">
            <v>расчет</v>
          </cell>
          <cell r="V8" t="str">
            <v>заказ филиала</v>
          </cell>
        </row>
        <row r="9">
          <cell r="D9" t="str">
            <v>Начальный остаток</v>
          </cell>
          <cell r="E9" t="str">
            <v>Приход</v>
          </cell>
          <cell r="F9" t="str">
            <v>Расход</v>
          </cell>
          <cell r="G9" t="str">
            <v>Конечный остаток</v>
          </cell>
          <cell r="R9" t="str">
            <v>21,06,</v>
          </cell>
          <cell r="S9" t="str">
            <v>21,06,</v>
          </cell>
          <cell r="T9" t="str">
            <v>22,06,</v>
          </cell>
          <cell r="U9" t="str">
            <v>28,06,</v>
          </cell>
        </row>
        <row r="10">
          <cell r="D10">
            <v>12348.784</v>
          </cell>
          <cell r="E10">
            <v>14782.896000000002</v>
          </cell>
          <cell r="F10">
            <v>12205.602000000001</v>
          </cell>
          <cell r="G10">
            <v>14342.622999999994</v>
          </cell>
          <cell r="L10">
            <v>13256.828</v>
          </cell>
          <cell r="M10">
            <v>-1051.2260000000003</v>
          </cell>
          <cell r="O10">
            <v>0</v>
          </cell>
          <cell r="P10">
            <v>0</v>
          </cell>
          <cell r="Q10">
            <v>0</v>
          </cell>
          <cell r="R10">
            <v>5550</v>
          </cell>
          <cell r="S10">
            <v>5550</v>
          </cell>
          <cell r="T10">
            <v>2441.1203999999993</v>
          </cell>
          <cell r="U10">
            <v>11816.0924</v>
          </cell>
          <cell r="V10">
            <v>7234.5</v>
          </cell>
        </row>
        <row r="11">
          <cell r="A11" t="str">
            <v>3215 ВЕТЧ.МЯСНАЯ Папа может п/о 0.4кг 8шт.    ОСТАНКИНО</v>
          </cell>
          <cell r="B11" t="str">
            <v>шт</v>
          </cell>
          <cell r="C11">
            <v>3215</v>
          </cell>
          <cell r="D11">
            <v>158</v>
          </cell>
          <cell r="E11">
            <v>566</v>
          </cell>
          <cell r="F11">
            <v>189</v>
          </cell>
          <cell r="G11">
            <v>524</v>
          </cell>
          <cell r="H11">
            <v>0.4</v>
          </cell>
          <cell r="I11">
            <v>60</v>
          </cell>
          <cell r="J11" t="str">
            <v>ВНИМАНИЕ / в матрице</v>
          </cell>
          <cell r="L11">
            <v>201</v>
          </cell>
          <cell r="M11">
            <v>-12</v>
          </cell>
          <cell r="R11">
            <v>25</v>
          </cell>
          <cell r="S11">
            <v>25</v>
          </cell>
          <cell r="T11">
            <v>37.799999999999997</v>
          </cell>
        </row>
        <row r="12">
          <cell r="A12" t="str">
            <v>3287 САЛЯМИ ИТАЛЬЯНСКАЯ с/к в/у ОСТАНКИНО</v>
          </cell>
          <cell r="B12" t="str">
            <v>кг</v>
          </cell>
          <cell r="C12">
            <v>3287</v>
          </cell>
          <cell r="D12">
            <v>2.4369999999999998</v>
          </cell>
          <cell r="E12">
            <v>68.656000000000006</v>
          </cell>
          <cell r="F12">
            <v>19.052</v>
          </cell>
          <cell r="G12">
            <v>52.040999999999997</v>
          </cell>
          <cell r="H12">
            <v>1</v>
          </cell>
          <cell r="I12">
            <v>120</v>
          </cell>
          <cell r="J12" t="str">
            <v>в матрице</v>
          </cell>
          <cell r="L12">
            <v>21</v>
          </cell>
          <cell r="M12">
            <v>-1.9480000000000004</v>
          </cell>
          <cell r="R12">
            <v>0</v>
          </cell>
          <cell r="S12">
            <v>0</v>
          </cell>
          <cell r="T12">
            <v>3.8104</v>
          </cell>
          <cell r="U12">
            <v>1.3046000000000006</v>
          </cell>
        </row>
        <row r="13">
          <cell r="A13" t="str">
            <v>3986 Ароматная с/к в/у 1/250 ОСТАНКИНО</v>
          </cell>
          <cell r="B13" t="str">
            <v>шт</v>
          </cell>
          <cell r="C13">
            <v>3986</v>
          </cell>
          <cell r="D13">
            <v>82</v>
          </cell>
          <cell r="E13">
            <v>308</v>
          </cell>
          <cell r="F13">
            <v>125</v>
          </cell>
          <cell r="G13">
            <v>220</v>
          </cell>
          <cell r="H13">
            <v>0.25</v>
          </cell>
          <cell r="I13">
            <v>120</v>
          </cell>
          <cell r="J13" t="str">
            <v>в матрице</v>
          </cell>
          <cell r="L13">
            <v>170</v>
          </cell>
          <cell r="M13">
            <v>-45</v>
          </cell>
          <cell r="R13">
            <v>25</v>
          </cell>
          <cell r="S13">
            <v>25</v>
          </cell>
          <cell r="T13">
            <v>25</v>
          </cell>
          <cell r="U13">
            <v>80</v>
          </cell>
          <cell r="V13">
            <v>75</v>
          </cell>
        </row>
        <row r="14">
          <cell r="A14" t="str">
            <v>4063 МЯСНАЯ Папа может вар п/о_Л   ОСТАНКИНО</v>
          </cell>
          <cell r="B14" t="str">
            <v>кг</v>
          </cell>
          <cell r="C14">
            <v>4063</v>
          </cell>
          <cell r="D14">
            <v>274.959</v>
          </cell>
          <cell r="E14">
            <v>224.74100000000001</v>
          </cell>
          <cell r="F14">
            <v>205.29400000000001</v>
          </cell>
          <cell r="G14">
            <v>290.80599999999998</v>
          </cell>
          <cell r="H14">
            <v>1</v>
          </cell>
          <cell r="I14">
            <v>60</v>
          </cell>
          <cell r="J14" t="str">
            <v>в матрице</v>
          </cell>
          <cell r="L14">
            <v>198</v>
          </cell>
          <cell r="M14">
            <v>7.2940000000000111</v>
          </cell>
          <cell r="R14">
            <v>100</v>
          </cell>
          <cell r="S14">
            <v>100</v>
          </cell>
          <cell r="T14">
            <v>41.058800000000005</v>
          </cell>
          <cell r="U14">
            <v>84.017200000000059</v>
          </cell>
          <cell r="V14">
            <v>75</v>
          </cell>
        </row>
        <row r="15">
          <cell r="A15" t="str">
            <v>4117 ЭКСТРА Папа может с/к в/у_Л   ОСТАНКИНО</v>
          </cell>
          <cell r="B15" t="str">
            <v>кг</v>
          </cell>
          <cell r="C15">
            <v>4117</v>
          </cell>
          <cell r="D15">
            <v>19.373999999999999</v>
          </cell>
          <cell r="E15">
            <v>41.481999999999999</v>
          </cell>
          <cell r="F15">
            <v>18.814</v>
          </cell>
          <cell r="G15">
            <v>40.566000000000003</v>
          </cell>
          <cell r="H15">
            <v>1</v>
          </cell>
          <cell r="I15">
            <v>120</v>
          </cell>
          <cell r="J15" t="str">
            <v>в матрице</v>
          </cell>
          <cell r="L15">
            <v>20.5</v>
          </cell>
          <cell r="M15">
            <v>-1.6859999999999999</v>
          </cell>
          <cell r="R15">
            <v>0</v>
          </cell>
          <cell r="S15">
            <v>0</v>
          </cell>
          <cell r="T15">
            <v>3.7627999999999999</v>
          </cell>
          <cell r="U15">
            <v>12.113199999999999</v>
          </cell>
        </row>
        <row r="16">
          <cell r="A16" t="str">
            <v>4574 Мясная со шпиком Папа может вар п/о ОСТАНКИНО</v>
          </cell>
          <cell r="B16" t="str">
            <v>кг</v>
          </cell>
          <cell r="C16">
            <v>4574</v>
          </cell>
          <cell r="D16">
            <v>35.954000000000001</v>
          </cell>
          <cell r="E16">
            <v>132.05099999999999</v>
          </cell>
          <cell r="F16">
            <v>37.192999999999998</v>
          </cell>
          <cell r="G16">
            <v>128.67500000000001</v>
          </cell>
          <cell r="H16">
            <v>1</v>
          </cell>
          <cell r="I16">
            <v>60</v>
          </cell>
          <cell r="J16" t="str">
            <v>ВНИМАНИЕ / в матрице</v>
          </cell>
          <cell r="L16">
            <v>35.799999999999997</v>
          </cell>
          <cell r="M16">
            <v>1.3930000000000007</v>
          </cell>
          <cell r="R16">
            <v>0</v>
          </cell>
          <cell r="S16">
            <v>0</v>
          </cell>
          <cell r="T16">
            <v>7.4385999999999992</v>
          </cell>
        </row>
        <row r="17">
          <cell r="A17" t="str">
            <v>4813 ФИЛЕЙНАЯ Папа может вар п/о_Л   ОСТАНКИНО</v>
          </cell>
          <cell r="B17" t="str">
            <v>кг</v>
          </cell>
          <cell r="C17">
            <v>4813</v>
          </cell>
          <cell r="D17">
            <v>166.22300000000001</v>
          </cell>
          <cell r="E17">
            <v>438.96800000000002</v>
          </cell>
          <cell r="F17">
            <v>240.84700000000001</v>
          </cell>
          <cell r="G17">
            <v>356.81299999999999</v>
          </cell>
          <cell r="H17">
            <v>1</v>
          </cell>
          <cell r="I17">
            <v>60</v>
          </cell>
          <cell r="J17" t="str">
            <v>в матрице</v>
          </cell>
          <cell r="L17">
            <v>231.8</v>
          </cell>
          <cell r="M17">
            <v>9.046999999999997</v>
          </cell>
          <cell r="R17">
            <v>0</v>
          </cell>
          <cell r="S17">
            <v>0</v>
          </cell>
          <cell r="T17">
            <v>48.169400000000003</v>
          </cell>
          <cell r="U17">
            <v>317.55860000000007</v>
          </cell>
          <cell r="V17">
            <v>210</v>
          </cell>
        </row>
        <row r="18">
          <cell r="A18" t="str">
            <v>4993 САЛЯМИ ИТАЛЬЯНСКАЯ с/к в/у 1/250*8_120c ОСТАНКИНО</v>
          </cell>
          <cell r="B18" t="str">
            <v>шт</v>
          </cell>
          <cell r="C18">
            <v>4993</v>
          </cell>
          <cell r="D18">
            <v>50</v>
          </cell>
          <cell r="E18">
            <v>245</v>
          </cell>
          <cell r="F18">
            <v>107</v>
          </cell>
          <cell r="G18">
            <v>186</v>
          </cell>
          <cell r="H18">
            <v>0.25</v>
          </cell>
          <cell r="I18">
            <v>120</v>
          </cell>
          <cell r="J18" t="str">
            <v>в матрице</v>
          </cell>
          <cell r="L18">
            <v>131</v>
          </cell>
          <cell r="M18">
            <v>-24</v>
          </cell>
          <cell r="R18">
            <v>75</v>
          </cell>
          <cell r="S18">
            <v>75</v>
          </cell>
          <cell r="T18">
            <v>21.4</v>
          </cell>
        </row>
        <row r="19">
          <cell r="A19" t="str">
            <v>5341 СЕРВЕЛАТ ОХОТНИЧИЙ в/к в/у  ОСТАНКИНО</v>
          </cell>
          <cell r="B19" t="str">
            <v>кг</v>
          </cell>
          <cell r="C19">
            <v>5341</v>
          </cell>
          <cell r="F19">
            <v>-0.67400000000000004</v>
          </cell>
          <cell r="G19">
            <v>-1.4179999999999999</v>
          </cell>
          <cell r="H19">
            <v>1</v>
          </cell>
          <cell r="L19">
            <v>1.6</v>
          </cell>
          <cell r="M19">
            <v>-2.274</v>
          </cell>
          <cell r="R19">
            <v>0</v>
          </cell>
          <cell r="S19">
            <v>0</v>
          </cell>
          <cell r="T19">
            <v>-0.1348</v>
          </cell>
        </row>
        <row r="20">
          <cell r="A20" t="str">
            <v>5452 ВЕТЧ.МЯСНАЯ Папа может п/о    ОСТАНКИНО</v>
          </cell>
          <cell r="B20" t="str">
            <v>кг</v>
          </cell>
          <cell r="C20">
            <v>5452</v>
          </cell>
          <cell r="D20">
            <v>45.289000000000001</v>
          </cell>
          <cell r="E20">
            <v>179.827</v>
          </cell>
          <cell r="F20">
            <v>92.602999999999994</v>
          </cell>
          <cell r="G20">
            <v>130.51300000000001</v>
          </cell>
          <cell r="H20">
            <v>1</v>
          </cell>
          <cell r="I20">
            <v>60</v>
          </cell>
          <cell r="J20" t="str">
            <v>в матрице</v>
          </cell>
          <cell r="L20">
            <v>92.5</v>
          </cell>
          <cell r="M20">
            <v>0.10299999999999443</v>
          </cell>
          <cell r="R20">
            <v>75</v>
          </cell>
          <cell r="S20">
            <v>75</v>
          </cell>
          <cell r="T20">
            <v>18.520599999999998</v>
          </cell>
        </row>
        <row r="21">
          <cell r="A21" t="str">
            <v>5483 ЭКСТРА Папа может с/к в/у 1/250 8шт.   ОСТАНКИНО</v>
          </cell>
          <cell r="B21" t="str">
            <v>шт</v>
          </cell>
          <cell r="C21">
            <v>5483</v>
          </cell>
          <cell r="D21">
            <v>229</v>
          </cell>
          <cell r="E21">
            <v>3</v>
          </cell>
          <cell r="F21">
            <v>122</v>
          </cell>
          <cell r="G21">
            <v>107</v>
          </cell>
          <cell r="H21">
            <v>0.25</v>
          </cell>
          <cell r="I21">
            <v>120</v>
          </cell>
          <cell r="J21" t="str">
            <v>в матрице</v>
          </cell>
          <cell r="L21">
            <v>125</v>
          </cell>
          <cell r="M21">
            <v>-3</v>
          </cell>
          <cell r="R21">
            <v>110</v>
          </cell>
          <cell r="S21">
            <v>110</v>
          </cell>
          <cell r="T21">
            <v>24.4</v>
          </cell>
          <cell r="U21">
            <v>14.599999999999966</v>
          </cell>
          <cell r="V21">
            <v>7.5</v>
          </cell>
        </row>
        <row r="22">
          <cell r="A22" t="str">
            <v>5495 ВЕТЧ.С ИНДЕЙКОЙ Папа может п/о 400*6  Останкино</v>
          </cell>
          <cell r="B22" t="str">
            <v>шт</v>
          </cell>
          <cell r="C22">
            <v>5495</v>
          </cell>
          <cell r="D22">
            <v>42</v>
          </cell>
          <cell r="E22">
            <v>243</v>
          </cell>
          <cell r="F22">
            <v>109</v>
          </cell>
          <cell r="G22">
            <v>173</v>
          </cell>
          <cell r="H22">
            <v>0.4</v>
          </cell>
          <cell r="I22">
            <v>60</v>
          </cell>
          <cell r="J22" t="str">
            <v>в матрице</v>
          </cell>
          <cell r="L22">
            <v>115</v>
          </cell>
          <cell r="M22">
            <v>-6</v>
          </cell>
          <cell r="R22">
            <v>75</v>
          </cell>
          <cell r="S22">
            <v>75</v>
          </cell>
          <cell r="T22">
            <v>21.8</v>
          </cell>
        </row>
        <row r="23">
          <cell r="A23" t="str">
            <v>5544 Сервелат Финский в/к в/у_45с НОВАЯ ОСТАНКИНО</v>
          </cell>
          <cell r="B23" t="str">
            <v>кг</v>
          </cell>
          <cell r="C23">
            <v>5544</v>
          </cell>
          <cell r="D23">
            <v>40.286999999999999</v>
          </cell>
          <cell r="E23">
            <v>681.53899999999999</v>
          </cell>
          <cell r="F23">
            <v>216.61</v>
          </cell>
          <cell r="G23">
            <v>498.49599999999998</v>
          </cell>
          <cell r="H23">
            <v>1</v>
          </cell>
          <cell r="I23">
            <v>45</v>
          </cell>
          <cell r="J23" t="str">
            <v>в матрице</v>
          </cell>
          <cell r="L23">
            <v>232.3</v>
          </cell>
          <cell r="M23">
            <v>-15.689999999999998</v>
          </cell>
          <cell r="R23">
            <v>0</v>
          </cell>
          <cell r="S23">
            <v>0</v>
          </cell>
          <cell r="T23">
            <v>43.322000000000003</v>
          </cell>
          <cell r="U23">
            <v>108.01200000000006</v>
          </cell>
          <cell r="V23">
            <v>54</v>
          </cell>
        </row>
        <row r="24">
          <cell r="A24" t="str">
            <v>5706 АРОМАТНАЯ Папа может с/к в/у 1/250 8шт.  ОСТАНКИНО</v>
          </cell>
          <cell r="B24" t="str">
            <v>шт</v>
          </cell>
          <cell r="C24">
            <v>5706</v>
          </cell>
          <cell r="F24">
            <v>1</v>
          </cell>
          <cell r="G24">
            <v>-1</v>
          </cell>
          <cell r="H24">
            <v>0.25</v>
          </cell>
          <cell r="I24">
            <v>0.25</v>
          </cell>
          <cell r="J24" t="str">
            <v>дубль</v>
          </cell>
          <cell r="L24">
            <v>1</v>
          </cell>
          <cell r="M24">
            <v>0</v>
          </cell>
          <cell r="R24">
            <v>0</v>
          </cell>
          <cell r="S24">
            <v>0</v>
          </cell>
          <cell r="T24">
            <v>0.2</v>
          </cell>
          <cell r="U24">
            <v>3.8000000000000003</v>
          </cell>
        </row>
        <row r="25">
          <cell r="A25" t="str">
            <v>5708 ПОСОЛЬСКАЯ Папа может с/к в/у ОСТАНКИНО</v>
          </cell>
          <cell r="B25" t="str">
            <v>кг</v>
          </cell>
          <cell r="C25">
            <v>5708</v>
          </cell>
          <cell r="E25">
            <v>39.479999999999997</v>
          </cell>
          <cell r="F25">
            <v>5.4669999999999996</v>
          </cell>
          <cell r="G25">
            <v>34.012999999999998</v>
          </cell>
          <cell r="H25">
            <v>1</v>
          </cell>
          <cell r="L25">
            <v>6.5</v>
          </cell>
          <cell r="M25">
            <v>-1.0330000000000004</v>
          </cell>
          <cell r="R25">
            <v>0</v>
          </cell>
          <cell r="S25">
            <v>0</v>
          </cell>
          <cell r="T25">
            <v>1.0933999999999999</v>
          </cell>
        </row>
        <row r="26">
          <cell r="A26" t="str">
            <v>5819 Сосиски Папа может 400г Мясные  ОСТАНКИНО</v>
          </cell>
          <cell r="B26" t="str">
            <v>шт</v>
          </cell>
          <cell r="C26">
            <v>5819</v>
          </cell>
          <cell r="D26">
            <v>470</v>
          </cell>
          <cell r="E26">
            <v>48</v>
          </cell>
          <cell r="F26">
            <v>87</v>
          </cell>
          <cell r="G26">
            <v>431</v>
          </cell>
          <cell r="H26">
            <v>0.4</v>
          </cell>
          <cell r="I26">
            <v>45</v>
          </cell>
          <cell r="J26" t="str">
            <v>в матрице</v>
          </cell>
          <cell r="L26">
            <v>85</v>
          </cell>
          <cell r="M26">
            <v>2</v>
          </cell>
          <cell r="R26">
            <v>0</v>
          </cell>
          <cell r="S26">
            <v>0</v>
          </cell>
          <cell r="T26">
            <v>17.399999999999999</v>
          </cell>
        </row>
        <row r="27">
          <cell r="A27" t="str">
            <v>5851 ЭКСТРА Папа может вар п/о   ОСТАНКИНО</v>
          </cell>
          <cell r="B27" t="str">
            <v>кг</v>
          </cell>
          <cell r="C27">
            <v>5851</v>
          </cell>
          <cell r="D27">
            <v>162.08500000000001</v>
          </cell>
          <cell r="E27">
            <v>99.103999999999999</v>
          </cell>
          <cell r="F27">
            <v>137.11199999999999</v>
          </cell>
          <cell r="G27">
            <v>96.846999999999994</v>
          </cell>
          <cell r="H27">
            <v>1</v>
          </cell>
          <cell r="I27">
            <v>60</v>
          </cell>
          <cell r="J27" t="str">
            <v>в матрице</v>
          </cell>
          <cell r="L27">
            <v>133.9</v>
          </cell>
          <cell r="M27">
            <v>3.2119999999999891</v>
          </cell>
          <cell r="R27">
            <v>110</v>
          </cell>
          <cell r="S27">
            <v>110</v>
          </cell>
          <cell r="T27">
            <v>27.4224</v>
          </cell>
          <cell r="U27">
            <v>67.066599999999994</v>
          </cell>
          <cell r="V27">
            <v>60</v>
          </cell>
        </row>
        <row r="28">
          <cell r="A28" t="str">
            <v>5931 ОХОТНИЧЬЯ Папа может с/к в/у 1/220 8шт.   ОСТАНКИНО</v>
          </cell>
          <cell r="B28" t="str">
            <v>шт</v>
          </cell>
          <cell r="C28">
            <v>5931</v>
          </cell>
          <cell r="D28">
            <v>111</v>
          </cell>
          <cell r="E28">
            <v>327</v>
          </cell>
          <cell r="F28">
            <v>181</v>
          </cell>
          <cell r="G28">
            <v>250</v>
          </cell>
          <cell r="H28">
            <v>0.22</v>
          </cell>
          <cell r="I28">
            <v>120</v>
          </cell>
          <cell r="J28" t="str">
            <v>в матрице</v>
          </cell>
          <cell r="L28">
            <v>188</v>
          </cell>
          <cell r="M28">
            <v>-7</v>
          </cell>
          <cell r="R28">
            <v>50</v>
          </cell>
          <cell r="S28">
            <v>50</v>
          </cell>
          <cell r="T28">
            <v>36.200000000000003</v>
          </cell>
          <cell r="U28">
            <v>156.80000000000007</v>
          </cell>
          <cell r="V28">
            <v>110</v>
          </cell>
        </row>
        <row r="29">
          <cell r="A29" t="str">
            <v>6008 САЛО СОЛЕНОЕ С ЧЕРНЫМ ПЕРЦЕМ мл/к в/у ОСТАНКИНО</v>
          </cell>
          <cell r="B29" t="str">
            <v>кг</v>
          </cell>
          <cell r="C29">
            <v>6008</v>
          </cell>
          <cell r="E29">
            <v>207.876</v>
          </cell>
          <cell r="F29">
            <v>12.683999999999999</v>
          </cell>
          <cell r="G29">
            <v>194.48599999999999</v>
          </cell>
          <cell r="H29">
            <v>1</v>
          </cell>
          <cell r="L29">
            <v>11.332000000000001</v>
          </cell>
          <cell r="M29">
            <v>1.3519999999999985</v>
          </cell>
          <cell r="R29">
            <v>0</v>
          </cell>
          <cell r="S29">
            <v>0</v>
          </cell>
          <cell r="T29">
            <v>2.5367999999999999</v>
          </cell>
        </row>
        <row r="30">
          <cell r="A30" t="str">
            <v>6208 ДЫМОВИЦА ИЗ ЛОПАТКИ ПМ к/в с/н в/у 1/150  Останкино</v>
          </cell>
          <cell r="B30" t="str">
            <v>шт</v>
          </cell>
          <cell r="C30">
            <v>6208</v>
          </cell>
          <cell r="D30">
            <v>-1</v>
          </cell>
          <cell r="E30">
            <v>20</v>
          </cell>
          <cell r="F30">
            <v>5</v>
          </cell>
          <cell r="G30">
            <v>14</v>
          </cell>
          <cell r="H30">
            <v>0.15</v>
          </cell>
          <cell r="L30">
            <v>5</v>
          </cell>
          <cell r="M30">
            <v>0</v>
          </cell>
          <cell r="R30">
            <v>0</v>
          </cell>
          <cell r="S30">
            <v>0</v>
          </cell>
          <cell r="T30">
            <v>1</v>
          </cell>
        </row>
        <row r="31">
          <cell r="A31" t="str">
            <v>6220 ГОВЯЖЬЯ папа может вар п/о  Останкино</v>
          </cell>
          <cell r="B31" t="str">
            <v>кг</v>
          </cell>
          <cell r="C31">
            <v>6220</v>
          </cell>
          <cell r="D31">
            <v>35.353000000000002</v>
          </cell>
          <cell r="E31">
            <v>41.79</v>
          </cell>
          <cell r="F31">
            <v>56.139000000000003</v>
          </cell>
          <cell r="G31">
            <v>19.030999999999999</v>
          </cell>
          <cell r="H31">
            <v>1</v>
          </cell>
          <cell r="I31">
            <v>60</v>
          </cell>
          <cell r="J31" t="str">
            <v>в матрице</v>
          </cell>
          <cell r="L31">
            <v>53</v>
          </cell>
          <cell r="M31">
            <v>3.1390000000000029</v>
          </cell>
          <cell r="R31">
            <v>75</v>
          </cell>
          <cell r="S31">
            <v>75</v>
          </cell>
          <cell r="T31">
            <v>11.2278</v>
          </cell>
        </row>
        <row r="32">
          <cell r="A32" t="str">
            <v>6221 НЕОПОЛИТАНСКИЙ ДУЭТ с/к с/н мгс 1/90  Останкино</v>
          </cell>
          <cell r="B32" t="str">
            <v>шт</v>
          </cell>
          <cell r="C32">
            <v>6221</v>
          </cell>
          <cell r="D32">
            <v>211</v>
          </cell>
          <cell r="E32">
            <v>26</v>
          </cell>
          <cell r="F32">
            <v>172</v>
          </cell>
          <cell r="G32">
            <v>57</v>
          </cell>
          <cell r="H32">
            <v>0.09</v>
          </cell>
          <cell r="I32">
            <v>60</v>
          </cell>
          <cell r="J32" t="str">
            <v>в матрице</v>
          </cell>
          <cell r="L32">
            <v>180</v>
          </cell>
          <cell r="M32">
            <v>-8</v>
          </cell>
          <cell r="R32">
            <v>75</v>
          </cell>
          <cell r="S32">
            <v>75</v>
          </cell>
          <cell r="T32">
            <v>34.4</v>
          </cell>
          <cell r="U32">
            <v>274.59999999999997</v>
          </cell>
          <cell r="V32">
            <v>175</v>
          </cell>
        </row>
        <row r="33">
          <cell r="A33" t="str">
            <v>6228 МЯСНОЕ АССОРТИ к/з с/н мгс 1/90 10шт  Останкино</v>
          </cell>
          <cell r="B33" t="str">
            <v>шт</v>
          </cell>
          <cell r="C33">
            <v>6228</v>
          </cell>
          <cell r="D33">
            <v>74</v>
          </cell>
          <cell r="E33">
            <v>143</v>
          </cell>
          <cell r="F33">
            <v>94</v>
          </cell>
          <cell r="G33">
            <v>113</v>
          </cell>
          <cell r="H33">
            <v>0.09</v>
          </cell>
          <cell r="I33">
            <v>45</v>
          </cell>
          <cell r="J33" t="str">
            <v>в матрице</v>
          </cell>
          <cell r="L33">
            <v>104</v>
          </cell>
          <cell r="M33">
            <v>-10</v>
          </cell>
          <cell r="R33">
            <v>0</v>
          </cell>
          <cell r="S33">
            <v>0</v>
          </cell>
          <cell r="T33">
            <v>18.8</v>
          </cell>
          <cell r="U33">
            <v>150.19999999999999</v>
          </cell>
          <cell r="V33">
            <v>125</v>
          </cell>
        </row>
        <row r="34">
          <cell r="A34" t="str">
            <v>6268 Колбаса Папа может 400г Говяжья вар п/о  ОСТАНКИНО</v>
          </cell>
          <cell r="B34" t="str">
            <v>шт</v>
          </cell>
          <cell r="C34">
            <v>6268</v>
          </cell>
          <cell r="D34">
            <v>-2</v>
          </cell>
          <cell r="F34">
            <v>-4</v>
          </cell>
          <cell r="G34">
            <v>-2</v>
          </cell>
          <cell r="H34">
            <v>0.4</v>
          </cell>
          <cell r="I34">
            <v>60</v>
          </cell>
          <cell r="J34" t="str">
            <v>в матрице</v>
          </cell>
          <cell r="L34">
            <v>0</v>
          </cell>
          <cell r="M34">
            <v>-4</v>
          </cell>
          <cell r="R34">
            <v>0</v>
          </cell>
          <cell r="S34">
            <v>0</v>
          </cell>
          <cell r="T34">
            <v>-0.8</v>
          </cell>
        </row>
        <row r="35">
          <cell r="A35" t="str">
            <v>6279 КОРЕЙКА ПО-ОСТ.к/в в/с с/н в/у 1/150_45с  Останкино</v>
          </cell>
          <cell r="B35" t="str">
            <v>шт</v>
          </cell>
          <cell r="C35">
            <v>6279</v>
          </cell>
          <cell r="D35">
            <v>9</v>
          </cell>
          <cell r="E35">
            <v>98</v>
          </cell>
          <cell r="F35">
            <v>87</v>
          </cell>
          <cell r="G35">
            <v>17</v>
          </cell>
          <cell r="H35">
            <v>0.15</v>
          </cell>
          <cell r="I35">
            <v>45</v>
          </cell>
          <cell r="J35" t="str">
            <v>в матрице</v>
          </cell>
          <cell r="L35">
            <v>106</v>
          </cell>
          <cell r="M35">
            <v>-19</v>
          </cell>
          <cell r="R35">
            <v>25</v>
          </cell>
          <cell r="S35">
            <v>25</v>
          </cell>
          <cell r="T35">
            <v>17.399999999999999</v>
          </cell>
          <cell r="U35">
            <v>176.59999999999997</v>
          </cell>
          <cell r="V35">
            <v>125</v>
          </cell>
        </row>
        <row r="36">
          <cell r="A36" t="str">
            <v>6303 Мясные Папа может сос п/о мгс 1,5*3  Останкино</v>
          </cell>
          <cell r="B36" t="str">
            <v>кг</v>
          </cell>
          <cell r="C36">
            <v>6303</v>
          </cell>
          <cell r="D36">
            <v>396.56400000000002</v>
          </cell>
          <cell r="E36">
            <v>31.573</v>
          </cell>
          <cell r="F36">
            <v>283.15100000000001</v>
          </cell>
          <cell r="G36">
            <v>141.79</v>
          </cell>
          <cell r="H36">
            <v>1</v>
          </cell>
          <cell r="I36">
            <v>45</v>
          </cell>
          <cell r="J36" t="str">
            <v>в матрице</v>
          </cell>
          <cell r="L36">
            <v>276.79599999999999</v>
          </cell>
          <cell r="M36">
            <v>6.3550000000000182</v>
          </cell>
          <cell r="R36">
            <v>75</v>
          </cell>
          <cell r="S36">
            <v>75</v>
          </cell>
          <cell r="T36">
            <v>56.630200000000002</v>
          </cell>
          <cell r="U36">
            <v>501.03280000000007</v>
          </cell>
          <cell r="V36">
            <v>300</v>
          </cell>
        </row>
        <row r="37">
          <cell r="A37" t="str">
            <v>6324 ДОКТОРСКАЯ ГОСТ вар п/о 0,4кг 8шт  Останкино</v>
          </cell>
          <cell r="B37" t="str">
            <v>шт</v>
          </cell>
          <cell r="C37">
            <v>6324</v>
          </cell>
          <cell r="D37">
            <v>266</v>
          </cell>
          <cell r="E37">
            <v>3</v>
          </cell>
          <cell r="F37">
            <v>31</v>
          </cell>
          <cell r="G37">
            <v>235</v>
          </cell>
          <cell r="H37">
            <v>0.4</v>
          </cell>
          <cell r="I37">
            <v>60</v>
          </cell>
          <cell r="J37" t="str">
            <v>в матрице</v>
          </cell>
          <cell r="L37">
            <v>82</v>
          </cell>
          <cell r="M37">
            <v>-51</v>
          </cell>
          <cell r="R37">
            <v>0</v>
          </cell>
          <cell r="S37">
            <v>0</v>
          </cell>
          <cell r="T37">
            <v>6.2</v>
          </cell>
        </row>
        <row r="38">
          <cell r="A38" t="str">
            <v>6325 ДОКТОРСКАЯ ПРЕМИУМ вар п/о 0.4кг 8шт.  ОСТАНКИНО</v>
          </cell>
          <cell r="B38" t="str">
            <v>шт</v>
          </cell>
          <cell r="C38">
            <v>6325</v>
          </cell>
          <cell r="D38">
            <v>161</v>
          </cell>
          <cell r="E38">
            <v>49</v>
          </cell>
          <cell r="F38">
            <v>89</v>
          </cell>
          <cell r="G38">
            <v>120</v>
          </cell>
          <cell r="H38">
            <v>0.4</v>
          </cell>
          <cell r="I38">
            <v>60</v>
          </cell>
          <cell r="J38" t="str">
            <v>ВНИМАНИЕ / в матрице</v>
          </cell>
          <cell r="L38">
            <v>90</v>
          </cell>
          <cell r="M38">
            <v>-1</v>
          </cell>
          <cell r="R38">
            <v>40</v>
          </cell>
          <cell r="S38">
            <v>40</v>
          </cell>
          <cell r="T38">
            <v>17.8</v>
          </cell>
          <cell r="U38">
            <v>49.200000000000017</v>
          </cell>
          <cell r="V38">
            <v>24.5</v>
          </cell>
        </row>
        <row r="39">
          <cell r="A39" t="str">
            <v>6333 МЯСНАЯ Папа может вар п/о 0.4кг 8шт.  ОСТАНКИНО</v>
          </cell>
          <cell r="B39" t="str">
            <v>шт</v>
          </cell>
          <cell r="C39">
            <v>6333</v>
          </cell>
          <cell r="D39">
            <v>374</v>
          </cell>
          <cell r="E39">
            <v>697</v>
          </cell>
          <cell r="F39">
            <v>479</v>
          </cell>
          <cell r="G39">
            <v>581</v>
          </cell>
          <cell r="H39">
            <v>0.4</v>
          </cell>
          <cell r="I39">
            <v>60</v>
          </cell>
          <cell r="J39" t="str">
            <v>в матрице</v>
          </cell>
          <cell r="L39">
            <v>490</v>
          </cell>
          <cell r="M39">
            <v>-11</v>
          </cell>
          <cell r="R39">
            <v>60</v>
          </cell>
          <cell r="S39">
            <v>60</v>
          </cell>
          <cell r="T39">
            <v>95.8</v>
          </cell>
          <cell r="U39">
            <v>640.20000000000005</v>
          </cell>
          <cell r="V39">
            <v>375</v>
          </cell>
        </row>
        <row r="40">
          <cell r="A40" t="str">
            <v>6353 ЭКСТРА Папа может вар п/о 0.4кг 8шт.  ОСТАНКИНО</v>
          </cell>
          <cell r="B40" t="str">
            <v>шт</v>
          </cell>
          <cell r="C40">
            <v>6353</v>
          </cell>
          <cell r="D40">
            <v>366</v>
          </cell>
          <cell r="E40">
            <v>2</v>
          </cell>
          <cell r="F40">
            <v>214</v>
          </cell>
          <cell r="G40">
            <v>148</v>
          </cell>
          <cell r="H40">
            <v>0.4</v>
          </cell>
          <cell r="I40">
            <v>60</v>
          </cell>
          <cell r="J40" t="str">
            <v>в матрице</v>
          </cell>
          <cell r="L40">
            <v>221</v>
          </cell>
          <cell r="M40">
            <v>-7</v>
          </cell>
          <cell r="R40">
            <v>210</v>
          </cell>
          <cell r="S40">
            <v>210</v>
          </cell>
          <cell r="T40">
            <v>42.8</v>
          </cell>
          <cell r="U40">
            <v>31.199999999999932</v>
          </cell>
          <cell r="V40">
            <v>0</v>
          </cell>
        </row>
        <row r="41">
          <cell r="A41" t="str">
            <v>6364 СЕРВЕЛАТ ЗЕРНИСТЫЙ ПМ в/к в/у 0.35кг  ОСТАНКИНО</v>
          </cell>
          <cell r="B41" t="str">
            <v>шт</v>
          </cell>
          <cell r="C41">
            <v>6364</v>
          </cell>
          <cell r="D41">
            <v>-1</v>
          </cell>
          <cell r="F41">
            <v>0</v>
          </cell>
          <cell r="G41">
            <v>-1</v>
          </cell>
          <cell r="H41">
            <v>0</v>
          </cell>
          <cell r="L41">
            <v>0</v>
          </cell>
          <cell r="M41">
            <v>0</v>
          </cell>
          <cell r="R41">
            <v>0</v>
          </cell>
          <cell r="S41">
            <v>0</v>
          </cell>
          <cell r="T41">
            <v>0</v>
          </cell>
          <cell r="U41">
            <v>1</v>
          </cell>
          <cell r="V41">
            <v>0</v>
          </cell>
        </row>
        <row r="42">
          <cell r="A42" t="str">
            <v>6392 ФИЛЕЙНАЯ Папа может вар п/о 0,4кг  ОСТАНКИНО</v>
          </cell>
          <cell r="B42" t="str">
            <v>шт</v>
          </cell>
          <cell r="C42">
            <v>6392</v>
          </cell>
          <cell r="D42">
            <v>364</v>
          </cell>
          <cell r="E42">
            <v>213</v>
          </cell>
          <cell r="F42">
            <v>281</v>
          </cell>
          <cell r="G42">
            <v>277</v>
          </cell>
          <cell r="H42">
            <v>0.4</v>
          </cell>
          <cell r="I42">
            <v>60</v>
          </cell>
          <cell r="J42" t="str">
            <v>в матрице</v>
          </cell>
          <cell r="L42">
            <v>291</v>
          </cell>
          <cell r="M42">
            <v>-10</v>
          </cell>
          <cell r="R42">
            <v>250</v>
          </cell>
          <cell r="S42">
            <v>250</v>
          </cell>
          <cell r="T42">
            <v>56.2</v>
          </cell>
          <cell r="U42">
            <v>9.8000000000000682</v>
          </cell>
          <cell r="V42">
            <v>0</v>
          </cell>
        </row>
        <row r="43">
          <cell r="A43" t="str">
            <v>6453 ЭКСТРА Папа может с/к с/н в/у 1/100 14шт.   ОСТАНКИНО</v>
          </cell>
          <cell r="B43" t="str">
            <v>шт</v>
          </cell>
          <cell r="C43">
            <v>6453</v>
          </cell>
          <cell r="D43">
            <v>44</v>
          </cell>
          <cell r="E43">
            <v>225</v>
          </cell>
          <cell r="F43">
            <v>160</v>
          </cell>
          <cell r="G43">
            <v>108</v>
          </cell>
          <cell r="H43">
            <v>0.1</v>
          </cell>
          <cell r="I43">
            <v>60</v>
          </cell>
          <cell r="J43" t="str">
            <v>в матрице</v>
          </cell>
          <cell r="L43">
            <v>175</v>
          </cell>
          <cell r="M43">
            <v>-15</v>
          </cell>
          <cell r="R43">
            <v>110</v>
          </cell>
          <cell r="S43">
            <v>110</v>
          </cell>
          <cell r="T43">
            <v>32</v>
          </cell>
          <cell r="U43">
            <v>120</v>
          </cell>
          <cell r="V43">
            <v>110</v>
          </cell>
        </row>
        <row r="44">
          <cell r="A44" t="str">
            <v>6454 АРОМАТНАЯ с/к с/н в/у 1/100 10шт.  ОСТАНКИНО</v>
          </cell>
          <cell r="B44" t="str">
            <v>шт</v>
          </cell>
          <cell r="C44">
            <v>6454</v>
          </cell>
          <cell r="D44">
            <v>138</v>
          </cell>
          <cell r="E44">
            <v>244</v>
          </cell>
          <cell r="F44">
            <v>189</v>
          </cell>
          <cell r="G44">
            <v>189</v>
          </cell>
          <cell r="H44">
            <v>0.1</v>
          </cell>
          <cell r="I44">
            <v>60</v>
          </cell>
          <cell r="J44" t="str">
            <v>в матрице</v>
          </cell>
          <cell r="L44">
            <v>191</v>
          </cell>
          <cell r="M44">
            <v>-2</v>
          </cell>
          <cell r="R44">
            <v>50</v>
          </cell>
          <cell r="S44">
            <v>50</v>
          </cell>
          <cell r="T44">
            <v>37.799999999999997</v>
          </cell>
          <cell r="U44">
            <v>240.19999999999993</v>
          </cell>
          <cell r="V44">
            <v>150</v>
          </cell>
        </row>
        <row r="45">
          <cell r="A45" t="str">
            <v>6459 СЕРВЕЛАТ ШВЕЙЦАРСК. в/к с/н в/у 1/100*10  Останкино</v>
          </cell>
          <cell r="B45" t="str">
            <v>шт</v>
          </cell>
          <cell r="C45">
            <v>6459</v>
          </cell>
          <cell r="D45">
            <v>-12</v>
          </cell>
          <cell r="F45">
            <v>-2</v>
          </cell>
          <cell r="G45">
            <v>-12</v>
          </cell>
          <cell r="H45">
            <v>0.1</v>
          </cell>
          <cell r="I45">
            <v>45</v>
          </cell>
          <cell r="J45" t="str">
            <v>в матрице</v>
          </cell>
          <cell r="L45">
            <v>3</v>
          </cell>
          <cell r="M45">
            <v>-5</v>
          </cell>
          <cell r="R45">
            <v>60</v>
          </cell>
          <cell r="S45">
            <v>60</v>
          </cell>
          <cell r="T45">
            <v>-0.4</v>
          </cell>
        </row>
        <row r="46">
          <cell r="A46" t="str">
            <v>6470 ВЕТЧ.МРАМОРНАЯ в/у_45с  Останкино</v>
          </cell>
          <cell r="B46" t="str">
            <v>кг</v>
          </cell>
          <cell r="C46">
            <v>6470</v>
          </cell>
          <cell r="D46">
            <v>60.195</v>
          </cell>
          <cell r="F46">
            <v>39.765000000000001</v>
          </cell>
          <cell r="G46">
            <v>20.43</v>
          </cell>
          <cell r="H46">
            <v>1</v>
          </cell>
          <cell r="L46">
            <v>32.4</v>
          </cell>
          <cell r="M46">
            <v>7.365000000000002</v>
          </cell>
          <cell r="R46">
            <v>0</v>
          </cell>
          <cell r="S46">
            <v>0</v>
          </cell>
          <cell r="T46">
            <v>7.9530000000000003</v>
          </cell>
          <cell r="U46">
            <v>90.912000000000006</v>
          </cell>
          <cell r="V46">
            <v>45.5</v>
          </cell>
        </row>
        <row r="47">
          <cell r="A47" t="str">
            <v>6475 Сосиски Папа может 400г С сыром  ОСТАНКИНО</v>
          </cell>
          <cell r="B47" t="str">
            <v>шт</v>
          </cell>
          <cell r="C47">
            <v>6475</v>
          </cell>
          <cell r="D47">
            <v>150</v>
          </cell>
          <cell r="F47">
            <v>135</v>
          </cell>
          <cell r="G47">
            <v>5</v>
          </cell>
          <cell r="H47">
            <v>0.4</v>
          </cell>
          <cell r="L47">
            <v>182</v>
          </cell>
          <cell r="M47">
            <v>-47</v>
          </cell>
          <cell r="R47">
            <v>125</v>
          </cell>
          <cell r="S47">
            <v>125</v>
          </cell>
          <cell r="T47">
            <v>27</v>
          </cell>
          <cell r="U47">
            <v>123</v>
          </cell>
          <cell r="V47">
            <v>61.5</v>
          </cell>
        </row>
        <row r="48">
          <cell r="A48" t="str">
            <v>6495 ВЕТЧ.МРАМОРНАЯ в/у срез 0,3кг 6шт_45с  Останкино</v>
          </cell>
          <cell r="B48" t="str">
            <v>шт</v>
          </cell>
          <cell r="C48">
            <v>6495</v>
          </cell>
          <cell r="D48">
            <v>194</v>
          </cell>
          <cell r="E48">
            <v>3</v>
          </cell>
          <cell r="F48">
            <v>188</v>
          </cell>
          <cell r="G48">
            <v>4</v>
          </cell>
          <cell r="H48">
            <v>0.3</v>
          </cell>
          <cell r="L48">
            <v>195</v>
          </cell>
          <cell r="M48">
            <v>-7</v>
          </cell>
          <cell r="R48">
            <v>0</v>
          </cell>
          <cell r="S48">
            <v>0</v>
          </cell>
          <cell r="T48">
            <v>37.6</v>
          </cell>
          <cell r="U48">
            <v>522.4</v>
          </cell>
          <cell r="V48">
            <v>261</v>
          </cell>
        </row>
        <row r="49">
          <cell r="A49" t="str">
            <v>6498 МОЛОЧНАЯ Папа может вар п/о  ОСТАНКИНО</v>
          </cell>
          <cell r="B49" t="str">
            <v>кг</v>
          </cell>
          <cell r="C49">
            <v>6498</v>
          </cell>
          <cell r="D49">
            <v>103.15600000000001</v>
          </cell>
          <cell r="E49">
            <v>50.14</v>
          </cell>
          <cell r="F49">
            <v>102.048</v>
          </cell>
          <cell r="G49">
            <v>50.232999999999997</v>
          </cell>
          <cell r="H49">
            <v>1</v>
          </cell>
          <cell r="I49">
            <v>60</v>
          </cell>
          <cell r="J49" t="str">
            <v>в матрице</v>
          </cell>
          <cell r="L49">
            <v>103.5</v>
          </cell>
          <cell r="M49">
            <v>-1.4519999999999982</v>
          </cell>
          <cell r="R49">
            <v>90</v>
          </cell>
          <cell r="S49">
            <v>90</v>
          </cell>
          <cell r="T49">
            <v>20.409600000000001</v>
          </cell>
          <cell r="U49">
            <v>55.50139999999999</v>
          </cell>
          <cell r="V49">
            <v>28</v>
          </cell>
        </row>
        <row r="50">
          <cell r="A50" t="str">
            <v>6527 ШПИКАЧКИ СОЧНЫЕ ПМ сар б/о мгс 1*3 45с ОСТАНКИНО</v>
          </cell>
          <cell r="B50" t="str">
            <v>кг</v>
          </cell>
          <cell r="C50">
            <v>6527</v>
          </cell>
          <cell r="D50">
            <v>78.64</v>
          </cell>
          <cell r="E50">
            <v>127.247</v>
          </cell>
          <cell r="F50">
            <v>56.491999999999997</v>
          </cell>
          <cell r="G50">
            <v>144.09100000000001</v>
          </cell>
          <cell r="H50">
            <v>1</v>
          </cell>
          <cell r="I50">
            <v>45</v>
          </cell>
          <cell r="J50" t="str">
            <v>в матрице</v>
          </cell>
          <cell r="L50">
            <v>60</v>
          </cell>
          <cell r="M50">
            <v>-3.5080000000000027</v>
          </cell>
          <cell r="R50">
            <v>0</v>
          </cell>
          <cell r="S50">
            <v>0</v>
          </cell>
          <cell r="T50">
            <v>11.298399999999999</v>
          </cell>
          <cell r="U50">
            <v>14.086599999999976</v>
          </cell>
          <cell r="V50">
            <v>7</v>
          </cell>
        </row>
        <row r="51">
          <cell r="A51" t="str">
            <v>6550 МЯСНЫЕ Папа может сар б/о мгс 1*3 О 45с  Останкино</v>
          </cell>
          <cell r="B51" t="str">
            <v>кг</v>
          </cell>
          <cell r="C51">
            <v>6550</v>
          </cell>
          <cell r="D51">
            <v>80.477999999999994</v>
          </cell>
          <cell r="E51">
            <v>1.05</v>
          </cell>
          <cell r="F51">
            <v>72.936999999999998</v>
          </cell>
          <cell r="G51">
            <v>4.0350000000000001</v>
          </cell>
          <cell r="H51">
            <v>1</v>
          </cell>
          <cell r="I51">
            <v>45</v>
          </cell>
          <cell r="J51" t="str">
            <v>в матрице</v>
          </cell>
          <cell r="L51">
            <v>73.099999999999994</v>
          </cell>
          <cell r="M51">
            <v>-0.1629999999999967</v>
          </cell>
          <cell r="R51">
            <v>60</v>
          </cell>
          <cell r="S51">
            <v>60</v>
          </cell>
          <cell r="T51">
            <v>14.587399999999999</v>
          </cell>
          <cell r="U51">
            <v>80.18859999999998</v>
          </cell>
          <cell r="V51">
            <v>40</v>
          </cell>
        </row>
        <row r="52">
          <cell r="A52" t="str">
            <v>6602 БАВАРСКИЕ ПМ сос ц/о мгс 0,35кг 8шт  Останкино</v>
          </cell>
          <cell r="B52" t="str">
            <v>шт</v>
          </cell>
          <cell r="C52">
            <v>6602</v>
          </cell>
          <cell r="D52">
            <v>7</v>
          </cell>
          <cell r="F52">
            <v>-1</v>
          </cell>
          <cell r="G52">
            <v>7</v>
          </cell>
          <cell r="H52">
            <v>0.35</v>
          </cell>
          <cell r="I52">
            <v>45</v>
          </cell>
          <cell r="J52" t="str">
            <v>в матрице</v>
          </cell>
          <cell r="L52">
            <v>5</v>
          </cell>
          <cell r="M52">
            <v>-6</v>
          </cell>
          <cell r="R52">
            <v>0</v>
          </cell>
          <cell r="S52">
            <v>0</v>
          </cell>
          <cell r="T52">
            <v>-0.2</v>
          </cell>
        </row>
        <row r="53">
          <cell r="A53" t="str">
            <v>6608 С ГОВЯДИНОЙ ОРИГИН. сар б/о мгс 1*3_45с  ОСТАНКИНО</v>
          </cell>
          <cell r="B53" t="str">
            <v>кг</v>
          </cell>
          <cell r="C53">
            <v>6608</v>
          </cell>
          <cell r="D53">
            <v>68.971999999999994</v>
          </cell>
          <cell r="E53">
            <v>19.626999999999999</v>
          </cell>
          <cell r="F53">
            <v>64.477000000000004</v>
          </cell>
          <cell r="G53">
            <v>20.456</v>
          </cell>
          <cell r="H53">
            <v>1</v>
          </cell>
          <cell r="I53">
            <v>45</v>
          </cell>
          <cell r="J53" t="str">
            <v>в матрице</v>
          </cell>
          <cell r="L53">
            <v>65</v>
          </cell>
          <cell r="M53">
            <v>-0.52299999999999613</v>
          </cell>
          <cell r="R53">
            <v>40</v>
          </cell>
          <cell r="S53">
            <v>40</v>
          </cell>
          <cell r="T53">
            <v>12.8954</v>
          </cell>
          <cell r="U53">
            <v>80.079600000000028</v>
          </cell>
          <cell r="V53">
            <v>40</v>
          </cell>
        </row>
        <row r="54">
          <cell r="A54" t="str">
            <v>6616 МОЛОЧНЫЕ КЛАССИЧЕСКИЕ сос п/о в/у 0,3 кг  Останкино</v>
          </cell>
          <cell r="B54" t="str">
            <v>шт</v>
          </cell>
          <cell r="C54">
            <v>6616</v>
          </cell>
          <cell r="D54">
            <v>162</v>
          </cell>
          <cell r="E54">
            <v>599</v>
          </cell>
          <cell r="F54">
            <v>342</v>
          </cell>
          <cell r="G54">
            <v>409</v>
          </cell>
          <cell r="H54">
            <v>0.3</v>
          </cell>
          <cell r="I54">
            <v>45</v>
          </cell>
          <cell r="J54" t="str">
            <v>в матрице</v>
          </cell>
          <cell r="L54">
            <v>353</v>
          </cell>
          <cell r="M54">
            <v>-11</v>
          </cell>
          <cell r="R54">
            <v>150</v>
          </cell>
          <cell r="S54">
            <v>150</v>
          </cell>
          <cell r="T54">
            <v>68.400000000000006</v>
          </cell>
          <cell r="U54">
            <v>248.60000000000014</v>
          </cell>
          <cell r="V54">
            <v>175</v>
          </cell>
        </row>
        <row r="55">
          <cell r="A55" t="str">
            <v>6661 СОЧНЫЙ ГРИЛЬ ПМ сос п/о мгс 1,5*4_Маяк Останкино</v>
          </cell>
          <cell r="B55" t="str">
            <v>кг</v>
          </cell>
          <cell r="C55">
            <v>6661</v>
          </cell>
          <cell r="D55">
            <v>-5.7000000000000002E-2</v>
          </cell>
          <cell r="E55">
            <v>37.109000000000002</v>
          </cell>
          <cell r="F55">
            <v>9.2639999999999993</v>
          </cell>
          <cell r="G55">
            <v>27.788</v>
          </cell>
          <cell r="H55">
            <v>1</v>
          </cell>
          <cell r="I55">
            <v>45</v>
          </cell>
          <cell r="J55" t="str">
            <v>в матрице</v>
          </cell>
          <cell r="L55">
            <v>9.1</v>
          </cell>
          <cell r="M55">
            <v>0.1639999999999997</v>
          </cell>
          <cell r="R55">
            <v>40</v>
          </cell>
          <cell r="S55">
            <v>40</v>
          </cell>
          <cell r="T55">
            <v>1.8527999999999998</v>
          </cell>
        </row>
        <row r="56">
          <cell r="A56" t="str">
            <v>6697 СЕРВЕЛАТ ФИНСКИЙ ПМ в/к в/у 0,35кг 8шт  ОСТАНКИНО</v>
          </cell>
          <cell r="B56" t="str">
            <v>шт</v>
          </cell>
          <cell r="C56">
            <v>6697</v>
          </cell>
          <cell r="D56">
            <v>171</v>
          </cell>
          <cell r="E56">
            <v>1104</v>
          </cell>
          <cell r="F56">
            <v>527</v>
          </cell>
          <cell r="G56">
            <v>741</v>
          </cell>
          <cell r="H56">
            <v>0.35</v>
          </cell>
          <cell r="I56">
            <v>45</v>
          </cell>
          <cell r="J56" t="str">
            <v>в матрице</v>
          </cell>
          <cell r="L56">
            <v>583</v>
          </cell>
          <cell r="M56">
            <v>-56</v>
          </cell>
          <cell r="R56">
            <v>125</v>
          </cell>
          <cell r="S56">
            <v>125</v>
          </cell>
          <cell r="T56">
            <v>105.4</v>
          </cell>
          <cell r="U56">
            <v>484.60000000000014</v>
          </cell>
          <cell r="V56">
            <v>300</v>
          </cell>
        </row>
        <row r="57">
          <cell r="A57" t="str">
            <v>6713 СОЧНЫЙ ГРИЛЬ ПМ сос п/о мгс 0,41кг 8 шт.  ОСТАНКИНО</v>
          </cell>
          <cell r="B57" t="str">
            <v>шт</v>
          </cell>
          <cell r="C57">
            <v>6713</v>
          </cell>
          <cell r="D57">
            <v>335</v>
          </cell>
          <cell r="E57">
            <v>339</v>
          </cell>
          <cell r="F57">
            <v>366</v>
          </cell>
          <cell r="G57">
            <v>284</v>
          </cell>
          <cell r="H57">
            <v>0.41</v>
          </cell>
          <cell r="I57">
            <v>45</v>
          </cell>
          <cell r="J57" t="str">
            <v>в матрице</v>
          </cell>
          <cell r="L57">
            <v>388</v>
          </cell>
          <cell r="M57">
            <v>-22</v>
          </cell>
          <cell r="R57">
            <v>0</v>
          </cell>
          <cell r="S57">
            <v>0</v>
          </cell>
          <cell r="T57">
            <v>73.2</v>
          </cell>
          <cell r="U57">
            <v>740.8</v>
          </cell>
          <cell r="V57">
            <v>425</v>
          </cell>
        </row>
        <row r="58">
          <cell r="A58" t="str">
            <v>6724 МОЛОЧНЫЕ ПМ сос п/о мгс 0,41кг 10шт  Останкино</v>
          </cell>
          <cell r="B58" t="str">
            <v>шт</v>
          </cell>
          <cell r="C58">
            <v>6724</v>
          </cell>
          <cell r="D58">
            <v>267</v>
          </cell>
          <cell r="E58">
            <v>1</v>
          </cell>
          <cell r="F58">
            <v>114</v>
          </cell>
          <cell r="G58">
            <v>154</v>
          </cell>
          <cell r="H58">
            <v>0.41</v>
          </cell>
          <cell r="I58">
            <v>45</v>
          </cell>
          <cell r="J58" t="str">
            <v>в матрице</v>
          </cell>
          <cell r="L58">
            <v>114</v>
          </cell>
          <cell r="M58">
            <v>0</v>
          </cell>
          <cell r="R58">
            <v>125</v>
          </cell>
          <cell r="S58">
            <v>125</v>
          </cell>
          <cell r="T58">
            <v>22.8</v>
          </cell>
        </row>
        <row r="59">
          <cell r="A59" t="str">
            <v>6761 МОЛОЧНЫЕ ГОСТ сос ц/о мгс 1*4  Останкино</v>
          </cell>
          <cell r="B59" t="str">
            <v>кг</v>
          </cell>
          <cell r="C59">
            <v>6761</v>
          </cell>
          <cell r="D59">
            <v>16.449000000000002</v>
          </cell>
          <cell r="F59">
            <v>0</v>
          </cell>
          <cell r="G59">
            <v>16.449000000000002</v>
          </cell>
          <cell r="H59">
            <v>1</v>
          </cell>
          <cell r="I59">
            <v>30</v>
          </cell>
          <cell r="J59" t="str">
            <v>не в матрице</v>
          </cell>
          <cell r="L59">
            <v>0</v>
          </cell>
          <cell r="M59">
            <v>0</v>
          </cell>
          <cell r="R59">
            <v>0</v>
          </cell>
          <cell r="S59">
            <v>0</v>
          </cell>
          <cell r="T59">
            <v>0</v>
          </cell>
        </row>
        <row r="60">
          <cell r="A60" t="str">
            <v>6765 РУБЛЕНЫЕ сос ц/о мгс 0,36кг 6шт  Останкино</v>
          </cell>
          <cell r="B60" t="str">
            <v>шт</v>
          </cell>
          <cell r="C60">
            <v>6765</v>
          </cell>
          <cell r="D60">
            <v>49</v>
          </cell>
          <cell r="F60">
            <v>-3</v>
          </cell>
          <cell r="G60">
            <v>49</v>
          </cell>
          <cell r="H60">
            <v>0.36</v>
          </cell>
          <cell r="I60">
            <v>45</v>
          </cell>
          <cell r="J60" t="str">
            <v>в матрице</v>
          </cell>
          <cell r="L60">
            <v>105</v>
          </cell>
          <cell r="M60">
            <v>-108</v>
          </cell>
          <cell r="R60">
            <v>0</v>
          </cell>
          <cell r="S60">
            <v>0</v>
          </cell>
          <cell r="T60">
            <v>-0.6</v>
          </cell>
        </row>
        <row r="61">
          <cell r="A61" t="str">
            <v>6767 РУБЛЕНЫЕ сос ц/о мгс 1*4  Останкино</v>
          </cell>
          <cell r="B61" t="str">
            <v>кг</v>
          </cell>
          <cell r="C61">
            <v>6767</v>
          </cell>
          <cell r="D61">
            <v>2.194</v>
          </cell>
          <cell r="F61">
            <v>1.097</v>
          </cell>
          <cell r="G61">
            <v>1.097</v>
          </cell>
          <cell r="H61">
            <v>1</v>
          </cell>
          <cell r="L61">
            <v>1</v>
          </cell>
          <cell r="M61">
            <v>9.6999999999999975E-2</v>
          </cell>
          <cell r="R61">
            <v>25</v>
          </cell>
          <cell r="S61">
            <v>25</v>
          </cell>
          <cell r="T61">
            <v>0.21939999999999998</v>
          </cell>
        </row>
        <row r="62">
          <cell r="A62" t="str">
            <v>6787 СЕРВЕЛАТ КРЕМЛЕВСКИЙ в/к в/у 0,33кг 8шт  Останкино</v>
          </cell>
          <cell r="B62" t="str">
            <v>шт</v>
          </cell>
          <cell r="C62">
            <v>6787</v>
          </cell>
          <cell r="D62">
            <v>113</v>
          </cell>
          <cell r="E62">
            <v>1</v>
          </cell>
          <cell r="F62">
            <v>21</v>
          </cell>
          <cell r="G62">
            <v>87</v>
          </cell>
          <cell r="H62">
            <v>0.33</v>
          </cell>
          <cell r="I62">
            <v>45</v>
          </cell>
          <cell r="J62" t="str">
            <v>в матрице</v>
          </cell>
          <cell r="L62">
            <v>91</v>
          </cell>
          <cell r="M62">
            <v>-70</v>
          </cell>
          <cell r="R62">
            <v>50</v>
          </cell>
          <cell r="S62">
            <v>50</v>
          </cell>
          <cell r="T62">
            <v>4.2</v>
          </cell>
        </row>
        <row r="63">
          <cell r="A63" t="str">
            <v>6793 БАЛЫКОВАЯ в/к в/у 0,33кг 8шт  Останкино</v>
          </cell>
          <cell r="B63" t="str">
            <v>шт</v>
          </cell>
          <cell r="C63">
            <v>6793</v>
          </cell>
          <cell r="D63">
            <v>27</v>
          </cell>
          <cell r="F63">
            <v>14</v>
          </cell>
          <cell r="G63">
            <v>9</v>
          </cell>
          <cell r="H63">
            <v>0.33</v>
          </cell>
          <cell r="I63">
            <v>45</v>
          </cell>
          <cell r="J63" t="str">
            <v>в матрице</v>
          </cell>
          <cell r="L63">
            <v>82</v>
          </cell>
          <cell r="M63">
            <v>-68</v>
          </cell>
          <cell r="R63">
            <v>280</v>
          </cell>
          <cell r="S63">
            <v>280</v>
          </cell>
          <cell r="T63">
            <v>2.8</v>
          </cell>
        </row>
        <row r="64">
          <cell r="A64" t="str">
            <v>6797 С ИНДЕЙКОЙ Папа может вар п/о 0,4кг 8шт. ОСТАНКИНО</v>
          </cell>
          <cell r="B64" t="str">
            <v>шт</v>
          </cell>
          <cell r="C64">
            <v>6797</v>
          </cell>
          <cell r="D64">
            <v>283</v>
          </cell>
          <cell r="E64">
            <v>2</v>
          </cell>
          <cell r="F64">
            <v>140</v>
          </cell>
          <cell r="G64">
            <v>144</v>
          </cell>
          <cell r="H64">
            <v>0.4</v>
          </cell>
          <cell r="L64">
            <v>139</v>
          </cell>
          <cell r="M64">
            <v>1</v>
          </cell>
          <cell r="R64">
            <v>200</v>
          </cell>
          <cell r="S64">
            <v>200</v>
          </cell>
          <cell r="T64">
            <v>28</v>
          </cell>
        </row>
        <row r="65">
          <cell r="A65" t="str">
            <v>6807 СЕРВЕЛАТ ЕВРОПЕЙСКИЙ в/к в/у 0,33кг 8шт  Останкино</v>
          </cell>
          <cell r="B65" t="str">
            <v>шт</v>
          </cell>
          <cell r="C65">
            <v>6807</v>
          </cell>
          <cell r="D65">
            <v>57</v>
          </cell>
          <cell r="E65">
            <v>49</v>
          </cell>
          <cell r="F65">
            <v>10</v>
          </cell>
          <cell r="G65">
            <v>89</v>
          </cell>
          <cell r="H65">
            <v>0.33</v>
          </cell>
          <cell r="L65">
            <v>17</v>
          </cell>
          <cell r="M65">
            <v>-7</v>
          </cell>
          <cell r="R65">
            <v>0</v>
          </cell>
          <cell r="S65">
            <v>0</v>
          </cell>
          <cell r="T65">
            <v>2</v>
          </cell>
        </row>
        <row r="66">
          <cell r="A66" t="str">
            <v>6829  МОЛОЧНЫЕ КЛАССИЧЕСКИЕ сос п/о мгс 2*4 С  Останккино</v>
          </cell>
          <cell r="B66" t="str">
            <v>кг</v>
          </cell>
          <cell r="C66">
            <v>6829</v>
          </cell>
          <cell r="D66">
            <v>72.495999999999995</v>
          </cell>
          <cell r="E66">
            <v>335.55200000000002</v>
          </cell>
          <cell r="F66">
            <v>187.018</v>
          </cell>
          <cell r="G66">
            <v>215.142</v>
          </cell>
          <cell r="H66">
            <v>1</v>
          </cell>
          <cell r="I66">
            <v>45</v>
          </cell>
          <cell r="J66" t="str">
            <v>в матрице</v>
          </cell>
          <cell r="L66">
            <v>185.6</v>
          </cell>
          <cell r="M66">
            <v>1.4180000000000064</v>
          </cell>
          <cell r="R66">
            <v>50</v>
          </cell>
          <cell r="S66">
            <v>50</v>
          </cell>
          <cell r="T66">
            <v>37.403599999999997</v>
          </cell>
          <cell r="U66">
            <v>208.50839999999999</v>
          </cell>
          <cell r="V66">
            <v>130</v>
          </cell>
        </row>
        <row r="67">
          <cell r="A67" t="str">
            <v>6834 ПОСОЛЬСКАЯ с/к с/н в/у 1/100 10шт  Останкино</v>
          </cell>
          <cell r="B67" t="str">
            <v>шт</v>
          </cell>
          <cell r="C67">
            <v>6834</v>
          </cell>
          <cell r="D67">
            <v>57</v>
          </cell>
          <cell r="F67">
            <v>19</v>
          </cell>
          <cell r="G67">
            <v>36</v>
          </cell>
          <cell r="H67">
            <v>0.1</v>
          </cell>
          <cell r="I67">
            <v>60</v>
          </cell>
          <cell r="J67" t="str">
            <v>в матрице</v>
          </cell>
          <cell r="L67">
            <v>26</v>
          </cell>
          <cell r="M67">
            <v>-7</v>
          </cell>
          <cell r="R67">
            <v>0</v>
          </cell>
          <cell r="S67">
            <v>0</v>
          </cell>
          <cell r="T67">
            <v>3.8</v>
          </cell>
          <cell r="U67">
            <v>17.199999999999996</v>
          </cell>
          <cell r="V67">
            <v>50</v>
          </cell>
        </row>
        <row r="68">
          <cell r="A68" t="str">
            <v>6837 ФИЛЕЙНЫЕ Папа Может сос ц/о мгс 0,4кг  Останкино</v>
          </cell>
          <cell r="B68" t="str">
            <v>шт</v>
          </cell>
          <cell r="C68">
            <v>6837</v>
          </cell>
          <cell r="D68">
            <v>206</v>
          </cell>
          <cell r="E68">
            <v>96</v>
          </cell>
          <cell r="F68">
            <v>79</v>
          </cell>
          <cell r="G68">
            <v>209</v>
          </cell>
          <cell r="H68">
            <v>0.4</v>
          </cell>
          <cell r="I68">
            <v>45</v>
          </cell>
          <cell r="J68" t="str">
            <v>в матрице</v>
          </cell>
          <cell r="L68">
            <v>93</v>
          </cell>
          <cell r="M68">
            <v>-14</v>
          </cell>
          <cell r="R68">
            <v>0</v>
          </cell>
          <cell r="S68">
            <v>0</v>
          </cell>
          <cell r="T68">
            <v>15.8</v>
          </cell>
          <cell r="U68">
            <v>12.200000000000017</v>
          </cell>
          <cell r="V68">
            <v>25</v>
          </cell>
        </row>
        <row r="69">
          <cell r="A69" t="str">
            <v>6866 ВЕТЧ.НЕЖНАЯ Коровино п/о_Маяк  Останкино</v>
          </cell>
          <cell r="B69" t="str">
            <v>кг</v>
          </cell>
          <cell r="C69">
            <v>6866</v>
          </cell>
          <cell r="D69">
            <v>7.5049999999999999</v>
          </cell>
          <cell r="E69">
            <v>11.875</v>
          </cell>
          <cell r="F69">
            <v>8.0749999999999993</v>
          </cell>
          <cell r="G69">
            <v>10.404999999999999</v>
          </cell>
          <cell r="H69">
            <v>1</v>
          </cell>
          <cell r="I69">
            <v>60</v>
          </cell>
          <cell r="J69" t="str">
            <v>в матрице</v>
          </cell>
          <cell r="L69">
            <v>9</v>
          </cell>
          <cell r="M69">
            <v>-0.92500000000000071</v>
          </cell>
          <cell r="R69">
            <v>0</v>
          </cell>
          <cell r="S69">
            <v>0</v>
          </cell>
          <cell r="T69">
            <v>1.6149999999999998</v>
          </cell>
          <cell r="U69">
            <v>12.204999999999997</v>
          </cell>
          <cell r="V69">
            <v>25</v>
          </cell>
        </row>
        <row r="70">
          <cell r="A70" t="str">
            <v>6925 ВЕТЧ.КЛАССИЧЕСКАЯ в/у 0,6кг 8шт. ОСТАНКИНО</v>
          </cell>
          <cell r="B70" t="str">
            <v>шт</v>
          </cell>
          <cell r="C70">
            <v>6925</v>
          </cell>
          <cell r="D70">
            <v>1</v>
          </cell>
          <cell r="E70">
            <v>113</v>
          </cell>
          <cell r="F70">
            <v>21</v>
          </cell>
          <cell r="G70">
            <v>90</v>
          </cell>
          <cell r="H70">
            <v>0.6</v>
          </cell>
          <cell r="L70">
            <v>32</v>
          </cell>
          <cell r="M70">
            <v>-11</v>
          </cell>
          <cell r="R70">
            <v>75</v>
          </cell>
          <cell r="S70">
            <v>75</v>
          </cell>
          <cell r="T70">
            <v>4.2</v>
          </cell>
        </row>
        <row r="71">
          <cell r="A71" t="str">
            <v>6955 СОЧНЫЕ Папа может сос п/о мгс 1,5*4 А  Останкино</v>
          </cell>
          <cell r="B71" t="str">
            <v>кг</v>
          </cell>
          <cell r="C71">
            <v>6955</v>
          </cell>
          <cell r="F71">
            <v>1.5549999999999999</v>
          </cell>
          <cell r="G71">
            <v>-1.5549999999999999</v>
          </cell>
          <cell r="H71">
            <v>1</v>
          </cell>
          <cell r="L71">
            <v>1.5</v>
          </cell>
          <cell r="M71">
            <v>5.4999999999999938E-2</v>
          </cell>
          <cell r="R71">
            <v>0</v>
          </cell>
          <cell r="S71">
            <v>0</v>
          </cell>
          <cell r="T71">
            <v>0.311</v>
          </cell>
          <cell r="U71">
            <v>5.9089999999999998</v>
          </cell>
          <cell r="V71">
            <v>32</v>
          </cell>
        </row>
        <row r="72">
          <cell r="A72" t="str">
            <v>6967 БУРГУНДИЯ Папа может с/к в/у 1/250 8шт  Останкино</v>
          </cell>
          <cell r="B72" t="str">
            <v>шт</v>
          </cell>
          <cell r="C72">
            <v>6967</v>
          </cell>
          <cell r="E72">
            <v>144</v>
          </cell>
          <cell r="F72">
            <v>21</v>
          </cell>
          <cell r="G72">
            <v>119</v>
          </cell>
          <cell r="H72">
            <v>0.25</v>
          </cell>
          <cell r="I72">
            <v>120</v>
          </cell>
          <cell r="J72" t="str">
            <v>в матрице</v>
          </cell>
          <cell r="L72">
            <v>34</v>
          </cell>
          <cell r="M72">
            <v>-13</v>
          </cell>
          <cell r="R72">
            <v>0</v>
          </cell>
          <cell r="S72">
            <v>0</v>
          </cell>
          <cell r="T72">
            <v>4.2</v>
          </cell>
        </row>
        <row r="73">
          <cell r="A73" t="str">
            <v>7001 КЛАССИЧЕСКИЕ Папа может сар б/о мгс 1*3  Останкино</v>
          </cell>
          <cell r="B73" t="str">
            <v>кг</v>
          </cell>
          <cell r="C73">
            <v>7001</v>
          </cell>
          <cell r="D73">
            <v>-13.128</v>
          </cell>
          <cell r="E73">
            <v>30.896000000000001</v>
          </cell>
          <cell r="F73">
            <v>2.9710000000000001</v>
          </cell>
          <cell r="G73">
            <v>10.507</v>
          </cell>
          <cell r="H73">
            <v>1</v>
          </cell>
          <cell r="I73">
            <v>45</v>
          </cell>
          <cell r="J73" t="str">
            <v>в матрице</v>
          </cell>
          <cell r="L73">
            <v>7</v>
          </cell>
          <cell r="M73">
            <v>-4.0289999999999999</v>
          </cell>
          <cell r="R73">
            <v>40</v>
          </cell>
          <cell r="S73">
            <v>40</v>
          </cell>
          <cell r="T73">
            <v>0.59420000000000006</v>
          </cell>
        </row>
        <row r="74">
          <cell r="A74" t="str">
            <v>7059 ШПИКАЧКИ СОЧНЫЕ С БЕК. п/о мгс 0,3кг 60с ОСТАНКИНО</v>
          </cell>
          <cell r="B74" t="str">
            <v>шт</v>
          </cell>
          <cell r="C74">
            <v>7059</v>
          </cell>
          <cell r="D74">
            <v>300</v>
          </cell>
          <cell r="E74">
            <v>51</v>
          </cell>
          <cell r="F74">
            <v>189</v>
          </cell>
          <cell r="G74">
            <v>161</v>
          </cell>
          <cell r="H74">
            <v>0.3</v>
          </cell>
          <cell r="L74">
            <v>188</v>
          </cell>
          <cell r="M74">
            <v>1</v>
          </cell>
          <cell r="R74">
            <v>75</v>
          </cell>
          <cell r="S74">
            <v>75</v>
          </cell>
          <cell r="T74">
            <v>37.799999999999997</v>
          </cell>
          <cell r="U74">
            <v>218.19999999999993</v>
          </cell>
          <cell r="V74">
            <v>150</v>
          </cell>
        </row>
        <row r="75">
          <cell r="A75" t="str">
            <v>7066 СОЧНЫЕ ПМ сос п/о мгс 0,41кг 10шт 50с  Останкино</v>
          </cell>
          <cell r="B75" t="str">
            <v>шт</v>
          </cell>
          <cell r="C75">
            <v>7066</v>
          </cell>
          <cell r="D75">
            <v>781</v>
          </cell>
          <cell r="E75">
            <v>1506</v>
          </cell>
          <cell r="F75">
            <v>954</v>
          </cell>
          <cell r="G75">
            <v>1318</v>
          </cell>
          <cell r="H75">
            <v>0.41</v>
          </cell>
          <cell r="I75">
            <v>50</v>
          </cell>
          <cell r="J75" t="str">
            <v>в матрице</v>
          </cell>
          <cell r="L75">
            <v>962</v>
          </cell>
          <cell r="M75">
            <v>-8</v>
          </cell>
          <cell r="R75">
            <v>0</v>
          </cell>
          <cell r="S75">
            <v>0</v>
          </cell>
          <cell r="T75">
            <v>190.8</v>
          </cell>
          <cell r="U75">
            <v>1353.2000000000003</v>
          </cell>
          <cell r="V75">
            <v>750</v>
          </cell>
        </row>
        <row r="76">
          <cell r="A76" t="str">
            <v>7070 СОЧНЫЕ ПМ сос п/о 1,5*4_А_50с  Останкино</v>
          </cell>
          <cell r="B76" t="str">
            <v>кг</v>
          </cell>
          <cell r="C76">
            <v>7070</v>
          </cell>
          <cell r="D76">
            <v>118.04300000000001</v>
          </cell>
          <cell r="E76">
            <v>198.809</v>
          </cell>
          <cell r="F76">
            <v>119.968</v>
          </cell>
          <cell r="G76">
            <v>187.96</v>
          </cell>
          <cell r="H76">
            <v>1</v>
          </cell>
          <cell r="I76">
            <v>50</v>
          </cell>
          <cell r="J76" t="str">
            <v>в матрице</v>
          </cell>
          <cell r="L76">
            <v>126.5</v>
          </cell>
          <cell r="M76">
            <v>-6.5319999999999965</v>
          </cell>
          <cell r="R76">
            <v>0</v>
          </cell>
          <cell r="S76">
            <v>0</v>
          </cell>
          <cell r="T76">
            <v>23.993600000000001</v>
          </cell>
          <cell r="U76">
            <v>147.95039999999997</v>
          </cell>
          <cell r="V76">
            <v>100</v>
          </cell>
        </row>
        <row r="77">
          <cell r="A77" t="str">
            <v>7073 МОЛОЧ.ПРЕМИУМ ПМ сос п/о в/у 1/350_50с  Останкино</v>
          </cell>
          <cell r="B77" t="str">
            <v>шт</v>
          </cell>
          <cell r="C77">
            <v>7073</v>
          </cell>
          <cell r="D77">
            <v>276</v>
          </cell>
          <cell r="E77">
            <v>44</v>
          </cell>
          <cell r="F77">
            <v>160</v>
          </cell>
          <cell r="G77">
            <v>158</v>
          </cell>
          <cell r="H77">
            <v>0.35</v>
          </cell>
          <cell r="I77">
            <v>50</v>
          </cell>
          <cell r="J77" t="str">
            <v>в матрице</v>
          </cell>
          <cell r="L77">
            <v>161</v>
          </cell>
          <cell r="M77">
            <v>-1</v>
          </cell>
          <cell r="R77">
            <v>0</v>
          </cell>
          <cell r="S77">
            <v>0</v>
          </cell>
          <cell r="T77">
            <v>32</v>
          </cell>
          <cell r="U77">
            <v>290</v>
          </cell>
          <cell r="V77">
            <v>180</v>
          </cell>
        </row>
        <row r="78">
          <cell r="A78" t="str">
            <v>7075 МОЛОЧ.ПРЕМИУМ ПМ сос п/о мгс 1,5*4_О_50с  Останкино</v>
          </cell>
          <cell r="B78" t="str">
            <v>кг</v>
          </cell>
          <cell r="C78">
            <v>7075</v>
          </cell>
          <cell r="D78">
            <v>-7.7430000000000003</v>
          </cell>
          <cell r="E78">
            <v>37.54</v>
          </cell>
          <cell r="F78">
            <v>1.56</v>
          </cell>
          <cell r="G78">
            <v>28.236999999999998</v>
          </cell>
          <cell r="H78">
            <v>1</v>
          </cell>
          <cell r="I78">
            <v>50</v>
          </cell>
          <cell r="J78" t="str">
            <v>в матрице</v>
          </cell>
          <cell r="L78">
            <v>1.5</v>
          </cell>
          <cell r="M78">
            <v>6.0000000000000053E-2</v>
          </cell>
          <cell r="R78">
            <v>5</v>
          </cell>
          <cell r="S78">
            <v>5</v>
          </cell>
          <cell r="T78">
            <v>0.312</v>
          </cell>
        </row>
        <row r="79">
          <cell r="A79" t="str">
            <v>7080 СЛИВОЧНЫЕ ПМ сос п/о мгс 0,41кг 10шт 50с  Останкино</v>
          </cell>
          <cell r="B79" t="str">
            <v>шт</v>
          </cell>
          <cell r="C79">
            <v>7080</v>
          </cell>
          <cell r="D79">
            <v>709</v>
          </cell>
          <cell r="E79">
            <v>102</v>
          </cell>
          <cell r="F79">
            <v>495</v>
          </cell>
          <cell r="G79">
            <v>308</v>
          </cell>
          <cell r="H79">
            <v>0.41</v>
          </cell>
          <cell r="I79">
            <v>50</v>
          </cell>
          <cell r="J79" t="str">
            <v>в матрице</v>
          </cell>
          <cell r="L79">
            <v>498</v>
          </cell>
          <cell r="M79">
            <v>-3</v>
          </cell>
          <cell r="R79">
            <v>325</v>
          </cell>
          <cell r="S79">
            <v>325</v>
          </cell>
          <cell r="T79">
            <v>99</v>
          </cell>
          <cell r="U79">
            <v>428</v>
          </cell>
          <cell r="V79">
            <v>260</v>
          </cell>
        </row>
        <row r="80">
          <cell r="A80" t="str">
            <v>7082 СЛИВОЧНЫЕ ПМ сос п/о мгс 1,5*4_50с  Останкино</v>
          </cell>
          <cell r="B80" t="str">
            <v>кг</v>
          </cell>
          <cell r="C80">
            <v>7082</v>
          </cell>
          <cell r="D80">
            <v>-1.5620000000000001</v>
          </cell>
          <cell r="F80">
            <v>-3.0369999999999999</v>
          </cell>
          <cell r="G80">
            <v>-1.5620000000000001</v>
          </cell>
          <cell r="H80">
            <v>1</v>
          </cell>
          <cell r="L80">
            <v>0</v>
          </cell>
          <cell r="M80">
            <v>-3.0369999999999999</v>
          </cell>
          <cell r="R80">
            <v>0</v>
          </cell>
          <cell r="S80">
            <v>0</v>
          </cell>
          <cell r="T80">
            <v>-0.60739999999999994</v>
          </cell>
        </row>
        <row r="81">
          <cell r="A81" t="str">
            <v>7083 СЛИВОЧНЫЕ ПМ сос п/о мгс 1.5*4_А_50с  ОСТАНКИНО</v>
          </cell>
          <cell r="B81" t="str">
            <v>кг</v>
          </cell>
          <cell r="C81">
            <v>7083</v>
          </cell>
          <cell r="D81">
            <v>158.964</v>
          </cell>
          <cell r="E81">
            <v>3.0579999999999998</v>
          </cell>
          <cell r="F81">
            <v>61.933999999999997</v>
          </cell>
          <cell r="G81">
            <v>98.575999999999993</v>
          </cell>
          <cell r="H81">
            <v>1</v>
          </cell>
          <cell r="L81">
            <v>61.8</v>
          </cell>
          <cell r="M81">
            <v>0.13400000000000034</v>
          </cell>
          <cell r="R81">
            <v>0</v>
          </cell>
          <cell r="S81">
            <v>0</v>
          </cell>
          <cell r="T81">
            <v>12.386799999999999</v>
          </cell>
          <cell r="U81">
            <v>74.839200000000005</v>
          </cell>
          <cell r="V81">
            <v>75</v>
          </cell>
        </row>
        <row r="82">
          <cell r="A82" t="str">
            <v>7090 СВИНИНА ПО-ДОМ.к/в мл/к в/у 0,3кг_50с  Останкино</v>
          </cell>
          <cell r="B82" t="str">
            <v>шт</v>
          </cell>
          <cell r="C82">
            <v>7090</v>
          </cell>
          <cell r="D82">
            <v>163</v>
          </cell>
          <cell r="E82">
            <v>242</v>
          </cell>
          <cell r="F82">
            <v>94</v>
          </cell>
          <cell r="G82">
            <v>303</v>
          </cell>
          <cell r="H82">
            <v>0.3</v>
          </cell>
          <cell r="I82">
            <v>50</v>
          </cell>
          <cell r="J82" t="str">
            <v>в матрице</v>
          </cell>
          <cell r="L82">
            <v>102</v>
          </cell>
          <cell r="M82">
            <v>-8</v>
          </cell>
          <cell r="R82">
            <v>0</v>
          </cell>
          <cell r="S82">
            <v>0</v>
          </cell>
          <cell r="T82">
            <v>18.8</v>
          </cell>
        </row>
        <row r="83">
          <cell r="A83" t="str">
            <v>7103 БЕКОН Останкино с/к с/н в/у 1/180_50с  Останкино</v>
          </cell>
          <cell r="B83" t="str">
            <v>шт</v>
          </cell>
          <cell r="C83">
            <v>7103</v>
          </cell>
          <cell r="D83">
            <v>5</v>
          </cell>
          <cell r="E83">
            <v>302</v>
          </cell>
          <cell r="F83">
            <v>68</v>
          </cell>
          <cell r="G83">
            <v>226</v>
          </cell>
          <cell r="H83">
            <v>0.18</v>
          </cell>
          <cell r="I83">
            <v>50</v>
          </cell>
          <cell r="J83" t="str">
            <v>в матрице</v>
          </cell>
          <cell r="L83">
            <v>124</v>
          </cell>
          <cell r="M83">
            <v>-56</v>
          </cell>
          <cell r="R83">
            <v>0</v>
          </cell>
          <cell r="S83">
            <v>0</v>
          </cell>
          <cell r="T83">
            <v>13.6</v>
          </cell>
        </row>
        <row r="84">
          <cell r="A84" t="str">
            <v>7131 БАЛЫКОВАЯ в/к в/у 0,84кг  Останкино</v>
          </cell>
          <cell r="B84" t="str">
            <v>кг</v>
          </cell>
          <cell r="C84">
            <v>7131</v>
          </cell>
          <cell r="D84">
            <v>0.56000000000000005</v>
          </cell>
          <cell r="F84">
            <v>0</v>
          </cell>
          <cell r="G84">
            <v>0.56000000000000005</v>
          </cell>
          <cell r="H84">
            <v>1</v>
          </cell>
          <cell r="I84">
            <v>45</v>
          </cell>
          <cell r="J84" t="str">
            <v>в матрице</v>
          </cell>
          <cell r="L84">
            <v>10.5</v>
          </cell>
          <cell r="M84">
            <v>-10.5</v>
          </cell>
          <cell r="R84">
            <v>0</v>
          </cell>
          <cell r="S84">
            <v>0</v>
          </cell>
          <cell r="T84">
            <v>0</v>
          </cell>
        </row>
        <row r="85">
          <cell r="A85" t="str">
            <v>7154 СЕРВЕЛАТ ЗЕРНИСТЫЙ ПМ в/к в/у 0,35кг_50с  Останкино</v>
          </cell>
          <cell r="B85" t="str">
            <v>шт</v>
          </cell>
          <cell r="C85">
            <v>7154</v>
          </cell>
          <cell r="D85">
            <v>416</v>
          </cell>
          <cell r="E85">
            <v>149</v>
          </cell>
          <cell r="F85">
            <v>466</v>
          </cell>
          <cell r="G85">
            <v>78</v>
          </cell>
          <cell r="H85">
            <v>0.35</v>
          </cell>
          <cell r="I85">
            <v>50</v>
          </cell>
          <cell r="J85" t="str">
            <v>в матрице</v>
          </cell>
          <cell r="L85">
            <v>496</v>
          </cell>
          <cell r="M85">
            <v>-30</v>
          </cell>
          <cell r="R85">
            <v>425</v>
          </cell>
          <cell r="S85">
            <v>425</v>
          </cell>
          <cell r="T85">
            <v>93.2</v>
          </cell>
          <cell r="U85">
            <v>376.79999999999995</v>
          </cell>
          <cell r="V85">
            <v>225</v>
          </cell>
        </row>
        <row r="86">
          <cell r="A86" t="str">
            <v>7157 СЕРВЕЛАТ ЗЕРНИСТЫЙ ПМ в/к в/у_50с  Останкино</v>
          </cell>
          <cell r="B86" t="str">
            <v>кг</v>
          </cell>
          <cell r="C86">
            <v>7157</v>
          </cell>
          <cell r="D86">
            <v>53.01</v>
          </cell>
          <cell r="E86">
            <v>170.892</v>
          </cell>
          <cell r="F86">
            <v>136.91</v>
          </cell>
          <cell r="G86">
            <v>73.849000000000004</v>
          </cell>
          <cell r="H86">
            <v>1</v>
          </cell>
          <cell r="I86">
            <v>50</v>
          </cell>
          <cell r="J86" t="str">
            <v>в матрице</v>
          </cell>
          <cell r="L86">
            <v>151.5</v>
          </cell>
          <cell r="M86">
            <v>-14.590000000000003</v>
          </cell>
          <cell r="R86">
            <v>100</v>
          </cell>
          <cell r="S86">
            <v>100</v>
          </cell>
          <cell r="T86">
            <v>27.381999999999998</v>
          </cell>
          <cell r="U86">
            <v>109.49899999999997</v>
          </cell>
          <cell r="V86">
            <v>75</v>
          </cell>
        </row>
        <row r="87">
          <cell r="A87" t="str">
            <v>7166 СЕРВЕЛАТ ОХОТНИЧИЙ ПМ в/к в/у_50с  Останкино</v>
          </cell>
          <cell r="B87" t="str">
            <v>кг</v>
          </cell>
          <cell r="C87">
            <v>7166</v>
          </cell>
          <cell r="D87">
            <v>-22.26</v>
          </cell>
          <cell r="E87">
            <v>289.01400000000001</v>
          </cell>
          <cell r="F87">
            <v>150.86500000000001</v>
          </cell>
          <cell r="G87">
            <v>103.33</v>
          </cell>
          <cell r="H87">
            <v>1</v>
          </cell>
          <cell r="I87">
            <v>50</v>
          </cell>
          <cell r="J87" t="str">
            <v>в матрице</v>
          </cell>
          <cell r="L87">
            <v>164.4</v>
          </cell>
          <cell r="M87">
            <v>-13.534999999999997</v>
          </cell>
          <cell r="R87">
            <v>0</v>
          </cell>
          <cell r="S87">
            <v>0</v>
          </cell>
          <cell r="T87">
            <v>30.173000000000002</v>
          </cell>
          <cell r="U87">
            <v>319.09200000000004</v>
          </cell>
          <cell r="V87">
            <v>225</v>
          </cell>
        </row>
        <row r="88">
          <cell r="A88" t="str">
            <v>7169 СЕРВЕЛАТ ОХОТНИЧИЙ ПМ в/к в/у 0,35кг_50с  Останкино</v>
          </cell>
          <cell r="B88" t="str">
            <v>шт</v>
          </cell>
          <cell r="C88">
            <v>7169</v>
          </cell>
          <cell r="D88">
            <v>301</v>
          </cell>
          <cell r="E88">
            <v>1098</v>
          </cell>
          <cell r="F88">
            <v>516</v>
          </cell>
          <cell r="G88">
            <v>859</v>
          </cell>
          <cell r="H88">
            <v>0.35</v>
          </cell>
          <cell r="I88">
            <v>50</v>
          </cell>
          <cell r="J88" t="str">
            <v>в матрице</v>
          </cell>
          <cell r="L88">
            <v>539</v>
          </cell>
          <cell r="M88">
            <v>-23</v>
          </cell>
          <cell r="R88">
            <v>0</v>
          </cell>
          <cell r="S88">
            <v>0</v>
          </cell>
          <cell r="T88">
            <v>103.2</v>
          </cell>
          <cell r="U88">
            <v>585.79999999999995</v>
          </cell>
          <cell r="V88">
            <v>325</v>
          </cell>
        </row>
        <row r="89">
          <cell r="A89" t="str">
            <v>7187 ГРУДИНКА ПРЕМИУМ к/в мл/к в/у 0,3кг_50с  Останкино</v>
          </cell>
          <cell r="B89" t="str">
            <v>шт</v>
          </cell>
          <cell r="C89">
            <v>7187</v>
          </cell>
          <cell r="D89">
            <v>53</v>
          </cell>
          <cell r="E89">
            <v>244</v>
          </cell>
          <cell r="F89">
            <v>92</v>
          </cell>
          <cell r="G89">
            <v>197</v>
          </cell>
          <cell r="H89">
            <v>0.3</v>
          </cell>
          <cell r="I89">
            <v>50</v>
          </cell>
          <cell r="J89" t="str">
            <v>в матрице</v>
          </cell>
          <cell r="L89">
            <v>100</v>
          </cell>
          <cell r="M89">
            <v>-8</v>
          </cell>
          <cell r="R89">
            <v>0</v>
          </cell>
          <cell r="S89">
            <v>0</v>
          </cell>
          <cell r="T89">
            <v>18.399999999999999</v>
          </cell>
          <cell r="U89">
            <v>60.599999999999966</v>
          </cell>
          <cell r="V89">
            <v>60</v>
          </cell>
        </row>
        <row r="90">
          <cell r="A90" t="str">
            <v>7231 КЛАССИЧЕСКАЯ ПМ вар п/о 0,3кг 8 шт_209к  Останкино</v>
          </cell>
          <cell r="B90" t="str">
            <v>шт</v>
          </cell>
          <cell r="C90">
            <v>7231</v>
          </cell>
          <cell r="D90">
            <v>177</v>
          </cell>
          <cell r="E90">
            <v>97</v>
          </cell>
          <cell r="F90">
            <v>17</v>
          </cell>
          <cell r="G90">
            <v>249</v>
          </cell>
          <cell r="H90">
            <v>0.3</v>
          </cell>
          <cell r="I90">
            <v>60</v>
          </cell>
          <cell r="J90" t="str">
            <v>в матрице</v>
          </cell>
          <cell r="L90">
            <v>25</v>
          </cell>
          <cell r="M90">
            <v>-8</v>
          </cell>
          <cell r="R90">
            <v>0</v>
          </cell>
          <cell r="S90">
            <v>0</v>
          </cell>
          <cell r="T90">
            <v>3.4</v>
          </cell>
          <cell r="V90">
            <v>0</v>
          </cell>
        </row>
        <row r="91">
          <cell r="A91" t="str">
            <v>7232 БОЯNСКАЯ ПМ п/к в/у 0,28кг 8шт_209к  Останкино</v>
          </cell>
          <cell r="B91" t="str">
            <v>шт</v>
          </cell>
          <cell r="C91">
            <v>7232</v>
          </cell>
          <cell r="D91">
            <v>115</v>
          </cell>
          <cell r="E91">
            <v>450</v>
          </cell>
          <cell r="F91">
            <v>302</v>
          </cell>
          <cell r="G91">
            <v>243</v>
          </cell>
          <cell r="H91">
            <v>0.28000000000000003</v>
          </cell>
          <cell r="I91">
            <v>50</v>
          </cell>
          <cell r="J91" t="str">
            <v>в матрице</v>
          </cell>
          <cell r="L91">
            <v>322</v>
          </cell>
          <cell r="M91">
            <v>-20</v>
          </cell>
          <cell r="R91">
            <v>150</v>
          </cell>
          <cell r="S91">
            <v>150</v>
          </cell>
          <cell r="T91">
            <v>60.4</v>
          </cell>
          <cell r="U91">
            <v>302.60000000000002</v>
          </cell>
          <cell r="V91">
            <v>151.5</v>
          </cell>
        </row>
        <row r="92">
          <cell r="A92" t="str">
            <v>7236 СЕРВЕЛАТ КАРЕЛЬСКИЙ в/к в/у 0,28кг_209к  Останкино</v>
          </cell>
          <cell r="B92" t="str">
            <v>шт</v>
          </cell>
          <cell r="C92">
            <v>7236</v>
          </cell>
          <cell r="D92">
            <v>272</v>
          </cell>
          <cell r="E92">
            <v>98</v>
          </cell>
          <cell r="F92">
            <v>303</v>
          </cell>
          <cell r="G92">
            <v>36</v>
          </cell>
          <cell r="H92">
            <v>0.28000000000000003</v>
          </cell>
          <cell r="I92">
            <v>45</v>
          </cell>
          <cell r="J92" t="str">
            <v>в матрице</v>
          </cell>
          <cell r="L92">
            <v>335</v>
          </cell>
          <cell r="M92">
            <v>-32</v>
          </cell>
          <cell r="R92">
            <v>300</v>
          </cell>
          <cell r="S92">
            <v>300</v>
          </cell>
          <cell r="T92">
            <v>60.6</v>
          </cell>
          <cell r="U92">
            <v>212.39999999999998</v>
          </cell>
          <cell r="V92">
            <v>140</v>
          </cell>
        </row>
        <row r="93">
          <cell r="A93" t="str">
            <v>7237 СЕРВЕЛАТ ШВАРЦЕР ПМ в/к в/у 0,28кг_209к  Останкино</v>
          </cell>
          <cell r="B93" t="str">
            <v>шт</v>
          </cell>
          <cell r="C93">
            <v>7237</v>
          </cell>
          <cell r="D93">
            <v>55</v>
          </cell>
          <cell r="F93">
            <v>47</v>
          </cell>
          <cell r="G93">
            <v>1</v>
          </cell>
          <cell r="H93">
            <v>0.28000000000000003</v>
          </cell>
          <cell r="I93">
            <v>45</v>
          </cell>
          <cell r="J93" t="str">
            <v>в матрице</v>
          </cell>
          <cell r="L93">
            <v>71</v>
          </cell>
          <cell r="M93">
            <v>-24</v>
          </cell>
          <cell r="R93">
            <v>125</v>
          </cell>
          <cell r="S93">
            <v>125</v>
          </cell>
          <cell r="T93">
            <v>9.4</v>
          </cell>
        </row>
        <row r="94">
          <cell r="A94" t="str">
            <v>7241 САЛЯМИ Папа может п/к в/у 0,28кг ОСТАНКИНО</v>
          </cell>
          <cell r="B94" t="str">
            <v>шт</v>
          </cell>
          <cell r="C94">
            <v>7241</v>
          </cell>
          <cell r="D94">
            <v>71</v>
          </cell>
          <cell r="E94">
            <v>210</v>
          </cell>
          <cell r="F94">
            <v>200</v>
          </cell>
          <cell r="G94">
            <v>61</v>
          </cell>
          <cell r="H94">
            <v>0.28000000000000003</v>
          </cell>
          <cell r="I94">
            <v>45</v>
          </cell>
          <cell r="J94" t="str">
            <v>в матрице</v>
          </cell>
          <cell r="L94">
            <v>236</v>
          </cell>
          <cell r="M94">
            <v>-36</v>
          </cell>
          <cell r="R94">
            <v>210</v>
          </cell>
          <cell r="S94">
            <v>210</v>
          </cell>
          <cell r="T94">
            <v>40</v>
          </cell>
          <cell r="U94">
            <v>79</v>
          </cell>
          <cell r="V94">
            <v>75</v>
          </cell>
        </row>
        <row r="95">
          <cell r="A95" t="str">
            <v>7255 МЯСНЫЕ С ГОВЯД.ПМ сос п/о мгс 0.4кг 6шт.  ОСТАНКИНО</v>
          </cell>
          <cell r="B95" t="str">
            <v>шт</v>
          </cell>
          <cell r="C95">
            <v>7255</v>
          </cell>
          <cell r="D95">
            <v>424</v>
          </cell>
          <cell r="E95">
            <v>354</v>
          </cell>
          <cell r="F95">
            <v>509</v>
          </cell>
          <cell r="G95">
            <v>267</v>
          </cell>
          <cell r="H95">
            <v>0.4</v>
          </cell>
          <cell r="I95">
            <v>50</v>
          </cell>
          <cell r="J95" t="str">
            <v>в матрице</v>
          </cell>
          <cell r="L95">
            <v>507</v>
          </cell>
          <cell r="M95">
            <v>2</v>
          </cell>
          <cell r="R95">
            <v>300</v>
          </cell>
          <cell r="S95">
            <v>300</v>
          </cell>
          <cell r="T95">
            <v>101.8</v>
          </cell>
          <cell r="U95">
            <v>558.20000000000005</v>
          </cell>
          <cell r="V95">
            <v>325</v>
          </cell>
        </row>
        <row r="96">
          <cell r="A96" t="str">
            <v>7288 БАЛЫК с/к с/н в/у 1/100 10шт ОСТАНКИНО</v>
          </cell>
          <cell r="B96" t="str">
            <v>шт</v>
          </cell>
          <cell r="C96">
            <v>7288</v>
          </cell>
          <cell r="D96">
            <v>48</v>
          </cell>
          <cell r="F96">
            <v>40</v>
          </cell>
          <cell r="G96">
            <v>8</v>
          </cell>
          <cell r="H96">
            <v>0.1</v>
          </cell>
          <cell r="I96">
            <v>60</v>
          </cell>
          <cell r="J96" t="str">
            <v>в матрице</v>
          </cell>
          <cell r="L96">
            <v>40</v>
          </cell>
          <cell r="M96">
            <v>0</v>
          </cell>
          <cell r="R96">
            <v>25</v>
          </cell>
          <cell r="S96">
            <v>25</v>
          </cell>
          <cell r="T96">
            <v>8</v>
          </cell>
          <cell r="U96">
            <v>54</v>
          </cell>
          <cell r="V96">
            <v>27</v>
          </cell>
        </row>
        <row r="97">
          <cell r="A97" t="str">
            <v>7332 БОЯРСКАЯ ПМ п/к в/у 0,28кг ОСТАНКИНО</v>
          </cell>
          <cell r="B97" t="str">
            <v>шт</v>
          </cell>
          <cell r="C97">
            <v>7332</v>
          </cell>
          <cell r="D97">
            <v>44</v>
          </cell>
          <cell r="E97">
            <v>16</v>
          </cell>
          <cell r="F97">
            <v>26</v>
          </cell>
          <cell r="G97">
            <v>28</v>
          </cell>
          <cell r="H97">
            <v>0.28000000000000003</v>
          </cell>
          <cell r="I97">
            <v>50</v>
          </cell>
          <cell r="J97" t="str">
            <v>в матрице</v>
          </cell>
          <cell r="L97">
            <v>35</v>
          </cell>
          <cell r="M97">
            <v>-9</v>
          </cell>
          <cell r="R97">
            <v>12</v>
          </cell>
          <cell r="S97">
            <v>12</v>
          </cell>
          <cell r="T97">
            <v>5.2</v>
          </cell>
          <cell r="U97">
            <v>20.799999999999997</v>
          </cell>
          <cell r="V97">
            <v>10.5</v>
          </cell>
        </row>
        <row r="98">
          <cell r="A98" t="str">
            <v>7333 СЕРВЕЛАТ ОХОТНИЧИЙ ПМ в/к в/у 0,28кг ОСТАНКИНО</v>
          </cell>
          <cell r="B98" t="str">
            <v>шт</v>
          </cell>
          <cell r="C98">
            <v>7333</v>
          </cell>
          <cell r="D98">
            <v>11</v>
          </cell>
          <cell r="F98">
            <v>1</v>
          </cell>
          <cell r="G98">
            <v>10</v>
          </cell>
          <cell r="H98">
            <v>0.28000000000000003</v>
          </cell>
          <cell r="I98">
            <v>50</v>
          </cell>
          <cell r="J98" t="str">
            <v>в матрице</v>
          </cell>
          <cell r="L98">
            <v>1</v>
          </cell>
          <cell r="M98">
            <v>0</v>
          </cell>
          <cell r="R98">
            <v>0</v>
          </cell>
          <cell r="S98">
            <v>0</v>
          </cell>
          <cell r="T98">
            <v>0.2</v>
          </cell>
        </row>
        <row r="99">
          <cell r="A99" t="str">
            <v>7371 БРЕСТСКИЕ сос п/о в/у 0,3кг 8шт. ОСТАНКИНО</v>
          </cell>
          <cell r="B99" t="str">
            <v>шт</v>
          </cell>
          <cell r="C99">
            <v>7371</v>
          </cell>
          <cell r="D99">
            <v>307</v>
          </cell>
          <cell r="E99">
            <v>148</v>
          </cell>
          <cell r="F99">
            <v>195</v>
          </cell>
          <cell r="G99">
            <v>256</v>
          </cell>
          <cell r="H99">
            <v>0.3</v>
          </cell>
          <cell r="L99">
            <v>196</v>
          </cell>
          <cell r="M99">
            <v>-1</v>
          </cell>
          <cell r="R99">
            <v>0</v>
          </cell>
          <cell r="S99">
            <v>0</v>
          </cell>
          <cell r="T99">
            <v>39</v>
          </cell>
          <cell r="U99">
            <v>290</v>
          </cell>
          <cell r="V99">
            <v>145</v>
          </cell>
        </row>
        <row r="100">
          <cell r="A100" t="str">
            <v>7382  САЛЯМИ МЕЛКОЗЕРНЕНАЯ с/к в/у1/120 8шт.  ОСТАНКИНО</v>
          </cell>
          <cell r="B100" t="str">
            <v>шт</v>
          </cell>
          <cell r="C100">
            <v>7382</v>
          </cell>
          <cell r="D100">
            <v>255</v>
          </cell>
          <cell r="E100">
            <v>5</v>
          </cell>
          <cell r="F100">
            <v>169</v>
          </cell>
          <cell r="G100">
            <v>88</v>
          </cell>
          <cell r="H100">
            <v>0.12</v>
          </cell>
          <cell r="I100">
            <v>60</v>
          </cell>
          <cell r="J100" t="str">
            <v>в матрице</v>
          </cell>
          <cell r="L100">
            <v>172</v>
          </cell>
          <cell r="M100">
            <v>-3</v>
          </cell>
          <cell r="R100">
            <v>0</v>
          </cell>
          <cell r="S100">
            <v>0</v>
          </cell>
          <cell r="T100">
            <v>33.799999999999997</v>
          </cell>
          <cell r="U100">
            <v>385.19999999999993</v>
          </cell>
          <cell r="V100">
            <v>192.5</v>
          </cell>
        </row>
        <row r="101">
          <cell r="A101" t="str">
            <v>7461 ДЛЯ ДЕТЕЙ Папа Может сос п/о мгс 0,33кг ОСТАНКИНО</v>
          </cell>
          <cell r="B101" t="str">
            <v>шт</v>
          </cell>
          <cell r="C101">
            <v>7461</v>
          </cell>
          <cell r="D101">
            <v>201</v>
          </cell>
          <cell r="E101">
            <v>5</v>
          </cell>
          <cell r="F101">
            <v>190</v>
          </cell>
          <cell r="G101">
            <v>2</v>
          </cell>
          <cell r="H101">
            <v>0.33</v>
          </cell>
          <cell r="L101">
            <v>233</v>
          </cell>
          <cell r="M101">
            <v>-43</v>
          </cell>
          <cell r="R101">
            <v>250</v>
          </cell>
          <cell r="S101">
            <v>250</v>
          </cell>
          <cell r="T101">
            <v>38</v>
          </cell>
          <cell r="U101">
            <v>30</v>
          </cell>
          <cell r="V101">
            <v>15</v>
          </cell>
        </row>
        <row r="102">
          <cell r="A102" t="str">
            <v>7489 СЫРРРВЕЛАТ Папа Может в/к в/у 0,28кг 8шт. ОСТАНКИНО</v>
          </cell>
          <cell r="B102" t="str">
            <v>шт</v>
          </cell>
          <cell r="C102">
            <v>7489</v>
          </cell>
          <cell r="E102">
            <v>249</v>
          </cell>
          <cell r="F102">
            <v>14</v>
          </cell>
          <cell r="G102">
            <v>234</v>
          </cell>
          <cell r="H102">
            <v>0.28000000000000003</v>
          </cell>
          <cell r="L102">
            <v>15</v>
          </cell>
          <cell r="M102">
            <v>-1</v>
          </cell>
          <cell r="R102">
            <v>0</v>
          </cell>
          <cell r="S102">
            <v>0</v>
          </cell>
          <cell r="T102">
            <v>2.8</v>
          </cell>
        </row>
        <row r="103">
          <cell r="A103" t="str">
            <v>7523 ГОВЯЖЬЯ Папа Может вар п/о 0,4кг 6шт. ОСТАНКИНО</v>
          </cell>
          <cell r="B103" t="str">
            <v>шт</v>
          </cell>
          <cell r="C103">
            <v>7523</v>
          </cell>
          <cell r="D103">
            <v>163</v>
          </cell>
          <cell r="E103">
            <v>1</v>
          </cell>
          <cell r="F103">
            <v>102</v>
          </cell>
          <cell r="G103">
            <v>62</v>
          </cell>
          <cell r="H103">
            <v>0.4</v>
          </cell>
          <cell r="L103">
            <v>102</v>
          </cell>
          <cell r="M103">
            <v>0</v>
          </cell>
          <cell r="R103">
            <v>30</v>
          </cell>
          <cell r="S103">
            <v>30</v>
          </cell>
          <cell r="T103">
            <v>20.399999999999999</v>
          </cell>
          <cell r="U103">
            <v>163.59999999999997</v>
          </cell>
          <cell r="V103">
            <v>82</v>
          </cell>
        </row>
        <row r="104">
          <cell r="A104" t="str">
            <v>7539 ДОКТОРСКАЯ ГОСТ вар п/о 0,35кг ОСТАНКИНО</v>
          </cell>
          <cell r="B104" t="str">
            <v>шт</v>
          </cell>
          <cell r="C104">
            <v>7539</v>
          </cell>
          <cell r="D104">
            <v>40</v>
          </cell>
          <cell r="E104">
            <v>1</v>
          </cell>
          <cell r="F104">
            <v>2</v>
          </cell>
          <cell r="G104">
            <v>39</v>
          </cell>
          <cell r="H104">
            <v>0.35</v>
          </cell>
          <cell r="L104">
            <v>2</v>
          </cell>
          <cell r="M104">
            <v>0</v>
          </cell>
          <cell r="R104">
            <v>0</v>
          </cell>
          <cell r="S104">
            <v>0</v>
          </cell>
          <cell r="T104">
            <v>0.4</v>
          </cell>
          <cell r="V104">
            <v>25</v>
          </cell>
        </row>
        <row r="105">
          <cell r="A105" t="str">
            <v>7564 Балыковая в/к в/у Останкино Вес  ОСТАНКИНО</v>
          </cell>
          <cell r="B105" t="str">
            <v>кг</v>
          </cell>
          <cell r="C105">
            <v>7564</v>
          </cell>
          <cell r="D105">
            <v>3.347</v>
          </cell>
          <cell r="F105">
            <v>2.512</v>
          </cell>
          <cell r="G105">
            <v>0.83499999999999996</v>
          </cell>
          <cell r="H105">
            <v>1</v>
          </cell>
          <cell r="L105">
            <v>18.7</v>
          </cell>
          <cell r="M105">
            <v>-16.187999999999999</v>
          </cell>
          <cell r="R105">
            <v>64</v>
          </cell>
          <cell r="S105">
            <v>64</v>
          </cell>
          <cell r="T105">
            <v>0.50239999999999996</v>
          </cell>
        </row>
        <row r="106">
          <cell r="A106" t="str">
            <v>7603 БАЛЫКОВАЯ в/к в/у 0.33кг 8шт. ОСТАНКИНО</v>
          </cell>
          <cell r="B106" t="str">
            <v>шт</v>
          </cell>
          <cell r="C106">
            <v>7603</v>
          </cell>
          <cell r="D106">
            <v>-2</v>
          </cell>
          <cell r="F106">
            <v>1</v>
          </cell>
          <cell r="G106">
            <v>-3</v>
          </cell>
          <cell r="H106">
            <v>0.33</v>
          </cell>
          <cell r="L106">
            <v>1</v>
          </cell>
          <cell r="M106">
            <v>0</v>
          </cell>
          <cell r="R106">
            <v>4</v>
          </cell>
          <cell r="S106">
            <v>4</v>
          </cell>
          <cell r="T106">
            <v>0.2</v>
          </cell>
        </row>
        <row r="107">
          <cell r="A107" t="str">
            <v>А_5452 ВЕТЧ.МЯСНАЯ Папа может п/о    ОСТАНКИНО</v>
          </cell>
          <cell r="B107" t="str">
            <v>кг</v>
          </cell>
          <cell r="C107">
            <v>5452</v>
          </cell>
          <cell r="F107">
            <v>1.3520000000000001</v>
          </cell>
          <cell r="G107">
            <v>-1.3520000000000001</v>
          </cell>
          <cell r="H107">
            <v>1</v>
          </cell>
          <cell r="L107">
            <v>1.3</v>
          </cell>
          <cell r="M107">
            <v>5.2000000000000046E-2</v>
          </cell>
          <cell r="R107">
            <v>0</v>
          </cell>
          <cell r="S107">
            <v>0</v>
          </cell>
          <cell r="T107">
            <v>0.27040000000000003</v>
          </cell>
          <cell r="U107">
            <v>5.1376000000000008</v>
          </cell>
        </row>
        <row r="108">
          <cell r="A108" t="str">
            <v>А_5544 Сервелат Финский в/к в/у_45с НОВАЯ ОСТАНКИНО</v>
          </cell>
          <cell r="B108" t="str">
            <v>кг</v>
          </cell>
          <cell r="C108">
            <v>5544</v>
          </cell>
          <cell r="F108">
            <v>2.5470000000000002</v>
          </cell>
          <cell r="G108">
            <v>-2.5470000000000002</v>
          </cell>
          <cell r="H108">
            <v>1</v>
          </cell>
          <cell r="L108">
            <v>2.4</v>
          </cell>
          <cell r="M108">
            <v>0.14700000000000024</v>
          </cell>
          <cell r="R108">
            <v>0</v>
          </cell>
          <cell r="S108">
            <v>0</v>
          </cell>
          <cell r="T108">
            <v>0.50940000000000007</v>
          </cell>
          <cell r="U108">
            <v>9.6786000000000012</v>
          </cell>
        </row>
        <row r="109">
          <cell r="A109" t="str">
            <v>БОНУС_6087 СОЧНЫЕ ПМ сос п/о мгс 0,41кг 10шт.  ОСТАНКИНО</v>
          </cell>
          <cell r="B109" t="str">
            <v>шт</v>
          </cell>
          <cell r="C109">
            <v>0</v>
          </cell>
          <cell r="D109">
            <v>-6</v>
          </cell>
          <cell r="F109">
            <v>0</v>
          </cell>
          <cell r="G109">
            <v>-6</v>
          </cell>
          <cell r="H109">
            <v>0.41</v>
          </cell>
          <cell r="L109">
            <v>0</v>
          </cell>
          <cell r="M109">
            <v>0</v>
          </cell>
          <cell r="R109">
            <v>0</v>
          </cell>
          <cell r="S109">
            <v>0</v>
          </cell>
          <cell r="T109">
            <v>0</v>
          </cell>
          <cell r="U109">
            <v>6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Ведомость по товарам на складах</v>
          </cell>
        </row>
        <row r="4">
          <cell r="A4" t="str">
            <v>Параметры:</v>
          </cell>
          <cell r="B4" t="str">
            <v>Период: 15.06.2026 - 22.06.2026</v>
          </cell>
        </row>
        <row r="5">
          <cell r="B5" t="str">
            <v>Количество товаров: В единицах хранения</v>
          </cell>
        </row>
        <row r="6">
          <cell r="A6" t="str">
            <v>Отбор:</v>
          </cell>
          <cell r="B6" t="str">
            <v>Склад В списке "АСП Бердянск; АСП Бердянск Заморозка; Склад БЕРДЯНСК; АСП Бердянск Молоко Остан...; АСП Бердянск Останкино; АСП Бердянск ПОКОМ" И
Номенклатура В группе из списка "Останкино ООО"</v>
          </cell>
        </row>
        <row r="8">
          <cell r="A8" t="str">
            <v>Номенклатура</v>
          </cell>
          <cell r="B8" t="str">
            <v>Ед. изм.</v>
          </cell>
          <cell r="D8" t="str">
            <v>Количество</v>
          </cell>
          <cell r="H8" t="str">
            <v>крат</v>
          </cell>
          <cell r="I8" t="str">
            <v>сроки</v>
          </cell>
          <cell r="J8" t="str">
            <v>метка</v>
          </cell>
          <cell r="K8" t="str">
            <v>метка2</v>
          </cell>
          <cell r="L8" t="str">
            <v>заяв</v>
          </cell>
          <cell r="M8" t="str">
            <v>разн</v>
          </cell>
          <cell r="N8" t="str">
            <v>без опта</v>
          </cell>
          <cell r="O8" t="str">
            <v>опт</v>
          </cell>
          <cell r="P8" t="str">
            <v>Заказ</v>
          </cell>
          <cell r="Q8" t="str">
            <v>Заказ</v>
          </cell>
          <cell r="R8" t="str">
            <v>Заказ</v>
          </cell>
          <cell r="S8" t="str">
            <v>Заказ</v>
          </cell>
          <cell r="T8" t="str">
            <v>ср нов</v>
          </cell>
          <cell r="U8" t="str">
            <v>расчет</v>
          </cell>
          <cell r="V8" t="str">
            <v>заказ филиала</v>
          </cell>
        </row>
        <row r="9">
          <cell r="D9" t="str">
            <v>Начальный остаток</v>
          </cell>
          <cell r="E9" t="str">
            <v>Приход</v>
          </cell>
          <cell r="F9" t="str">
            <v>Расход</v>
          </cell>
          <cell r="G9" t="str">
            <v>Конечный остаток</v>
          </cell>
          <cell r="R9" t="str">
            <v>21,06,</v>
          </cell>
          <cell r="S9" t="str">
            <v>21,06,</v>
          </cell>
          <cell r="T9" t="str">
            <v>22,06,</v>
          </cell>
          <cell r="U9" t="str">
            <v>28,06,</v>
          </cell>
        </row>
        <row r="10">
          <cell r="D10">
            <v>12348.784</v>
          </cell>
          <cell r="E10">
            <v>14782.896000000002</v>
          </cell>
          <cell r="F10">
            <v>12205.602000000001</v>
          </cell>
          <cell r="G10">
            <v>14342.622999999994</v>
          </cell>
          <cell r="L10">
            <v>13256.828</v>
          </cell>
          <cell r="M10">
            <v>-1051.2260000000003</v>
          </cell>
          <cell r="O10">
            <v>0</v>
          </cell>
          <cell r="P10">
            <v>0</v>
          </cell>
          <cell r="Q10">
            <v>0</v>
          </cell>
          <cell r="R10">
            <v>5550</v>
          </cell>
          <cell r="S10">
            <v>5550</v>
          </cell>
          <cell r="T10">
            <v>2441.1203999999993</v>
          </cell>
          <cell r="U10">
            <v>11816.0924</v>
          </cell>
          <cell r="V10">
            <v>6683</v>
          </cell>
        </row>
        <row r="11">
          <cell r="A11" t="str">
            <v>3215 ВЕТЧ.МЯСНАЯ Папа может п/о 0.4кг 8шт.    ОСТАНКИНО</v>
          </cell>
          <cell r="B11" t="str">
            <v>шт</v>
          </cell>
          <cell r="C11">
            <v>3215</v>
          </cell>
          <cell r="D11">
            <v>158</v>
          </cell>
          <cell r="E11">
            <v>566</v>
          </cell>
          <cell r="F11">
            <v>189</v>
          </cell>
          <cell r="G11">
            <v>524</v>
          </cell>
          <cell r="H11">
            <v>0.4</v>
          </cell>
          <cell r="I11">
            <v>60</v>
          </cell>
          <cell r="J11" t="str">
            <v>ВНИМАНИЕ / в матрице</v>
          </cell>
          <cell r="L11">
            <v>201</v>
          </cell>
          <cell r="M11">
            <v>-12</v>
          </cell>
          <cell r="R11">
            <v>25</v>
          </cell>
          <cell r="S11">
            <v>25</v>
          </cell>
          <cell r="T11">
            <v>37.799999999999997</v>
          </cell>
        </row>
        <row r="12">
          <cell r="A12" t="str">
            <v>3287 САЛЯМИ ИТАЛЬЯНСКАЯ с/к в/у ОСТАНКИНО</v>
          </cell>
          <cell r="B12" t="str">
            <v>кг</v>
          </cell>
          <cell r="C12">
            <v>3287</v>
          </cell>
          <cell r="D12">
            <v>2.4369999999999998</v>
          </cell>
          <cell r="E12">
            <v>68.656000000000006</v>
          </cell>
          <cell r="F12">
            <v>19.052</v>
          </cell>
          <cell r="G12">
            <v>52.040999999999997</v>
          </cell>
          <cell r="H12">
            <v>1</v>
          </cell>
          <cell r="I12">
            <v>120</v>
          </cell>
          <cell r="J12" t="str">
            <v>в матрице</v>
          </cell>
          <cell r="L12">
            <v>21</v>
          </cell>
          <cell r="M12">
            <v>-1.9480000000000004</v>
          </cell>
          <cell r="R12">
            <v>0</v>
          </cell>
          <cell r="S12">
            <v>0</v>
          </cell>
          <cell r="T12">
            <v>3.8104</v>
          </cell>
          <cell r="U12">
            <v>1.3046000000000006</v>
          </cell>
        </row>
        <row r="13">
          <cell r="A13" t="str">
            <v>3986 Ароматная с/к в/у 1/250 ОСТАНКИНО</v>
          </cell>
          <cell r="B13" t="str">
            <v>шт</v>
          </cell>
          <cell r="C13">
            <v>3986</v>
          </cell>
          <cell r="D13">
            <v>82</v>
          </cell>
          <cell r="E13">
            <v>308</v>
          </cell>
          <cell r="F13">
            <v>125</v>
          </cell>
          <cell r="G13">
            <v>220</v>
          </cell>
          <cell r="H13">
            <v>0.25</v>
          </cell>
          <cell r="I13">
            <v>120</v>
          </cell>
          <cell r="J13" t="str">
            <v>в матрице</v>
          </cell>
          <cell r="L13">
            <v>170</v>
          </cell>
          <cell r="M13">
            <v>-45</v>
          </cell>
          <cell r="R13">
            <v>25</v>
          </cell>
          <cell r="S13">
            <v>25</v>
          </cell>
          <cell r="T13">
            <v>25</v>
          </cell>
          <cell r="U13">
            <v>80</v>
          </cell>
          <cell r="V13">
            <v>60</v>
          </cell>
        </row>
        <row r="14">
          <cell r="A14" t="str">
            <v>4063 МЯСНАЯ Папа может вар п/о_Л   ОСТАНКИНО</v>
          </cell>
          <cell r="B14" t="str">
            <v>кг</v>
          </cell>
          <cell r="C14">
            <v>4063</v>
          </cell>
          <cell r="D14">
            <v>274.959</v>
          </cell>
          <cell r="E14">
            <v>224.74100000000001</v>
          </cell>
          <cell r="F14">
            <v>205.29400000000001</v>
          </cell>
          <cell r="G14">
            <v>290.80599999999998</v>
          </cell>
          <cell r="H14">
            <v>1</v>
          </cell>
          <cell r="I14">
            <v>60</v>
          </cell>
          <cell r="J14" t="str">
            <v>в матрице</v>
          </cell>
          <cell r="L14">
            <v>198</v>
          </cell>
          <cell r="M14">
            <v>7.2940000000000111</v>
          </cell>
          <cell r="R14">
            <v>100</v>
          </cell>
          <cell r="S14">
            <v>100</v>
          </cell>
          <cell r="T14">
            <v>41.058800000000005</v>
          </cell>
          <cell r="U14">
            <v>84.017200000000059</v>
          </cell>
          <cell r="V14">
            <v>65</v>
          </cell>
        </row>
        <row r="15">
          <cell r="A15" t="str">
            <v>4117 ЭКСТРА Папа может с/к в/у_Л   ОСТАНКИНО</v>
          </cell>
          <cell r="B15" t="str">
            <v>кг</v>
          </cell>
          <cell r="C15">
            <v>4117</v>
          </cell>
          <cell r="D15">
            <v>19.373999999999999</v>
          </cell>
          <cell r="E15">
            <v>41.481999999999999</v>
          </cell>
          <cell r="F15">
            <v>18.814</v>
          </cell>
          <cell r="G15">
            <v>40.566000000000003</v>
          </cell>
          <cell r="H15">
            <v>1</v>
          </cell>
          <cell r="I15">
            <v>120</v>
          </cell>
          <cell r="J15" t="str">
            <v>в матрице</v>
          </cell>
          <cell r="L15">
            <v>20.5</v>
          </cell>
          <cell r="M15">
            <v>-1.6859999999999999</v>
          </cell>
          <cell r="R15">
            <v>0</v>
          </cell>
          <cell r="S15">
            <v>0</v>
          </cell>
          <cell r="T15">
            <v>3.7627999999999999</v>
          </cell>
          <cell r="U15">
            <v>12.113199999999999</v>
          </cell>
        </row>
        <row r="16">
          <cell r="A16" t="str">
            <v>4574 Мясная со шпиком Папа может вар п/о ОСТАНКИНО</v>
          </cell>
          <cell r="B16" t="str">
            <v>кг</v>
          </cell>
          <cell r="C16">
            <v>4574</v>
          </cell>
          <cell r="D16">
            <v>35.954000000000001</v>
          </cell>
          <cell r="E16">
            <v>132.05099999999999</v>
          </cell>
          <cell r="F16">
            <v>37.192999999999998</v>
          </cell>
          <cell r="G16">
            <v>128.67500000000001</v>
          </cell>
          <cell r="H16">
            <v>1</v>
          </cell>
          <cell r="I16">
            <v>60</v>
          </cell>
          <cell r="J16" t="str">
            <v>ВНИМАНИЕ / в матрице</v>
          </cell>
          <cell r="L16">
            <v>35.799999999999997</v>
          </cell>
          <cell r="M16">
            <v>1.3930000000000007</v>
          </cell>
          <cell r="R16">
            <v>0</v>
          </cell>
          <cell r="S16">
            <v>0</v>
          </cell>
          <cell r="T16">
            <v>7.4385999999999992</v>
          </cell>
        </row>
        <row r="17">
          <cell r="A17" t="str">
            <v>4813 ФИЛЕЙНАЯ Папа может вар п/о_Л   ОСТАНКИНО</v>
          </cell>
          <cell r="B17" t="str">
            <v>кг</v>
          </cell>
          <cell r="C17">
            <v>4813</v>
          </cell>
          <cell r="D17">
            <v>166.22300000000001</v>
          </cell>
          <cell r="E17">
            <v>438.96800000000002</v>
          </cell>
          <cell r="F17">
            <v>240.84700000000001</v>
          </cell>
          <cell r="G17">
            <v>356.81299999999999</v>
          </cell>
          <cell r="H17">
            <v>1</v>
          </cell>
          <cell r="I17">
            <v>60</v>
          </cell>
          <cell r="J17" t="str">
            <v>в матрице</v>
          </cell>
          <cell r="L17">
            <v>231.8</v>
          </cell>
          <cell r="M17">
            <v>9.046999999999997</v>
          </cell>
          <cell r="R17">
            <v>0</v>
          </cell>
          <cell r="S17">
            <v>0</v>
          </cell>
          <cell r="T17">
            <v>48.169400000000003</v>
          </cell>
          <cell r="U17">
            <v>317.55860000000007</v>
          </cell>
          <cell r="V17">
            <v>150</v>
          </cell>
        </row>
        <row r="18">
          <cell r="A18" t="str">
            <v>4993 САЛЯМИ ИТАЛЬЯНСКАЯ с/к в/у 1/250*8_120c ОСТАНКИНО</v>
          </cell>
          <cell r="B18" t="str">
            <v>шт</v>
          </cell>
          <cell r="C18">
            <v>4993</v>
          </cell>
          <cell r="D18">
            <v>50</v>
          </cell>
          <cell r="E18">
            <v>245</v>
          </cell>
          <cell r="F18">
            <v>107</v>
          </cell>
          <cell r="G18">
            <v>186</v>
          </cell>
          <cell r="H18">
            <v>0.25</v>
          </cell>
          <cell r="I18">
            <v>120</v>
          </cell>
          <cell r="J18" t="str">
            <v>в матрице</v>
          </cell>
          <cell r="L18">
            <v>131</v>
          </cell>
          <cell r="M18">
            <v>-24</v>
          </cell>
          <cell r="R18">
            <v>75</v>
          </cell>
          <cell r="S18">
            <v>75</v>
          </cell>
          <cell r="T18">
            <v>21.4</v>
          </cell>
        </row>
        <row r="19">
          <cell r="A19" t="str">
            <v>5341 СЕРВЕЛАТ ОХОТНИЧИЙ в/к в/у  ОСТАНКИНО</v>
          </cell>
          <cell r="B19" t="str">
            <v>кг</v>
          </cell>
          <cell r="C19">
            <v>5341</v>
          </cell>
          <cell r="F19">
            <v>-0.67400000000000004</v>
          </cell>
          <cell r="G19">
            <v>-1.4179999999999999</v>
          </cell>
          <cell r="H19">
            <v>1</v>
          </cell>
          <cell r="L19">
            <v>1.6</v>
          </cell>
          <cell r="M19">
            <v>-2.274</v>
          </cell>
          <cell r="R19">
            <v>0</v>
          </cell>
          <cell r="S19">
            <v>0</v>
          </cell>
          <cell r="T19">
            <v>-0.1348</v>
          </cell>
        </row>
        <row r="20">
          <cell r="A20" t="str">
            <v>5452 ВЕТЧ.МЯСНАЯ Папа может п/о    ОСТАНКИНО</v>
          </cell>
          <cell r="B20" t="str">
            <v>кг</v>
          </cell>
          <cell r="C20">
            <v>5452</v>
          </cell>
          <cell r="D20">
            <v>45.289000000000001</v>
          </cell>
          <cell r="E20">
            <v>179.827</v>
          </cell>
          <cell r="F20">
            <v>92.602999999999994</v>
          </cell>
          <cell r="G20">
            <v>130.51300000000001</v>
          </cell>
          <cell r="H20">
            <v>1</v>
          </cell>
          <cell r="I20">
            <v>60</v>
          </cell>
          <cell r="J20" t="str">
            <v>в матрице</v>
          </cell>
          <cell r="L20">
            <v>92.5</v>
          </cell>
          <cell r="M20">
            <v>0.10299999999999443</v>
          </cell>
          <cell r="R20">
            <v>75</v>
          </cell>
          <cell r="S20">
            <v>75</v>
          </cell>
          <cell r="T20">
            <v>18.520599999999998</v>
          </cell>
        </row>
        <row r="21">
          <cell r="A21" t="str">
            <v>5483 ЭКСТРА Папа может с/к в/у 1/250 8шт.   ОСТАНКИНО</v>
          </cell>
          <cell r="B21" t="str">
            <v>шт</v>
          </cell>
          <cell r="C21">
            <v>5483</v>
          </cell>
          <cell r="D21">
            <v>229</v>
          </cell>
          <cell r="E21">
            <v>3</v>
          </cell>
          <cell r="F21">
            <v>122</v>
          </cell>
          <cell r="G21">
            <v>107</v>
          </cell>
          <cell r="H21">
            <v>0.25</v>
          </cell>
          <cell r="I21">
            <v>120</v>
          </cell>
          <cell r="J21" t="str">
            <v>в матрице</v>
          </cell>
          <cell r="L21">
            <v>125</v>
          </cell>
          <cell r="M21">
            <v>-3</v>
          </cell>
          <cell r="R21">
            <v>110</v>
          </cell>
          <cell r="S21">
            <v>110</v>
          </cell>
          <cell r="T21">
            <v>24.4</v>
          </cell>
          <cell r="U21">
            <v>14.599999999999966</v>
          </cell>
          <cell r="V21">
            <v>7.5</v>
          </cell>
        </row>
        <row r="22">
          <cell r="A22" t="str">
            <v>5495 ВЕТЧ.С ИНДЕЙКОЙ Папа может п/о 400*6  Останкино</v>
          </cell>
          <cell r="B22" t="str">
            <v>шт</v>
          </cell>
          <cell r="C22">
            <v>5495</v>
          </cell>
          <cell r="D22">
            <v>42</v>
          </cell>
          <cell r="E22">
            <v>243</v>
          </cell>
          <cell r="F22">
            <v>109</v>
          </cell>
          <cell r="G22">
            <v>173</v>
          </cell>
          <cell r="H22">
            <v>0.4</v>
          </cell>
          <cell r="I22">
            <v>60</v>
          </cell>
          <cell r="J22" t="str">
            <v>в матрице</v>
          </cell>
          <cell r="L22">
            <v>115</v>
          </cell>
          <cell r="M22">
            <v>-6</v>
          </cell>
          <cell r="R22">
            <v>75</v>
          </cell>
          <cell r="S22">
            <v>75</v>
          </cell>
          <cell r="T22">
            <v>21.8</v>
          </cell>
        </row>
        <row r="23">
          <cell r="A23" t="str">
            <v>5544 Сервелат Финский в/к в/у_45с НОВАЯ ОСТАНКИНО</v>
          </cell>
          <cell r="B23" t="str">
            <v>кг</v>
          </cell>
          <cell r="C23">
            <v>5544</v>
          </cell>
          <cell r="D23">
            <v>40.286999999999999</v>
          </cell>
          <cell r="E23">
            <v>681.53899999999999</v>
          </cell>
          <cell r="F23">
            <v>216.61</v>
          </cell>
          <cell r="G23">
            <v>498.49599999999998</v>
          </cell>
          <cell r="H23">
            <v>1</v>
          </cell>
          <cell r="I23">
            <v>45</v>
          </cell>
          <cell r="J23" t="str">
            <v>в матрице</v>
          </cell>
          <cell r="L23">
            <v>232.3</v>
          </cell>
          <cell r="M23">
            <v>-15.689999999999998</v>
          </cell>
          <cell r="R23">
            <v>0</v>
          </cell>
          <cell r="S23">
            <v>0</v>
          </cell>
          <cell r="T23">
            <v>43.322000000000003</v>
          </cell>
          <cell r="U23">
            <v>108.01200000000006</v>
          </cell>
          <cell r="V23">
            <v>45</v>
          </cell>
        </row>
        <row r="24">
          <cell r="A24" t="str">
            <v>5706 АРОМАТНАЯ Папа может с/к в/у 1/250 8шт.  ОСТАНКИНО</v>
          </cell>
          <cell r="B24" t="str">
            <v>шт</v>
          </cell>
          <cell r="C24">
            <v>5706</v>
          </cell>
          <cell r="F24">
            <v>1</v>
          </cell>
          <cell r="G24">
            <v>-1</v>
          </cell>
          <cell r="H24">
            <v>0.25</v>
          </cell>
          <cell r="I24">
            <v>0.25</v>
          </cell>
          <cell r="J24" t="str">
            <v>дубль</v>
          </cell>
          <cell r="L24">
            <v>1</v>
          </cell>
          <cell r="M24">
            <v>0</v>
          </cell>
          <cell r="R24">
            <v>0</v>
          </cell>
          <cell r="S24">
            <v>0</v>
          </cell>
          <cell r="T24">
            <v>0.2</v>
          </cell>
          <cell r="U24">
            <v>3.8000000000000003</v>
          </cell>
        </row>
        <row r="25">
          <cell r="A25" t="str">
            <v>5708 ПОСОЛЬСКАЯ Папа может с/к в/у ОСТАНКИНО</v>
          </cell>
          <cell r="B25" t="str">
            <v>кг</v>
          </cell>
          <cell r="C25">
            <v>5708</v>
          </cell>
          <cell r="E25">
            <v>39.479999999999997</v>
          </cell>
          <cell r="F25">
            <v>5.4669999999999996</v>
          </cell>
          <cell r="G25">
            <v>34.012999999999998</v>
          </cell>
          <cell r="H25">
            <v>1</v>
          </cell>
          <cell r="L25">
            <v>6.5</v>
          </cell>
          <cell r="M25">
            <v>-1.0330000000000004</v>
          </cell>
          <cell r="R25">
            <v>0</v>
          </cell>
          <cell r="S25">
            <v>0</v>
          </cell>
          <cell r="T25">
            <v>1.0933999999999999</v>
          </cell>
        </row>
        <row r="26">
          <cell r="A26" t="str">
            <v>5819 Сосиски Папа может 400г Мясные  ОСТАНКИНО</v>
          </cell>
          <cell r="B26" t="str">
            <v>шт</v>
          </cell>
          <cell r="C26">
            <v>5819</v>
          </cell>
          <cell r="D26">
            <v>470</v>
          </cell>
          <cell r="E26">
            <v>48</v>
          </cell>
          <cell r="F26">
            <v>87</v>
          </cell>
          <cell r="G26">
            <v>431</v>
          </cell>
          <cell r="H26">
            <v>0.4</v>
          </cell>
          <cell r="I26">
            <v>45</v>
          </cell>
          <cell r="J26" t="str">
            <v>в матрице</v>
          </cell>
          <cell r="L26">
            <v>85</v>
          </cell>
          <cell r="M26">
            <v>2</v>
          </cell>
          <cell r="R26">
            <v>0</v>
          </cell>
          <cell r="S26">
            <v>0</v>
          </cell>
          <cell r="T26">
            <v>17.399999999999999</v>
          </cell>
        </row>
        <row r="27">
          <cell r="A27" t="str">
            <v>5851 ЭКСТРА Папа может вар п/о   ОСТАНКИНО</v>
          </cell>
          <cell r="B27" t="str">
            <v>кг</v>
          </cell>
          <cell r="C27">
            <v>5851</v>
          </cell>
          <cell r="D27">
            <v>162.08500000000001</v>
          </cell>
          <cell r="E27">
            <v>99.103999999999999</v>
          </cell>
          <cell r="F27">
            <v>137.11199999999999</v>
          </cell>
          <cell r="G27">
            <v>96.846999999999994</v>
          </cell>
          <cell r="H27">
            <v>1</v>
          </cell>
          <cell r="I27">
            <v>60</v>
          </cell>
          <cell r="J27" t="str">
            <v>в матрице</v>
          </cell>
          <cell r="L27">
            <v>133.9</v>
          </cell>
          <cell r="M27">
            <v>3.2119999999999891</v>
          </cell>
          <cell r="R27">
            <v>110</v>
          </cell>
          <cell r="S27">
            <v>110</v>
          </cell>
          <cell r="T27">
            <v>27.4224</v>
          </cell>
          <cell r="U27">
            <v>67.066599999999994</v>
          </cell>
          <cell r="V27">
            <v>50</v>
          </cell>
        </row>
        <row r="28">
          <cell r="A28" t="str">
            <v>5931 ОХОТНИЧЬЯ Папа может с/к в/у 1/220 8шт.   ОСТАНКИНО</v>
          </cell>
          <cell r="B28" t="str">
            <v>шт</v>
          </cell>
          <cell r="C28">
            <v>5931</v>
          </cell>
          <cell r="D28">
            <v>111</v>
          </cell>
          <cell r="E28">
            <v>327</v>
          </cell>
          <cell r="F28">
            <v>181</v>
          </cell>
          <cell r="G28">
            <v>250</v>
          </cell>
          <cell r="H28">
            <v>0.22</v>
          </cell>
          <cell r="I28">
            <v>120</v>
          </cell>
          <cell r="J28" t="str">
            <v>в матрице</v>
          </cell>
          <cell r="L28">
            <v>188</v>
          </cell>
          <cell r="M28">
            <v>-7</v>
          </cell>
          <cell r="R28">
            <v>50</v>
          </cell>
          <cell r="S28">
            <v>50</v>
          </cell>
          <cell r="T28">
            <v>36.200000000000003</v>
          </cell>
          <cell r="U28">
            <v>156.80000000000007</v>
          </cell>
          <cell r="V28">
            <v>100</v>
          </cell>
        </row>
        <row r="29">
          <cell r="A29" t="str">
            <v>6008 САЛО СОЛЕНОЕ С ЧЕРНЫМ ПЕРЦЕМ мл/к в/у ОСТАНКИНО</v>
          </cell>
          <cell r="B29" t="str">
            <v>кг</v>
          </cell>
          <cell r="C29">
            <v>6008</v>
          </cell>
          <cell r="E29">
            <v>207.876</v>
          </cell>
          <cell r="F29">
            <v>12.683999999999999</v>
          </cell>
          <cell r="G29">
            <v>194.48599999999999</v>
          </cell>
          <cell r="H29">
            <v>1</v>
          </cell>
          <cell r="L29">
            <v>11.332000000000001</v>
          </cell>
          <cell r="M29">
            <v>1.3519999999999985</v>
          </cell>
          <cell r="R29">
            <v>0</v>
          </cell>
          <cell r="S29">
            <v>0</v>
          </cell>
          <cell r="T29">
            <v>2.5367999999999999</v>
          </cell>
        </row>
        <row r="30">
          <cell r="A30" t="str">
            <v>6208 ДЫМОВИЦА ИЗ ЛОПАТКИ ПМ к/в с/н в/у 1/150  Останкино</v>
          </cell>
          <cell r="B30" t="str">
            <v>шт</v>
          </cell>
          <cell r="C30">
            <v>6208</v>
          </cell>
          <cell r="D30">
            <v>-1</v>
          </cell>
          <cell r="E30">
            <v>20</v>
          </cell>
          <cell r="F30">
            <v>5</v>
          </cell>
          <cell r="G30">
            <v>14</v>
          </cell>
          <cell r="H30">
            <v>0.15</v>
          </cell>
          <cell r="L30">
            <v>5</v>
          </cell>
          <cell r="M30">
            <v>0</v>
          </cell>
          <cell r="R30">
            <v>0</v>
          </cell>
          <cell r="S30">
            <v>0</v>
          </cell>
          <cell r="T30">
            <v>1</v>
          </cell>
        </row>
        <row r="31">
          <cell r="A31" t="str">
            <v>6220 ГОВЯЖЬЯ папа может вар п/о  Останкино</v>
          </cell>
          <cell r="B31" t="str">
            <v>кг</v>
          </cell>
          <cell r="C31">
            <v>6220</v>
          </cell>
          <cell r="D31">
            <v>35.353000000000002</v>
          </cell>
          <cell r="E31">
            <v>41.79</v>
          </cell>
          <cell r="F31">
            <v>56.139000000000003</v>
          </cell>
          <cell r="G31">
            <v>19.030999999999999</v>
          </cell>
          <cell r="H31">
            <v>1</v>
          </cell>
          <cell r="I31">
            <v>60</v>
          </cell>
          <cell r="J31" t="str">
            <v>в матрице</v>
          </cell>
          <cell r="L31">
            <v>53</v>
          </cell>
          <cell r="M31">
            <v>3.1390000000000029</v>
          </cell>
          <cell r="R31">
            <v>75</v>
          </cell>
          <cell r="S31">
            <v>75</v>
          </cell>
          <cell r="T31">
            <v>11.2278</v>
          </cell>
        </row>
        <row r="32">
          <cell r="A32" t="str">
            <v>6221 НЕОПОЛИТАНСКИЙ ДУЭТ с/к с/н мгс 1/90  Останкино</v>
          </cell>
          <cell r="B32" t="str">
            <v>шт</v>
          </cell>
          <cell r="C32">
            <v>6221</v>
          </cell>
          <cell r="D32">
            <v>211</v>
          </cell>
          <cell r="E32">
            <v>26</v>
          </cell>
          <cell r="F32">
            <v>172</v>
          </cell>
          <cell r="G32">
            <v>57</v>
          </cell>
          <cell r="H32">
            <v>0.09</v>
          </cell>
          <cell r="I32">
            <v>60</v>
          </cell>
          <cell r="J32" t="str">
            <v>в матрице</v>
          </cell>
          <cell r="L32">
            <v>180</v>
          </cell>
          <cell r="M32">
            <v>-8</v>
          </cell>
          <cell r="R32">
            <v>75</v>
          </cell>
          <cell r="S32">
            <v>75</v>
          </cell>
          <cell r="T32">
            <v>34.4</v>
          </cell>
          <cell r="U32">
            <v>274.59999999999997</v>
          </cell>
          <cell r="V32">
            <v>150</v>
          </cell>
        </row>
        <row r="33">
          <cell r="A33" t="str">
            <v>6228 МЯСНОЕ АССОРТИ к/з с/н мгс 1/90 10шт  Останкино</v>
          </cell>
          <cell r="B33" t="str">
            <v>шт</v>
          </cell>
          <cell r="C33">
            <v>6228</v>
          </cell>
          <cell r="D33">
            <v>74</v>
          </cell>
          <cell r="E33">
            <v>143</v>
          </cell>
          <cell r="F33">
            <v>94</v>
          </cell>
          <cell r="G33">
            <v>113</v>
          </cell>
          <cell r="H33">
            <v>0.09</v>
          </cell>
          <cell r="I33">
            <v>45</v>
          </cell>
          <cell r="J33" t="str">
            <v>в матрице</v>
          </cell>
          <cell r="L33">
            <v>104</v>
          </cell>
          <cell r="M33">
            <v>-10</v>
          </cell>
          <cell r="R33">
            <v>0</v>
          </cell>
          <cell r="S33">
            <v>0</v>
          </cell>
          <cell r="T33">
            <v>18.8</v>
          </cell>
          <cell r="U33">
            <v>150.19999999999999</v>
          </cell>
          <cell r="V33">
            <v>125</v>
          </cell>
        </row>
        <row r="34">
          <cell r="A34" t="str">
            <v>6268 Колбаса Папа может 400г Говяжья вар п/о  ОСТАНКИНО</v>
          </cell>
          <cell r="B34" t="str">
            <v>шт</v>
          </cell>
          <cell r="C34">
            <v>6268</v>
          </cell>
          <cell r="D34">
            <v>-2</v>
          </cell>
          <cell r="F34">
            <v>-4</v>
          </cell>
          <cell r="G34">
            <v>-2</v>
          </cell>
          <cell r="H34">
            <v>0.4</v>
          </cell>
          <cell r="I34">
            <v>60</v>
          </cell>
          <cell r="J34" t="str">
            <v>в матрице</v>
          </cell>
          <cell r="L34">
            <v>0</v>
          </cell>
          <cell r="M34">
            <v>-4</v>
          </cell>
          <cell r="R34">
            <v>0</v>
          </cell>
          <cell r="S34">
            <v>0</v>
          </cell>
          <cell r="T34">
            <v>-0.8</v>
          </cell>
        </row>
        <row r="35">
          <cell r="A35" t="str">
            <v>6279 КОРЕЙКА ПО-ОСТ.к/в в/с с/н в/у 1/150_45с  Останкино</v>
          </cell>
          <cell r="B35" t="str">
            <v>шт</v>
          </cell>
          <cell r="C35">
            <v>6279</v>
          </cell>
          <cell r="D35">
            <v>9</v>
          </cell>
          <cell r="E35">
            <v>98</v>
          </cell>
          <cell r="F35">
            <v>87</v>
          </cell>
          <cell r="G35">
            <v>17</v>
          </cell>
          <cell r="H35">
            <v>0.15</v>
          </cell>
          <cell r="I35">
            <v>45</v>
          </cell>
          <cell r="J35" t="str">
            <v>в матрице</v>
          </cell>
          <cell r="L35">
            <v>106</v>
          </cell>
          <cell r="M35">
            <v>-19</v>
          </cell>
          <cell r="R35">
            <v>25</v>
          </cell>
          <cell r="S35">
            <v>25</v>
          </cell>
          <cell r="T35">
            <v>17.399999999999999</v>
          </cell>
          <cell r="U35">
            <v>176.59999999999997</v>
          </cell>
          <cell r="V35">
            <v>100</v>
          </cell>
        </row>
        <row r="36">
          <cell r="A36" t="str">
            <v>6303 Мясные Папа может сос п/о мгс 1,5*3  Останкино</v>
          </cell>
          <cell r="B36" t="str">
            <v>кг</v>
          </cell>
          <cell r="C36">
            <v>6303</v>
          </cell>
          <cell r="D36">
            <v>396.56400000000002</v>
          </cell>
          <cell r="E36">
            <v>31.573</v>
          </cell>
          <cell r="F36">
            <v>283.15100000000001</v>
          </cell>
          <cell r="G36">
            <v>141.79</v>
          </cell>
          <cell r="H36">
            <v>1</v>
          </cell>
          <cell r="I36">
            <v>45</v>
          </cell>
          <cell r="J36" t="str">
            <v>в матрице</v>
          </cell>
          <cell r="L36">
            <v>276.79599999999999</v>
          </cell>
          <cell r="M36">
            <v>6.3550000000000182</v>
          </cell>
          <cell r="R36">
            <v>75</v>
          </cell>
          <cell r="S36">
            <v>75</v>
          </cell>
          <cell r="T36">
            <v>56.630200000000002</v>
          </cell>
          <cell r="U36">
            <v>501.03280000000007</v>
          </cell>
          <cell r="V36">
            <v>250</v>
          </cell>
        </row>
        <row r="37">
          <cell r="A37" t="str">
            <v>6324 ДОКТОРСКАЯ ГОСТ вар п/о 0,4кг 8шт  Останкино</v>
          </cell>
          <cell r="B37" t="str">
            <v>шт</v>
          </cell>
          <cell r="C37">
            <v>6324</v>
          </cell>
          <cell r="D37">
            <v>266</v>
          </cell>
          <cell r="E37">
            <v>3</v>
          </cell>
          <cell r="F37">
            <v>31</v>
          </cell>
          <cell r="G37">
            <v>235</v>
          </cell>
          <cell r="H37">
            <v>0.4</v>
          </cell>
          <cell r="I37">
            <v>60</v>
          </cell>
          <cell r="J37" t="str">
            <v>в матрице</v>
          </cell>
          <cell r="L37">
            <v>82</v>
          </cell>
          <cell r="M37">
            <v>-51</v>
          </cell>
          <cell r="R37">
            <v>0</v>
          </cell>
          <cell r="S37">
            <v>0</v>
          </cell>
          <cell r="T37">
            <v>6.2</v>
          </cell>
        </row>
        <row r="38">
          <cell r="A38" t="str">
            <v>6325 ДОКТОРСКАЯ ПРЕМИУМ вар п/о 0.4кг 8шт.  ОСТАНКИНО</v>
          </cell>
          <cell r="B38" t="str">
            <v>шт</v>
          </cell>
          <cell r="C38">
            <v>6325</v>
          </cell>
          <cell r="D38">
            <v>161</v>
          </cell>
          <cell r="E38">
            <v>49</v>
          </cell>
          <cell r="F38">
            <v>89</v>
          </cell>
          <cell r="G38">
            <v>120</v>
          </cell>
          <cell r="H38">
            <v>0.4</v>
          </cell>
          <cell r="I38">
            <v>60</v>
          </cell>
          <cell r="J38" t="str">
            <v>ВНИМАНИЕ / в матрице</v>
          </cell>
          <cell r="L38">
            <v>90</v>
          </cell>
          <cell r="M38">
            <v>-1</v>
          </cell>
          <cell r="R38">
            <v>40</v>
          </cell>
          <cell r="S38">
            <v>40</v>
          </cell>
          <cell r="T38">
            <v>17.8</v>
          </cell>
          <cell r="U38">
            <v>49.200000000000017</v>
          </cell>
          <cell r="V38">
            <v>24.5</v>
          </cell>
        </row>
        <row r="39">
          <cell r="A39" t="str">
            <v>6333 МЯСНАЯ Папа может вар п/о 0.4кг 8шт.  ОСТАНКИНО</v>
          </cell>
          <cell r="B39" t="str">
            <v>шт</v>
          </cell>
          <cell r="C39">
            <v>6333</v>
          </cell>
          <cell r="D39">
            <v>374</v>
          </cell>
          <cell r="E39">
            <v>697</v>
          </cell>
          <cell r="F39">
            <v>479</v>
          </cell>
          <cell r="G39">
            <v>581</v>
          </cell>
          <cell r="H39">
            <v>0.4</v>
          </cell>
          <cell r="I39">
            <v>60</v>
          </cell>
          <cell r="J39" t="str">
            <v>в матрице</v>
          </cell>
          <cell r="L39">
            <v>490</v>
          </cell>
          <cell r="M39">
            <v>-11</v>
          </cell>
          <cell r="R39">
            <v>60</v>
          </cell>
          <cell r="S39">
            <v>60</v>
          </cell>
          <cell r="T39">
            <v>95.8</v>
          </cell>
          <cell r="U39">
            <v>640.20000000000005</v>
          </cell>
          <cell r="V39">
            <v>345</v>
          </cell>
        </row>
        <row r="40">
          <cell r="A40" t="str">
            <v>6353 ЭКСТРА Папа может вар п/о 0.4кг 8шт.  ОСТАНКИНО</v>
          </cell>
          <cell r="B40" t="str">
            <v>шт</v>
          </cell>
          <cell r="C40">
            <v>6353</v>
          </cell>
          <cell r="D40">
            <v>366</v>
          </cell>
          <cell r="E40">
            <v>2</v>
          </cell>
          <cell r="F40">
            <v>214</v>
          </cell>
          <cell r="G40">
            <v>148</v>
          </cell>
          <cell r="H40">
            <v>0.4</v>
          </cell>
          <cell r="I40">
            <v>60</v>
          </cell>
          <cell r="J40" t="str">
            <v>в матрице</v>
          </cell>
          <cell r="L40">
            <v>221</v>
          </cell>
          <cell r="M40">
            <v>-7</v>
          </cell>
          <cell r="R40">
            <v>210</v>
          </cell>
          <cell r="S40">
            <v>210</v>
          </cell>
          <cell r="T40">
            <v>42.8</v>
          </cell>
          <cell r="U40">
            <v>31.199999999999932</v>
          </cell>
          <cell r="V40">
            <v>0</v>
          </cell>
        </row>
        <row r="41">
          <cell r="A41" t="str">
            <v>6364 СЕРВЕЛАТ ЗЕРНИСТЫЙ ПМ в/к в/у 0.35кг  ОСТАНКИНО</v>
          </cell>
          <cell r="B41" t="str">
            <v>шт</v>
          </cell>
          <cell r="C41">
            <v>6364</v>
          </cell>
          <cell r="D41">
            <v>-1</v>
          </cell>
          <cell r="F41">
            <v>0</v>
          </cell>
          <cell r="G41">
            <v>-1</v>
          </cell>
          <cell r="H41">
            <v>0</v>
          </cell>
          <cell r="L41">
            <v>0</v>
          </cell>
          <cell r="M41">
            <v>0</v>
          </cell>
          <cell r="R41">
            <v>0</v>
          </cell>
          <cell r="S41">
            <v>0</v>
          </cell>
          <cell r="T41">
            <v>0</v>
          </cell>
          <cell r="U41">
            <v>1</v>
          </cell>
        </row>
        <row r="42">
          <cell r="A42" t="str">
            <v>6392 ФИЛЕЙНАЯ Папа может вар п/о 0,4кг  ОСТАНКИНО</v>
          </cell>
          <cell r="B42" t="str">
            <v>шт</v>
          </cell>
          <cell r="C42">
            <v>6392</v>
          </cell>
          <cell r="D42">
            <v>364</v>
          </cell>
          <cell r="E42">
            <v>213</v>
          </cell>
          <cell r="F42">
            <v>281</v>
          </cell>
          <cell r="G42">
            <v>277</v>
          </cell>
          <cell r="H42">
            <v>0.4</v>
          </cell>
          <cell r="I42">
            <v>60</v>
          </cell>
          <cell r="J42" t="str">
            <v>в матрице</v>
          </cell>
          <cell r="L42">
            <v>291</v>
          </cell>
          <cell r="M42">
            <v>-10</v>
          </cell>
          <cell r="R42">
            <v>250</v>
          </cell>
          <cell r="S42">
            <v>250</v>
          </cell>
          <cell r="T42">
            <v>56.2</v>
          </cell>
          <cell r="U42">
            <v>9.8000000000000682</v>
          </cell>
        </row>
        <row r="43">
          <cell r="A43" t="str">
            <v>6453 ЭКСТРА Папа может с/к с/н в/у 1/100 14шт.   ОСТАНКИНО</v>
          </cell>
          <cell r="B43" t="str">
            <v>шт</v>
          </cell>
          <cell r="C43">
            <v>6453</v>
          </cell>
          <cell r="D43">
            <v>44</v>
          </cell>
          <cell r="E43">
            <v>225</v>
          </cell>
          <cell r="F43">
            <v>160</v>
          </cell>
          <cell r="G43">
            <v>108</v>
          </cell>
          <cell r="H43">
            <v>0.1</v>
          </cell>
          <cell r="I43">
            <v>60</v>
          </cell>
          <cell r="J43" t="str">
            <v>в матрице</v>
          </cell>
          <cell r="L43">
            <v>175</v>
          </cell>
          <cell r="M43">
            <v>-15</v>
          </cell>
          <cell r="R43">
            <v>110</v>
          </cell>
          <cell r="S43">
            <v>110</v>
          </cell>
          <cell r="T43">
            <v>32</v>
          </cell>
          <cell r="U43">
            <v>120</v>
          </cell>
          <cell r="V43">
            <v>100</v>
          </cell>
        </row>
        <row r="44">
          <cell r="A44" t="str">
            <v>6454 АРОМАТНАЯ с/к с/н в/у 1/100 10шт.  ОСТАНКИНО</v>
          </cell>
          <cell r="B44" t="str">
            <v>шт</v>
          </cell>
          <cell r="C44">
            <v>6454</v>
          </cell>
          <cell r="D44">
            <v>138</v>
          </cell>
          <cell r="E44">
            <v>244</v>
          </cell>
          <cell r="F44">
            <v>189</v>
          </cell>
          <cell r="G44">
            <v>189</v>
          </cell>
          <cell r="H44">
            <v>0.1</v>
          </cell>
          <cell r="I44">
            <v>60</v>
          </cell>
          <cell r="J44" t="str">
            <v>в матрице</v>
          </cell>
          <cell r="L44">
            <v>191</v>
          </cell>
          <cell r="M44">
            <v>-2</v>
          </cell>
          <cell r="R44">
            <v>50</v>
          </cell>
          <cell r="S44">
            <v>50</v>
          </cell>
          <cell r="T44">
            <v>37.799999999999997</v>
          </cell>
          <cell r="U44">
            <v>240.19999999999993</v>
          </cell>
          <cell r="V44">
            <v>100</v>
          </cell>
        </row>
        <row r="45">
          <cell r="A45" t="str">
            <v>6459 СЕРВЕЛАТ ШВЕЙЦАРСК. в/к с/н в/у 1/100*10  Останкино</v>
          </cell>
          <cell r="B45" t="str">
            <v>шт</v>
          </cell>
          <cell r="C45">
            <v>6459</v>
          </cell>
          <cell r="D45">
            <v>-12</v>
          </cell>
          <cell r="F45">
            <v>-2</v>
          </cell>
          <cell r="G45">
            <v>-12</v>
          </cell>
          <cell r="H45">
            <v>0.1</v>
          </cell>
          <cell r="I45">
            <v>45</v>
          </cell>
          <cell r="J45" t="str">
            <v>в матрице</v>
          </cell>
          <cell r="L45">
            <v>3</v>
          </cell>
          <cell r="M45">
            <v>-5</v>
          </cell>
          <cell r="R45">
            <v>60</v>
          </cell>
          <cell r="S45">
            <v>60</v>
          </cell>
          <cell r="T45">
            <v>-0.4</v>
          </cell>
        </row>
        <row r="46">
          <cell r="A46" t="str">
            <v>6470 ВЕТЧ.МРАМОРНАЯ в/у_45с  Останкино</v>
          </cell>
          <cell r="B46" t="str">
            <v>кг</v>
          </cell>
          <cell r="C46">
            <v>6470</v>
          </cell>
          <cell r="D46">
            <v>60.195</v>
          </cell>
          <cell r="F46">
            <v>39.765000000000001</v>
          </cell>
          <cell r="G46">
            <v>20.43</v>
          </cell>
          <cell r="H46">
            <v>1</v>
          </cell>
          <cell r="L46">
            <v>32.4</v>
          </cell>
          <cell r="M46">
            <v>7.365000000000002</v>
          </cell>
          <cell r="R46">
            <v>0</v>
          </cell>
          <cell r="S46">
            <v>0</v>
          </cell>
          <cell r="T46">
            <v>7.9530000000000003</v>
          </cell>
          <cell r="U46">
            <v>90.912000000000006</v>
          </cell>
          <cell r="V46">
            <v>45.5</v>
          </cell>
        </row>
        <row r="47">
          <cell r="A47" t="str">
            <v>6475 Сосиски Папа может 400г С сыром  ОСТАНКИНО</v>
          </cell>
          <cell r="B47" t="str">
            <v>шт</v>
          </cell>
          <cell r="C47">
            <v>6475</v>
          </cell>
          <cell r="D47">
            <v>150</v>
          </cell>
          <cell r="F47">
            <v>135</v>
          </cell>
          <cell r="G47">
            <v>5</v>
          </cell>
          <cell r="H47">
            <v>0.4</v>
          </cell>
          <cell r="L47">
            <v>182</v>
          </cell>
          <cell r="M47">
            <v>-47</v>
          </cell>
          <cell r="R47">
            <v>125</v>
          </cell>
          <cell r="S47">
            <v>125</v>
          </cell>
          <cell r="T47">
            <v>27</v>
          </cell>
          <cell r="U47">
            <v>123</v>
          </cell>
          <cell r="V47">
            <v>61.5</v>
          </cell>
        </row>
        <row r="48">
          <cell r="A48" t="str">
            <v>6495 ВЕТЧ.МРАМОРНАЯ в/у срез 0,3кг 6шт_45с  Останкино</v>
          </cell>
          <cell r="B48" t="str">
            <v>шт</v>
          </cell>
          <cell r="C48">
            <v>6495</v>
          </cell>
          <cell r="D48">
            <v>194</v>
          </cell>
          <cell r="E48">
            <v>3</v>
          </cell>
          <cell r="F48">
            <v>188</v>
          </cell>
          <cell r="G48">
            <v>4</v>
          </cell>
          <cell r="H48">
            <v>0.3</v>
          </cell>
          <cell r="L48">
            <v>195</v>
          </cell>
          <cell r="M48">
            <v>-7</v>
          </cell>
          <cell r="R48">
            <v>0</v>
          </cell>
          <cell r="S48">
            <v>0</v>
          </cell>
          <cell r="T48">
            <v>37.6</v>
          </cell>
          <cell r="U48">
            <v>522.4</v>
          </cell>
          <cell r="V48">
            <v>220</v>
          </cell>
        </row>
        <row r="49">
          <cell r="A49" t="str">
            <v>6498 МОЛОЧНАЯ Папа может вар п/о  ОСТАНКИНО</v>
          </cell>
          <cell r="B49" t="str">
            <v>кг</v>
          </cell>
          <cell r="C49">
            <v>6498</v>
          </cell>
          <cell r="D49">
            <v>103.15600000000001</v>
          </cell>
          <cell r="E49">
            <v>50.14</v>
          </cell>
          <cell r="F49">
            <v>102.048</v>
          </cell>
          <cell r="G49">
            <v>50.232999999999997</v>
          </cell>
          <cell r="H49">
            <v>1</v>
          </cell>
          <cell r="I49">
            <v>60</v>
          </cell>
          <cell r="J49" t="str">
            <v>в матрице</v>
          </cell>
          <cell r="L49">
            <v>103.5</v>
          </cell>
          <cell r="M49">
            <v>-1.4519999999999982</v>
          </cell>
          <cell r="R49">
            <v>90</v>
          </cell>
          <cell r="S49">
            <v>90</v>
          </cell>
          <cell r="T49">
            <v>20.409600000000001</v>
          </cell>
          <cell r="U49">
            <v>55.50139999999999</v>
          </cell>
          <cell r="V49">
            <v>28</v>
          </cell>
        </row>
        <row r="50">
          <cell r="A50" t="str">
            <v>6527 ШПИКАЧКИ СОЧНЫЕ ПМ сар б/о мгс 1*3 45с ОСТАНКИНО</v>
          </cell>
          <cell r="B50" t="str">
            <v>кг</v>
          </cell>
          <cell r="C50">
            <v>6527</v>
          </cell>
          <cell r="D50">
            <v>78.64</v>
          </cell>
          <cell r="E50">
            <v>127.247</v>
          </cell>
          <cell r="F50">
            <v>56.491999999999997</v>
          </cell>
          <cell r="G50">
            <v>144.09100000000001</v>
          </cell>
          <cell r="H50">
            <v>1</v>
          </cell>
          <cell r="I50">
            <v>45</v>
          </cell>
          <cell r="J50" t="str">
            <v>в матрице</v>
          </cell>
          <cell r="L50">
            <v>60</v>
          </cell>
          <cell r="M50">
            <v>-3.5080000000000027</v>
          </cell>
          <cell r="R50">
            <v>0</v>
          </cell>
          <cell r="S50">
            <v>0</v>
          </cell>
          <cell r="T50">
            <v>11.298399999999999</v>
          </cell>
          <cell r="U50">
            <v>14.086599999999976</v>
          </cell>
          <cell r="V50">
            <v>7</v>
          </cell>
        </row>
        <row r="51">
          <cell r="A51" t="str">
            <v>6550 МЯСНЫЕ Папа может сар б/о мгс 1*3 О 45с  Останкино</v>
          </cell>
          <cell r="B51" t="str">
            <v>кг</v>
          </cell>
          <cell r="C51">
            <v>6550</v>
          </cell>
          <cell r="D51">
            <v>80.477999999999994</v>
          </cell>
          <cell r="E51">
            <v>1.05</v>
          </cell>
          <cell r="F51">
            <v>72.936999999999998</v>
          </cell>
          <cell r="G51">
            <v>4.0350000000000001</v>
          </cell>
          <cell r="H51">
            <v>1</v>
          </cell>
          <cell r="I51">
            <v>45</v>
          </cell>
          <cell r="J51" t="str">
            <v>в матрице</v>
          </cell>
          <cell r="L51">
            <v>73.099999999999994</v>
          </cell>
          <cell r="M51">
            <v>-0.1629999999999967</v>
          </cell>
          <cell r="R51">
            <v>60</v>
          </cell>
          <cell r="S51">
            <v>60</v>
          </cell>
          <cell r="T51">
            <v>14.587399999999999</v>
          </cell>
          <cell r="U51">
            <v>80.18859999999998</v>
          </cell>
          <cell r="V51">
            <v>40</v>
          </cell>
        </row>
        <row r="52">
          <cell r="A52" t="str">
            <v>6602 БАВАРСКИЕ ПМ сос ц/о мгс 0,35кг 8шт  Останкино</v>
          </cell>
          <cell r="B52" t="str">
            <v>шт</v>
          </cell>
          <cell r="C52">
            <v>6602</v>
          </cell>
          <cell r="D52">
            <v>7</v>
          </cell>
          <cell r="F52">
            <v>-1</v>
          </cell>
          <cell r="G52">
            <v>7</v>
          </cell>
          <cell r="H52">
            <v>0.35</v>
          </cell>
          <cell r="I52">
            <v>45</v>
          </cell>
          <cell r="J52" t="str">
            <v>в матрице</v>
          </cell>
          <cell r="L52">
            <v>5</v>
          </cell>
          <cell r="M52">
            <v>-6</v>
          </cell>
          <cell r="R52">
            <v>0</v>
          </cell>
          <cell r="S52">
            <v>0</v>
          </cell>
          <cell r="T52">
            <v>-0.2</v>
          </cell>
        </row>
        <row r="53">
          <cell r="A53" t="str">
            <v>6608 С ГОВЯДИНОЙ ОРИГИН. сар б/о мгс 1*3_45с  ОСТАНКИНО</v>
          </cell>
          <cell r="B53" t="str">
            <v>кг</v>
          </cell>
          <cell r="C53">
            <v>6608</v>
          </cell>
          <cell r="D53">
            <v>68.971999999999994</v>
          </cell>
          <cell r="E53">
            <v>19.626999999999999</v>
          </cell>
          <cell r="F53">
            <v>64.477000000000004</v>
          </cell>
          <cell r="G53">
            <v>20.456</v>
          </cell>
          <cell r="H53">
            <v>1</v>
          </cell>
          <cell r="I53">
            <v>45</v>
          </cell>
          <cell r="J53" t="str">
            <v>в матрице</v>
          </cell>
          <cell r="L53">
            <v>65</v>
          </cell>
          <cell r="M53">
            <v>-0.52299999999999613</v>
          </cell>
          <cell r="R53">
            <v>40</v>
          </cell>
          <cell r="S53">
            <v>40</v>
          </cell>
          <cell r="T53">
            <v>12.8954</v>
          </cell>
          <cell r="U53">
            <v>80.079600000000028</v>
          </cell>
          <cell r="V53">
            <v>40</v>
          </cell>
        </row>
        <row r="54">
          <cell r="A54" t="str">
            <v>6616 МОЛОЧНЫЕ КЛАССИЧЕСКИЕ сос п/о в/у 0,3 кг  Останкино</v>
          </cell>
          <cell r="B54" t="str">
            <v>шт</v>
          </cell>
          <cell r="C54">
            <v>6616</v>
          </cell>
          <cell r="D54">
            <v>162</v>
          </cell>
          <cell r="E54">
            <v>599</v>
          </cell>
          <cell r="F54">
            <v>342</v>
          </cell>
          <cell r="G54">
            <v>409</v>
          </cell>
          <cell r="H54">
            <v>0.3</v>
          </cell>
          <cell r="I54">
            <v>45</v>
          </cell>
          <cell r="J54" t="str">
            <v>в матрице</v>
          </cell>
          <cell r="L54">
            <v>353</v>
          </cell>
          <cell r="M54">
            <v>-11</v>
          </cell>
          <cell r="R54">
            <v>150</v>
          </cell>
          <cell r="S54">
            <v>150</v>
          </cell>
          <cell r="T54">
            <v>68.400000000000006</v>
          </cell>
          <cell r="U54">
            <v>248.60000000000014</v>
          </cell>
          <cell r="V54">
            <v>150</v>
          </cell>
        </row>
        <row r="55">
          <cell r="A55" t="str">
            <v>6661 СОЧНЫЙ ГРИЛЬ ПМ сос п/о мгс 1,5*4_Маяк Останкино</v>
          </cell>
          <cell r="B55" t="str">
            <v>кг</v>
          </cell>
          <cell r="C55">
            <v>6661</v>
          </cell>
          <cell r="D55">
            <v>-5.7000000000000002E-2</v>
          </cell>
          <cell r="E55">
            <v>37.109000000000002</v>
          </cell>
          <cell r="F55">
            <v>9.2639999999999993</v>
          </cell>
          <cell r="G55">
            <v>27.788</v>
          </cell>
          <cell r="H55">
            <v>1</v>
          </cell>
          <cell r="I55">
            <v>45</v>
          </cell>
          <cell r="J55" t="str">
            <v>в матрице</v>
          </cell>
          <cell r="L55">
            <v>9.1</v>
          </cell>
          <cell r="M55">
            <v>0.1639999999999997</v>
          </cell>
          <cell r="R55">
            <v>40</v>
          </cell>
          <cell r="S55">
            <v>40</v>
          </cell>
          <cell r="T55">
            <v>1.8527999999999998</v>
          </cell>
        </row>
        <row r="56">
          <cell r="A56" t="str">
            <v>6697 СЕРВЕЛАТ ФИНСКИЙ ПМ в/к в/у 0,35кг 8шт  ОСТАНКИНО</v>
          </cell>
          <cell r="B56" t="str">
            <v>шт</v>
          </cell>
          <cell r="C56">
            <v>6697</v>
          </cell>
          <cell r="D56">
            <v>171</v>
          </cell>
          <cell r="E56">
            <v>1104</v>
          </cell>
          <cell r="F56">
            <v>527</v>
          </cell>
          <cell r="G56">
            <v>741</v>
          </cell>
          <cell r="H56">
            <v>0.35</v>
          </cell>
          <cell r="I56">
            <v>45</v>
          </cell>
          <cell r="J56" t="str">
            <v>в матрице</v>
          </cell>
          <cell r="L56">
            <v>583</v>
          </cell>
          <cell r="M56">
            <v>-56</v>
          </cell>
          <cell r="R56">
            <v>125</v>
          </cell>
          <cell r="S56">
            <v>125</v>
          </cell>
          <cell r="T56">
            <v>105.4</v>
          </cell>
          <cell r="U56">
            <v>484.60000000000014</v>
          </cell>
          <cell r="V56">
            <v>250</v>
          </cell>
        </row>
        <row r="57">
          <cell r="A57" t="str">
            <v>6713 СОЧНЫЙ ГРИЛЬ ПМ сос п/о мгс 0,41кг 8 шт.  ОСТАНКИНО</v>
          </cell>
          <cell r="B57" t="str">
            <v>шт</v>
          </cell>
          <cell r="C57">
            <v>6713</v>
          </cell>
          <cell r="D57">
            <v>335</v>
          </cell>
          <cell r="E57">
            <v>339</v>
          </cell>
          <cell r="F57">
            <v>366</v>
          </cell>
          <cell r="G57">
            <v>284</v>
          </cell>
          <cell r="H57">
            <v>0.41</v>
          </cell>
          <cell r="I57">
            <v>45</v>
          </cell>
          <cell r="J57" t="str">
            <v>в матрице</v>
          </cell>
          <cell r="L57">
            <v>388</v>
          </cell>
          <cell r="M57">
            <v>-22</v>
          </cell>
          <cell r="R57">
            <v>0</v>
          </cell>
          <cell r="S57">
            <v>0</v>
          </cell>
          <cell r="T57">
            <v>73.2</v>
          </cell>
          <cell r="U57">
            <v>740.8</v>
          </cell>
          <cell r="V57">
            <v>400</v>
          </cell>
        </row>
        <row r="58">
          <cell r="A58" t="str">
            <v>6724 МОЛОЧНЫЕ ПМ сос п/о мгс 0,41кг 10шт  Останкино</v>
          </cell>
          <cell r="B58" t="str">
            <v>шт</v>
          </cell>
          <cell r="C58">
            <v>6724</v>
          </cell>
          <cell r="D58">
            <v>267</v>
          </cell>
          <cell r="E58">
            <v>1</v>
          </cell>
          <cell r="F58">
            <v>114</v>
          </cell>
          <cell r="G58">
            <v>154</v>
          </cell>
          <cell r="H58">
            <v>0.41</v>
          </cell>
          <cell r="I58">
            <v>45</v>
          </cell>
          <cell r="J58" t="str">
            <v>в матрице</v>
          </cell>
          <cell r="L58">
            <v>114</v>
          </cell>
          <cell r="M58">
            <v>0</v>
          </cell>
          <cell r="R58">
            <v>125</v>
          </cell>
          <cell r="S58">
            <v>125</v>
          </cell>
          <cell r="T58">
            <v>22.8</v>
          </cell>
        </row>
        <row r="59">
          <cell r="A59" t="str">
            <v>6761 МОЛОЧНЫЕ ГОСТ сос ц/о мгс 1*4  Останкино</v>
          </cell>
          <cell r="B59" t="str">
            <v>кг</v>
          </cell>
          <cell r="C59">
            <v>6761</v>
          </cell>
          <cell r="D59">
            <v>16.449000000000002</v>
          </cell>
          <cell r="F59">
            <v>0</v>
          </cell>
          <cell r="G59">
            <v>16.449000000000002</v>
          </cell>
          <cell r="H59">
            <v>1</v>
          </cell>
          <cell r="I59">
            <v>30</v>
          </cell>
          <cell r="J59" t="str">
            <v>не в матрице</v>
          </cell>
          <cell r="L59">
            <v>0</v>
          </cell>
          <cell r="M59">
            <v>0</v>
          </cell>
          <cell r="R59">
            <v>0</v>
          </cell>
          <cell r="S59">
            <v>0</v>
          </cell>
          <cell r="T59">
            <v>0</v>
          </cell>
        </row>
        <row r="60">
          <cell r="A60" t="str">
            <v>6765 РУБЛЕНЫЕ сос ц/о мгс 0,36кг 6шт  Останкино</v>
          </cell>
          <cell r="B60" t="str">
            <v>шт</v>
          </cell>
          <cell r="C60">
            <v>6765</v>
          </cell>
          <cell r="D60">
            <v>49</v>
          </cell>
          <cell r="F60">
            <v>-3</v>
          </cell>
          <cell r="G60">
            <v>49</v>
          </cell>
          <cell r="H60">
            <v>0.36</v>
          </cell>
          <cell r="I60">
            <v>45</v>
          </cell>
          <cell r="J60" t="str">
            <v>в матрице</v>
          </cell>
          <cell r="L60">
            <v>105</v>
          </cell>
          <cell r="M60">
            <v>-108</v>
          </cell>
          <cell r="R60">
            <v>0</v>
          </cell>
          <cell r="S60">
            <v>0</v>
          </cell>
          <cell r="T60">
            <v>-0.6</v>
          </cell>
        </row>
        <row r="61">
          <cell r="A61" t="str">
            <v>6767 РУБЛЕНЫЕ сос ц/о мгс 1*4  Останкино</v>
          </cell>
          <cell r="B61" t="str">
            <v>кг</v>
          </cell>
          <cell r="C61">
            <v>6767</v>
          </cell>
          <cell r="D61">
            <v>2.194</v>
          </cell>
          <cell r="F61">
            <v>1.097</v>
          </cell>
          <cell r="G61">
            <v>1.097</v>
          </cell>
          <cell r="H61">
            <v>1</v>
          </cell>
          <cell r="L61">
            <v>1</v>
          </cell>
          <cell r="M61">
            <v>9.6999999999999975E-2</v>
          </cell>
          <cell r="R61">
            <v>25</v>
          </cell>
          <cell r="S61">
            <v>25</v>
          </cell>
          <cell r="T61">
            <v>0.21939999999999998</v>
          </cell>
        </row>
        <row r="62">
          <cell r="A62" t="str">
            <v>6787 СЕРВЕЛАТ КРЕМЛЕВСКИЙ в/к в/у 0,33кг 8шт  Останкино</v>
          </cell>
          <cell r="B62" t="str">
            <v>шт</v>
          </cell>
          <cell r="C62">
            <v>6787</v>
          </cell>
          <cell r="D62">
            <v>113</v>
          </cell>
          <cell r="E62">
            <v>1</v>
          </cell>
          <cell r="F62">
            <v>21</v>
          </cell>
          <cell r="G62">
            <v>87</v>
          </cell>
          <cell r="H62">
            <v>0.33</v>
          </cell>
          <cell r="I62">
            <v>45</v>
          </cell>
          <cell r="J62" t="str">
            <v>в матрице</v>
          </cell>
          <cell r="L62">
            <v>91</v>
          </cell>
          <cell r="M62">
            <v>-70</v>
          </cell>
          <cell r="R62">
            <v>50</v>
          </cell>
          <cell r="S62">
            <v>50</v>
          </cell>
          <cell r="T62">
            <v>4.2</v>
          </cell>
        </row>
        <row r="63">
          <cell r="A63" t="str">
            <v>6793 БАЛЫКОВАЯ в/к в/у 0,33кг 8шт  Останкино</v>
          </cell>
          <cell r="B63" t="str">
            <v>шт</v>
          </cell>
          <cell r="C63">
            <v>6793</v>
          </cell>
          <cell r="D63">
            <v>27</v>
          </cell>
          <cell r="F63">
            <v>14</v>
          </cell>
          <cell r="G63">
            <v>9</v>
          </cell>
          <cell r="H63">
            <v>0.33</v>
          </cell>
          <cell r="I63">
            <v>45</v>
          </cell>
          <cell r="J63" t="str">
            <v>в матрице</v>
          </cell>
          <cell r="L63">
            <v>82</v>
          </cell>
          <cell r="M63">
            <v>-68</v>
          </cell>
          <cell r="R63">
            <v>280</v>
          </cell>
          <cell r="S63">
            <v>280</v>
          </cell>
          <cell r="T63">
            <v>2.8</v>
          </cell>
        </row>
        <row r="64">
          <cell r="A64" t="str">
            <v>6797 С ИНДЕЙКОЙ Папа может вар п/о 0,4кг 8шт. ОСТАНКИНО</v>
          </cell>
          <cell r="B64" t="str">
            <v>шт</v>
          </cell>
          <cell r="C64">
            <v>6797</v>
          </cell>
          <cell r="D64">
            <v>283</v>
          </cell>
          <cell r="E64">
            <v>2</v>
          </cell>
          <cell r="F64">
            <v>140</v>
          </cell>
          <cell r="G64">
            <v>144</v>
          </cell>
          <cell r="H64">
            <v>0.4</v>
          </cell>
          <cell r="L64">
            <v>139</v>
          </cell>
          <cell r="M64">
            <v>1</v>
          </cell>
          <cell r="R64">
            <v>200</v>
          </cell>
          <cell r="S64">
            <v>200</v>
          </cell>
          <cell r="T64">
            <v>28</v>
          </cell>
        </row>
        <row r="65">
          <cell r="A65" t="str">
            <v>6807 СЕРВЕЛАТ ЕВРОПЕЙСКИЙ в/к в/у 0,33кг 8шт  Останкино</v>
          </cell>
          <cell r="B65" t="str">
            <v>шт</v>
          </cell>
          <cell r="C65">
            <v>6807</v>
          </cell>
          <cell r="D65">
            <v>57</v>
          </cell>
          <cell r="E65">
            <v>49</v>
          </cell>
          <cell r="F65">
            <v>10</v>
          </cell>
          <cell r="G65">
            <v>89</v>
          </cell>
          <cell r="H65">
            <v>0.33</v>
          </cell>
          <cell r="L65">
            <v>17</v>
          </cell>
          <cell r="M65">
            <v>-7</v>
          </cell>
          <cell r="R65">
            <v>0</v>
          </cell>
          <cell r="S65">
            <v>0</v>
          </cell>
          <cell r="T65">
            <v>2</v>
          </cell>
        </row>
        <row r="66">
          <cell r="A66" t="str">
            <v>6829  МОЛОЧНЫЕ КЛАССИЧЕСКИЕ сос п/о мгс 2*4 С  Останккино</v>
          </cell>
          <cell r="B66" t="str">
            <v>кг</v>
          </cell>
          <cell r="C66">
            <v>6829</v>
          </cell>
          <cell r="D66">
            <v>72.495999999999995</v>
          </cell>
          <cell r="E66">
            <v>335.55200000000002</v>
          </cell>
          <cell r="F66">
            <v>187.018</v>
          </cell>
          <cell r="G66">
            <v>215.142</v>
          </cell>
          <cell r="H66">
            <v>1</v>
          </cell>
          <cell r="I66">
            <v>45</v>
          </cell>
          <cell r="J66" t="str">
            <v>в матрице</v>
          </cell>
          <cell r="L66">
            <v>185.6</v>
          </cell>
          <cell r="M66">
            <v>1.4180000000000064</v>
          </cell>
          <cell r="R66">
            <v>50</v>
          </cell>
          <cell r="S66">
            <v>50</v>
          </cell>
          <cell r="T66">
            <v>37.403599999999997</v>
          </cell>
          <cell r="U66">
            <v>208.50839999999999</v>
          </cell>
          <cell r="V66">
            <v>100</v>
          </cell>
        </row>
        <row r="67">
          <cell r="A67" t="str">
            <v>6834 ПОСОЛЬСКАЯ с/к с/н в/у 1/100 10шт  Останкино</v>
          </cell>
          <cell r="B67" t="str">
            <v>шт</v>
          </cell>
          <cell r="C67">
            <v>6834</v>
          </cell>
          <cell r="D67">
            <v>57</v>
          </cell>
          <cell r="F67">
            <v>19</v>
          </cell>
          <cell r="G67">
            <v>36</v>
          </cell>
          <cell r="H67">
            <v>0.1</v>
          </cell>
          <cell r="I67">
            <v>60</v>
          </cell>
          <cell r="J67" t="str">
            <v>в матрице</v>
          </cell>
          <cell r="L67">
            <v>26</v>
          </cell>
          <cell r="M67">
            <v>-7</v>
          </cell>
          <cell r="R67">
            <v>0</v>
          </cell>
          <cell r="S67">
            <v>0</v>
          </cell>
          <cell r="T67">
            <v>3.8</v>
          </cell>
          <cell r="U67">
            <v>17.199999999999996</v>
          </cell>
          <cell r="V67">
            <v>50</v>
          </cell>
        </row>
        <row r="68">
          <cell r="A68" t="str">
            <v>6837 ФИЛЕЙНЫЕ Папа Может сос ц/о мгс 0,4кг  Останкино</v>
          </cell>
          <cell r="B68" t="str">
            <v>шт</v>
          </cell>
          <cell r="C68">
            <v>6837</v>
          </cell>
          <cell r="D68">
            <v>206</v>
          </cell>
          <cell r="E68">
            <v>96</v>
          </cell>
          <cell r="F68">
            <v>79</v>
          </cell>
          <cell r="G68">
            <v>209</v>
          </cell>
          <cell r="H68">
            <v>0.4</v>
          </cell>
          <cell r="I68">
            <v>45</v>
          </cell>
          <cell r="J68" t="str">
            <v>в матрице</v>
          </cell>
          <cell r="L68">
            <v>93</v>
          </cell>
          <cell r="M68">
            <v>-14</v>
          </cell>
          <cell r="R68">
            <v>0</v>
          </cell>
          <cell r="S68">
            <v>0</v>
          </cell>
          <cell r="T68">
            <v>15.8</v>
          </cell>
          <cell r="U68">
            <v>12.200000000000017</v>
          </cell>
          <cell r="V68">
            <v>25</v>
          </cell>
        </row>
        <row r="69">
          <cell r="A69" t="str">
            <v>6866 ВЕТЧ.НЕЖНАЯ Коровино п/о_Маяк  Останкино</v>
          </cell>
          <cell r="B69" t="str">
            <v>кг</v>
          </cell>
          <cell r="C69">
            <v>6866</v>
          </cell>
          <cell r="D69">
            <v>7.5049999999999999</v>
          </cell>
          <cell r="E69">
            <v>11.875</v>
          </cell>
          <cell r="F69">
            <v>8.0749999999999993</v>
          </cell>
          <cell r="G69">
            <v>10.404999999999999</v>
          </cell>
          <cell r="H69">
            <v>1</v>
          </cell>
          <cell r="I69">
            <v>60</v>
          </cell>
          <cell r="J69" t="str">
            <v>в матрице</v>
          </cell>
          <cell r="L69">
            <v>9</v>
          </cell>
          <cell r="M69">
            <v>-0.92500000000000071</v>
          </cell>
          <cell r="R69">
            <v>0</v>
          </cell>
          <cell r="S69">
            <v>0</v>
          </cell>
          <cell r="T69">
            <v>1.6149999999999998</v>
          </cell>
          <cell r="U69">
            <v>12.204999999999997</v>
          </cell>
          <cell r="V69">
            <v>25</v>
          </cell>
        </row>
        <row r="70">
          <cell r="A70" t="str">
            <v>6925 ВЕТЧ.КЛАССИЧЕСКАЯ в/у 0,6кг 8шт. ОСТАНКИНО</v>
          </cell>
          <cell r="B70" t="str">
            <v>шт</v>
          </cell>
          <cell r="C70">
            <v>6925</v>
          </cell>
          <cell r="D70">
            <v>1</v>
          </cell>
          <cell r="E70">
            <v>113</v>
          </cell>
          <cell r="F70">
            <v>21</v>
          </cell>
          <cell r="G70">
            <v>90</v>
          </cell>
          <cell r="H70">
            <v>0.6</v>
          </cell>
          <cell r="L70">
            <v>32</v>
          </cell>
          <cell r="M70">
            <v>-11</v>
          </cell>
          <cell r="R70">
            <v>75</v>
          </cell>
          <cell r="S70">
            <v>75</v>
          </cell>
          <cell r="T70">
            <v>4.2</v>
          </cell>
        </row>
        <row r="71">
          <cell r="A71" t="str">
            <v>6955 СОЧНЫЕ Папа может сос п/о мгс 1,5*4 А  Останкино</v>
          </cell>
          <cell r="B71" t="str">
            <v>кг</v>
          </cell>
          <cell r="C71">
            <v>6955</v>
          </cell>
          <cell r="F71">
            <v>1.5549999999999999</v>
          </cell>
          <cell r="G71">
            <v>-1.5549999999999999</v>
          </cell>
          <cell r="H71">
            <v>1</v>
          </cell>
          <cell r="L71">
            <v>1.5</v>
          </cell>
          <cell r="M71">
            <v>5.4999999999999938E-2</v>
          </cell>
          <cell r="R71">
            <v>0</v>
          </cell>
          <cell r="S71">
            <v>0</v>
          </cell>
          <cell r="T71">
            <v>0.311</v>
          </cell>
          <cell r="U71">
            <v>5.9089999999999998</v>
          </cell>
          <cell r="V71">
            <v>32</v>
          </cell>
        </row>
        <row r="72">
          <cell r="A72" t="str">
            <v>6967 БУРГУНДИЯ Папа может с/к в/у 1/250 8шт  Останкино</v>
          </cell>
          <cell r="B72" t="str">
            <v>шт</v>
          </cell>
          <cell r="C72">
            <v>6967</v>
          </cell>
          <cell r="E72">
            <v>144</v>
          </cell>
          <cell r="F72">
            <v>21</v>
          </cell>
          <cell r="G72">
            <v>119</v>
          </cell>
          <cell r="H72">
            <v>0.25</v>
          </cell>
          <cell r="I72">
            <v>120</v>
          </cell>
          <cell r="J72" t="str">
            <v>в матрице</v>
          </cell>
          <cell r="L72">
            <v>34</v>
          </cell>
          <cell r="M72">
            <v>-13</v>
          </cell>
          <cell r="R72">
            <v>0</v>
          </cell>
          <cell r="S72">
            <v>0</v>
          </cell>
          <cell r="T72">
            <v>4.2</v>
          </cell>
        </row>
        <row r="73">
          <cell r="A73" t="str">
            <v>7001 КЛАССИЧЕСКИЕ Папа может сар б/о мгс 1*3  Останкино</v>
          </cell>
          <cell r="B73" t="str">
            <v>кг</v>
          </cell>
          <cell r="C73">
            <v>7001</v>
          </cell>
          <cell r="D73">
            <v>-13.128</v>
          </cell>
          <cell r="E73">
            <v>30.896000000000001</v>
          </cell>
          <cell r="F73">
            <v>2.9710000000000001</v>
          </cell>
          <cell r="G73">
            <v>10.507</v>
          </cell>
          <cell r="H73">
            <v>1</v>
          </cell>
          <cell r="I73">
            <v>45</v>
          </cell>
          <cell r="J73" t="str">
            <v>в матрице</v>
          </cell>
          <cell r="L73">
            <v>7</v>
          </cell>
          <cell r="M73">
            <v>-4.0289999999999999</v>
          </cell>
          <cell r="R73">
            <v>40</v>
          </cell>
          <cell r="S73">
            <v>40</v>
          </cell>
          <cell r="T73">
            <v>0.59420000000000006</v>
          </cell>
        </row>
        <row r="74">
          <cell r="A74" t="str">
            <v>7059 ШПИКАЧКИ СОЧНЫЕ С БЕК. п/о мгс 0,3кг 60с ОСТАНКИНО</v>
          </cell>
          <cell r="B74" t="str">
            <v>шт</v>
          </cell>
          <cell r="C74">
            <v>7059</v>
          </cell>
          <cell r="D74">
            <v>300</v>
          </cell>
          <cell r="E74">
            <v>51</v>
          </cell>
          <cell r="F74">
            <v>189</v>
          </cell>
          <cell r="G74">
            <v>161</v>
          </cell>
          <cell r="H74">
            <v>0.3</v>
          </cell>
          <cell r="L74">
            <v>188</v>
          </cell>
          <cell r="M74">
            <v>1</v>
          </cell>
          <cell r="R74">
            <v>75</v>
          </cell>
          <cell r="S74">
            <v>75</v>
          </cell>
          <cell r="T74">
            <v>37.799999999999997</v>
          </cell>
          <cell r="U74">
            <v>218.19999999999993</v>
          </cell>
          <cell r="V74">
            <v>150</v>
          </cell>
        </row>
        <row r="75">
          <cell r="A75" t="str">
            <v>7066 СОЧНЫЕ ПМ сос п/о мгс 0,41кг 10шт 50с  Останкино</v>
          </cell>
          <cell r="B75" t="str">
            <v>шт</v>
          </cell>
          <cell r="C75">
            <v>7066</v>
          </cell>
          <cell r="D75">
            <v>781</v>
          </cell>
          <cell r="E75">
            <v>1506</v>
          </cell>
          <cell r="F75">
            <v>954</v>
          </cell>
          <cell r="G75">
            <v>1318</v>
          </cell>
          <cell r="H75">
            <v>0.41</v>
          </cell>
          <cell r="I75">
            <v>50</v>
          </cell>
          <cell r="J75" t="str">
            <v>в матрице</v>
          </cell>
          <cell r="L75">
            <v>962</v>
          </cell>
          <cell r="M75">
            <v>-8</v>
          </cell>
          <cell r="R75">
            <v>0</v>
          </cell>
          <cell r="S75">
            <v>0</v>
          </cell>
          <cell r="T75">
            <v>190.8</v>
          </cell>
          <cell r="U75">
            <v>1353.2000000000003</v>
          </cell>
          <cell r="V75">
            <v>750</v>
          </cell>
        </row>
        <row r="76">
          <cell r="A76" t="str">
            <v>7070 СОЧНЫЕ ПМ сос п/о 1,5*4_А_50с  Останкино</v>
          </cell>
          <cell r="B76" t="str">
            <v>кг</v>
          </cell>
          <cell r="C76">
            <v>7070</v>
          </cell>
          <cell r="D76">
            <v>118.04300000000001</v>
          </cell>
          <cell r="E76">
            <v>198.809</v>
          </cell>
          <cell r="F76">
            <v>119.968</v>
          </cell>
          <cell r="G76">
            <v>187.96</v>
          </cell>
          <cell r="H76">
            <v>1</v>
          </cell>
          <cell r="I76">
            <v>50</v>
          </cell>
          <cell r="J76" t="str">
            <v>в матрице</v>
          </cell>
          <cell r="L76">
            <v>126.5</v>
          </cell>
          <cell r="M76">
            <v>-6.5319999999999965</v>
          </cell>
          <cell r="R76">
            <v>0</v>
          </cell>
          <cell r="S76">
            <v>0</v>
          </cell>
          <cell r="T76">
            <v>23.993600000000001</v>
          </cell>
          <cell r="U76">
            <v>147.95039999999997</v>
          </cell>
          <cell r="V76">
            <v>100</v>
          </cell>
        </row>
        <row r="77">
          <cell r="A77" t="str">
            <v>7073 МОЛОЧ.ПРЕМИУМ ПМ сос п/о в/у 1/350_50с  Останкино</v>
          </cell>
          <cell r="B77" t="str">
            <v>шт</v>
          </cell>
          <cell r="C77">
            <v>7073</v>
          </cell>
          <cell r="D77">
            <v>276</v>
          </cell>
          <cell r="E77">
            <v>44</v>
          </cell>
          <cell r="F77">
            <v>160</v>
          </cell>
          <cell r="G77">
            <v>158</v>
          </cell>
          <cell r="H77">
            <v>0.35</v>
          </cell>
          <cell r="I77">
            <v>50</v>
          </cell>
          <cell r="J77" t="str">
            <v>в матрице</v>
          </cell>
          <cell r="L77">
            <v>161</v>
          </cell>
          <cell r="M77">
            <v>-1</v>
          </cell>
          <cell r="R77">
            <v>0</v>
          </cell>
          <cell r="S77">
            <v>0</v>
          </cell>
          <cell r="T77">
            <v>32</v>
          </cell>
          <cell r="U77">
            <v>290</v>
          </cell>
          <cell r="V77">
            <v>180</v>
          </cell>
        </row>
        <row r="78">
          <cell r="A78" t="str">
            <v>7075 МОЛОЧ.ПРЕМИУМ ПМ сос п/о мгс 1,5*4_О_50с  Останкино</v>
          </cell>
          <cell r="B78" t="str">
            <v>кг</v>
          </cell>
          <cell r="C78">
            <v>7075</v>
          </cell>
          <cell r="D78">
            <v>-7.7430000000000003</v>
          </cell>
          <cell r="E78">
            <v>37.54</v>
          </cell>
          <cell r="F78">
            <v>1.56</v>
          </cell>
          <cell r="G78">
            <v>28.236999999999998</v>
          </cell>
          <cell r="H78">
            <v>1</v>
          </cell>
          <cell r="I78">
            <v>50</v>
          </cell>
          <cell r="J78" t="str">
            <v>в матрице</v>
          </cell>
          <cell r="L78">
            <v>1.5</v>
          </cell>
          <cell r="M78">
            <v>6.0000000000000053E-2</v>
          </cell>
          <cell r="R78">
            <v>5</v>
          </cell>
          <cell r="S78">
            <v>5</v>
          </cell>
          <cell r="T78">
            <v>0.312</v>
          </cell>
        </row>
        <row r="79">
          <cell r="A79" t="str">
            <v>7080 СЛИВОЧНЫЕ ПМ сос п/о мгс 0,41кг 10шт 50с  Останкино</v>
          </cell>
          <cell r="B79" t="str">
            <v>шт</v>
          </cell>
          <cell r="C79">
            <v>7080</v>
          </cell>
          <cell r="D79">
            <v>709</v>
          </cell>
          <cell r="E79">
            <v>102</v>
          </cell>
          <cell r="F79">
            <v>495</v>
          </cell>
          <cell r="G79">
            <v>308</v>
          </cell>
          <cell r="H79">
            <v>0.41</v>
          </cell>
          <cell r="I79">
            <v>50</v>
          </cell>
          <cell r="J79" t="str">
            <v>в матрице</v>
          </cell>
          <cell r="L79">
            <v>498</v>
          </cell>
          <cell r="M79">
            <v>-3</v>
          </cell>
          <cell r="R79">
            <v>325</v>
          </cell>
          <cell r="S79">
            <v>325</v>
          </cell>
          <cell r="T79">
            <v>99</v>
          </cell>
          <cell r="U79">
            <v>428</v>
          </cell>
          <cell r="V79">
            <v>250</v>
          </cell>
        </row>
        <row r="80">
          <cell r="A80" t="str">
            <v>7082 СЛИВОЧНЫЕ ПМ сос п/о мгс 1,5*4_50с  Останкино</v>
          </cell>
          <cell r="B80" t="str">
            <v>кг</v>
          </cell>
          <cell r="C80">
            <v>7082</v>
          </cell>
          <cell r="D80">
            <v>-1.5620000000000001</v>
          </cell>
          <cell r="F80">
            <v>-3.0369999999999999</v>
          </cell>
          <cell r="G80">
            <v>-1.5620000000000001</v>
          </cell>
          <cell r="H80">
            <v>1</v>
          </cell>
          <cell r="L80">
            <v>0</v>
          </cell>
          <cell r="M80">
            <v>-3.0369999999999999</v>
          </cell>
          <cell r="R80">
            <v>0</v>
          </cell>
          <cell r="S80">
            <v>0</v>
          </cell>
          <cell r="T80">
            <v>-0.60739999999999994</v>
          </cell>
        </row>
        <row r="81">
          <cell r="A81" t="str">
            <v>7083 СЛИВОЧНЫЕ ПМ сос п/о мгс 1.5*4_А_50с  ОСТАНКИНО</v>
          </cell>
          <cell r="B81" t="str">
            <v>кг</v>
          </cell>
          <cell r="C81">
            <v>7083</v>
          </cell>
          <cell r="D81">
            <v>158.964</v>
          </cell>
          <cell r="E81">
            <v>3.0579999999999998</v>
          </cell>
          <cell r="F81">
            <v>61.933999999999997</v>
          </cell>
          <cell r="G81">
            <v>98.575999999999993</v>
          </cell>
          <cell r="H81">
            <v>1</v>
          </cell>
          <cell r="L81">
            <v>61.8</v>
          </cell>
          <cell r="M81">
            <v>0.13400000000000034</v>
          </cell>
          <cell r="R81">
            <v>0</v>
          </cell>
          <cell r="S81">
            <v>0</v>
          </cell>
          <cell r="T81">
            <v>12.386799999999999</v>
          </cell>
          <cell r="U81">
            <v>74.839200000000005</v>
          </cell>
          <cell r="V81">
            <v>75</v>
          </cell>
        </row>
        <row r="82">
          <cell r="A82" t="str">
            <v>7090 СВИНИНА ПО-ДОМ.к/в мл/к в/у 0,3кг_50с  Останкино</v>
          </cell>
          <cell r="B82" t="str">
            <v>шт</v>
          </cell>
          <cell r="C82">
            <v>7090</v>
          </cell>
          <cell r="D82">
            <v>163</v>
          </cell>
          <cell r="E82">
            <v>242</v>
          </cell>
          <cell r="F82">
            <v>94</v>
          </cell>
          <cell r="G82">
            <v>303</v>
          </cell>
          <cell r="H82">
            <v>0.3</v>
          </cell>
          <cell r="I82">
            <v>50</v>
          </cell>
          <cell r="J82" t="str">
            <v>в матрице</v>
          </cell>
          <cell r="L82">
            <v>102</v>
          </cell>
          <cell r="M82">
            <v>-8</v>
          </cell>
          <cell r="R82">
            <v>0</v>
          </cell>
          <cell r="S82">
            <v>0</v>
          </cell>
          <cell r="T82">
            <v>18.8</v>
          </cell>
        </row>
        <row r="83">
          <cell r="A83" t="str">
            <v>7103 БЕКОН Останкино с/к с/н в/у 1/180_50с  Останкино</v>
          </cell>
          <cell r="B83" t="str">
            <v>шт</v>
          </cell>
          <cell r="C83">
            <v>7103</v>
          </cell>
          <cell r="D83">
            <v>5</v>
          </cell>
          <cell r="E83">
            <v>302</v>
          </cell>
          <cell r="F83">
            <v>68</v>
          </cell>
          <cell r="G83">
            <v>226</v>
          </cell>
          <cell r="H83">
            <v>0.18</v>
          </cell>
          <cell r="I83">
            <v>50</v>
          </cell>
          <cell r="J83" t="str">
            <v>в матрице</v>
          </cell>
          <cell r="L83">
            <v>124</v>
          </cell>
          <cell r="M83">
            <v>-56</v>
          </cell>
          <cell r="R83">
            <v>0</v>
          </cell>
          <cell r="S83">
            <v>0</v>
          </cell>
          <cell r="T83">
            <v>13.6</v>
          </cell>
        </row>
        <row r="84">
          <cell r="A84" t="str">
            <v>7131 БАЛЫКОВАЯ в/к в/у 0,84кг  Останкино</v>
          </cell>
          <cell r="B84" t="str">
            <v>кг</v>
          </cell>
          <cell r="C84">
            <v>7131</v>
          </cell>
          <cell r="D84">
            <v>0.56000000000000005</v>
          </cell>
          <cell r="F84">
            <v>0</v>
          </cell>
          <cell r="G84">
            <v>0.56000000000000005</v>
          </cell>
          <cell r="H84">
            <v>1</v>
          </cell>
          <cell r="I84">
            <v>45</v>
          </cell>
          <cell r="J84" t="str">
            <v>в матрице</v>
          </cell>
          <cell r="L84">
            <v>10.5</v>
          </cell>
          <cell r="M84">
            <v>-10.5</v>
          </cell>
          <cell r="R84">
            <v>0</v>
          </cell>
          <cell r="S84">
            <v>0</v>
          </cell>
          <cell r="T84">
            <v>0</v>
          </cell>
        </row>
        <row r="85">
          <cell r="A85" t="str">
            <v>7154 СЕРВЕЛАТ ЗЕРНИСТЫЙ ПМ в/к в/у 0,35кг_50с  Останкино</v>
          </cell>
          <cell r="B85" t="str">
            <v>шт</v>
          </cell>
          <cell r="C85">
            <v>7154</v>
          </cell>
          <cell r="D85">
            <v>416</v>
          </cell>
          <cell r="E85">
            <v>149</v>
          </cell>
          <cell r="F85">
            <v>466</v>
          </cell>
          <cell r="G85">
            <v>78</v>
          </cell>
          <cell r="H85">
            <v>0.35</v>
          </cell>
          <cell r="I85">
            <v>50</v>
          </cell>
          <cell r="J85" t="str">
            <v>в матрице</v>
          </cell>
          <cell r="L85">
            <v>496</v>
          </cell>
          <cell r="M85">
            <v>-30</v>
          </cell>
          <cell r="R85">
            <v>425</v>
          </cell>
          <cell r="S85">
            <v>425</v>
          </cell>
          <cell r="T85">
            <v>93.2</v>
          </cell>
          <cell r="U85">
            <v>376.79999999999995</v>
          </cell>
          <cell r="V85">
            <v>200</v>
          </cell>
        </row>
        <row r="86">
          <cell r="A86" t="str">
            <v>7157 СЕРВЕЛАТ ЗЕРНИСТЫЙ ПМ в/к в/у_50с  Останкино</v>
          </cell>
          <cell r="B86" t="str">
            <v>кг</v>
          </cell>
          <cell r="C86">
            <v>7157</v>
          </cell>
          <cell r="D86">
            <v>53.01</v>
          </cell>
          <cell r="E86">
            <v>170.892</v>
          </cell>
          <cell r="F86">
            <v>136.91</v>
          </cell>
          <cell r="G86">
            <v>73.849000000000004</v>
          </cell>
          <cell r="H86">
            <v>1</v>
          </cell>
          <cell r="I86">
            <v>50</v>
          </cell>
          <cell r="J86" t="str">
            <v>в матрице</v>
          </cell>
          <cell r="L86">
            <v>151.5</v>
          </cell>
          <cell r="M86">
            <v>-14.590000000000003</v>
          </cell>
          <cell r="R86">
            <v>100</v>
          </cell>
          <cell r="S86">
            <v>100</v>
          </cell>
          <cell r="T86">
            <v>27.381999999999998</v>
          </cell>
          <cell r="U86">
            <v>109.49899999999997</v>
          </cell>
          <cell r="V86">
            <v>75</v>
          </cell>
        </row>
        <row r="87">
          <cell r="A87" t="str">
            <v>7166 СЕРВЕЛАТ ОХОТНИЧИЙ ПМ в/к в/у_50с  Останкино</v>
          </cell>
          <cell r="B87" t="str">
            <v>кг</v>
          </cell>
          <cell r="C87">
            <v>7166</v>
          </cell>
          <cell r="D87">
            <v>-22.26</v>
          </cell>
          <cell r="E87">
            <v>289.01400000000001</v>
          </cell>
          <cell r="F87">
            <v>150.86500000000001</v>
          </cell>
          <cell r="G87">
            <v>103.33</v>
          </cell>
          <cell r="H87">
            <v>1</v>
          </cell>
          <cell r="I87">
            <v>50</v>
          </cell>
          <cell r="J87" t="str">
            <v>в матрице</v>
          </cell>
          <cell r="L87">
            <v>164.4</v>
          </cell>
          <cell r="M87">
            <v>-13.534999999999997</v>
          </cell>
          <cell r="R87">
            <v>0</v>
          </cell>
          <cell r="S87">
            <v>0</v>
          </cell>
          <cell r="T87">
            <v>30.173000000000002</v>
          </cell>
          <cell r="U87">
            <v>319.09200000000004</v>
          </cell>
          <cell r="V87">
            <v>200</v>
          </cell>
        </row>
        <row r="88">
          <cell r="A88" t="str">
            <v>7169 СЕРВЕЛАТ ОХОТНИЧИЙ ПМ в/к в/у 0,35кг_50с  Останкино</v>
          </cell>
          <cell r="B88" t="str">
            <v>шт</v>
          </cell>
          <cell r="C88">
            <v>7169</v>
          </cell>
          <cell r="D88">
            <v>301</v>
          </cell>
          <cell r="E88">
            <v>1098</v>
          </cell>
          <cell r="F88">
            <v>516</v>
          </cell>
          <cell r="G88">
            <v>859</v>
          </cell>
          <cell r="H88">
            <v>0.35</v>
          </cell>
          <cell r="I88">
            <v>50</v>
          </cell>
          <cell r="J88" t="str">
            <v>в матрице</v>
          </cell>
          <cell r="L88">
            <v>539</v>
          </cell>
          <cell r="M88">
            <v>-23</v>
          </cell>
          <cell r="R88">
            <v>0</v>
          </cell>
          <cell r="S88">
            <v>0</v>
          </cell>
          <cell r="T88">
            <v>103.2</v>
          </cell>
          <cell r="U88">
            <v>585.79999999999995</v>
          </cell>
          <cell r="V88">
            <v>315</v>
          </cell>
        </row>
        <row r="89">
          <cell r="A89" t="str">
            <v>7187 ГРУДИНКА ПРЕМИУМ к/в мл/к в/у 0,3кг_50с  Останкино</v>
          </cell>
          <cell r="B89" t="str">
            <v>шт</v>
          </cell>
          <cell r="C89">
            <v>7187</v>
          </cell>
          <cell r="D89">
            <v>53</v>
          </cell>
          <cell r="E89">
            <v>244</v>
          </cell>
          <cell r="F89">
            <v>92</v>
          </cell>
          <cell r="G89">
            <v>197</v>
          </cell>
          <cell r="H89">
            <v>0.3</v>
          </cell>
          <cell r="I89">
            <v>50</v>
          </cell>
          <cell r="J89" t="str">
            <v>в матрице</v>
          </cell>
          <cell r="L89">
            <v>100</v>
          </cell>
          <cell r="M89">
            <v>-8</v>
          </cell>
          <cell r="R89">
            <v>0</v>
          </cell>
          <cell r="S89">
            <v>0</v>
          </cell>
          <cell r="T89">
            <v>18.399999999999999</v>
          </cell>
          <cell r="U89">
            <v>60.599999999999966</v>
          </cell>
          <cell r="V89">
            <v>60</v>
          </cell>
        </row>
        <row r="90">
          <cell r="A90" t="str">
            <v>7231 КЛАССИЧЕСКАЯ ПМ вар п/о 0,3кг 8 шт_209к  Останкино</v>
          </cell>
          <cell r="B90" t="str">
            <v>шт</v>
          </cell>
          <cell r="C90">
            <v>7231</v>
          </cell>
          <cell r="D90">
            <v>177</v>
          </cell>
          <cell r="E90">
            <v>97</v>
          </cell>
          <cell r="F90">
            <v>17</v>
          </cell>
          <cell r="G90">
            <v>249</v>
          </cell>
          <cell r="H90">
            <v>0.3</v>
          </cell>
          <cell r="I90">
            <v>60</v>
          </cell>
          <cell r="J90" t="str">
            <v>в матрице</v>
          </cell>
          <cell r="L90">
            <v>25</v>
          </cell>
          <cell r="M90">
            <v>-8</v>
          </cell>
          <cell r="R90">
            <v>0</v>
          </cell>
          <cell r="S90">
            <v>0</v>
          </cell>
          <cell r="T90">
            <v>3.4</v>
          </cell>
          <cell r="V90">
            <v>0</v>
          </cell>
        </row>
        <row r="91">
          <cell r="A91" t="str">
            <v>7232 БОЯNСКАЯ ПМ п/к в/у 0,28кг 8шт_209к  Останкино</v>
          </cell>
          <cell r="B91" t="str">
            <v>шт</v>
          </cell>
          <cell r="C91">
            <v>7232</v>
          </cell>
          <cell r="D91">
            <v>115</v>
          </cell>
          <cell r="E91">
            <v>450</v>
          </cell>
          <cell r="F91">
            <v>302</v>
          </cell>
          <cell r="G91">
            <v>243</v>
          </cell>
          <cell r="H91">
            <v>0.28000000000000003</v>
          </cell>
          <cell r="I91">
            <v>50</v>
          </cell>
          <cell r="J91" t="str">
            <v>в матрице</v>
          </cell>
          <cell r="L91">
            <v>322</v>
          </cell>
          <cell r="M91">
            <v>-20</v>
          </cell>
          <cell r="R91">
            <v>150</v>
          </cell>
          <cell r="S91">
            <v>150</v>
          </cell>
          <cell r="T91">
            <v>60.4</v>
          </cell>
          <cell r="U91">
            <v>302.60000000000002</v>
          </cell>
          <cell r="V91">
            <v>145</v>
          </cell>
        </row>
        <row r="92">
          <cell r="A92" t="str">
            <v>7236 СЕРВЕЛАТ КАРЕЛЬСКИЙ в/к в/у 0,28кг_209к  Останкино</v>
          </cell>
          <cell r="B92" t="str">
            <v>шт</v>
          </cell>
          <cell r="C92">
            <v>7236</v>
          </cell>
          <cell r="D92">
            <v>272</v>
          </cell>
          <cell r="E92">
            <v>98</v>
          </cell>
          <cell r="F92">
            <v>303</v>
          </cell>
          <cell r="G92">
            <v>36</v>
          </cell>
          <cell r="H92">
            <v>0.28000000000000003</v>
          </cell>
          <cell r="I92">
            <v>45</v>
          </cell>
          <cell r="J92" t="str">
            <v>в матрице</v>
          </cell>
          <cell r="L92">
            <v>335</v>
          </cell>
          <cell r="M92">
            <v>-32</v>
          </cell>
          <cell r="R92">
            <v>300</v>
          </cell>
          <cell r="S92">
            <v>300</v>
          </cell>
          <cell r="T92">
            <v>60.6</v>
          </cell>
          <cell r="U92">
            <v>212.39999999999998</v>
          </cell>
          <cell r="V92">
            <v>140</v>
          </cell>
        </row>
        <row r="93">
          <cell r="A93" t="str">
            <v>7237 СЕРВЕЛАТ ШВАРЦЕР ПМ в/к в/у 0,28кг_209к  Останкино</v>
          </cell>
          <cell r="B93" t="str">
            <v>шт</v>
          </cell>
          <cell r="C93">
            <v>7237</v>
          </cell>
          <cell r="D93">
            <v>55</v>
          </cell>
          <cell r="F93">
            <v>47</v>
          </cell>
          <cell r="G93">
            <v>1</v>
          </cell>
          <cell r="H93">
            <v>0.28000000000000003</v>
          </cell>
          <cell r="I93">
            <v>45</v>
          </cell>
          <cell r="J93" t="str">
            <v>в матрице</v>
          </cell>
          <cell r="L93">
            <v>71</v>
          </cell>
          <cell r="M93">
            <v>-24</v>
          </cell>
          <cell r="R93">
            <v>125</v>
          </cell>
          <cell r="S93">
            <v>125</v>
          </cell>
          <cell r="T93">
            <v>9.4</v>
          </cell>
        </row>
        <row r="94">
          <cell r="A94" t="str">
            <v>7241 САЛЯМИ Папа может п/к в/у 0,28кг ОСТАНКИНО</v>
          </cell>
          <cell r="B94" t="str">
            <v>шт</v>
          </cell>
          <cell r="C94">
            <v>7241</v>
          </cell>
          <cell r="D94">
            <v>71</v>
          </cell>
          <cell r="E94">
            <v>210</v>
          </cell>
          <cell r="F94">
            <v>200</v>
          </cell>
          <cell r="G94">
            <v>61</v>
          </cell>
          <cell r="H94">
            <v>0.28000000000000003</v>
          </cell>
          <cell r="I94">
            <v>45</v>
          </cell>
          <cell r="J94" t="str">
            <v>в матрице</v>
          </cell>
          <cell r="L94">
            <v>236</v>
          </cell>
          <cell r="M94">
            <v>-36</v>
          </cell>
          <cell r="R94">
            <v>210</v>
          </cell>
          <cell r="S94">
            <v>210</v>
          </cell>
          <cell r="T94">
            <v>40</v>
          </cell>
          <cell r="U94">
            <v>79</v>
          </cell>
          <cell r="V94">
            <v>75</v>
          </cell>
        </row>
        <row r="95">
          <cell r="A95" t="str">
            <v>7255 МЯСНЫЕ С ГОВЯД.ПМ сос п/о мгс 0.4кг 6шт.  ОСТАНКИНО</v>
          </cell>
          <cell r="B95" t="str">
            <v>шт</v>
          </cell>
          <cell r="C95">
            <v>7255</v>
          </cell>
          <cell r="D95">
            <v>424</v>
          </cell>
          <cell r="E95">
            <v>354</v>
          </cell>
          <cell r="F95">
            <v>509</v>
          </cell>
          <cell r="G95">
            <v>267</v>
          </cell>
          <cell r="H95">
            <v>0.4</v>
          </cell>
          <cell r="I95">
            <v>50</v>
          </cell>
          <cell r="J95" t="str">
            <v>в матрице</v>
          </cell>
          <cell r="L95">
            <v>507</v>
          </cell>
          <cell r="M95">
            <v>2</v>
          </cell>
          <cell r="R95">
            <v>300</v>
          </cell>
          <cell r="S95">
            <v>300</v>
          </cell>
          <cell r="T95">
            <v>101.8</v>
          </cell>
          <cell r="U95">
            <v>558.20000000000005</v>
          </cell>
          <cell r="V95">
            <v>325</v>
          </cell>
        </row>
        <row r="96">
          <cell r="A96" t="str">
            <v>7288 БАЛЫК с/к с/н в/у 1/100 10шт ОСТАНКИНО</v>
          </cell>
          <cell r="B96" t="str">
            <v>шт</v>
          </cell>
          <cell r="C96">
            <v>7288</v>
          </cell>
          <cell r="D96">
            <v>48</v>
          </cell>
          <cell r="F96">
            <v>40</v>
          </cell>
          <cell r="G96">
            <v>8</v>
          </cell>
          <cell r="H96">
            <v>0.1</v>
          </cell>
          <cell r="I96">
            <v>60</v>
          </cell>
          <cell r="J96" t="str">
            <v>в матрице</v>
          </cell>
          <cell r="L96">
            <v>40</v>
          </cell>
          <cell r="M96">
            <v>0</v>
          </cell>
          <cell r="R96">
            <v>25</v>
          </cell>
          <cell r="S96">
            <v>25</v>
          </cell>
          <cell r="T96">
            <v>8</v>
          </cell>
          <cell r="U96">
            <v>54</v>
          </cell>
          <cell r="V96">
            <v>27</v>
          </cell>
        </row>
        <row r="97">
          <cell r="A97" t="str">
            <v>7332 БОЯРСКАЯ ПМ п/к в/у 0,28кг ОСТАНКИНО</v>
          </cell>
          <cell r="B97" t="str">
            <v>шт</v>
          </cell>
          <cell r="C97">
            <v>7332</v>
          </cell>
          <cell r="D97">
            <v>44</v>
          </cell>
          <cell r="E97">
            <v>16</v>
          </cell>
          <cell r="F97">
            <v>26</v>
          </cell>
          <cell r="G97">
            <v>28</v>
          </cell>
          <cell r="H97">
            <v>0.28000000000000003</v>
          </cell>
          <cell r="I97">
            <v>50</v>
          </cell>
          <cell r="J97" t="str">
            <v>в матрице</v>
          </cell>
          <cell r="L97">
            <v>35</v>
          </cell>
          <cell r="M97">
            <v>-9</v>
          </cell>
          <cell r="R97">
            <v>12</v>
          </cell>
          <cell r="S97">
            <v>12</v>
          </cell>
          <cell r="T97">
            <v>5.2</v>
          </cell>
          <cell r="U97">
            <v>20.799999999999997</v>
          </cell>
          <cell r="V97">
            <v>10.5</v>
          </cell>
        </row>
        <row r="98">
          <cell r="A98" t="str">
            <v>7333 СЕРВЕЛАТ ОХОТНИЧИЙ ПМ в/к в/у 0,28кг ОСТАНКИНО</v>
          </cell>
          <cell r="B98" t="str">
            <v>шт</v>
          </cell>
          <cell r="C98">
            <v>7333</v>
          </cell>
          <cell r="D98">
            <v>11</v>
          </cell>
          <cell r="F98">
            <v>1</v>
          </cell>
          <cell r="G98">
            <v>10</v>
          </cell>
          <cell r="H98">
            <v>0.28000000000000003</v>
          </cell>
          <cell r="I98">
            <v>50</v>
          </cell>
          <cell r="J98" t="str">
            <v>в матрице</v>
          </cell>
          <cell r="L98">
            <v>1</v>
          </cell>
          <cell r="M98">
            <v>0</v>
          </cell>
          <cell r="R98">
            <v>0</v>
          </cell>
          <cell r="S98">
            <v>0</v>
          </cell>
          <cell r="T98">
            <v>0.2</v>
          </cell>
        </row>
        <row r="99">
          <cell r="A99" t="str">
            <v>7371 БРЕСТСКИЕ сос п/о в/у 0,3кг 8шт. ОСТАНКИНО</v>
          </cell>
          <cell r="B99" t="str">
            <v>шт</v>
          </cell>
          <cell r="C99">
            <v>7371</v>
          </cell>
          <cell r="D99">
            <v>307</v>
          </cell>
          <cell r="E99">
            <v>148</v>
          </cell>
          <cell r="F99">
            <v>195</v>
          </cell>
          <cell r="G99">
            <v>256</v>
          </cell>
          <cell r="H99">
            <v>0.3</v>
          </cell>
          <cell r="L99">
            <v>196</v>
          </cell>
          <cell r="M99">
            <v>-1</v>
          </cell>
          <cell r="R99">
            <v>0</v>
          </cell>
          <cell r="S99">
            <v>0</v>
          </cell>
          <cell r="T99">
            <v>39</v>
          </cell>
          <cell r="U99">
            <v>290</v>
          </cell>
          <cell r="V99">
            <v>145</v>
          </cell>
        </row>
        <row r="100">
          <cell r="A100" t="str">
            <v>7382  САЛЯМИ МЕЛКОЗЕРНЕНАЯ с/к в/у1/120 8шт.  ОСТАНКИНО</v>
          </cell>
          <cell r="B100" t="str">
            <v>шт</v>
          </cell>
          <cell r="C100">
            <v>7382</v>
          </cell>
          <cell r="D100">
            <v>255</v>
          </cell>
          <cell r="E100">
            <v>5</v>
          </cell>
          <cell r="F100">
            <v>169</v>
          </cell>
          <cell r="G100">
            <v>88</v>
          </cell>
          <cell r="H100">
            <v>0.12</v>
          </cell>
          <cell r="I100">
            <v>60</v>
          </cell>
          <cell r="J100" t="str">
            <v>в матрице</v>
          </cell>
          <cell r="L100">
            <v>172</v>
          </cell>
          <cell r="M100">
            <v>-3</v>
          </cell>
          <cell r="R100">
            <v>0</v>
          </cell>
          <cell r="S100">
            <v>0</v>
          </cell>
          <cell r="T100">
            <v>33.799999999999997</v>
          </cell>
          <cell r="U100">
            <v>385.19999999999993</v>
          </cell>
          <cell r="V100">
            <v>192.5</v>
          </cell>
        </row>
        <row r="101">
          <cell r="A101" t="str">
            <v>7461 ДЛЯ ДЕТЕЙ Папа Может сос п/о мгс 0,33кг ОСТАНКИНО</v>
          </cell>
          <cell r="B101" t="str">
            <v>шт</v>
          </cell>
          <cell r="C101">
            <v>7461</v>
          </cell>
          <cell r="D101">
            <v>201</v>
          </cell>
          <cell r="E101">
            <v>5</v>
          </cell>
          <cell r="F101">
            <v>190</v>
          </cell>
          <cell r="G101">
            <v>2</v>
          </cell>
          <cell r="H101">
            <v>0.33</v>
          </cell>
          <cell r="L101">
            <v>233</v>
          </cell>
          <cell r="M101">
            <v>-43</v>
          </cell>
          <cell r="R101">
            <v>250</v>
          </cell>
          <cell r="S101">
            <v>250</v>
          </cell>
          <cell r="T101">
            <v>38</v>
          </cell>
          <cell r="U101">
            <v>30</v>
          </cell>
          <cell r="V101">
            <v>15</v>
          </cell>
        </row>
        <row r="102">
          <cell r="A102" t="str">
            <v>7489 СЫРРРВЕЛАТ Папа Может в/к в/у 0,28кг 8шт. ОСТАНКИНО</v>
          </cell>
          <cell r="B102" t="str">
            <v>шт</v>
          </cell>
          <cell r="C102">
            <v>7489</v>
          </cell>
          <cell r="E102">
            <v>249</v>
          </cell>
          <cell r="F102">
            <v>14</v>
          </cell>
          <cell r="G102">
            <v>234</v>
          </cell>
          <cell r="H102">
            <v>0.28000000000000003</v>
          </cell>
          <cell r="L102">
            <v>15</v>
          </cell>
          <cell r="M102">
            <v>-1</v>
          </cell>
          <cell r="R102">
            <v>0</v>
          </cell>
          <cell r="S102">
            <v>0</v>
          </cell>
          <cell r="T102">
            <v>2.8</v>
          </cell>
        </row>
        <row r="103">
          <cell r="A103" t="str">
            <v>7523 ГОВЯЖЬЯ Папа Может вар п/о 0,4кг 6шт. ОСТАНКИНО</v>
          </cell>
          <cell r="B103" t="str">
            <v>шт</v>
          </cell>
          <cell r="C103">
            <v>7523</v>
          </cell>
          <cell r="D103">
            <v>163</v>
          </cell>
          <cell r="E103">
            <v>1</v>
          </cell>
          <cell r="F103">
            <v>102</v>
          </cell>
          <cell r="G103">
            <v>62</v>
          </cell>
          <cell r="H103">
            <v>0.4</v>
          </cell>
          <cell r="L103">
            <v>102</v>
          </cell>
          <cell r="M103">
            <v>0</v>
          </cell>
          <cell r="R103">
            <v>30</v>
          </cell>
          <cell r="S103">
            <v>30</v>
          </cell>
          <cell r="T103">
            <v>20.399999999999999</v>
          </cell>
          <cell r="U103">
            <v>163.59999999999997</v>
          </cell>
          <cell r="V103">
            <v>82</v>
          </cell>
        </row>
        <row r="104">
          <cell r="A104" t="str">
            <v>7539 ДОКТОРСКАЯ ГОСТ вар п/о 0,35кг ОСТАНКИНО</v>
          </cell>
          <cell r="B104" t="str">
            <v>шт</v>
          </cell>
          <cell r="C104">
            <v>7539</v>
          </cell>
          <cell r="D104">
            <v>40</v>
          </cell>
          <cell r="E104">
            <v>1</v>
          </cell>
          <cell r="F104">
            <v>2</v>
          </cell>
          <cell r="G104">
            <v>39</v>
          </cell>
          <cell r="H104">
            <v>0.35</v>
          </cell>
          <cell r="L104">
            <v>2</v>
          </cell>
          <cell r="M104">
            <v>0</v>
          </cell>
          <cell r="R104">
            <v>0</v>
          </cell>
          <cell r="S104">
            <v>0</v>
          </cell>
          <cell r="T104">
            <v>0.4</v>
          </cell>
          <cell r="V104">
            <v>25</v>
          </cell>
        </row>
        <row r="105">
          <cell r="A105" t="str">
            <v>7564 Балыковая в/к в/у Останкино Вес  ОСТАНКИНО</v>
          </cell>
          <cell r="B105" t="str">
            <v>кг</v>
          </cell>
          <cell r="C105">
            <v>7564</v>
          </cell>
          <cell r="D105">
            <v>3.347</v>
          </cell>
          <cell r="F105">
            <v>2.512</v>
          </cell>
          <cell r="G105">
            <v>0.83499999999999996</v>
          </cell>
          <cell r="H105">
            <v>1</v>
          </cell>
          <cell r="L105">
            <v>18.7</v>
          </cell>
          <cell r="M105">
            <v>-16.187999999999999</v>
          </cell>
          <cell r="R105">
            <v>64</v>
          </cell>
          <cell r="S105">
            <v>64</v>
          </cell>
          <cell r="T105">
            <v>0.50239999999999996</v>
          </cell>
        </row>
        <row r="106">
          <cell r="A106" t="str">
            <v>7603 БАЛЫКОВАЯ в/к в/у 0.33кг 8шт. ОСТАНКИНО</v>
          </cell>
          <cell r="B106" t="str">
            <v>шт</v>
          </cell>
          <cell r="C106">
            <v>7603</v>
          </cell>
          <cell r="D106">
            <v>-2</v>
          </cell>
          <cell r="F106">
            <v>1</v>
          </cell>
          <cell r="G106">
            <v>-3</v>
          </cell>
          <cell r="H106">
            <v>0.33</v>
          </cell>
          <cell r="L106">
            <v>1</v>
          </cell>
          <cell r="M106">
            <v>0</v>
          </cell>
          <cell r="R106">
            <v>4</v>
          </cell>
          <cell r="S106">
            <v>4</v>
          </cell>
          <cell r="T106">
            <v>0.2</v>
          </cell>
        </row>
        <row r="107">
          <cell r="A107" t="str">
            <v>А_5452 ВЕТЧ.МЯСНАЯ Папа может п/о    ОСТАНКИНО</v>
          </cell>
          <cell r="B107" t="str">
            <v>кг</v>
          </cell>
          <cell r="C107">
            <v>5452</v>
          </cell>
          <cell r="F107">
            <v>1.3520000000000001</v>
          </cell>
          <cell r="G107">
            <v>-1.3520000000000001</v>
          </cell>
          <cell r="H107">
            <v>1</v>
          </cell>
          <cell r="L107">
            <v>1.3</v>
          </cell>
          <cell r="M107">
            <v>5.2000000000000046E-2</v>
          </cell>
          <cell r="R107">
            <v>0</v>
          </cell>
          <cell r="S107">
            <v>0</v>
          </cell>
          <cell r="T107">
            <v>0.27040000000000003</v>
          </cell>
          <cell r="U107">
            <v>5.1376000000000008</v>
          </cell>
        </row>
        <row r="108">
          <cell r="A108" t="str">
            <v>А_5544 Сервелат Финский в/к в/у_45с НОВАЯ ОСТАНКИНО</v>
          </cell>
          <cell r="B108" t="str">
            <v>кг</v>
          </cell>
          <cell r="C108">
            <v>5544</v>
          </cell>
          <cell r="F108">
            <v>2.5470000000000002</v>
          </cell>
          <cell r="G108">
            <v>-2.5470000000000002</v>
          </cell>
          <cell r="H108">
            <v>1</v>
          </cell>
          <cell r="L108">
            <v>2.4</v>
          </cell>
          <cell r="M108">
            <v>0.14700000000000024</v>
          </cell>
          <cell r="R108">
            <v>0</v>
          </cell>
          <cell r="S108">
            <v>0</v>
          </cell>
          <cell r="T108">
            <v>0.50940000000000007</v>
          </cell>
          <cell r="U108">
            <v>9.6786000000000012</v>
          </cell>
        </row>
        <row r="109">
          <cell r="A109" t="str">
            <v>БОНУС_6087 СОЧНЫЕ ПМ сос п/о мгс 0,41кг 10шт.  ОСТАНКИНО</v>
          </cell>
          <cell r="B109" t="str">
            <v>шт</v>
          </cell>
          <cell r="C109">
            <v>0</v>
          </cell>
          <cell r="D109">
            <v>-6</v>
          </cell>
          <cell r="F109">
            <v>0</v>
          </cell>
          <cell r="G109">
            <v>-6</v>
          </cell>
          <cell r="H109">
            <v>0.41</v>
          </cell>
          <cell r="L109">
            <v>0</v>
          </cell>
          <cell r="M109">
            <v>0</v>
          </cell>
          <cell r="R109">
            <v>0</v>
          </cell>
          <cell r="S109">
            <v>0</v>
          </cell>
          <cell r="T109">
            <v>0</v>
          </cell>
          <cell r="U109">
            <v>6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F109"/>
  <sheetViews>
    <sheetView tabSelected="1" workbookViewId="0">
      <pane xSplit="1" ySplit="10" topLeftCell="B61" activePane="bottomRight" state="frozen"/>
      <selection pane="topRight" activeCell="B1" sqref="B1"/>
      <selection pane="bottomLeft" activeCell="A11" sqref="A11"/>
      <selection pane="bottomRight" activeCell="AA2" sqref="AA2"/>
    </sheetView>
  </sheetViews>
  <sheetFormatPr defaultColWidth="25.1640625" defaultRowHeight="11.45" customHeight="1" outlineLevelRow="1" x14ac:dyDescent="0.2"/>
  <cols>
    <col min="1" max="1" width="62.5" style="1" customWidth="1"/>
    <col min="2" max="2" width="3.5" style="1" customWidth="1"/>
    <col min="3" max="3" width="5.1640625" style="1" customWidth="1"/>
    <col min="4" max="7" width="9" style="1" customWidth="1"/>
    <col min="8" max="8" width="4.6640625" customWidth="1"/>
    <col min="9" max="9" width="4" customWidth="1"/>
    <col min="10" max="10" width="4.6640625" customWidth="1"/>
    <col min="11" max="11" width="5" customWidth="1"/>
    <col min="12" max="12" width="8.6640625" customWidth="1"/>
    <col min="13" max="13" width="8.5" customWidth="1"/>
    <col min="14" max="14" width="2.1640625" customWidth="1"/>
    <col min="15" max="16" width="1.33203125" customWidth="1"/>
    <col min="17" max="17" width="1.6640625" customWidth="1"/>
    <col min="18" max="19" width="7.83203125" bestFit="1" customWidth="1"/>
    <col min="20" max="20" width="8.5" bestFit="1" customWidth="1"/>
    <col min="21" max="21" width="8.6640625" bestFit="1" customWidth="1"/>
    <col min="22" max="23" width="9.83203125" style="30" customWidth="1"/>
    <col min="24" max="24" width="9.5" bestFit="1" customWidth="1"/>
    <col min="25" max="25" width="6.5" bestFit="1" customWidth="1"/>
    <col min="26" max="29" width="7.83203125" bestFit="1" customWidth="1"/>
    <col min="30" max="30" width="7.6640625" customWidth="1"/>
    <col min="31" max="32" width="7.83203125" bestFit="1" customWidth="1"/>
    <col min="33" max="44" width="5.83203125" customWidth="1"/>
  </cols>
  <sheetData>
    <row r="1" spans="1:32" s="1" customFormat="1" ht="10.15" customHeight="1" x14ac:dyDescent="0.2">
      <c r="V1" s="29"/>
      <c r="W1" s="29"/>
    </row>
    <row r="2" spans="1:32" ht="25.15" customHeight="1" x14ac:dyDescent="0.2">
      <c r="A2" s="2" t="s">
        <v>0</v>
      </c>
    </row>
    <row r="3" spans="1:32" s="1" customFormat="1" ht="10.15" customHeight="1" x14ac:dyDescent="0.2">
      <c r="V3" s="29"/>
      <c r="W3" s="29"/>
    </row>
    <row r="4" spans="1:32" ht="13.15" customHeight="1" outlineLevel="1" x14ac:dyDescent="0.2">
      <c r="A4" s="3" t="s">
        <v>1</v>
      </c>
      <c r="B4" s="3" t="s">
        <v>2</v>
      </c>
      <c r="C4" s="3"/>
      <c r="D4" s="3"/>
    </row>
    <row r="5" spans="1:32" ht="13.15" customHeight="1" outlineLevel="1" x14ac:dyDescent="0.2">
      <c r="B5" s="3" t="s">
        <v>3</v>
      </c>
      <c r="C5" s="3"/>
      <c r="D5" s="3"/>
    </row>
    <row r="6" spans="1:32" ht="25.9" customHeight="1" outlineLevel="1" x14ac:dyDescent="0.2">
      <c r="A6" s="3" t="s">
        <v>4</v>
      </c>
      <c r="B6" s="3" t="s">
        <v>5</v>
      </c>
      <c r="C6" s="3"/>
      <c r="D6" s="3"/>
      <c r="E6" s="3"/>
      <c r="F6" s="3"/>
      <c r="G6" s="3"/>
    </row>
    <row r="7" spans="1:32" s="1" customFormat="1" ht="10.15" customHeight="1" x14ac:dyDescent="0.2">
      <c r="V7" s="29">
        <v>27.06</v>
      </c>
      <c r="W7" s="29">
        <v>29.06</v>
      </c>
    </row>
    <row r="8" spans="1:32" ht="13.15" customHeight="1" x14ac:dyDescent="0.25">
      <c r="A8" s="5" t="s">
        <v>6</v>
      </c>
      <c r="B8" s="5" t="s">
        <v>7</v>
      </c>
      <c r="C8" s="5"/>
      <c r="D8" s="4" t="s">
        <v>8</v>
      </c>
      <c r="E8" s="4"/>
      <c r="F8" s="4"/>
      <c r="G8" s="4"/>
      <c r="H8" s="11" t="s">
        <v>114</v>
      </c>
      <c r="I8" s="11" t="s">
        <v>115</v>
      </c>
      <c r="J8" s="12" t="s">
        <v>116</v>
      </c>
      <c r="K8" s="12" t="s">
        <v>117</v>
      </c>
      <c r="L8" s="12" t="s">
        <v>118</v>
      </c>
      <c r="M8" s="12" t="s">
        <v>119</v>
      </c>
      <c r="N8" s="12" t="s">
        <v>120</v>
      </c>
      <c r="O8" s="12" t="s">
        <v>121</v>
      </c>
      <c r="P8" s="12" t="s">
        <v>122</v>
      </c>
      <c r="Q8" s="12" t="s">
        <v>122</v>
      </c>
      <c r="R8" s="12" t="s">
        <v>122</v>
      </c>
      <c r="S8" s="12" t="s">
        <v>122</v>
      </c>
      <c r="T8" s="12" t="s">
        <v>123</v>
      </c>
      <c r="U8" s="13" t="s">
        <v>124</v>
      </c>
      <c r="V8" s="14" t="s">
        <v>125</v>
      </c>
      <c r="W8" s="14"/>
      <c r="X8" s="12" t="s">
        <v>126</v>
      </c>
      <c r="Y8" s="12" t="s">
        <v>127</v>
      </c>
      <c r="Z8" s="12" t="s">
        <v>128</v>
      </c>
      <c r="AA8" s="12" t="s">
        <v>128</v>
      </c>
      <c r="AB8" s="12" t="s">
        <v>128</v>
      </c>
      <c r="AC8" s="12" t="s">
        <v>128</v>
      </c>
      <c r="AD8" s="12" t="s">
        <v>129</v>
      </c>
      <c r="AE8" s="12" t="s">
        <v>130</v>
      </c>
      <c r="AF8" s="12" t="s">
        <v>130</v>
      </c>
    </row>
    <row r="9" spans="1:32" ht="15" customHeight="1" x14ac:dyDescent="0.2">
      <c r="A9" s="6" t="s">
        <v>140</v>
      </c>
      <c r="B9" s="7"/>
      <c r="C9" s="7"/>
      <c r="D9" s="4" t="s">
        <v>9</v>
      </c>
      <c r="E9" s="4" t="s">
        <v>10</v>
      </c>
      <c r="F9" s="4" t="s">
        <v>11</v>
      </c>
      <c r="G9" s="4" t="s">
        <v>12</v>
      </c>
      <c r="H9" s="15"/>
      <c r="I9" s="15"/>
      <c r="J9" s="15"/>
      <c r="K9" s="15"/>
      <c r="L9" s="15"/>
      <c r="M9" s="15"/>
      <c r="N9" s="15"/>
      <c r="O9" s="15"/>
      <c r="P9" s="15"/>
      <c r="Q9" s="15"/>
      <c r="R9" s="20" t="s">
        <v>137</v>
      </c>
      <c r="S9" s="20" t="s">
        <v>137</v>
      </c>
      <c r="T9" s="15" t="s">
        <v>134</v>
      </c>
      <c r="U9" s="15" t="s">
        <v>135</v>
      </c>
      <c r="V9" s="31" t="s">
        <v>138</v>
      </c>
      <c r="W9" s="31" t="s">
        <v>139</v>
      </c>
      <c r="X9" s="15"/>
      <c r="Y9" s="15"/>
      <c r="Z9" s="15" t="s">
        <v>131</v>
      </c>
      <c r="AA9" s="15" t="s">
        <v>132</v>
      </c>
      <c r="AB9" s="15" t="s">
        <v>133</v>
      </c>
      <c r="AC9" s="15" t="s">
        <v>136</v>
      </c>
      <c r="AD9" s="15"/>
      <c r="AE9" s="15">
        <v>27.06</v>
      </c>
      <c r="AF9" s="15">
        <v>29.06</v>
      </c>
    </row>
    <row r="10" spans="1:32" ht="15" customHeight="1" x14ac:dyDescent="0.2">
      <c r="A10" s="6" t="s">
        <v>140</v>
      </c>
      <c r="B10" s="7"/>
      <c r="C10" s="19"/>
      <c r="D10" s="16">
        <f>SUM(D11:D420)</f>
        <v>12348.784</v>
      </c>
      <c r="E10" s="16">
        <f>SUM(E11:E420)</f>
        <v>14782.896000000002</v>
      </c>
      <c r="F10" s="16">
        <f>SUM(F11:F420)</f>
        <v>12205.602000000001</v>
      </c>
      <c r="G10" s="16">
        <f>SUM(G11:G420)</f>
        <v>14342.622999999994</v>
      </c>
      <c r="H10" s="15"/>
      <c r="I10" s="15"/>
      <c r="J10" s="15"/>
      <c r="K10" s="15"/>
      <c r="L10" s="16">
        <f>SUM(L11:L420)</f>
        <v>13256.828</v>
      </c>
      <c r="M10" s="16">
        <f>SUM(M11:M420)</f>
        <v>-1051.2260000000003</v>
      </c>
      <c r="N10" s="15"/>
      <c r="O10" s="16">
        <f t="shared" ref="O10:W10" si="0">SUM(O11:O420)</f>
        <v>0</v>
      </c>
      <c r="P10" s="16">
        <f t="shared" si="0"/>
        <v>0</v>
      </c>
      <c r="Q10" s="16">
        <f t="shared" si="0"/>
        <v>0</v>
      </c>
      <c r="R10" s="16">
        <f t="shared" si="0"/>
        <v>5550</v>
      </c>
      <c r="S10" s="16">
        <f t="shared" si="0"/>
        <v>5550</v>
      </c>
      <c r="T10" s="16">
        <f t="shared" si="0"/>
        <v>2441.1203999999993</v>
      </c>
      <c r="U10" s="16">
        <f t="shared" si="0"/>
        <v>14021</v>
      </c>
      <c r="V10" s="32">
        <f t="shared" si="0"/>
        <v>7234.5</v>
      </c>
      <c r="W10" s="32">
        <f t="shared" si="0"/>
        <v>6683</v>
      </c>
      <c r="X10" s="15"/>
      <c r="Y10" s="15"/>
      <c r="Z10" s="16">
        <f>SUM(Z11:Z420)</f>
        <v>2316.4051999999992</v>
      </c>
      <c r="AA10" s="16">
        <f>SUM(AA11:AA420)</f>
        <v>2205.0889999999999</v>
      </c>
      <c r="AB10" s="16">
        <f>SUM(AB11:AB420)</f>
        <v>2417.159000000001</v>
      </c>
      <c r="AC10" s="16">
        <f>SUM(AC11:AC420)</f>
        <v>2256.1319999999996</v>
      </c>
      <c r="AD10" s="15"/>
      <c r="AE10" s="16">
        <f>SUM(AE11:AE420)</f>
        <v>3299.4849999999992</v>
      </c>
      <c r="AF10" s="16">
        <f>SUM(AF11:AF420)</f>
        <v>3009.8149999999996</v>
      </c>
    </row>
    <row r="11" spans="1:32" ht="10.9" customHeight="1" x14ac:dyDescent="0.2">
      <c r="A11" s="8" t="s">
        <v>13</v>
      </c>
      <c r="B11" s="8" t="s">
        <v>14</v>
      </c>
      <c r="C11" s="8">
        <f>VLOOKUP(A:A,[1]TDSheet!$A:$C,3,0)</f>
        <v>3215</v>
      </c>
      <c r="D11" s="9">
        <v>158</v>
      </c>
      <c r="E11" s="9">
        <v>566</v>
      </c>
      <c r="F11" s="9">
        <v>189</v>
      </c>
      <c r="G11" s="9">
        <v>524</v>
      </c>
      <c r="H11">
        <f>VLOOKUP(A:A,[1]TDSheet!$A:$H,8,0)</f>
        <v>0.4</v>
      </c>
      <c r="I11">
        <f>VLOOKUP(A:A,[1]TDSheet!$A:$I,9,0)</f>
        <v>60</v>
      </c>
      <c r="J11" t="str">
        <f>VLOOKUP(A:A,[1]TDSheet!$A:$J,10,0)</f>
        <v>ВНИМАНИЕ / в матрице</v>
      </c>
      <c r="L11" s="17">
        <f>VLOOKUP(A:A,[2]TDSheet!$A:$B,2,0)</f>
        <v>201</v>
      </c>
      <c r="M11" s="17">
        <f>F11-L11</f>
        <v>-12</v>
      </c>
      <c r="N11" s="17"/>
      <c r="O11" s="17"/>
      <c r="P11" s="17"/>
      <c r="Q11" s="17"/>
      <c r="R11" s="17">
        <f>VLOOKUP(A:A,[1]TDSheet!$A:$O,15,0)</f>
        <v>25</v>
      </c>
      <c r="S11" s="17">
        <f>VLOOKUP(A:A,[1]TDSheet!$A:$O,15,0)</f>
        <v>25</v>
      </c>
      <c r="T11" s="17">
        <f>F11/5</f>
        <v>37.799999999999997</v>
      </c>
      <c r="U11" s="18"/>
      <c r="V11" s="33"/>
      <c r="W11" s="34"/>
      <c r="X11" s="17">
        <f>(G11+R11+S11+U11)/T11</f>
        <v>15.185185185185187</v>
      </c>
      <c r="Y11" s="17">
        <f>G11/T11</f>
        <v>13.862433862433864</v>
      </c>
      <c r="Z11" s="17">
        <f>VLOOKUP(A:A,[1]TDSheet!$A:$AB,28,0)</f>
        <v>53.6</v>
      </c>
      <c r="AA11" s="17">
        <f>VLOOKUP(A:A,[1]TDSheet!$A:$AC,29,0)</f>
        <v>39.6</v>
      </c>
      <c r="AB11" s="17">
        <f>VLOOKUP(A:A,[1]TDSheet!$A:$AD,30,0)</f>
        <v>57.8</v>
      </c>
      <c r="AC11" s="17">
        <f>VLOOKUP(A:A,[1]TDSheet!$A:$T,20,0)</f>
        <v>41</v>
      </c>
      <c r="AD11" s="17"/>
      <c r="AE11" s="17">
        <f>V11*H11</f>
        <v>0</v>
      </c>
      <c r="AF11" s="17">
        <f>W11*H11</f>
        <v>0</v>
      </c>
    </row>
    <row r="12" spans="1:32" ht="10.9" customHeight="1" x14ac:dyDescent="0.2">
      <c r="A12" s="8" t="s">
        <v>15</v>
      </c>
      <c r="B12" s="8" t="s">
        <v>16</v>
      </c>
      <c r="C12" s="8">
        <f>VLOOKUP(A:A,[1]TDSheet!$A:$C,3,0)</f>
        <v>3287</v>
      </c>
      <c r="D12" s="9">
        <v>2.4369999999999998</v>
      </c>
      <c r="E12" s="9">
        <v>68.656000000000006</v>
      </c>
      <c r="F12" s="9">
        <v>19.052</v>
      </c>
      <c r="G12" s="9">
        <v>52.040999999999997</v>
      </c>
      <c r="H12">
        <f>VLOOKUP(A:A,[1]TDSheet!$A:$H,8,0)</f>
        <v>1</v>
      </c>
      <c r="I12">
        <f>VLOOKUP(A:A,[1]TDSheet!$A:$I,9,0)</f>
        <v>120</v>
      </c>
      <c r="J12" t="str">
        <f>VLOOKUP(A:A,[1]TDSheet!$A:$J,10,0)</f>
        <v>в матрице</v>
      </c>
      <c r="L12" s="17">
        <f>VLOOKUP(A:A,[2]TDSheet!$A:$B,2,0)</f>
        <v>21</v>
      </c>
      <c r="M12" s="17">
        <f t="shared" ref="M12:M75" si="1">F12-L12</f>
        <v>-1.9480000000000004</v>
      </c>
      <c r="N12" s="17"/>
      <c r="O12" s="17"/>
      <c r="P12" s="17"/>
      <c r="Q12" s="17"/>
      <c r="R12" s="17">
        <f>VLOOKUP(A:A,[1]TDSheet!$A:$O,15,0)</f>
        <v>0</v>
      </c>
      <c r="S12" s="17">
        <f>VLOOKUP(A:A,[1]TDSheet!$A:$O,15,0)</f>
        <v>0</v>
      </c>
      <c r="T12" s="17">
        <f t="shared" ref="T12:T75" si="2">F12/5</f>
        <v>3.8104</v>
      </c>
      <c r="U12" s="18"/>
      <c r="V12" s="33"/>
      <c r="W12" s="34"/>
      <c r="X12" s="17">
        <f t="shared" ref="X12:X75" si="3">(G12+R12+S12+U12)/T12</f>
        <v>13.657621247113163</v>
      </c>
      <c r="Y12" s="17">
        <f t="shared" ref="Y12:Y75" si="4">G12/T12</f>
        <v>13.657621247113163</v>
      </c>
      <c r="Z12" s="17">
        <f>VLOOKUP(A:A,[1]TDSheet!$A:$AB,28,0)</f>
        <v>2.7652000000000001</v>
      </c>
      <c r="AA12" s="17">
        <f>VLOOKUP(A:A,[1]TDSheet!$A:$AC,29,0)</f>
        <v>1.9738</v>
      </c>
      <c r="AB12" s="17">
        <f>VLOOKUP(A:A,[1]TDSheet!$A:$AD,30,0)</f>
        <v>4.6890000000000001</v>
      </c>
      <c r="AC12" s="17">
        <f>VLOOKUP(A:A,[1]TDSheet!$A:$T,20,0)</f>
        <v>3.2134</v>
      </c>
      <c r="AD12" s="17" t="str">
        <f>VLOOKUP(A:A,[1]TDSheet!$A:$AE,31,0)</f>
        <v>нужно увеличить продажи!!!</v>
      </c>
      <c r="AE12" s="17">
        <f t="shared" ref="AE12:AE75" si="5">V12*H12</f>
        <v>0</v>
      </c>
      <c r="AF12" s="17">
        <f t="shared" ref="AF12:AF75" si="6">W12*H12</f>
        <v>0</v>
      </c>
    </row>
    <row r="13" spans="1:32" ht="10.9" customHeight="1" x14ac:dyDescent="0.2">
      <c r="A13" s="8" t="s">
        <v>17</v>
      </c>
      <c r="B13" s="8" t="s">
        <v>14</v>
      </c>
      <c r="C13" s="8">
        <f>VLOOKUP(A:A,[1]TDSheet!$A:$C,3,0)</f>
        <v>3986</v>
      </c>
      <c r="D13" s="9">
        <v>82</v>
      </c>
      <c r="E13" s="9">
        <v>308</v>
      </c>
      <c r="F13" s="9">
        <v>125</v>
      </c>
      <c r="G13" s="9">
        <v>220</v>
      </c>
      <c r="H13">
        <f>VLOOKUP(A:A,[1]TDSheet!$A:$H,8,0)</f>
        <v>0.25</v>
      </c>
      <c r="I13">
        <f>VLOOKUP(A:A,[1]TDSheet!$A:$I,9,0)</f>
        <v>120</v>
      </c>
      <c r="J13" t="str">
        <f>VLOOKUP(A:A,[1]TDSheet!$A:$J,10,0)</f>
        <v>в матрице</v>
      </c>
      <c r="L13" s="17">
        <f>VLOOKUP(A:A,[2]TDSheet!$A:$B,2,0)</f>
        <v>170</v>
      </c>
      <c r="M13" s="17">
        <f t="shared" si="1"/>
        <v>-45</v>
      </c>
      <c r="N13" s="17"/>
      <c r="O13" s="17"/>
      <c r="P13" s="17"/>
      <c r="Q13" s="17"/>
      <c r="R13" s="17">
        <f>VLOOKUP(A:A,[1]TDSheet!$A:$O,15,0)</f>
        <v>25</v>
      </c>
      <c r="S13" s="17">
        <f>VLOOKUP(A:A,[1]TDSheet!$A:$O,15,0)</f>
        <v>25</v>
      </c>
      <c r="T13" s="17">
        <f t="shared" si="2"/>
        <v>25</v>
      </c>
      <c r="U13" s="18">
        <v>140</v>
      </c>
      <c r="V13" s="33">
        <f>VLOOKUP(A:A,[3]TDSheet!$A:$V,22,0)</f>
        <v>75</v>
      </c>
      <c r="W13" s="34">
        <f>VLOOKUP(A:A,[4]TDSheet!$A:$V,22,0)</f>
        <v>60</v>
      </c>
      <c r="X13" s="17">
        <f t="shared" si="3"/>
        <v>16.399999999999999</v>
      </c>
      <c r="Y13" s="17">
        <f t="shared" si="4"/>
        <v>8.8000000000000007</v>
      </c>
      <c r="Z13" s="17">
        <f>VLOOKUP(A:A,[1]TDSheet!$A:$AB,28,0)</f>
        <v>30.8</v>
      </c>
      <c r="AA13" s="17">
        <f>VLOOKUP(A:A,[1]TDSheet!$A:$AC,29,0)</f>
        <v>26.8</v>
      </c>
      <c r="AB13" s="17">
        <f>VLOOKUP(A:A,[1]TDSheet!$A:$AD,30,0)</f>
        <v>35.799999999999997</v>
      </c>
      <c r="AC13" s="17">
        <f>VLOOKUP(A:A,[1]TDSheet!$A:$T,20,0)</f>
        <v>28.6</v>
      </c>
      <c r="AD13" s="17"/>
      <c r="AE13" s="17">
        <f t="shared" si="5"/>
        <v>18.75</v>
      </c>
      <c r="AF13" s="17">
        <f t="shared" si="6"/>
        <v>15</v>
      </c>
    </row>
    <row r="14" spans="1:32" ht="10.9" customHeight="1" x14ac:dyDescent="0.2">
      <c r="A14" s="8" t="s">
        <v>18</v>
      </c>
      <c r="B14" s="8" t="s">
        <v>16</v>
      </c>
      <c r="C14" s="8">
        <f>VLOOKUP(A:A,[1]TDSheet!$A:$C,3,0)</f>
        <v>4063</v>
      </c>
      <c r="D14" s="9">
        <v>274.959</v>
      </c>
      <c r="E14" s="9">
        <v>224.74100000000001</v>
      </c>
      <c r="F14" s="9">
        <v>205.29400000000001</v>
      </c>
      <c r="G14" s="9">
        <v>290.80599999999998</v>
      </c>
      <c r="H14">
        <f>VLOOKUP(A:A,[1]TDSheet!$A:$H,8,0)</f>
        <v>1</v>
      </c>
      <c r="I14">
        <f>VLOOKUP(A:A,[1]TDSheet!$A:$I,9,0)</f>
        <v>60</v>
      </c>
      <c r="J14" t="str">
        <f>VLOOKUP(A:A,[1]TDSheet!$A:$J,10,0)</f>
        <v>в матрице</v>
      </c>
      <c r="L14" s="17">
        <f>VLOOKUP(A:A,[2]TDSheet!$A:$B,2,0)</f>
        <v>198</v>
      </c>
      <c r="M14" s="17">
        <f t="shared" si="1"/>
        <v>7.2940000000000111</v>
      </c>
      <c r="N14" s="17"/>
      <c r="O14" s="17"/>
      <c r="P14" s="17"/>
      <c r="Q14" s="17"/>
      <c r="R14" s="17">
        <f>VLOOKUP(A:A,[1]TDSheet!$A:$O,15,0)</f>
        <v>100</v>
      </c>
      <c r="S14" s="17">
        <f>VLOOKUP(A:A,[1]TDSheet!$A:$O,15,0)</f>
        <v>100</v>
      </c>
      <c r="T14" s="17">
        <f t="shared" si="2"/>
        <v>41.058800000000005</v>
      </c>
      <c r="U14" s="18">
        <v>140</v>
      </c>
      <c r="V14" s="33">
        <f>VLOOKUP(A:A,[3]TDSheet!$A:$V,22,0)</f>
        <v>75</v>
      </c>
      <c r="W14" s="34">
        <f>VLOOKUP(A:A,[4]TDSheet!$A:$V,22,0)</f>
        <v>65</v>
      </c>
      <c r="X14" s="17">
        <f t="shared" si="3"/>
        <v>15.363478718325911</v>
      </c>
      <c r="Y14" s="17">
        <f t="shared" si="4"/>
        <v>7.0826716806141423</v>
      </c>
      <c r="Z14" s="17">
        <f>VLOOKUP(A:A,[1]TDSheet!$A:$AB,28,0)</f>
        <v>55.194800000000001</v>
      </c>
      <c r="AA14" s="17">
        <f>VLOOKUP(A:A,[1]TDSheet!$A:$AC,29,0)</f>
        <v>37.232399999999998</v>
      </c>
      <c r="AB14" s="17">
        <f>VLOOKUP(A:A,[1]TDSheet!$A:$AD,30,0)</f>
        <v>45.118600000000001</v>
      </c>
      <c r="AC14" s="17">
        <f>VLOOKUP(A:A,[1]TDSheet!$A:$T,20,0)</f>
        <v>45.109200000000001</v>
      </c>
      <c r="AD14" s="17"/>
      <c r="AE14" s="17">
        <f t="shared" si="5"/>
        <v>75</v>
      </c>
      <c r="AF14" s="17">
        <f t="shared" si="6"/>
        <v>65</v>
      </c>
    </row>
    <row r="15" spans="1:32" ht="10.9" customHeight="1" x14ac:dyDescent="0.2">
      <c r="A15" s="8" t="s">
        <v>19</v>
      </c>
      <c r="B15" s="8" t="s">
        <v>16</v>
      </c>
      <c r="C15" s="8">
        <f>VLOOKUP(A:A,[1]TDSheet!$A:$C,3,0)</f>
        <v>4117</v>
      </c>
      <c r="D15" s="9">
        <v>19.373999999999999</v>
      </c>
      <c r="E15" s="9">
        <v>41.481999999999999</v>
      </c>
      <c r="F15" s="9">
        <v>18.814</v>
      </c>
      <c r="G15" s="9">
        <v>40.566000000000003</v>
      </c>
      <c r="H15">
        <f>VLOOKUP(A:A,[1]TDSheet!$A:$H,8,0)</f>
        <v>1</v>
      </c>
      <c r="I15">
        <f>VLOOKUP(A:A,[1]TDSheet!$A:$I,9,0)</f>
        <v>120</v>
      </c>
      <c r="J15" t="str">
        <f>VLOOKUP(A:A,[1]TDSheet!$A:$J,10,0)</f>
        <v>в матрице</v>
      </c>
      <c r="L15" s="17">
        <f>VLOOKUP(A:A,[2]TDSheet!$A:$B,2,0)</f>
        <v>20.5</v>
      </c>
      <c r="M15" s="17">
        <f t="shared" si="1"/>
        <v>-1.6859999999999999</v>
      </c>
      <c r="N15" s="17"/>
      <c r="O15" s="17"/>
      <c r="P15" s="17"/>
      <c r="Q15" s="17"/>
      <c r="R15" s="17">
        <f>VLOOKUP(A:A,[1]TDSheet!$A:$O,15,0)</f>
        <v>0</v>
      </c>
      <c r="S15" s="17">
        <f>VLOOKUP(A:A,[1]TDSheet!$A:$O,15,0)</f>
        <v>0</v>
      </c>
      <c r="T15" s="17">
        <f t="shared" si="2"/>
        <v>3.7627999999999999</v>
      </c>
      <c r="U15" s="18">
        <v>20</v>
      </c>
      <c r="V15" s="33">
        <f>VLOOKUP(A:A,[3]TDSheet!$A:$V,22,0)</f>
        <v>0</v>
      </c>
      <c r="W15" s="34">
        <f>VLOOKUP(A:A,[4]TDSheet!$A:$V,22,0)</f>
        <v>0</v>
      </c>
      <c r="X15" s="17">
        <f t="shared" si="3"/>
        <v>16.095992346125225</v>
      </c>
      <c r="Y15" s="17">
        <f t="shared" si="4"/>
        <v>10.780801530774955</v>
      </c>
      <c r="Z15" s="17">
        <f>VLOOKUP(A:A,[1]TDSheet!$A:$AB,28,0)</f>
        <v>1.2904</v>
      </c>
      <c r="AA15" s="17">
        <f>VLOOKUP(A:A,[1]TDSheet!$A:$AC,29,0)</f>
        <v>2.0802</v>
      </c>
      <c r="AB15" s="17">
        <f>VLOOKUP(A:A,[1]TDSheet!$A:$AD,30,0)</f>
        <v>4.3255999999999997</v>
      </c>
      <c r="AC15" s="17">
        <f>VLOOKUP(A:A,[1]TDSheet!$A:$T,20,0)</f>
        <v>3.2604000000000002</v>
      </c>
      <c r="AD15" s="17"/>
      <c r="AE15" s="17">
        <f t="shared" si="5"/>
        <v>0</v>
      </c>
      <c r="AF15" s="17">
        <f t="shared" si="6"/>
        <v>0</v>
      </c>
    </row>
    <row r="16" spans="1:32" ht="10.9" customHeight="1" x14ac:dyDescent="0.2">
      <c r="A16" s="8" t="s">
        <v>20</v>
      </c>
      <c r="B16" s="8" t="s">
        <v>16</v>
      </c>
      <c r="C16" s="8">
        <f>VLOOKUP(A:A,[1]TDSheet!$A:$C,3,0)</f>
        <v>4574</v>
      </c>
      <c r="D16" s="9">
        <v>35.954000000000001</v>
      </c>
      <c r="E16" s="9">
        <v>132.05099999999999</v>
      </c>
      <c r="F16" s="9">
        <v>37.192999999999998</v>
      </c>
      <c r="G16" s="9">
        <v>128.67500000000001</v>
      </c>
      <c r="H16">
        <f>VLOOKUP(A:A,[1]TDSheet!$A:$H,8,0)</f>
        <v>1</v>
      </c>
      <c r="I16">
        <f>VLOOKUP(A:A,[1]TDSheet!$A:$I,9,0)</f>
        <v>60</v>
      </c>
      <c r="J16" t="str">
        <f>VLOOKUP(A:A,[1]TDSheet!$A:$J,10,0)</f>
        <v>ВНИМАНИЕ / в матрице</v>
      </c>
      <c r="L16" s="17">
        <f>VLOOKUP(A:A,[2]TDSheet!$A:$B,2,0)</f>
        <v>35.799999999999997</v>
      </c>
      <c r="M16" s="17">
        <f t="shared" si="1"/>
        <v>1.3930000000000007</v>
      </c>
      <c r="N16" s="17"/>
      <c r="O16" s="17"/>
      <c r="P16" s="17"/>
      <c r="Q16" s="17"/>
      <c r="R16" s="17">
        <f>VLOOKUP(A:A,[1]TDSheet!$A:$O,15,0)</f>
        <v>0</v>
      </c>
      <c r="S16" s="17">
        <f>VLOOKUP(A:A,[1]TDSheet!$A:$O,15,0)</f>
        <v>0</v>
      </c>
      <c r="T16" s="17">
        <f t="shared" si="2"/>
        <v>7.4385999999999992</v>
      </c>
      <c r="U16" s="18"/>
      <c r="V16" s="33">
        <f>VLOOKUP(A:A,[3]TDSheet!$A:$V,22,0)</f>
        <v>0</v>
      </c>
      <c r="W16" s="34">
        <f>VLOOKUP(A:A,[4]TDSheet!$A:$V,22,0)</f>
        <v>0</v>
      </c>
      <c r="X16" s="17">
        <f t="shared" si="3"/>
        <v>17.298281934772675</v>
      </c>
      <c r="Y16" s="17">
        <f t="shared" si="4"/>
        <v>17.298281934772675</v>
      </c>
      <c r="Z16" s="17">
        <f>VLOOKUP(A:A,[1]TDSheet!$A:$AB,28,0)</f>
        <v>9.4993999999999996</v>
      </c>
      <c r="AA16" s="17">
        <f>VLOOKUP(A:A,[1]TDSheet!$A:$AC,29,0)</f>
        <v>9.4778000000000002</v>
      </c>
      <c r="AB16" s="17">
        <f>VLOOKUP(A:A,[1]TDSheet!$A:$AD,30,0)</f>
        <v>11.0764</v>
      </c>
      <c r="AC16" s="17">
        <f>VLOOKUP(A:A,[1]TDSheet!$A:$T,20,0)</f>
        <v>9.5047999999999995</v>
      </c>
      <c r="AD16" s="17"/>
      <c r="AE16" s="17">
        <f t="shared" si="5"/>
        <v>0</v>
      </c>
      <c r="AF16" s="17">
        <f t="shared" si="6"/>
        <v>0</v>
      </c>
    </row>
    <row r="17" spans="1:32" ht="10.9" customHeight="1" x14ac:dyDescent="0.2">
      <c r="A17" s="8" t="s">
        <v>21</v>
      </c>
      <c r="B17" s="8" t="s">
        <v>16</v>
      </c>
      <c r="C17" s="8">
        <f>VLOOKUP(A:A,[1]TDSheet!$A:$C,3,0)</f>
        <v>4813</v>
      </c>
      <c r="D17" s="9">
        <v>166.22300000000001</v>
      </c>
      <c r="E17" s="9">
        <v>438.96800000000002</v>
      </c>
      <c r="F17" s="9">
        <v>240.84700000000001</v>
      </c>
      <c r="G17" s="9">
        <v>356.81299999999999</v>
      </c>
      <c r="H17">
        <f>VLOOKUP(A:A,[1]TDSheet!$A:$H,8,0)</f>
        <v>1</v>
      </c>
      <c r="I17">
        <f>VLOOKUP(A:A,[1]TDSheet!$A:$I,9,0)</f>
        <v>60</v>
      </c>
      <c r="J17" t="str">
        <f>VLOOKUP(A:A,[1]TDSheet!$A:$J,10,0)</f>
        <v>в матрице</v>
      </c>
      <c r="L17" s="17">
        <f>VLOOKUP(A:A,[2]TDSheet!$A:$B,2,0)</f>
        <v>231.8</v>
      </c>
      <c r="M17" s="17">
        <f t="shared" si="1"/>
        <v>9.046999999999997</v>
      </c>
      <c r="N17" s="17"/>
      <c r="O17" s="17"/>
      <c r="P17" s="17"/>
      <c r="Q17" s="17"/>
      <c r="R17" s="17">
        <f>VLOOKUP(A:A,[1]TDSheet!$A:$O,15,0)</f>
        <v>0</v>
      </c>
      <c r="S17" s="17">
        <f>VLOOKUP(A:A,[1]TDSheet!$A:$O,15,0)</f>
        <v>0</v>
      </c>
      <c r="T17" s="17">
        <f t="shared" si="2"/>
        <v>48.169400000000003</v>
      </c>
      <c r="U17" s="18">
        <v>360</v>
      </c>
      <c r="V17" s="33">
        <f>VLOOKUP(A:A,[3]TDSheet!$A:$V,22,0)</f>
        <v>210</v>
      </c>
      <c r="W17" s="34">
        <f>VLOOKUP(A:A,[4]TDSheet!$A:$V,22,0)</f>
        <v>150</v>
      </c>
      <c r="X17" s="17">
        <f t="shared" si="3"/>
        <v>14.881086332817098</v>
      </c>
      <c r="Y17" s="17">
        <f t="shared" si="4"/>
        <v>7.4074619986962666</v>
      </c>
      <c r="Z17" s="17">
        <f>VLOOKUP(A:A,[1]TDSheet!$A:$AB,28,0)</f>
        <v>47.341200000000001</v>
      </c>
      <c r="AA17" s="17">
        <f>VLOOKUP(A:A,[1]TDSheet!$A:$AC,29,0)</f>
        <v>32.896999999999998</v>
      </c>
      <c r="AB17" s="17">
        <f>VLOOKUP(A:A,[1]TDSheet!$A:$AD,30,0)</f>
        <v>50.7136</v>
      </c>
      <c r="AC17" s="17">
        <f>VLOOKUP(A:A,[1]TDSheet!$A:$T,20,0)</f>
        <v>38.220799999999997</v>
      </c>
      <c r="AD17" s="17"/>
      <c r="AE17" s="17">
        <f t="shared" si="5"/>
        <v>210</v>
      </c>
      <c r="AF17" s="17">
        <f t="shared" si="6"/>
        <v>150</v>
      </c>
    </row>
    <row r="18" spans="1:32" ht="10.9" customHeight="1" x14ac:dyDescent="0.2">
      <c r="A18" s="8" t="s">
        <v>22</v>
      </c>
      <c r="B18" s="8" t="s">
        <v>14</v>
      </c>
      <c r="C18" s="8">
        <f>VLOOKUP(A:A,[1]TDSheet!$A:$C,3,0)</f>
        <v>4993</v>
      </c>
      <c r="D18" s="9">
        <v>50</v>
      </c>
      <c r="E18" s="9">
        <v>245</v>
      </c>
      <c r="F18" s="9">
        <v>107</v>
      </c>
      <c r="G18" s="9">
        <v>186</v>
      </c>
      <c r="H18">
        <f>VLOOKUP(A:A,[1]TDSheet!$A:$H,8,0)</f>
        <v>0.25</v>
      </c>
      <c r="I18">
        <f>VLOOKUP(A:A,[1]TDSheet!$A:$I,9,0)</f>
        <v>120</v>
      </c>
      <c r="J18" t="str">
        <f>VLOOKUP(A:A,[1]TDSheet!$A:$J,10,0)</f>
        <v>в матрице</v>
      </c>
      <c r="L18" s="17">
        <f>VLOOKUP(A:A,[2]TDSheet!$A:$B,2,0)</f>
        <v>131</v>
      </c>
      <c r="M18" s="17">
        <f t="shared" si="1"/>
        <v>-24</v>
      </c>
      <c r="N18" s="17"/>
      <c r="O18" s="17"/>
      <c r="P18" s="17"/>
      <c r="Q18" s="17"/>
      <c r="R18" s="17">
        <f>VLOOKUP(A:A,[1]TDSheet!$A:$O,15,0)</f>
        <v>75</v>
      </c>
      <c r="S18" s="17">
        <f>VLOOKUP(A:A,[1]TDSheet!$A:$O,15,0)</f>
        <v>75</v>
      </c>
      <c r="T18" s="17">
        <f t="shared" si="2"/>
        <v>21.4</v>
      </c>
      <c r="U18" s="18"/>
      <c r="V18" s="33">
        <f>VLOOKUP(A:A,[3]TDSheet!$A:$V,22,0)</f>
        <v>0</v>
      </c>
      <c r="W18" s="34">
        <f>VLOOKUP(A:A,[4]TDSheet!$A:$V,22,0)</f>
        <v>0</v>
      </c>
      <c r="X18" s="17">
        <f t="shared" si="3"/>
        <v>15.700934579439254</v>
      </c>
      <c r="Y18" s="17">
        <f t="shared" si="4"/>
        <v>8.6915887850467293</v>
      </c>
      <c r="Z18" s="17">
        <f>VLOOKUP(A:A,[1]TDSheet!$A:$AB,28,0)</f>
        <v>16.8</v>
      </c>
      <c r="AA18" s="17">
        <f>VLOOKUP(A:A,[1]TDSheet!$A:$AC,29,0)</f>
        <v>22.6</v>
      </c>
      <c r="AB18" s="17">
        <f>VLOOKUP(A:A,[1]TDSheet!$A:$AD,30,0)</f>
        <v>28.2</v>
      </c>
      <c r="AC18" s="17">
        <f>VLOOKUP(A:A,[1]TDSheet!$A:$T,20,0)</f>
        <v>28.2</v>
      </c>
      <c r="AD18" s="17"/>
      <c r="AE18" s="17">
        <f t="shared" si="5"/>
        <v>0</v>
      </c>
      <c r="AF18" s="17">
        <f t="shared" si="6"/>
        <v>0</v>
      </c>
    </row>
    <row r="19" spans="1:32" ht="10.9" customHeight="1" x14ac:dyDescent="0.2">
      <c r="A19" s="8" t="s">
        <v>23</v>
      </c>
      <c r="B19" s="8" t="s">
        <v>16</v>
      </c>
      <c r="C19" s="8">
        <v>5341</v>
      </c>
      <c r="D19" s="10"/>
      <c r="E19" s="9"/>
      <c r="F19" s="9">
        <v>-0.67400000000000004</v>
      </c>
      <c r="G19" s="9">
        <v>-1.4179999999999999</v>
      </c>
      <c r="H19">
        <v>1</v>
      </c>
      <c r="L19" s="17">
        <f>VLOOKUP(A:A,[2]TDSheet!$A:$B,2,0)</f>
        <v>1.6</v>
      </c>
      <c r="M19" s="17">
        <f t="shared" si="1"/>
        <v>-2.274</v>
      </c>
      <c r="N19" s="17"/>
      <c r="O19" s="17"/>
      <c r="P19" s="17"/>
      <c r="Q19" s="17"/>
      <c r="R19" s="17">
        <v>0</v>
      </c>
      <c r="S19" s="17">
        <v>0</v>
      </c>
      <c r="T19" s="17">
        <f t="shared" si="2"/>
        <v>-0.1348</v>
      </c>
      <c r="U19" s="18"/>
      <c r="V19" s="33">
        <f>VLOOKUP(A:A,[3]TDSheet!$A:$V,22,0)</f>
        <v>0</v>
      </c>
      <c r="W19" s="34">
        <f>VLOOKUP(A:A,[4]TDSheet!$A:$V,22,0)</f>
        <v>0</v>
      </c>
      <c r="X19" s="17">
        <f t="shared" si="3"/>
        <v>10.519287833827892</v>
      </c>
      <c r="Y19" s="17">
        <f t="shared" si="4"/>
        <v>10.519287833827892</v>
      </c>
      <c r="Z19" s="17">
        <v>0</v>
      </c>
      <c r="AA19" s="17">
        <v>0</v>
      </c>
      <c r="AB19" s="17">
        <v>0</v>
      </c>
      <c r="AC19" s="17">
        <v>0</v>
      </c>
      <c r="AD19" s="17"/>
      <c r="AE19" s="17">
        <f t="shared" si="5"/>
        <v>0</v>
      </c>
      <c r="AF19" s="17">
        <f t="shared" si="6"/>
        <v>0</v>
      </c>
    </row>
    <row r="20" spans="1:32" ht="10.9" customHeight="1" x14ac:dyDescent="0.2">
      <c r="A20" s="8" t="s">
        <v>24</v>
      </c>
      <c r="B20" s="8" t="s">
        <v>16</v>
      </c>
      <c r="C20" s="8">
        <f>VLOOKUP(A:A,[1]TDSheet!$A:$C,3,0)</f>
        <v>5452</v>
      </c>
      <c r="D20" s="9">
        <v>45.289000000000001</v>
      </c>
      <c r="E20" s="9">
        <v>179.827</v>
      </c>
      <c r="F20" s="9">
        <v>92.602999999999994</v>
      </c>
      <c r="G20" s="9">
        <v>130.51300000000001</v>
      </c>
      <c r="H20">
        <f>VLOOKUP(A:A,[1]TDSheet!$A:$H,8,0)</f>
        <v>1</v>
      </c>
      <c r="I20">
        <f>VLOOKUP(A:A,[1]TDSheet!$A:$I,9,0)</f>
        <v>60</v>
      </c>
      <c r="J20" t="str">
        <f>VLOOKUP(A:A,[1]TDSheet!$A:$J,10,0)</f>
        <v>в матрице</v>
      </c>
      <c r="L20" s="17">
        <f>VLOOKUP(A:A,[2]TDSheet!$A:$B,2,0)</f>
        <v>92.5</v>
      </c>
      <c r="M20" s="17">
        <f t="shared" si="1"/>
        <v>0.10299999999999443</v>
      </c>
      <c r="N20" s="17"/>
      <c r="O20" s="17"/>
      <c r="P20" s="17"/>
      <c r="Q20" s="17"/>
      <c r="R20" s="17">
        <f>VLOOKUP(A:A,[1]TDSheet!$A:$O,15,0)</f>
        <v>75</v>
      </c>
      <c r="S20" s="17">
        <f>VLOOKUP(A:A,[1]TDSheet!$A:$O,15,0)</f>
        <v>75</v>
      </c>
      <c r="T20" s="17">
        <f t="shared" si="2"/>
        <v>18.520599999999998</v>
      </c>
      <c r="U20" s="18"/>
      <c r="V20" s="33">
        <f>VLOOKUP(A:A,[3]TDSheet!$A:$V,22,0)</f>
        <v>0</v>
      </c>
      <c r="W20" s="34">
        <f>VLOOKUP(A:A,[4]TDSheet!$A:$V,22,0)</f>
        <v>0</v>
      </c>
      <c r="X20" s="17">
        <f t="shared" si="3"/>
        <v>15.145999589646127</v>
      </c>
      <c r="Y20" s="17">
        <f t="shared" si="4"/>
        <v>7.0469099273241698</v>
      </c>
      <c r="Z20" s="17">
        <f>VLOOKUP(A:A,[1]TDSheet!$A:$AB,28,0)</f>
        <v>20.625</v>
      </c>
      <c r="AA20" s="17">
        <f>VLOOKUP(A:A,[1]TDSheet!$A:$AC,29,0)</f>
        <v>13.4084</v>
      </c>
      <c r="AB20" s="17">
        <f>VLOOKUP(A:A,[1]TDSheet!$A:$AD,30,0)</f>
        <v>20.437999999999999</v>
      </c>
      <c r="AC20" s="17">
        <f>VLOOKUP(A:A,[1]TDSheet!$A:$T,20,0)</f>
        <v>24.869800000000001</v>
      </c>
      <c r="AD20" s="17"/>
      <c r="AE20" s="17">
        <f t="shared" si="5"/>
        <v>0</v>
      </c>
      <c r="AF20" s="17">
        <f t="shared" si="6"/>
        <v>0</v>
      </c>
    </row>
    <row r="21" spans="1:32" ht="10.9" customHeight="1" x14ac:dyDescent="0.2">
      <c r="A21" s="8" t="s">
        <v>25</v>
      </c>
      <c r="B21" s="8" t="s">
        <v>14</v>
      </c>
      <c r="C21" s="8">
        <f>VLOOKUP(A:A,[1]TDSheet!$A:$C,3,0)</f>
        <v>5483</v>
      </c>
      <c r="D21" s="9">
        <v>229</v>
      </c>
      <c r="E21" s="9">
        <v>3</v>
      </c>
      <c r="F21" s="9">
        <v>122</v>
      </c>
      <c r="G21" s="9">
        <v>107</v>
      </c>
      <c r="H21">
        <f>VLOOKUP(A:A,[1]TDSheet!$A:$H,8,0)</f>
        <v>0.25</v>
      </c>
      <c r="I21">
        <f>VLOOKUP(A:A,[1]TDSheet!$A:$I,9,0)</f>
        <v>120</v>
      </c>
      <c r="J21" t="str">
        <f>VLOOKUP(A:A,[1]TDSheet!$A:$J,10,0)</f>
        <v>в матрице</v>
      </c>
      <c r="L21" s="17">
        <f>VLOOKUP(A:A,[2]TDSheet!$A:$B,2,0)</f>
        <v>125</v>
      </c>
      <c r="M21" s="17">
        <f t="shared" si="1"/>
        <v>-3</v>
      </c>
      <c r="N21" s="17"/>
      <c r="O21" s="17"/>
      <c r="P21" s="17"/>
      <c r="Q21" s="17"/>
      <c r="R21" s="17">
        <f>VLOOKUP(A:A,[1]TDSheet!$A:$O,15,0)</f>
        <v>110</v>
      </c>
      <c r="S21" s="17">
        <f>VLOOKUP(A:A,[1]TDSheet!$A:$O,15,0)</f>
        <v>110</v>
      </c>
      <c r="T21" s="17">
        <f t="shared" si="2"/>
        <v>24.4</v>
      </c>
      <c r="U21" s="18">
        <v>16</v>
      </c>
      <c r="V21" s="33">
        <f>VLOOKUP(A:A,[3]TDSheet!$A:$V,22,0)</f>
        <v>7.5</v>
      </c>
      <c r="W21" s="34">
        <f>VLOOKUP(A:A,[4]TDSheet!$A:$V,22,0)</f>
        <v>7.5</v>
      </c>
      <c r="X21" s="17">
        <f t="shared" si="3"/>
        <v>14.057377049180328</v>
      </c>
      <c r="Y21" s="17">
        <f t="shared" si="4"/>
        <v>4.3852459016393448</v>
      </c>
      <c r="Z21" s="17">
        <f>VLOOKUP(A:A,[1]TDSheet!$A:$AB,28,0)</f>
        <v>35.6</v>
      </c>
      <c r="AA21" s="17">
        <f>VLOOKUP(A:A,[1]TDSheet!$A:$AC,29,0)</f>
        <v>23</v>
      </c>
      <c r="AB21" s="17">
        <f>VLOOKUP(A:A,[1]TDSheet!$A:$AD,30,0)</f>
        <v>23.2</v>
      </c>
      <c r="AC21" s="17">
        <f>VLOOKUP(A:A,[1]TDSheet!$A:$T,20,0)</f>
        <v>28.8</v>
      </c>
      <c r="AD21" s="17"/>
      <c r="AE21" s="17">
        <f t="shared" si="5"/>
        <v>1.875</v>
      </c>
      <c r="AF21" s="17">
        <f t="shared" si="6"/>
        <v>1.875</v>
      </c>
    </row>
    <row r="22" spans="1:32" ht="10.9" customHeight="1" x14ac:dyDescent="0.2">
      <c r="A22" s="8" t="s">
        <v>26</v>
      </c>
      <c r="B22" s="8" t="s">
        <v>14</v>
      </c>
      <c r="C22" s="8">
        <f>VLOOKUP(A:A,[1]TDSheet!$A:$C,3,0)</f>
        <v>5495</v>
      </c>
      <c r="D22" s="9">
        <v>42</v>
      </c>
      <c r="E22" s="9">
        <v>243</v>
      </c>
      <c r="F22" s="9">
        <v>109</v>
      </c>
      <c r="G22" s="9">
        <v>173</v>
      </c>
      <c r="H22">
        <f>VLOOKUP(A:A,[1]TDSheet!$A:$H,8,0)</f>
        <v>0.4</v>
      </c>
      <c r="I22">
        <f>VLOOKUP(A:A,[1]TDSheet!$A:$I,9,0)</f>
        <v>60</v>
      </c>
      <c r="J22" t="str">
        <f>VLOOKUP(A:A,[1]TDSheet!$A:$J,10,0)</f>
        <v>в матрице</v>
      </c>
      <c r="L22" s="17">
        <f>VLOOKUP(A:A,[2]TDSheet!$A:$B,2,0)</f>
        <v>115</v>
      </c>
      <c r="M22" s="17">
        <f t="shared" si="1"/>
        <v>-6</v>
      </c>
      <c r="N22" s="17"/>
      <c r="O22" s="17"/>
      <c r="P22" s="17"/>
      <c r="Q22" s="17"/>
      <c r="R22" s="17">
        <f>VLOOKUP(A:A,[1]TDSheet!$A:$O,15,0)</f>
        <v>75</v>
      </c>
      <c r="S22" s="17">
        <f>VLOOKUP(A:A,[1]TDSheet!$A:$O,15,0)</f>
        <v>75</v>
      </c>
      <c r="T22" s="17">
        <f t="shared" si="2"/>
        <v>21.8</v>
      </c>
      <c r="U22" s="18"/>
      <c r="V22" s="33">
        <f>VLOOKUP(A:A,[3]TDSheet!$A:$V,22,0)</f>
        <v>0</v>
      </c>
      <c r="W22" s="34">
        <f>VLOOKUP(A:A,[4]TDSheet!$A:$V,22,0)</f>
        <v>0</v>
      </c>
      <c r="X22" s="17">
        <f t="shared" si="3"/>
        <v>14.81651376146789</v>
      </c>
      <c r="Y22" s="17">
        <f t="shared" si="4"/>
        <v>7.9357798165137616</v>
      </c>
      <c r="Z22" s="17">
        <f>VLOOKUP(A:A,[1]TDSheet!$A:$AB,28,0)</f>
        <v>12</v>
      </c>
      <c r="AA22" s="17">
        <f>VLOOKUP(A:A,[1]TDSheet!$A:$AC,29,0)</f>
        <v>17.399999999999999</v>
      </c>
      <c r="AB22" s="17">
        <f>VLOOKUP(A:A,[1]TDSheet!$A:$AD,30,0)</f>
        <v>22.4</v>
      </c>
      <c r="AC22" s="17">
        <f>VLOOKUP(A:A,[1]TDSheet!$A:$T,20,0)</f>
        <v>26.6</v>
      </c>
      <c r="AD22" s="17"/>
      <c r="AE22" s="17">
        <f t="shared" si="5"/>
        <v>0</v>
      </c>
      <c r="AF22" s="17">
        <f t="shared" si="6"/>
        <v>0</v>
      </c>
    </row>
    <row r="23" spans="1:32" ht="10.9" customHeight="1" x14ac:dyDescent="0.2">
      <c r="A23" s="8" t="s">
        <v>27</v>
      </c>
      <c r="B23" s="8" t="s">
        <v>16</v>
      </c>
      <c r="C23" s="8">
        <f>VLOOKUP(A:A,[1]TDSheet!$A:$C,3,0)</f>
        <v>5544</v>
      </c>
      <c r="D23" s="9">
        <v>40.286999999999999</v>
      </c>
      <c r="E23" s="9">
        <v>681.53899999999999</v>
      </c>
      <c r="F23" s="9">
        <v>216.61</v>
      </c>
      <c r="G23" s="9">
        <v>498.49599999999998</v>
      </c>
      <c r="H23">
        <f>VLOOKUP(A:A,[1]TDSheet!$A:$H,8,0)</f>
        <v>1</v>
      </c>
      <c r="I23">
        <f>VLOOKUP(A:A,[1]TDSheet!$A:$I,9,0)</f>
        <v>45</v>
      </c>
      <c r="J23" t="str">
        <f>VLOOKUP(A:A,[1]TDSheet!$A:$J,10,0)</f>
        <v>в матрице</v>
      </c>
      <c r="L23" s="17">
        <f>VLOOKUP(A:A,[2]TDSheet!$A:$B,2,0)</f>
        <v>232.3</v>
      </c>
      <c r="M23" s="17">
        <f t="shared" si="1"/>
        <v>-15.689999999999998</v>
      </c>
      <c r="N23" s="17"/>
      <c r="O23" s="17"/>
      <c r="P23" s="17"/>
      <c r="Q23" s="17"/>
      <c r="R23" s="17">
        <f>VLOOKUP(A:A,[1]TDSheet!$A:$O,15,0)</f>
        <v>0</v>
      </c>
      <c r="S23" s="17">
        <f>VLOOKUP(A:A,[1]TDSheet!$A:$O,15,0)</f>
        <v>0</v>
      </c>
      <c r="T23" s="17">
        <f t="shared" si="2"/>
        <v>43.322000000000003</v>
      </c>
      <c r="U23" s="18">
        <v>120</v>
      </c>
      <c r="V23" s="33">
        <f>VLOOKUP(A:A,[3]TDSheet!$A:$V,22,0)</f>
        <v>54</v>
      </c>
      <c r="W23" s="34">
        <f>VLOOKUP(A:A,[4]TDSheet!$A:$V,22,0)</f>
        <v>45</v>
      </c>
      <c r="X23" s="17">
        <f t="shared" si="3"/>
        <v>14.276718526383823</v>
      </c>
      <c r="Y23" s="17">
        <f t="shared" si="4"/>
        <v>11.50676330732653</v>
      </c>
      <c r="Z23" s="17">
        <f>VLOOKUP(A:A,[1]TDSheet!$A:$AB,28,0)</f>
        <v>33.668999999999997</v>
      </c>
      <c r="AA23" s="17">
        <f>VLOOKUP(A:A,[1]TDSheet!$A:$AC,29,0)</f>
        <v>31.7788</v>
      </c>
      <c r="AB23" s="17">
        <f>VLOOKUP(A:A,[1]TDSheet!$A:$AD,30,0)</f>
        <v>48.798999999999999</v>
      </c>
      <c r="AC23" s="17">
        <f>VLOOKUP(A:A,[1]TDSheet!$A:$T,20,0)</f>
        <v>39.813400000000001</v>
      </c>
      <c r="AD23" s="17" t="str">
        <f>VLOOKUP(A:A,[1]TDSheet!$A:$AE,31,0)</f>
        <v>Мкд Трейд</v>
      </c>
      <c r="AE23" s="17">
        <f t="shared" si="5"/>
        <v>54</v>
      </c>
      <c r="AF23" s="17">
        <f t="shared" si="6"/>
        <v>45</v>
      </c>
    </row>
    <row r="24" spans="1:32" ht="10.9" customHeight="1" x14ac:dyDescent="0.2">
      <c r="A24" s="8" t="s">
        <v>28</v>
      </c>
      <c r="B24" s="8" t="s">
        <v>14</v>
      </c>
      <c r="C24" s="8">
        <f>VLOOKUP(A:A,[1]TDSheet!$A:$C,3,0)</f>
        <v>5706</v>
      </c>
      <c r="D24" s="10"/>
      <c r="E24" s="9"/>
      <c r="F24" s="9">
        <v>1</v>
      </c>
      <c r="G24" s="9">
        <v>-1</v>
      </c>
      <c r="H24">
        <f>VLOOKUP(A:A,[1]TDSheet!$A:$H,8,0)</f>
        <v>0.25</v>
      </c>
      <c r="I24">
        <f>VLOOKUP(A:A,[1]TDSheet!$A:$I,9,0)</f>
        <v>0.25</v>
      </c>
      <c r="J24" t="str">
        <f>VLOOKUP(A:A,[1]TDSheet!$A:$J,10,0)</f>
        <v>дубль</v>
      </c>
      <c r="L24" s="17">
        <f>VLOOKUP(A:A,[2]TDSheet!$A:$B,2,0)</f>
        <v>1</v>
      </c>
      <c r="M24" s="17">
        <f t="shared" si="1"/>
        <v>0</v>
      </c>
      <c r="N24" s="17"/>
      <c r="O24" s="17"/>
      <c r="P24" s="17"/>
      <c r="Q24" s="17"/>
      <c r="R24" s="17">
        <f>VLOOKUP(A:A,[1]TDSheet!$A:$O,15,0)</f>
        <v>0</v>
      </c>
      <c r="S24" s="17">
        <f>VLOOKUP(A:A,[1]TDSheet!$A:$O,15,0)</f>
        <v>0</v>
      </c>
      <c r="T24" s="17">
        <f t="shared" si="2"/>
        <v>0.2</v>
      </c>
      <c r="U24" s="18"/>
      <c r="V24" s="33">
        <f>VLOOKUP(A:A,[3]TDSheet!$A:$V,22,0)</f>
        <v>0</v>
      </c>
      <c r="W24" s="34">
        <f>VLOOKUP(A:A,[4]TDSheet!$A:$V,22,0)</f>
        <v>0</v>
      </c>
      <c r="X24" s="17">
        <f t="shared" si="3"/>
        <v>-5</v>
      </c>
      <c r="Y24" s="17">
        <f t="shared" si="4"/>
        <v>-5</v>
      </c>
      <c r="Z24" s="17">
        <f>VLOOKUP(A:A,[1]TDSheet!$A:$AB,28,0)</f>
        <v>-0.2</v>
      </c>
      <c r="AA24" s="17">
        <f>VLOOKUP(A:A,[1]TDSheet!$A:$AC,29,0)</f>
        <v>-0.2</v>
      </c>
      <c r="AB24" s="17">
        <f>VLOOKUP(A:A,[1]TDSheet!$A:$AD,30,0)</f>
        <v>-0.4</v>
      </c>
      <c r="AC24" s="17">
        <f>VLOOKUP(A:A,[1]TDSheet!$A:$T,20,0)</f>
        <v>0</v>
      </c>
      <c r="AD24" s="17"/>
      <c r="AE24" s="17">
        <f t="shared" si="5"/>
        <v>0</v>
      </c>
      <c r="AF24" s="17">
        <f t="shared" si="6"/>
        <v>0</v>
      </c>
    </row>
    <row r="25" spans="1:32" ht="10.9" customHeight="1" x14ac:dyDescent="0.2">
      <c r="A25" s="21" t="s">
        <v>29</v>
      </c>
      <c r="B25" s="8" t="s">
        <v>16</v>
      </c>
      <c r="C25" s="8">
        <f>VLOOKUP(A:A,[1]TDSheet!$A:$C,3,0)</f>
        <v>5708</v>
      </c>
      <c r="D25" s="10"/>
      <c r="E25" s="9">
        <v>39.479999999999997</v>
      </c>
      <c r="F25" s="9">
        <v>5.4669999999999996</v>
      </c>
      <c r="G25" s="9">
        <v>34.012999999999998</v>
      </c>
      <c r="H25">
        <f>VLOOKUP(A:A,[1]TDSheet!$A:$H,8,0)</f>
        <v>1</v>
      </c>
      <c r="L25" s="17">
        <f>VLOOKUP(A:A,[2]TDSheet!$A:$B,2,0)</f>
        <v>6.5</v>
      </c>
      <c r="M25" s="17">
        <f t="shared" si="1"/>
        <v>-1.0330000000000004</v>
      </c>
      <c r="N25" s="17"/>
      <c r="O25" s="17"/>
      <c r="P25" s="17"/>
      <c r="Q25" s="17"/>
      <c r="R25" s="17">
        <f>VLOOKUP(A:A,[1]TDSheet!$A:$O,15,0)</f>
        <v>0</v>
      </c>
      <c r="S25" s="17">
        <f>VLOOKUP(A:A,[1]TDSheet!$A:$O,15,0)</f>
        <v>0</v>
      </c>
      <c r="T25" s="17">
        <f t="shared" si="2"/>
        <v>1.0933999999999999</v>
      </c>
      <c r="U25" s="18"/>
      <c r="V25" s="33">
        <f>VLOOKUP(A:A,[3]TDSheet!$A:$V,22,0)</f>
        <v>0</v>
      </c>
      <c r="W25" s="34">
        <f>VLOOKUP(A:A,[4]TDSheet!$A:$V,22,0)</f>
        <v>0</v>
      </c>
      <c r="X25" s="17">
        <f t="shared" si="3"/>
        <v>31.107554417413574</v>
      </c>
      <c r="Y25" s="17">
        <f t="shared" si="4"/>
        <v>31.107554417413574</v>
      </c>
      <c r="Z25" s="17">
        <f>VLOOKUP(A:A,[1]TDSheet!$A:$AB,28,0)</f>
        <v>2.1798000000000002</v>
      </c>
      <c r="AA25" s="17">
        <f>VLOOKUP(A:A,[1]TDSheet!$A:$AC,29,0)</f>
        <v>1.5960000000000001</v>
      </c>
      <c r="AB25" s="17">
        <f>VLOOKUP(A:A,[1]TDSheet!$A:$AD,30,0)</f>
        <v>3.2924000000000002</v>
      </c>
      <c r="AC25" s="17">
        <f>VLOOKUP(A:A,[1]TDSheet!$A:$T,20,0)</f>
        <v>0.29680000000000001</v>
      </c>
      <c r="AD25" s="17"/>
      <c r="AE25" s="17">
        <f t="shared" si="5"/>
        <v>0</v>
      </c>
      <c r="AF25" s="17">
        <f t="shared" si="6"/>
        <v>0</v>
      </c>
    </row>
    <row r="26" spans="1:32" ht="10.9" customHeight="1" x14ac:dyDescent="0.2">
      <c r="A26" s="21" t="s">
        <v>30</v>
      </c>
      <c r="B26" s="8" t="s">
        <v>14</v>
      </c>
      <c r="C26" s="8">
        <f>VLOOKUP(A:A,[1]TDSheet!$A:$C,3,0)</f>
        <v>5819</v>
      </c>
      <c r="D26" s="9">
        <v>470</v>
      </c>
      <c r="E26" s="9">
        <v>48</v>
      </c>
      <c r="F26" s="9">
        <v>87</v>
      </c>
      <c r="G26" s="9">
        <v>431</v>
      </c>
      <c r="H26">
        <f>VLOOKUP(A:A,[1]TDSheet!$A:$H,8,0)</f>
        <v>0.4</v>
      </c>
      <c r="I26">
        <f>VLOOKUP(A:A,[1]TDSheet!$A:$I,9,0)</f>
        <v>45</v>
      </c>
      <c r="J26" t="str">
        <f>VLOOKUP(A:A,[1]TDSheet!$A:$J,10,0)</f>
        <v>в матрице</v>
      </c>
      <c r="L26" s="17">
        <f>VLOOKUP(A:A,[2]TDSheet!$A:$B,2,0)</f>
        <v>85</v>
      </c>
      <c r="M26" s="17">
        <f t="shared" si="1"/>
        <v>2</v>
      </c>
      <c r="N26" s="17"/>
      <c r="O26" s="17"/>
      <c r="P26" s="17"/>
      <c r="Q26" s="17"/>
      <c r="R26" s="17">
        <f>VLOOKUP(A:A,[1]TDSheet!$A:$O,15,0)</f>
        <v>0</v>
      </c>
      <c r="S26" s="17">
        <f>VLOOKUP(A:A,[1]TDSheet!$A:$O,15,0)</f>
        <v>0</v>
      </c>
      <c r="T26" s="17">
        <f t="shared" si="2"/>
        <v>17.399999999999999</v>
      </c>
      <c r="U26" s="18"/>
      <c r="V26" s="33">
        <f>VLOOKUP(A:A,[3]TDSheet!$A:$V,22,0)</f>
        <v>0</v>
      </c>
      <c r="W26" s="34">
        <f>VLOOKUP(A:A,[4]TDSheet!$A:$V,22,0)</f>
        <v>0</v>
      </c>
      <c r="X26" s="17">
        <f t="shared" si="3"/>
        <v>24.770114942528739</v>
      </c>
      <c r="Y26" s="17">
        <f t="shared" si="4"/>
        <v>24.770114942528739</v>
      </c>
      <c r="Z26" s="17">
        <f>VLOOKUP(A:A,[1]TDSheet!$A:$AB,28,0)</f>
        <v>0</v>
      </c>
      <c r="AA26" s="17">
        <f>VLOOKUP(A:A,[1]TDSheet!$A:$AC,29,0)</f>
        <v>39.6</v>
      </c>
      <c r="AB26" s="17">
        <f>VLOOKUP(A:A,[1]TDSheet!$A:$AD,30,0)</f>
        <v>27.8</v>
      </c>
      <c r="AC26" s="17">
        <f>VLOOKUP(A:A,[1]TDSheet!$A:$T,20,0)</f>
        <v>16.8</v>
      </c>
      <c r="AD26" s="17" t="str">
        <f>VLOOKUP(A:A,[1]TDSheet!$A:$AE,31,0)</f>
        <v>Мкд Трейд</v>
      </c>
      <c r="AE26" s="17">
        <f t="shared" si="5"/>
        <v>0</v>
      </c>
      <c r="AF26" s="17">
        <f t="shared" si="6"/>
        <v>0</v>
      </c>
    </row>
    <row r="27" spans="1:32" ht="10.9" customHeight="1" x14ac:dyDescent="0.2">
      <c r="A27" s="8" t="s">
        <v>31</v>
      </c>
      <c r="B27" s="8" t="s">
        <v>16</v>
      </c>
      <c r="C27" s="8">
        <f>VLOOKUP(A:A,[1]TDSheet!$A:$C,3,0)</f>
        <v>5851</v>
      </c>
      <c r="D27" s="9">
        <v>162.08500000000001</v>
      </c>
      <c r="E27" s="9">
        <v>99.103999999999999</v>
      </c>
      <c r="F27" s="9">
        <v>137.11199999999999</v>
      </c>
      <c r="G27" s="9">
        <v>96.846999999999994</v>
      </c>
      <c r="H27">
        <f>VLOOKUP(A:A,[1]TDSheet!$A:$H,8,0)</f>
        <v>1</v>
      </c>
      <c r="I27">
        <f>VLOOKUP(A:A,[1]TDSheet!$A:$I,9,0)</f>
        <v>60</v>
      </c>
      <c r="J27" t="str">
        <f>VLOOKUP(A:A,[1]TDSheet!$A:$J,10,0)</f>
        <v>в матрице</v>
      </c>
      <c r="L27" s="17">
        <f>VLOOKUP(A:A,[2]TDSheet!$A:$B,2,0)</f>
        <v>133.9</v>
      </c>
      <c r="M27" s="17">
        <f t="shared" si="1"/>
        <v>3.2119999999999891</v>
      </c>
      <c r="N27" s="17"/>
      <c r="O27" s="17"/>
      <c r="P27" s="17"/>
      <c r="Q27" s="17"/>
      <c r="R27" s="17">
        <f>VLOOKUP(A:A,[1]TDSheet!$A:$O,15,0)</f>
        <v>110</v>
      </c>
      <c r="S27" s="17">
        <f>VLOOKUP(A:A,[1]TDSheet!$A:$O,15,0)</f>
        <v>110</v>
      </c>
      <c r="T27" s="17">
        <f t="shared" si="2"/>
        <v>27.4224</v>
      </c>
      <c r="U27" s="18">
        <v>120</v>
      </c>
      <c r="V27" s="33">
        <f>VLOOKUP(A:A,[3]TDSheet!$A:$V,22,0)</f>
        <v>60</v>
      </c>
      <c r="W27" s="34">
        <f>VLOOKUP(A:A,[4]TDSheet!$A:$V,22,0)</f>
        <v>50</v>
      </c>
      <c r="X27" s="17">
        <f t="shared" si="3"/>
        <v>15.93029785868487</v>
      </c>
      <c r="Y27" s="17">
        <f t="shared" si="4"/>
        <v>3.5316748351712466</v>
      </c>
      <c r="Z27" s="17">
        <f>VLOOKUP(A:A,[1]TDSheet!$A:$AB,28,0)</f>
        <v>28.4008</v>
      </c>
      <c r="AA27" s="17">
        <f>VLOOKUP(A:A,[1]TDSheet!$A:$AC,29,0)</f>
        <v>21.9102</v>
      </c>
      <c r="AB27" s="17">
        <f>VLOOKUP(A:A,[1]TDSheet!$A:$AD,30,0)</f>
        <v>22.085999999999999</v>
      </c>
      <c r="AC27" s="17">
        <f>VLOOKUP(A:A,[1]TDSheet!$A:$T,20,0)</f>
        <v>30.147200000000002</v>
      </c>
      <c r="AD27" s="17"/>
      <c r="AE27" s="17">
        <f t="shared" si="5"/>
        <v>60</v>
      </c>
      <c r="AF27" s="17">
        <f t="shared" si="6"/>
        <v>50</v>
      </c>
    </row>
    <row r="28" spans="1:32" ht="10.9" customHeight="1" x14ac:dyDescent="0.2">
      <c r="A28" s="8" t="s">
        <v>32</v>
      </c>
      <c r="B28" s="8" t="s">
        <v>14</v>
      </c>
      <c r="C28" s="8">
        <f>VLOOKUP(A:A,[1]TDSheet!$A:$C,3,0)</f>
        <v>5931</v>
      </c>
      <c r="D28" s="9">
        <v>111</v>
      </c>
      <c r="E28" s="9">
        <v>327</v>
      </c>
      <c r="F28" s="9">
        <v>181</v>
      </c>
      <c r="G28" s="9">
        <v>250</v>
      </c>
      <c r="H28">
        <f>VLOOKUP(A:A,[1]TDSheet!$A:$H,8,0)</f>
        <v>0.22</v>
      </c>
      <c r="I28">
        <f>VLOOKUP(A:A,[1]TDSheet!$A:$I,9,0)</f>
        <v>120</v>
      </c>
      <c r="J28" t="str">
        <f>VLOOKUP(A:A,[1]TDSheet!$A:$J,10,0)</f>
        <v>в матрице</v>
      </c>
      <c r="L28" s="17">
        <f>VLOOKUP(A:A,[2]TDSheet!$A:$B,2,0)</f>
        <v>188</v>
      </c>
      <c r="M28" s="17">
        <f t="shared" si="1"/>
        <v>-7</v>
      </c>
      <c r="N28" s="17"/>
      <c r="O28" s="17"/>
      <c r="P28" s="17"/>
      <c r="Q28" s="17"/>
      <c r="R28" s="17">
        <f>VLOOKUP(A:A,[1]TDSheet!$A:$O,15,0)</f>
        <v>50</v>
      </c>
      <c r="S28" s="17">
        <f>VLOOKUP(A:A,[1]TDSheet!$A:$O,15,0)</f>
        <v>50</v>
      </c>
      <c r="T28" s="17">
        <f t="shared" si="2"/>
        <v>36.200000000000003</v>
      </c>
      <c r="U28" s="18">
        <v>210</v>
      </c>
      <c r="V28" s="33">
        <f>VLOOKUP(A:A,[3]TDSheet!$A:$V,22,0)</f>
        <v>110</v>
      </c>
      <c r="W28" s="34">
        <f>VLOOKUP(A:A,[4]TDSheet!$A:$V,22,0)</f>
        <v>100</v>
      </c>
      <c r="X28" s="17">
        <f t="shared" si="3"/>
        <v>15.469613259668508</v>
      </c>
      <c r="Y28" s="17">
        <f t="shared" si="4"/>
        <v>6.9060773480662974</v>
      </c>
      <c r="Z28" s="17">
        <f>VLOOKUP(A:A,[1]TDSheet!$A:$AB,28,0)</f>
        <v>35</v>
      </c>
      <c r="AA28" s="17">
        <f>VLOOKUP(A:A,[1]TDSheet!$A:$AC,29,0)</f>
        <v>22.6</v>
      </c>
      <c r="AB28" s="17">
        <f>VLOOKUP(A:A,[1]TDSheet!$A:$AD,30,0)</f>
        <v>39.200000000000003</v>
      </c>
      <c r="AC28" s="17">
        <f>VLOOKUP(A:A,[1]TDSheet!$A:$T,20,0)</f>
        <v>34</v>
      </c>
      <c r="AD28" s="17"/>
      <c r="AE28" s="17">
        <f t="shared" si="5"/>
        <v>24.2</v>
      </c>
      <c r="AF28" s="17">
        <f t="shared" si="6"/>
        <v>22</v>
      </c>
    </row>
    <row r="29" spans="1:32" ht="10.9" customHeight="1" x14ac:dyDescent="0.2">
      <c r="A29" s="21" t="s">
        <v>33</v>
      </c>
      <c r="B29" s="8" t="s">
        <v>16</v>
      </c>
      <c r="C29" s="8">
        <v>6008</v>
      </c>
      <c r="D29" s="10"/>
      <c r="E29" s="9">
        <v>207.876</v>
      </c>
      <c r="F29" s="9">
        <v>12.683999999999999</v>
      </c>
      <c r="G29" s="9">
        <v>194.48599999999999</v>
      </c>
      <c r="H29">
        <v>1</v>
      </c>
      <c r="L29" s="17">
        <f>VLOOKUP(A:A,[2]TDSheet!$A:$B,2,0)</f>
        <v>11.332000000000001</v>
      </c>
      <c r="M29" s="17">
        <f t="shared" si="1"/>
        <v>1.3519999999999985</v>
      </c>
      <c r="N29" s="17"/>
      <c r="O29" s="17"/>
      <c r="P29" s="17"/>
      <c r="Q29" s="17"/>
      <c r="R29" s="17">
        <v>0</v>
      </c>
      <c r="S29" s="17">
        <v>0</v>
      </c>
      <c r="T29" s="17">
        <f t="shared" si="2"/>
        <v>2.5367999999999999</v>
      </c>
      <c r="U29" s="18"/>
      <c r="V29" s="33">
        <f>VLOOKUP(A:A,[3]TDSheet!$A:$V,22,0)</f>
        <v>0</v>
      </c>
      <c r="W29" s="34">
        <f>VLOOKUP(A:A,[4]TDSheet!$A:$V,22,0)</f>
        <v>0</v>
      </c>
      <c r="X29" s="17">
        <f t="shared" si="3"/>
        <v>76.665878271838537</v>
      </c>
      <c r="Y29" s="17">
        <f t="shared" si="4"/>
        <v>76.665878271838537</v>
      </c>
      <c r="Z29" s="17">
        <v>0</v>
      </c>
      <c r="AA29" s="17">
        <v>0</v>
      </c>
      <c r="AB29" s="17">
        <v>0</v>
      </c>
      <c r="AC29" s="17">
        <v>0</v>
      </c>
      <c r="AD29" s="17"/>
      <c r="AE29" s="17">
        <f t="shared" si="5"/>
        <v>0</v>
      </c>
      <c r="AF29" s="17">
        <f t="shared" si="6"/>
        <v>0</v>
      </c>
    </row>
    <row r="30" spans="1:32" ht="10.9" customHeight="1" x14ac:dyDescent="0.2">
      <c r="A30" s="8" t="s">
        <v>34</v>
      </c>
      <c r="B30" s="8" t="s">
        <v>14</v>
      </c>
      <c r="C30" s="8">
        <f>VLOOKUP(A:A,[1]TDSheet!$A:$C,3,0)</f>
        <v>6208</v>
      </c>
      <c r="D30" s="9">
        <v>-1</v>
      </c>
      <c r="E30" s="9">
        <v>20</v>
      </c>
      <c r="F30" s="9">
        <v>5</v>
      </c>
      <c r="G30" s="9">
        <v>14</v>
      </c>
      <c r="H30">
        <f>VLOOKUP(A:A,[1]TDSheet!$A:$H,8,0)</f>
        <v>0.15</v>
      </c>
      <c r="L30" s="17">
        <f>VLOOKUP(A:A,[2]TDSheet!$A:$B,2,0)</f>
        <v>5</v>
      </c>
      <c r="M30" s="17">
        <f t="shared" si="1"/>
        <v>0</v>
      </c>
      <c r="N30" s="17"/>
      <c r="O30" s="17"/>
      <c r="P30" s="17"/>
      <c r="Q30" s="17"/>
      <c r="R30" s="17">
        <f>VLOOKUP(A:A,[1]TDSheet!$A:$O,15,0)</f>
        <v>0</v>
      </c>
      <c r="S30" s="17">
        <f>VLOOKUP(A:A,[1]TDSheet!$A:$O,15,0)</f>
        <v>0</v>
      </c>
      <c r="T30" s="17">
        <f t="shared" si="2"/>
        <v>1</v>
      </c>
      <c r="U30" s="18"/>
      <c r="V30" s="33">
        <f>VLOOKUP(A:A,[3]TDSheet!$A:$V,22,0)</f>
        <v>0</v>
      </c>
      <c r="W30" s="34">
        <f>VLOOKUP(A:A,[4]TDSheet!$A:$V,22,0)</f>
        <v>0</v>
      </c>
      <c r="X30" s="17">
        <f t="shared" si="3"/>
        <v>14</v>
      </c>
      <c r="Y30" s="17">
        <f t="shared" si="4"/>
        <v>14</v>
      </c>
      <c r="Z30" s="17">
        <f>VLOOKUP(A:A,[1]TDSheet!$A:$AB,28,0)</f>
        <v>1.4</v>
      </c>
      <c r="AA30" s="17">
        <f>VLOOKUP(A:A,[1]TDSheet!$A:$AC,29,0)</f>
        <v>1.4</v>
      </c>
      <c r="AB30" s="17">
        <f>VLOOKUP(A:A,[1]TDSheet!$A:$AD,30,0)</f>
        <v>1.6</v>
      </c>
      <c r="AC30" s="17">
        <f>VLOOKUP(A:A,[1]TDSheet!$A:$T,20,0)</f>
        <v>0.4</v>
      </c>
      <c r="AD30" s="17"/>
      <c r="AE30" s="17">
        <f t="shared" si="5"/>
        <v>0</v>
      </c>
      <c r="AF30" s="17">
        <f t="shared" si="6"/>
        <v>0</v>
      </c>
    </row>
    <row r="31" spans="1:32" ht="10.9" customHeight="1" x14ac:dyDescent="0.2">
      <c r="A31" s="8" t="s">
        <v>35</v>
      </c>
      <c r="B31" s="8" t="s">
        <v>16</v>
      </c>
      <c r="C31" s="8">
        <f>VLOOKUP(A:A,[1]TDSheet!$A:$C,3,0)</f>
        <v>6220</v>
      </c>
      <c r="D31" s="9">
        <v>35.353000000000002</v>
      </c>
      <c r="E31" s="9">
        <v>41.79</v>
      </c>
      <c r="F31" s="9">
        <v>56.139000000000003</v>
      </c>
      <c r="G31" s="9">
        <v>19.030999999999999</v>
      </c>
      <c r="H31">
        <f>VLOOKUP(A:A,[1]TDSheet!$A:$H,8,0)</f>
        <v>1</v>
      </c>
      <c r="I31">
        <f>VLOOKUP(A:A,[1]TDSheet!$A:$I,9,0)</f>
        <v>60</v>
      </c>
      <c r="J31" t="str">
        <f>VLOOKUP(A:A,[1]TDSheet!$A:$J,10,0)</f>
        <v>в матрице</v>
      </c>
      <c r="L31" s="17">
        <f>VLOOKUP(A:A,[2]TDSheet!$A:$B,2,0)</f>
        <v>53</v>
      </c>
      <c r="M31" s="17">
        <f t="shared" si="1"/>
        <v>3.1390000000000029</v>
      </c>
      <c r="N31" s="17"/>
      <c r="O31" s="17"/>
      <c r="P31" s="17"/>
      <c r="Q31" s="17"/>
      <c r="R31" s="17">
        <f>VLOOKUP(A:A,[1]TDSheet!$A:$O,15,0)</f>
        <v>75</v>
      </c>
      <c r="S31" s="17">
        <f>VLOOKUP(A:A,[1]TDSheet!$A:$O,15,0)</f>
        <v>75</v>
      </c>
      <c r="T31" s="17">
        <f t="shared" si="2"/>
        <v>11.2278</v>
      </c>
      <c r="U31" s="18"/>
      <c r="V31" s="33">
        <f>VLOOKUP(A:A,[3]TDSheet!$A:$V,22,0)</f>
        <v>0</v>
      </c>
      <c r="W31" s="34">
        <f>VLOOKUP(A:A,[4]TDSheet!$A:$V,22,0)</f>
        <v>0</v>
      </c>
      <c r="X31" s="17">
        <f t="shared" si="3"/>
        <v>15.054685690874438</v>
      </c>
      <c r="Y31" s="17">
        <f t="shared" si="4"/>
        <v>1.6949892231781827</v>
      </c>
      <c r="Z31" s="17">
        <f>VLOOKUP(A:A,[1]TDSheet!$A:$AB,28,0)</f>
        <v>12.271599999999999</v>
      </c>
      <c r="AA31" s="17">
        <f>VLOOKUP(A:A,[1]TDSheet!$A:$AC,29,0)</f>
        <v>10.001799999999999</v>
      </c>
      <c r="AB31" s="17">
        <f>VLOOKUP(A:A,[1]TDSheet!$A:$AD,30,0)</f>
        <v>11.16</v>
      </c>
      <c r="AC31" s="17">
        <f>VLOOKUP(A:A,[1]TDSheet!$A:$T,20,0)</f>
        <v>13.8606</v>
      </c>
      <c r="AD31" s="17"/>
      <c r="AE31" s="17">
        <f t="shared" si="5"/>
        <v>0</v>
      </c>
      <c r="AF31" s="17">
        <f t="shared" si="6"/>
        <v>0</v>
      </c>
    </row>
    <row r="32" spans="1:32" ht="10.9" customHeight="1" x14ac:dyDescent="0.2">
      <c r="A32" s="8" t="s">
        <v>36</v>
      </c>
      <c r="B32" s="8" t="s">
        <v>14</v>
      </c>
      <c r="C32" s="8">
        <f>VLOOKUP(A:A,[1]TDSheet!$A:$C,3,0)</f>
        <v>6221</v>
      </c>
      <c r="D32" s="9">
        <v>211</v>
      </c>
      <c r="E32" s="9">
        <v>26</v>
      </c>
      <c r="F32" s="9">
        <v>172</v>
      </c>
      <c r="G32" s="9">
        <v>57</v>
      </c>
      <c r="H32">
        <f>VLOOKUP(A:A,[1]TDSheet!$A:$H,8,0)</f>
        <v>0.09</v>
      </c>
      <c r="I32">
        <f>VLOOKUP(A:A,[1]TDSheet!$A:$I,9,0)</f>
        <v>60</v>
      </c>
      <c r="J32" t="str">
        <f>VLOOKUP(A:A,[1]TDSheet!$A:$J,10,0)</f>
        <v>в матрице</v>
      </c>
      <c r="L32" s="17">
        <f>VLOOKUP(A:A,[2]TDSheet!$A:$B,2,0)</f>
        <v>180</v>
      </c>
      <c r="M32" s="17">
        <f t="shared" si="1"/>
        <v>-8</v>
      </c>
      <c r="N32" s="17"/>
      <c r="O32" s="17"/>
      <c r="P32" s="17"/>
      <c r="Q32" s="17"/>
      <c r="R32" s="17">
        <f>VLOOKUP(A:A,[1]TDSheet!$A:$O,15,0)</f>
        <v>75</v>
      </c>
      <c r="S32" s="17">
        <f>VLOOKUP(A:A,[1]TDSheet!$A:$O,15,0)</f>
        <v>75</v>
      </c>
      <c r="T32" s="17">
        <f t="shared" si="2"/>
        <v>34.4</v>
      </c>
      <c r="U32" s="18">
        <v>330</v>
      </c>
      <c r="V32" s="33">
        <f>VLOOKUP(A:A,[3]TDSheet!$A:$V,22,0)</f>
        <v>175</v>
      </c>
      <c r="W32" s="34">
        <f>VLOOKUP(A:A,[4]TDSheet!$A:$V,22,0)</f>
        <v>150</v>
      </c>
      <c r="X32" s="17">
        <f t="shared" si="3"/>
        <v>15.610465116279071</v>
      </c>
      <c r="Y32" s="17">
        <f t="shared" si="4"/>
        <v>1.6569767441860466</v>
      </c>
      <c r="Z32" s="17">
        <f>VLOOKUP(A:A,[1]TDSheet!$A:$AB,28,0)</f>
        <v>23.8</v>
      </c>
      <c r="AA32" s="17">
        <f>VLOOKUP(A:A,[1]TDSheet!$A:$AC,29,0)</f>
        <v>28</v>
      </c>
      <c r="AB32" s="17">
        <f>VLOOKUP(A:A,[1]TDSheet!$A:$AD,30,0)</f>
        <v>23.8</v>
      </c>
      <c r="AC32" s="17">
        <f>VLOOKUP(A:A,[1]TDSheet!$A:$T,20,0)</f>
        <v>23.8</v>
      </c>
      <c r="AD32" s="17"/>
      <c r="AE32" s="17">
        <f t="shared" si="5"/>
        <v>15.75</v>
      </c>
      <c r="AF32" s="17">
        <f t="shared" si="6"/>
        <v>13.5</v>
      </c>
    </row>
    <row r="33" spans="1:32" ht="10.9" customHeight="1" x14ac:dyDescent="0.2">
      <c r="A33" s="8" t="s">
        <v>37</v>
      </c>
      <c r="B33" s="8" t="s">
        <v>14</v>
      </c>
      <c r="C33" s="8">
        <f>VLOOKUP(A:A,[1]TDSheet!$A:$C,3,0)</f>
        <v>6228</v>
      </c>
      <c r="D33" s="9">
        <v>74</v>
      </c>
      <c r="E33" s="9">
        <v>143</v>
      </c>
      <c r="F33" s="9">
        <v>94</v>
      </c>
      <c r="G33" s="9">
        <v>113</v>
      </c>
      <c r="H33">
        <f>VLOOKUP(A:A,[1]TDSheet!$A:$H,8,0)</f>
        <v>0.09</v>
      </c>
      <c r="I33">
        <f>VLOOKUP(A:A,[1]TDSheet!$A:$I,9,0)</f>
        <v>45</v>
      </c>
      <c r="J33" t="str">
        <f>VLOOKUP(A:A,[1]TDSheet!$A:$J,10,0)</f>
        <v>в матрице</v>
      </c>
      <c r="L33" s="17">
        <f>VLOOKUP(A:A,[2]TDSheet!$A:$B,2,0)</f>
        <v>104</v>
      </c>
      <c r="M33" s="17">
        <f t="shared" si="1"/>
        <v>-10</v>
      </c>
      <c r="N33" s="17"/>
      <c r="O33" s="17"/>
      <c r="P33" s="17"/>
      <c r="Q33" s="17"/>
      <c r="R33" s="17">
        <f>VLOOKUP(A:A,[1]TDSheet!$A:$O,15,0)</f>
        <v>0</v>
      </c>
      <c r="S33" s="17">
        <f>VLOOKUP(A:A,[1]TDSheet!$A:$O,15,0)</f>
        <v>0</v>
      </c>
      <c r="T33" s="17">
        <f t="shared" si="2"/>
        <v>18.8</v>
      </c>
      <c r="U33" s="18">
        <v>250</v>
      </c>
      <c r="V33" s="33">
        <f>VLOOKUP(A:A,[3]TDSheet!$A:$V,22,0)</f>
        <v>125</v>
      </c>
      <c r="W33" s="34">
        <f>VLOOKUP(A:A,[4]TDSheet!$A:$V,22,0)</f>
        <v>125</v>
      </c>
      <c r="X33" s="17">
        <f t="shared" si="3"/>
        <v>19.308510638297872</v>
      </c>
      <c r="Y33" s="17">
        <f t="shared" si="4"/>
        <v>6.0106382978723403</v>
      </c>
      <c r="Z33" s="17">
        <f>VLOOKUP(A:A,[1]TDSheet!$A:$AB,28,0)</f>
        <v>7.4</v>
      </c>
      <c r="AA33" s="17">
        <f>VLOOKUP(A:A,[1]TDSheet!$A:$AC,29,0)</f>
        <v>10.6</v>
      </c>
      <c r="AB33" s="17">
        <f>VLOOKUP(A:A,[1]TDSheet!$A:$AD,30,0)</f>
        <v>14.6</v>
      </c>
      <c r="AC33" s="17">
        <f>VLOOKUP(A:A,[1]TDSheet!$A:$T,20,0)</f>
        <v>7</v>
      </c>
      <c r="AD33" s="17" t="str">
        <f>VLOOKUP(A:A,[1]TDSheet!$A:$AE,31,0)</f>
        <v>увел продажи</v>
      </c>
      <c r="AE33" s="17">
        <f t="shared" si="5"/>
        <v>11.25</v>
      </c>
      <c r="AF33" s="17">
        <f t="shared" si="6"/>
        <v>11.25</v>
      </c>
    </row>
    <row r="34" spans="1:32" ht="10.9" customHeight="1" x14ac:dyDescent="0.2">
      <c r="A34" s="8" t="s">
        <v>38</v>
      </c>
      <c r="B34" s="8" t="s">
        <v>14</v>
      </c>
      <c r="C34" s="8">
        <f>VLOOKUP(A:A,[1]TDSheet!$A:$C,3,0)</f>
        <v>6268</v>
      </c>
      <c r="D34" s="9">
        <v>-2</v>
      </c>
      <c r="E34" s="9"/>
      <c r="F34" s="9">
        <v>-4</v>
      </c>
      <c r="G34" s="9">
        <v>-2</v>
      </c>
      <c r="H34">
        <f>VLOOKUP(A:A,[1]TDSheet!$A:$H,8,0)</f>
        <v>0.4</v>
      </c>
      <c r="I34">
        <f>VLOOKUP(A:A,[1]TDSheet!$A:$I,9,0)</f>
        <v>60</v>
      </c>
      <c r="J34" t="str">
        <f>VLOOKUP(A:A,[1]TDSheet!$A:$J,10,0)</f>
        <v>в матрице</v>
      </c>
      <c r="L34" s="17">
        <v>0</v>
      </c>
      <c r="M34" s="17">
        <f t="shared" si="1"/>
        <v>-4</v>
      </c>
      <c r="N34" s="17"/>
      <c r="O34" s="17"/>
      <c r="P34" s="17"/>
      <c r="Q34" s="17"/>
      <c r="R34" s="17">
        <f>VLOOKUP(A:A,[1]TDSheet!$A:$O,15,0)</f>
        <v>0</v>
      </c>
      <c r="S34" s="17">
        <f>VLOOKUP(A:A,[1]TDSheet!$A:$O,15,0)</f>
        <v>0</v>
      </c>
      <c r="T34" s="17">
        <f t="shared" si="2"/>
        <v>-0.8</v>
      </c>
      <c r="U34" s="18"/>
      <c r="V34" s="33">
        <f>VLOOKUP(A:A,[3]TDSheet!$A:$V,22,0)</f>
        <v>0</v>
      </c>
      <c r="W34" s="34">
        <f>VLOOKUP(A:A,[4]TDSheet!$A:$V,22,0)</f>
        <v>0</v>
      </c>
      <c r="X34" s="17">
        <f t="shared" si="3"/>
        <v>2.5</v>
      </c>
      <c r="Y34" s="17">
        <f t="shared" si="4"/>
        <v>2.5</v>
      </c>
      <c r="Z34" s="17">
        <f>VLOOKUP(A:A,[1]TDSheet!$A:$AB,28,0)</f>
        <v>1.8</v>
      </c>
      <c r="AA34" s="17">
        <f>VLOOKUP(A:A,[1]TDSheet!$A:$AC,29,0)</f>
        <v>-0.2</v>
      </c>
      <c r="AB34" s="17">
        <f>VLOOKUP(A:A,[1]TDSheet!$A:$AD,30,0)</f>
        <v>0.8</v>
      </c>
      <c r="AC34" s="17">
        <f>VLOOKUP(A:A,[1]TDSheet!$A:$T,20,0)</f>
        <v>0</v>
      </c>
      <c r="AD34" s="17"/>
      <c r="AE34" s="17">
        <f t="shared" si="5"/>
        <v>0</v>
      </c>
      <c r="AF34" s="17">
        <f t="shared" si="6"/>
        <v>0</v>
      </c>
    </row>
    <row r="35" spans="1:32" ht="10.9" customHeight="1" x14ac:dyDescent="0.2">
      <c r="A35" s="8" t="s">
        <v>39</v>
      </c>
      <c r="B35" s="8" t="s">
        <v>14</v>
      </c>
      <c r="C35" s="8">
        <f>VLOOKUP(A:A,[1]TDSheet!$A:$C,3,0)</f>
        <v>6279</v>
      </c>
      <c r="D35" s="9">
        <v>9</v>
      </c>
      <c r="E35" s="9">
        <v>98</v>
      </c>
      <c r="F35" s="9">
        <v>87</v>
      </c>
      <c r="G35" s="9">
        <v>17</v>
      </c>
      <c r="H35">
        <f>VLOOKUP(A:A,[1]TDSheet!$A:$H,8,0)</f>
        <v>0.15</v>
      </c>
      <c r="I35">
        <f>VLOOKUP(A:A,[1]TDSheet!$A:$I,9,0)</f>
        <v>45</v>
      </c>
      <c r="J35" t="str">
        <f>VLOOKUP(A:A,[1]TDSheet!$A:$J,10,0)</f>
        <v>в матрице</v>
      </c>
      <c r="L35" s="17">
        <f>VLOOKUP(A:A,[2]TDSheet!$A:$B,2,0)</f>
        <v>106</v>
      </c>
      <c r="M35" s="17">
        <f t="shared" si="1"/>
        <v>-19</v>
      </c>
      <c r="N35" s="17"/>
      <c r="O35" s="17"/>
      <c r="P35" s="17"/>
      <c r="Q35" s="17"/>
      <c r="R35" s="17">
        <f>VLOOKUP(A:A,[1]TDSheet!$A:$O,15,0)</f>
        <v>25</v>
      </c>
      <c r="S35" s="17">
        <f>VLOOKUP(A:A,[1]TDSheet!$A:$O,15,0)</f>
        <v>25</v>
      </c>
      <c r="T35" s="17">
        <f t="shared" si="2"/>
        <v>17.399999999999999</v>
      </c>
      <c r="U35" s="18">
        <v>230</v>
      </c>
      <c r="V35" s="33">
        <f>VLOOKUP(A:A,[3]TDSheet!$A:$V,22,0)</f>
        <v>125</v>
      </c>
      <c r="W35" s="34">
        <f>VLOOKUP(A:A,[4]TDSheet!$A:$V,22,0)</f>
        <v>100</v>
      </c>
      <c r="X35" s="17">
        <f t="shared" si="3"/>
        <v>17.068965517241381</v>
      </c>
      <c r="Y35" s="17">
        <f t="shared" si="4"/>
        <v>0.97701149425287359</v>
      </c>
      <c r="Z35" s="17">
        <f>VLOOKUP(A:A,[1]TDSheet!$A:$AB,28,0)</f>
        <v>10.6</v>
      </c>
      <c r="AA35" s="17">
        <f>VLOOKUP(A:A,[1]TDSheet!$A:$AC,29,0)</f>
        <v>10</v>
      </c>
      <c r="AB35" s="17">
        <f>VLOOKUP(A:A,[1]TDSheet!$A:$AD,30,0)</f>
        <v>8.6</v>
      </c>
      <c r="AC35" s="17">
        <f>VLOOKUP(A:A,[1]TDSheet!$A:$T,20,0)</f>
        <v>7.6</v>
      </c>
      <c r="AD35" s="17"/>
      <c r="AE35" s="17">
        <f t="shared" si="5"/>
        <v>18.75</v>
      </c>
      <c r="AF35" s="17">
        <f t="shared" si="6"/>
        <v>15</v>
      </c>
    </row>
    <row r="36" spans="1:32" ht="10.9" customHeight="1" x14ac:dyDescent="0.2">
      <c r="A36" s="8" t="s">
        <v>40</v>
      </c>
      <c r="B36" s="8" t="s">
        <v>16</v>
      </c>
      <c r="C36" s="8">
        <f>VLOOKUP(A:A,[1]TDSheet!$A:$C,3,0)</f>
        <v>6303</v>
      </c>
      <c r="D36" s="9">
        <v>396.56400000000002</v>
      </c>
      <c r="E36" s="9">
        <v>31.573</v>
      </c>
      <c r="F36" s="9">
        <v>283.15100000000001</v>
      </c>
      <c r="G36" s="9">
        <v>141.79</v>
      </c>
      <c r="H36">
        <f>VLOOKUP(A:A,[1]TDSheet!$A:$H,8,0)</f>
        <v>1</v>
      </c>
      <c r="I36">
        <f>VLOOKUP(A:A,[1]TDSheet!$A:$I,9,0)</f>
        <v>45</v>
      </c>
      <c r="J36" t="str">
        <f>VLOOKUP(A:A,[1]TDSheet!$A:$J,10,0)</f>
        <v>в матрице</v>
      </c>
      <c r="L36" s="17">
        <f>VLOOKUP(A:A,[2]TDSheet!$A:$B,2,0)</f>
        <v>276.79599999999999</v>
      </c>
      <c r="M36" s="17">
        <f t="shared" si="1"/>
        <v>6.3550000000000182</v>
      </c>
      <c r="N36" s="17"/>
      <c r="O36" s="17"/>
      <c r="P36" s="17"/>
      <c r="Q36" s="17"/>
      <c r="R36" s="17">
        <f>VLOOKUP(A:A,[1]TDSheet!$A:$O,15,0)</f>
        <v>75</v>
      </c>
      <c r="S36" s="17">
        <f>VLOOKUP(A:A,[1]TDSheet!$A:$O,15,0)</f>
        <v>75</v>
      </c>
      <c r="T36" s="17">
        <f t="shared" si="2"/>
        <v>56.630200000000002</v>
      </c>
      <c r="U36" s="18">
        <v>550</v>
      </c>
      <c r="V36" s="33">
        <f>VLOOKUP(A:A,[3]TDSheet!$A:$V,22,0)</f>
        <v>300</v>
      </c>
      <c r="W36" s="34">
        <f>VLOOKUP(A:A,[4]TDSheet!$A:$V,22,0)</f>
        <v>250</v>
      </c>
      <c r="X36" s="17">
        <f t="shared" si="3"/>
        <v>14.864683508092854</v>
      </c>
      <c r="Y36" s="17">
        <f t="shared" si="4"/>
        <v>2.5037877316343575</v>
      </c>
      <c r="Z36" s="17">
        <f>VLOOKUP(A:A,[1]TDSheet!$A:$AB,28,0)</f>
        <v>71.153400000000005</v>
      </c>
      <c r="AA36" s="17">
        <f>VLOOKUP(A:A,[1]TDSheet!$A:$AC,29,0)</f>
        <v>33.6068</v>
      </c>
      <c r="AB36" s="17">
        <f>VLOOKUP(A:A,[1]TDSheet!$A:$AD,30,0)</f>
        <v>46.767800000000001</v>
      </c>
      <c r="AC36" s="17">
        <f>VLOOKUP(A:A,[1]TDSheet!$A:$T,20,0)</f>
        <v>33.6648</v>
      </c>
      <c r="AD36" s="17"/>
      <c r="AE36" s="17">
        <f t="shared" si="5"/>
        <v>300</v>
      </c>
      <c r="AF36" s="17">
        <f t="shared" si="6"/>
        <v>250</v>
      </c>
    </row>
    <row r="37" spans="1:32" ht="10.9" customHeight="1" x14ac:dyDescent="0.2">
      <c r="A37" s="21" t="s">
        <v>41</v>
      </c>
      <c r="B37" s="8" t="s">
        <v>14</v>
      </c>
      <c r="C37" s="8">
        <f>VLOOKUP(A:A,[1]TDSheet!$A:$C,3,0)</f>
        <v>6324</v>
      </c>
      <c r="D37" s="9">
        <v>266</v>
      </c>
      <c r="E37" s="9">
        <v>3</v>
      </c>
      <c r="F37" s="9">
        <v>31</v>
      </c>
      <c r="G37" s="9">
        <v>235</v>
      </c>
      <c r="H37">
        <f>VLOOKUP(A:A,[1]TDSheet!$A:$H,8,0)</f>
        <v>0.4</v>
      </c>
      <c r="I37">
        <f>VLOOKUP(A:A,[1]TDSheet!$A:$I,9,0)</f>
        <v>60</v>
      </c>
      <c r="J37" t="str">
        <f>VLOOKUP(A:A,[1]TDSheet!$A:$J,10,0)</f>
        <v>в матрице</v>
      </c>
      <c r="L37" s="17">
        <f>VLOOKUP(A:A,[2]TDSheet!$A:$B,2,0)</f>
        <v>82</v>
      </c>
      <c r="M37" s="17">
        <f t="shared" si="1"/>
        <v>-51</v>
      </c>
      <c r="N37" s="17"/>
      <c r="O37" s="17"/>
      <c r="P37" s="17"/>
      <c r="Q37" s="17"/>
      <c r="R37" s="17">
        <f>VLOOKUP(A:A,[1]TDSheet!$A:$O,15,0)</f>
        <v>0</v>
      </c>
      <c r="S37" s="17">
        <f>VLOOKUP(A:A,[1]TDSheet!$A:$O,15,0)</f>
        <v>0</v>
      </c>
      <c r="T37" s="17">
        <f t="shared" si="2"/>
        <v>6.2</v>
      </c>
      <c r="U37" s="18"/>
      <c r="V37" s="33">
        <f>VLOOKUP(A:A,[3]TDSheet!$A:$V,22,0)</f>
        <v>0</v>
      </c>
      <c r="W37" s="34">
        <f>VLOOKUP(A:A,[4]TDSheet!$A:$V,22,0)</f>
        <v>0</v>
      </c>
      <c r="X37" s="17">
        <f t="shared" si="3"/>
        <v>37.903225806451609</v>
      </c>
      <c r="Y37" s="17">
        <f t="shared" si="4"/>
        <v>37.903225806451609</v>
      </c>
      <c r="Z37" s="17">
        <f>VLOOKUP(A:A,[1]TDSheet!$A:$AB,28,0)</f>
        <v>9.4</v>
      </c>
      <c r="AA37" s="17">
        <f>VLOOKUP(A:A,[1]TDSheet!$A:$AC,29,0)</f>
        <v>16.600000000000001</v>
      </c>
      <c r="AB37" s="17">
        <f>VLOOKUP(A:A,[1]TDSheet!$A:$AD,30,0)</f>
        <v>18.600000000000001</v>
      </c>
      <c r="AC37" s="17">
        <f>VLOOKUP(A:A,[1]TDSheet!$A:$T,20,0)</f>
        <v>4.2</v>
      </c>
      <c r="AD37" s="17" t="str">
        <f>VLOOKUP(A:A,[1]TDSheet!$A:$AE,31,0)</f>
        <v>Мкд Трейд</v>
      </c>
      <c r="AE37" s="17">
        <f t="shared" si="5"/>
        <v>0</v>
      </c>
      <c r="AF37" s="17">
        <f t="shared" si="6"/>
        <v>0</v>
      </c>
    </row>
    <row r="38" spans="1:32" ht="10.9" customHeight="1" x14ac:dyDescent="0.2">
      <c r="A38" s="8" t="s">
        <v>42</v>
      </c>
      <c r="B38" s="8" t="s">
        <v>14</v>
      </c>
      <c r="C38" s="8">
        <f>VLOOKUP(A:A,[1]TDSheet!$A:$C,3,0)</f>
        <v>6325</v>
      </c>
      <c r="D38" s="9">
        <v>161</v>
      </c>
      <c r="E38" s="9">
        <v>49</v>
      </c>
      <c r="F38" s="9">
        <v>89</v>
      </c>
      <c r="G38" s="9">
        <v>120</v>
      </c>
      <c r="H38">
        <f>VLOOKUP(A:A,[1]TDSheet!$A:$H,8,0)</f>
        <v>0.4</v>
      </c>
      <c r="I38">
        <f>VLOOKUP(A:A,[1]TDSheet!$A:$I,9,0)</f>
        <v>60</v>
      </c>
      <c r="J38" t="str">
        <f>VLOOKUP(A:A,[1]TDSheet!$A:$J,10,0)</f>
        <v>ВНИМАНИЕ / в матрице</v>
      </c>
      <c r="L38" s="17">
        <f>VLOOKUP(A:A,[2]TDSheet!$A:$B,2,0)</f>
        <v>90</v>
      </c>
      <c r="M38" s="17">
        <f t="shared" si="1"/>
        <v>-1</v>
      </c>
      <c r="N38" s="17"/>
      <c r="O38" s="17"/>
      <c r="P38" s="17"/>
      <c r="Q38" s="17"/>
      <c r="R38" s="17">
        <f>VLOOKUP(A:A,[1]TDSheet!$A:$O,15,0)</f>
        <v>40</v>
      </c>
      <c r="S38" s="17">
        <f>VLOOKUP(A:A,[1]TDSheet!$A:$O,15,0)</f>
        <v>40</v>
      </c>
      <c r="T38" s="17">
        <f t="shared" si="2"/>
        <v>17.8</v>
      </c>
      <c r="U38" s="18">
        <v>50</v>
      </c>
      <c r="V38" s="33">
        <f>VLOOKUP(A:A,[3]TDSheet!$A:$V,22,0)</f>
        <v>24.5</v>
      </c>
      <c r="W38" s="34">
        <f>VLOOKUP(A:A,[4]TDSheet!$A:$V,22,0)</f>
        <v>24.5</v>
      </c>
      <c r="X38" s="17">
        <f t="shared" si="3"/>
        <v>14.044943820224718</v>
      </c>
      <c r="Y38" s="17">
        <f t="shared" si="4"/>
        <v>6.7415730337078648</v>
      </c>
      <c r="Z38" s="17">
        <f>VLOOKUP(A:A,[1]TDSheet!$A:$AB,28,0)</f>
        <v>22.8</v>
      </c>
      <c r="AA38" s="17">
        <f>VLOOKUP(A:A,[1]TDSheet!$A:$AC,29,0)</f>
        <v>23.4</v>
      </c>
      <c r="AB38" s="17">
        <f>VLOOKUP(A:A,[1]TDSheet!$A:$AD,30,0)</f>
        <v>18.2</v>
      </c>
      <c r="AC38" s="17">
        <f>VLOOKUP(A:A,[1]TDSheet!$A:$T,20,0)</f>
        <v>11.6</v>
      </c>
      <c r="AD38" s="17" t="str">
        <f>VLOOKUP(A:A,[1]TDSheet!$A:$AE,31,0)</f>
        <v>ротация0,35</v>
      </c>
      <c r="AE38" s="17">
        <f t="shared" si="5"/>
        <v>9.8000000000000007</v>
      </c>
      <c r="AF38" s="17">
        <f t="shared" si="6"/>
        <v>9.8000000000000007</v>
      </c>
    </row>
    <row r="39" spans="1:32" ht="10.9" customHeight="1" x14ac:dyDescent="0.2">
      <c r="A39" s="8" t="s">
        <v>43</v>
      </c>
      <c r="B39" s="8" t="s">
        <v>14</v>
      </c>
      <c r="C39" s="8">
        <f>VLOOKUP(A:A,[1]TDSheet!$A:$C,3,0)</f>
        <v>6333</v>
      </c>
      <c r="D39" s="9">
        <v>374</v>
      </c>
      <c r="E39" s="9">
        <v>697</v>
      </c>
      <c r="F39" s="9">
        <v>479</v>
      </c>
      <c r="G39" s="9">
        <v>581</v>
      </c>
      <c r="H39">
        <f>VLOOKUP(A:A,[1]TDSheet!$A:$H,8,0)</f>
        <v>0.4</v>
      </c>
      <c r="I39">
        <f>VLOOKUP(A:A,[1]TDSheet!$A:$I,9,0)</f>
        <v>60</v>
      </c>
      <c r="J39" t="str">
        <f>VLOOKUP(A:A,[1]TDSheet!$A:$J,10,0)</f>
        <v>в матрице</v>
      </c>
      <c r="L39" s="17">
        <f>VLOOKUP(A:A,[2]TDSheet!$A:$B,2,0)</f>
        <v>490</v>
      </c>
      <c r="M39" s="17">
        <f t="shared" si="1"/>
        <v>-11</v>
      </c>
      <c r="N39" s="17"/>
      <c r="O39" s="17"/>
      <c r="P39" s="17"/>
      <c r="Q39" s="17"/>
      <c r="R39" s="17">
        <f>VLOOKUP(A:A,[1]TDSheet!$A:$O,15,0)</f>
        <v>60</v>
      </c>
      <c r="S39" s="17">
        <f>VLOOKUP(A:A,[1]TDSheet!$A:$O,15,0)</f>
        <v>60</v>
      </c>
      <c r="T39" s="17">
        <f t="shared" si="2"/>
        <v>95.8</v>
      </c>
      <c r="U39" s="18">
        <v>720</v>
      </c>
      <c r="V39" s="33">
        <f>VLOOKUP(A:A,[3]TDSheet!$A:$V,22,0)</f>
        <v>375</v>
      </c>
      <c r="W39" s="34">
        <f>VLOOKUP(A:A,[4]TDSheet!$A:$V,22,0)</f>
        <v>345</v>
      </c>
      <c r="X39" s="17">
        <f t="shared" si="3"/>
        <v>14.832985386221294</v>
      </c>
      <c r="Y39" s="17">
        <f t="shared" si="4"/>
        <v>6.0647181628392488</v>
      </c>
      <c r="Z39" s="17">
        <f>VLOOKUP(A:A,[1]TDSheet!$A:$AB,28,0)</f>
        <v>73.8</v>
      </c>
      <c r="AA39" s="17">
        <f>VLOOKUP(A:A,[1]TDSheet!$A:$AC,29,0)</f>
        <v>90</v>
      </c>
      <c r="AB39" s="17">
        <f>VLOOKUP(A:A,[1]TDSheet!$A:$AD,30,0)</f>
        <v>98.6</v>
      </c>
      <c r="AC39" s="17">
        <f>VLOOKUP(A:A,[1]TDSheet!$A:$T,20,0)</f>
        <v>83.4</v>
      </c>
      <c r="AD39" s="17"/>
      <c r="AE39" s="17">
        <f t="shared" si="5"/>
        <v>150</v>
      </c>
      <c r="AF39" s="17">
        <f t="shared" si="6"/>
        <v>138</v>
      </c>
    </row>
    <row r="40" spans="1:32" ht="10.9" customHeight="1" x14ac:dyDescent="0.2">
      <c r="A40" s="8" t="s">
        <v>44</v>
      </c>
      <c r="B40" s="8" t="s">
        <v>14</v>
      </c>
      <c r="C40" s="8">
        <f>VLOOKUP(A:A,[1]TDSheet!$A:$C,3,0)</f>
        <v>6353</v>
      </c>
      <c r="D40" s="9">
        <v>366</v>
      </c>
      <c r="E40" s="9">
        <v>2</v>
      </c>
      <c r="F40" s="9">
        <v>214</v>
      </c>
      <c r="G40" s="9">
        <v>148</v>
      </c>
      <c r="H40">
        <f>VLOOKUP(A:A,[1]TDSheet!$A:$H,8,0)</f>
        <v>0.4</v>
      </c>
      <c r="I40">
        <f>VLOOKUP(A:A,[1]TDSheet!$A:$I,9,0)</f>
        <v>60</v>
      </c>
      <c r="J40" t="str">
        <f>VLOOKUP(A:A,[1]TDSheet!$A:$J,10,0)</f>
        <v>в матрице</v>
      </c>
      <c r="L40" s="17">
        <f>VLOOKUP(A:A,[2]TDSheet!$A:$B,2,0)</f>
        <v>221</v>
      </c>
      <c r="M40" s="17">
        <f t="shared" si="1"/>
        <v>-7</v>
      </c>
      <c r="N40" s="17"/>
      <c r="O40" s="17"/>
      <c r="P40" s="17"/>
      <c r="Q40" s="17"/>
      <c r="R40" s="17">
        <f>VLOOKUP(A:A,[1]TDSheet!$A:$O,15,0)</f>
        <v>210</v>
      </c>
      <c r="S40" s="17">
        <f>VLOOKUP(A:A,[1]TDSheet!$A:$O,15,0)</f>
        <v>210</v>
      </c>
      <c r="T40" s="17">
        <f t="shared" si="2"/>
        <v>42.8</v>
      </c>
      <c r="U40" s="18"/>
      <c r="V40" s="33">
        <f>VLOOKUP(A:A,[3]TDSheet!$A:$V,22,0)</f>
        <v>0</v>
      </c>
      <c r="W40" s="34">
        <f>VLOOKUP(A:A,[4]TDSheet!$A:$V,22,0)</f>
        <v>0</v>
      </c>
      <c r="X40" s="17">
        <f t="shared" si="3"/>
        <v>13.271028037383179</v>
      </c>
      <c r="Y40" s="17">
        <f t="shared" si="4"/>
        <v>3.457943925233645</v>
      </c>
      <c r="Z40" s="17">
        <f>VLOOKUP(A:A,[1]TDSheet!$A:$AB,28,0)</f>
        <v>67</v>
      </c>
      <c r="AA40" s="17">
        <f>VLOOKUP(A:A,[1]TDSheet!$A:$AC,29,0)</f>
        <v>40</v>
      </c>
      <c r="AB40" s="17">
        <f>VLOOKUP(A:A,[1]TDSheet!$A:$AD,30,0)</f>
        <v>45.4</v>
      </c>
      <c r="AC40" s="17">
        <f>VLOOKUP(A:A,[1]TDSheet!$A:$T,20,0)</f>
        <v>53.6</v>
      </c>
      <c r="AD40" s="17" t="str">
        <f>VLOOKUP(A:A,[1]TDSheet!$A:$AE,31,0)</f>
        <v>Мкд Трейд</v>
      </c>
      <c r="AE40" s="17">
        <f t="shared" si="5"/>
        <v>0</v>
      </c>
      <c r="AF40" s="17">
        <f t="shared" si="6"/>
        <v>0</v>
      </c>
    </row>
    <row r="41" spans="1:32" ht="10.9" customHeight="1" x14ac:dyDescent="0.2">
      <c r="A41" s="8" t="s">
        <v>45</v>
      </c>
      <c r="B41" s="8" t="s">
        <v>14</v>
      </c>
      <c r="C41" s="8">
        <f>VLOOKUP(A:A,[1]TDSheet!$A:$C,3,0)</f>
        <v>6364</v>
      </c>
      <c r="D41" s="9">
        <v>-1</v>
      </c>
      <c r="E41" s="9"/>
      <c r="F41" s="9">
        <v>0</v>
      </c>
      <c r="G41" s="9">
        <v>-1</v>
      </c>
      <c r="H41">
        <f>VLOOKUP(A:A,[1]TDSheet!$A:$H,8,0)</f>
        <v>0</v>
      </c>
      <c r="L41" s="17">
        <v>0</v>
      </c>
      <c r="M41" s="17">
        <f t="shared" si="1"/>
        <v>0</v>
      </c>
      <c r="N41" s="17"/>
      <c r="O41" s="17"/>
      <c r="P41" s="17"/>
      <c r="Q41" s="17"/>
      <c r="R41" s="17">
        <f>VLOOKUP(A:A,[1]TDSheet!$A:$O,15,0)</f>
        <v>0</v>
      </c>
      <c r="S41" s="17">
        <f>VLOOKUP(A:A,[1]TDSheet!$A:$O,15,0)</f>
        <v>0</v>
      </c>
      <c r="T41" s="17">
        <f t="shared" si="2"/>
        <v>0</v>
      </c>
      <c r="U41" s="18"/>
      <c r="V41" s="33">
        <f>VLOOKUP(A:A,[3]TDSheet!$A:$V,22,0)</f>
        <v>0</v>
      </c>
      <c r="W41" s="34">
        <f>VLOOKUP(A:A,[4]TDSheet!$A:$V,22,0)</f>
        <v>0</v>
      </c>
      <c r="X41" s="17" t="e">
        <f t="shared" si="3"/>
        <v>#DIV/0!</v>
      </c>
      <c r="Y41" s="17" t="e">
        <f t="shared" si="4"/>
        <v>#DIV/0!</v>
      </c>
      <c r="Z41" s="17">
        <f>VLOOKUP(A:A,[1]TDSheet!$A:$AB,28,0)</f>
        <v>0</v>
      </c>
      <c r="AA41" s="17">
        <f>VLOOKUP(A:A,[1]TDSheet!$A:$AC,29,0)</f>
        <v>0</v>
      </c>
      <c r="AB41" s="17">
        <f>VLOOKUP(A:A,[1]TDSheet!$A:$AD,30,0)</f>
        <v>0</v>
      </c>
      <c r="AC41" s="17">
        <f>VLOOKUP(A:A,[1]TDSheet!$A:$T,20,0)</f>
        <v>0</v>
      </c>
      <c r="AD41" s="17"/>
      <c r="AE41" s="17">
        <f t="shared" si="5"/>
        <v>0</v>
      </c>
      <c r="AF41" s="17">
        <f t="shared" si="6"/>
        <v>0</v>
      </c>
    </row>
    <row r="42" spans="1:32" ht="10.9" customHeight="1" x14ac:dyDescent="0.2">
      <c r="A42" s="8" t="s">
        <v>46</v>
      </c>
      <c r="B42" s="8" t="s">
        <v>14</v>
      </c>
      <c r="C42" s="8">
        <f>VLOOKUP(A:A,[1]TDSheet!$A:$C,3,0)</f>
        <v>6392</v>
      </c>
      <c r="D42" s="9">
        <v>364</v>
      </c>
      <c r="E42" s="9">
        <v>213</v>
      </c>
      <c r="F42" s="9">
        <v>281</v>
      </c>
      <c r="G42" s="9">
        <v>277</v>
      </c>
      <c r="H42">
        <f>VLOOKUP(A:A,[1]TDSheet!$A:$H,8,0)</f>
        <v>0.4</v>
      </c>
      <c r="I42">
        <f>VLOOKUP(A:A,[1]TDSheet!$A:$I,9,0)</f>
        <v>60</v>
      </c>
      <c r="J42" t="str">
        <f>VLOOKUP(A:A,[1]TDSheet!$A:$J,10,0)</f>
        <v>в матрице</v>
      </c>
      <c r="L42" s="17">
        <f>VLOOKUP(A:A,[2]TDSheet!$A:$B,2,0)</f>
        <v>291</v>
      </c>
      <c r="M42" s="17">
        <f t="shared" si="1"/>
        <v>-10</v>
      </c>
      <c r="N42" s="17"/>
      <c r="O42" s="17"/>
      <c r="P42" s="17"/>
      <c r="Q42" s="17"/>
      <c r="R42" s="17">
        <f>VLOOKUP(A:A,[1]TDSheet!$A:$O,15,0)</f>
        <v>250</v>
      </c>
      <c r="S42" s="17">
        <f>VLOOKUP(A:A,[1]TDSheet!$A:$O,15,0)</f>
        <v>250</v>
      </c>
      <c r="T42" s="17">
        <f t="shared" si="2"/>
        <v>56.2</v>
      </c>
      <c r="U42" s="18"/>
      <c r="V42" s="33">
        <f>VLOOKUP(A:A,[3]TDSheet!$A:$V,22,0)</f>
        <v>0</v>
      </c>
      <c r="W42" s="34">
        <f>VLOOKUP(A:A,[4]TDSheet!$A:$V,22,0)</f>
        <v>0</v>
      </c>
      <c r="X42" s="17">
        <f t="shared" si="3"/>
        <v>13.825622775800712</v>
      </c>
      <c r="Y42" s="17">
        <f t="shared" si="4"/>
        <v>4.9288256227758005</v>
      </c>
      <c r="Z42" s="17">
        <f>VLOOKUP(A:A,[1]TDSheet!$A:$AB,28,0)</f>
        <v>88.8</v>
      </c>
      <c r="AA42" s="17">
        <f>VLOOKUP(A:A,[1]TDSheet!$A:$AC,29,0)</f>
        <v>73.599999999999994</v>
      </c>
      <c r="AB42" s="17">
        <f>VLOOKUP(A:A,[1]TDSheet!$A:$AD,30,0)</f>
        <v>60.8</v>
      </c>
      <c r="AC42" s="17">
        <f>VLOOKUP(A:A,[1]TDSheet!$A:$T,20,0)</f>
        <v>72.599999999999994</v>
      </c>
      <c r="AD42" s="17" t="str">
        <f>VLOOKUP(A:A,[1]TDSheet!$A:$AE,31,0)</f>
        <v>Мкд Трейд</v>
      </c>
      <c r="AE42" s="17">
        <f t="shared" si="5"/>
        <v>0</v>
      </c>
      <c r="AF42" s="17">
        <f t="shared" si="6"/>
        <v>0</v>
      </c>
    </row>
    <row r="43" spans="1:32" ht="10.9" customHeight="1" x14ac:dyDescent="0.2">
      <c r="A43" s="8" t="s">
        <v>47</v>
      </c>
      <c r="B43" s="8" t="s">
        <v>14</v>
      </c>
      <c r="C43" s="8">
        <f>VLOOKUP(A:A,[1]TDSheet!$A:$C,3,0)</f>
        <v>6453</v>
      </c>
      <c r="D43" s="9">
        <v>44</v>
      </c>
      <c r="E43" s="9">
        <v>225</v>
      </c>
      <c r="F43" s="9">
        <v>160</v>
      </c>
      <c r="G43" s="9">
        <v>108</v>
      </c>
      <c r="H43">
        <f>VLOOKUP(A:A,[1]TDSheet!$A:$H,8,0)</f>
        <v>0.1</v>
      </c>
      <c r="I43">
        <f>VLOOKUP(A:A,[1]TDSheet!$A:$I,9,0)</f>
        <v>60</v>
      </c>
      <c r="J43" t="str">
        <f>VLOOKUP(A:A,[1]TDSheet!$A:$J,10,0)</f>
        <v>в матрице</v>
      </c>
      <c r="L43" s="17">
        <f>VLOOKUP(A:A,[2]TDSheet!$A:$B,2,0)</f>
        <v>175</v>
      </c>
      <c r="M43" s="17">
        <f t="shared" si="1"/>
        <v>-15</v>
      </c>
      <c r="N43" s="17"/>
      <c r="O43" s="17"/>
      <c r="P43" s="17"/>
      <c r="Q43" s="17"/>
      <c r="R43" s="17">
        <f>VLOOKUP(A:A,[1]TDSheet!$A:$O,15,0)</f>
        <v>110</v>
      </c>
      <c r="S43" s="17">
        <f>VLOOKUP(A:A,[1]TDSheet!$A:$O,15,0)</f>
        <v>110</v>
      </c>
      <c r="T43" s="17">
        <f t="shared" si="2"/>
        <v>32</v>
      </c>
      <c r="U43" s="18">
        <v>220</v>
      </c>
      <c r="V43" s="33">
        <f>VLOOKUP(A:A,[3]TDSheet!$A:$V,22,0)</f>
        <v>110</v>
      </c>
      <c r="W43" s="34">
        <f>VLOOKUP(A:A,[4]TDSheet!$A:$V,22,0)</f>
        <v>100</v>
      </c>
      <c r="X43" s="17">
        <f t="shared" si="3"/>
        <v>17.125</v>
      </c>
      <c r="Y43" s="17">
        <f t="shared" si="4"/>
        <v>3.375</v>
      </c>
      <c r="Z43" s="17">
        <f>VLOOKUP(A:A,[1]TDSheet!$A:$AB,28,0)</f>
        <v>45.4</v>
      </c>
      <c r="AA43" s="17">
        <f>VLOOKUP(A:A,[1]TDSheet!$A:$AC,29,0)</f>
        <v>32.799999999999997</v>
      </c>
      <c r="AB43" s="17">
        <f>VLOOKUP(A:A,[1]TDSheet!$A:$AD,30,0)</f>
        <v>31.2</v>
      </c>
      <c r="AC43" s="17">
        <f>VLOOKUP(A:A,[1]TDSheet!$A:$T,20,0)</f>
        <v>33.4</v>
      </c>
      <c r="AD43" s="17" t="str">
        <f>VLOOKUP(A:A,[1]TDSheet!$A:$AE,31,0)</f>
        <v>Мкд Трейд</v>
      </c>
      <c r="AE43" s="17">
        <f t="shared" si="5"/>
        <v>11</v>
      </c>
      <c r="AF43" s="17">
        <f t="shared" si="6"/>
        <v>10</v>
      </c>
    </row>
    <row r="44" spans="1:32" ht="10.9" customHeight="1" x14ac:dyDescent="0.2">
      <c r="A44" s="8" t="s">
        <v>48</v>
      </c>
      <c r="B44" s="8" t="s">
        <v>14</v>
      </c>
      <c r="C44" s="8">
        <f>VLOOKUP(A:A,[1]TDSheet!$A:$C,3,0)</f>
        <v>6454</v>
      </c>
      <c r="D44" s="9">
        <v>138</v>
      </c>
      <c r="E44" s="9">
        <v>244</v>
      </c>
      <c r="F44" s="9">
        <v>189</v>
      </c>
      <c r="G44" s="9">
        <v>189</v>
      </c>
      <c r="H44">
        <f>VLOOKUP(A:A,[1]TDSheet!$A:$H,8,0)</f>
        <v>0.1</v>
      </c>
      <c r="I44">
        <f>VLOOKUP(A:A,[1]TDSheet!$A:$I,9,0)</f>
        <v>60</v>
      </c>
      <c r="J44" t="str">
        <f>VLOOKUP(A:A,[1]TDSheet!$A:$J,10,0)</f>
        <v>в матрице</v>
      </c>
      <c r="L44" s="17">
        <f>VLOOKUP(A:A,[2]TDSheet!$A:$B,2,0)</f>
        <v>191</v>
      </c>
      <c r="M44" s="17">
        <f t="shared" si="1"/>
        <v>-2</v>
      </c>
      <c r="N44" s="17"/>
      <c r="O44" s="17"/>
      <c r="P44" s="17"/>
      <c r="Q44" s="17"/>
      <c r="R44" s="17">
        <f>VLOOKUP(A:A,[1]TDSheet!$A:$O,15,0)</f>
        <v>50</v>
      </c>
      <c r="S44" s="17">
        <f>VLOOKUP(A:A,[1]TDSheet!$A:$O,15,0)</f>
        <v>50</v>
      </c>
      <c r="T44" s="17">
        <f t="shared" si="2"/>
        <v>37.799999999999997</v>
      </c>
      <c r="U44" s="18">
        <v>250</v>
      </c>
      <c r="V44" s="33">
        <f>VLOOKUP(A:A,[3]TDSheet!$A:$V,22,0)</f>
        <v>150</v>
      </c>
      <c r="W44" s="34">
        <f>VLOOKUP(A:A,[4]TDSheet!$A:$V,22,0)</f>
        <v>100</v>
      </c>
      <c r="X44" s="17">
        <f t="shared" si="3"/>
        <v>14.25925925925926</v>
      </c>
      <c r="Y44" s="17">
        <f t="shared" si="4"/>
        <v>5</v>
      </c>
      <c r="Z44" s="17">
        <f>VLOOKUP(A:A,[1]TDSheet!$A:$AB,28,0)</f>
        <v>33.4</v>
      </c>
      <c r="AA44" s="17">
        <f>VLOOKUP(A:A,[1]TDSheet!$A:$AC,29,0)</f>
        <v>33</v>
      </c>
      <c r="AB44" s="17">
        <f>VLOOKUP(A:A,[1]TDSheet!$A:$AD,30,0)</f>
        <v>33.799999999999997</v>
      </c>
      <c r="AC44" s="17">
        <f>VLOOKUP(A:A,[1]TDSheet!$A:$T,20,0)</f>
        <v>30</v>
      </c>
      <c r="AD44" s="17"/>
      <c r="AE44" s="17">
        <f t="shared" si="5"/>
        <v>15</v>
      </c>
      <c r="AF44" s="17">
        <f t="shared" si="6"/>
        <v>10</v>
      </c>
    </row>
    <row r="45" spans="1:32" ht="10.9" customHeight="1" x14ac:dyDescent="0.2">
      <c r="A45" s="8" t="s">
        <v>49</v>
      </c>
      <c r="B45" s="8" t="s">
        <v>14</v>
      </c>
      <c r="C45" s="8">
        <f>VLOOKUP(A:A,[1]TDSheet!$A:$C,3,0)</f>
        <v>6459</v>
      </c>
      <c r="D45" s="9">
        <v>-12</v>
      </c>
      <c r="E45" s="9"/>
      <c r="F45" s="9">
        <v>-2</v>
      </c>
      <c r="G45" s="9">
        <v>-12</v>
      </c>
      <c r="H45">
        <f>VLOOKUP(A:A,[1]TDSheet!$A:$H,8,0)</f>
        <v>0.1</v>
      </c>
      <c r="I45">
        <f>VLOOKUP(A:A,[1]TDSheet!$A:$I,9,0)</f>
        <v>45</v>
      </c>
      <c r="J45" t="str">
        <f>VLOOKUP(A:A,[1]TDSheet!$A:$J,10,0)</f>
        <v>в матрице</v>
      </c>
      <c r="L45" s="17">
        <f>VLOOKUP(A:A,[2]TDSheet!$A:$B,2,0)</f>
        <v>3</v>
      </c>
      <c r="M45" s="17">
        <f t="shared" si="1"/>
        <v>-5</v>
      </c>
      <c r="N45" s="17"/>
      <c r="O45" s="17"/>
      <c r="P45" s="17"/>
      <c r="Q45" s="17"/>
      <c r="R45" s="17">
        <f>VLOOKUP(A:A,[1]TDSheet!$A:$O,15,0)</f>
        <v>60</v>
      </c>
      <c r="S45" s="17">
        <f>VLOOKUP(A:A,[1]TDSheet!$A:$O,15,0)</f>
        <v>60</v>
      </c>
      <c r="T45" s="17">
        <f t="shared" si="2"/>
        <v>-0.4</v>
      </c>
      <c r="U45" s="18"/>
      <c r="V45" s="33">
        <f>VLOOKUP(A:A,[3]TDSheet!$A:$V,22,0)</f>
        <v>0</v>
      </c>
      <c r="W45" s="34">
        <f>VLOOKUP(A:A,[4]TDSheet!$A:$V,22,0)</f>
        <v>0</v>
      </c>
      <c r="X45" s="17">
        <f t="shared" si="3"/>
        <v>-270</v>
      </c>
      <c r="Y45" s="17">
        <f t="shared" si="4"/>
        <v>30</v>
      </c>
      <c r="Z45" s="17">
        <f>VLOOKUP(A:A,[1]TDSheet!$A:$AB,28,0)</f>
        <v>5.8</v>
      </c>
      <c r="AA45" s="17">
        <f>VLOOKUP(A:A,[1]TDSheet!$A:$AC,29,0)</f>
        <v>9.8000000000000007</v>
      </c>
      <c r="AB45" s="17">
        <f>VLOOKUP(A:A,[1]TDSheet!$A:$AD,30,0)</f>
        <v>5.2</v>
      </c>
      <c r="AC45" s="17">
        <f>VLOOKUP(A:A,[1]TDSheet!$A:$T,20,0)</f>
        <v>4.2</v>
      </c>
      <c r="AD45" s="17"/>
      <c r="AE45" s="17">
        <f t="shared" si="5"/>
        <v>0</v>
      </c>
      <c r="AF45" s="17">
        <f t="shared" si="6"/>
        <v>0</v>
      </c>
    </row>
    <row r="46" spans="1:32" ht="10.9" customHeight="1" x14ac:dyDescent="0.2">
      <c r="A46" s="8" t="s">
        <v>50</v>
      </c>
      <c r="B46" s="8" t="s">
        <v>16</v>
      </c>
      <c r="C46" s="8">
        <f>VLOOKUP(A:A,[1]TDSheet!$A:$C,3,0)</f>
        <v>6470</v>
      </c>
      <c r="D46" s="9">
        <v>60.195</v>
      </c>
      <c r="E46" s="9"/>
      <c r="F46" s="9">
        <v>39.765000000000001</v>
      </c>
      <c r="G46" s="9">
        <v>20.43</v>
      </c>
      <c r="H46">
        <f>VLOOKUP(A:A,[1]TDSheet!$A:$H,8,0)</f>
        <v>1</v>
      </c>
      <c r="L46" s="17">
        <f>VLOOKUP(A:A,[2]TDSheet!$A:$B,2,0)</f>
        <v>32.4</v>
      </c>
      <c r="M46" s="17">
        <f t="shared" si="1"/>
        <v>7.365000000000002</v>
      </c>
      <c r="N46" s="17"/>
      <c r="O46" s="17"/>
      <c r="P46" s="17"/>
      <c r="Q46" s="17"/>
      <c r="R46" s="17">
        <f>VLOOKUP(A:A,[1]TDSheet!$A:$O,15,0)</f>
        <v>0</v>
      </c>
      <c r="S46" s="17">
        <f>VLOOKUP(A:A,[1]TDSheet!$A:$O,15,0)</f>
        <v>0</v>
      </c>
      <c r="T46" s="17">
        <f t="shared" si="2"/>
        <v>7.9530000000000003</v>
      </c>
      <c r="U46" s="18">
        <v>100</v>
      </c>
      <c r="V46" s="33">
        <f>VLOOKUP(A:A,[3]TDSheet!$A:$V,22,0)</f>
        <v>45.5</v>
      </c>
      <c r="W46" s="34">
        <f>VLOOKUP(A:A,[4]TDSheet!$A:$V,22,0)</f>
        <v>45.5</v>
      </c>
      <c r="X46" s="17">
        <f t="shared" si="3"/>
        <v>15.142713441468629</v>
      </c>
      <c r="Y46" s="17">
        <f t="shared" si="4"/>
        <v>2.5688419464353074</v>
      </c>
      <c r="Z46" s="17">
        <f>VLOOKUP(A:A,[1]TDSheet!$A:$AB,28,0)</f>
        <v>0</v>
      </c>
      <c r="AA46" s="17">
        <f>VLOOKUP(A:A,[1]TDSheet!$A:$AC,29,0)</f>
        <v>0</v>
      </c>
      <c r="AB46" s="17">
        <f>VLOOKUP(A:A,[1]TDSheet!$A:$AD,30,0)</f>
        <v>0</v>
      </c>
      <c r="AC46" s="17">
        <f>VLOOKUP(A:A,[1]TDSheet!$A:$T,20,0)</f>
        <v>1.4390000000000001</v>
      </c>
      <c r="AD46" s="17"/>
      <c r="AE46" s="17">
        <f t="shared" si="5"/>
        <v>45.5</v>
      </c>
      <c r="AF46" s="17">
        <f t="shared" si="6"/>
        <v>45.5</v>
      </c>
    </row>
    <row r="47" spans="1:32" ht="10.9" customHeight="1" x14ac:dyDescent="0.2">
      <c r="A47" s="8" t="s">
        <v>51</v>
      </c>
      <c r="B47" s="8" t="s">
        <v>14</v>
      </c>
      <c r="C47" s="8">
        <f>VLOOKUP(A:A,[1]TDSheet!$A:$C,3,0)</f>
        <v>6475</v>
      </c>
      <c r="D47" s="9">
        <v>150</v>
      </c>
      <c r="E47" s="9"/>
      <c r="F47" s="9">
        <v>135</v>
      </c>
      <c r="G47" s="9">
        <v>5</v>
      </c>
      <c r="H47">
        <f>VLOOKUP(A:A,[1]TDSheet!$A:$H,8,0)</f>
        <v>0.4</v>
      </c>
      <c r="L47" s="17">
        <f>VLOOKUP(A:A,[2]TDSheet!$A:$B,2,0)</f>
        <v>182</v>
      </c>
      <c r="M47" s="17">
        <f t="shared" si="1"/>
        <v>-47</v>
      </c>
      <c r="N47" s="17"/>
      <c r="O47" s="17"/>
      <c r="P47" s="17"/>
      <c r="Q47" s="17"/>
      <c r="R47" s="17">
        <f>VLOOKUP(A:A,[1]TDSheet!$A:$O,15,0)</f>
        <v>125</v>
      </c>
      <c r="S47" s="17">
        <f>VLOOKUP(A:A,[1]TDSheet!$A:$O,15,0)</f>
        <v>125</v>
      </c>
      <c r="T47" s="17">
        <f t="shared" si="2"/>
        <v>27</v>
      </c>
      <c r="U47" s="18">
        <v>130</v>
      </c>
      <c r="V47" s="33">
        <f>VLOOKUP(A:A,[3]TDSheet!$A:$V,22,0)</f>
        <v>61.5</v>
      </c>
      <c r="W47" s="34">
        <f>VLOOKUP(A:A,[4]TDSheet!$A:$V,22,0)</f>
        <v>61.5</v>
      </c>
      <c r="X47" s="17">
        <f t="shared" si="3"/>
        <v>14.25925925925926</v>
      </c>
      <c r="Y47" s="17">
        <f t="shared" si="4"/>
        <v>0.18518518518518517</v>
      </c>
      <c r="Z47" s="17">
        <f>VLOOKUP(A:A,[1]TDSheet!$A:$AB,28,0)</f>
        <v>19.8</v>
      </c>
      <c r="AA47" s="17">
        <f>VLOOKUP(A:A,[1]TDSheet!$A:$AC,29,0)</f>
        <v>27</v>
      </c>
      <c r="AB47" s="17">
        <f>VLOOKUP(A:A,[1]TDSheet!$A:$AD,30,0)</f>
        <v>19</v>
      </c>
      <c r="AC47" s="17">
        <f>VLOOKUP(A:A,[1]TDSheet!$A:$T,20,0)</f>
        <v>24</v>
      </c>
      <c r="AD47" s="17"/>
      <c r="AE47" s="17">
        <f t="shared" si="5"/>
        <v>24.6</v>
      </c>
      <c r="AF47" s="17">
        <f t="shared" si="6"/>
        <v>24.6</v>
      </c>
    </row>
    <row r="48" spans="1:32" ht="10.9" customHeight="1" x14ac:dyDescent="0.2">
      <c r="A48" s="8" t="s">
        <v>52</v>
      </c>
      <c r="B48" s="8" t="s">
        <v>14</v>
      </c>
      <c r="C48" s="8">
        <f>VLOOKUP(A:A,[1]TDSheet!$A:$C,3,0)</f>
        <v>6495</v>
      </c>
      <c r="D48" s="9">
        <v>194</v>
      </c>
      <c r="E48" s="9">
        <v>3</v>
      </c>
      <c r="F48" s="9">
        <v>188</v>
      </c>
      <c r="G48" s="9">
        <v>4</v>
      </c>
      <c r="H48">
        <f>VLOOKUP(A:A,[1]TDSheet!$A:$H,8,0)</f>
        <v>0.3</v>
      </c>
      <c r="L48" s="17">
        <f>VLOOKUP(A:A,[2]TDSheet!$A:$B,2,0)</f>
        <v>195</v>
      </c>
      <c r="M48" s="17">
        <f t="shared" si="1"/>
        <v>-7</v>
      </c>
      <c r="N48" s="17"/>
      <c r="O48" s="17"/>
      <c r="P48" s="17"/>
      <c r="Q48" s="17"/>
      <c r="R48" s="17">
        <f>VLOOKUP(A:A,[1]TDSheet!$A:$O,15,0)</f>
        <v>0</v>
      </c>
      <c r="S48" s="17">
        <f>VLOOKUP(A:A,[1]TDSheet!$A:$O,15,0)</f>
        <v>0</v>
      </c>
      <c r="T48" s="17">
        <f t="shared" si="2"/>
        <v>37.6</v>
      </c>
      <c r="U48" s="18">
        <v>480</v>
      </c>
      <c r="V48" s="33">
        <f>VLOOKUP(A:A,[3]TDSheet!$A:$V,22,0)</f>
        <v>261</v>
      </c>
      <c r="W48" s="34">
        <f>VLOOKUP(A:A,[4]TDSheet!$A:$V,22,0)</f>
        <v>220</v>
      </c>
      <c r="X48" s="17">
        <f t="shared" si="3"/>
        <v>12.872340425531915</v>
      </c>
      <c r="Y48" s="17">
        <f t="shared" si="4"/>
        <v>0.10638297872340426</v>
      </c>
      <c r="Z48" s="17">
        <f>VLOOKUP(A:A,[1]TDSheet!$A:$AB,28,0)</f>
        <v>0</v>
      </c>
      <c r="AA48" s="17">
        <f>VLOOKUP(A:A,[1]TDSheet!$A:$AC,29,0)</f>
        <v>0</v>
      </c>
      <c r="AB48" s="17">
        <f>VLOOKUP(A:A,[1]TDSheet!$A:$AD,30,0)</f>
        <v>0</v>
      </c>
      <c r="AC48" s="17">
        <f>VLOOKUP(A:A,[1]TDSheet!$A:$T,20,0)</f>
        <v>10.4</v>
      </c>
      <c r="AD48" s="17"/>
      <c r="AE48" s="17">
        <f t="shared" si="5"/>
        <v>78.3</v>
      </c>
      <c r="AF48" s="17">
        <f t="shared" si="6"/>
        <v>66</v>
      </c>
    </row>
    <row r="49" spans="1:32" ht="10.9" customHeight="1" x14ac:dyDescent="0.2">
      <c r="A49" s="8" t="s">
        <v>53</v>
      </c>
      <c r="B49" s="8" t="s">
        <v>16</v>
      </c>
      <c r="C49" s="8">
        <f>VLOOKUP(A:A,[1]TDSheet!$A:$C,3,0)</f>
        <v>6498</v>
      </c>
      <c r="D49" s="9">
        <v>103.15600000000001</v>
      </c>
      <c r="E49" s="9">
        <v>50.14</v>
      </c>
      <c r="F49" s="9">
        <v>102.048</v>
      </c>
      <c r="G49" s="9">
        <v>50.232999999999997</v>
      </c>
      <c r="H49">
        <f>VLOOKUP(A:A,[1]TDSheet!$A:$H,8,0)</f>
        <v>1</v>
      </c>
      <c r="I49">
        <f>VLOOKUP(A:A,[1]TDSheet!$A:$I,9,0)</f>
        <v>60</v>
      </c>
      <c r="J49" t="str">
        <f>VLOOKUP(A:A,[1]TDSheet!$A:$J,10,0)</f>
        <v>в матрице</v>
      </c>
      <c r="L49" s="17">
        <f>VLOOKUP(A:A,[2]TDSheet!$A:$B,2,0)</f>
        <v>103.5</v>
      </c>
      <c r="M49" s="17">
        <f t="shared" si="1"/>
        <v>-1.4519999999999982</v>
      </c>
      <c r="N49" s="17"/>
      <c r="O49" s="17"/>
      <c r="P49" s="17"/>
      <c r="Q49" s="17"/>
      <c r="R49" s="17">
        <f>VLOOKUP(A:A,[1]TDSheet!$A:$O,15,0)</f>
        <v>90</v>
      </c>
      <c r="S49" s="17">
        <f>VLOOKUP(A:A,[1]TDSheet!$A:$O,15,0)</f>
        <v>90</v>
      </c>
      <c r="T49" s="17">
        <f t="shared" si="2"/>
        <v>20.409600000000001</v>
      </c>
      <c r="U49" s="18">
        <v>60</v>
      </c>
      <c r="V49" s="33">
        <f>VLOOKUP(A:A,[3]TDSheet!$A:$V,22,0)</f>
        <v>28</v>
      </c>
      <c r="W49" s="34">
        <f>VLOOKUP(A:A,[4]TDSheet!$A:$V,22,0)</f>
        <v>28</v>
      </c>
      <c r="X49" s="17">
        <f t="shared" si="3"/>
        <v>14.220415882721856</v>
      </c>
      <c r="Y49" s="17">
        <f t="shared" si="4"/>
        <v>2.4612437284415174</v>
      </c>
      <c r="Z49" s="17">
        <f>VLOOKUP(A:A,[1]TDSheet!$A:$AB,28,0)</f>
        <v>22.037800000000001</v>
      </c>
      <c r="AA49" s="17">
        <f>VLOOKUP(A:A,[1]TDSheet!$A:$AC,29,0)</f>
        <v>16.8432</v>
      </c>
      <c r="AB49" s="17">
        <f>VLOOKUP(A:A,[1]TDSheet!$A:$AD,30,0)</f>
        <v>15.980399999999999</v>
      </c>
      <c r="AC49" s="17">
        <f>VLOOKUP(A:A,[1]TDSheet!$A:$T,20,0)</f>
        <v>20.263400000000001</v>
      </c>
      <c r="AD49" s="17" t="str">
        <f>VLOOKUP(A:A,[1]TDSheet!$A:$AE,31,0)</f>
        <v>увел продажи</v>
      </c>
      <c r="AE49" s="17">
        <f t="shared" si="5"/>
        <v>28</v>
      </c>
      <c r="AF49" s="17">
        <f t="shared" si="6"/>
        <v>28</v>
      </c>
    </row>
    <row r="50" spans="1:32" ht="10.9" customHeight="1" x14ac:dyDescent="0.2">
      <c r="A50" s="8" t="s">
        <v>54</v>
      </c>
      <c r="B50" s="8" t="s">
        <v>16</v>
      </c>
      <c r="C50" s="8">
        <f>VLOOKUP(A:A,[1]TDSheet!$A:$C,3,0)</f>
        <v>6527</v>
      </c>
      <c r="D50" s="9">
        <v>78.64</v>
      </c>
      <c r="E50" s="9">
        <v>127.247</v>
      </c>
      <c r="F50" s="9">
        <v>56.491999999999997</v>
      </c>
      <c r="G50" s="9">
        <v>144.09100000000001</v>
      </c>
      <c r="H50">
        <f>VLOOKUP(A:A,[1]TDSheet!$A:$H,8,0)</f>
        <v>1</v>
      </c>
      <c r="I50">
        <f>VLOOKUP(A:A,[1]TDSheet!$A:$I,9,0)</f>
        <v>45</v>
      </c>
      <c r="J50" t="str">
        <f>VLOOKUP(A:A,[1]TDSheet!$A:$J,10,0)</f>
        <v>в матрице</v>
      </c>
      <c r="L50" s="17">
        <f>VLOOKUP(A:A,[2]TDSheet!$A:$B,2,0)</f>
        <v>60</v>
      </c>
      <c r="M50" s="17">
        <f t="shared" si="1"/>
        <v>-3.5080000000000027</v>
      </c>
      <c r="N50" s="17"/>
      <c r="O50" s="17"/>
      <c r="P50" s="17"/>
      <c r="Q50" s="17"/>
      <c r="R50" s="17">
        <f>VLOOKUP(A:A,[1]TDSheet!$A:$O,15,0)</f>
        <v>0</v>
      </c>
      <c r="S50" s="17">
        <f>VLOOKUP(A:A,[1]TDSheet!$A:$O,15,0)</f>
        <v>0</v>
      </c>
      <c r="T50" s="17">
        <f t="shared" si="2"/>
        <v>11.298399999999999</v>
      </c>
      <c r="U50" s="18">
        <v>15</v>
      </c>
      <c r="V50" s="33">
        <f>VLOOKUP(A:A,[3]TDSheet!$A:$V,22,0)</f>
        <v>7</v>
      </c>
      <c r="W50" s="34">
        <f>VLOOKUP(A:A,[4]TDSheet!$A:$V,22,0)</f>
        <v>7</v>
      </c>
      <c r="X50" s="17">
        <f t="shared" si="3"/>
        <v>14.080843305246763</v>
      </c>
      <c r="Y50" s="17">
        <f t="shared" si="4"/>
        <v>12.753221695107273</v>
      </c>
      <c r="Z50" s="17">
        <f>VLOOKUP(A:A,[1]TDSheet!$A:$AB,28,0)</f>
        <v>7.4770000000000003</v>
      </c>
      <c r="AA50" s="17">
        <f>VLOOKUP(A:A,[1]TDSheet!$A:$AC,29,0)</f>
        <v>12.334199999999999</v>
      </c>
      <c r="AB50" s="17">
        <f>VLOOKUP(A:A,[1]TDSheet!$A:$AD,30,0)</f>
        <v>13.087199999999999</v>
      </c>
      <c r="AC50" s="17">
        <f>VLOOKUP(A:A,[1]TDSheet!$A:$T,20,0)</f>
        <v>4.6558000000000002</v>
      </c>
      <c r="AD50" s="17"/>
      <c r="AE50" s="17">
        <f t="shared" si="5"/>
        <v>7</v>
      </c>
      <c r="AF50" s="17">
        <f t="shared" si="6"/>
        <v>7</v>
      </c>
    </row>
    <row r="51" spans="1:32" ht="10.9" customHeight="1" x14ac:dyDescent="0.2">
      <c r="A51" s="8" t="s">
        <v>55</v>
      </c>
      <c r="B51" s="8" t="s">
        <v>16</v>
      </c>
      <c r="C51" s="8">
        <f>VLOOKUP(A:A,[1]TDSheet!$A:$C,3,0)</f>
        <v>6550</v>
      </c>
      <c r="D51" s="9">
        <v>80.477999999999994</v>
      </c>
      <c r="E51" s="9">
        <v>1.05</v>
      </c>
      <c r="F51" s="9">
        <v>72.936999999999998</v>
      </c>
      <c r="G51" s="9">
        <v>4.0350000000000001</v>
      </c>
      <c r="H51">
        <f>VLOOKUP(A:A,[1]TDSheet!$A:$H,8,0)</f>
        <v>1</v>
      </c>
      <c r="I51">
        <f>VLOOKUP(A:A,[1]TDSheet!$A:$I,9,0)</f>
        <v>45</v>
      </c>
      <c r="J51" t="str">
        <f>VLOOKUP(A:A,[1]TDSheet!$A:$J,10,0)</f>
        <v>в матрице</v>
      </c>
      <c r="L51" s="17">
        <f>VLOOKUP(A:A,[2]TDSheet!$A:$B,2,0)</f>
        <v>73.099999999999994</v>
      </c>
      <c r="M51" s="17">
        <f t="shared" si="1"/>
        <v>-0.1629999999999967</v>
      </c>
      <c r="N51" s="17"/>
      <c r="O51" s="17"/>
      <c r="P51" s="17"/>
      <c r="Q51" s="17"/>
      <c r="R51" s="17">
        <f>VLOOKUP(A:A,[1]TDSheet!$A:$O,15,0)</f>
        <v>60</v>
      </c>
      <c r="S51" s="17">
        <f>VLOOKUP(A:A,[1]TDSheet!$A:$O,15,0)</f>
        <v>60</v>
      </c>
      <c r="T51" s="17">
        <f t="shared" si="2"/>
        <v>14.587399999999999</v>
      </c>
      <c r="U51" s="18">
        <v>80</v>
      </c>
      <c r="V51" s="33">
        <f>VLOOKUP(A:A,[3]TDSheet!$A:$V,22,0)</f>
        <v>40</v>
      </c>
      <c r="W51" s="34">
        <f>VLOOKUP(A:A,[4]TDSheet!$A:$V,22,0)</f>
        <v>40</v>
      </c>
      <c r="X51" s="17">
        <f t="shared" si="3"/>
        <v>13.987071033905975</v>
      </c>
      <c r="Y51" s="17">
        <f t="shared" si="4"/>
        <v>0.27660858000740368</v>
      </c>
      <c r="Z51" s="17">
        <f>VLOOKUP(A:A,[1]TDSheet!$A:$AB,28,0)</f>
        <v>11.1358</v>
      </c>
      <c r="AA51" s="17">
        <f>VLOOKUP(A:A,[1]TDSheet!$A:$AC,29,0)</f>
        <v>9.2463999999999995</v>
      </c>
      <c r="AB51" s="17">
        <f>VLOOKUP(A:A,[1]TDSheet!$A:$AD,30,0)</f>
        <v>7.1630000000000003</v>
      </c>
      <c r="AC51" s="17">
        <f>VLOOKUP(A:A,[1]TDSheet!$A:$T,20,0)</f>
        <v>10.8218</v>
      </c>
      <c r="AD51" s="17"/>
      <c r="AE51" s="17">
        <f t="shared" si="5"/>
        <v>40</v>
      </c>
      <c r="AF51" s="17">
        <f t="shared" si="6"/>
        <v>40</v>
      </c>
    </row>
    <row r="52" spans="1:32" ht="10.9" customHeight="1" x14ac:dyDescent="0.2">
      <c r="A52" s="8" t="s">
        <v>56</v>
      </c>
      <c r="B52" s="8" t="s">
        <v>14</v>
      </c>
      <c r="C52" s="8">
        <f>VLOOKUP(A:A,[1]TDSheet!$A:$C,3,0)</f>
        <v>6602</v>
      </c>
      <c r="D52" s="9">
        <v>7</v>
      </c>
      <c r="E52" s="9"/>
      <c r="F52" s="9">
        <v>-1</v>
      </c>
      <c r="G52" s="9">
        <v>7</v>
      </c>
      <c r="H52">
        <f>VLOOKUP(A:A,[1]TDSheet!$A:$H,8,0)</f>
        <v>0.35</v>
      </c>
      <c r="I52">
        <f>VLOOKUP(A:A,[1]TDSheet!$A:$I,9,0)</f>
        <v>45</v>
      </c>
      <c r="J52" t="str">
        <f>VLOOKUP(A:A,[1]TDSheet!$A:$J,10,0)</f>
        <v>в матрице</v>
      </c>
      <c r="L52" s="17">
        <f>VLOOKUP(A:A,[2]TDSheet!$A:$B,2,0)</f>
        <v>5</v>
      </c>
      <c r="M52" s="17">
        <f t="shared" si="1"/>
        <v>-6</v>
      </c>
      <c r="N52" s="17"/>
      <c r="O52" s="17"/>
      <c r="P52" s="17"/>
      <c r="Q52" s="17"/>
      <c r="R52" s="17">
        <f>VLOOKUP(A:A,[1]TDSheet!$A:$O,15,0)</f>
        <v>0</v>
      </c>
      <c r="S52" s="17">
        <f>VLOOKUP(A:A,[1]TDSheet!$A:$O,15,0)</f>
        <v>0</v>
      </c>
      <c r="T52" s="17">
        <f t="shared" si="2"/>
        <v>-0.2</v>
      </c>
      <c r="U52" s="18"/>
      <c r="V52" s="33">
        <f>VLOOKUP(A:A,[3]TDSheet!$A:$V,22,0)</f>
        <v>0</v>
      </c>
      <c r="W52" s="34">
        <f>VLOOKUP(A:A,[4]TDSheet!$A:$V,22,0)</f>
        <v>0</v>
      </c>
      <c r="X52" s="17">
        <f t="shared" si="3"/>
        <v>-35</v>
      </c>
      <c r="Y52" s="17">
        <f t="shared" si="4"/>
        <v>-35</v>
      </c>
      <c r="Z52" s="17">
        <f>VLOOKUP(A:A,[1]TDSheet!$A:$AB,28,0)</f>
        <v>0</v>
      </c>
      <c r="AA52" s="17">
        <f>VLOOKUP(A:A,[1]TDSheet!$A:$AC,29,0)</f>
        <v>0</v>
      </c>
      <c r="AB52" s="17">
        <f>VLOOKUP(A:A,[1]TDSheet!$A:$AD,30,0)</f>
        <v>0.6</v>
      </c>
      <c r="AC52" s="17">
        <f>VLOOKUP(A:A,[1]TDSheet!$A:$T,20,0)</f>
        <v>0</v>
      </c>
      <c r="AD52" s="17" t="str">
        <f>VLOOKUP(A:A,[1]TDSheet!$A:$AE,31,0)</f>
        <v>нужно увеличить продажи!!! / 04,11,25 списание 266шт (сроки) / Мкд Трейд / 05,11,25 инфа от ТК (данную позицию продадим.)</v>
      </c>
      <c r="AE52" s="17">
        <f t="shared" si="5"/>
        <v>0</v>
      </c>
      <c r="AF52" s="17">
        <f t="shared" si="6"/>
        <v>0</v>
      </c>
    </row>
    <row r="53" spans="1:32" ht="10.9" customHeight="1" x14ac:dyDescent="0.2">
      <c r="A53" s="8" t="s">
        <v>57</v>
      </c>
      <c r="B53" s="8" t="s">
        <v>16</v>
      </c>
      <c r="C53" s="8">
        <f>VLOOKUP(A:A,[1]TDSheet!$A:$C,3,0)</f>
        <v>6608</v>
      </c>
      <c r="D53" s="9">
        <v>68.971999999999994</v>
      </c>
      <c r="E53" s="9">
        <v>19.626999999999999</v>
      </c>
      <c r="F53" s="9">
        <v>64.477000000000004</v>
      </c>
      <c r="G53" s="9">
        <v>20.456</v>
      </c>
      <c r="H53">
        <f>VLOOKUP(A:A,[1]TDSheet!$A:$H,8,0)</f>
        <v>1</v>
      </c>
      <c r="I53">
        <f>VLOOKUP(A:A,[1]TDSheet!$A:$I,9,0)</f>
        <v>45</v>
      </c>
      <c r="J53" t="str">
        <f>VLOOKUP(A:A,[1]TDSheet!$A:$J,10,0)</f>
        <v>в матрице</v>
      </c>
      <c r="L53" s="17">
        <f>VLOOKUP(A:A,[2]TDSheet!$A:$B,2,0)</f>
        <v>65</v>
      </c>
      <c r="M53" s="17">
        <f t="shared" si="1"/>
        <v>-0.52299999999999613</v>
      </c>
      <c r="N53" s="17"/>
      <c r="O53" s="17"/>
      <c r="P53" s="17"/>
      <c r="Q53" s="17"/>
      <c r="R53" s="17">
        <f>VLOOKUP(A:A,[1]TDSheet!$A:$O,15,0)</f>
        <v>40</v>
      </c>
      <c r="S53" s="17">
        <f>VLOOKUP(A:A,[1]TDSheet!$A:$O,15,0)</f>
        <v>40</v>
      </c>
      <c r="T53" s="17">
        <f t="shared" si="2"/>
        <v>12.8954</v>
      </c>
      <c r="U53" s="18">
        <v>80</v>
      </c>
      <c r="V53" s="33">
        <f>VLOOKUP(A:A,[3]TDSheet!$A:$V,22,0)</f>
        <v>40</v>
      </c>
      <c r="W53" s="34">
        <f>VLOOKUP(A:A,[4]TDSheet!$A:$V,22,0)</f>
        <v>40</v>
      </c>
      <c r="X53" s="17">
        <f t="shared" si="3"/>
        <v>13.993827256230905</v>
      </c>
      <c r="Y53" s="17">
        <f t="shared" si="4"/>
        <v>1.5863020922189306</v>
      </c>
      <c r="Z53" s="17">
        <f>VLOOKUP(A:A,[1]TDSheet!$A:$AB,28,0)</f>
        <v>6.4436</v>
      </c>
      <c r="AA53" s="17">
        <f>VLOOKUP(A:A,[1]TDSheet!$A:$AC,29,0)</f>
        <v>11.228199999999999</v>
      </c>
      <c r="AB53" s="17">
        <f>VLOOKUP(A:A,[1]TDSheet!$A:$AD,30,0)</f>
        <v>8.6042000000000005</v>
      </c>
      <c r="AC53" s="17">
        <f>VLOOKUP(A:A,[1]TDSheet!$A:$T,20,0)</f>
        <v>8.7932000000000006</v>
      </c>
      <c r="AD53" s="17" t="str">
        <f>VLOOKUP(A:A,[1]TDSheet!$A:$AE,31,0)</f>
        <v>Мкд Трейд</v>
      </c>
      <c r="AE53" s="17">
        <f t="shared" si="5"/>
        <v>40</v>
      </c>
      <c r="AF53" s="17">
        <f t="shared" si="6"/>
        <v>40</v>
      </c>
    </row>
    <row r="54" spans="1:32" ht="10.9" customHeight="1" x14ac:dyDescent="0.2">
      <c r="A54" s="8" t="s">
        <v>58</v>
      </c>
      <c r="B54" s="8" t="s">
        <v>14</v>
      </c>
      <c r="C54" s="8">
        <f>VLOOKUP(A:A,[1]TDSheet!$A:$C,3,0)</f>
        <v>6616</v>
      </c>
      <c r="D54" s="9">
        <v>162</v>
      </c>
      <c r="E54" s="9">
        <v>599</v>
      </c>
      <c r="F54" s="9">
        <v>342</v>
      </c>
      <c r="G54" s="9">
        <v>409</v>
      </c>
      <c r="H54">
        <f>VLOOKUP(A:A,[1]TDSheet!$A:$H,8,0)</f>
        <v>0.3</v>
      </c>
      <c r="I54">
        <f>VLOOKUP(A:A,[1]TDSheet!$A:$I,9,0)</f>
        <v>45</v>
      </c>
      <c r="J54" t="str">
        <f>VLOOKUP(A:A,[1]TDSheet!$A:$J,10,0)</f>
        <v>в матрице</v>
      </c>
      <c r="L54" s="17">
        <f>VLOOKUP(A:A,[2]TDSheet!$A:$B,2,0)</f>
        <v>353</v>
      </c>
      <c r="M54" s="17">
        <f t="shared" si="1"/>
        <v>-11</v>
      </c>
      <c r="N54" s="17"/>
      <c r="O54" s="17"/>
      <c r="P54" s="17"/>
      <c r="Q54" s="17"/>
      <c r="R54" s="17">
        <f>VLOOKUP(A:A,[1]TDSheet!$A:$O,15,0)</f>
        <v>150</v>
      </c>
      <c r="S54" s="17">
        <f>VLOOKUP(A:A,[1]TDSheet!$A:$O,15,0)</f>
        <v>150</v>
      </c>
      <c r="T54" s="17">
        <f t="shared" si="2"/>
        <v>68.400000000000006</v>
      </c>
      <c r="U54" s="18">
        <v>330</v>
      </c>
      <c r="V54" s="33">
        <f>VLOOKUP(A:A,[3]TDSheet!$A:$V,22,0)</f>
        <v>175</v>
      </c>
      <c r="W54" s="34">
        <f>VLOOKUP(A:A,[4]TDSheet!$A:$V,22,0)</f>
        <v>150</v>
      </c>
      <c r="X54" s="17">
        <f t="shared" si="3"/>
        <v>15.190058479532162</v>
      </c>
      <c r="Y54" s="17">
        <f t="shared" si="4"/>
        <v>5.9795321637426895</v>
      </c>
      <c r="Z54" s="17">
        <f>VLOOKUP(A:A,[1]TDSheet!$A:$AB,28,0)</f>
        <v>64.2</v>
      </c>
      <c r="AA54" s="17">
        <f>VLOOKUP(A:A,[1]TDSheet!$A:$AC,29,0)</f>
        <v>63.6</v>
      </c>
      <c r="AB54" s="17">
        <f>VLOOKUP(A:A,[1]TDSheet!$A:$AD,30,0)</f>
        <v>74.400000000000006</v>
      </c>
      <c r="AC54" s="17">
        <f>VLOOKUP(A:A,[1]TDSheet!$A:$T,20,0)</f>
        <v>71.2</v>
      </c>
      <c r="AD54" s="17"/>
      <c r="AE54" s="17">
        <f t="shared" si="5"/>
        <v>52.5</v>
      </c>
      <c r="AF54" s="17">
        <f t="shared" si="6"/>
        <v>45</v>
      </c>
    </row>
    <row r="55" spans="1:32" ht="10.9" customHeight="1" x14ac:dyDescent="0.2">
      <c r="A55" s="21" t="s">
        <v>59</v>
      </c>
      <c r="B55" s="8" t="s">
        <v>16</v>
      </c>
      <c r="C55" s="8">
        <f>VLOOKUP(A:A,[1]TDSheet!$A:$C,3,0)</f>
        <v>6661</v>
      </c>
      <c r="D55" s="9">
        <v>-5.7000000000000002E-2</v>
      </c>
      <c r="E55" s="9">
        <v>37.109000000000002</v>
      </c>
      <c r="F55" s="9">
        <v>9.2639999999999993</v>
      </c>
      <c r="G55" s="9">
        <v>27.788</v>
      </c>
      <c r="H55">
        <f>VLOOKUP(A:A,[1]TDSheet!$A:$H,8,0)</f>
        <v>1</v>
      </c>
      <c r="I55">
        <f>VLOOKUP(A:A,[1]TDSheet!$A:$I,9,0)</f>
        <v>45</v>
      </c>
      <c r="J55" t="str">
        <f>VLOOKUP(A:A,[1]TDSheet!$A:$J,10,0)</f>
        <v>в матрице</v>
      </c>
      <c r="L55" s="17">
        <f>VLOOKUP(A:A,[2]TDSheet!$A:$B,2,0)</f>
        <v>9.1</v>
      </c>
      <c r="M55" s="17">
        <f t="shared" si="1"/>
        <v>0.1639999999999997</v>
      </c>
      <c r="N55" s="17"/>
      <c r="O55" s="17"/>
      <c r="P55" s="17"/>
      <c r="Q55" s="17"/>
      <c r="R55" s="17">
        <f>VLOOKUP(A:A,[1]TDSheet!$A:$O,15,0)</f>
        <v>40</v>
      </c>
      <c r="S55" s="17">
        <f>VLOOKUP(A:A,[1]TDSheet!$A:$O,15,0)</f>
        <v>40</v>
      </c>
      <c r="T55" s="17">
        <f t="shared" si="2"/>
        <v>1.8527999999999998</v>
      </c>
      <c r="U55" s="18"/>
      <c r="V55" s="33">
        <f>VLOOKUP(A:A,[3]TDSheet!$A:$V,22,0)</f>
        <v>0</v>
      </c>
      <c r="W55" s="34">
        <f>VLOOKUP(A:A,[4]TDSheet!$A:$V,22,0)</f>
        <v>0</v>
      </c>
      <c r="X55" s="17">
        <f t="shared" si="3"/>
        <v>58.175734024179626</v>
      </c>
      <c r="Y55" s="17">
        <f t="shared" si="4"/>
        <v>14.997841105354061</v>
      </c>
      <c r="Z55" s="17">
        <f>VLOOKUP(A:A,[1]TDSheet!$A:$AB,28,0)</f>
        <v>1.7096</v>
      </c>
      <c r="AA55" s="17">
        <f>VLOOKUP(A:A,[1]TDSheet!$A:$AC,29,0)</f>
        <v>1.5278</v>
      </c>
      <c r="AB55" s="17">
        <f>VLOOKUP(A:A,[1]TDSheet!$A:$AD,30,0)</f>
        <v>3.7909999999999999</v>
      </c>
      <c r="AC55" s="17">
        <f>VLOOKUP(A:A,[1]TDSheet!$A:$T,20,0)</f>
        <v>4.0805999999999996</v>
      </c>
      <c r="AD55" s="17"/>
      <c r="AE55" s="17">
        <f t="shared" si="5"/>
        <v>0</v>
      </c>
      <c r="AF55" s="17">
        <f t="shared" si="6"/>
        <v>0</v>
      </c>
    </row>
    <row r="56" spans="1:32" ht="10.9" customHeight="1" x14ac:dyDescent="0.2">
      <c r="A56" s="8" t="s">
        <v>60</v>
      </c>
      <c r="B56" s="8" t="s">
        <v>14</v>
      </c>
      <c r="C56" s="8">
        <f>VLOOKUP(A:A,[1]TDSheet!$A:$C,3,0)</f>
        <v>6697</v>
      </c>
      <c r="D56" s="9">
        <v>171</v>
      </c>
      <c r="E56" s="9">
        <v>1104</v>
      </c>
      <c r="F56" s="9">
        <v>527</v>
      </c>
      <c r="G56" s="9">
        <v>741</v>
      </c>
      <c r="H56">
        <f>VLOOKUP(A:A,[1]TDSheet!$A:$H,8,0)</f>
        <v>0.35</v>
      </c>
      <c r="I56">
        <f>VLOOKUP(A:A,[1]TDSheet!$A:$I,9,0)</f>
        <v>45</v>
      </c>
      <c r="J56" t="str">
        <f>VLOOKUP(A:A,[1]TDSheet!$A:$J,10,0)</f>
        <v>в матрице</v>
      </c>
      <c r="L56" s="17">
        <f>VLOOKUP(A:A,[2]TDSheet!$A:$B,2,0)</f>
        <v>583</v>
      </c>
      <c r="M56" s="17">
        <f t="shared" si="1"/>
        <v>-56</v>
      </c>
      <c r="N56" s="17"/>
      <c r="O56" s="17"/>
      <c r="P56" s="17"/>
      <c r="Q56" s="17"/>
      <c r="R56" s="17">
        <f>VLOOKUP(A:A,[1]TDSheet!$A:$O,15,0)</f>
        <v>125</v>
      </c>
      <c r="S56" s="17">
        <f>VLOOKUP(A:A,[1]TDSheet!$A:$O,15,0)</f>
        <v>125</v>
      </c>
      <c r="T56" s="17">
        <f t="shared" si="2"/>
        <v>105.4</v>
      </c>
      <c r="U56" s="18">
        <v>550</v>
      </c>
      <c r="V56" s="33">
        <f>VLOOKUP(A:A,[3]TDSheet!$A:$V,22,0)</f>
        <v>300</v>
      </c>
      <c r="W56" s="34">
        <f>VLOOKUP(A:A,[4]TDSheet!$A:$V,22,0)</f>
        <v>250</v>
      </c>
      <c r="X56" s="17">
        <f t="shared" si="3"/>
        <v>14.620493358633775</v>
      </c>
      <c r="Y56" s="17">
        <f t="shared" si="4"/>
        <v>7.0303605313092978</v>
      </c>
      <c r="Z56" s="17">
        <f>VLOOKUP(A:A,[1]TDSheet!$A:$AB,28,0)</f>
        <v>113.4</v>
      </c>
      <c r="AA56" s="17">
        <f>VLOOKUP(A:A,[1]TDSheet!$A:$AC,29,0)</f>
        <v>93.8</v>
      </c>
      <c r="AB56" s="17">
        <f>VLOOKUP(A:A,[1]TDSheet!$A:$AD,30,0)</f>
        <v>115.8</v>
      </c>
      <c r="AC56" s="17">
        <f>VLOOKUP(A:A,[1]TDSheet!$A:$T,20,0)</f>
        <v>105</v>
      </c>
      <c r="AD56" s="17" t="str">
        <f>VLOOKUP(A:A,[1]TDSheet!$A:$AE,31,0)</f>
        <v>Мкд Трейд / Обжора</v>
      </c>
      <c r="AE56" s="17">
        <f t="shared" si="5"/>
        <v>105</v>
      </c>
      <c r="AF56" s="17">
        <f t="shared" si="6"/>
        <v>87.5</v>
      </c>
    </row>
    <row r="57" spans="1:32" ht="10.9" customHeight="1" x14ac:dyDescent="0.2">
      <c r="A57" s="8" t="s">
        <v>61</v>
      </c>
      <c r="B57" s="8" t="s">
        <v>14</v>
      </c>
      <c r="C57" s="8">
        <f>VLOOKUP(A:A,[1]TDSheet!$A:$C,3,0)</f>
        <v>6713</v>
      </c>
      <c r="D57" s="9">
        <v>335</v>
      </c>
      <c r="E57" s="9">
        <v>339</v>
      </c>
      <c r="F57" s="9">
        <v>366</v>
      </c>
      <c r="G57" s="9">
        <v>284</v>
      </c>
      <c r="H57">
        <f>VLOOKUP(A:A,[1]TDSheet!$A:$H,8,0)</f>
        <v>0.41</v>
      </c>
      <c r="I57">
        <f>VLOOKUP(A:A,[1]TDSheet!$A:$I,9,0)</f>
        <v>45</v>
      </c>
      <c r="J57" t="str">
        <f>VLOOKUP(A:A,[1]TDSheet!$A:$J,10,0)</f>
        <v>в матрице</v>
      </c>
      <c r="L57" s="17">
        <f>VLOOKUP(A:A,[2]TDSheet!$A:$B,2,0)</f>
        <v>388</v>
      </c>
      <c r="M57" s="17">
        <f t="shared" si="1"/>
        <v>-22</v>
      </c>
      <c r="N57" s="17"/>
      <c r="O57" s="17"/>
      <c r="P57" s="17"/>
      <c r="Q57" s="17"/>
      <c r="R57" s="17">
        <f>VLOOKUP(A:A,[1]TDSheet!$A:$O,15,0)</f>
        <v>0</v>
      </c>
      <c r="S57" s="17">
        <f>VLOOKUP(A:A,[1]TDSheet!$A:$O,15,0)</f>
        <v>0</v>
      </c>
      <c r="T57" s="17">
        <f t="shared" si="2"/>
        <v>73.2</v>
      </c>
      <c r="U57" s="18">
        <v>830</v>
      </c>
      <c r="V57" s="33">
        <f>VLOOKUP(A:A,[3]TDSheet!$A:$V,22,0)</f>
        <v>425</v>
      </c>
      <c r="W57" s="34">
        <f>VLOOKUP(A:A,[4]TDSheet!$A:$V,22,0)</f>
        <v>400</v>
      </c>
      <c r="X57" s="17">
        <f t="shared" si="3"/>
        <v>15.218579234972678</v>
      </c>
      <c r="Y57" s="17">
        <f t="shared" si="4"/>
        <v>3.8797814207650272</v>
      </c>
      <c r="Z57" s="17">
        <f>VLOOKUP(A:A,[1]TDSheet!$A:$AB,28,0)</f>
        <v>39.4</v>
      </c>
      <c r="AA57" s="17">
        <f>VLOOKUP(A:A,[1]TDSheet!$A:$AC,29,0)</f>
        <v>60.2</v>
      </c>
      <c r="AB57" s="17">
        <f>VLOOKUP(A:A,[1]TDSheet!$A:$AD,30,0)</f>
        <v>61.8</v>
      </c>
      <c r="AC57" s="17">
        <f>VLOOKUP(A:A,[1]TDSheet!$A:$T,20,0)</f>
        <v>41.4</v>
      </c>
      <c r="AD57" s="17"/>
      <c r="AE57" s="17">
        <f t="shared" si="5"/>
        <v>174.25</v>
      </c>
      <c r="AF57" s="17">
        <f t="shared" si="6"/>
        <v>164</v>
      </c>
    </row>
    <row r="58" spans="1:32" ht="10.9" customHeight="1" x14ac:dyDescent="0.2">
      <c r="A58" s="8" t="s">
        <v>62</v>
      </c>
      <c r="B58" s="8" t="s">
        <v>14</v>
      </c>
      <c r="C58" s="8">
        <f>VLOOKUP(A:A,[1]TDSheet!$A:$C,3,0)</f>
        <v>6724</v>
      </c>
      <c r="D58" s="9">
        <v>267</v>
      </c>
      <c r="E58" s="9">
        <v>1</v>
      </c>
      <c r="F58" s="9">
        <v>114</v>
      </c>
      <c r="G58" s="9">
        <v>154</v>
      </c>
      <c r="H58">
        <f>VLOOKUP(A:A,[1]TDSheet!$A:$H,8,0)</f>
        <v>0.41</v>
      </c>
      <c r="I58">
        <f>VLOOKUP(A:A,[1]TDSheet!$A:$I,9,0)</f>
        <v>45</v>
      </c>
      <c r="J58" t="str">
        <f>VLOOKUP(A:A,[1]TDSheet!$A:$J,10,0)</f>
        <v>в матрице</v>
      </c>
      <c r="L58" s="17">
        <f>VLOOKUP(A:A,[2]TDSheet!$A:$B,2,0)</f>
        <v>114</v>
      </c>
      <c r="M58" s="17">
        <f t="shared" si="1"/>
        <v>0</v>
      </c>
      <c r="N58" s="17"/>
      <c r="O58" s="17"/>
      <c r="P58" s="17"/>
      <c r="Q58" s="17"/>
      <c r="R58" s="17">
        <f>VLOOKUP(A:A,[1]TDSheet!$A:$O,15,0)</f>
        <v>125</v>
      </c>
      <c r="S58" s="17">
        <f>VLOOKUP(A:A,[1]TDSheet!$A:$O,15,0)</f>
        <v>125</v>
      </c>
      <c r="T58" s="17">
        <f t="shared" si="2"/>
        <v>22.8</v>
      </c>
      <c r="U58" s="18"/>
      <c r="V58" s="33">
        <f>VLOOKUP(A:A,[3]TDSheet!$A:$V,22,0)</f>
        <v>0</v>
      </c>
      <c r="W58" s="34">
        <f>VLOOKUP(A:A,[4]TDSheet!$A:$V,22,0)</f>
        <v>0</v>
      </c>
      <c r="X58" s="17">
        <f t="shared" si="3"/>
        <v>17.719298245614034</v>
      </c>
      <c r="Y58" s="17">
        <f t="shared" si="4"/>
        <v>6.7543859649122808</v>
      </c>
      <c r="Z58" s="17">
        <f>VLOOKUP(A:A,[1]TDSheet!$A:$AB,28,0)</f>
        <v>40.799999999999997</v>
      </c>
      <c r="AA58" s="17">
        <f>VLOOKUP(A:A,[1]TDSheet!$A:$AC,29,0)</f>
        <v>27.8</v>
      </c>
      <c r="AB58" s="17">
        <f>VLOOKUP(A:A,[1]TDSheet!$A:$AD,30,0)</f>
        <v>24</v>
      </c>
      <c r="AC58" s="17">
        <f>VLOOKUP(A:A,[1]TDSheet!$A:$T,20,0)</f>
        <v>28.6</v>
      </c>
      <c r="AD58" s="17"/>
      <c r="AE58" s="17">
        <f t="shared" si="5"/>
        <v>0</v>
      </c>
      <c r="AF58" s="17">
        <f t="shared" si="6"/>
        <v>0</v>
      </c>
    </row>
    <row r="59" spans="1:32" ht="10.9" customHeight="1" x14ac:dyDescent="0.2">
      <c r="A59" s="8" t="s">
        <v>63</v>
      </c>
      <c r="B59" s="8" t="s">
        <v>16</v>
      </c>
      <c r="C59" s="8">
        <f>VLOOKUP(A:A,[1]TDSheet!$A:$C,3,0)</f>
        <v>6761</v>
      </c>
      <c r="D59" s="9">
        <v>16.449000000000002</v>
      </c>
      <c r="E59" s="9"/>
      <c r="F59" s="9">
        <v>0</v>
      </c>
      <c r="G59" s="9">
        <v>16.449000000000002</v>
      </c>
      <c r="H59">
        <f>VLOOKUP(A:A,[1]TDSheet!$A:$H,8,0)</f>
        <v>1</v>
      </c>
      <c r="I59">
        <f>VLOOKUP(A:A,[1]TDSheet!$A:$I,9,0)</f>
        <v>30</v>
      </c>
      <c r="J59" t="str">
        <f>VLOOKUP(A:A,[1]TDSheet!$A:$J,10,0)</f>
        <v>не в матрице</v>
      </c>
      <c r="L59" s="17">
        <v>0</v>
      </c>
      <c r="M59" s="17">
        <f t="shared" si="1"/>
        <v>0</v>
      </c>
      <c r="N59" s="17"/>
      <c r="O59" s="17"/>
      <c r="P59" s="17"/>
      <c r="Q59" s="17"/>
      <c r="R59" s="17">
        <f>VLOOKUP(A:A,[1]TDSheet!$A:$O,15,0)</f>
        <v>0</v>
      </c>
      <c r="S59" s="17">
        <f>VLOOKUP(A:A,[1]TDSheet!$A:$O,15,0)</f>
        <v>0</v>
      </c>
      <c r="T59" s="17">
        <f t="shared" si="2"/>
        <v>0</v>
      </c>
      <c r="U59" s="18"/>
      <c r="V59" s="33">
        <f>VLOOKUP(A:A,[3]TDSheet!$A:$V,22,0)</f>
        <v>0</v>
      </c>
      <c r="W59" s="34">
        <f>VLOOKUP(A:A,[4]TDSheet!$A:$V,22,0)</f>
        <v>0</v>
      </c>
      <c r="X59" s="17" t="e">
        <f t="shared" si="3"/>
        <v>#DIV/0!</v>
      </c>
      <c r="Y59" s="17" t="e">
        <f t="shared" si="4"/>
        <v>#DIV/0!</v>
      </c>
      <c r="Z59" s="17">
        <f>VLOOKUP(A:A,[1]TDSheet!$A:$AB,28,0)</f>
        <v>0</v>
      </c>
      <c r="AA59" s="17">
        <f>VLOOKUP(A:A,[1]TDSheet!$A:$AC,29,0)</f>
        <v>0</v>
      </c>
      <c r="AB59" s="17">
        <f>VLOOKUP(A:A,[1]TDSheet!$A:$AD,30,0)</f>
        <v>0</v>
      </c>
      <c r="AC59" s="17">
        <f>VLOOKUP(A:A,[1]TDSheet!$A:$T,20,0)</f>
        <v>0</v>
      </c>
      <c r="AD59" s="17" t="str">
        <f>VLOOKUP(A:A,[1]TDSheet!$A:$AE,31,0)</f>
        <v>08,12,25 пересчет (оприходовано 16кг / изг. 02,06,25 ???)</v>
      </c>
      <c r="AE59" s="17">
        <f t="shared" si="5"/>
        <v>0</v>
      </c>
      <c r="AF59" s="17">
        <f t="shared" si="6"/>
        <v>0</v>
      </c>
    </row>
    <row r="60" spans="1:32" ht="10.9" customHeight="1" x14ac:dyDescent="0.2">
      <c r="A60" s="21" t="s">
        <v>64</v>
      </c>
      <c r="B60" s="8" t="s">
        <v>14</v>
      </c>
      <c r="C60" s="8">
        <f>VLOOKUP(A:A,[1]TDSheet!$A:$C,3,0)</f>
        <v>6765</v>
      </c>
      <c r="D60" s="9">
        <v>49</v>
      </c>
      <c r="E60" s="9"/>
      <c r="F60" s="9">
        <v>-3</v>
      </c>
      <c r="G60" s="9">
        <v>49</v>
      </c>
      <c r="H60">
        <f>VLOOKUP(A:A,[1]TDSheet!$A:$H,8,0)</f>
        <v>0.36</v>
      </c>
      <c r="I60">
        <f>VLOOKUP(A:A,[1]TDSheet!$A:$I,9,0)</f>
        <v>45</v>
      </c>
      <c r="J60" t="str">
        <f>VLOOKUP(A:A,[1]TDSheet!$A:$J,10,0)</f>
        <v>в матрице</v>
      </c>
      <c r="L60" s="17">
        <f>VLOOKUP(A:A,[2]TDSheet!$A:$B,2,0)</f>
        <v>105</v>
      </c>
      <c r="M60" s="17">
        <f t="shared" si="1"/>
        <v>-108</v>
      </c>
      <c r="N60" s="17"/>
      <c r="O60" s="17"/>
      <c r="P60" s="17"/>
      <c r="Q60" s="17"/>
      <c r="R60" s="17">
        <f>VLOOKUP(A:A,[1]TDSheet!$A:$O,15,0)</f>
        <v>0</v>
      </c>
      <c r="S60" s="17">
        <f>VLOOKUP(A:A,[1]TDSheet!$A:$O,15,0)</f>
        <v>0</v>
      </c>
      <c r="T60" s="17">
        <f t="shared" si="2"/>
        <v>-0.6</v>
      </c>
      <c r="U60" s="18"/>
      <c r="V60" s="33">
        <f>VLOOKUP(A:A,[3]TDSheet!$A:$V,22,0)</f>
        <v>0</v>
      </c>
      <c r="W60" s="34">
        <f>VLOOKUP(A:A,[4]TDSheet!$A:$V,22,0)</f>
        <v>0</v>
      </c>
      <c r="X60" s="17">
        <f t="shared" si="3"/>
        <v>-81.666666666666671</v>
      </c>
      <c r="Y60" s="17">
        <f t="shared" si="4"/>
        <v>-81.666666666666671</v>
      </c>
      <c r="Z60" s="17">
        <f>VLOOKUP(A:A,[1]TDSheet!$A:$AB,28,0)</f>
        <v>8.6</v>
      </c>
      <c r="AA60" s="17">
        <f>VLOOKUP(A:A,[1]TDSheet!$A:$AC,29,0)</f>
        <v>4.2</v>
      </c>
      <c r="AB60" s="17">
        <f>VLOOKUP(A:A,[1]TDSheet!$A:$AD,30,0)</f>
        <v>5.2</v>
      </c>
      <c r="AC60" s="17">
        <f>VLOOKUP(A:A,[1]TDSheet!$A:$T,20,0)</f>
        <v>-2.4</v>
      </c>
      <c r="AD60" s="17" t="str">
        <f>VLOOKUP(A:A,[1]TDSheet!$A:$AE,31,0)</f>
        <v>Мкд Трейд</v>
      </c>
      <c r="AE60" s="17">
        <f t="shared" si="5"/>
        <v>0</v>
      </c>
      <c r="AF60" s="17">
        <f t="shared" si="6"/>
        <v>0</v>
      </c>
    </row>
    <row r="61" spans="1:32" ht="10.9" customHeight="1" x14ac:dyDescent="0.2">
      <c r="A61" s="21" t="s">
        <v>65</v>
      </c>
      <c r="B61" s="8" t="s">
        <v>16</v>
      </c>
      <c r="C61" s="8">
        <f>VLOOKUP(A:A,[1]TDSheet!$A:$C,3,0)</f>
        <v>6767</v>
      </c>
      <c r="D61" s="9">
        <v>2.194</v>
      </c>
      <c r="E61" s="9"/>
      <c r="F61" s="9">
        <v>1.097</v>
      </c>
      <c r="G61" s="9">
        <v>1.097</v>
      </c>
      <c r="H61">
        <f>VLOOKUP(A:A,[1]TDSheet!$A:$H,8,0)</f>
        <v>1</v>
      </c>
      <c r="L61" s="17">
        <f>VLOOKUP(A:A,[2]TDSheet!$A:$B,2,0)</f>
        <v>1</v>
      </c>
      <c r="M61" s="17">
        <f t="shared" si="1"/>
        <v>9.6999999999999975E-2</v>
      </c>
      <c r="N61" s="17"/>
      <c r="O61" s="17"/>
      <c r="P61" s="17"/>
      <c r="Q61" s="17"/>
      <c r="R61" s="17">
        <f>VLOOKUP(A:A,[1]TDSheet!$A:$O,15,0)</f>
        <v>25</v>
      </c>
      <c r="S61" s="17">
        <f>VLOOKUP(A:A,[1]TDSheet!$A:$O,15,0)</f>
        <v>25</v>
      </c>
      <c r="T61" s="17">
        <f t="shared" si="2"/>
        <v>0.21939999999999998</v>
      </c>
      <c r="U61" s="18"/>
      <c r="V61" s="33">
        <f>VLOOKUP(A:A,[3]TDSheet!$A:$V,22,0)</f>
        <v>0</v>
      </c>
      <c r="W61" s="34">
        <f>VLOOKUP(A:A,[4]TDSheet!$A:$V,22,0)</f>
        <v>0</v>
      </c>
      <c r="X61" s="17">
        <f t="shared" si="3"/>
        <v>232.89425706472198</v>
      </c>
      <c r="Y61" s="17">
        <f t="shared" si="4"/>
        <v>5</v>
      </c>
      <c r="Z61" s="17">
        <f>VLOOKUP(A:A,[1]TDSheet!$A:$AB,28,0)</f>
        <v>0.87439999999999996</v>
      </c>
      <c r="AA61" s="17">
        <f>VLOOKUP(A:A,[1]TDSheet!$A:$AC,29,0)</f>
        <v>0</v>
      </c>
      <c r="AB61" s="17">
        <f>VLOOKUP(A:A,[1]TDSheet!$A:$AD,30,0)</f>
        <v>0.21679999999999999</v>
      </c>
      <c r="AC61" s="17">
        <f>VLOOKUP(A:A,[1]TDSheet!$A:$T,20,0)</f>
        <v>1.0768</v>
      </c>
      <c r="AD61" s="17"/>
      <c r="AE61" s="17">
        <f t="shared" si="5"/>
        <v>0</v>
      </c>
      <c r="AF61" s="17">
        <f t="shared" si="6"/>
        <v>0</v>
      </c>
    </row>
    <row r="62" spans="1:32" ht="10.9" customHeight="1" x14ac:dyDescent="0.2">
      <c r="A62" s="21" t="s">
        <v>66</v>
      </c>
      <c r="B62" s="8" t="s">
        <v>14</v>
      </c>
      <c r="C62" s="8">
        <f>VLOOKUP(A:A,[1]TDSheet!$A:$C,3,0)</f>
        <v>6787</v>
      </c>
      <c r="D62" s="9">
        <v>113</v>
      </c>
      <c r="E62" s="9">
        <v>1</v>
      </c>
      <c r="F62" s="9">
        <v>21</v>
      </c>
      <c r="G62" s="9">
        <v>87</v>
      </c>
      <c r="H62">
        <f>VLOOKUP(A:A,[1]TDSheet!$A:$H,8,0)</f>
        <v>0.33</v>
      </c>
      <c r="I62">
        <f>VLOOKUP(A:A,[1]TDSheet!$A:$I,9,0)</f>
        <v>45</v>
      </c>
      <c r="J62" t="str">
        <f>VLOOKUP(A:A,[1]TDSheet!$A:$J,10,0)</f>
        <v>в матрице</v>
      </c>
      <c r="L62" s="17">
        <f>VLOOKUP(A:A,[2]TDSheet!$A:$B,2,0)</f>
        <v>91</v>
      </c>
      <c r="M62" s="17">
        <f t="shared" si="1"/>
        <v>-70</v>
      </c>
      <c r="N62" s="17"/>
      <c r="O62" s="17"/>
      <c r="P62" s="17"/>
      <c r="Q62" s="17"/>
      <c r="R62" s="17">
        <f>VLOOKUP(A:A,[1]TDSheet!$A:$O,15,0)</f>
        <v>50</v>
      </c>
      <c r="S62" s="17">
        <f>VLOOKUP(A:A,[1]TDSheet!$A:$O,15,0)</f>
        <v>50</v>
      </c>
      <c r="T62" s="17">
        <f t="shared" si="2"/>
        <v>4.2</v>
      </c>
      <c r="U62" s="18"/>
      <c r="V62" s="33">
        <f>VLOOKUP(A:A,[3]TDSheet!$A:$V,22,0)</f>
        <v>0</v>
      </c>
      <c r="W62" s="34">
        <f>VLOOKUP(A:A,[4]TDSheet!$A:$V,22,0)</f>
        <v>0</v>
      </c>
      <c r="X62" s="17">
        <f t="shared" si="3"/>
        <v>44.523809523809518</v>
      </c>
      <c r="Y62" s="17">
        <f t="shared" si="4"/>
        <v>20.714285714285712</v>
      </c>
      <c r="Z62" s="17">
        <f>VLOOKUP(A:A,[1]TDSheet!$A:$AB,28,0)</f>
        <v>3.6</v>
      </c>
      <c r="AA62" s="17">
        <f>VLOOKUP(A:A,[1]TDSheet!$A:$AC,29,0)</f>
        <v>6</v>
      </c>
      <c r="AB62" s="17">
        <f>VLOOKUP(A:A,[1]TDSheet!$A:$AD,30,0)</f>
        <v>12.6</v>
      </c>
      <c r="AC62" s="17">
        <f>VLOOKUP(A:A,[1]TDSheet!$A:$T,20,0)</f>
        <v>11.8</v>
      </c>
      <c r="AD62" s="17"/>
      <c r="AE62" s="17">
        <f t="shared" si="5"/>
        <v>0</v>
      </c>
      <c r="AF62" s="17">
        <f t="shared" si="6"/>
        <v>0</v>
      </c>
    </row>
    <row r="63" spans="1:32" ht="10.9" customHeight="1" x14ac:dyDescent="0.2">
      <c r="A63" s="21" t="s">
        <v>67</v>
      </c>
      <c r="B63" s="8" t="s">
        <v>14</v>
      </c>
      <c r="C63" s="8">
        <f>VLOOKUP(A:A,[1]TDSheet!$A:$C,3,0)</f>
        <v>6793</v>
      </c>
      <c r="D63" s="9">
        <v>27</v>
      </c>
      <c r="E63" s="9"/>
      <c r="F63" s="9">
        <v>14</v>
      </c>
      <c r="G63" s="9">
        <v>9</v>
      </c>
      <c r="H63">
        <f>VLOOKUP(A:A,[1]TDSheet!$A:$H,8,0)</f>
        <v>0.33</v>
      </c>
      <c r="I63">
        <f>VLOOKUP(A:A,[1]TDSheet!$A:$I,9,0)</f>
        <v>45</v>
      </c>
      <c r="J63" t="str">
        <f>VLOOKUP(A:A,[1]TDSheet!$A:$J,10,0)</f>
        <v>в матрице</v>
      </c>
      <c r="L63" s="17">
        <f>VLOOKUP(A:A,[2]TDSheet!$A:$B,2,0)</f>
        <v>82</v>
      </c>
      <c r="M63" s="17">
        <f t="shared" si="1"/>
        <v>-68</v>
      </c>
      <c r="N63" s="17"/>
      <c r="O63" s="17"/>
      <c r="P63" s="17"/>
      <c r="Q63" s="17"/>
      <c r="R63" s="17">
        <f>VLOOKUP(A:A,[1]TDSheet!$A:$O,15,0)</f>
        <v>280</v>
      </c>
      <c r="S63" s="17">
        <f>VLOOKUP(A:A,[1]TDSheet!$A:$O,15,0)</f>
        <v>280</v>
      </c>
      <c r="T63" s="17">
        <f t="shared" si="2"/>
        <v>2.8</v>
      </c>
      <c r="U63" s="18"/>
      <c r="V63" s="33">
        <f>VLOOKUP(A:A,[3]TDSheet!$A:$V,22,0)</f>
        <v>0</v>
      </c>
      <c r="W63" s="34">
        <f>VLOOKUP(A:A,[4]TDSheet!$A:$V,22,0)</f>
        <v>0</v>
      </c>
      <c r="X63" s="17">
        <f t="shared" si="3"/>
        <v>203.21428571428572</v>
      </c>
      <c r="Y63" s="17">
        <f t="shared" si="4"/>
        <v>3.2142857142857144</v>
      </c>
      <c r="Z63" s="17">
        <f>VLOOKUP(A:A,[1]TDSheet!$A:$AB,28,0)</f>
        <v>27.4</v>
      </c>
      <c r="AA63" s="17">
        <f>VLOOKUP(A:A,[1]TDSheet!$A:$AC,29,0)</f>
        <v>16.600000000000001</v>
      </c>
      <c r="AB63" s="17">
        <f>VLOOKUP(A:A,[1]TDSheet!$A:$AD,30,0)</f>
        <v>8.8000000000000007</v>
      </c>
      <c r="AC63" s="17">
        <f>VLOOKUP(A:A,[1]TDSheet!$A:$T,20,0)</f>
        <v>36.799999999999997</v>
      </c>
      <c r="AD63" s="17" t="str">
        <f>VLOOKUP(A:A,[1]TDSheet!$A:$AE,31,0)</f>
        <v>нужно увеличить продажи!!!</v>
      </c>
      <c r="AE63" s="17">
        <f t="shared" si="5"/>
        <v>0</v>
      </c>
      <c r="AF63" s="17">
        <f t="shared" si="6"/>
        <v>0</v>
      </c>
    </row>
    <row r="64" spans="1:32" ht="10.9" customHeight="1" x14ac:dyDescent="0.2">
      <c r="A64" s="8" t="s">
        <v>68</v>
      </c>
      <c r="B64" s="8" t="s">
        <v>14</v>
      </c>
      <c r="C64" s="8">
        <f>VLOOKUP(A:A,[1]TDSheet!$A:$C,3,0)</f>
        <v>6797</v>
      </c>
      <c r="D64" s="9">
        <v>283</v>
      </c>
      <c r="E64" s="9">
        <v>2</v>
      </c>
      <c r="F64" s="9">
        <v>140</v>
      </c>
      <c r="G64" s="9">
        <v>144</v>
      </c>
      <c r="H64">
        <f>VLOOKUP(A:A,[1]TDSheet!$A:$H,8,0)</f>
        <v>0.4</v>
      </c>
      <c r="L64" s="17">
        <f>VLOOKUP(A:A,[2]TDSheet!$A:$B,2,0)</f>
        <v>139</v>
      </c>
      <c r="M64" s="17">
        <f t="shared" si="1"/>
        <v>1</v>
      </c>
      <c r="N64" s="17"/>
      <c r="O64" s="17"/>
      <c r="P64" s="17"/>
      <c r="Q64" s="17"/>
      <c r="R64" s="17">
        <f>VLOOKUP(A:A,[1]TDSheet!$A:$O,15,0)</f>
        <v>200</v>
      </c>
      <c r="S64" s="17">
        <f>VLOOKUP(A:A,[1]TDSheet!$A:$O,15,0)</f>
        <v>200</v>
      </c>
      <c r="T64" s="17">
        <f t="shared" si="2"/>
        <v>28</v>
      </c>
      <c r="U64" s="18"/>
      <c r="V64" s="33">
        <f>VLOOKUP(A:A,[3]TDSheet!$A:$V,22,0)</f>
        <v>0</v>
      </c>
      <c r="W64" s="34">
        <f>VLOOKUP(A:A,[4]TDSheet!$A:$V,22,0)</f>
        <v>0</v>
      </c>
      <c r="X64" s="17">
        <f t="shared" si="3"/>
        <v>19.428571428571427</v>
      </c>
      <c r="Y64" s="17">
        <f t="shared" si="4"/>
        <v>5.1428571428571432</v>
      </c>
      <c r="Z64" s="17">
        <f>VLOOKUP(A:A,[1]TDSheet!$A:$AB,28,0)</f>
        <v>0</v>
      </c>
      <c r="AA64" s="17">
        <f>VLOOKUP(A:A,[1]TDSheet!$A:$AC,29,0)</f>
        <v>0</v>
      </c>
      <c r="AB64" s="17">
        <f>VLOOKUP(A:A,[1]TDSheet!$A:$AD,30,0)</f>
        <v>2.8</v>
      </c>
      <c r="AC64" s="17">
        <f>VLOOKUP(A:A,[1]TDSheet!$A:$T,20,0)</f>
        <v>41.8</v>
      </c>
      <c r="AD64" s="17"/>
      <c r="AE64" s="17">
        <f t="shared" si="5"/>
        <v>0</v>
      </c>
      <c r="AF64" s="17">
        <f t="shared" si="6"/>
        <v>0</v>
      </c>
    </row>
    <row r="65" spans="1:32" ht="10.9" customHeight="1" x14ac:dyDescent="0.2">
      <c r="A65" s="21" t="s">
        <v>69</v>
      </c>
      <c r="B65" s="8" t="s">
        <v>14</v>
      </c>
      <c r="C65" s="8">
        <f>VLOOKUP(A:A,[1]TDSheet!$A:$C,3,0)</f>
        <v>6807</v>
      </c>
      <c r="D65" s="9">
        <v>57</v>
      </c>
      <c r="E65" s="9">
        <v>49</v>
      </c>
      <c r="F65" s="9">
        <v>10</v>
      </c>
      <c r="G65" s="9">
        <v>89</v>
      </c>
      <c r="H65">
        <f>VLOOKUP(A:A,[1]TDSheet!$A:$H,8,0)</f>
        <v>0.33</v>
      </c>
      <c r="L65" s="17">
        <f>VLOOKUP(A:A,[2]TDSheet!$A:$B,2,0)</f>
        <v>17</v>
      </c>
      <c r="M65" s="17">
        <f t="shared" si="1"/>
        <v>-7</v>
      </c>
      <c r="N65" s="17"/>
      <c r="O65" s="17"/>
      <c r="P65" s="17"/>
      <c r="Q65" s="17"/>
      <c r="R65" s="17">
        <f>VLOOKUP(A:A,[1]TDSheet!$A:$O,15,0)</f>
        <v>0</v>
      </c>
      <c r="S65" s="17">
        <f>VLOOKUP(A:A,[1]TDSheet!$A:$O,15,0)</f>
        <v>0</v>
      </c>
      <c r="T65" s="17">
        <f t="shared" si="2"/>
        <v>2</v>
      </c>
      <c r="U65" s="18"/>
      <c r="V65" s="33">
        <f>VLOOKUP(A:A,[3]TDSheet!$A:$V,22,0)</f>
        <v>0</v>
      </c>
      <c r="W65" s="34">
        <f>VLOOKUP(A:A,[4]TDSheet!$A:$V,22,0)</f>
        <v>0</v>
      </c>
      <c r="X65" s="17">
        <f t="shared" si="3"/>
        <v>44.5</v>
      </c>
      <c r="Y65" s="17">
        <f t="shared" si="4"/>
        <v>44.5</v>
      </c>
      <c r="Z65" s="17">
        <f>VLOOKUP(A:A,[1]TDSheet!$A:$AB,28,0)</f>
        <v>11.8</v>
      </c>
      <c r="AA65" s="17">
        <f>VLOOKUP(A:A,[1]TDSheet!$A:$AC,29,0)</f>
        <v>9.8000000000000007</v>
      </c>
      <c r="AB65" s="17">
        <f>VLOOKUP(A:A,[1]TDSheet!$A:$AD,30,0)</f>
        <v>9.8000000000000007</v>
      </c>
      <c r="AC65" s="17">
        <f>VLOOKUP(A:A,[1]TDSheet!$A:$T,20,0)</f>
        <v>3</v>
      </c>
      <c r="AD65" s="17" t="str">
        <f>VLOOKUP(A:A,[1]TDSheet!$A:$AE,31,0)</f>
        <v>Мкд Трейд</v>
      </c>
      <c r="AE65" s="17">
        <f t="shared" si="5"/>
        <v>0</v>
      </c>
      <c r="AF65" s="17">
        <f t="shared" si="6"/>
        <v>0</v>
      </c>
    </row>
    <row r="66" spans="1:32" ht="10.9" customHeight="1" x14ac:dyDescent="0.2">
      <c r="A66" s="8" t="s">
        <v>70</v>
      </c>
      <c r="B66" s="8" t="s">
        <v>16</v>
      </c>
      <c r="C66" s="8">
        <f>VLOOKUP(A:A,[1]TDSheet!$A:$C,3,0)</f>
        <v>6829</v>
      </c>
      <c r="D66" s="9">
        <v>72.495999999999995</v>
      </c>
      <c r="E66" s="9">
        <v>335.55200000000002</v>
      </c>
      <c r="F66" s="9">
        <v>187.018</v>
      </c>
      <c r="G66" s="9">
        <v>215.142</v>
      </c>
      <c r="H66">
        <f>VLOOKUP(A:A,[1]TDSheet!$A:$H,8,0)</f>
        <v>1</v>
      </c>
      <c r="I66">
        <f>VLOOKUP(A:A,[1]TDSheet!$A:$I,9,0)</f>
        <v>45</v>
      </c>
      <c r="J66" t="str">
        <f>VLOOKUP(A:A,[1]TDSheet!$A:$J,10,0)</f>
        <v>в матрице</v>
      </c>
      <c r="L66" s="17">
        <f>VLOOKUP(A:A,[2]TDSheet!$A:$B,2,0)</f>
        <v>185.6</v>
      </c>
      <c r="M66" s="17">
        <f t="shared" si="1"/>
        <v>1.4180000000000064</v>
      </c>
      <c r="N66" s="17"/>
      <c r="O66" s="17"/>
      <c r="P66" s="17"/>
      <c r="Q66" s="17"/>
      <c r="R66" s="17">
        <f>VLOOKUP(A:A,[1]TDSheet!$A:$O,15,0)</f>
        <v>50</v>
      </c>
      <c r="S66" s="17">
        <f>VLOOKUP(A:A,[1]TDSheet!$A:$O,15,0)</f>
        <v>50</v>
      </c>
      <c r="T66" s="17">
        <f t="shared" si="2"/>
        <v>37.403599999999997</v>
      </c>
      <c r="U66" s="18">
        <v>230</v>
      </c>
      <c r="V66" s="33">
        <f>VLOOKUP(A:A,[3]TDSheet!$A:$V,22,0)</f>
        <v>130</v>
      </c>
      <c r="W66" s="34">
        <f>VLOOKUP(A:A,[4]TDSheet!$A:$V,22,0)</f>
        <v>100</v>
      </c>
      <c r="X66" s="17">
        <f t="shared" si="3"/>
        <v>14.5745864034478</v>
      </c>
      <c r="Y66" s="17">
        <f t="shared" si="4"/>
        <v>5.7519062336245712</v>
      </c>
      <c r="Z66" s="17">
        <f>VLOOKUP(A:A,[1]TDSheet!$A:$AB,28,0)</f>
        <v>31.852</v>
      </c>
      <c r="AA66" s="17">
        <f>VLOOKUP(A:A,[1]TDSheet!$A:$AC,29,0)</f>
        <v>31.178799999999999</v>
      </c>
      <c r="AB66" s="17">
        <f>VLOOKUP(A:A,[1]TDSheet!$A:$AD,30,0)</f>
        <v>40.341200000000001</v>
      </c>
      <c r="AC66" s="17">
        <f>VLOOKUP(A:A,[1]TDSheet!$A:$T,20,0)</f>
        <v>36.323599999999999</v>
      </c>
      <c r="AD66" s="17"/>
      <c r="AE66" s="17">
        <f t="shared" si="5"/>
        <v>130</v>
      </c>
      <c r="AF66" s="17">
        <f t="shared" si="6"/>
        <v>100</v>
      </c>
    </row>
    <row r="67" spans="1:32" ht="10.9" customHeight="1" x14ac:dyDescent="0.2">
      <c r="A67" s="8" t="s">
        <v>71</v>
      </c>
      <c r="B67" s="8" t="s">
        <v>14</v>
      </c>
      <c r="C67" s="8">
        <f>VLOOKUP(A:A,[1]TDSheet!$A:$C,3,0)</f>
        <v>6834</v>
      </c>
      <c r="D67" s="9">
        <v>57</v>
      </c>
      <c r="E67" s="9"/>
      <c r="F67" s="9">
        <v>19</v>
      </c>
      <c r="G67" s="9">
        <v>36</v>
      </c>
      <c r="H67">
        <f>VLOOKUP(A:A,[1]TDSheet!$A:$H,8,0)</f>
        <v>0.1</v>
      </c>
      <c r="I67">
        <f>VLOOKUP(A:A,[1]TDSheet!$A:$I,9,0)</f>
        <v>60</v>
      </c>
      <c r="J67" t="str">
        <f>VLOOKUP(A:A,[1]TDSheet!$A:$J,10,0)</f>
        <v>в матрице</v>
      </c>
      <c r="L67" s="17">
        <f>VLOOKUP(A:A,[2]TDSheet!$A:$B,2,0)</f>
        <v>26</v>
      </c>
      <c r="M67" s="17">
        <f t="shared" si="1"/>
        <v>-7</v>
      </c>
      <c r="N67" s="17"/>
      <c r="O67" s="17"/>
      <c r="P67" s="17"/>
      <c r="Q67" s="17"/>
      <c r="R67" s="17">
        <f>VLOOKUP(A:A,[1]TDSheet!$A:$O,15,0)</f>
        <v>0</v>
      </c>
      <c r="S67" s="17">
        <f>VLOOKUP(A:A,[1]TDSheet!$A:$O,15,0)</f>
        <v>0</v>
      </c>
      <c r="T67" s="17">
        <f t="shared" si="2"/>
        <v>3.8</v>
      </c>
      <c r="U67" s="18">
        <v>100</v>
      </c>
      <c r="V67" s="33">
        <f>VLOOKUP(A:A,[3]TDSheet!$A:$V,22,0)</f>
        <v>50</v>
      </c>
      <c r="W67" s="34">
        <f>VLOOKUP(A:A,[4]TDSheet!$A:$V,22,0)</f>
        <v>50</v>
      </c>
      <c r="X67" s="17">
        <f t="shared" si="3"/>
        <v>35.789473684210527</v>
      </c>
      <c r="Y67" s="17">
        <f t="shared" si="4"/>
        <v>9.4736842105263168</v>
      </c>
      <c r="Z67" s="17">
        <f>VLOOKUP(A:A,[1]TDSheet!$A:$AB,28,0)</f>
        <v>-0.2</v>
      </c>
      <c r="AA67" s="17">
        <f>VLOOKUP(A:A,[1]TDSheet!$A:$AC,29,0)</f>
        <v>1.2</v>
      </c>
      <c r="AB67" s="17">
        <f>VLOOKUP(A:A,[1]TDSheet!$A:$AD,30,0)</f>
        <v>1.2</v>
      </c>
      <c r="AC67" s="17">
        <f>VLOOKUP(A:A,[1]TDSheet!$A:$T,20,0)</f>
        <v>0</v>
      </c>
      <c r="AD67" s="17"/>
      <c r="AE67" s="17">
        <f t="shared" si="5"/>
        <v>5</v>
      </c>
      <c r="AF67" s="17">
        <f t="shared" si="6"/>
        <v>5</v>
      </c>
    </row>
    <row r="68" spans="1:32" ht="10.9" customHeight="1" x14ac:dyDescent="0.2">
      <c r="A68" s="8" t="s">
        <v>72</v>
      </c>
      <c r="B68" s="8" t="s">
        <v>14</v>
      </c>
      <c r="C68" s="8">
        <f>VLOOKUP(A:A,[1]TDSheet!$A:$C,3,0)</f>
        <v>6837</v>
      </c>
      <c r="D68" s="9">
        <v>206</v>
      </c>
      <c r="E68" s="9">
        <v>96</v>
      </c>
      <c r="F68" s="9">
        <v>79</v>
      </c>
      <c r="G68" s="9">
        <v>209</v>
      </c>
      <c r="H68">
        <f>VLOOKUP(A:A,[1]TDSheet!$A:$H,8,0)</f>
        <v>0.4</v>
      </c>
      <c r="I68">
        <f>VLOOKUP(A:A,[1]TDSheet!$A:$I,9,0)</f>
        <v>45</v>
      </c>
      <c r="J68" t="str">
        <f>VLOOKUP(A:A,[1]TDSheet!$A:$J,10,0)</f>
        <v>в матрице</v>
      </c>
      <c r="L68" s="17">
        <f>VLOOKUP(A:A,[2]TDSheet!$A:$B,2,0)</f>
        <v>93</v>
      </c>
      <c r="M68" s="17">
        <f t="shared" si="1"/>
        <v>-14</v>
      </c>
      <c r="N68" s="17"/>
      <c r="O68" s="17"/>
      <c r="P68" s="17"/>
      <c r="Q68" s="17"/>
      <c r="R68" s="17">
        <f>VLOOKUP(A:A,[1]TDSheet!$A:$O,15,0)</f>
        <v>0</v>
      </c>
      <c r="S68" s="17">
        <f>VLOOKUP(A:A,[1]TDSheet!$A:$O,15,0)</f>
        <v>0</v>
      </c>
      <c r="T68" s="17">
        <f t="shared" si="2"/>
        <v>15.8</v>
      </c>
      <c r="U68" s="18">
        <v>50</v>
      </c>
      <c r="V68" s="33">
        <f>VLOOKUP(A:A,[3]TDSheet!$A:$V,22,0)</f>
        <v>25</v>
      </c>
      <c r="W68" s="34">
        <f>VLOOKUP(A:A,[4]TDSheet!$A:$V,22,0)</f>
        <v>25</v>
      </c>
      <c r="X68" s="17">
        <f t="shared" si="3"/>
        <v>16.39240506329114</v>
      </c>
      <c r="Y68" s="17">
        <f t="shared" si="4"/>
        <v>13.227848101265822</v>
      </c>
      <c r="Z68" s="17">
        <f>VLOOKUP(A:A,[1]TDSheet!$A:$AB,28,0)</f>
        <v>19.399999999999999</v>
      </c>
      <c r="AA68" s="17">
        <f>VLOOKUP(A:A,[1]TDSheet!$A:$AC,29,0)</f>
        <v>12.2</v>
      </c>
      <c r="AB68" s="17">
        <f>VLOOKUP(A:A,[1]TDSheet!$A:$AD,30,0)</f>
        <v>17.2</v>
      </c>
      <c r="AC68" s="17">
        <f>VLOOKUP(A:A,[1]TDSheet!$A:$T,20,0)</f>
        <v>16</v>
      </c>
      <c r="AD68" s="17"/>
      <c r="AE68" s="17">
        <f t="shared" si="5"/>
        <v>10</v>
      </c>
      <c r="AF68" s="17">
        <f t="shared" si="6"/>
        <v>10</v>
      </c>
    </row>
    <row r="69" spans="1:32" ht="10.9" customHeight="1" x14ac:dyDescent="0.2">
      <c r="A69" s="8" t="s">
        <v>73</v>
      </c>
      <c r="B69" s="8" t="s">
        <v>16</v>
      </c>
      <c r="C69" s="8">
        <f>VLOOKUP(A:A,[1]TDSheet!$A:$C,3,0)</f>
        <v>6866</v>
      </c>
      <c r="D69" s="9">
        <v>7.5049999999999999</v>
      </c>
      <c r="E69" s="9">
        <v>11.875</v>
      </c>
      <c r="F69" s="9">
        <v>8.0749999999999993</v>
      </c>
      <c r="G69" s="9">
        <v>10.404999999999999</v>
      </c>
      <c r="H69">
        <f>VLOOKUP(A:A,[1]TDSheet!$A:$H,8,0)</f>
        <v>1</v>
      </c>
      <c r="I69">
        <f>VLOOKUP(A:A,[1]TDSheet!$A:$I,9,0)</f>
        <v>60</v>
      </c>
      <c r="J69" t="str">
        <f>VLOOKUP(A:A,[1]TDSheet!$A:$J,10,0)</f>
        <v>в матрице</v>
      </c>
      <c r="L69" s="17">
        <f>VLOOKUP(A:A,[2]TDSheet!$A:$B,2,0)</f>
        <v>9</v>
      </c>
      <c r="M69" s="17">
        <f t="shared" si="1"/>
        <v>-0.92500000000000071</v>
      </c>
      <c r="N69" s="17"/>
      <c r="O69" s="17"/>
      <c r="P69" s="17"/>
      <c r="Q69" s="17"/>
      <c r="R69" s="17">
        <f>VLOOKUP(A:A,[1]TDSheet!$A:$O,15,0)</f>
        <v>0</v>
      </c>
      <c r="S69" s="17">
        <f>VLOOKUP(A:A,[1]TDSheet!$A:$O,15,0)</f>
        <v>0</v>
      </c>
      <c r="T69" s="17">
        <f t="shared" si="2"/>
        <v>1.6149999999999998</v>
      </c>
      <c r="U69" s="18">
        <v>50</v>
      </c>
      <c r="V69" s="33">
        <f>VLOOKUP(A:A,[3]TDSheet!$A:$V,22,0)</f>
        <v>25</v>
      </c>
      <c r="W69" s="34">
        <f>VLOOKUP(A:A,[4]TDSheet!$A:$V,22,0)</f>
        <v>25</v>
      </c>
      <c r="X69" s="17">
        <f t="shared" si="3"/>
        <v>37.402476780185765</v>
      </c>
      <c r="Y69" s="17">
        <f t="shared" si="4"/>
        <v>6.442724458204335</v>
      </c>
      <c r="Z69" s="17">
        <f>VLOOKUP(A:A,[1]TDSheet!$A:$AB,28,0)</f>
        <v>1.8169999999999999</v>
      </c>
      <c r="AA69" s="17">
        <f>VLOOKUP(A:A,[1]TDSheet!$A:$AC,29,0)</f>
        <v>1.518</v>
      </c>
      <c r="AB69" s="17">
        <f>VLOOKUP(A:A,[1]TDSheet!$A:$AD,30,0)</f>
        <v>2.411</v>
      </c>
      <c r="AC69" s="17">
        <f>VLOOKUP(A:A,[1]TDSheet!$A:$T,20,0)</f>
        <v>0.88800000000000001</v>
      </c>
      <c r="AD69" s="17" t="str">
        <f>VLOOKUP(A:A,[1]TDSheet!$A:$AE,31,0)</f>
        <v>Мкд Трейд / Пекарня</v>
      </c>
      <c r="AE69" s="17">
        <f t="shared" si="5"/>
        <v>25</v>
      </c>
      <c r="AF69" s="17">
        <f t="shared" si="6"/>
        <v>25</v>
      </c>
    </row>
    <row r="70" spans="1:32" ht="10.9" customHeight="1" x14ac:dyDescent="0.2">
      <c r="A70" s="21" t="s">
        <v>74</v>
      </c>
      <c r="B70" s="8" t="s">
        <v>14</v>
      </c>
      <c r="C70" s="8">
        <f>VLOOKUP(A:A,[1]TDSheet!$A:$C,3,0)</f>
        <v>6925</v>
      </c>
      <c r="D70" s="9">
        <v>1</v>
      </c>
      <c r="E70" s="9">
        <v>113</v>
      </c>
      <c r="F70" s="9">
        <v>21</v>
      </c>
      <c r="G70" s="9">
        <v>90</v>
      </c>
      <c r="H70">
        <f>VLOOKUP(A:A,[1]TDSheet!$A:$H,8,0)</f>
        <v>0.6</v>
      </c>
      <c r="L70" s="17">
        <f>VLOOKUP(A:A,[2]TDSheet!$A:$B,2,0)</f>
        <v>32</v>
      </c>
      <c r="M70" s="17">
        <f t="shared" si="1"/>
        <v>-11</v>
      </c>
      <c r="N70" s="17"/>
      <c r="O70" s="17"/>
      <c r="P70" s="17"/>
      <c r="Q70" s="17"/>
      <c r="R70" s="17">
        <f>VLOOKUP(A:A,[1]TDSheet!$A:$O,15,0)</f>
        <v>75</v>
      </c>
      <c r="S70" s="17">
        <f>VLOOKUP(A:A,[1]TDSheet!$A:$O,15,0)</f>
        <v>75</v>
      </c>
      <c r="T70" s="17">
        <f t="shared" si="2"/>
        <v>4.2</v>
      </c>
      <c r="U70" s="18"/>
      <c r="V70" s="33">
        <f>VLOOKUP(A:A,[3]TDSheet!$A:$V,22,0)</f>
        <v>0</v>
      </c>
      <c r="W70" s="34">
        <f>VLOOKUP(A:A,[4]TDSheet!$A:$V,22,0)</f>
        <v>0</v>
      </c>
      <c r="X70" s="17">
        <f t="shared" si="3"/>
        <v>57.142857142857139</v>
      </c>
      <c r="Y70" s="17">
        <f t="shared" si="4"/>
        <v>21.428571428571427</v>
      </c>
      <c r="Z70" s="17">
        <f>VLOOKUP(A:A,[1]TDSheet!$A:$AB,28,0)</f>
        <v>5.8</v>
      </c>
      <c r="AA70" s="17">
        <f>VLOOKUP(A:A,[1]TDSheet!$A:$AC,29,0)</f>
        <v>8.8000000000000007</v>
      </c>
      <c r="AB70" s="17">
        <f>VLOOKUP(A:A,[1]TDSheet!$A:$AD,30,0)</f>
        <v>14.4</v>
      </c>
      <c r="AC70" s="17">
        <f>VLOOKUP(A:A,[1]TDSheet!$A:$T,20,0)</f>
        <v>14.2</v>
      </c>
      <c r="AD70" s="17"/>
      <c r="AE70" s="17">
        <f t="shared" si="5"/>
        <v>0</v>
      </c>
      <c r="AF70" s="17">
        <f t="shared" si="6"/>
        <v>0</v>
      </c>
    </row>
    <row r="71" spans="1:32" ht="10.9" customHeight="1" x14ac:dyDescent="0.2">
      <c r="A71" s="23" t="s">
        <v>75</v>
      </c>
      <c r="B71" s="23" t="s">
        <v>16</v>
      </c>
      <c r="C71" s="23">
        <v>6955</v>
      </c>
      <c r="D71" s="24"/>
      <c r="E71" s="25"/>
      <c r="F71" s="25">
        <v>1.5549999999999999</v>
      </c>
      <c r="G71" s="25">
        <v>-1.5549999999999999</v>
      </c>
      <c r="H71" s="26">
        <v>1</v>
      </c>
      <c r="I71" s="26"/>
      <c r="J71" s="26"/>
      <c r="K71" s="26"/>
      <c r="L71" s="27">
        <f>VLOOKUP(A:A,[2]TDSheet!$A:$B,2,0)</f>
        <v>1.5</v>
      </c>
      <c r="M71" s="27">
        <f t="shared" si="1"/>
        <v>5.4999999999999938E-2</v>
      </c>
      <c r="N71" s="27"/>
      <c r="O71" s="27"/>
      <c r="P71" s="27"/>
      <c r="Q71" s="27"/>
      <c r="R71" s="27">
        <v>0</v>
      </c>
      <c r="S71" s="27">
        <v>0</v>
      </c>
      <c r="T71" s="27">
        <f t="shared" si="2"/>
        <v>0.311</v>
      </c>
      <c r="U71" s="28"/>
      <c r="V71" s="35">
        <f>VLOOKUP(A:A,[3]TDSheet!$A:$V,22,0)</f>
        <v>32</v>
      </c>
      <c r="W71" s="36">
        <f>VLOOKUP(A:A,[4]TDSheet!$A:$V,22,0)</f>
        <v>32</v>
      </c>
      <c r="X71" s="27">
        <f t="shared" si="3"/>
        <v>-5</v>
      </c>
      <c r="Y71" s="27">
        <f t="shared" si="4"/>
        <v>-5</v>
      </c>
      <c r="Z71" s="27">
        <v>0</v>
      </c>
      <c r="AA71" s="27">
        <v>0</v>
      </c>
      <c r="AB71" s="27">
        <v>0</v>
      </c>
      <c r="AC71" s="27">
        <v>0</v>
      </c>
      <c r="AD71" s="27"/>
      <c r="AE71" s="27">
        <v>0</v>
      </c>
      <c r="AF71" s="27">
        <v>0</v>
      </c>
    </row>
    <row r="72" spans="1:32" ht="10.9" customHeight="1" x14ac:dyDescent="0.2">
      <c r="A72" s="21" t="s">
        <v>76</v>
      </c>
      <c r="B72" s="8" t="s">
        <v>14</v>
      </c>
      <c r="C72" s="8">
        <f>VLOOKUP(A:A,[1]TDSheet!$A:$C,3,0)</f>
        <v>6967</v>
      </c>
      <c r="D72" s="10"/>
      <c r="E72" s="9">
        <v>144</v>
      </c>
      <c r="F72" s="9">
        <v>21</v>
      </c>
      <c r="G72" s="9">
        <v>119</v>
      </c>
      <c r="H72">
        <f>VLOOKUP(A:A,[1]TDSheet!$A:$H,8,0)</f>
        <v>0.25</v>
      </c>
      <c r="I72">
        <f>VLOOKUP(A:A,[1]TDSheet!$A:$I,9,0)</f>
        <v>120</v>
      </c>
      <c r="J72" t="str">
        <f>VLOOKUP(A:A,[1]TDSheet!$A:$J,10,0)</f>
        <v>в матрице</v>
      </c>
      <c r="L72" s="17">
        <f>VLOOKUP(A:A,[2]TDSheet!$A:$B,2,0)</f>
        <v>34</v>
      </c>
      <c r="M72" s="17">
        <f t="shared" si="1"/>
        <v>-13</v>
      </c>
      <c r="N72" s="17"/>
      <c r="O72" s="17"/>
      <c r="P72" s="17"/>
      <c r="Q72" s="17"/>
      <c r="R72" s="17">
        <f>VLOOKUP(A:A,[1]TDSheet!$A:$O,15,0)</f>
        <v>0</v>
      </c>
      <c r="S72" s="17">
        <f>VLOOKUP(A:A,[1]TDSheet!$A:$O,15,0)</f>
        <v>0</v>
      </c>
      <c r="T72" s="17">
        <f t="shared" si="2"/>
        <v>4.2</v>
      </c>
      <c r="U72" s="18"/>
      <c r="V72" s="33">
        <f>VLOOKUP(A:A,[3]TDSheet!$A:$V,22,0)</f>
        <v>0</v>
      </c>
      <c r="W72" s="34">
        <f>VLOOKUP(A:A,[4]TDSheet!$A:$V,22,0)</f>
        <v>0</v>
      </c>
      <c r="X72" s="17">
        <f t="shared" si="3"/>
        <v>28.333333333333332</v>
      </c>
      <c r="Y72" s="17">
        <f t="shared" si="4"/>
        <v>28.333333333333332</v>
      </c>
      <c r="Z72" s="17">
        <f>VLOOKUP(A:A,[1]TDSheet!$A:$AB,28,0)</f>
        <v>9.4</v>
      </c>
      <c r="AA72" s="17">
        <f>VLOOKUP(A:A,[1]TDSheet!$A:$AC,29,0)</f>
        <v>7.6</v>
      </c>
      <c r="AB72" s="17">
        <f>VLOOKUP(A:A,[1]TDSheet!$A:$AD,30,0)</f>
        <v>12</v>
      </c>
      <c r="AC72" s="17">
        <f>VLOOKUP(A:A,[1]TDSheet!$A:$T,20,0)</f>
        <v>6.2</v>
      </c>
      <c r="AD72" s="17"/>
      <c r="AE72" s="17">
        <f t="shared" si="5"/>
        <v>0</v>
      </c>
      <c r="AF72" s="17">
        <f t="shared" si="6"/>
        <v>0</v>
      </c>
    </row>
    <row r="73" spans="1:32" ht="10.9" customHeight="1" x14ac:dyDescent="0.2">
      <c r="A73" s="21" t="s">
        <v>77</v>
      </c>
      <c r="B73" s="8" t="s">
        <v>16</v>
      </c>
      <c r="C73" s="8">
        <f>VLOOKUP(A:A,[1]TDSheet!$A:$C,3,0)</f>
        <v>7001</v>
      </c>
      <c r="D73" s="9">
        <v>-13.128</v>
      </c>
      <c r="E73" s="9">
        <v>30.896000000000001</v>
      </c>
      <c r="F73" s="9">
        <v>2.9710000000000001</v>
      </c>
      <c r="G73" s="9">
        <v>10.507</v>
      </c>
      <c r="H73">
        <f>VLOOKUP(A:A,[1]TDSheet!$A:$H,8,0)</f>
        <v>1</v>
      </c>
      <c r="I73">
        <f>VLOOKUP(A:A,[1]TDSheet!$A:$I,9,0)</f>
        <v>45</v>
      </c>
      <c r="J73" t="str">
        <f>VLOOKUP(A:A,[1]TDSheet!$A:$J,10,0)</f>
        <v>в матрице</v>
      </c>
      <c r="L73" s="17">
        <f>VLOOKUP(A:A,[2]TDSheet!$A:$B,2,0)</f>
        <v>7</v>
      </c>
      <c r="M73" s="17">
        <f t="shared" si="1"/>
        <v>-4.0289999999999999</v>
      </c>
      <c r="N73" s="17"/>
      <c r="O73" s="17"/>
      <c r="P73" s="17"/>
      <c r="Q73" s="17"/>
      <c r="R73" s="17">
        <f>VLOOKUP(A:A,[1]TDSheet!$A:$O,15,0)</f>
        <v>40</v>
      </c>
      <c r="S73" s="17">
        <f>VLOOKUP(A:A,[1]TDSheet!$A:$O,15,0)</f>
        <v>40</v>
      </c>
      <c r="T73" s="17">
        <f t="shared" si="2"/>
        <v>0.59420000000000006</v>
      </c>
      <c r="U73" s="18"/>
      <c r="V73" s="33">
        <f>VLOOKUP(A:A,[3]TDSheet!$A:$V,22,0)</f>
        <v>0</v>
      </c>
      <c r="W73" s="34">
        <f>VLOOKUP(A:A,[4]TDSheet!$A:$V,22,0)</f>
        <v>0</v>
      </c>
      <c r="X73" s="17">
        <f t="shared" si="3"/>
        <v>152.31740154830024</v>
      </c>
      <c r="Y73" s="17">
        <f t="shared" si="4"/>
        <v>17.682598451699761</v>
      </c>
      <c r="Z73" s="17">
        <f>VLOOKUP(A:A,[1]TDSheet!$A:$AB,28,0)</f>
        <v>3.7509999999999999</v>
      </c>
      <c r="AA73" s="17">
        <f>VLOOKUP(A:A,[1]TDSheet!$A:$AC,29,0)</f>
        <v>3.8618000000000001</v>
      </c>
      <c r="AB73" s="17">
        <f>VLOOKUP(A:A,[1]TDSheet!$A:$AD,30,0)</f>
        <v>6.8785999999999996</v>
      </c>
      <c r="AC73" s="17">
        <f>VLOOKUP(A:A,[1]TDSheet!$A:$T,20,0)</f>
        <v>5.7103999999999999</v>
      </c>
      <c r="AD73" s="17"/>
      <c r="AE73" s="17">
        <f t="shared" si="5"/>
        <v>0</v>
      </c>
      <c r="AF73" s="17">
        <f t="shared" si="6"/>
        <v>0</v>
      </c>
    </row>
    <row r="74" spans="1:32" ht="10.9" customHeight="1" x14ac:dyDescent="0.2">
      <c r="A74" s="8" t="s">
        <v>78</v>
      </c>
      <c r="B74" s="8" t="s">
        <v>14</v>
      </c>
      <c r="C74" s="8">
        <f>VLOOKUP(A:A,[1]TDSheet!$A:$C,3,0)</f>
        <v>7059</v>
      </c>
      <c r="D74" s="9">
        <v>300</v>
      </c>
      <c r="E74" s="9">
        <v>51</v>
      </c>
      <c r="F74" s="9">
        <v>189</v>
      </c>
      <c r="G74" s="9">
        <v>161</v>
      </c>
      <c r="H74">
        <f>VLOOKUP(A:A,[1]TDSheet!$A:$H,8,0)</f>
        <v>0.3</v>
      </c>
      <c r="L74" s="17">
        <f>VLOOKUP(A:A,[2]TDSheet!$A:$B,2,0)</f>
        <v>188</v>
      </c>
      <c r="M74" s="17">
        <f t="shared" si="1"/>
        <v>1</v>
      </c>
      <c r="N74" s="17"/>
      <c r="O74" s="17"/>
      <c r="P74" s="17"/>
      <c r="Q74" s="17"/>
      <c r="R74" s="17">
        <f>VLOOKUP(A:A,[1]TDSheet!$A:$O,15,0)</f>
        <v>75</v>
      </c>
      <c r="S74" s="17">
        <f>VLOOKUP(A:A,[1]TDSheet!$A:$O,15,0)</f>
        <v>75</v>
      </c>
      <c r="T74" s="17">
        <f t="shared" si="2"/>
        <v>37.799999999999997</v>
      </c>
      <c r="U74" s="18">
        <v>300</v>
      </c>
      <c r="V74" s="33">
        <f>VLOOKUP(A:A,[3]TDSheet!$A:$V,22,0)</f>
        <v>150</v>
      </c>
      <c r="W74" s="34">
        <f>VLOOKUP(A:A,[4]TDSheet!$A:$V,22,0)</f>
        <v>150</v>
      </c>
      <c r="X74" s="17">
        <f t="shared" si="3"/>
        <v>16.164021164021165</v>
      </c>
      <c r="Y74" s="17">
        <f t="shared" si="4"/>
        <v>4.2592592592592595</v>
      </c>
      <c r="Z74" s="17">
        <f>VLOOKUP(A:A,[1]TDSheet!$A:$AB,28,0)</f>
        <v>20</v>
      </c>
      <c r="AA74" s="17">
        <f>VLOOKUP(A:A,[1]TDSheet!$A:$AC,29,0)</f>
        <v>12.8</v>
      </c>
      <c r="AB74" s="17">
        <f>VLOOKUP(A:A,[1]TDSheet!$A:$AD,30,0)</f>
        <v>37.200000000000003</v>
      </c>
      <c r="AC74" s="17">
        <f>VLOOKUP(A:A,[1]TDSheet!$A:$T,20,0)</f>
        <v>31.8</v>
      </c>
      <c r="AD74" s="17"/>
      <c r="AE74" s="17">
        <f t="shared" si="5"/>
        <v>45</v>
      </c>
      <c r="AF74" s="17">
        <f t="shared" si="6"/>
        <v>45</v>
      </c>
    </row>
    <row r="75" spans="1:32" ht="10.9" customHeight="1" x14ac:dyDescent="0.2">
      <c r="A75" s="8" t="s">
        <v>79</v>
      </c>
      <c r="B75" s="8" t="s">
        <v>14</v>
      </c>
      <c r="C75" s="8">
        <f>VLOOKUP(A:A,[1]TDSheet!$A:$C,3,0)</f>
        <v>7066</v>
      </c>
      <c r="D75" s="9">
        <v>781</v>
      </c>
      <c r="E75" s="9">
        <v>1506</v>
      </c>
      <c r="F75" s="22">
        <v>954</v>
      </c>
      <c r="G75" s="22">
        <v>1318</v>
      </c>
      <c r="H75">
        <f>VLOOKUP(A:A,[1]TDSheet!$A:$H,8,0)</f>
        <v>0.41</v>
      </c>
      <c r="I75">
        <f>VLOOKUP(A:A,[1]TDSheet!$A:$I,9,0)</f>
        <v>50</v>
      </c>
      <c r="J75" t="str">
        <f>VLOOKUP(A:A,[1]TDSheet!$A:$J,10,0)</f>
        <v>в матрице</v>
      </c>
      <c r="L75" s="17">
        <f>VLOOKUP(A:A,[2]TDSheet!$A:$B,2,0)</f>
        <v>962</v>
      </c>
      <c r="M75" s="17">
        <f t="shared" si="1"/>
        <v>-8</v>
      </c>
      <c r="N75" s="17"/>
      <c r="O75" s="17"/>
      <c r="P75" s="17"/>
      <c r="Q75" s="17"/>
      <c r="R75" s="17">
        <f>VLOOKUP(A:A,[1]TDSheet!$A:$O,15,0)</f>
        <v>0</v>
      </c>
      <c r="S75" s="17">
        <f>VLOOKUP(A:A,[1]TDSheet!$A:$O,15,0)</f>
        <v>0</v>
      </c>
      <c r="T75" s="17">
        <f t="shared" si="2"/>
        <v>190.8</v>
      </c>
      <c r="U75" s="18">
        <v>1500</v>
      </c>
      <c r="V75" s="33">
        <f>VLOOKUP(A:A,[3]TDSheet!$A:$V,22,0)</f>
        <v>750</v>
      </c>
      <c r="W75" s="34">
        <f>VLOOKUP(A:A,[4]TDSheet!$A:$V,22,0)</f>
        <v>750</v>
      </c>
      <c r="X75" s="17">
        <f t="shared" si="3"/>
        <v>14.769392033542976</v>
      </c>
      <c r="Y75" s="17">
        <f t="shared" si="4"/>
        <v>6.9077568134171905</v>
      </c>
      <c r="Z75" s="17">
        <f>VLOOKUP(A:A,[1]TDSheet!$A:$AB,28,0)</f>
        <v>126.6</v>
      </c>
      <c r="AA75" s="17">
        <f>VLOOKUP(A:A,[1]TDSheet!$A:$AC,29,0)</f>
        <v>171.6</v>
      </c>
      <c r="AB75" s="17">
        <f>VLOOKUP(A:A,[1]TDSheet!$A:$AD,30,0)</f>
        <v>201.6</v>
      </c>
      <c r="AC75" s="17">
        <f>VLOOKUP(A:A,[1]TDSheet!$A:$T,20,0)</f>
        <v>154.6</v>
      </c>
      <c r="AD75" s="17"/>
      <c r="AE75" s="17">
        <f t="shared" si="5"/>
        <v>307.5</v>
      </c>
      <c r="AF75" s="17">
        <f t="shared" si="6"/>
        <v>307.5</v>
      </c>
    </row>
    <row r="76" spans="1:32" ht="10.9" customHeight="1" x14ac:dyDescent="0.2">
      <c r="A76" s="8" t="s">
        <v>80</v>
      </c>
      <c r="B76" s="8" t="s">
        <v>16</v>
      </c>
      <c r="C76" s="8">
        <f>VLOOKUP(A:A,[1]TDSheet!$A:$C,3,0)</f>
        <v>7070</v>
      </c>
      <c r="D76" s="9">
        <v>118.04300000000001</v>
      </c>
      <c r="E76" s="9">
        <v>198.809</v>
      </c>
      <c r="F76" s="9">
        <v>119.968</v>
      </c>
      <c r="G76" s="9">
        <v>187.96</v>
      </c>
      <c r="H76">
        <f>VLOOKUP(A:A,[1]TDSheet!$A:$H,8,0)</f>
        <v>1</v>
      </c>
      <c r="I76">
        <f>VLOOKUP(A:A,[1]TDSheet!$A:$I,9,0)</f>
        <v>50</v>
      </c>
      <c r="J76" t="str">
        <f>VLOOKUP(A:A,[1]TDSheet!$A:$J,10,0)</f>
        <v>в матрице</v>
      </c>
      <c r="L76" s="17">
        <f>VLOOKUP(A:A,[2]TDSheet!$A:$B,2,0)</f>
        <v>126.5</v>
      </c>
      <c r="M76" s="17">
        <f t="shared" ref="M76:M109" si="7">F76-L76</f>
        <v>-6.5319999999999965</v>
      </c>
      <c r="N76" s="17"/>
      <c r="O76" s="17"/>
      <c r="P76" s="17"/>
      <c r="Q76" s="17"/>
      <c r="R76" s="17">
        <f>VLOOKUP(A:A,[1]TDSheet!$A:$O,15,0)</f>
        <v>0</v>
      </c>
      <c r="S76" s="17">
        <f>VLOOKUP(A:A,[1]TDSheet!$A:$O,15,0)</f>
        <v>0</v>
      </c>
      <c r="T76" s="17">
        <f t="shared" ref="T76:T109" si="8">F76/5</f>
        <v>23.993600000000001</v>
      </c>
      <c r="U76" s="18">
        <v>200</v>
      </c>
      <c r="V76" s="33">
        <f>VLOOKUP(A:A,[3]TDSheet!$A:$V,22,0)</f>
        <v>100</v>
      </c>
      <c r="W76" s="34">
        <f>VLOOKUP(A:A,[4]TDSheet!$A:$V,22,0)</f>
        <v>100</v>
      </c>
      <c r="X76" s="17">
        <f t="shared" ref="X76:X109" si="9">(G76+R76+S76+U76)/T76</f>
        <v>16.169311816484395</v>
      </c>
      <c r="Y76" s="17">
        <f t="shared" ref="Y76:Y109" si="10">G76/T76</f>
        <v>7.8337556681781813</v>
      </c>
      <c r="Z76" s="17">
        <f>VLOOKUP(A:A,[1]TDSheet!$A:$AB,28,0)</f>
        <v>19.577400000000001</v>
      </c>
      <c r="AA76" s="17">
        <f>VLOOKUP(A:A,[1]TDSheet!$A:$AC,29,0)</f>
        <v>23.4</v>
      </c>
      <c r="AB76" s="17">
        <f>VLOOKUP(A:A,[1]TDSheet!$A:$AD,30,0)</f>
        <v>28.195399999999999</v>
      </c>
      <c r="AC76" s="17">
        <f>VLOOKUP(A:A,[1]TDSheet!$A:$T,20,0)</f>
        <v>17.883800000000001</v>
      </c>
      <c r="AD76" s="17"/>
      <c r="AE76" s="17">
        <f t="shared" ref="AE76:AE109" si="11">V76*H76</f>
        <v>100</v>
      </c>
      <c r="AF76" s="17">
        <f t="shared" ref="AF76:AF109" si="12">W76*H76</f>
        <v>100</v>
      </c>
    </row>
    <row r="77" spans="1:32" ht="10.9" customHeight="1" x14ac:dyDescent="0.2">
      <c r="A77" s="8" t="s">
        <v>81</v>
      </c>
      <c r="B77" s="8" t="s">
        <v>14</v>
      </c>
      <c r="C77" s="8">
        <f>VLOOKUP(A:A,[1]TDSheet!$A:$C,3,0)</f>
        <v>7073</v>
      </c>
      <c r="D77" s="9">
        <v>276</v>
      </c>
      <c r="E77" s="9">
        <v>44</v>
      </c>
      <c r="F77" s="9">
        <v>160</v>
      </c>
      <c r="G77" s="9">
        <v>158</v>
      </c>
      <c r="H77">
        <f>VLOOKUP(A:A,[1]TDSheet!$A:$H,8,0)</f>
        <v>0.35</v>
      </c>
      <c r="I77">
        <f>VLOOKUP(A:A,[1]TDSheet!$A:$I,9,0)</f>
        <v>50</v>
      </c>
      <c r="J77" t="str">
        <f>VLOOKUP(A:A,[1]TDSheet!$A:$J,10,0)</f>
        <v>в матрице</v>
      </c>
      <c r="L77" s="17">
        <f>VLOOKUP(A:A,[2]TDSheet!$A:$B,2,0)</f>
        <v>161</v>
      </c>
      <c r="M77" s="17">
        <f t="shared" si="7"/>
        <v>-1</v>
      </c>
      <c r="N77" s="17"/>
      <c r="O77" s="17"/>
      <c r="P77" s="17"/>
      <c r="Q77" s="17"/>
      <c r="R77" s="17">
        <f>VLOOKUP(A:A,[1]TDSheet!$A:$O,15,0)</f>
        <v>0</v>
      </c>
      <c r="S77" s="17">
        <f>VLOOKUP(A:A,[1]TDSheet!$A:$O,15,0)</f>
        <v>0</v>
      </c>
      <c r="T77" s="17">
        <f t="shared" si="8"/>
        <v>32</v>
      </c>
      <c r="U77" s="18">
        <v>360</v>
      </c>
      <c r="V77" s="33">
        <f>VLOOKUP(A:A,[3]TDSheet!$A:$V,22,0)</f>
        <v>180</v>
      </c>
      <c r="W77" s="34">
        <f>VLOOKUP(A:A,[4]TDSheet!$A:$V,22,0)</f>
        <v>180</v>
      </c>
      <c r="X77" s="17">
        <f t="shared" si="9"/>
        <v>16.1875</v>
      </c>
      <c r="Y77" s="17">
        <f t="shared" si="10"/>
        <v>4.9375</v>
      </c>
      <c r="Z77" s="17">
        <f>VLOOKUP(A:A,[1]TDSheet!$A:$AB,28,0)</f>
        <v>11.2</v>
      </c>
      <c r="AA77" s="17">
        <f>VLOOKUP(A:A,[1]TDSheet!$A:$AC,29,0)</f>
        <v>26.8</v>
      </c>
      <c r="AB77" s="17">
        <f>VLOOKUP(A:A,[1]TDSheet!$A:$AD,30,0)</f>
        <v>26.4</v>
      </c>
      <c r="AC77" s="17">
        <f>VLOOKUP(A:A,[1]TDSheet!$A:$T,20,0)</f>
        <v>11.2</v>
      </c>
      <c r="AD77" s="17"/>
      <c r="AE77" s="17">
        <f t="shared" si="11"/>
        <v>62.999999999999993</v>
      </c>
      <c r="AF77" s="17">
        <f t="shared" si="12"/>
        <v>62.999999999999993</v>
      </c>
    </row>
    <row r="78" spans="1:32" ht="10.9" customHeight="1" x14ac:dyDescent="0.2">
      <c r="A78" s="21" t="s">
        <v>82</v>
      </c>
      <c r="B78" s="8" t="s">
        <v>16</v>
      </c>
      <c r="C78" s="8">
        <f>VLOOKUP(A:A,[1]TDSheet!$A:$C,3,0)</f>
        <v>7075</v>
      </c>
      <c r="D78" s="9">
        <v>-7.7430000000000003</v>
      </c>
      <c r="E78" s="9">
        <v>37.54</v>
      </c>
      <c r="F78" s="9">
        <v>1.56</v>
      </c>
      <c r="G78" s="9">
        <v>28.236999999999998</v>
      </c>
      <c r="H78">
        <f>VLOOKUP(A:A,[1]TDSheet!$A:$H,8,0)</f>
        <v>1</v>
      </c>
      <c r="I78">
        <f>VLOOKUP(A:A,[1]TDSheet!$A:$I,9,0)</f>
        <v>50</v>
      </c>
      <c r="J78" t="str">
        <f>VLOOKUP(A:A,[1]TDSheet!$A:$J,10,0)</f>
        <v>в матрице</v>
      </c>
      <c r="L78" s="17">
        <f>VLOOKUP(A:A,[2]TDSheet!$A:$B,2,0)</f>
        <v>1.5</v>
      </c>
      <c r="M78" s="17">
        <f t="shared" si="7"/>
        <v>6.0000000000000053E-2</v>
      </c>
      <c r="N78" s="17"/>
      <c r="O78" s="17"/>
      <c r="P78" s="17"/>
      <c r="Q78" s="17"/>
      <c r="R78" s="17">
        <f>VLOOKUP(A:A,[1]TDSheet!$A:$O,15,0)</f>
        <v>5</v>
      </c>
      <c r="S78" s="17">
        <f>VLOOKUP(A:A,[1]TDSheet!$A:$O,15,0)</f>
        <v>5</v>
      </c>
      <c r="T78" s="17">
        <f t="shared" si="8"/>
        <v>0.312</v>
      </c>
      <c r="U78" s="18"/>
      <c r="V78" s="33">
        <f>VLOOKUP(A:A,[3]TDSheet!$A:$V,22,0)</f>
        <v>0</v>
      </c>
      <c r="W78" s="34">
        <f>VLOOKUP(A:A,[4]TDSheet!$A:$V,22,0)</f>
        <v>0</v>
      </c>
      <c r="X78" s="17">
        <f t="shared" si="9"/>
        <v>122.55448717948717</v>
      </c>
      <c r="Y78" s="17">
        <f t="shared" si="10"/>
        <v>90.503205128205124</v>
      </c>
      <c r="Z78" s="17">
        <f>VLOOKUP(A:A,[1]TDSheet!$A:$AB,28,0)</f>
        <v>1.0014000000000001</v>
      </c>
      <c r="AA78" s="17">
        <f>VLOOKUP(A:A,[1]TDSheet!$A:$AC,29,0)</f>
        <v>1.2316</v>
      </c>
      <c r="AB78" s="17">
        <f>VLOOKUP(A:A,[1]TDSheet!$A:$AD,30,0)</f>
        <v>4.0224000000000002</v>
      </c>
      <c r="AC78" s="17">
        <f>VLOOKUP(A:A,[1]TDSheet!$A:$T,20,0)</f>
        <v>2.4882</v>
      </c>
      <c r="AD78" s="17" t="str">
        <f>VLOOKUP(A:A,[1]TDSheet!$A:$AE,31,0)</f>
        <v>27,12,25 списание 14кг (пересчет) / 08,12,25 при пересчете нашли 41кг!!!</v>
      </c>
      <c r="AE78" s="17">
        <f t="shared" si="11"/>
        <v>0</v>
      </c>
      <c r="AF78" s="17">
        <f t="shared" si="12"/>
        <v>0</v>
      </c>
    </row>
    <row r="79" spans="1:32" ht="10.9" customHeight="1" x14ac:dyDescent="0.2">
      <c r="A79" s="8" t="s">
        <v>83</v>
      </c>
      <c r="B79" s="8" t="s">
        <v>14</v>
      </c>
      <c r="C79" s="8">
        <f>VLOOKUP(A:A,[1]TDSheet!$A:$C,3,0)</f>
        <v>7080</v>
      </c>
      <c r="D79" s="9">
        <v>709</v>
      </c>
      <c r="E79" s="9">
        <v>102</v>
      </c>
      <c r="F79" s="9">
        <v>495</v>
      </c>
      <c r="G79" s="9">
        <v>308</v>
      </c>
      <c r="H79">
        <f>VLOOKUP(A:A,[1]TDSheet!$A:$H,8,0)</f>
        <v>0.41</v>
      </c>
      <c r="I79">
        <f>VLOOKUP(A:A,[1]TDSheet!$A:$I,9,0)</f>
        <v>50</v>
      </c>
      <c r="J79" t="str">
        <f>VLOOKUP(A:A,[1]TDSheet!$A:$J,10,0)</f>
        <v>в матрице</v>
      </c>
      <c r="L79" s="17">
        <f>VLOOKUP(A:A,[2]TDSheet!$A:$B,2,0)</f>
        <v>498</v>
      </c>
      <c r="M79" s="17">
        <f t="shared" si="7"/>
        <v>-3</v>
      </c>
      <c r="N79" s="17"/>
      <c r="O79" s="17"/>
      <c r="P79" s="17"/>
      <c r="Q79" s="17"/>
      <c r="R79" s="17">
        <f>VLOOKUP(A:A,[1]TDSheet!$A:$O,15,0)</f>
        <v>325</v>
      </c>
      <c r="S79" s="17">
        <f>VLOOKUP(A:A,[1]TDSheet!$A:$O,15,0)</f>
        <v>325</v>
      </c>
      <c r="T79" s="17">
        <f t="shared" si="8"/>
        <v>99</v>
      </c>
      <c r="U79" s="18">
        <v>520</v>
      </c>
      <c r="V79" s="33">
        <f>VLOOKUP(A:A,[3]TDSheet!$A:$V,22,0)</f>
        <v>260</v>
      </c>
      <c r="W79" s="34">
        <f>VLOOKUP(A:A,[4]TDSheet!$A:$V,22,0)</f>
        <v>250</v>
      </c>
      <c r="X79" s="17">
        <f t="shared" si="9"/>
        <v>14.929292929292929</v>
      </c>
      <c r="Y79" s="17">
        <f t="shared" si="10"/>
        <v>3.1111111111111112</v>
      </c>
      <c r="Z79" s="17">
        <f>VLOOKUP(A:A,[1]TDSheet!$A:$AB,28,0)</f>
        <v>126.8</v>
      </c>
      <c r="AA79" s="17">
        <f>VLOOKUP(A:A,[1]TDSheet!$A:$AC,29,0)</f>
        <v>115.4</v>
      </c>
      <c r="AB79" s="17">
        <f>VLOOKUP(A:A,[1]TDSheet!$A:$AD,30,0)</f>
        <v>92.2</v>
      </c>
      <c r="AC79" s="17">
        <f>VLOOKUP(A:A,[1]TDSheet!$A:$T,20,0)</f>
        <v>97.4</v>
      </c>
      <c r="AD79" s="17"/>
      <c r="AE79" s="17">
        <f t="shared" si="11"/>
        <v>106.6</v>
      </c>
      <c r="AF79" s="17">
        <f t="shared" si="12"/>
        <v>102.5</v>
      </c>
    </row>
    <row r="80" spans="1:32" ht="10.9" customHeight="1" x14ac:dyDescent="0.2">
      <c r="A80" s="8" t="s">
        <v>84</v>
      </c>
      <c r="B80" s="8" t="s">
        <v>16</v>
      </c>
      <c r="C80" s="8">
        <f>VLOOKUP(A:A,[1]TDSheet!$A:$C,3,0)</f>
        <v>7082</v>
      </c>
      <c r="D80" s="9">
        <v>-1.5620000000000001</v>
      </c>
      <c r="E80" s="9"/>
      <c r="F80" s="9">
        <v>-3.0369999999999999</v>
      </c>
      <c r="G80" s="9">
        <v>-1.5620000000000001</v>
      </c>
      <c r="H80">
        <f>VLOOKUP(A:A,[1]TDSheet!$A:$H,8,0)</f>
        <v>1</v>
      </c>
      <c r="L80" s="17">
        <v>0</v>
      </c>
      <c r="M80" s="17">
        <f t="shared" si="7"/>
        <v>-3.0369999999999999</v>
      </c>
      <c r="N80" s="17"/>
      <c r="O80" s="17"/>
      <c r="P80" s="17"/>
      <c r="Q80" s="17"/>
      <c r="R80" s="17">
        <f>VLOOKUP(A:A,[1]TDSheet!$A:$O,15,0)</f>
        <v>0</v>
      </c>
      <c r="S80" s="17">
        <f>VLOOKUP(A:A,[1]TDSheet!$A:$O,15,0)</f>
        <v>0</v>
      </c>
      <c r="T80" s="17">
        <f t="shared" si="8"/>
        <v>-0.60739999999999994</v>
      </c>
      <c r="U80" s="18"/>
      <c r="V80" s="33">
        <f>VLOOKUP(A:A,[3]TDSheet!$A:$V,22,0)</f>
        <v>0</v>
      </c>
      <c r="W80" s="34">
        <f>VLOOKUP(A:A,[4]TDSheet!$A:$V,22,0)</f>
        <v>0</v>
      </c>
      <c r="X80" s="17">
        <f t="shared" si="9"/>
        <v>2.5716167270332568</v>
      </c>
      <c r="Y80" s="17">
        <f t="shared" si="10"/>
        <v>2.5716167270332568</v>
      </c>
      <c r="Z80" s="17">
        <f>VLOOKUP(A:A,[1]TDSheet!$A:$AB,28,0)</f>
        <v>0</v>
      </c>
      <c r="AA80" s="17">
        <f>VLOOKUP(A:A,[1]TDSheet!$A:$AC,29,0)</f>
        <v>0</v>
      </c>
      <c r="AB80" s="17">
        <f>VLOOKUP(A:A,[1]TDSheet!$A:$AD,30,0)</f>
        <v>0</v>
      </c>
      <c r="AC80" s="17">
        <f>VLOOKUP(A:A,[1]TDSheet!$A:$T,20,0)</f>
        <v>-0.43080000000000002</v>
      </c>
      <c r="AD80" s="17"/>
      <c r="AE80" s="17">
        <f t="shared" si="11"/>
        <v>0</v>
      </c>
      <c r="AF80" s="17">
        <f t="shared" si="12"/>
        <v>0</v>
      </c>
    </row>
    <row r="81" spans="1:32" ht="10.9" customHeight="1" x14ac:dyDescent="0.2">
      <c r="A81" s="8" t="s">
        <v>85</v>
      </c>
      <c r="B81" s="8" t="s">
        <v>16</v>
      </c>
      <c r="C81" s="8">
        <f>VLOOKUP(A:A,[1]TDSheet!$A:$C,3,0)</f>
        <v>7083</v>
      </c>
      <c r="D81" s="9">
        <v>158.964</v>
      </c>
      <c r="E81" s="9">
        <v>3.0579999999999998</v>
      </c>
      <c r="F81" s="9">
        <v>61.933999999999997</v>
      </c>
      <c r="G81" s="9">
        <v>98.575999999999993</v>
      </c>
      <c r="H81">
        <f>VLOOKUP(A:A,[1]TDSheet!$A:$H,8,0)</f>
        <v>1</v>
      </c>
      <c r="L81" s="17">
        <f>VLOOKUP(A:A,[2]TDSheet!$A:$B,2,0)</f>
        <v>61.8</v>
      </c>
      <c r="M81" s="17">
        <f t="shared" si="7"/>
        <v>0.13400000000000034</v>
      </c>
      <c r="N81" s="17"/>
      <c r="O81" s="17"/>
      <c r="P81" s="17"/>
      <c r="Q81" s="17"/>
      <c r="R81" s="17">
        <f>VLOOKUP(A:A,[1]TDSheet!$A:$O,15,0)</f>
        <v>0</v>
      </c>
      <c r="S81" s="17">
        <f>VLOOKUP(A:A,[1]TDSheet!$A:$O,15,0)</f>
        <v>0</v>
      </c>
      <c r="T81" s="17">
        <f t="shared" si="8"/>
        <v>12.386799999999999</v>
      </c>
      <c r="U81" s="18">
        <v>150</v>
      </c>
      <c r="V81" s="33">
        <f>VLOOKUP(A:A,[3]TDSheet!$A:$V,22,0)</f>
        <v>75</v>
      </c>
      <c r="W81" s="34">
        <f>VLOOKUP(A:A,[4]TDSheet!$A:$V,22,0)</f>
        <v>75</v>
      </c>
      <c r="X81" s="17">
        <f t="shared" si="9"/>
        <v>20.067814124713404</v>
      </c>
      <c r="Y81" s="17">
        <f t="shared" si="10"/>
        <v>7.9581489973197277</v>
      </c>
      <c r="Z81" s="17">
        <f>VLOOKUP(A:A,[1]TDSheet!$A:$AB,28,0)</f>
        <v>10.958600000000001</v>
      </c>
      <c r="AA81" s="17">
        <f>VLOOKUP(A:A,[1]TDSheet!$A:$AC,29,0)</f>
        <v>16.249199999999998</v>
      </c>
      <c r="AB81" s="17">
        <f>VLOOKUP(A:A,[1]TDSheet!$A:$AD,30,0)</f>
        <v>12.334199999999999</v>
      </c>
      <c r="AC81" s="17">
        <f>VLOOKUP(A:A,[1]TDSheet!$A:$T,20,0)</f>
        <v>6.1597999999999997</v>
      </c>
      <c r="AD81" s="17"/>
      <c r="AE81" s="17">
        <f t="shared" si="11"/>
        <v>75</v>
      </c>
      <c r="AF81" s="17">
        <f t="shared" si="12"/>
        <v>75</v>
      </c>
    </row>
    <row r="82" spans="1:32" ht="10.9" customHeight="1" x14ac:dyDescent="0.2">
      <c r="A82" s="8" t="s">
        <v>86</v>
      </c>
      <c r="B82" s="8" t="s">
        <v>14</v>
      </c>
      <c r="C82" s="8">
        <f>VLOOKUP(A:A,[1]TDSheet!$A:$C,3,0)</f>
        <v>7090</v>
      </c>
      <c r="D82" s="9">
        <v>163</v>
      </c>
      <c r="E82" s="9">
        <v>242</v>
      </c>
      <c r="F82" s="9">
        <v>94</v>
      </c>
      <c r="G82" s="9">
        <v>303</v>
      </c>
      <c r="H82">
        <f>VLOOKUP(A:A,[1]TDSheet!$A:$H,8,0)</f>
        <v>0.3</v>
      </c>
      <c r="I82">
        <f>VLOOKUP(A:A,[1]TDSheet!$A:$I,9,0)</f>
        <v>50</v>
      </c>
      <c r="J82" t="str">
        <f>VLOOKUP(A:A,[1]TDSheet!$A:$J,10,0)</f>
        <v>в матрице</v>
      </c>
      <c r="L82" s="17">
        <f>VLOOKUP(A:A,[2]TDSheet!$A:$B,2,0)</f>
        <v>102</v>
      </c>
      <c r="M82" s="17">
        <f t="shared" si="7"/>
        <v>-8</v>
      </c>
      <c r="N82" s="17"/>
      <c r="O82" s="17"/>
      <c r="P82" s="17"/>
      <c r="Q82" s="17"/>
      <c r="R82" s="17">
        <f>VLOOKUP(A:A,[1]TDSheet!$A:$O,15,0)</f>
        <v>0</v>
      </c>
      <c r="S82" s="17">
        <f>VLOOKUP(A:A,[1]TDSheet!$A:$O,15,0)</f>
        <v>0</v>
      </c>
      <c r="T82" s="17">
        <f t="shared" si="8"/>
        <v>18.8</v>
      </c>
      <c r="U82" s="18"/>
      <c r="V82" s="33">
        <f>VLOOKUP(A:A,[3]TDSheet!$A:$V,22,0)</f>
        <v>0</v>
      </c>
      <c r="W82" s="34">
        <f>VLOOKUP(A:A,[4]TDSheet!$A:$V,22,0)</f>
        <v>0</v>
      </c>
      <c r="X82" s="17">
        <f t="shared" si="9"/>
        <v>16.117021276595743</v>
      </c>
      <c r="Y82" s="17">
        <f t="shared" si="10"/>
        <v>16.117021276595743</v>
      </c>
      <c r="Z82" s="17">
        <f>VLOOKUP(A:A,[1]TDSheet!$A:$AB,28,0)</f>
        <v>35.799999999999997</v>
      </c>
      <c r="AA82" s="17">
        <f>VLOOKUP(A:A,[1]TDSheet!$A:$AC,29,0)</f>
        <v>29.6</v>
      </c>
      <c r="AB82" s="17">
        <f>VLOOKUP(A:A,[1]TDSheet!$A:$AD,30,0)</f>
        <v>33.200000000000003</v>
      </c>
      <c r="AC82" s="17">
        <f>VLOOKUP(A:A,[1]TDSheet!$A:$T,20,0)</f>
        <v>18.600000000000001</v>
      </c>
      <c r="AD82" s="17" t="str">
        <f>VLOOKUP(A:A,[1]TDSheet!$A:$AE,31,0)</f>
        <v>17,09,25 списание (143 шт. / сроки)</v>
      </c>
      <c r="AE82" s="17">
        <f t="shared" si="11"/>
        <v>0</v>
      </c>
      <c r="AF82" s="17">
        <f t="shared" si="12"/>
        <v>0</v>
      </c>
    </row>
    <row r="83" spans="1:32" ht="10.9" customHeight="1" x14ac:dyDescent="0.2">
      <c r="A83" s="8" t="s">
        <v>87</v>
      </c>
      <c r="B83" s="8" t="s">
        <v>14</v>
      </c>
      <c r="C83" s="8">
        <f>VLOOKUP(A:A,[1]TDSheet!$A:$C,3,0)</f>
        <v>7103</v>
      </c>
      <c r="D83" s="9">
        <v>5</v>
      </c>
      <c r="E83" s="9">
        <v>302</v>
      </c>
      <c r="F83" s="9">
        <v>68</v>
      </c>
      <c r="G83" s="9">
        <v>226</v>
      </c>
      <c r="H83">
        <f>VLOOKUP(A:A,[1]TDSheet!$A:$H,8,0)</f>
        <v>0.18</v>
      </c>
      <c r="I83">
        <f>VLOOKUP(A:A,[1]TDSheet!$A:$I,9,0)</f>
        <v>50</v>
      </c>
      <c r="J83" t="str">
        <f>VLOOKUP(A:A,[1]TDSheet!$A:$J,10,0)</f>
        <v>в матрице</v>
      </c>
      <c r="L83" s="17">
        <f>VLOOKUP(A:A,[2]TDSheet!$A:$B,2,0)</f>
        <v>124</v>
      </c>
      <c r="M83" s="17">
        <f t="shared" si="7"/>
        <v>-56</v>
      </c>
      <c r="N83" s="17"/>
      <c r="O83" s="17"/>
      <c r="P83" s="17"/>
      <c r="Q83" s="17"/>
      <c r="R83" s="17">
        <f>VLOOKUP(A:A,[1]TDSheet!$A:$O,15,0)</f>
        <v>0</v>
      </c>
      <c r="S83" s="17">
        <f>VLOOKUP(A:A,[1]TDSheet!$A:$O,15,0)</f>
        <v>0</v>
      </c>
      <c r="T83" s="17">
        <f t="shared" si="8"/>
        <v>13.6</v>
      </c>
      <c r="U83" s="18"/>
      <c r="V83" s="33">
        <f>VLOOKUP(A:A,[3]TDSheet!$A:$V,22,0)</f>
        <v>0</v>
      </c>
      <c r="W83" s="34">
        <f>VLOOKUP(A:A,[4]TDSheet!$A:$V,22,0)</f>
        <v>0</v>
      </c>
      <c r="X83" s="17">
        <f t="shared" si="9"/>
        <v>16.617647058823529</v>
      </c>
      <c r="Y83" s="17">
        <f t="shared" si="10"/>
        <v>16.617647058823529</v>
      </c>
      <c r="Z83" s="17">
        <f>VLOOKUP(A:A,[1]TDSheet!$A:$AB,28,0)</f>
        <v>12.8</v>
      </c>
      <c r="AA83" s="17">
        <f>VLOOKUP(A:A,[1]TDSheet!$A:$AC,29,0)</f>
        <v>11</v>
      </c>
      <c r="AB83" s="17">
        <f>VLOOKUP(A:A,[1]TDSheet!$A:$AD,30,0)</f>
        <v>21.8</v>
      </c>
      <c r="AC83" s="17">
        <f>VLOOKUP(A:A,[1]TDSheet!$A:$T,20,0)</f>
        <v>9.4</v>
      </c>
      <c r="AD83" s="17"/>
      <c r="AE83" s="17">
        <f t="shared" si="11"/>
        <v>0</v>
      </c>
      <c r="AF83" s="17">
        <f t="shared" si="12"/>
        <v>0</v>
      </c>
    </row>
    <row r="84" spans="1:32" ht="10.9" customHeight="1" x14ac:dyDescent="0.2">
      <c r="A84" s="8" t="s">
        <v>88</v>
      </c>
      <c r="B84" s="8" t="s">
        <v>16</v>
      </c>
      <c r="C84" s="8">
        <f>VLOOKUP(A:A,[1]TDSheet!$A:$C,3,0)</f>
        <v>7131</v>
      </c>
      <c r="D84" s="9">
        <v>0.56000000000000005</v>
      </c>
      <c r="E84" s="9"/>
      <c r="F84" s="9">
        <v>0</v>
      </c>
      <c r="G84" s="9">
        <v>0.56000000000000005</v>
      </c>
      <c r="H84">
        <f>VLOOKUP(A:A,[1]TDSheet!$A:$H,8,0)</f>
        <v>1</v>
      </c>
      <c r="I84">
        <f>VLOOKUP(A:A,[1]TDSheet!$A:$I,9,0)</f>
        <v>45</v>
      </c>
      <c r="J84" t="str">
        <f>VLOOKUP(A:A,[1]TDSheet!$A:$J,10,0)</f>
        <v>в матрице</v>
      </c>
      <c r="L84" s="17">
        <f>VLOOKUP(A:A,[2]TDSheet!$A:$B,2,0)</f>
        <v>10.5</v>
      </c>
      <c r="M84" s="17">
        <f t="shared" si="7"/>
        <v>-10.5</v>
      </c>
      <c r="N84" s="17"/>
      <c r="O84" s="17"/>
      <c r="P84" s="17"/>
      <c r="Q84" s="17"/>
      <c r="R84" s="17">
        <f>VLOOKUP(A:A,[1]TDSheet!$A:$O,15,0)</f>
        <v>0</v>
      </c>
      <c r="S84" s="17">
        <f>VLOOKUP(A:A,[1]TDSheet!$A:$O,15,0)</f>
        <v>0</v>
      </c>
      <c r="T84" s="17">
        <f t="shared" si="8"/>
        <v>0</v>
      </c>
      <c r="U84" s="18"/>
      <c r="V84" s="33">
        <f>VLOOKUP(A:A,[3]TDSheet!$A:$V,22,0)</f>
        <v>0</v>
      </c>
      <c r="W84" s="34">
        <f>VLOOKUP(A:A,[4]TDSheet!$A:$V,22,0)</f>
        <v>0</v>
      </c>
      <c r="X84" s="17" t="e">
        <f t="shared" si="9"/>
        <v>#DIV/0!</v>
      </c>
      <c r="Y84" s="17" t="e">
        <f t="shared" si="10"/>
        <v>#DIV/0!</v>
      </c>
      <c r="Z84" s="17">
        <f>VLOOKUP(A:A,[1]TDSheet!$A:$AB,28,0)</f>
        <v>8.0774000000000008</v>
      </c>
      <c r="AA84" s="17">
        <f>VLOOKUP(A:A,[1]TDSheet!$A:$AC,29,0)</f>
        <v>5.4142000000000001</v>
      </c>
      <c r="AB84" s="17">
        <f>VLOOKUP(A:A,[1]TDSheet!$A:$AD,30,0)</f>
        <v>5.0579999999999998</v>
      </c>
      <c r="AC84" s="17">
        <f>VLOOKUP(A:A,[1]TDSheet!$A:$T,20,0)</f>
        <v>0.16800000000000001</v>
      </c>
      <c r="AD84" s="17"/>
      <c r="AE84" s="17">
        <f t="shared" si="11"/>
        <v>0</v>
      </c>
      <c r="AF84" s="17">
        <f t="shared" si="12"/>
        <v>0</v>
      </c>
    </row>
    <row r="85" spans="1:32" ht="10.9" customHeight="1" x14ac:dyDescent="0.2">
      <c r="A85" s="8" t="s">
        <v>89</v>
      </c>
      <c r="B85" s="8" t="s">
        <v>14</v>
      </c>
      <c r="C85" s="8">
        <f>VLOOKUP(A:A,[1]TDSheet!$A:$C,3,0)</f>
        <v>7154</v>
      </c>
      <c r="D85" s="9">
        <v>416</v>
      </c>
      <c r="E85" s="9">
        <v>149</v>
      </c>
      <c r="F85" s="9">
        <v>466</v>
      </c>
      <c r="G85" s="9">
        <v>78</v>
      </c>
      <c r="H85">
        <f>VLOOKUP(A:A,[1]TDSheet!$A:$H,8,0)</f>
        <v>0.35</v>
      </c>
      <c r="I85">
        <f>VLOOKUP(A:A,[1]TDSheet!$A:$I,9,0)</f>
        <v>50</v>
      </c>
      <c r="J85" t="str">
        <f>VLOOKUP(A:A,[1]TDSheet!$A:$J,10,0)</f>
        <v>в матрице</v>
      </c>
      <c r="L85" s="17">
        <f>VLOOKUP(A:A,[2]TDSheet!$A:$B,2,0)</f>
        <v>496</v>
      </c>
      <c r="M85" s="17">
        <f t="shared" si="7"/>
        <v>-30</v>
      </c>
      <c r="N85" s="17"/>
      <c r="O85" s="17"/>
      <c r="P85" s="17"/>
      <c r="Q85" s="17"/>
      <c r="R85" s="17">
        <f>VLOOKUP(A:A,[1]TDSheet!$A:$O,15,0)</f>
        <v>425</v>
      </c>
      <c r="S85" s="17">
        <f>VLOOKUP(A:A,[1]TDSheet!$A:$O,15,0)</f>
        <v>425</v>
      </c>
      <c r="T85" s="17">
        <f t="shared" si="8"/>
        <v>93.2</v>
      </c>
      <c r="U85" s="18">
        <v>430</v>
      </c>
      <c r="V85" s="33">
        <f>VLOOKUP(A:A,[3]TDSheet!$A:$V,22,0)</f>
        <v>225</v>
      </c>
      <c r="W85" s="34">
        <f>VLOOKUP(A:A,[4]TDSheet!$A:$V,22,0)</f>
        <v>200</v>
      </c>
      <c r="X85" s="17">
        <f t="shared" si="9"/>
        <v>14.570815450643776</v>
      </c>
      <c r="Y85" s="17">
        <f t="shared" si="10"/>
        <v>0.83690987124463512</v>
      </c>
      <c r="Z85" s="17">
        <f>VLOOKUP(A:A,[1]TDSheet!$A:$AB,28,0)</f>
        <v>90.4</v>
      </c>
      <c r="AA85" s="17">
        <f>VLOOKUP(A:A,[1]TDSheet!$A:$AC,29,0)</f>
        <v>82.8</v>
      </c>
      <c r="AB85" s="17">
        <f>VLOOKUP(A:A,[1]TDSheet!$A:$AD,30,0)</f>
        <v>70.8</v>
      </c>
      <c r="AC85" s="17">
        <f>VLOOKUP(A:A,[1]TDSheet!$A:$T,20,0)</f>
        <v>91.6</v>
      </c>
      <c r="AD85" s="17"/>
      <c r="AE85" s="17">
        <f t="shared" si="11"/>
        <v>78.75</v>
      </c>
      <c r="AF85" s="17">
        <f t="shared" si="12"/>
        <v>70</v>
      </c>
    </row>
    <row r="86" spans="1:32" ht="10.9" customHeight="1" x14ac:dyDescent="0.2">
      <c r="A86" s="8" t="s">
        <v>90</v>
      </c>
      <c r="B86" s="8" t="s">
        <v>16</v>
      </c>
      <c r="C86" s="8">
        <f>VLOOKUP(A:A,[1]TDSheet!$A:$C,3,0)</f>
        <v>7157</v>
      </c>
      <c r="D86" s="9">
        <v>53.01</v>
      </c>
      <c r="E86" s="9">
        <v>170.892</v>
      </c>
      <c r="F86" s="9">
        <v>136.91</v>
      </c>
      <c r="G86" s="9">
        <v>73.849000000000004</v>
      </c>
      <c r="H86">
        <f>VLOOKUP(A:A,[1]TDSheet!$A:$H,8,0)</f>
        <v>1</v>
      </c>
      <c r="I86">
        <f>VLOOKUP(A:A,[1]TDSheet!$A:$I,9,0)</f>
        <v>50</v>
      </c>
      <c r="J86" t="str">
        <f>VLOOKUP(A:A,[1]TDSheet!$A:$J,10,0)</f>
        <v>в матрице</v>
      </c>
      <c r="L86" s="17">
        <f>VLOOKUP(A:A,[2]TDSheet!$A:$B,2,0)</f>
        <v>151.5</v>
      </c>
      <c r="M86" s="17">
        <f t="shared" si="7"/>
        <v>-14.590000000000003</v>
      </c>
      <c r="N86" s="17"/>
      <c r="O86" s="17"/>
      <c r="P86" s="17"/>
      <c r="Q86" s="17"/>
      <c r="R86" s="17">
        <f>VLOOKUP(A:A,[1]TDSheet!$A:$O,15,0)</f>
        <v>100</v>
      </c>
      <c r="S86" s="17">
        <f>VLOOKUP(A:A,[1]TDSheet!$A:$O,15,0)</f>
        <v>100</v>
      </c>
      <c r="T86" s="17">
        <f t="shared" si="8"/>
        <v>27.381999999999998</v>
      </c>
      <c r="U86" s="18">
        <v>150</v>
      </c>
      <c r="V86" s="33">
        <f>VLOOKUP(A:A,[3]TDSheet!$A:$V,22,0)</f>
        <v>75</v>
      </c>
      <c r="W86" s="34">
        <f>VLOOKUP(A:A,[4]TDSheet!$A:$V,22,0)</f>
        <v>75</v>
      </c>
      <c r="X86" s="17">
        <f t="shared" si="9"/>
        <v>15.479110364473012</v>
      </c>
      <c r="Y86" s="17">
        <f t="shared" si="10"/>
        <v>2.6969907238331756</v>
      </c>
      <c r="Z86" s="17">
        <f>VLOOKUP(A:A,[1]TDSheet!$A:$AB,28,0)</f>
        <v>19.853999999999999</v>
      </c>
      <c r="AA86" s="17">
        <f>VLOOKUP(A:A,[1]TDSheet!$A:$AC,29,0)</f>
        <v>17.0016</v>
      </c>
      <c r="AB86" s="17">
        <f>VLOOKUP(A:A,[1]TDSheet!$A:$AD,30,0)</f>
        <v>21.861799999999999</v>
      </c>
      <c r="AC86" s="17">
        <f>VLOOKUP(A:A,[1]TDSheet!$A:$T,20,0)</f>
        <v>25.835999999999999</v>
      </c>
      <c r="AD86" s="17"/>
      <c r="AE86" s="17">
        <f t="shared" si="11"/>
        <v>75</v>
      </c>
      <c r="AF86" s="17">
        <f t="shared" si="12"/>
        <v>75</v>
      </c>
    </row>
    <row r="87" spans="1:32" ht="10.9" customHeight="1" x14ac:dyDescent="0.2">
      <c r="A87" s="8" t="s">
        <v>91</v>
      </c>
      <c r="B87" s="8" t="s">
        <v>16</v>
      </c>
      <c r="C87" s="8">
        <f>VLOOKUP(A:A,[1]TDSheet!$A:$C,3,0)</f>
        <v>7166</v>
      </c>
      <c r="D87" s="9">
        <v>-22.26</v>
      </c>
      <c r="E87" s="9">
        <v>289.01400000000001</v>
      </c>
      <c r="F87" s="9">
        <v>150.86500000000001</v>
      </c>
      <c r="G87" s="9">
        <v>103.33</v>
      </c>
      <c r="H87">
        <f>VLOOKUP(A:A,[1]TDSheet!$A:$H,8,0)</f>
        <v>1</v>
      </c>
      <c r="I87">
        <f>VLOOKUP(A:A,[1]TDSheet!$A:$I,9,0)</f>
        <v>50</v>
      </c>
      <c r="J87" t="str">
        <f>VLOOKUP(A:A,[1]TDSheet!$A:$J,10,0)</f>
        <v>в матрице</v>
      </c>
      <c r="L87" s="17">
        <f>VLOOKUP(A:A,[2]TDSheet!$A:$B,2,0)</f>
        <v>164.4</v>
      </c>
      <c r="M87" s="17">
        <f t="shared" si="7"/>
        <v>-13.534999999999997</v>
      </c>
      <c r="N87" s="17"/>
      <c r="O87" s="17"/>
      <c r="P87" s="17"/>
      <c r="Q87" s="17"/>
      <c r="R87" s="17">
        <f>VLOOKUP(A:A,[1]TDSheet!$A:$O,15,0)</f>
        <v>0</v>
      </c>
      <c r="S87" s="17">
        <f>VLOOKUP(A:A,[1]TDSheet!$A:$O,15,0)</f>
        <v>0</v>
      </c>
      <c r="T87" s="17">
        <f t="shared" si="8"/>
        <v>30.173000000000002</v>
      </c>
      <c r="U87" s="18">
        <v>430</v>
      </c>
      <c r="V87" s="33">
        <f>VLOOKUP(A:A,[3]TDSheet!$A:$V,22,0)</f>
        <v>225</v>
      </c>
      <c r="W87" s="34">
        <f>VLOOKUP(A:A,[4]TDSheet!$A:$V,22,0)</f>
        <v>200</v>
      </c>
      <c r="X87" s="17">
        <f t="shared" si="9"/>
        <v>17.675736585689194</v>
      </c>
      <c r="Y87" s="17">
        <f t="shared" si="10"/>
        <v>3.4245848937792065</v>
      </c>
      <c r="Z87" s="17">
        <f>VLOOKUP(A:A,[1]TDSheet!$A:$AB,28,0)</f>
        <v>37.647599999999997</v>
      </c>
      <c r="AA87" s="17">
        <f>VLOOKUP(A:A,[1]TDSheet!$A:$AC,29,0)</f>
        <v>32.890799999999999</v>
      </c>
      <c r="AB87" s="17">
        <f>VLOOKUP(A:A,[1]TDSheet!$A:$AD,30,0)</f>
        <v>37.547400000000003</v>
      </c>
      <c r="AC87" s="17">
        <f>VLOOKUP(A:A,[1]TDSheet!$A:$T,20,0)</f>
        <v>18.625</v>
      </c>
      <c r="AD87" s="17"/>
      <c r="AE87" s="17">
        <f t="shared" si="11"/>
        <v>225</v>
      </c>
      <c r="AF87" s="17">
        <f t="shared" si="12"/>
        <v>200</v>
      </c>
    </row>
    <row r="88" spans="1:32" ht="10.9" customHeight="1" x14ac:dyDescent="0.2">
      <c r="A88" s="8" t="s">
        <v>92</v>
      </c>
      <c r="B88" s="8" t="s">
        <v>14</v>
      </c>
      <c r="C88" s="8">
        <f>VLOOKUP(A:A,[1]TDSheet!$A:$C,3,0)</f>
        <v>7169</v>
      </c>
      <c r="D88" s="9">
        <v>301</v>
      </c>
      <c r="E88" s="9">
        <v>1098</v>
      </c>
      <c r="F88" s="9">
        <v>516</v>
      </c>
      <c r="G88" s="9">
        <v>859</v>
      </c>
      <c r="H88">
        <f>VLOOKUP(A:A,[1]TDSheet!$A:$H,8,0)</f>
        <v>0.35</v>
      </c>
      <c r="I88">
        <f>VLOOKUP(A:A,[1]TDSheet!$A:$I,9,0)</f>
        <v>50</v>
      </c>
      <c r="J88" t="str">
        <f>VLOOKUP(A:A,[1]TDSheet!$A:$J,10,0)</f>
        <v>в матрице</v>
      </c>
      <c r="L88" s="17">
        <f>VLOOKUP(A:A,[2]TDSheet!$A:$B,2,0)</f>
        <v>539</v>
      </c>
      <c r="M88" s="17">
        <f t="shared" si="7"/>
        <v>-23</v>
      </c>
      <c r="N88" s="17"/>
      <c r="O88" s="17"/>
      <c r="P88" s="17"/>
      <c r="Q88" s="17"/>
      <c r="R88" s="17">
        <f>VLOOKUP(A:A,[1]TDSheet!$A:$O,15,0)</f>
        <v>0</v>
      </c>
      <c r="S88" s="17">
        <f>VLOOKUP(A:A,[1]TDSheet!$A:$O,15,0)</f>
        <v>0</v>
      </c>
      <c r="T88" s="17">
        <f t="shared" si="8"/>
        <v>103.2</v>
      </c>
      <c r="U88" s="18">
        <v>640</v>
      </c>
      <c r="V88" s="33">
        <f>VLOOKUP(A:A,[3]TDSheet!$A:$V,22,0)</f>
        <v>325</v>
      </c>
      <c r="W88" s="34">
        <f>VLOOKUP(A:A,[4]TDSheet!$A:$V,22,0)</f>
        <v>315</v>
      </c>
      <c r="X88" s="17">
        <f t="shared" si="9"/>
        <v>14.525193798449612</v>
      </c>
      <c r="Y88" s="17">
        <f t="shared" si="10"/>
        <v>8.3236434108527124</v>
      </c>
      <c r="Z88" s="17">
        <f>VLOOKUP(A:A,[1]TDSheet!$A:$AB,28,0)</f>
        <v>95.8</v>
      </c>
      <c r="AA88" s="17">
        <f>VLOOKUP(A:A,[1]TDSheet!$A:$AC,29,0)</f>
        <v>86.2</v>
      </c>
      <c r="AB88" s="17">
        <f>VLOOKUP(A:A,[1]TDSheet!$A:$AD,30,0)</f>
        <v>110.6</v>
      </c>
      <c r="AC88" s="17">
        <f>VLOOKUP(A:A,[1]TDSheet!$A:$T,20,0)</f>
        <v>74.8</v>
      </c>
      <c r="AD88" s="17"/>
      <c r="AE88" s="17">
        <f t="shared" si="11"/>
        <v>113.74999999999999</v>
      </c>
      <c r="AF88" s="17">
        <f t="shared" si="12"/>
        <v>110.25</v>
      </c>
    </row>
    <row r="89" spans="1:32" ht="10.9" customHeight="1" x14ac:dyDescent="0.2">
      <c r="A89" s="8" t="s">
        <v>93</v>
      </c>
      <c r="B89" s="8" t="s">
        <v>14</v>
      </c>
      <c r="C89" s="8">
        <f>VLOOKUP(A:A,[1]TDSheet!$A:$C,3,0)</f>
        <v>7187</v>
      </c>
      <c r="D89" s="9">
        <v>53</v>
      </c>
      <c r="E89" s="9">
        <v>244</v>
      </c>
      <c r="F89" s="9">
        <v>92</v>
      </c>
      <c r="G89" s="9">
        <v>197</v>
      </c>
      <c r="H89">
        <f>VLOOKUP(A:A,[1]TDSheet!$A:$H,8,0)</f>
        <v>0.3</v>
      </c>
      <c r="I89">
        <f>VLOOKUP(A:A,[1]TDSheet!$A:$I,9,0)</f>
        <v>50</v>
      </c>
      <c r="J89" t="str">
        <f>VLOOKUP(A:A,[1]TDSheet!$A:$J,10,0)</f>
        <v>в матрице</v>
      </c>
      <c r="L89" s="17">
        <f>VLOOKUP(A:A,[2]TDSheet!$A:$B,2,0)</f>
        <v>100</v>
      </c>
      <c r="M89" s="17">
        <f t="shared" si="7"/>
        <v>-8</v>
      </c>
      <c r="N89" s="17"/>
      <c r="O89" s="17"/>
      <c r="P89" s="17"/>
      <c r="Q89" s="17"/>
      <c r="R89" s="17">
        <f>VLOOKUP(A:A,[1]TDSheet!$A:$O,15,0)</f>
        <v>0</v>
      </c>
      <c r="S89" s="17">
        <f>VLOOKUP(A:A,[1]TDSheet!$A:$O,15,0)</f>
        <v>0</v>
      </c>
      <c r="T89" s="17">
        <f t="shared" si="8"/>
        <v>18.399999999999999</v>
      </c>
      <c r="U89" s="18">
        <v>120</v>
      </c>
      <c r="V89" s="33">
        <f>VLOOKUP(A:A,[3]TDSheet!$A:$V,22,0)</f>
        <v>60</v>
      </c>
      <c r="W89" s="34">
        <f>VLOOKUP(A:A,[4]TDSheet!$A:$V,22,0)</f>
        <v>60</v>
      </c>
      <c r="X89" s="17">
        <f t="shared" si="9"/>
        <v>17.228260869565219</v>
      </c>
      <c r="Y89" s="17">
        <f t="shared" si="10"/>
        <v>10.706521739130435</v>
      </c>
      <c r="Z89" s="17">
        <f>VLOOKUP(A:A,[1]TDSheet!$A:$AB,28,0)</f>
        <v>15.6</v>
      </c>
      <c r="AA89" s="17">
        <f>VLOOKUP(A:A,[1]TDSheet!$A:$AC,29,0)</f>
        <v>15.8</v>
      </c>
      <c r="AB89" s="17">
        <f>VLOOKUP(A:A,[1]TDSheet!$A:$AD,30,0)</f>
        <v>21.4</v>
      </c>
      <c r="AC89" s="17">
        <f>VLOOKUP(A:A,[1]TDSheet!$A:$T,20,0)</f>
        <v>12.4</v>
      </c>
      <c r="AD89" s="17"/>
      <c r="AE89" s="17">
        <f t="shared" si="11"/>
        <v>18</v>
      </c>
      <c r="AF89" s="17">
        <f t="shared" si="12"/>
        <v>18</v>
      </c>
    </row>
    <row r="90" spans="1:32" ht="10.9" customHeight="1" x14ac:dyDescent="0.2">
      <c r="A90" s="21" t="s">
        <v>94</v>
      </c>
      <c r="B90" s="8" t="s">
        <v>14</v>
      </c>
      <c r="C90" s="8">
        <f>VLOOKUP(A:A,[1]TDSheet!$A:$C,3,0)</f>
        <v>7231</v>
      </c>
      <c r="D90" s="9">
        <v>177</v>
      </c>
      <c r="E90" s="9">
        <v>97</v>
      </c>
      <c r="F90" s="9">
        <v>17</v>
      </c>
      <c r="G90" s="9">
        <v>249</v>
      </c>
      <c r="H90">
        <f>VLOOKUP(A:A,[1]TDSheet!$A:$H,8,0)</f>
        <v>0.3</v>
      </c>
      <c r="I90">
        <f>VLOOKUP(A:A,[1]TDSheet!$A:$I,9,0)</f>
        <v>60</v>
      </c>
      <c r="J90" t="str">
        <f>VLOOKUP(A:A,[1]TDSheet!$A:$J,10,0)</f>
        <v>в матрице</v>
      </c>
      <c r="L90" s="17">
        <f>VLOOKUP(A:A,[2]TDSheet!$A:$B,2,0)</f>
        <v>25</v>
      </c>
      <c r="M90" s="17">
        <f t="shared" si="7"/>
        <v>-8</v>
      </c>
      <c r="N90" s="17"/>
      <c r="O90" s="17"/>
      <c r="P90" s="17"/>
      <c r="Q90" s="17"/>
      <c r="R90" s="17">
        <f>VLOOKUP(A:A,[1]TDSheet!$A:$O,15,0)</f>
        <v>0</v>
      </c>
      <c r="S90" s="17">
        <f>VLOOKUP(A:A,[1]TDSheet!$A:$O,15,0)</f>
        <v>0</v>
      </c>
      <c r="T90" s="17">
        <f t="shared" si="8"/>
        <v>3.4</v>
      </c>
      <c r="U90" s="18"/>
      <c r="V90" s="33">
        <f>VLOOKUP(A:A,[3]TDSheet!$A:$V,22,0)</f>
        <v>0</v>
      </c>
      <c r="W90" s="34">
        <f>VLOOKUP(A:A,[4]TDSheet!$A:$V,22,0)</f>
        <v>0</v>
      </c>
      <c r="X90" s="17">
        <f t="shared" si="9"/>
        <v>73.235294117647058</v>
      </c>
      <c r="Y90" s="17">
        <f t="shared" si="10"/>
        <v>73.235294117647058</v>
      </c>
      <c r="Z90" s="17">
        <f>VLOOKUP(A:A,[1]TDSheet!$A:$AB,28,0)</f>
        <v>2</v>
      </c>
      <c r="AA90" s="17">
        <f>VLOOKUP(A:A,[1]TDSheet!$A:$AC,29,0)</f>
        <v>4.4000000000000004</v>
      </c>
      <c r="AB90" s="17">
        <f>VLOOKUP(A:A,[1]TDSheet!$A:$AD,30,0)</f>
        <v>6.2</v>
      </c>
      <c r="AC90" s="17">
        <f>VLOOKUP(A:A,[1]TDSheet!$A:$T,20,0)</f>
        <v>4.8</v>
      </c>
      <c r="AD90" s="17"/>
      <c r="AE90" s="17">
        <f t="shared" si="11"/>
        <v>0</v>
      </c>
      <c r="AF90" s="17">
        <f t="shared" si="12"/>
        <v>0</v>
      </c>
    </row>
    <row r="91" spans="1:32" ht="10.9" customHeight="1" x14ac:dyDescent="0.2">
      <c r="A91" s="8" t="s">
        <v>95</v>
      </c>
      <c r="B91" s="8" t="s">
        <v>14</v>
      </c>
      <c r="C91" s="8">
        <f>VLOOKUP(A:A,[1]TDSheet!$A:$C,3,0)</f>
        <v>7232</v>
      </c>
      <c r="D91" s="9">
        <v>115</v>
      </c>
      <c r="E91" s="9">
        <v>450</v>
      </c>
      <c r="F91" s="9">
        <v>302</v>
      </c>
      <c r="G91" s="9">
        <v>243</v>
      </c>
      <c r="H91">
        <f>VLOOKUP(A:A,[1]TDSheet!$A:$H,8,0)</f>
        <v>0.28000000000000003</v>
      </c>
      <c r="I91">
        <f>VLOOKUP(A:A,[1]TDSheet!$A:$I,9,0)</f>
        <v>50</v>
      </c>
      <c r="J91" t="str">
        <f>VLOOKUP(A:A,[1]TDSheet!$A:$J,10,0)</f>
        <v>в матрице</v>
      </c>
      <c r="L91" s="17">
        <f>VLOOKUP(A:A,[2]TDSheet!$A:$B,2,0)</f>
        <v>322</v>
      </c>
      <c r="M91" s="17">
        <f t="shared" si="7"/>
        <v>-20</v>
      </c>
      <c r="N91" s="17"/>
      <c r="O91" s="17"/>
      <c r="P91" s="17"/>
      <c r="Q91" s="17"/>
      <c r="R91" s="17">
        <f>VLOOKUP(A:A,[1]TDSheet!$A:$O,15,0)</f>
        <v>150</v>
      </c>
      <c r="S91" s="17">
        <f>VLOOKUP(A:A,[1]TDSheet!$A:$O,15,0)</f>
        <v>150</v>
      </c>
      <c r="T91" s="17">
        <f t="shared" si="8"/>
        <v>60.4</v>
      </c>
      <c r="U91" s="18">
        <v>300</v>
      </c>
      <c r="V91" s="33">
        <f>VLOOKUP(A:A,[3]TDSheet!$A:$V,22,0)</f>
        <v>151.5</v>
      </c>
      <c r="W91" s="34">
        <f>VLOOKUP(A:A,[4]TDSheet!$A:$V,22,0)</f>
        <v>145</v>
      </c>
      <c r="X91" s="17">
        <f t="shared" si="9"/>
        <v>13.956953642384105</v>
      </c>
      <c r="Y91" s="17">
        <f t="shared" si="10"/>
        <v>4.0231788079470201</v>
      </c>
      <c r="Z91" s="17">
        <f>VLOOKUP(A:A,[1]TDSheet!$A:$AB,28,0)</f>
        <v>32</v>
      </c>
      <c r="AA91" s="17">
        <f>VLOOKUP(A:A,[1]TDSheet!$A:$AC,29,0)</f>
        <v>44.2</v>
      </c>
      <c r="AB91" s="17">
        <f>VLOOKUP(A:A,[1]TDSheet!$A:$AD,30,0)</f>
        <v>56.8</v>
      </c>
      <c r="AC91" s="17">
        <f>VLOOKUP(A:A,[1]TDSheet!$A:$T,20,0)</f>
        <v>54.2</v>
      </c>
      <c r="AD91" s="17"/>
      <c r="AE91" s="17">
        <f t="shared" si="11"/>
        <v>42.42</v>
      </c>
      <c r="AF91" s="17">
        <f t="shared" si="12"/>
        <v>40.6</v>
      </c>
    </row>
    <row r="92" spans="1:32" ht="10.9" customHeight="1" x14ac:dyDescent="0.2">
      <c r="A92" s="8" t="s">
        <v>96</v>
      </c>
      <c r="B92" s="8" t="s">
        <v>14</v>
      </c>
      <c r="C92" s="8">
        <f>VLOOKUP(A:A,[1]TDSheet!$A:$C,3,0)</f>
        <v>7236</v>
      </c>
      <c r="D92" s="9">
        <v>272</v>
      </c>
      <c r="E92" s="9">
        <v>98</v>
      </c>
      <c r="F92" s="9">
        <v>303</v>
      </c>
      <c r="G92" s="9">
        <v>36</v>
      </c>
      <c r="H92">
        <f>VLOOKUP(A:A,[1]TDSheet!$A:$H,8,0)</f>
        <v>0.28000000000000003</v>
      </c>
      <c r="I92">
        <f>VLOOKUP(A:A,[1]TDSheet!$A:$I,9,0)</f>
        <v>45</v>
      </c>
      <c r="J92" t="str">
        <f>VLOOKUP(A:A,[1]TDSheet!$A:$J,10,0)</f>
        <v>в матрице</v>
      </c>
      <c r="L92" s="17">
        <f>VLOOKUP(A:A,[2]TDSheet!$A:$B,2,0)</f>
        <v>335</v>
      </c>
      <c r="M92" s="17">
        <f t="shared" si="7"/>
        <v>-32</v>
      </c>
      <c r="N92" s="17"/>
      <c r="O92" s="17"/>
      <c r="P92" s="17"/>
      <c r="Q92" s="17"/>
      <c r="R92" s="17">
        <f>VLOOKUP(A:A,[1]TDSheet!$A:$O,15,0)</f>
        <v>300</v>
      </c>
      <c r="S92" s="17">
        <f>VLOOKUP(A:A,[1]TDSheet!$A:$O,15,0)</f>
        <v>300</v>
      </c>
      <c r="T92" s="17">
        <f t="shared" si="8"/>
        <v>60.6</v>
      </c>
      <c r="U92" s="18">
        <v>280</v>
      </c>
      <c r="V92" s="33">
        <f>VLOOKUP(A:A,[3]TDSheet!$A:$V,22,0)</f>
        <v>140</v>
      </c>
      <c r="W92" s="34">
        <f>VLOOKUP(A:A,[4]TDSheet!$A:$V,22,0)</f>
        <v>140</v>
      </c>
      <c r="X92" s="17">
        <f t="shared" si="9"/>
        <v>15.115511551155116</v>
      </c>
      <c r="Y92" s="17">
        <f t="shared" si="10"/>
        <v>0.59405940594059403</v>
      </c>
      <c r="Z92" s="17">
        <f>VLOOKUP(A:A,[1]TDSheet!$A:$AB,28,0)</f>
        <v>69.400000000000006</v>
      </c>
      <c r="AA92" s="17">
        <f>VLOOKUP(A:A,[1]TDSheet!$A:$AC,29,0)</f>
        <v>60.2</v>
      </c>
      <c r="AB92" s="17">
        <f>VLOOKUP(A:A,[1]TDSheet!$A:$AD,30,0)</f>
        <v>47</v>
      </c>
      <c r="AC92" s="17">
        <f>VLOOKUP(A:A,[1]TDSheet!$A:$T,20,0)</f>
        <v>61</v>
      </c>
      <c r="AD92" s="17"/>
      <c r="AE92" s="17">
        <f t="shared" si="11"/>
        <v>39.200000000000003</v>
      </c>
      <c r="AF92" s="17">
        <f t="shared" si="12"/>
        <v>39.200000000000003</v>
      </c>
    </row>
    <row r="93" spans="1:32" ht="10.9" customHeight="1" x14ac:dyDescent="0.2">
      <c r="A93" s="21" t="s">
        <v>97</v>
      </c>
      <c r="B93" s="8" t="s">
        <v>14</v>
      </c>
      <c r="C93" s="8">
        <f>VLOOKUP(A:A,[1]TDSheet!$A:$C,3,0)</f>
        <v>7237</v>
      </c>
      <c r="D93" s="9">
        <v>55</v>
      </c>
      <c r="E93" s="9"/>
      <c r="F93" s="9">
        <v>47</v>
      </c>
      <c r="G93" s="9">
        <v>1</v>
      </c>
      <c r="H93">
        <f>VLOOKUP(A:A,[1]TDSheet!$A:$H,8,0)</f>
        <v>0.28000000000000003</v>
      </c>
      <c r="I93">
        <f>VLOOKUP(A:A,[1]TDSheet!$A:$I,9,0)</f>
        <v>45</v>
      </c>
      <c r="J93" t="str">
        <f>VLOOKUP(A:A,[1]TDSheet!$A:$J,10,0)</f>
        <v>в матрице</v>
      </c>
      <c r="L93" s="17">
        <f>VLOOKUP(A:A,[2]TDSheet!$A:$B,2,0)</f>
        <v>71</v>
      </c>
      <c r="M93" s="17">
        <f t="shared" si="7"/>
        <v>-24</v>
      </c>
      <c r="N93" s="17"/>
      <c r="O93" s="17"/>
      <c r="P93" s="17"/>
      <c r="Q93" s="17"/>
      <c r="R93" s="17">
        <f>VLOOKUP(A:A,[1]TDSheet!$A:$O,15,0)</f>
        <v>125</v>
      </c>
      <c r="S93" s="17">
        <f>VLOOKUP(A:A,[1]TDSheet!$A:$O,15,0)</f>
        <v>125</v>
      </c>
      <c r="T93" s="17">
        <f t="shared" si="8"/>
        <v>9.4</v>
      </c>
      <c r="U93" s="18"/>
      <c r="V93" s="33">
        <f>VLOOKUP(A:A,[3]TDSheet!$A:$V,22,0)</f>
        <v>0</v>
      </c>
      <c r="W93" s="34">
        <f>VLOOKUP(A:A,[4]TDSheet!$A:$V,22,0)</f>
        <v>0</v>
      </c>
      <c r="X93" s="17">
        <f t="shared" si="9"/>
        <v>26.702127659574469</v>
      </c>
      <c r="Y93" s="17">
        <f t="shared" si="10"/>
        <v>0.10638297872340426</v>
      </c>
      <c r="Z93" s="17">
        <f>VLOOKUP(A:A,[1]TDSheet!$A:$AB,28,0)</f>
        <v>16.600000000000001</v>
      </c>
      <c r="AA93" s="17">
        <f>VLOOKUP(A:A,[1]TDSheet!$A:$AC,29,0)</f>
        <v>14</v>
      </c>
      <c r="AB93" s="17">
        <f>VLOOKUP(A:A,[1]TDSheet!$A:$AD,30,0)</f>
        <v>7.8</v>
      </c>
      <c r="AC93" s="17">
        <f>VLOOKUP(A:A,[1]TDSheet!$A:$T,20,0)</f>
        <v>15.6</v>
      </c>
      <c r="AD93" s="17"/>
      <c r="AE93" s="17">
        <f t="shared" si="11"/>
        <v>0</v>
      </c>
      <c r="AF93" s="17">
        <f t="shared" si="12"/>
        <v>0</v>
      </c>
    </row>
    <row r="94" spans="1:32" ht="10.9" customHeight="1" x14ac:dyDescent="0.2">
      <c r="A94" s="8" t="s">
        <v>98</v>
      </c>
      <c r="B94" s="8" t="s">
        <v>14</v>
      </c>
      <c r="C94" s="8">
        <f>VLOOKUP(A:A,[1]TDSheet!$A:$C,3,0)</f>
        <v>7241</v>
      </c>
      <c r="D94" s="9">
        <v>71</v>
      </c>
      <c r="E94" s="9">
        <v>210</v>
      </c>
      <c r="F94" s="9">
        <v>200</v>
      </c>
      <c r="G94" s="9">
        <v>61</v>
      </c>
      <c r="H94">
        <f>VLOOKUP(A:A,[1]TDSheet!$A:$H,8,0)</f>
        <v>0.28000000000000003</v>
      </c>
      <c r="I94">
        <f>VLOOKUP(A:A,[1]TDSheet!$A:$I,9,0)</f>
        <v>45</v>
      </c>
      <c r="J94" t="str">
        <f>VLOOKUP(A:A,[1]TDSheet!$A:$J,10,0)</f>
        <v>в матрице</v>
      </c>
      <c r="L94" s="17">
        <f>VLOOKUP(A:A,[2]TDSheet!$A:$B,2,0)</f>
        <v>236</v>
      </c>
      <c r="M94" s="17">
        <f t="shared" si="7"/>
        <v>-36</v>
      </c>
      <c r="N94" s="17"/>
      <c r="O94" s="17"/>
      <c r="P94" s="17"/>
      <c r="Q94" s="17"/>
      <c r="R94" s="17">
        <f>VLOOKUP(A:A,[1]TDSheet!$A:$O,15,0)</f>
        <v>210</v>
      </c>
      <c r="S94" s="17">
        <f>VLOOKUP(A:A,[1]TDSheet!$A:$O,15,0)</f>
        <v>210</v>
      </c>
      <c r="T94" s="17">
        <f t="shared" si="8"/>
        <v>40</v>
      </c>
      <c r="U94" s="18">
        <v>150</v>
      </c>
      <c r="V94" s="33">
        <f>VLOOKUP(A:A,[3]TDSheet!$A:$V,22,0)</f>
        <v>75</v>
      </c>
      <c r="W94" s="34">
        <f>VLOOKUP(A:A,[4]TDSheet!$A:$V,22,0)</f>
        <v>75</v>
      </c>
      <c r="X94" s="17">
        <f t="shared" si="9"/>
        <v>15.775</v>
      </c>
      <c r="Y94" s="17">
        <f t="shared" si="10"/>
        <v>1.5249999999999999</v>
      </c>
      <c r="Z94" s="17">
        <f>VLOOKUP(A:A,[1]TDSheet!$A:$AB,28,0)</f>
        <v>45</v>
      </c>
      <c r="AA94" s="17">
        <f>VLOOKUP(A:A,[1]TDSheet!$A:$AC,29,0)</f>
        <v>31.2</v>
      </c>
      <c r="AB94" s="17">
        <f>VLOOKUP(A:A,[1]TDSheet!$A:$AD,30,0)</f>
        <v>35.799999999999997</v>
      </c>
      <c r="AC94" s="17">
        <f>VLOOKUP(A:A,[1]TDSheet!$A:$T,20,0)</f>
        <v>44.6</v>
      </c>
      <c r="AD94" s="17"/>
      <c r="AE94" s="17">
        <f t="shared" si="11"/>
        <v>21.000000000000004</v>
      </c>
      <c r="AF94" s="17">
        <f t="shared" si="12"/>
        <v>21.000000000000004</v>
      </c>
    </row>
    <row r="95" spans="1:32" ht="10.9" customHeight="1" x14ac:dyDescent="0.2">
      <c r="A95" s="8" t="s">
        <v>99</v>
      </c>
      <c r="B95" s="8" t="s">
        <v>14</v>
      </c>
      <c r="C95" s="8">
        <f>VLOOKUP(A:A,[1]TDSheet!$A:$C,3,0)</f>
        <v>7255</v>
      </c>
      <c r="D95" s="9">
        <v>424</v>
      </c>
      <c r="E95" s="9">
        <v>354</v>
      </c>
      <c r="F95" s="9">
        <v>509</v>
      </c>
      <c r="G95" s="9">
        <v>267</v>
      </c>
      <c r="H95">
        <f>VLOOKUP(A:A,[1]TDSheet!$A:$H,8,0)</f>
        <v>0.4</v>
      </c>
      <c r="I95">
        <f>VLOOKUP(A:A,[1]TDSheet!$A:$I,9,0)</f>
        <v>50</v>
      </c>
      <c r="J95" t="str">
        <f>VLOOKUP(A:A,[1]TDSheet!$A:$J,10,0)</f>
        <v>в матрице</v>
      </c>
      <c r="L95" s="17">
        <f>VLOOKUP(A:A,[2]TDSheet!$A:$B,2,0)</f>
        <v>507</v>
      </c>
      <c r="M95" s="17">
        <f t="shared" si="7"/>
        <v>2</v>
      </c>
      <c r="N95" s="17"/>
      <c r="O95" s="17"/>
      <c r="P95" s="17"/>
      <c r="Q95" s="17"/>
      <c r="R95" s="17">
        <f>VLOOKUP(A:A,[1]TDSheet!$A:$O,15,0)</f>
        <v>300</v>
      </c>
      <c r="S95" s="17">
        <f>VLOOKUP(A:A,[1]TDSheet!$A:$O,15,0)</f>
        <v>300</v>
      </c>
      <c r="T95" s="17">
        <f t="shared" si="8"/>
        <v>101.8</v>
      </c>
      <c r="U95" s="18">
        <v>650</v>
      </c>
      <c r="V95" s="33">
        <f>VLOOKUP(A:A,[3]TDSheet!$A:$V,22,0)</f>
        <v>325</v>
      </c>
      <c r="W95" s="34">
        <f>VLOOKUP(A:A,[4]TDSheet!$A:$V,22,0)</f>
        <v>325</v>
      </c>
      <c r="X95" s="17">
        <f t="shared" si="9"/>
        <v>14.901768172888016</v>
      </c>
      <c r="Y95" s="17">
        <f t="shared" si="10"/>
        <v>2.6227897838899805</v>
      </c>
      <c r="Z95" s="17">
        <f>VLOOKUP(A:A,[1]TDSheet!$A:$AB,28,0)</f>
        <v>95</v>
      </c>
      <c r="AA95" s="17">
        <f>VLOOKUP(A:A,[1]TDSheet!$A:$AC,29,0)</f>
        <v>89.4</v>
      </c>
      <c r="AB95" s="17">
        <f>VLOOKUP(A:A,[1]TDSheet!$A:$AD,30,0)</f>
        <v>89</v>
      </c>
      <c r="AC95" s="17">
        <f>VLOOKUP(A:A,[1]TDSheet!$A:$T,20,0)</f>
        <v>92.8</v>
      </c>
      <c r="AD95" s="17"/>
      <c r="AE95" s="17">
        <f t="shared" si="11"/>
        <v>130</v>
      </c>
      <c r="AF95" s="17">
        <f t="shared" si="12"/>
        <v>130</v>
      </c>
    </row>
    <row r="96" spans="1:32" ht="10.9" customHeight="1" x14ac:dyDescent="0.2">
      <c r="A96" s="8" t="s">
        <v>100</v>
      </c>
      <c r="B96" s="8" t="s">
        <v>14</v>
      </c>
      <c r="C96" s="8">
        <f>VLOOKUP(A:A,[1]TDSheet!$A:$C,3,0)</f>
        <v>7288</v>
      </c>
      <c r="D96" s="9">
        <v>48</v>
      </c>
      <c r="E96" s="9"/>
      <c r="F96" s="9">
        <v>40</v>
      </c>
      <c r="G96" s="9">
        <v>8</v>
      </c>
      <c r="H96">
        <f>VLOOKUP(A:A,[1]TDSheet!$A:$H,8,0)</f>
        <v>0.1</v>
      </c>
      <c r="I96">
        <f>VLOOKUP(A:A,[1]TDSheet!$A:$I,9,0)</f>
        <v>60</v>
      </c>
      <c r="J96" t="str">
        <f>VLOOKUP(A:A,[1]TDSheet!$A:$J,10,0)</f>
        <v>в матрице</v>
      </c>
      <c r="L96" s="17">
        <f>VLOOKUP(A:A,[2]TDSheet!$A:$B,2,0)</f>
        <v>40</v>
      </c>
      <c r="M96" s="17">
        <f t="shared" si="7"/>
        <v>0</v>
      </c>
      <c r="N96" s="17"/>
      <c r="O96" s="17"/>
      <c r="P96" s="17"/>
      <c r="Q96" s="17"/>
      <c r="R96" s="17">
        <f>VLOOKUP(A:A,[1]TDSheet!$A:$O,15,0)</f>
        <v>25</v>
      </c>
      <c r="S96" s="17">
        <f>VLOOKUP(A:A,[1]TDSheet!$A:$O,15,0)</f>
        <v>25</v>
      </c>
      <c r="T96" s="17">
        <f t="shared" si="8"/>
        <v>8</v>
      </c>
      <c r="U96" s="18">
        <v>60</v>
      </c>
      <c r="V96" s="33">
        <f>VLOOKUP(A:A,[3]TDSheet!$A:$V,22,0)</f>
        <v>27</v>
      </c>
      <c r="W96" s="34">
        <f>VLOOKUP(A:A,[4]TDSheet!$A:$V,22,0)</f>
        <v>27</v>
      </c>
      <c r="X96" s="17">
        <f t="shared" si="9"/>
        <v>14.75</v>
      </c>
      <c r="Y96" s="17">
        <f t="shared" si="10"/>
        <v>1</v>
      </c>
      <c r="Z96" s="17">
        <f>VLOOKUP(A:A,[1]TDSheet!$A:$AB,28,0)</f>
        <v>6.4</v>
      </c>
      <c r="AA96" s="17">
        <f>VLOOKUP(A:A,[1]TDSheet!$A:$AC,29,0)</f>
        <v>7.8</v>
      </c>
      <c r="AB96" s="17">
        <f>VLOOKUP(A:A,[1]TDSheet!$A:$AD,30,0)</f>
        <v>5.8</v>
      </c>
      <c r="AC96" s="17">
        <f>VLOOKUP(A:A,[1]TDSheet!$A:$T,20,0)</f>
        <v>6.4</v>
      </c>
      <c r="AD96" s="17" t="str">
        <f>VLOOKUP(A:A,[1]TDSheet!$A:$AE,31,0)</f>
        <v>новинка</v>
      </c>
      <c r="AE96" s="17">
        <f t="shared" si="11"/>
        <v>2.7</v>
      </c>
      <c r="AF96" s="17">
        <f t="shared" si="12"/>
        <v>2.7</v>
      </c>
    </row>
    <row r="97" spans="1:32" ht="10.9" customHeight="1" x14ac:dyDescent="0.2">
      <c r="A97" s="8" t="s">
        <v>101</v>
      </c>
      <c r="B97" s="8" t="s">
        <v>14</v>
      </c>
      <c r="C97" s="8">
        <f>VLOOKUP(A:A,[1]TDSheet!$A:$C,3,0)</f>
        <v>7332</v>
      </c>
      <c r="D97" s="9">
        <v>44</v>
      </c>
      <c r="E97" s="9">
        <v>16</v>
      </c>
      <c r="F97" s="9">
        <v>26</v>
      </c>
      <c r="G97" s="9">
        <v>28</v>
      </c>
      <c r="H97">
        <f>VLOOKUP(A:A,[1]TDSheet!$A:$H,8,0)</f>
        <v>0.28000000000000003</v>
      </c>
      <c r="I97">
        <f>VLOOKUP(A:A,[1]TDSheet!$A:$I,9,0)</f>
        <v>50</v>
      </c>
      <c r="J97" t="str">
        <f>VLOOKUP(A:A,[1]TDSheet!$A:$J,10,0)</f>
        <v>в матрице</v>
      </c>
      <c r="L97" s="17">
        <f>VLOOKUP(A:A,[2]TDSheet!$A:$B,2,0)</f>
        <v>35</v>
      </c>
      <c r="M97" s="17">
        <f t="shared" si="7"/>
        <v>-9</v>
      </c>
      <c r="N97" s="17"/>
      <c r="O97" s="17"/>
      <c r="P97" s="17"/>
      <c r="Q97" s="17"/>
      <c r="R97" s="17">
        <f>VLOOKUP(A:A,[1]TDSheet!$A:$O,15,0)</f>
        <v>12</v>
      </c>
      <c r="S97" s="17">
        <f>VLOOKUP(A:A,[1]TDSheet!$A:$O,15,0)</f>
        <v>12</v>
      </c>
      <c r="T97" s="17">
        <f t="shared" si="8"/>
        <v>5.2</v>
      </c>
      <c r="U97" s="18">
        <v>20</v>
      </c>
      <c r="V97" s="33">
        <f>VLOOKUP(A:A,[3]TDSheet!$A:$V,22,0)</f>
        <v>10.5</v>
      </c>
      <c r="W97" s="34">
        <f>VLOOKUP(A:A,[4]TDSheet!$A:$V,22,0)</f>
        <v>10.5</v>
      </c>
      <c r="X97" s="17">
        <f t="shared" si="9"/>
        <v>13.846153846153845</v>
      </c>
      <c r="Y97" s="17">
        <f t="shared" si="10"/>
        <v>5.3846153846153841</v>
      </c>
      <c r="Z97" s="17">
        <f>VLOOKUP(A:A,[1]TDSheet!$A:$AB,28,0)</f>
        <v>11</v>
      </c>
      <c r="AA97" s="17">
        <f>VLOOKUP(A:A,[1]TDSheet!$A:$AC,29,0)</f>
        <v>5.8</v>
      </c>
      <c r="AB97" s="17">
        <f>VLOOKUP(A:A,[1]TDSheet!$A:$AD,30,0)</f>
        <v>6.2</v>
      </c>
      <c r="AC97" s="17">
        <f>VLOOKUP(A:A,[1]TDSheet!$A:$T,20,0)</f>
        <v>5.6</v>
      </c>
      <c r="AD97" s="17">
        <f>VLOOKUP(A:A,[1]TDSheet!$A:$AE,31,0)</f>
        <v>0</v>
      </c>
      <c r="AE97" s="17">
        <f t="shared" si="11"/>
        <v>2.9400000000000004</v>
      </c>
      <c r="AF97" s="17">
        <f t="shared" si="12"/>
        <v>2.9400000000000004</v>
      </c>
    </row>
    <row r="98" spans="1:32" ht="10.9" customHeight="1" x14ac:dyDescent="0.2">
      <c r="A98" s="21" t="s">
        <v>102</v>
      </c>
      <c r="B98" s="8" t="s">
        <v>14</v>
      </c>
      <c r="C98" s="8">
        <f>VLOOKUP(A:A,[1]TDSheet!$A:$C,3,0)</f>
        <v>7333</v>
      </c>
      <c r="D98" s="9">
        <v>11</v>
      </c>
      <c r="E98" s="9"/>
      <c r="F98" s="9">
        <v>1</v>
      </c>
      <c r="G98" s="9">
        <v>10</v>
      </c>
      <c r="H98">
        <f>VLOOKUP(A:A,[1]TDSheet!$A:$H,8,0)</f>
        <v>0.28000000000000003</v>
      </c>
      <c r="I98">
        <f>VLOOKUP(A:A,[1]TDSheet!$A:$I,9,0)</f>
        <v>50</v>
      </c>
      <c r="J98" t="str">
        <f>VLOOKUP(A:A,[1]TDSheet!$A:$J,10,0)</f>
        <v>в матрице</v>
      </c>
      <c r="L98" s="17">
        <f>VLOOKUP(A:A,[2]TDSheet!$A:$B,2,0)</f>
        <v>1</v>
      </c>
      <c r="M98" s="17">
        <f t="shared" si="7"/>
        <v>0</v>
      </c>
      <c r="N98" s="17"/>
      <c r="O98" s="17"/>
      <c r="P98" s="17"/>
      <c r="Q98" s="17"/>
      <c r="R98" s="17">
        <f>VLOOKUP(A:A,[1]TDSheet!$A:$O,15,0)</f>
        <v>0</v>
      </c>
      <c r="S98" s="17">
        <f>VLOOKUP(A:A,[1]TDSheet!$A:$O,15,0)</f>
        <v>0</v>
      </c>
      <c r="T98" s="17">
        <f t="shared" si="8"/>
        <v>0.2</v>
      </c>
      <c r="U98" s="18"/>
      <c r="V98" s="33">
        <f>VLOOKUP(A:A,[3]TDSheet!$A:$V,22,0)</f>
        <v>0</v>
      </c>
      <c r="W98" s="34">
        <f>VLOOKUP(A:A,[4]TDSheet!$A:$V,22,0)</f>
        <v>0</v>
      </c>
      <c r="X98" s="17">
        <f t="shared" si="9"/>
        <v>50</v>
      </c>
      <c r="Y98" s="17">
        <f t="shared" si="10"/>
        <v>50</v>
      </c>
      <c r="Z98" s="17">
        <f>VLOOKUP(A:A,[1]TDSheet!$A:$AB,28,0)</f>
        <v>1.2</v>
      </c>
      <c r="AA98" s="17">
        <f>VLOOKUP(A:A,[1]TDSheet!$A:$AC,29,0)</f>
        <v>0</v>
      </c>
      <c r="AB98" s="17">
        <f>VLOOKUP(A:A,[1]TDSheet!$A:$AD,30,0)</f>
        <v>0.4</v>
      </c>
      <c r="AC98" s="17">
        <f>VLOOKUP(A:A,[1]TDSheet!$A:$T,20,0)</f>
        <v>0.6</v>
      </c>
      <c r="AD98" s="17">
        <f>VLOOKUP(A:A,[1]TDSheet!$A:$AE,31,0)</f>
        <v>0</v>
      </c>
      <c r="AE98" s="17">
        <f t="shared" si="11"/>
        <v>0</v>
      </c>
      <c r="AF98" s="17">
        <f t="shared" si="12"/>
        <v>0</v>
      </c>
    </row>
    <row r="99" spans="1:32" ht="10.9" customHeight="1" x14ac:dyDescent="0.2">
      <c r="A99" s="8" t="s">
        <v>103</v>
      </c>
      <c r="B99" s="8" t="s">
        <v>14</v>
      </c>
      <c r="C99" s="8">
        <f>VLOOKUP(A:A,[1]TDSheet!$A:$C,3,0)</f>
        <v>7371</v>
      </c>
      <c r="D99" s="9">
        <v>307</v>
      </c>
      <c r="E99" s="9">
        <v>148</v>
      </c>
      <c r="F99" s="9">
        <v>195</v>
      </c>
      <c r="G99" s="9">
        <v>256</v>
      </c>
      <c r="H99">
        <f>VLOOKUP(A:A,[1]TDSheet!$A:$H,8,0)</f>
        <v>0.3</v>
      </c>
      <c r="L99" s="17">
        <f>VLOOKUP(A:A,[2]TDSheet!$A:$B,2,0)</f>
        <v>196</v>
      </c>
      <c r="M99" s="17">
        <f t="shared" si="7"/>
        <v>-1</v>
      </c>
      <c r="N99" s="17"/>
      <c r="O99" s="17"/>
      <c r="P99" s="17"/>
      <c r="Q99" s="17"/>
      <c r="R99" s="17">
        <f>VLOOKUP(A:A,[1]TDSheet!$A:$O,15,0)</f>
        <v>0</v>
      </c>
      <c r="S99" s="17">
        <f>VLOOKUP(A:A,[1]TDSheet!$A:$O,15,0)</f>
        <v>0</v>
      </c>
      <c r="T99" s="17">
        <f t="shared" si="8"/>
        <v>39</v>
      </c>
      <c r="U99" s="18">
        <v>300</v>
      </c>
      <c r="V99" s="33">
        <f>VLOOKUP(A:A,[3]TDSheet!$A:$V,22,0)</f>
        <v>145</v>
      </c>
      <c r="W99" s="34">
        <f>VLOOKUP(A:A,[4]TDSheet!$A:$V,22,0)</f>
        <v>145</v>
      </c>
      <c r="X99" s="17">
        <f t="shared" si="9"/>
        <v>14.256410256410257</v>
      </c>
      <c r="Y99" s="17">
        <f t="shared" si="10"/>
        <v>6.5641025641025639</v>
      </c>
      <c r="Z99" s="17">
        <f>VLOOKUP(A:A,[1]TDSheet!$A:$AB,28,0)</f>
        <v>24.6</v>
      </c>
      <c r="AA99" s="17">
        <f>VLOOKUP(A:A,[1]TDSheet!$A:$AC,29,0)</f>
        <v>35.799999999999997</v>
      </c>
      <c r="AB99" s="17">
        <f>VLOOKUP(A:A,[1]TDSheet!$A:$AD,30,0)</f>
        <v>37</v>
      </c>
      <c r="AC99" s="17">
        <f>VLOOKUP(A:A,[1]TDSheet!$A:$T,20,0)</f>
        <v>22.2</v>
      </c>
      <c r="AD99" s="17">
        <f>VLOOKUP(A:A,[1]TDSheet!$A:$AE,31,0)</f>
        <v>0</v>
      </c>
      <c r="AE99" s="17">
        <f t="shared" si="11"/>
        <v>43.5</v>
      </c>
      <c r="AF99" s="17">
        <f t="shared" si="12"/>
        <v>43.5</v>
      </c>
    </row>
    <row r="100" spans="1:32" ht="10.9" customHeight="1" x14ac:dyDescent="0.2">
      <c r="A100" s="8" t="s">
        <v>104</v>
      </c>
      <c r="B100" s="8" t="s">
        <v>14</v>
      </c>
      <c r="C100" s="8">
        <f>VLOOKUP(A:A,[1]TDSheet!$A:$C,3,0)</f>
        <v>7382</v>
      </c>
      <c r="D100" s="9">
        <v>255</v>
      </c>
      <c r="E100" s="9">
        <v>5</v>
      </c>
      <c r="F100" s="9">
        <v>169</v>
      </c>
      <c r="G100" s="9">
        <v>88</v>
      </c>
      <c r="H100">
        <f>VLOOKUP(A:A,[1]TDSheet!$A:$H,8,0)</f>
        <v>0.12</v>
      </c>
      <c r="I100">
        <f>VLOOKUP(A:A,[1]TDSheet!$A:$I,9,0)</f>
        <v>60</v>
      </c>
      <c r="J100" t="str">
        <f>VLOOKUP(A:A,[1]TDSheet!$A:$J,10,0)</f>
        <v>в матрице</v>
      </c>
      <c r="L100" s="17">
        <f>VLOOKUP(A:A,[2]TDSheet!$A:$B,2,0)</f>
        <v>172</v>
      </c>
      <c r="M100" s="17">
        <f t="shared" si="7"/>
        <v>-3</v>
      </c>
      <c r="N100" s="17"/>
      <c r="O100" s="17"/>
      <c r="P100" s="17"/>
      <c r="Q100" s="17"/>
      <c r="R100" s="17">
        <f>VLOOKUP(A:A,[1]TDSheet!$A:$O,15,0)</f>
        <v>0</v>
      </c>
      <c r="S100" s="17">
        <f>VLOOKUP(A:A,[1]TDSheet!$A:$O,15,0)</f>
        <v>0</v>
      </c>
      <c r="T100" s="17">
        <f t="shared" si="8"/>
        <v>33.799999999999997</v>
      </c>
      <c r="U100" s="18">
        <v>400</v>
      </c>
      <c r="V100" s="33">
        <f>VLOOKUP(A:A,[3]TDSheet!$A:$V,22,0)</f>
        <v>192.5</v>
      </c>
      <c r="W100" s="34">
        <f>VLOOKUP(A:A,[4]TDSheet!$A:$V,22,0)</f>
        <v>192.5</v>
      </c>
      <c r="X100" s="17">
        <f t="shared" si="9"/>
        <v>14.437869822485208</v>
      </c>
      <c r="Y100" s="17">
        <f t="shared" si="10"/>
        <v>2.6035502958579886</v>
      </c>
      <c r="Z100" s="17">
        <f>VLOOKUP(A:A,[1]TDSheet!$A:$AB,28,0)</f>
        <v>26.6</v>
      </c>
      <c r="AA100" s="17">
        <f>VLOOKUP(A:A,[1]TDSheet!$A:$AC,29,0)</f>
        <v>32</v>
      </c>
      <c r="AB100" s="17">
        <f>VLOOKUP(A:A,[1]TDSheet!$A:$AD,30,0)</f>
        <v>24.8</v>
      </c>
      <c r="AC100" s="17">
        <f>VLOOKUP(A:A,[1]TDSheet!$A:$T,20,0)</f>
        <v>18.8</v>
      </c>
      <c r="AD100" s="17">
        <f>VLOOKUP(A:A,[1]TDSheet!$A:$AE,31,0)</f>
        <v>0</v>
      </c>
      <c r="AE100" s="17">
        <f t="shared" si="11"/>
        <v>23.099999999999998</v>
      </c>
      <c r="AF100" s="17">
        <f t="shared" si="12"/>
        <v>23.099999999999998</v>
      </c>
    </row>
    <row r="101" spans="1:32" ht="10.9" customHeight="1" x14ac:dyDescent="0.2">
      <c r="A101" s="8" t="s">
        <v>105</v>
      </c>
      <c r="B101" s="8" t="s">
        <v>14</v>
      </c>
      <c r="C101" s="8">
        <f>VLOOKUP(A:A,[1]TDSheet!$A:$C,3,0)</f>
        <v>7461</v>
      </c>
      <c r="D101" s="9">
        <v>201</v>
      </c>
      <c r="E101" s="9">
        <v>5</v>
      </c>
      <c r="F101" s="9">
        <v>190</v>
      </c>
      <c r="G101" s="9">
        <v>2</v>
      </c>
      <c r="H101">
        <f>VLOOKUP(A:A,[1]TDSheet!$A:$H,8,0)</f>
        <v>0.33</v>
      </c>
      <c r="L101" s="17">
        <f>VLOOKUP(A:A,[2]TDSheet!$A:$B,2,0)</f>
        <v>233</v>
      </c>
      <c r="M101" s="17">
        <f t="shared" si="7"/>
        <v>-43</v>
      </c>
      <c r="N101" s="17"/>
      <c r="O101" s="17"/>
      <c r="P101" s="17"/>
      <c r="Q101" s="17"/>
      <c r="R101" s="17">
        <f>VLOOKUP(A:A,[1]TDSheet!$A:$O,15,0)</f>
        <v>250</v>
      </c>
      <c r="S101" s="17">
        <f>VLOOKUP(A:A,[1]TDSheet!$A:$O,15,0)</f>
        <v>250</v>
      </c>
      <c r="T101" s="17">
        <f t="shared" si="8"/>
        <v>38</v>
      </c>
      <c r="U101" s="18">
        <v>30</v>
      </c>
      <c r="V101" s="33">
        <f>VLOOKUP(A:A,[3]TDSheet!$A:$V,22,0)</f>
        <v>15</v>
      </c>
      <c r="W101" s="34">
        <f>VLOOKUP(A:A,[4]TDSheet!$A:$V,22,0)</f>
        <v>15</v>
      </c>
      <c r="X101" s="17">
        <f t="shared" si="9"/>
        <v>14</v>
      </c>
      <c r="Y101" s="17">
        <f t="shared" si="10"/>
        <v>5.2631578947368418E-2</v>
      </c>
      <c r="Z101" s="17">
        <f>VLOOKUP(A:A,[1]TDSheet!$A:$AB,28,0)</f>
        <v>30.6</v>
      </c>
      <c r="AA101" s="17">
        <f>VLOOKUP(A:A,[1]TDSheet!$A:$AC,29,0)</f>
        <v>29.2</v>
      </c>
      <c r="AB101" s="17">
        <f>VLOOKUP(A:A,[1]TDSheet!$A:$AD,30,0)</f>
        <v>18</v>
      </c>
      <c r="AC101" s="17">
        <f>VLOOKUP(A:A,[1]TDSheet!$A:$T,20,0)</f>
        <v>49.6</v>
      </c>
      <c r="AD101" s="17">
        <f>VLOOKUP(A:A,[1]TDSheet!$A:$AE,31,0)</f>
        <v>0</v>
      </c>
      <c r="AE101" s="17">
        <f t="shared" si="11"/>
        <v>4.95</v>
      </c>
      <c r="AF101" s="17">
        <f t="shared" si="12"/>
        <v>4.95</v>
      </c>
    </row>
    <row r="102" spans="1:32" ht="10.9" customHeight="1" x14ac:dyDescent="0.2">
      <c r="A102" s="21" t="s">
        <v>106</v>
      </c>
      <c r="B102" s="8" t="s">
        <v>14</v>
      </c>
      <c r="C102" s="8">
        <v>7489</v>
      </c>
      <c r="D102" s="10"/>
      <c r="E102" s="9">
        <v>249</v>
      </c>
      <c r="F102" s="9">
        <v>14</v>
      </c>
      <c r="G102" s="9">
        <v>234</v>
      </c>
      <c r="H102">
        <v>0.28000000000000003</v>
      </c>
      <c r="L102" s="17">
        <f>VLOOKUP(A:A,[2]TDSheet!$A:$B,2,0)</f>
        <v>15</v>
      </c>
      <c r="M102" s="17">
        <f t="shared" si="7"/>
        <v>-1</v>
      </c>
      <c r="N102" s="17"/>
      <c r="O102" s="17"/>
      <c r="P102" s="17"/>
      <c r="Q102" s="17"/>
      <c r="R102" s="17">
        <v>0</v>
      </c>
      <c r="S102" s="17">
        <v>0</v>
      </c>
      <c r="T102" s="17">
        <f t="shared" si="8"/>
        <v>2.8</v>
      </c>
      <c r="U102" s="18"/>
      <c r="V102" s="33">
        <f>VLOOKUP(A:A,[3]TDSheet!$A:$V,22,0)</f>
        <v>0</v>
      </c>
      <c r="W102" s="34">
        <f>VLOOKUP(A:A,[4]TDSheet!$A:$V,22,0)</f>
        <v>0</v>
      </c>
      <c r="X102" s="17">
        <f t="shared" si="9"/>
        <v>83.571428571428584</v>
      </c>
      <c r="Y102" s="17">
        <f t="shared" si="10"/>
        <v>83.571428571428584</v>
      </c>
      <c r="Z102" s="17">
        <v>0</v>
      </c>
      <c r="AA102" s="17">
        <v>0</v>
      </c>
      <c r="AB102" s="17">
        <v>0</v>
      </c>
      <c r="AC102" s="17">
        <v>0</v>
      </c>
      <c r="AD102" s="17" t="e">
        <f>VLOOKUP(A:A,[1]TDSheet!$A:$AE,31,0)</f>
        <v>#N/A</v>
      </c>
      <c r="AE102" s="17">
        <f t="shared" si="11"/>
        <v>0</v>
      </c>
      <c r="AF102" s="17">
        <f t="shared" si="12"/>
        <v>0</v>
      </c>
    </row>
    <row r="103" spans="1:32" ht="10.9" customHeight="1" x14ac:dyDescent="0.2">
      <c r="A103" s="8" t="s">
        <v>107</v>
      </c>
      <c r="B103" s="8" t="s">
        <v>14</v>
      </c>
      <c r="C103" s="8">
        <f>VLOOKUP(A:A,[1]TDSheet!$A:$C,3,0)</f>
        <v>7523</v>
      </c>
      <c r="D103" s="9">
        <v>163</v>
      </c>
      <c r="E103" s="9">
        <v>1</v>
      </c>
      <c r="F103" s="9">
        <v>102</v>
      </c>
      <c r="G103" s="9">
        <v>62</v>
      </c>
      <c r="H103">
        <f>VLOOKUP(A:A,[1]TDSheet!$A:$H,8,0)</f>
        <v>0.4</v>
      </c>
      <c r="L103" s="17">
        <f>VLOOKUP(A:A,[2]TDSheet!$A:$B,2,0)</f>
        <v>102</v>
      </c>
      <c r="M103" s="17">
        <f t="shared" si="7"/>
        <v>0</v>
      </c>
      <c r="N103" s="17"/>
      <c r="O103" s="17"/>
      <c r="P103" s="17"/>
      <c r="Q103" s="17"/>
      <c r="R103" s="17">
        <f>VLOOKUP(A:A,[1]TDSheet!$A:$O,15,0)</f>
        <v>30</v>
      </c>
      <c r="S103" s="17">
        <f>VLOOKUP(A:A,[1]TDSheet!$A:$O,15,0)</f>
        <v>30</v>
      </c>
      <c r="T103" s="17">
        <f t="shared" si="8"/>
        <v>20.399999999999999</v>
      </c>
      <c r="U103" s="18">
        <v>170</v>
      </c>
      <c r="V103" s="33">
        <f>VLOOKUP(A:A,[3]TDSheet!$A:$V,22,0)</f>
        <v>82</v>
      </c>
      <c r="W103" s="34">
        <f>VLOOKUP(A:A,[4]TDSheet!$A:$V,22,0)</f>
        <v>82</v>
      </c>
      <c r="X103" s="17">
        <f t="shared" si="9"/>
        <v>14.313725490196079</v>
      </c>
      <c r="Y103" s="17">
        <f t="shared" si="10"/>
        <v>3.0392156862745101</v>
      </c>
      <c r="Z103" s="17">
        <f>VLOOKUP(A:A,[1]TDSheet!$A:$AB,28,0)</f>
        <v>14</v>
      </c>
      <c r="AA103" s="17">
        <f>VLOOKUP(A:A,[1]TDSheet!$A:$AC,29,0)</f>
        <v>20</v>
      </c>
      <c r="AB103" s="17">
        <f>VLOOKUP(A:A,[1]TDSheet!$A:$AD,30,0)</f>
        <v>16</v>
      </c>
      <c r="AC103" s="17">
        <f>VLOOKUP(A:A,[1]TDSheet!$A:$T,20,0)</f>
        <v>15.8</v>
      </c>
      <c r="AD103" s="17">
        <f>VLOOKUP(A:A,[1]TDSheet!$A:$AE,31,0)</f>
        <v>0</v>
      </c>
      <c r="AE103" s="17">
        <f t="shared" si="11"/>
        <v>32.800000000000004</v>
      </c>
      <c r="AF103" s="17">
        <f t="shared" si="12"/>
        <v>32.800000000000004</v>
      </c>
    </row>
    <row r="104" spans="1:32" ht="10.9" customHeight="1" x14ac:dyDescent="0.2">
      <c r="A104" s="21" t="s">
        <v>108</v>
      </c>
      <c r="B104" s="8" t="s">
        <v>14</v>
      </c>
      <c r="C104" s="8">
        <f>VLOOKUP(A:A,[1]TDSheet!$A:$C,3,0)</f>
        <v>7539</v>
      </c>
      <c r="D104" s="9">
        <v>40</v>
      </c>
      <c r="E104" s="9">
        <v>1</v>
      </c>
      <c r="F104" s="9">
        <v>2</v>
      </c>
      <c r="G104" s="9">
        <v>39</v>
      </c>
      <c r="H104">
        <f>VLOOKUP(A:A,[1]TDSheet!$A:$H,8,0)</f>
        <v>0.35</v>
      </c>
      <c r="L104" s="17">
        <f>VLOOKUP(A:A,[2]TDSheet!$A:$B,2,0)</f>
        <v>2</v>
      </c>
      <c r="M104" s="17">
        <f t="shared" si="7"/>
        <v>0</v>
      </c>
      <c r="N104" s="17"/>
      <c r="O104" s="17"/>
      <c r="P104" s="17"/>
      <c r="Q104" s="17"/>
      <c r="R104" s="17">
        <f>VLOOKUP(A:A,[1]TDSheet!$A:$O,15,0)</f>
        <v>0</v>
      </c>
      <c r="S104" s="17">
        <f>VLOOKUP(A:A,[1]TDSheet!$A:$O,15,0)</f>
        <v>0</v>
      </c>
      <c r="T104" s="17">
        <f t="shared" si="8"/>
        <v>0.4</v>
      </c>
      <c r="U104" s="18">
        <v>50</v>
      </c>
      <c r="V104" s="33">
        <f>VLOOKUP(A:A,[3]TDSheet!$A:$V,22,0)</f>
        <v>25</v>
      </c>
      <c r="W104" s="34">
        <f>VLOOKUP(A:A,[4]TDSheet!$A:$V,22,0)</f>
        <v>25</v>
      </c>
      <c r="X104" s="17">
        <f t="shared" si="9"/>
        <v>222.5</v>
      </c>
      <c r="Y104" s="17">
        <f t="shared" si="10"/>
        <v>97.5</v>
      </c>
      <c r="Z104" s="17">
        <f>VLOOKUP(A:A,[1]TDSheet!$A:$AB,28,0)</f>
        <v>0</v>
      </c>
      <c r="AA104" s="17">
        <f>VLOOKUP(A:A,[1]TDSheet!$A:$AC,29,0)</f>
        <v>0</v>
      </c>
      <c r="AB104" s="17">
        <f>VLOOKUP(A:A,[1]TDSheet!$A:$AD,30,0)</f>
        <v>0.4</v>
      </c>
      <c r="AC104" s="17">
        <f>VLOOKUP(A:A,[1]TDSheet!$A:$T,20,0)</f>
        <v>0.8</v>
      </c>
      <c r="AD104" s="17">
        <f>VLOOKUP(A:A,[1]TDSheet!$A:$AE,31,0)</f>
        <v>0</v>
      </c>
      <c r="AE104" s="17">
        <f t="shared" si="11"/>
        <v>8.75</v>
      </c>
      <c r="AF104" s="17">
        <f t="shared" si="12"/>
        <v>8.75</v>
      </c>
    </row>
    <row r="105" spans="1:32" ht="10.9" customHeight="1" x14ac:dyDescent="0.2">
      <c r="A105" s="8" t="s">
        <v>109</v>
      </c>
      <c r="B105" s="8" t="s">
        <v>16</v>
      </c>
      <c r="C105" s="8">
        <f>VLOOKUP(A:A,[1]TDSheet!$A:$C,3,0)</f>
        <v>7564</v>
      </c>
      <c r="D105" s="9">
        <v>3.347</v>
      </c>
      <c r="E105" s="9"/>
      <c r="F105" s="9">
        <v>2.512</v>
      </c>
      <c r="G105" s="9">
        <v>0.83499999999999996</v>
      </c>
      <c r="H105">
        <f>VLOOKUP(A:A,[1]TDSheet!$A:$H,8,0)</f>
        <v>1</v>
      </c>
      <c r="L105" s="17">
        <f>VLOOKUP(A:A,[2]TDSheet!$A:$B,2,0)</f>
        <v>18.7</v>
      </c>
      <c r="M105" s="17">
        <f t="shared" si="7"/>
        <v>-16.187999999999999</v>
      </c>
      <c r="N105" s="17"/>
      <c r="O105" s="17"/>
      <c r="P105" s="17"/>
      <c r="Q105" s="17"/>
      <c r="R105" s="17">
        <f>VLOOKUP(A:A,[1]TDSheet!$A:$O,15,0)</f>
        <v>64</v>
      </c>
      <c r="S105" s="17">
        <f>VLOOKUP(A:A,[1]TDSheet!$A:$O,15,0)</f>
        <v>64</v>
      </c>
      <c r="T105" s="17">
        <f t="shared" si="8"/>
        <v>0.50239999999999996</v>
      </c>
      <c r="U105" s="18"/>
      <c r="V105" s="33">
        <f>VLOOKUP(A:A,[3]TDSheet!$A:$V,22,0)</f>
        <v>0</v>
      </c>
      <c r="W105" s="34">
        <f>VLOOKUP(A:A,[4]TDSheet!$A:$V,22,0)</f>
        <v>0</v>
      </c>
      <c r="X105" s="17">
        <f t="shared" si="9"/>
        <v>256.43909235668787</v>
      </c>
      <c r="Y105" s="17">
        <f t="shared" si="10"/>
        <v>1.6620222929936306</v>
      </c>
      <c r="Z105" s="17">
        <f>VLOOKUP(A:A,[1]TDSheet!$A:$AB,28,0)</f>
        <v>0</v>
      </c>
      <c r="AA105" s="17">
        <f>VLOOKUP(A:A,[1]TDSheet!$A:$AC,29,0)</f>
        <v>0</v>
      </c>
      <c r="AB105" s="17">
        <f>VLOOKUP(A:A,[1]TDSheet!$A:$AD,30,0)</f>
        <v>0</v>
      </c>
      <c r="AC105" s="17">
        <f>VLOOKUP(A:A,[1]TDSheet!$A:$T,20,0)</f>
        <v>9.3881999999999994</v>
      </c>
      <c r="AD105" s="17">
        <f>VLOOKUP(A:A,[1]TDSheet!$A:$AE,31,0)</f>
        <v>0</v>
      </c>
      <c r="AE105" s="17">
        <f t="shared" si="11"/>
        <v>0</v>
      </c>
      <c r="AF105" s="17">
        <f t="shared" si="12"/>
        <v>0</v>
      </c>
    </row>
    <row r="106" spans="1:32" ht="10.9" customHeight="1" x14ac:dyDescent="0.2">
      <c r="A106" s="21" t="s">
        <v>110</v>
      </c>
      <c r="B106" s="8" t="s">
        <v>14</v>
      </c>
      <c r="C106" s="8">
        <f>VLOOKUP(A:A,[1]TDSheet!$A:$C,3,0)</f>
        <v>7603</v>
      </c>
      <c r="D106" s="9">
        <v>-2</v>
      </c>
      <c r="E106" s="9"/>
      <c r="F106" s="9">
        <v>1</v>
      </c>
      <c r="G106" s="9">
        <v>-3</v>
      </c>
      <c r="H106">
        <f>VLOOKUP(A:A,[1]TDSheet!$A:$H,8,0)</f>
        <v>0.33</v>
      </c>
      <c r="L106" s="17">
        <f>VLOOKUP(A:A,[2]TDSheet!$A:$B,2,0)</f>
        <v>1</v>
      </c>
      <c r="M106" s="17">
        <f t="shared" si="7"/>
        <v>0</v>
      </c>
      <c r="N106" s="17"/>
      <c r="O106" s="17"/>
      <c r="P106" s="17"/>
      <c r="Q106" s="17"/>
      <c r="R106" s="17">
        <f>VLOOKUP(A:A,[1]TDSheet!$A:$O,15,0)</f>
        <v>4</v>
      </c>
      <c r="S106" s="17">
        <f>VLOOKUP(A:A,[1]TDSheet!$A:$O,15,0)</f>
        <v>4</v>
      </c>
      <c r="T106" s="17">
        <f t="shared" si="8"/>
        <v>0.2</v>
      </c>
      <c r="U106" s="18"/>
      <c r="V106" s="33">
        <f>VLOOKUP(A:A,[3]TDSheet!$A:$V,22,0)</f>
        <v>0</v>
      </c>
      <c r="W106" s="34">
        <f>VLOOKUP(A:A,[4]TDSheet!$A:$V,22,0)</f>
        <v>0</v>
      </c>
      <c r="X106" s="17">
        <f t="shared" si="9"/>
        <v>25</v>
      </c>
      <c r="Y106" s="17">
        <f t="shared" si="10"/>
        <v>-15</v>
      </c>
      <c r="Z106" s="17">
        <f>VLOOKUP(A:A,[1]TDSheet!$A:$AB,28,0)</f>
        <v>0</v>
      </c>
      <c r="AA106" s="17">
        <f>VLOOKUP(A:A,[1]TDSheet!$A:$AC,29,0)</f>
        <v>0</v>
      </c>
      <c r="AB106" s="17">
        <f>VLOOKUP(A:A,[1]TDSheet!$A:$AD,30,0)</f>
        <v>0</v>
      </c>
      <c r="AC106" s="17">
        <f>VLOOKUP(A:A,[1]TDSheet!$A:$T,20,0)</f>
        <v>0.4</v>
      </c>
      <c r="AD106" s="17">
        <f>VLOOKUP(A:A,[1]TDSheet!$A:$AE,31,0)</f>
        <v>0</v>
      </c>
      <c r="AE106" s="17">
        <f t="shared" si="11"/>
        <v>0</v>
      </c>
      <c r="AF106" s="17">
        <f t="shared" si="12"/>
        <v>0</v>
      </c>
    </row>
    <row r="107" spans="1:32" ht="10.9" customHeight="1" x14ac:dyDescent="0.2">
      <c r="A107" s="8" t="s">
        <v>111</v>
      </c>
      <c r="B107" s="8" t="s">
        <v>16</v>
      </c>
      <c r="C107" s="8">
        <v>5452</v>
      </c>
      <c r="D107" s="10"/>
      <c r="E107" s="9"/>
      <c r="F107" s="9">
        <v>1.3520000000000001</v>
      </c>
      <c r="G107" s="9">
        <v>-1.3520000000000001</v>
      </c>
      <c r="H107">
        <v>1</v>
      </c>
      <c r="L107" s="17">
        <f>VLOOKUP(A:A,[2]TDSheet!$A:$B,2,0)</f>
        <v>1.3</v>
      </c>
      <c r="M107" s="17">
        <f t="shared" si="7"/>
        <v>5.2000000000000046E-2</v>
      </c>
      <c r="N107" s="17"/>
      <c r="O107" s="17"/>
      <c r="P107" s="17"/>
      <c r="Q107" s="17"/>
      <c r="R107" s="17">
        <v>0</v>
      </c>
      <c r="S107" s="17">
        <v>0</v>
      </c>
      <c r="T107" s="17">
        <f t="shared" si="8"/>
        <v>0.27040000000000003</v>
      </c>
      <c r="U107" s="18"/>
      <c r="V107" s="33">
        <f>VLOOKUP(A:A,[3]TDSheet!$A:$V,22,0)</f>
        <v>0</v>
      </c>
      <c r="W107" s="34">
        <f>VLOOKUP(A:A,[4]TDSheet!$A:$V,22,0)</f>
        <v>0</v>
      </c>
      <c r="X107" s="17">
        <f t="shared" si="9"/>
        <v>-5</v>
      </c>
      <c r="Y107" s="17">
        <f t="shared" si="10"/>
        <v>-5</v>
      </c>
      <c r="Z107" s="17">
        <v>0</v>
      </c>
      <c r="AA107" s="17">
        <v>0</v>
      </c>
      <c r="AB107" s="17">
        <v>0</v>
      </c>
      <c r="AC107" s="17">
        <v>0</v>
      </c>
      <c r="AD107" s="17" t="e">
        <f>VLOOKUP(A:A,[1]TDSheet!$A:$AE,31,0)</f>
        <v>#N/A</v>
      </c>
      <c r="AE107" s="17">
        <f t="shared" si="11"/>
        <v>0</v>
      </c>
      <c r="AF107" s="17">
        <f t="shared" si="12"/>
        <v>0</v>
      </c>
    </row>
    <row r="108" spans="1:32" ht="10.9" customHeight="1" x14ac:dyDescent="0.2">
      <c r="A108" s="8" t="s">
        <v>112</v>
      </c>
      <c r="B108" s="8" t="s">
        <v>16</v>
      </c>
      <c r="C108" s="8">
        <v>5544</v>
      </c>
      <c r="D108" s="10"/>
      <c r="E108" s="9"/>
      <c r="F108" s="9">
        <v>2.5470000000000002</v>
      </c>
      <c r="G108" s="9">
        <v>-2.5470000000000002</v>
      </c>
      <c r="H108">
        <v>1</v>
      </c>
      <c r="L108" s="17">
        <f>VLOOKUP(A:A,[2]TDSheet!$A:$B,2,0)</f>
        <v>2.4</v>
      </c>
      <c r="M108" s="17">
        <f t="shared" si="7"/>
        <v>0.14700000000000024</v>
      </c>
      <c r="N108" s="17"/>
      <c r="O108" s="17"/>
      <c r="P108" s="17"/>
      <c r="Q108" s="17"/>
      <c r="R108" s="17">
        <v>0</v>
      </c>
      <c r="S108" s="17">
        <v>0</v>
      </c>
      <c r="T108" s="17">
        <f t="shared" si="8"/>
        <v>0.50940000000000007</v>
      </c>
      <c r="U108" s="18"/>
      <c r="V108" s="33">
        <f>VLOOKUP(A:A,[3]TDSheet!$A:$V,22,0)</f>
        <v>0</v>
      </c>
      <c r="W108" s="34">
        <f>VLOOKUP(A:A,[4]TDSheet!$A:$V,22,0)</f>
        <v>0</v>
      </c>
      <c r="X108" s="17">
        <f t="shared" si="9"/>
        <v>-5</v>
      </c>
      <c r="Y108" s="17">
        <f t="shared" si="10"/>
        <v>-5</v>
      </c>
      <c r="Z108" s="17">
        <v>0</v>
      </c>
      <c r="AA108" s="17">
        <v>0</v>
      </c>
      <c r="AB108" s="17">
        <v>0</v>
      </c>
      <c r="AC108" s="17">
        <v>0</v>
      </c>
      <c r="AD108" s="17" t="e">
        <f>VLOOKUP(A:A,[1]TDSheet!$A:$AE,31,0)</f>
        <v>#N/A</v>
      </c>
      <c r="AE108" s="17">
        <f t="shared" si="11"/>
        <v>0</v>
      </c>
      <c r="AF108" s="17">
        <f t="shared" si="12"/>
        <v>0</v>
      </c>
    </row>
    <row r="109" spans="1:32" ht="10.9" customHeight="1" x14ac:dyDescent="0.2">
      <c r="A109" s="8" t="s">
        <v>113</v>
      </c>
      <c r="B109" s="8" t="s">
        <v>14</v>
      </c>
      <c r="C109" s="8">
        <f>VLOOKUP(A:A,[1]TDSheet!$A:$C,3,0)</f>
        <v>0</v>
      </c>
      <c r="D109" s="9">
        <v>-6</v>
      </c>
      <c r="E109" s="9"/>
      <c r="F109" s="9">
        <v>0</v>
      </c>
      <c r="G109" s="9">
        <v>-6</v>
      </c>
      <c r="H109">
        <f>VLOOKUP(A:A,[1]TDSheet!$A:$H,8,0)</f>
        <v>0.41</v>
      </c>
      <c r="L109" s="17">
        <v>0</v>
      </c>
      <c r="M109" s="17">
        <f t="shared" si="7"/>
        <v>0</v>
      </c>
      <c r="N109" s="17"/>
      <c r="O109" s="17"/>
      <c r="P109" s="17"/>
      <c r="Q109" s="17"/>
      <c r="R109" s="17">
        <f>VLOOKUP(A:A,[1]TDSheet!$A:$O,15,0)</f>
        <v>0</v>
      </c>
      <c r="S109" s="17">
        <f>VLOOKUP(A:A,[1]TDSheet!$A:$O,15,0)</f>
        <v>0</v>
      </c>
      <c r="T109" s="17">
        <f t="shared" si="8"/>
        <v>0</v>
      </c>
      <c r="U109" s="18"/>
      <c r="V109" s="33">
        <f>VLOOKUP(A:A,[3]TDSheet!$A:$V,22,0)</f>
        <v>0</v>
      </c>
      <c r="W109" s="34">
        <f>VLOOKUP(A:A,[4]TDSheet!$A:$V,22,0)</f>
        <v>0</v>
      </c>
      <c r="X109" s="17" t="e">
        <f t="shared" si="9"/>
        <v>#DIV/0!</v>
      </c>
      <c r="Y109" s="17" t="e">
        <f t="shared" si="10"/>
        <v>#DIV/0!</v>
      </c>
      <c r="Z109" s="17">
        <f>VLOOKUP(A:A,[1]TDSheet!$A:$AB,28,0)</f>
        <v>0</v>
      </c>
      <c r="AA109" s="17">
        <f>VLOOKUP(A:A,[1]TDSheet!$A:$AC,29,0)</f>
        <v>0</v>
      </c>
      <c r="AB109" s="17">
        <f>VLOOKUP(A:A,[1]TDSheet!$A:$AD,30,0)</f>
        <v>0</v>
      </c>
      <c r="AC109" s="17">
        <f>VLOOKUP(A:A,[1]TDSheet!$A:$T,20,0)</f>
        <v>1.2</v>
      </c>
      <c r="AD109" s="17">
        <f>VLOOKUP(A:A,[1]TDSheet!$A:$AE,31,0)</f>
        <v>0</v>
      </c>
      <c r="AE109" s="17">
        <f t="shared" si="11"/>
        <v>0</v>
      </c>
      <c r="AF109" s="17">
        <f t="shared" si="12"/>
        <v>0</v>
      </c>
    </row>
  </sheetData>
  <autoFilter ref="A8:AF109" xr:uid="{11030668-F3E7-4EF2-9F7A-E6A8775BD127}"/>
  <pageMargins left="0.75" right="1" top="0.75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2026-06-28T06:07:39Z</dcterms:modified>
</cp:coreProperties>
</file>