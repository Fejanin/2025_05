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784"/>
  </bookViews>
  <sheets>
    <sheet name="TDSheet" sheetId="1" r:id="rId1"/>
  </sheets>
  <externalReferences>
    <externalReference r:id="rId2"/>
    <externalReference r:id="rId3"/>
  </externalReferences>
  <definedNames>
    <definedName name="_xlnm._FilterDatabase" localSheetId="0" hidden="1">TDSheet!$A$10:$J$105</definedName>
  </definedNames>
  <calcPr calcId="162913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05" i="1" l="1"/>
  <c r="AA105" i="1"/>
  <c r="Z105" i="1"/>
  <c r="Y105" i="1"/>
  <c r="X105" i="1"/>
  <c r="R105" i="1"/>
  <c r="W105" i="1" s="1"/>
  <c r="P105" i="1"/>
  <c r="V105" i="1" s="1"/>
  <c r="M105" i="1"/>
  <c r="J105" i="1"/>
  <c r="I105" i="1"/>
  <c r="H105" i="1"/>
  <c r="AC105" i="1" s="1"/>
  <c r="C105" i="1"/>
  <c r="AB104" i="1"/>
  <c r="AA104" i="1"/>
  <c r="Z104" i="1"/>
  <c r="Y104" i="1"/>
  <c r="X104" i="1"/>
  <c r="R104" i="1"/>
  <c r="W104" i="1" s="1"/>
  <c r="P104" i="1"/>
  <c r="L104" i="1"/>
  <c r="M104" i="1" s="1"/>
  <c r="J104" i="1"/>
  <c r="I104" i="1"/>
  <c r="H104" i="1"/>
  <c r="C104" i="1"/>
  <c r="AB103" i="1"/>
  <c r="AA103" i="1"/>
  <c r="Z103" i="1"/>
  <c r="Y103" i="1"/>
  <c r="X103" i="1"/>
  <c r="R103" i="1"/>
  <c r="P103" i="1"/>
  <c r="L103" i="1"/>
  <c r="M103" i="1" s="1"/>
  <c r="J103" i="1"/>
  <c r="I103" i="1"/>
  <c r="H103" i="1"/>
  <c r="C103" i="1"/>
  <c r="AB102" i="1"/>
  <c r="AA102" i="1"/>
  <c r="Z102" i="1"/>
  <c r="Y102" i="1"/>
  <c r="X102" i="1"/>
  <c r="R102" i="1"/>
  <c r="P102" i="1"/>
  <c r="L102" i="1"/>
  <c r="M102" i="1" s="1"/>
  <c r="J102" i="1"/>
  <c r="I102" i="1"/>
  <c r="H102" i="1"/>
  <c r="AC102" i="1" s="1"/>
  <c r="C102" i="1"/>
  <c r="AB101" i="1"/>
  <c r="AA101" i="1"/>
  <c r="Z101" i="1"/>
  <c r="Y101" i="1"/>
  <c r="X101" i="1"/>
  <c r="R101" i="1"/>
  <c r="W101" i="1" s="1"/>
  <c r="P101" i="1"/>
  <c r="L101" i="1"/>
  <c r="M101" i="1" s="1"/>
  <c r="J101" i="1"/>
  <c r="I101" i="1"/>
  <c r="H101" i="1"/>
  <c r="AC101" i="1" s="1"/>
  <c r="C101" i="1"/>
  <c r="AB100" i="1"/>
  <c r="AA100" i="1"/>
  <c r="Z100" i="1"/>
  <c r="Y100" i="1"/>
  <c r="X100" i="1"/>
  <c r="R100" i="1"/>
  <c r="W100" i="1" s="1"/>
  <c r="P100" i="1"/>
  <c r="L100" i="1"/>
  <c r="M100" i="1" s="1"/>
  <c r="J100" i="1"/>
  <c r="I100" i="1"/>
  <c r="H100" i="1"/>
  <c r="C100" i="1"/>
  <c r="AB99" i="1"/>
  <c r="AA99" i="1"/>
  <c r="Z99" i="1"/>
  <c r="Y99" i="1"/>
  <c r="X99" i="1"/>
  <c r="R99" i="1"/>
  <c r="W99" i="1" s="1"/>
  <c r="P99" i="1"/>
  <c r="L99" i="1"/>
  <c r="M99" i="1" s="1"/>
  <c r="J99" i="1"/>
  <c r="I99" i="1"/>
  <c r="H99" i="1"/>
  <c r="C99" i="1"/>
  <c r="AB98" i="1"/>
  <c r="AA98" i="1"/>
  <c r="Z98" i="1"/>
  <c r="Y98" i="1"/>
  <c r="X98" i="1"/>
  <c r="R98" i="1"/>
  <c r="W98" i="1" s="1"/>
  <c r="P98" i="1"/>
  <c r="L98" i="1"/>
  <c r="M98" i="1" s="1"/>
  <c r="J98" i="1"/>
  <c r="I98" i="1"/>
  <c r="H98" i="1"/>
  <c r="C98" i="1"/>
  <c r="AB97" i="1"/>
  <c r="AA97" i="1"/>
  <c r="Z97" i="1"/>
  <c r="Y97" i="1"/>
  <c r="X97" i="1"/>
  <c r="R97" i="1"/>
  <c r="W97" i="1" s="1"/>
  <c r="P97" i="1"/>
  <c r="V97" i="1" s="1"/>
  <c r="L97" i="1"/>
  <c r="M97" i="1" s="1"/>
  <c r="J97" i="1"/>
  <c r="I97" i="1"/>
  <c r="H97" i="1"/>
  <c r="AC97" i="1" s="1"/>
  <c r="C97" i="1"/>
  <c r="AB96" i="1"/>
  <c r="AA96" i="1"/>
  <c r="Z96" i="1"/>
  <c r="Y96" i="1"/>
  <c r="X96" i="1"/>
  <c r="R96" i="1"/>
  <c r="W96" i="1" s="1"/>
  <c r="P96" i="1"/>
  <c r="L96" i="1"/>
  <c r="M96" i="1" s="1"/>
  <c r="J96" i="1"/>
  <c r="I96" i="1"/>
  <c r="H96" i="1"/>
  <c r="AC96" i="1" s="1"/>
  <c r="C96" i="1"/>
  <c r="AB95" i="1"/>
  <c r="AA95" i="1"/>
  <c r="Z95" i="1"/>
  <c r="Y95" i="1"/>
  <c r="X95" i="1"/>
  <c r="R95" i="1"/>
  <c r="W95" i="1" s="1"/>
  <c r="P95" i="1"/>
  <c r="L95" i="1"/>
  <c r="M95" i="1" s="1"/>
  <c r="J95" i="1"/>
  <c r="I95" i="1"/>
  <c r="H95" i="1"/>
  <c r="AC95" i="1" s="1"/>
  <c r="C95" i="1"/>
  <c r="AB94" i="1"/>
  <c r="AA94" i="1"/>
  <c r="Z94" i="1"/>
  <c r="Y94" i="1"/>
  <c r="X94" i="1"/>
  <c r="R94" i="1"/>
  <c r="W94" i="1" s="1"/>
  <c r="P94" i="1"/>
  <c r="L94" i="1"/>
  <c r="M94" i="1" s="1"/>
  <c r="J94" i="1"/>
  <c r="I94" i="1"/>
  <c r="H94" i="1"/>
  <c r="AC94" i="1" s="1"/>
  <c r="C94" i="1"/>
  <c r="AB93" i="1"/>
  <c r="AA93" i="1"/>
  <c r="Z93" i="1"/>
  <c r="Y93" i="1"/>
  <c r="X93" i="1"/>
  <c r="R93" i="1"/>
  <c r="W93" i="1" s="1"/>
  <c r="P93" i="1"/>
  <c r="L93" i="1"/>
  <c r="M93" i="1" s="1"/>
  <c r="J93" i="1"/>
  <c r="I93" i="1"/>
  <c r="H93" i="1"/>
  <c r="AC93" i="1" s="1"/>
  <c r="C93" i="1"/>
  <c r="AB92" i="1"/>
  <c r="AA92" i="1"/>
  <c r="Z92" i="1"/>
  <c r="Y92" i="1"/>
  <c r="X92" i="1"/>
  <c r="R92" i="1"/>
  <c r="W92" i="1" s="1"/>
  <c r="P92" i="1"/>
  <c r="L92" i="1"/>
  <c r="M92" i="1" s="1"/>
  <c r="J92" i="1"/>
  <c r="I92" i="1"/>
  <c r="H92" i="1"/>
  <c r="AC92" i="1" s="1"/>
  <c r="C92" i="1"/>
  <c r="AB91" i="1"/>
  <c r="AA91" i="1"/>
  <c r="Z91" i="1"/>
  <c r="Y91" i="1"/>
  <c r="X91" i="1"/>
  <c r="R91" i="1"/>
  <c r="P91" i="1"/>
  <c r="L91" i="1"/>
  <c r="M91" i="1" s="1"/>
  <c r="J91" i="1"/>
  <c r="I91" i="1"/>
  <c r="H91" i="1"/>
  <c r="C91" i="1"/>
  <c r="AB90" i="1"/>
  <c r="AA90" i="1"/>
  <c r="Z90" i="1"/>
  <c r="Y90" i="1"/>
  <c r="X90" i="1"/>
  <c r="R90" i="1"/>
  <c r="W90" i="1" s="1"/>
  <c r="P90" i="1"/>
  <c r="L90" i="1"/>
  <c r="M90" i="1" s="1"/>
  <c r="J90" i="1"/>
  <c r="I90" i="1"/>
  <c r="H90" i="1"/>
  <c r="C90" i="1"/>
  <c r="AB89" i="1"/>
  <c r="AA89" i="1"/>
  <c r="Z89" i="1"/>
  <c r="Y89" i="1"/>
  <c r="X89" i="1"/>
  <c r="R89" i="1"/>
  <c r="P89" i="1"/>
  <c r="L89" i="1"/>
  <c r="M89" i="1" s="1"/>
  <c r="J89" i="1"/>
  <c r="I89" i="1"/>
  <c r="H89" i="1"/>
  <c r="C89" i="1"/>
  <c r="AB88" i="1"/>
  <c r="AA88" i="1"/>
  <c r="Z88" i="1"/>
  <c r="Y88" i="1"/>
  <c r="X88" i="1"/>
  <c r="R88" i="1"/>
  <c r="W88" i="1" s="1"/>
  <c r="P88" i="1"/>
  <c r="S88" i="1" s="1"/>
  <c r="L88" i="1"/>
  <c r="M88" i="1" s="1"/>
  <c r="J88" i="1"/>
  <c r="I88" i="1"/>
  <c r="H88" i="1"/>
  <c r="C88" i="1"/>
  <c r="AB87" i="1"/>
  <c r="AA87" i="1"/>
  <c r="Z87" i="1"/>
  <c r="Y87" i="1"/>
  <c r="X87" i="1"/>
  <c r="R87" i="1"/>
  <c r="P87" i="1"/>
  <c r="L87" i="1"/>
  <c r="M87" i="1" s="1"/>
  <c r="J87" i="1"/>
  <c r="I87" i="1"/>
  <c r="H87" i="1"/>
  <c r="C87" i="1"/>
  <c r="AB86" i="1"/>
  <c r="AA86" i="1"/>
  <c r="Z86" i="1"/>
  <c r="Y86" i="1"/>
  <c r="X86" i="1"/>
  <c r="W86" i="1"/>
  <c r="R86" i="1"/>
  <c r="P86" i="1"/>
  <c r="L86" i="1"/>
  <c r="M86" i="1" s="1"/>
  <c r="J86" i="1"/>
  <c r="I86" i="1"/>
  <c r="H86" i="1"/>
  <c r="AC86" i="1" s="1"/>
  <c r="C86" i="1"/>
  <c r="AB85" i="1"/>
  <c r="AA85" i="1"/>
  <c r="Z85" i="1"/>
  <c r="Y85" i="1"/>
  <c r="X85" i="1"/>
  <c r="R85" i="1"/>
  <c r="W85" i="1" s="1"/>
  <c r="P85" i="1"/>
  <c r="L85" i="1"/>
  <c r="M85" i="1" s="1"/>
  <c r="J85" i="1"/>
  <c r="I85" i="1"/>
  <c r="H85" i="1"/>
  <c r="C85" i="1"/>
  <c r="AB84" i="1"/>
  <c r="AA84" i="1"/>
  <c r="Z84" i="1"/>
  <c r="Y84" i="1"/>
  <c r="X84" i="1"/>
  <c r="R84" i="1"/>
  <c r="P84" i="1"/>
  <c r="L84" i="1"/>
  <c r="M84" i="1" s="1"/>
  <c r="J84" i="1"/>
  <c r="I84" i="1"/>
  <c r="H84" i="1"/>
  <c r="C84" i="1"/>
  <c r="AB83" i="1"/>
  <c r="AA83" i="1"/>
  <c r="Z83" i="1"/>
  <c r="Y83" i="1"/>
  <c r="X83" i="1"/>
  <c r="R83" i="1"/>
  <c r="W83" i="1" s="1"/>
  <c r="P83" i="1"/>
  <c r="L83" i="1"/>
  <c r="M83" i="1" s="1"/>
  <c r="J83" i="1"/>
  <c r="I83" i="1"/>
  <c r="H83" i="1"/>
  <c r="C83" i="1"/>
  <c r="AB82" i="1"/>
  <c r="AA82" i="1"/>
  <c r="Z82" i="1"/>
  <c r="Y82" i="1"/>
  <c r="X82" i="1"/>
  <c r="R82" i="1"/>
  <c r="W82" i="1" s="1"/>
  <c r="P82" i="1"/>
  <c r="V82" i="1" s="1"/>
  <c r="L82" i="1"/>
  <c r="M82" i="1" s="1"/>
  <c r="J82" i="1"/>
  <c r="I82" i="1"/>
  <c r="H82" i="1"/>
  <c r="AC82" i="1" s="1"/>
  <c r="C82" i="1"/>
  <c r="AB81" i="1"/>
  <c r="AA81" i="1"/>
  <c r="Z81" i="1"/>
  <c r="Y81" i="1"/>
  <c r="X81" i="1"/>
  <c r="R81" i="1"/>
  <c r="P81" i="1"/>
  <c r="L81" i="1"/>
  <c r="M81" i="1" s="1"/>
  <c r="J81" i="1"/>
  <c r="I81" i="1"/>
  <c r="H81" i="1"/>
  <c r="C81" i="1"/>
  <c r="AB80" i="1"/>
  <c r="AA80" i="1"/>
  <c r="Z80" i="1"/>
  <c r="Y80" i="1"/>
  <c r="X80" i="1"/>
  <c r="R80" i="1"/>
  <c r="W80" i="1" s="1"/>
  <c r="P80" i="1"/>
  <c r="L80" i="1"/>
  <c r="M80" i="1" s="1"/>
  <c r="J80" i="1"/>
  <c r="I80" i="1"/>
  <c r="H80" i="1"/>
  <c r="C80" i="1"/>
  <c r="AB79" i="1"/>
  <c r="AA79" i="1"/>
  <c r="Z79" i="1"/>
  <c r="Y79" i="1"/>
  <c r="X79" i="1"/>
  <c r="R79" i="1"/>
  <c r="W79" i="1" s="1"/>
  <c r="P79" i="1"/>
  <c r="L79" i="1"/>
  <c r="M79" i="1" s="1"/>
  <c r="J79" i="1"/>
  <c r="I79" i="1"/>
  <c r="H79" i="1"/>
  <c r="AC79" i="1" s="1"/>
  <c r="C79" i="1"/>
  <c r="AB78" i="1"/>
  <c r="AA78" i="1"/>
  <c r="Z78" i="1"/>
  <c r="Y78" i="1"/>
  <c r="X78" i="1"/>
  <c r="R78" i="1"/>
  <c r="W78" i="1" s="1"/>
  <c r="P78" i="1"/>
  <c r="L78" i="1"/>
  <c r="M78" i="1" s="1"/>
  <c r="J78" i="1"/>
  <c r="I78" i="1"/>
  <c r="H78" i="1"/>
  <c r="AC78" i="1" s="1"/>
  <c r="C78" i="1"/>
  <c r="AB77" i="1"/>
  <c r="AA77" i="1"/>
  <c r="Z77" i="1"/>
  <c r="Y77" i="1"/>
  <c r="X77" i="1"/>
  <c r="R77" i="1"/>
  <c r="W77" i="1" s="1"/>
  <c r="P77" i="1"/>
  <c r="L77" i="1"/>
  <c r="M77" i="1" s="1"/>
  <c r="J77" i="1"/>
  <c r="I77" i="1"/>
  <c r="H77" i="1"/>
  <c r="AC77" i="1" s="1"/>
  <c r="C77" i="1"/>
  <c r="AB76" i="1"/>
  <c r="AA76" i="1"/>
  <c r="Z76" i="1"/>
  <c r="Y76" i="1"/>
  <c r="X76" i="1"/>
  <c r="R76" i="1"/>
  <c r="W76" i="1" s="1"/>
  <c r="P76" i="1"/>
  <c r="V76" i="1" s="1"/>
  <c r="L76" i="1"/>
  <c r="M76" i="1" s="1"/>
  <c r="J76" i="1"/>
  <c r="I76" i="1"/>
  <c r="H76" i="1"/>
  <c r="AC76" i="1" s="1"/>
  <c r="C76" i="1"/>
  <c r="AB75" i="1"/>
  <c r="AA75" i="1"/>
  <c r="Z75" i="1"/>
  <c r="Y75" i="1"/>
  <c r="X75" i="1"/>
  <c r="R75" i="1"/>
  <c r="P75" i="1"/>
  <c r="L75" i="1"/>
  <c r="M75" i="1" s="1"/>
  <c r="J75" i="1"/>
  <c r="I75" i="1"/>
  <c r="H75" i="1"/>
  <c r="C75" i="1"/>
  <c r="AB74" i="1"/>
  <c r="AA74" i="1"/>
  <c r="Z74" i="1"/>
  <c r="Y74" i="1"/>
  <c r="X74" i="1"/>
  <c r="W74" i="1"/>
  <c r="R74" i="1"/>
  <c r="S74" i="1" s="1"/>
  <c r="AC74" i="1" s="1"/>
  <c r="P74" i="1"/>
  <c r="L74" i="1"/>
  <c r="M74" i="1" s="1"/>
  <c r="J74" i="1"/>
  <c r="I74" i="1"/>
  <c r="H74" i="1"/>
  <c r="C74" i="1"/>
  <c r="AB73" i="1"/>
  <c r="AA73" i="1"/>
  <c r="Z73" i="1"/>
  <c r="Y73" i="1"/>
  <c r="X73" i="1"/>
  <c r="R73" i="1"/>
  <c r="P73" i="1"/>
  <c r="L73" i="1"/>
  <c r="M73" i="1" s="1"/>
  <c r="J73" i="1"/>
  <c r="I73" i="1"/>
  <c r="H73" i="1"/>
  <c r="C73" i="1"/>
  <c r="AB72" i="1"/>
  <c r="AA72" i="1"/>
  <c r="Z72" i="1"/>
  <c r="Y72" i="1"/>
  <c r="X72" i="1"/>
  <c r="R72" i="1"/>
  <c r="W72" i="1" s="1"/>
  <c r="P72" i="1"/>
  <c r="L72" i="1"/>
  <c r="M72" i="1" s="1"/>
  <c r="J72" i="1"/>
  <c r="I72" i="1"/>
  <c r="H72" i="1"/>
  <c r="C72" i="1"/>
  <c r="AB71" i="1"/>
  <c r="AA71" i="1"/>
  <c r="Z71" i="1"/>
  <c r="Y71" i="1"/>
  <c r="X71" i="1"/>
  <c r="R71" i="1"/>
  <c r="W71" i="1" s="1"/>
  <c r="P71" i="1"/>
  <c r="L71" i="1"/>
  <c r="M71" i="1" s="1"/>
  <c r="J71" i="1"/>
  <c r="I71" i="1"/>
  <c r="H71" i="1"/>
  <c r="AC71" i="1" s="1"/>
  <c r="C71" i="1"/>
  <c r="AB70" i="1"/>
  <c r="AA70" i="1"/>
  <c r="Z70" i="1"/>
  <c r="Y70" i="1"/>
  <c r="X70" i="1"/>
  <c r="R70" i="1"/>
  <c r="W70" i="1" s="1"/>
  <c r="P70" i="1"/>
  <c r="L70" i="1"/>
  <c r="M70" i="1" s="1"/>
  <c r="J70" i="1"/>
  <c r="I70" i="1"/>
  <c r="H70" i="1"/>
  <c r="AC70" i="1" s="1"/>
  <c r="C70" i="1"/>
  <c r="AB69" i="1"/>
  <c r="AA69" i="1"/>
  <c r="Z69" i="1"/>
  <c r="Y69" i="1"/>
  <c r="X69" i="1"/>
  <c r="R69" i="1"/>
  <c r="P69" i="1"/>
  <c r="L69" i="1"/>
  <c r="M69" i="1" s="1"/>
  <c r="J69" i="1"/>
  <c r="I69" i="1"/>
  <c r="H69" i="1"/>
  <c r="C69" i="1"/>
  <c r="AB68" i="1"/>
  <c r="AA68" i="1"/>
  <c r="Z68" i="1"/>
  <c r="Y68" i="1"/>
  <c r="X68" i="1"/>
  <c r="R68" i="1"/>
  <c r="W68" i="1" s="1"/>
  <c r="P68" i="1"/>
  <c r="L68" i="1"/>
  <c r="M68" i="1" s="1"/>
  <c r="J68" i="1"/>
  <c r="I68" i="1"/>
  <c r="H68" i="1"/>
  <c r="AC68" i="1" s="1"/>
  <c r="C68" i="1"/>
  <c r="AB67" i="1"/>
  <c r="AA67" i="1"/>
  <c r="Z67" i="1"/>
  <c r="Y67" i="1"/>
  <c r="X67" i="1"/>
  <c r="R67" i="1"/>
  <c r="W67" i="1" s="1"/>
  <c r="P67" i="1"/>
  <c r="L67" i="1"/>
  <c r="M67" i="1" s="1"/>
  <c r="J67" i="1"/>
  <c r="I67" i="1"/>
  <c r="H67" i="1"/>
  <c r="AC67" i="1" s="1"/>
  <c r="C67" i="1"/>
  <c r="AB66" i="1"/>
  <c r="AA66" i="1"/>
  <c r="Z66" i="1"/>
  <c r="Y66" i="1"/>
  <c r="X66" i="1"/>
  <c r="R66" i="1"/>
  <c r="W66" i="1" s="1"/>
  <c r="P66" i="1"/>
  <c r="L66" i="1"/>
  <c r="M66" i="1" s="1"/>
  <c r="J66" i="1"/>
  <c r="I66" i="1"/>
  <c r="H66" i="1"/>
  <c r="AC66" i="1" s="1"/>
  <c r="C66" i="1"/>
  <c r="AB65" i="1"/>
  <c r="AA65" i="1"/>
  <c r="Z65" i="1"/>
  <c r="Y65" i="1"/>
  <c r="X65" i="1"/>
  <c r="R65" i="1"/>
  <c r="W65" i="1" s="1"/>
  <c r="P65" i="1"/>
  <c r="L65" i="1"/>
  <c r="M65" i="1" s="1"/>
  <c r="J65" i="1"/>
  <c r="I65" i="1"/>
  <c r="H65" i="1"/>
  <c r="AC65" i="1" s="1"/>
  <c r="C65" i="1"/>
  <c r="AB64" i="1"/>
  <c r="AA64" i="1"/>
  <c r="Z64" i="1"/>
  <c r="Y64" i="1"/>
  <c r="X64" i="1"/>
  <c r="R64" i="1"/>
  <c r="P64" i="1"/>
  <c r="M64" i="1"/>
  <c r="J64" i="1"/>
  <c r="I64" i="1"/>
  <c r="H64" i="1"/>
  <c r="AC64" i="1" s="1"/>
  <c r="C64" i="1"/>
  <c r="AB63" i="1"/>
  <c r="AA63" i="1"/>
  <c r="Z63" i="1"/>
  <c r="Y63" i="1"/>
  <c r="X63" i="1"/>
  <c r="R63" i="1"/>
  <c r="W63" i="1" s="1"/>
  <c r="P63" i="1"/>
  <c r="M63" i="1"/>
  <c r="J63" i="1"/>
  <c r="I63" i="1"/>
  <c r="H63" i="1"/>
  <c r="AC63" i="1" s="1"/>
  <c r="C63" i="1"/>
  <c r="AB62" i="1"/>
  <c r="AA62" i="1"/>
  <c r="Z62" i="1"/>
  <c r="Y62" i="1"/>
  <c r="X62" i="1"/>
  <c r="R62" i="1"/>
  <c r="W62" i="1" s="1"/>
  <c r="P62" i="1"/>
  <c r="L62" i="1"/>
  <c r="M62" i="1" s="1"/>
  <c r="J62" i="1"/>
  <c r="I62" i="1"/>
  <c r="H62" i="1"/>
  <c r="AC62" i="1" s="1"/>
  <c r="C62" i="1"/>
  <c r="AB61" i="1"/>
  <c r="AA61" i="1"/>
  <c r="Z61" i="1"/>
  <c r="Y61" i="1"/>
  <c r="X61" i="1"/>
  <c r="R61" i="1"/>
  <c r="W61" i="1" s="1"/>
  <c r="P61" i="1"/>
  <c r="L61" i="1"/>
  <c r="M61" i="1" s="1"/>
  <c r="J61" i="1"/>
  <c r="I61" i="1"/>
  <c r="H61" i="1"/>
  <c r="AC61" i="1" s="1"/>
  <c r="C61" i="1"/>
  <c r="AB60" i="1"/>
  <c r="AA60" i="1"/>
  <c r="Z60" i="1"/>
  <c r="Y60" i="1"/>
  <c r="X60" i="1"/>
  <c r="R60" i="1"/>
  <c r="W60" i="1" s="1"/>
  <c r="P60" i="1"/>
  <c r="L60" i="1"/>
  <c r="M60" i="1" s="1"/>
  <c r="J60" i="1"/>
  <c r="I60" i="1"/>
  <c r="H60" i="1"/>
  <c r="C60" i="1"/>
  <c r="AB59" i="1"/>
  <c r="AA59" i="1"/>
  <c r="Z59" i="1"/>
  <c r="Y59" i="1"/>
  <c r="X59" i="1"/>
  <c r="R59" i="1"/>
  <c r="W59" i="1" s="1"/>
  <c r="P59" i="1"/>
  <c r="L59" i="1"/>
  <c r="M59" i="1" s="1"/>
  <c r="J59" i="1"/>
  <c r="I59" i="1"/>
  <c r="H59" i="1"/>
  <c r="AC59" i="1" s="1"/>
  <c r="C59" i="1"/>
  <c r="AB58" i="1"/>
  <c r="AA58" i="1"/>
  <c r="Z58" i="1"/>
  <c r="Y58" i="1"/>
  <c r="X58" i="1"/>
  <c r="R58" i="1"/>
  <c r="P58" i="1"/>
  <c r="L58" i="1"/>
  <c r="M58" i="1" s="1"/>
  <c r="J58" i="1"/>
  <c r="I58" i="1"/>
  <c r="H58" i="1"/>
  <c r="C58" i="1"/>
  <c r="AB57" i="1"/>
  <c r="AA57" i="1"/>
  <c r="Z57" i="1"/>
  <c r="Y57" i="1"/>
  <c r="X57" i="1"/>
  <c r="R57" i="1"/>
  <c r="P57" i="1"/>
  <c r="M57" i="1"/>
  <c r="L57" i="1"/>
  <c r="J57" i="1"/>
  <c r="I57" i="1"/>
  <c r="H57" i="1"/>
  <c r="AC57" i="1" s="1"/>
  <c r="C57" i="1"/>
  <c r="AB56" i="1"/>
  <c r="AA56" i="1"/>
  <c r="Z56" i="1"/>
  <c r="Y56" i="1"/>
  <c r="X56" i="1"/>
  <c r="R56" i="1"/>
  <c r="P56" i="1"/>
  <c r="L56" i="1"/>
  <c r="M56" i="1" s="1"/>
  <c r="J56" i="1"/>
  <c r="I56" i="1"/>
  <c r="H56" i="1"/>
  <c r="AC56" i="1" s="1"/>
  <c r="C56" i="1"/>
  <c r="AB55" i="1"/>
  <c r="AA55" i="1"/>
  <c r="Z55" i="1"/>
  <c r="Y55" i="1"/>
  <c r="X55" i="1"/>
  <c r="R55" i="1"/>
  <c r="P55" i="1"/>
  <c r="L55" i="1"/>
  <c r="M55" i="1" s="1"/>
  <c r="J55" i="1"/>
  <c r="I55" i="1"/>
  <c r="H55" i="1"/>
  <c r="AC55" i="1" s="1"/>
  <c r="C55" i="1"/>
  <c r="AB54" i="1"/>
  <c r="AA54" i="1"/>
  <c r="Z54" i="1"/>
  <c r="Y54" i="1"/>
  <c r="X54" i="1"/>
  <c r="R54" i="1"/>
  <c r="P54" i="1"/>
  <c r="L54" i="1"/>
  <c r="M54" i="1" s="1"/>
  <c r="J54" i="1"/>
  <c r="I54" i="1"/>
  <c r="H54" i="1"/>
  <c r="AC54" i="1" s="1"/>
  <c r="C54" i="1"/>
  <c r="AB53" i="1"/>
  <c r="AA53" i="1"/>
  <c r="Z53" i="1"/>
  <c r="Y53" i="1"/>
  <c r="X53" i="1"/>
  <c r="R53" i="1"/>
  <c r="P53" i="1"/>
  <c r="L53" i="1"/>
  <c r="M53" i="1" s="1"/>
  <c r="J53" i="1"/>
  <c r="I53" i="1"/>
  <c r="H53" i="1"/>
  <c r="AC53" i="1" s="1"/>
  <c r="C53" i="1"/>
  <c r="AB52" i="1"/>
  <c r="AA52" i="1"/>
  <c r="Z52" i="1"/>
  <c r="Y52" i="1"/>
  <c r="X52" i="1"/>
  <c r="R52" i="1"/>
  <c r="W52" i="1" s="1"/>
  <c r="P52" i="1"/>
  <c r="L52" i="1"/>
  <c r="M52" i="1" s="1"/>
  <c r="J52" i="1"/>
  <c r="I52" i="1"/>
  <c r="H52" i="1"/>
  <c r="C52" i="1"/>
  <c r="AB51" i="1"/>
  <c r="AA51" i="1"/>
  <c r="Z51" i="1"/>
  <c r="Y51" i="1"/>
  <c r="X51" i="1"/>
  <c r="R51" i="1"/>
  <c r="W51" i="1" s="1"/>
  <c r="P51" i="1"/>
  <c r="L51" i="1"/>
  <c r="M51" i="1" s="1"/>
  <c r="J51" i="1"/>
  <c r="I51" i="1"/>
  <c r="H51" i="1"/>
  <c r="AC51" i="1" s="1"/>
  <c r="C51" i="1"/>
  <c r="AB50" i="1"/>
  <c r="AA50" i="1"/>
  <c r="Z50" i="1"/>
  <c r="Y50" i="1"/>
  <c r="X50" i="1"/>
  <c r="R50" i="1"/>
  <c r="P50" i="1"/>
  <c r="L50" i="1"/>
  <c r="M50" i="1" s="1"/>
  <c r="J50" i="1"/>
  <c r="I50" i="1"/>
  <c r="H50" i="1"/>
  <c r="C50" i="1"/>
  <c r="AB49" i="1"/>
  <c r="AA49" i="1"/>
  <c r="Z49" i="1"/>
  <c r="Y49" i="1"/>
  <c r="X49" i="1"/>
  <c r="R49" i="1"/>
  <c r="W49" i="1" s="1"/>
  <c r="P49" i="1"/>
  <c r="L49" i="1"/>
  <c r="M49" i="1" s="1"/>
  <c r="J49" i="1"/>
  <c r="I49" i="1"/>
  <c r="H49" i="1"/>
  <c r="C49" i="1"/>
  <c r="AB48" i="1"/>
  <c r="AA48" i="1"/>
  <c r="Z48" i="1"/>
  <c r="Y48" i="1"/>
  <c r="X48" i="1"/>
  <c r="R48" i="1"/>
  <c r="W48" i="1" s="1"/>
  <c r="P48" i="1"/>
  <c r="V48" i="1" s="1"/>
  <c r="L48" i="1"/>
  <c r="M48" i="1" s="1"/>
  <c r="J48" i="1"/>
  <c r="I48" i="1"/>
  <c r="H48" i="1"/>
  <c r="AC48" i="1" s="1"/>
  <c r="C48" i="1"/>
  <c r="AB47" i="1"/>
  <c r="AA47" i="1"/>
  <c r="Z47" i="1"/>
  <c r="Y47" i="1"/>
  <c r="X47" i="1"/>
  <c r="R47" i="1"/>
  <c r="W47" i="1" s="1"/>
  <c r="P47" i="1"/>
  <c r="V47" i="1" s="1"/>
  <c r="L47" i="1"/>
  <c r="M47" i="1" s="1"/>
  <c r="J47" i="1"/>
  <c r="I47" i="1"/>
  <c r="H47" i="1"/>
  <c r="AC47" i="1" s="1"/>
  <c r="C47" i="1"/>
  <c r="AB46" i="1"/>
  <c r="AA46" i="1"/>
  <c r="Z46" i="1"/>
  <c r="Y46" i="1"/>
  <c r="X46" i="1"/>
  <c r="R46" i="1"/>
  <c r="P46" i="1"/>
  <c r="L46" i="1"/>
  <c r="M46" i="1" s="1"/>
  <c r="J46" i="1"/>
  <c r="I46" i="1"/>
  <c r="H46" i="1"/>
  <c r="C46" i="1"/>
  <c r="AB45" i="1"/>
  <c r="AA45" i="1"/>
  <c r="Z45" i="1"/>
  <c r="Y45" i="1"/>
  <c r="X45" i="1"/>
  <c r="R45" i="1"/>
  <c r="W45" i="1" s="1"/>
  <c r="P45" i="1"/>
  <c r="L45" i="1"/>
  <c r="M45" i="1" s="1"/>
  <c r="J45" i="1"/>
  <c r="I45" i="1"/>
  <c r="H45" i="1"/>
  <c r="C45" i="1"/>
  <c r="AB44" i="1"/>
  <c r="AA44" i="1"/>
  <c r="Z44" i="1"/>
  <c r="Y44" i="1"/>
  <c r="X44" i="1"/>
  <c r="W44" i="1"/>
  <c r="R44" i="1"/>
  <c r="P44" i="1"/>
  <c r="V44" i="1" s="1"/>
  <c r="L44" i="1"/>
  <c r="M44" i="1" s="1"/>
  <c r="J44" i="1"/>
  <c r="I44" i="1"/>
  <c r="H44" i="1"/>
  <c r="AC44" i="1" s="1"/>
  <c r="C44" i="1"/>
  <c r="AB43" i="1"/>
  <c r="AA43" i="1"/>
  <c r="Z43" i="1"/>
  <c r="Y43" i="1"/>
  <c r="X43" i="1"/>
  <c r="R43" i="1"/>
  <c r="W43" i="1" s="1"/>
  <c r="P43" i="1"/>
  <c r="L43" i="1"/>
  <c r="M43" i="1" s="1"/>
  <c r="J43" i="1"/>
  <c r="I43" i="1"/>
  <c r="H43" i="1"/>
  <c r="AC43" i="1" s="1"/>
  <c r="C43" i="1"/>
  <c r="AB42" i="1"/>
  <c r="AA42" i="1"/>
  <c r="Z42" i="1"/>
  <c r="Y42" i="1"/>
  <c r="X42" i="1"/>
  <c r="R42" i="1"/>
  <c r="W42" i="1" s="1"/>
  <c r="P42" i="1"/>
  <c r="V42" i="1" s="1"/>
  <c r="L42" i="1"/>
  <c r="M42" i="1" s="1"/>
  <c r="J42" i="1"/>
  <c r="I42" i="1"/>
  <c r="H42" i="1"/>
  <c r="AC42" i="1" s="1"/>
  <c r="C42" i="1"/>
  <c r="AB41" i="1"/>
  <c r="AA41" i="1"/>
  <c r="Z41" i="1"/>
  <c r="Y41" i="1"/>
  <c r="X41" i="1"/>
  <c r="R41" i="1"/>
  <c r="W41" i="1" s="1"/>
  <c r="P41" i="1"/>
  <c r="V41" i="1" s="1"/>
  <c r="M41" i="1"/>
  <c r="J41" i="1"/>
  <c r="I41" i="1"/>
  <c r="H41" i="1"/>
  <c r="AC41" i="1" s="1"/>
  <c r="C41" i="1"/>
  <c r="AB40" i="1"/>
  <c r="AA40" i="1"/>
  <c r="Z40" i="1"/>
  <c r="Y40" i="1"/>
  <c r="X40" i="1"/>
  <c r="R40" i="1"/>
  <c r="P40" i="1"/>
  <c r="L40" i="1"/>
  <c r="M40" i="1" s="1"/>
  <c r="J40" i="1"/>
  <c r="I40" i="1"/>
  <c r="H40" i="1"/>
  <c r="AC40" i="1" s="1"/>
  <c r="C40" i="1"/>
  <c r="AB39" i="1"/>
  <c r="AA39" i="1"/>
  <c r="Z39" i="1"/>
  <c r="Y39" i="1"/>
  <c r="X39" i="1"/>
  <c r="R39" i="1"/>
  <c r="W39" i="1" s="1"/>
  <c r="P39" i="1"/>
  <c r="L39" i="1"/>
  <c r="M39" i="1" s="1"/>
  <c r="J39" i="1"/>
  <c r="I39" i="1"/>
  <c r="H39" i="1"/>
  <c r="C39" i="1"/>
  <c r="AB38" i="1"/>
  <c r="AA38" i="1"/>
  <c r="Z38" i="1"/>
  <c r="Y38" i="1"/>
  <c r="X38" i="1"/>
  <c r="R38" i="1"/>
  <c r="P38" i="1"/>
  <c r="M38" i="1"/>
  <c r="L38" i="1"/>
  <c r="J38" i="1"/>
  <c r="I38" i="1"/>
  <c r="H38" i="1"/>
  <c r="C38" i="1"/>
  <c r="AB37" i="1"/>
  <c r="AA37" i="1"/>
  <c r="Z37" i="1"/>
  <c r="Y37" i="1"/>
  <c r="X37" i="1"/>
  <c r="R37" i="1"/>
  <c r="W37" i="1" s="1"/>
  <c r="P37" i="1"/>
  <c r="L37" i="1"/>
  <c r="M37" i="1" s="1"/>
  <c r="J37" i="1"/>
  <c r="I37" i="1"/>
  <c r="H37" i="1"/>
  <c r="C37" i="1"/>
  <c r="AB36" i="1"/>
  <c r="AA36" i="1"/>
  <c r="Z36" i="1"/>
  <c r="Y36" i="1"/>
  <c r="X36" i="1"/>
  <c r="R36" i="1"/>
  <c r="P36" i="1"/>
  <c r="L36" i="1"/>
  <c r="M36" i="1" s="1"/>
  <c r="J36" i="1"/>
  <c r="I36" i="1"/>
  <c r="H36" i="1"/>
  <c r="C36" i="1"/>
  <c r="AB35" i="1"/>
  <c r="AA35" i="1"/>
  <c r="Z35" i="1"/>
  <c r="Y35" i="1"/>
  <c r="X35" i="1"/>
  <c r="R35" i="1"/>
  <c r="S35" i="1" s="1"/>
  <c r="AC35" i="1" s="1"/>
  <c r="P35" i="1"/>
  <c r="L35" i="1"/>
  <c r="M35" i="1" s="1"/>
  <c r="J35" i="1"/>
  <c r="I35" i="1"/>
  <c r="H35" i="1"/>
  <c r="C35" i="1"/>
  <c r="AB34" i="1"/>
  <c r="AA34" i="1"/>
  <c r="Z34" i="1"/>
  <c r="Y34" i="1"/>
  <c r="X34" i="1"/>
  <c r="R34" i="1"/>
  <c r="P34" i="1"/>
  <c r="L34" i="1"/>
  <c r="M34" i="1" s="1"/>
  <c r="J34" i="1"/>
  <c r="I34" i="1"/>
  <c r="H34" i="1"/>
  <c r="C34" i="1"/>
  <c r="AB33" i="1"/>
  <c r="AA33" i="1"/>
  <c r="Z33" i="1"/>
  <c r="Y33" i="1"/>
  <c r="X33" i="1"/>
  <c r="R33" i="1"/>
  <c r="W33" i="1" s="1"/>
  <c r="P33" i="1"/>
  <c r="L33" i="1"/>
  <c r="M33" i="1" s="1"/>
  <c r="J33" i="1"/>
  <c r="I33" i="1"/>
  <c r="H33" i="1"/>
  <c r="AC33" i="1" s="1"/>
  <c r="C33" i="1"/>
  <c r="AB32" i="1"/>
  <c r="AA32" i="1"/>
  <c r="Z32" i="1"/>
  <c r="Y32" i="1"/>
  <c r="X32" i="1"/>
  <c r="R32" i="1"/>
  <c r="W32" i="1" s="1"/>
  <c r="P32" i="1"/>
  <c r="L32" i="1"/>
  <c r="M32" i="1" s="1"/>
  <c r="J32" i="1"/>
  <c r="I32" i="1"/>
  <c r="H32" i="1"/>
  <c r="AC32" i="1" s="1"/>
  <c r="C32" i="1"/>
  <c r="AB31" i="1"/>
  <c r="AA31" i="1"/>
  <c r="Z31" i="1"/>
  <c r="Y31" i="1"/>
  <c r="X31" i="1"/>
  <c r="R31" i="1"/>
  <c r="W31" i="1" s="1"/>
  <c r="P31" i="1"/>
  <c r="L31" i="1"/>
  <c r="M31" i="1" s="1"/>
  <c r="J31" i="1"/>
  <c r="I31" i="1"/>
  <c r="H31" i="1"/>
  <c r="AC31" i="1" s="1"/>
  <c r="C31" i="1"/>
  <c r="AB30" i="1"/>
  <c r="AA30" i="1"/>
  <c r="Z30" i="1"/>
  <c r="Y30" i="1"/>
  <c r="X30" i="1"/>
  <c r="R30" i="1"/>
  <c r="W30" i="1" s="1"/>
  <c r="P30" i="1"/>
  <c r="L30" i="1"/>
  <c r="M30" i="1" s="1"/>
  <c r="J30" i="1"/>
  <c r="I30" i="1"/>
  <c r="H30" i="1"/>
  <c r="C30" i="1"/>
  <c r="AB29" i="1"/>
  <c r="AA29" i="1"/>
  <c r="Z29" i="1"/>
  <c r="Y29" i="1"/>
  <c r="X29" i="1"/>
  <c r="R29" i="1"/>
  <c r="W29" i="1" s="1"/>
  <c r="P29" i="1"/>
  <c r="V29" i="1" s="1"/>
  <c r="L29" i="1"/>
  <c r="M29" i="1" s="1"/>
  <c r="J29" i="1"/>
  <c r="I29" i="1"/>
  <c r="H29" i="1"/>
  <c r="AC29" i="1" s="1"/>
  <c r="C29" i="1"/>
  <c r="AB28" i="1"/>
  <c r="AA28" i="1"/>
  <c r="Z28" i="1"/>
  <c r="Y28" i="1"/>
  <c r="X28" i="1"/>
  <c r="R28" i="1"/>
  <c r="P28" i="1"/>
  <c r="M28" i="1"/>
  <c r="L28" i="1"/>
  <c r="J28" i="1"/>
  <c r="I28" i="1"/>
  <c r="H28" i="1"/>
  <c r="C28" i="1"/>
  <c r="AB27" i="1"/>
  <c r="AA27" i="1"/>
  <c r="Z27" i="1"/>
  <c r="Y27" i="1"/>
  <c r="X27" i="1"/>
  <c r="R27" i="1"/>
  <c r="W27" i="1" s="1"/>
  <c r="P27" i="1"/>
  <c r="L27" i="1"/>
  <c r="M27" i="1" s="1"/>
  <c r="J27" i="1"/>
  <c r="I27" i="1"/>
  <c r="H27" i="1"/>
  <c r="C27" i="1"/>
  <c r="AB26" i="1"/>
  <c r="AA26" i="1"/>
  <c r="Z26" i="1"/>
  <c r="Y26" i="1"/>
  <c r="X26" i="1"/>
  <c r="R26" i="1"/>
  <c r="P26" i="1"/>
  <c r="L26" i="1"/>
  <c r="M26" i="1" s="1"/>
  <c r="J26" i="1"/>
  <c r="I26" i="1"/>
  <c r="H26" i="1"/>
  <c r="C26" i="1"/>
  <c r="AB25" i="1"/>
  <c r="AA25" i="1"/>
  <c r="Z25" i="1"/>
  <c r="Y25" i="1"/>
  <c r="X25" i="1"/>
  <c r="R25" i="1"/>
  <c r="W25" i="1" s="1"/>
  <c r="P25" i="1"/>
  <c r="L25" i="1"/>
  <c r="M25" i="1" s="1"/>
  <c r="J25" i="1"/>
  <c r="I25" i="1"/>
  <c r="H25" i="1"/>
  <c r="C25" i="1"/>
  <c r="AB24" i="1"/>
  <c r="AA24" i="1"/>
  <c r="Z24" i="1"/>
  <c r="Y24" i="1"/>
  <c r="X24" i="1"/>
  <c r="R24" i="1"/>
  <c r="W24" i="1" s="1"/>
  <c r="P24" i="1"/>
  <c r="L24" i="1"/>
  <c r="M24" i="1" s="1"/>
  <c r="J24" i="1"/>
  <c r="I24" i="1"/>
  <c r="H24" i="1"/>
  <c r="C24" i="1"/>
  <c r="AB23" i="1"/>
  <c r="AA23" i="1"/>
  <c r="Z23" i="1"/>
  <c r="Y23" i="1"/>
  <c r="X23" i="1"/>
  <c r="R23" i="1"/>
  <c r="W23" i="1" s="1"/>
  <c r="P23" i="1"/>
  <c r="L23" i="1"/>
  <c r="M23" i="1" s="1"/>
  <c r="J23" i="1"/>
  <c r="I23" i="1"/>
  <c r="H23" i="1"/>
  <c r="C23" i="1"/>
  <c r="AB22" i="1"/>
  <c r="AA22" i="1"/>
  <c r="Z22" i="1"/>
  <c r="Y22" i="1"/>
  <c r="X22" i="1"/>
  <c r="R22" i="1"/>
  <c r="W22" i="1" s="1"/>
  <c r="P22" i="1"/>
  <c r="L22" i="1"/>
  <c r="M22" i="1" s="1"/>
  <c r="J22" i="1"/>
  <c r="I22" i="1"/>
  <c r="H22" i="1"/>
  <c r="C22" i="1"/>
  <c r="AB21" i="1"/>
  <c r="AA21" i="1"/>
  <c r="Z21" i="1"/>
  <c r="Y21" i="1"/>
  <c r="X21" i="1"/>
  <c r="R21" i="1"/>
  <c r="W21" i="1" s="1"/>
  <c r="P21" i="1"/>
  <c r="L21" i="1"/>
  <c r="M21" i="1" s="1"/>
  <c r="J21" i="1"/>
  <c r="I21" i="1"/>
  <c r="H21" i="1"/>
  <c r="C21" i="1"/>
  <c r="AB20" i="1"/>
  <c r="AA20" i="1"/>
  <c r="Z20" i="1"/>
  <c r="Y20" i="1"/>
  <c r="X20" i="1"/>
  <c r="R20" i="1"/>
  <c r="P20" i="1"/>
  <c r="L20" i="1"/>
  <c r="M20" i="1" s="1"/>
  <c r="J20" i="1"/>
  <c r="I20" i="1"/>
  <c r="H20" i="1"/>
  <c r="C20" i="1"/>
  <c r="AB19" i="1"/>
  <c r="AA19" i="1"/>
  <c r="Z19" i="1"/>
  <c r="Y19" i="1"/>
  <c r="X19" i="1"/>
  <c r="R19" i="1"/>
  <c r="W19" i="1" s="1"/>
  <c r="P19" i="1"/>
  <c r="V19" i="1" s="1"/>
  <c r="L19" i="1"/>
  <c r="M19" i="1" s="1"/>
  <c r="J19" i="1"/>
  <c r="I19" i="1"/>
  <c r="H19" i="1"/>
  <c r="AC19" i="1" s="1"/>
  <c r="C19" i="1"/>
  <c r="AB18" i="1"/>
  <c r="AA18" i="1"/>
  <c r="Z18" i="1"/>
  <c r="Y18" i="1"/>
  <c r="X18" i="1"/>
  <c r="R18" i="1"/>
  <c r="W18" i="1" s="1"/>
  <c r="P18" i="1"/>
  <c r="L18" i="1"/>
  <c r="M18" i="1" s="1"/>
  <c r="J18" i="1"/>
  <c r="I18" i="1"/>
  <c r="H18" i="1"/>
  <c r="C18" i="1"/>
  <c r="AB17" i="1"/>
  <c r="AA17" i="1"/>
  <c r="Z17" i="1"/>
  <c r="Y17" i="1"/>
  <c r="X17" i="1"/>
  <c r="W17" i="1"/>
  <c r="R17" i="1"/>
  <c r="P17" i="1"/>
  <c r="L17" i="1"/>
  <c r="M17" i="1" s="1"/>
  <c r="J17" i="1"/>
  <c r="I17" i="1"/>
  <c r="H17" i="1"/>
  <c r="AC17" i="1" s="1"/>
  <c r="C17" i="1"/>
  <c r="AB16" i="1"/>
  <c r="AA16" i="1"/>
  <c r="Z16" i="1"/>
  <c r="Y16" i="1"/>
  <c r="X16" i="1"/>
  <c r="R16" i="1"/>
  <c r="W16" i="1" s="1"/>
  <c r="P16" i="1"/>
  <c r="V16" i="1" s="1"/>
  <c r="L16" i="1"/>
  <c r="M16" i="1" s="1"/>
  <c r="J16" i="1"/>
  <c r="I16" i="1"/>
  <c r="H16" i="1"/>
  <c r="AC16" i="1" s="1"/>
  <c r="C16" i="1"/>
  <c r="AB15" i="1"/>
  <c r="AA15" i="1"/>
  <c r="Z15" i="1"/>
  <c r="Y15" i="1"/>
  <c r="X15" i="1"/>
  <c r="R15" i="1"/>
  <c r="W15" i="1" s="1"/>
  <c r="P15" i="1"/>
  <c r="V15" i="1" s="1"/>
  <c r="L15" i="1"/>
  <c r="M15" i="1" s="1"/>
  <c r="J15" i="1"/>
  <c r="I15" i="1"/>
  <c r="H15" i="1"/>
  <c r="AC15" i="1" s="1"/>
  <c r="C15" i="1"/>
  <c r="AB14" i="1"/>
  <c r="AA14" i="1"/>
  <c r="Z14" i="1"/>
  <c r="Y14" i="1"/>
  <c r="X14" i="1"/>
  <c r="R14" i="1"/>
  <c r="W14" i="1" s="1"/>
  <c r="P14" i="1"/>
  <c r="L14" i="1"/>
  <c r="M14" i="1" s="1"/>
  <c r="J14" i="1"/>
  <c r="I14" i="1"/>
  <c r="H14" i="1"/>
  <c r="AC14" i="1" s="1"/>
  <c r="C14" i="1"/>
  <c r="AB13" i="1"/>
  <c r="AA13" i="1"/>
  <c r="Z13" i="1"/>
  <c r="Y13" i="1"/>
  <c r="X13" i="1"/>
  <c r="R13" i="1"/>
  <c r="W13" i="1" s="1"/>
  <c r="P13" i="1"/>
  <c r="L13" i="1"/>
  <c r="M13" i="1" s="1"/>
  <c r="J13" i="1"/>
  <c r="I13" i="1"/>
  <c r="H13" i="1"/>
  <c r="AC13" i="1" s="1"/>
  <c r="C13" i="1"/>
  <c r="AB12" i="1"/>
  <c r="AA12" i="1"/>
  <c r="Z12" i="1"/>
  <c r="Y12" i="1"/>
  <c r="X12" i="1"/>
  <c r="R12" i="1"/>
  <c r="W12" i="1" s="1"/>
  <c r="P12" i="1"/>
  <c r="L12" i="1"/>
  <c r="M12" i="1" s="1"/>
  <c r="J12" i="1"/>
  <c r="I12" i="1"/>
  <c r="H12" i="1"/>
  <c r="AC12" i="1" s="1"/>
  <c r="C12" i="1"/>
  <c r="AB11" i="1"/>
  <c r="AA11" i="1"/>
  <c r="Z11" i="1"/>
  <c r="Y11" i="1"/>
  <c r="X11" i="1"/>
  <c r="R11" i="1"/>
  <c r="W11" i="1" s="1"/>
  <c r="P11" i="1"/>
  <c r="L11" i="1"/>
  <c r="M11" i="1" s="1"/>
  <c r="J11" i="1"/>
  <c r="I11" i="1"/>
  <c r="H11" i="1"/>
  <c r="C11" i="1"/>
  <c r="T10" i="1"/>
  <c r="Q10" i="1"/>
  <c r="O10" i="1"/>
  <c r="G10" i="1"/>
  <c r="F10" i="1"/>
  <c r="E10" i="1"/>
  <c r="D10" i="1"/>
  <c r="S73" i="1" l="1"/>
  <c r="S91" i="1"/>
  <c r="V33" i="1"/>
  <c r="V51" i="1"/>
  <c r="V86" i="1"/>
  <c r="AC88" i="1"/>
  <c r="V95" i="1"/>
  <c r="S103" i="1"/>
  <c r="AC103" i="1" s="1"/>
  <c r="V43" i="1"/>
  <c r="S52" i="1"/>
  <c r="AC52" i="1" s="1"/>
  <c r="V61" i="1"/>
  <c r="S104" i="1"/>
  <c r="AC104" i="1" s="1"/>
  <c r="L10" i="1"/>
  <c r="X10" i="1"/>
  <c r="S81" i="1"/>
  <c r="AC81" i="1" s="1"/>
  <c r="S25" i="1"/>
  <c r="AC25" i="1" s="1"/>
  <c r="V31" i="1"/>
  <c r="V63" i="1"/>
  <c r="V79" i="1"/>
  <c r="V93" i="1"/>
  <c r="V94" i="1"/>
  <c r="V101" i="1"/>
  <c r="M10" i="1"/>
  <c r="Z10" i="1"/>
  <c r="P10" i="1"/>
  <c r="S38" i="1"/>
  <c r="V38" i="1" s="1"/>
  <c r="V81" i="1"/>
  <c r="V92" i="1"/>
  <c r="V96" i="1"/>
  <c r="V102" i="1"/>
  <c r="V13" i="1"/>
  <c r="V17" i="1"/>
  <c r="S21" i="1"/>
  <c r="AC21" i="1" s="1"/>
  <c r="S30" i="1"/>
  <c r="AC30" i="1" s="1"/>
  <c r="W35" i="1"/>
  <c r="S39" i="1"/>
  <c r="AC39" i="1" s="1"/>
  <c r="S45" i="1"/>
  <c r="AC45" i="1" s="1"/>
  <c r="V70" i="1"/>
  <c r="V74" i="1"/>
  <c r="V77" i="1"/>
  <c r="W102" i="1"/>
  <c r="AA10" i="1"/>
  <c r="S20" i="1"/>
  <c r="V20" i="1" s="1"/>
  <c r="Y10" i="1"/>
  <c r="S50" i="1"/>
  <c r="AC50" i="1" s="1"/>
  <c r="S87" i="1"/>
  <c r="V87" i="1" s="1"/>
  <c r="V14" i="1"/>
  <c r="V59" i="1"/>
  <c r="V62" i="1"/>
  <c r="V71" i="1"/>
  <c r="AC73" i="1"/>
  <c r="V78" i="1"/>
  <c r="S83" i="1"/>
  <c r="AC83" i="1" s="1"/>
  <c r="S98" i="1"/>
  <c r="AC98" i="1" s="1"/>
  <c r="AC20" i="1"/>
  <c r="S60" i="1"/>
  <c r="AC60" i="1" s="1"/>
  <c r="S80" i="1"/>
  <c r="AC80" i="1" s="1"/>
  <c r="S85" i="1"/>
  <c r="AC85" i="1" s="1"/>
  <c r="AC91" i="1"/>
  <c r="V91" i="1"/>
  <c r="R10" i="1"/>
  <c r="S11" i="1"/>
  <c r="W20" i="1"/>
  <c r="S22" i="1"/>
  <c r="S26" i="1"/>
  <c r="AC26" i="1" s="1"/>
  <c r="W26" i="1"/>
  <c r="S49" i="1"/>
  <c r="AC49" i="1" s="1"/>
  <c r="V50" i="1"/>
  <c r="W54" i="1"/>
  <c r="V54" i="1"/>
  <c r="W56" i="1"/>
  <c r="V56" i="1"/>
  <c r="W58" i="1"/>
  <c r="S58" i="1"/>
  <c r="V66" i="1"/>
  <c r="V68" i="1"/>
  <c r="S72" i="1"/>
  <c r="AC72" i="1" s="1"/>
  <c r="V73" i="1"/>
  <c r="W75" i="1"/>
  <c r="S75" i="1"/>
  <c r="W84" i="1"/>
  <c r="S84" i="1"/>
  <c r="V88" i="1"/>
  <c r="W46" i="1"/>
  <c r="S46" i="1"/>
  <c r="W69" i="1"/>
  <c r="S69" i="1"/>
  <c r="V12" i="1"/>
  <c r="S18" i="1"/>
  <c r="AC18" i="1" s="1"/>
  <c r="S23" i="1"/>
  <c r="AC23" i="1" s="1"/>
  <c r="W28" i="1"/>
  <c r="S28" i="1"/>
  <c r="S34" i="1"/>
  <c r="W34" i="1"/>
  <c r="V35" i="1"/>
  <c r="AC38" i="1"/>
  <c r="V52" i="1"/>
  <c r="W64" i="1"/>
  <c r="V64" i="1"/>
  <c r="W89" i="1"/>
  <c r="S89" i="1"/>
  <c r="V30" i="1"/>
  <c r="S24" i="1"/>
  <c r="S27" i="1"/>
  <c r="AC27" i="1" s="1"/>
  <c r="V32" i="1"/>
  <c r="W36" i="1"/>
  <c r="S36" i="1"/>
  <c r="S37" i="1"/>
  <c r="AC37" i="1" s="1"/>
  <c r="W40" i="1"/>
  <c r="V40" i="1"/>
  <c r="W53" i="1"/>
  <c r="V53" i="1"/>
  <c r="W55" i="1"/>
  <c r="V55" i="1"/>
  <c r="W57" i="1"/>
  <c r="V57" i="1"/>
  <c r="V65" i="1"/>
  <c r="V67" i="1"/>
  <c r="V103" i="1"/>
  <c r="W38" i="1"/>
  <c r="W50" i="1"/>
  <c r="W73" i="1"/>
  <c r="W81" i="1"/>
  <c r="W87" i="1"/>
  <c r="W91" i="1"/>
  <c r="S99" i="1"/>
  <c r="W103" i="1"/>
  <c r="S90" i="1"/>
  <c r="AC90" i="1" s="1"/>
  <c r="S100" i="1"/>
  <c r="AC100" i="1" s="1"/>
  <c r="V39" i="1" l="1"/>
  <c r="V104" i="1"/>
  <c r="V25" i="1"/>
  <c r="V98" i="1"/>
  <c r="V21" i="1"/>
  <c r="V80" i="1"/>
  <c r="AC87" i="1"/>
  <c r="V83" i="1"/>
  <c r="V45" i="1"/>
  <c r="AC36" i="1"/>
  <c r="V36" i="1"/>
  <c r="V46" i="1"/>
  <c r="AC46" i="1"/>
  <c r="V26" i="1"/>
  <c r="AC24" i="1"/>
  <c r="V24" i="1"/>
  <c r="AC34" i="1"/>
  <c r="V34" i="1"/>
  <c r="V11" i="1"/>
  <c r="S10" i="1"/>
  <c r="AC11" i="1"/>
  <c r="AC28" i="1"/>
  <c r="V28" i="1"/>
  <c r="V84" i="1"/>
  <c r="AC84" i="1"/>
  <c r="V69" i="1"/>
  <c r="AC69" i="1"/>
  <c r="V90" i="1"/>
  <c r="V58" i="1"/>
  <c r="AC58" i="1"/>
  <c r="V49" i="1"/>
  <c r="V22" i="1"/>
  <c r="AC22" i="1"/>
  <c r="V100" i="1"/>
  <c r="V85" i="1"/>
  <c r="V60" i="1"/>
  <c r="V18" i="1"/>
  <c r="V99" i="1"/>
  <c r="AC99" i="1"/>
  <c r="V37" i="1"/>
  <c r="V89" i="1"/>
  <c r="AC89" i="1"/>
  <c r="V75" i="1"/>
  <c r="AC75" i="1"/>
  <c r="V72" i="1"/>
  <c r="V27" i="1"/>
  <c r="V23" i="1"/>
  <c r="AC10" i="1" l="1"/>
</calcChain>
</file>

<file path=xl/sharedStrings.xml><?xml version="1.0" encoding="utf-8"?>
<sst xmlns="http://schemas.openxmlformats.org/spreadsheetml/2006/main" count="232" uniqueCount="133">
  <si>
    <t>Ведомость по товарам на складах</t>
  </si>
  <si>
    <t>Период: 15.06.2026 - 22.06.2026</t>
  </si>
  <si>
    <t>Склад В списке "АСП1 Мелитополь Останкино" И
Номенклатура В группе из списка "Останкино ООО"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</si>
  <si>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</si>
  <si>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</si>
  <si>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</si>
  <si>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</si>
  <si>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</si>
  <si>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</si>
  <si>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</si>
  <si>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</si>
  <si>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</si>
  <si>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</si>
  <si>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</si>
  <si>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</si>
  <si>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</si>
  <si>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</si>
  <si>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</si>
  <si>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</si>
  <si>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</si>
  <si>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</si>
  <si>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</si>
  <si>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</si>
  <si>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</si>
  <si>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</si>
  <si>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</si>
  <si>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</si>
  <si>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21,06,</t>
  </si>
  <si>
    <t>22,06,</t>
  </si>
  <si>
    <t>28,06,</t>
  </si>
  <si>
    <t>29,06,</t>
  </si>
  <si>
    <t>26,05,</t>
  </si>
  <si>
    <t>01,05,</t>
  </si>
  <si>
    <t>08,06,</t>
  </si>
  <si>
    <t>15,06,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</si>
  <si>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</si>
  <si>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</si>
  <si>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</si>
  <si>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</si>
  <si>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</si>
  <si>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</si>
  <si>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</si>
  <si>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</si>
  <si>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</si>
  <si>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</si>
  <si>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</si>
  <si>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</si>
  <si>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</si>
  <si>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</si>
  <si>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</si>
  <si>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</si>
  <si>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</si>
  <si>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</si>
  <si>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</si>
  <si>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</si>
  <si>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</si>
  <si>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</si>
  <si>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</si>
  <si>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</si>
  <si>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</si>
  <si>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</si>
  <si>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</si>
  <si>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</si>
  <si>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</si>
  <si>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</si>
  <si>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</si>
  <si>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</si>
  <si>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</si>
  <si>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</si>
  <si>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</si>
  <si>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</si>
  <si>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</si>
  <si>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</si>
  <si>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</si>
  <si>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</si>
  <si>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</si>
  <si>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</si>
  <si>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</si>
  <si>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</si>
  <si>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</si>
  <si>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</si>
  <si>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6767 РУБЛЕНЫЕ сос ц/о мгс 1*4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</si>
  <si>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</si>
  <si>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</si>
  <si>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</si>
  <si>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</si>
  <si>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</si>
  <si>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</si>
  <si>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</si>
  <si>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</si>
  <si>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</si>
  <si>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</si>
  <si>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</si>
  <si>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</si>
  <si>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</si>
  <si>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</si>
  <si>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</si>
  <si>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</si>
  <si>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</si>
  <si>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</si>
  <si>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</si>
  <si>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</si>
  <si>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</si>
  <si>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</si>
  <si>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</si>
  <si>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</si>
  <si>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</si>
  <si>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</si>
  <si>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</si>
  <si>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</si>
  <si>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</si>
  <si>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</si>
  <si>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</si>
  <si>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</si>
  <si>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</si>
  <si>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</si>
  <si>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</si>
  <si>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</si>
  <si>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</si>
  <si>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</si>
  <si>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</si>
  <si>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</si>
  <si>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</si>
  <si>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</si>
  <si>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</si>
  <si>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</si>
  <si>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</si>
  <si>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</si>
  <si>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</si>
  <si>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</si>
  <si>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</si>
  <si>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</si>
  <si>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ротация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</si>
</sst>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0_ ;[Red]\-0\ "/>
    <numFmt numFmtId="169" formatCode="0.00_ ;[Red]\-0.00\ "/>
  </numFmts>
  <fonts count="6">
    <font>
      <sz val="8"/>
      <name val="Arial"/>
      <charset val="134"/>
    </font>
    <font>
      <b/>
      <sz val="18"/>
      <name val="Arial"/>
      <charset val="204"/>
    </font>
    <font>
      <sz val="10"/>
      <name val="Arial"/>
      <charset val="204"/>
    </font>
    <font>
      <b/>
      <sz val="11"/>
      <name val="Calibri"/>
      <charset val="204"/>
    </font>
    <font>
      <b/>
      <sz val="11"/>
      <color rgb="FFFF0000"/>
      <name val="Calibri"/>
      <charset val="204"/>
    </font>
    <font>
      <b/>
      <sz val="8"/>
      <name val="Arial"/>
      <charset val="204"/>
    </font>
  </fonts>
  <fills count="9">
    <fill>
      <patternFill patternType="none"/>
    </fill>
    <fill>
      <patternFill patternType="gray125"/>
    </fill>
    <fill>
      <patternFill patternType="solid">
        <fgColor rgb="FFF4ECC5"/>
        <bgColor indexed="64"/>
      </patternFill>
    </fill>
    <fill>
      <patternFill patternType="solid">
        <fgColor rgb="FFFFF4C5"/>
        <bgColor indexed="64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</borders>
  <cellStyleXfs count="2">
    <xf numFmtId="0" fontId="0" fillId="0" borderId="0"/>
    <xf numFmtId="0" fontId="2" fillId="0" borderId="0"/>
  </cellStyleXfs>
  <cellXfs count="3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168" fontId="2" fillId="2" borderId="0" xfId="0" applyNumberFormat="1" applyFont="1" applyFill="1" applyAlignment="1">
      <alignment horizontal="left" vertical="top" wrapText="1"/>
    </xf>
    <xf numFmtId="168" fontId="3" fillId="3" borderId="0" xfId="1" applyNumberFormat="1" applyFont="1" applyFill="1"/>
    <xf numFmtId="168" fontId="3" fillId="3" borderId="0" xfId="1" applyNumberFormat="1" applyFont="1" applyFill="1" applyAlignment="1">
      <alignment wrapText="1"/>
    </xf>
    <xf numFmtId="168" fontId="4" fillId="3" borderId="0" xfId="1" applyNumberFormat="1" applyFont="1" applyFill="1" applyAlignment="1">
      <alignment wrapText="1"/>
    </xf>
    <xf numFmtId="168" fontId="3" fillId="4" borderId="0" xfId="1" applyNumberFormat="1" applyFont="1" applyFill="1" applyAlignment="1">
      <alignment wrapText="1"/>
    </xf>
    <xf numFmtId="168" fontId="2" fillId="2" borderId="2" xfId="0" applyNumberFormat="1" applyFont="1" applyFill="1" applyBorder="1" applyAlignment="1">
      <alignment horizontal="left" vertical="top" wrapText="1"/>
    </xf>
    <xf numFmtId="168" fontId="2" fillId="2" borderId="2" xfId="0" applyNumberFormat="1" applyFont="1" applyFill="1" applyBorder="1" applyAlignment="1">
      <alignment horizontal="left" vertical="top"/>
    </xf>
    <xf numFmtId="168" fontId="2" fillId="0" borderId="0" xfId="1" applyNumberFormat="1"/>
    <xf numFmtId="0" fontId="2" fillId="2" borderId="0" xfId="0" applyFont="1" applyFill="1" applyBorder="1" applyAlignment="1">
      <alignment horizontal="left" vertical="top"/>
    </xf>
    <xf numFmtId="168" fontId="2" fillId="5" borderId="0" xfId="1" applyNumberFormat="1" applyFill="1"/>
    <xf numFmtId="0" fontId="0" fillId="0" borderId="2" xfId="0" applyBorder="1" applyAlignment="1">
      <alignment horizontal="left" vertical="top"/>
    </xf>
    <xf numFmtId="168" fontId="0" fillId="0" borderId="2" xfId="0" applyNumberFormat="1" applyBorder="1" applyAlignment="1">
      <alignment horizontal="right" vertical="top"/>
    </xf>
    <xf numFmtId="169" fontId="0" fillId="0" borderId="0" xfId="0" applyNumberFormat="1" applyAlignment="1"/>
    <xf numFmtId="168" fontId="0" fillId="0" borderId="0" xfId="0" applyNumberFormat="1" applyAlignment="1"/>
    <xf numFmtId="168" fontId="5" fillId="0" borderId="3" xfId="0" applyNumberFormat="1" applyFont="1" applyBorder="1" applyAlignment="1"/>
    <xf numFmtId="168" fontId="0" fillId="0" borderId="4" xfId="0" applyNumberFormat="1" applyBorder="1" applyAlignment="1">
      <alignment horizontal="right" vertical="top"/>
    </xf>
    <xf numFmtId="0" fontId="0" fillId="6" borderId="2" xfId="0" applyFill="1" applyBorder="1" applyAlignment="1">
      <alignment horizontal="left" vertical="top"/>
    </xf>
    <xf numFmtId="168" fontId="0" fillId="6" borderId="2" xfId="0" applyNumberFormat="1" applyFill="1" applyBorder="1" applyAlignment="1">
      <alignment horizontal="right" vertical="top"/>
    </xf>
    <xf numFmtId="169" fontId="0" fillId="6" borderId="0" xfId="0" applyNumberFormat="1" applyFill="1" applyAlignment="1"/>
    <xf numFmtId="168" fontId="0" fillId="6" borderId="0" xfId="0" applyNumberFormat="1" applyFill="1" applyAlignment="1"/>
    <xf numFmtId="0" fontId="0" fillId="7" borderId="2" xfId="0" applyFill="1" applyBorder="1" applyAlignment="1">
      <alignment horizontal="left" vertical="top"/>
    </xf>
    <xf numFmtId="168" fontId="0" fillId="7" borderId="2" xfId="0" applyNumberFormat="1" applyFill="1" applyBorder="1" applyAlignment="1">
      <alignment horizontal="right" vertical="top"/>
    </xf>
    <xf numFmtId="169" fontId="0" fillId="7" borderId="0" xfId="0" applyNumberFormat="1" applyFill="1" applyAlignment="1"/>
    <xf numFmtId="168" fontId="0" fillId="7" borderId="0" xfId="0" applyNumberFormat="1" applyFill="1" applyAlignment="1"/>
    <xf numFmtId="168" fontId="0" fillId="0" borderId="0" xfId="0" applyNumberFormat="1" applyAlignment="1">
      <alignment horizontal="left"/>
    </xf>
    <xf numFmtId="0" fontId="0" fillId="8" borderId="2" xfId="0" applyFill="1" applyBorder="1" applyAlignment="1">
      <alignment horizontal="left" vertical="top"/>
    </xf>
    <xf numFmtId="168" fontId="0" fillId="8" borderId="2" xfId="0" applyNumberFormat="1" applyFill="1" applyBorder="1" applyAlignment="1">
      <alignment horizontal="right" vertical="top"/>
    </xf>
    <xf numFmtId="169" fontId="0" fillId="8" borderId="0" xfId="0" applyNumberFormat="1" applyFill="1" applyAlignment="1"/>
    <xf numFmtId="168" fontId="0" fillId="8" borderId="0" xfId="0" applyNumberFormat="1" applyFill="1" applyAlignment="1"/>
    <xf numFmtId="168" fontId="5" fillId="8" borderId="3" xfId="0" applyNumberFormat="1" applyFont="1" applyFill="1" applyBorder="1" applyAlignment="1"/>
  </cellXfs>
  <cellStyles count="2">
    <cellStyle name="Arial10px" xfId="1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I/Desktop/&#1044;&#1074;.%20&#1054;&#1089;&#1090;&#1072;&#1085;&#1082;&#1080;&#1085;&#1086;%20&#1050;&#1048;%20%20&#1086;&#1090;%2015,06,26,%20&#1052;&#1077;&#1083;&#1080;&#1090;&#1086;&#1087;&#1086;&#1083;&#1100;%20(2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SI/Desktop/&#1047;&#1072;&#1082;&#1072;&#1079;&#1072;&#1085;&#1086;%20&#8212;%20&#1082;&#1086;&#1087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08.06.2026 - 15.06.2026</v>
          </cell>
        </row>
        <row r="6">
          <cell r="A6" t="str">
            <v>Склад В списке "АСП1 Мелитополь Останкино" И
Номенклатура В группе из списка "Останкино ООО"</v>
          </cell>
        </row>
        <row r="8">
          <cell r="A8" t="str">
            <v>Номенклатура</v>
          </cell>
          <cell r="B8" t="str">
            <v>Ед. изм.</v>
          </cell>
          <cell r="D8" t="str">
            <v>Начальный остаток</v>
          </cell>
          <cell r="E8" t="str">
            <v>Приход</v>
          </cell>
          <cell r="F8" t="str">
            <v>Расход</v>
          </cell>
          <cell r="G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опт</v>
          </cell>
          <cell r="P8" t="str">
            <v>Заказ</v>
          </cell>
          <cell r="Q8" t="str">
            <v>Заказ</v>
          </cell>
          <cell r="R8" t="str">
            <v>ср нов</v>
          </cell>
          <cell r="S8" t="str">
            <v>расчет</v>
          </cell>
          <cell r="T8" t="str">
            <v>заказ филиала</v>
          </cell>
          <cell r="U8" t="str">
            <v>Комментарии филиала</v>
          </cell>
          <cell r="V8" t="str">
            <v>кон ост</v>
          </cell>
          <cell r="W8" t="str">
            <v>факт</v>
          </cell>
          <cell r="X8" t="str">
            <v>ср</v>
          </cell>
          <cell r="Y8" t="str">
            <v>ср</v>
          </cell>
          <cell r="Z8" t="str">
            <v>ср</v>
          </cell>
          <cell r="AA8" t="str">
            <v>ср</v>
          </cell>
          <cell r="AB8" t="str">
            <v>комментарии</v>
          </cell>
        </row>
        <row r="9">
          <cell r="P9" t="str">
            <v>14,06,</v>
          </cell>
          <cell r="Q9" t="str">
            <v>15,06,</v>
          </cell>
          <cell r="R9" t="str">
            <v>15,06,</v>
          </cell>
          <cell r="S9" t="str">
            <v>21,06,</v>
          </cell>
          <cell r="T9" t="str">
            <v>22,06,</v>
          </cell>
          <cell r="X9" t="str">
            <v>18,05,</v>
          </cell>
          <cell r="Y9" t="str">
            <v>26,05,</v>
          </cell>
          <cell r="Z9" t="str">
            <v>01,06,</v>
          </cell>
          <cell r="AA9" t="str">
            <v>08,06,</v>
          </cell>
        </row>
        <row r="10">
          <cell r="D10">
            <v>8091.1350000000002</v>
          </cell>
          <cell r="E10">
            <v>20761.041000000001</v>
          </cell>
          <cell r="F10">
            <v>11333.669</v>
          </cell>
          <cell r="G10">
            <v>17221.627</v>
          </cell>
          <cell r="L10">
            <v>12082.124</v>
          </cell>
          <cell r="M10">
            <v>-748.45500000000004</v>
          </cell>
          <cell r="O10">
            <v>0</v>
          </cell>
          <cell r="P10">
            <v>5762.5</v>
          </cell>
          <cell r="Q10">
            <v>5762.5</v>
          </cell>
          <cell r="R10">
            <v>2266.7338</v>
          </cell>
          <cell r="S10">
            <v>4913</v>
          </cell>
          <cell r="T10">
            <v>4913</v>
          </cell>
          <cell r="X10">
            <v>1941.2488000000001</v>
          </cell>
          <cell r="Y10">
            <v>1796.2339999999999</v>
          </cell>
          <cell r="Z10">
            <v>2392.7447999999999</v>
          </cell>
          <cell r="AA10">
            <v>2214.0302000000001</v>
          </cell>
        </row>
        <row r="11">
          <cell r="A11" t="str">
            <v>3215 ВЕТЧ.МЯСНАЯ Папа может п/о 0.4кг 8шт.    ОСТАНКИНО</v>
          </cell>
          <cell r="B11" t="str">
            <v>шт</v>
          </cell>
          <cell r="C11">
            <v>3215</v>
          </cell>
          <cell r="D11">
            <v>101</v>
          </cell>
          <cell r="E11">
            <v>401</v>
          </cell>
          <cell r="F11">
            <v>221</v>
          </cell>
          <cell r="G11">
            <v>281</v>
          </cell>
          <cell r="H11">
            <v>0.4</v>
          </cell>
          <cell r="I11">
            <v>60</v>
          </cell>
          <cell r="J11" t="str">
            <v>в матрице</v>
          </cell>
          <cell r="L11">
            <v>233</v>
          </cell>
          <cell r="M11">
            <v>-12</v>
          </cell>
          <cell r="P11">
            <v>175</v>
          </cell>
          <cell r="Q11">
            <v>175</v>
          </cell>
          <cell r="R11">
            <v>44.2</v>
          </cell>
          <cell r="S11">
            <v>75</v>
          </cell>
          <cell r="T11">
            <v>75</v>
          </cell>
          <cell r="V11">
            <v>15.972850678733</v>
          </cell>
          <cell r="W11">
            <v>6.3574660633484203</v>
          </cell>
          <cell r="X11">
            <v>37.6</v>
          </cell>
          <cell r="Y11">
            <v>26.6</v>
          </cell>
          <cell r="Z11">
            <v>58.2</v>
          </cell>
          <cell r="AA11">
            <v>54.4</v>
          </cell>
          <cell r="AB11">
            <v>0</v>
          </cell>
        </row>
        <row r="12">
          <cell r="A12" t="str">
            <v>3287 САЛЯМИ ИТАЛЬЯНСКАЯ с/к в/у ОСТАНКИНО</v>
          </cell>
          <cell r="B12" t="str">
            <v>кг</v>
          </cell>
          <cell r="C12">
            <v>3287</v>
          </cell>
          <cell r="D12">
            <v>187.44</v>
          </cell>
          <cell r="F12">
            <v>24.907</v>
          </cell>
          <cell r="G12">
            <v>162.53299999999999</v>
          </cell>
          <cell r="H12">
            <v>1</v>
          </cell>
          <cell r="I12">
            <v>120</v>
          </cell>
          <cell r="J12" t="str">
            <v>в матрице</v>
          </cell>
          <cell r="L12">
            <v>23.1</v>
          </cell>
          <cell r="M12">
            <v>1.8069999999999999</v>
          </cell>
          <cell r="P12">
            <v>0</v>
          </cell>
          <cell r="Q12">
            <v>0</v>
          </cell>
          <cell r="R12">
            <v>4.9813999999999998</v>
          </cell>
          <cell r="S12">
            <v>0</v>
          </cell>
          <cell r="T12">
            <v>0</v>
          </cell>
          <cell r="V12">
            <v>32.627976070984097</v>
          </cell>
          <cell r="W12">
            <v>32.627976070984097</v>
          </cell>
          <cell r="X12">
            <v>6.8872</v>
          </cell>
          <cell r="Y12">
            <v>4.343</v>
          </cell>
          <cell r="Z12">
            <v>7.6756000000000002</v>
          </cell>
          <cell r="AA12">
            <v>9.3382000000000005</v>
          </cell>
          <cell r="AB12">
            <v>0</v>
          </cell>
        </row>
        <row r="13">
          <cell r="A13" t="str">
            <v>3986 Ароматная с/к в/у 1/250 ОСТАНКИНО</v>
          </cell>
          <cell r="B13" t="str">
            <v>шт</v>
          </cell>
          <cell r="C13">
            <v>3986</v>
          </cell>
          <cell r="D13">
            <v>66</v>
          </cell>
          <cell r="E13">
            <v>54</v>
          </cell>
          <cell r="F13">
            <v>115</v>
          </cell>
          <cell r="G13">
            <v>2</v>
          </cell>
          <cell r="H13">
            <v>0.25</v>
          </cell>
          <cell r="I13">
            <v>120</v>
          </cell>
          <cell r="J13" t="str">
            <v>в матрице</v>
          </cell>
          <cell r="L13">
            <v>157</v>
          </cell>
          <cell r="M13">
            <v>-42</v>
          </cell>
          <cell r="P13">
            <v>200</v>
          </cell>
          <cell r="Q13">
            <v>200</v>
          </cell>
          <cell r="R13">
            <v>23</v>
          </cell>
          <cell r="S13">
            <v>100</v>
          </cell>
          <cell r="T13">
            <v>100</v>
          </cell>
          <cell r="V13">
            <v>21.826086956521699</v>
          </cell>
          <cell r="W13">
            <v>8.6956521739130405E-2</v>
          </cell>
          <cell r="X13">
            <v>16.600000000000001</v>
          </cell>
          <cell r="Y13">
            <v>20.2</v>
          </cell>
          <cell r="Z13">
            <v>17.600000000000001</v>
          </cell>
          <cell r="AA13">
            <v>29.8</v>
          </cell>
          <cell r="AB13">
            <v>0</v>
          </cell>
        </row>
        <row r="14">
          <cell r="A14" t="str">
            <v>4063 МЯСНАЯ Папа может вар п/о_Л   ОСТАНКИНО</v>
          </cell>
          <cell r="B14" t="str">
            <v>кг</v>
          </cell>
          <cell r="C14">
            <v>4063</v>
          </cell>
          <cell r="D14">
            <v>249.87899999999999</v>
          </cell>
          <cell r="E14">
            <v>196.10900000000001</v>
          </cell>
          <cell r="F14">
            <v>214.917</v>
          </cell>
          <cell r="G14">
            <v>229.071</v>
          </cell>
          <cell r="H14">
            <v>1</v>
          </cell>
          <cell r="I14">
            <v>60</v>
          </cell>
          <cell r="J14" t="str">
            <v>в матрице</v>
          </cell>
          <cell r="L14">
            <v>209.8</v>
          </cell>
          <cell r="M14">
            <v>5.1169999999999902</v>
          </cell>
          <cell r="P14">
            <v>75</v>
          </cell>
          <cell r="Q14">
            <v>75</v>
          </cell>
          <cell r="R14">
            <v>42.983400000000003</v>
          </cell>
          <cell r="S14">
            <v>175</v>
          </cell>
          <cell r="T14">
            <v>175</v>
          </cell>
          <cell r="V14">
            <v>12.890348367044</v>
          </cell>
          <cell r="W14">
            <v>5.3292899119194796</v>
          </cell>
          <cell r="X14">
            <v>55.2102</v>
          </cell>
          <cell r="Y14">
            <v>44.527200000000001</v>
          </cell>
          <cell r="Z14">
            <v>41.238999999999997</v>
          </cell>
          <cell r="AA14">
            <v>37.770800000000001</v>
          </cell>
          <cell r="AB14">
            <v>0</v>
          </cell>
        </row>
        <row r="15">
          <cell r="A15" t="str">
            <v>4117 ЭКСТРА Папа может с/к в/у_Л   ОСТАНКИНО</v>
          </cell>
          <cell r="B15" t="str">
            <v>кг</v>
          </cell>
          <cell r="C15">
            <v>4117</v>
          </cell>
          <cell r="D15">
            <v>13.444000000000001</v>
          </cell>
          <cell r="E15">
            <v>71.451999999999998</v>
          </cell>
          <cell r="F15">
            <v>15.926</v>
          </cell>
          <cell r="G15">
            <v>68.97</v>
          </cell>
          <cell r="H15">
            <v>1</v>
          </cell>
          <cell r="I15">
            <v>120</v>
          </cell>
          <cell r="J15" t="str">
            <v>в матрице</v>
          </cell>
          <cell r="L15">
            <v>15.9</v>
          </cell>
          <cell r="M15">
            <v>2.5999999999999801E-2</v>
          </cell>
          <cell r="P15">
            <v>0</v>
          </cell>
          <cell r="Q15">
            <v>0</v>
          </cell>
          <cell r="R15">
            <v>3.1852</v>
          </cell>
          <cell r="S15">
            <v>0</v>
          </cell>
          <cell r="T15">
            <v>0</v>
          </cell>
          <cell r="V15">
            <v>21.653271380133098</v>
          </cell>
          <cell r="W15">
            <v>21.653271380133098</v>
          </cell>
          <cell r="X15">
            <v>4.4356</v>
          </cell>
          <cell r="Y15">
            <v>3.0634000000000001</v>
          </cell>
          <cell r="Z15">
            <v>5.3411999999999997</v>
          </cell>
          <cell r="AA15">
            <v>4.3540000000000001</v>
          </cell>
          <cell r="AB15">
            <v>0</v>
          </cell>
        </row>
        <row r="16">
          <cell r="A16" t="str">
            <v>4574 Мясная со шпиком Папа может вар п/о ОСТАНКИНО</v>
          </cell>
          <cell r="B16" t="str">
            <v>кг</v>
          </cell>
          <cell r="C16">
            <v>4574</v>
          </cell>
          <cell r="D16">
            <v>59.918999999999997</v>
          </cell>
          <cell r="E16">
            <v>48.755000000000003</v>
          </cell>
          <cell r="F16">
            <v>43.173000000000002</v>
          </cell>
          <cell r="G16">
            <v>65.501000000000005</v>
          </cell>
          <cell r="H16">
            <v>1</v>
          </cell>
          <cell r="I16">
            <v>60</v>
          </cell>
          <cell r="J16" t="str">
            <v>в матрице</v>
          </cell>
          <cell r="L16">
            <v>40.1</v>
          </cell>
          <cell r="M16">
            <v>3.073</v>
          </cell>
          <cell r="P16">
            <v>50</v>
          </cell>
          <cell r="Q16">
            <v>50</v>
          </cell>
          <cell r="R16">
            <v>8.6346000000000007</v>
          </cell>
          <cell r="S16">
            <v>0</v>
          </cell>
          <cell r="T16">
            <v>0</v>
          </cell>
          <cell r="V16">
            <v>19.167187825724401</v>
          </cell>
          <cell r="W16">
            <v>7.5858754314038901</v>
          </cell>
          <cell r="X16">
            <v>4.0102000000000002</v>
          </cell>
          <cell r="Y16">
            <v>10.9404</v>
          </cell>
          <cell r="Z16">
            <v>10.395</v>
          </cell>
          <cell r="AA16">
            <v>11.516999999999999</v>
          </cell>
          <cell r="AB16">
            <v>0</v>
          </cell>
        </row>
        <row r="17">
          <cell r="A17" t="str">
            <v>4813 ФИЛЕЙНАЯ Папа может вар п/о_Л   ОСТАНКИНО</v>
          </cell>
          <cell r="B17" t="str">
            <v>кг</v>
          </cell>
          <cell r="C17">
            <v>4813</v>
          </cell>
          <cell r="D17">
            <v>232.24100000000001</v>
          </cell>
          <cell r="E17">
            <v>6.726</v>
          </cell>
          <cell r="F17">
            <v>205.03800000000001</v>
          </cell>
          <cell r="G17">
            <v>31.683</v>
          </cell>
          <cell r="H17">
            <v>1</v>
          </cell>
          <cell r="I17">
            <v>60</v>
          </cell>
          <cell r="J17" t="str">
            <v>в матрице</v>
          </cell>
          <cell r="L17">
            <v>201.3</v>
          </cell>
          <cell r="M17">
            <v>3.738</v>
          </cell>
          <cell r="P17">
            <v>200</v>
          </cell>
          <cell r="Q17">
            <v>200</v>
          </cell>
          <cell r="R17">
            <v>41.007599999999996</v>
          </cell>
          <cell r="S17">
            <v>110</v>
          </cell>
          <cell r="T17">
            <v>110</v>
          </cell>
          <cell r="V17">
            <v>13.2093319287157</v>
          </cell>
          <cell r="W17">
            <v>0.77261288151464602</v>
          </cell>
          <cell r="X17">
            <v>28.529199999999999</v>
          </cell>
          <cell r="Y17">
            <v>35.5212</v>
          </cell>
          <cell r="Z17">
            <v>29.197199999999999</v>
          </cell>
          <cell r="AA17">
            <v>40.128599999999999</v>
          </cell>
          <cell r="AB17">
            <v>0</v>
          </cell>
        </row>
        <row r="18">
          <cell r="A18" t="str">
            <v>4993 САЛЯМИ ИТАЛЬЯНСКАЯ с/к в/у 1/250*8_120c ОСТАНКИНО</v>
          </cell>
          <cell r="B18" t="str">
            <v>шт</v>
          </cell>
          <cell r="C18">
            <v>4993</v>
          </cell>
          <cell r="D18">
            <v>59</v>
          </cell>
          <cell r="E18">
            <v>480</v>
          </cell>
          <cell r="F18">
            <v>120</v>
          </cell>
          <cell r="G18">
            <v>419</v>
          </cell>
          <cell r="H18">
            <v>0.25</v>
          </cell>
          <cell r="I18">
            <v>120</v>
          </cell>
          <cell r="J18" t="str">
            <v>в матрице</v>
          </cell>
          <cell r="L18">
            <v>117</v>
          </cell>
          <cell r="M18">
            <v>3</v>
          </cell>
          <cell r="P18">
            <v>0</v>
          </cell>
          <cell r="Q18">
            <v>0</v>
          </cell>
          <cell r="R18">
            <v>24</v>
          </cell>
          <cell r="S18">
            <v>8</v>
          </cell>
          <cell r="T18">
            <v>8</v>
          </cell>
          <cell r="V18">
            <v>17.7916666666667</v>
          </cell>
          <cell r="W18">
            <v>17.4583333333333</v>
          </cell>
          <cell r="X18">
            <v>12.8</v>
          </cell>
          <cell r="Y18">
            <v>21.2</v>
          </cell>
          <cell r="Z18">
            <v>39</v>
          </cell>
          <cell r="AA18">
            <v>16.8</v>
          </cell>
          <cell r="AB18">
            <v>0</v>
          </cell>
        </row>
        <row r="19">
          <cell r="A19" t="str">
            <v>5452 ВЕТЧ.МЯСНАЯ Папа может п/о    ОСТАНКИНО</v>
          </cell>
          <cell r="B19" t="str">
            <v>кг</v>
          </cell>
          <cell r="C19">
            <v>5452</v>
          </cell>
          <cell r="D19">
            <v>67.751000000000005</v>
          </cell>
          <cell r="E19">
            <v>42.036000000000001</v>
          </cell>
          <cell r="F19">
            <v>50.606999999999999</v>
          </cell>
          <cell r="G19">
            <v>57.832000000000001</v>
          </cell>
          <cell r="H19">
            <v>1</v>
          </cell>
          <cell r="I19">
            <v>60</v>
          </cell>
          <cell r="J19" t="str">
            <v>в матрице</v>
          </cell>
          <cell r="L19">
            <v>50.2</v>
          </cell>
          <cell r="M19">
            <v>0.40699999999999598</v>
          </cell>
          <cell r="P19">
            <v>0</v>
          </cell>
          <cell r="Q19">
            <v>0</v>
          </cell>
          <cell r="R19">
            <v>10.1214</v>
          </cell>
          <cell r="S19">
            <v>40</v>
          </cell>
          <cell r="T19">
            <v>40</v>
          </cell>
          <cell r="V19">
            <v>9.6658565020649299</v>
          </cell>
          <cell r="W19">
            <v>5.71383405457743</v>
          </cell>
          <cell r="X19">
            <v>5.6672000000000002</v>
          </cell>
          <cell r="Y19">
            <v>5.9554</v>
          </cell>
          <cell r="Z19">
            <v>7.3453999999999997</v>
          </cell>
          <cell r="AA19">
            <v>7.6818</v>
          </cell>
          <cell r="AB19">
            <v>0</v>
          </cell>
        </row>
        <row r="20">
          <cell r="A20" t="str">
            <v>5483 ЭКСТРА Папа может с/к в/у 1/250 8шт.   ОСТАНКИНО</v>
          </cell>
          <cell r="B20" t="str">
            <v>шт</v>
          </cell>
          <cell r="C20">
            <v>5483</v>
          </cell>
          <cell r="D20">
            <v>168</v>
          </cell>
          <cell r="E20">
            <v>240</v>
          </cell>
          <cell r="F20">
            <v>218</v>
          </cell>
          <cell r="G20">
            <v>187</v>
          </cell>
          <cell r="H20">
            <v>0.25</v>
          </cell>
          <cell r="I20">
            <v>120</v>
          </cell>
          <cell r="J20" t="str">
            <v>в матрице</v>
          </cell>
          <cell r="L20">
            <v>219</v>
          </cell>
          <cell r="M20">
            <v>-1</v>
          </cell>
          <cell r="P20">
            <v>175</v>
          </cell>
          <cell r="Q20">
            <v>175</v>
          </cell>
          <cell r="R20">
            <v>43.6</v>
          </cell>
          <cell r="S20">
            <v>60</v>
          </cell>
          <cell r="T20">
            <v>60</v>
          </cell>
          <cell r="V20">
            <v>13.692660550458699</v>
          </cell>
          <cell r="W20">
            <v>4.28899082568807</v>
          </cell>
          <cell r="X20">
            <v>27.4</v>
          </cell>
          <cell r="Y20">
            <v>29.6</v>
          </cell>
          <cell r="Z20">
            <v>40.6</v>
          </cell>
          <cell r="AA20">
            <v>47.4</v>
          </cell>
          <cell r="AB20">
            <v>0</v>
          </cell>
        </row>
        <row r="21">
          <cell r="A21" t="str">
            <v>5495 ВЕТЧ.С ИНДЕЙКОЙ Папа может п/о 400*6  Останкино</v>
          </cell>
          <cell r="B21" t="str">
            <v>шт</v>
          </cell>
          <cell r="C21">
            <v>5495</v>
          </cell>
          <cell r="D21">
            <v>-2</v>
          </cell>
          <cell r="E21">
            <v>144</v>
          </cell>
          <cell r="F21">
            <v>41</v>
          </cell>
          <cell r="G21">
            <v>101</v>
          </cell>
          <cell r="H21">
            <v>0.4</v>
          </cell>
          <cell r="I21">
            <v>60</v>
          </cell>
          <cell r="J21" t="str">
            <v>в матрице</v>
          </cell>
          <cell r="L21">
            <v>47</v>
          </cell>
          <cell r="M21">
            <v>-6</v>
          </cell>
          <cell r="P21">
            <v>100</v>
          </cell>
          <cell r="Q21">
            <v>100</v>
          </cell>
          <cell r="R21">
            <v>8.1999999999999993</v>
          </cell>
          <cell r="S21">
            <v>35</v>
          </cell>
          <cell r="T21">
            <v>35</v>
          </cell>
          <cell r="V21">
            <v>40.975609756097597</v>
          </cell>
          <cell r="W21">
            <v>12.3170731707317</v>
          </cell>
          <cell r="X21">
            <v>23.2</v>
          </cell>
          <cell r="Y21">
            <v>10</v>
          </cell>
          <cell r="Z21">
            <v>16.399999999999999</v>
          </cell>
          <cell r="AA21">
            <v>19.600000000000001</v>
          </cell>
          <cell r="AB21">
            <v>0</v>
          </cell>
        </row>
        <row r="22">
          <cell r="A22" t="str">
            <v>5544 Сервелат Финский в/к в/у_45с НОВАЯ ОСТАНКИНО</v>
          </cell>
          <cell r="B22" t="str">
            <v>кг</v>
          </cell>
          <cell r="C22">
            <v>5544</v>
          </cell>
          <cell r="D22">
            <v>142.12</v>
          </cell>
          <cell r="E22">
            <v>397.69400000000002</v>
          </cell>
          <cell r="F22">
            <v>211.85900000000001</v>
          </cell>
          <cell r="G22">
            <v>320.49599999999998</v>
          </cell>
          <cell r="H22">
            <v>1</v>
          </cell>
          <cell r="I22">
            <v>45</v>
          </cell>
          <cell r="J22" t="str">
            <v>в матрице</v>
          </cell>
          <cell r="L22">
            <v>205.9</v>
          </cell>
          <cell r="M22">
            <v>5.9589999999999996</v>
          </cell>
          <cell r="P22">
            <v>60</v>
          </cell>
          <cell r="Q22">
            <v>60</v>
          </cell>
          <cell r="R22">
            <v>42.3718</v>
          </cell>
          <cell r="S22">
            <v>100</v>
          </cell>
          <cell r="T22">
            <v>100</v>
          </cell>
          <cell r="V22">
            <v>12.756031133914499</v>
          </cell>
          <cell r="W22">
            <v>7.5638986306930596</v>
          </cell>
          <cell r="X22">
            <v>36.631999999999998</v>
          </cell>
          <cell r="Y22">
            <v>39.526200000000003</v>
          </cell>
          <cell r="Z22">
            <v>46.965800000000002</v>
          </cell>
          <cell r="AA22">
            <v>42.197000000000003</v>
          </cell>
          <cell r="AB22">
            <v>0</v>
          </cell>
        </row>
        <row r="23">
          <cell r="A23" t="str">
            <v>5679 САЛЯМИ ИТАЛЬЯНСКАЯ с/к в/у 1/150_60с ОСТАНКИНО</v>
          </cell>
          <cell r="B23" t="str">
            <v>шт</v>
          </cell>
          <cell r="C23">
            <v>5679</v>
          </cell>
          <cell r="D23">
            <v>204</v>
          </cell>
          <cell r="E23">
            <v>8</v>
          </cell>
          <cell r="F23">
            <v>7</v>
          </cell>
          <cell r="G23">
            <v>197</v>
          </cell>
          <cell r="H23">
            <v>0.15</v>
          </cell>
          <cell r="I23">
            <v>60</v>
          </cell>
          <cell r="J23" t="e">
            <v>#VALUE!</v>
          </cell>
          <cell r="L23">
            <v>12</v>
          </cell>
          <cell r="M23">
            <v>-5</v>
          </cell>
          <cell r="P23">
            <v>0</v>
          </cell>
          <cell r="Q23">
            <v>0</v>
          </cell>
          <cell r="R23">
            <v>1.4</v>
          </cell>
          <cell r="S23">
            <v>0</v>
          </cell>
          <cell r="T23">
            <v>0</v>
          </cell>
          <cell r="V23">
            <v>140.71428571428601</v>
          </cell>
          <cell r="W23">
            <v>140.71428571428601</v>
          </cell>
          <cell r="X23">
            <v>6</v>
          </cell>
          <cell r="Y23">
            <v>3.2</v>
          </cell>
          <cell r="Z23">
            <v>6</v>
          </cell>
          <cell r="AA23">
            <v>0.2</v>
          </cell>
          <cell r="AB23" t="str">
            <v>увел продажи</v>
          </cell>
        </row>
        <row r="24">
          <cell r="A24" t="str">
            <v>5708 ПОСОЛЬСКАЯ Папа может с/к в/у ОСТАНКИНО</v>
          </cell>
          <cell r="B24" t="str">
            <v>кг</v>
          </cell>
          <cell r="C24">
            <v>5708</v>
          </cell>
          <cell r="D24">
            <v>12.579000000000001</v>
          </cell>
          <cell r="E24">
            <v>47.841000000000001</v>
          </cell>
          <cell r="F24">
            <v>11.73</v>
          </cell>
          <cell r="G24">
            <v>48.2</v>
          </cell>
          <cell r="H24">
            <v>1</v>
          </cell>
          <cell r="I24">
            <v>120</v>
          </cell>
          <cell r="J24" t="str">
            <v>в матрице</v>
          </cell>
          <cell r="L24">
            <v>12.2</v>
          </cell>
          <cell r="M24">
            <v>-0.46999999999999897</v>
          </cell>
          <cell r="P24">
            <v>0</v>
          </cell>
          <cell r="Q24">
            <v>0</v>
          </cell>
          <cell r="R24">
            <v>2.3460000000000001</v>
          </cell>
          <cell r="S24">
            <v>10</v>
          </cell>
          <cell r="T24">
            <v>10</v>
          </cell>
          <cell r="V24">
            <v>24.808184143222501</v>
          </cell>
          <cell r="W24">
            <v>20.5456095481671</v>
          </cell>
          <cell r="X24">
            <v>4.1487999999999996</v>
          </cell>
          <cell r="Y24">
            <v>1.4081999999999999</v>
          </cell>
          <cell r="Z24">
            <v>3.726</v>
          </cell>
          <cell r="AA24">
            <v>3.508</v>
          </cell>
          <cell r="AB24">
            <v>0</v>
          </cell>
        </row>
        <row r="25">
          <cell r="A25" t="str">
            <v>5819 Сосиски Папа может 400г Мясные  ОСТАНКИНО</v>
          </cell>
          <cell r="B25" t="str">
            <v>шт</v>
          </cell>
          <cell r="C25">
            <v>5819</v>
          </cell>
          <cell r="D25">
            <v>176</v>
          </cell>
          <cell r="E25">
            <v>192</v>
          </cell>
          <cell r="F25">
            <v>167</v>
          </cell>
          <cell r="G25">
            <v>197</v>
          </cell>
          <cell r="H25">
            <v>0.4</v>
          </cell>
          <cell r="I25">
            <v>45</v>
          </cell>
          <cell r="J25" t="str">
            <v>в матрице</v>
          </cell>
          <cell r="L25">
            <v>171</v>
          </cell>
          <cell r="M25">
            <v>-4</v>
          </cell>
          <cell r="P25">
            <v>25</v>
          </cell>
          <cell r="Q25">
            <v>25</v>
          </cell>
          <cell r="R25">
            <v>33.4</v>
          </cell>
          <cell r="S25">
            <v>150</v>
          </cell>
          <cell r="T25">
            <v>150</v>
          </cell>
          <cell r="V25">
            <v>11.8862275449102</v>
          </cell>
          <cell r="W25">
            <v>5.8982035928143697</v>
          </cell>
          <cell r="X25">
            <v>30.6</v>
          </cell>
          <cell r="Y25">
            <v>27.2</v>
          </cell>
          <cell r="Z25">
            <v>29.4</v>
          </cell>
          <cell r="AA25">
            <v>17.399999999999999</v>
          </cell>
          <cell r="AB25">
            <v>0</v>
          </cell>
        </row>
        <row r="26">
          <cell r="A26" t="str">
            <v>5851 ЭКСТРА Папа может вар п/о   ОСТАНКИНО</v>
          </cell>
          <cell r="B26" t="str">
            <v>кг</v>
          </cell>
          <cell r="C26">
            <v>5851</v>
          </cell>
          <cell r="D26">
            <v>65.965999999999994</v>
          </cell>
          <cell r="E26">
            <v>222.262</v>
          </cell>
          <cell r="F26">
            <v>117.708</v>
          </cell>
          <cell r="G26">
            <v>166.46700000000001</v>
          </cell>
          <cell r="H26">
            <v>1</v>
          </cell>
          <cell r="I26">
            <v>60</v>
          </cell>
          <cell r="J26" t="str">
            <v>в матрице</v>
          </cell>
          <cell r="L26">
            <v>119.4</v>
          </cell>
          <cell r="M26">
            <v>-1.6920000000000099</v>
          </cell>
          <cell r="P26">
            <v>0</v>
          </cell>
          <cell r="Q26">
            <v>0</v>
          </cell>
          <cell r="R26">
            <v>23.541599999999999</v>
          </cell>
          <cell r="S26">
            <v>100</v>
          </cell>
          <cell r="T26">
            <v>100</v>
          </cell>
          <cell r="V26">
            <v>11.3189842661501</v>
          </cell>
          <cell r="W26">
            <v>7.0711846263635403</v>
          </cell>
          <cell r="X26">
            <v>17.475200000000001</v>
          </cell>
          <cell r="Y26">
            <v>19.7346</v>
          </cell>
          <cell r="Z26">
            <v>23.421399999999998</v>
          </cell>
          <cell r="AA26">
            <v>20.12</v>
          </cell>
          <cell r="AB26">
            <v>0</v>
          </cell>
        </row>
        <row r="27">
          <cell r="A27" t="str">
            <v>5931 ОХОТНИЧЬЯ Папа может с/к в/у 1/220 8шт.   ОСТАНКИНО</v>
          </cell>
          <cell r="B27" t="str">
            <v>шт</v>
          </cell>
          <cell r="C27">
            <v>5931</v>
          </cell>
          <cell r="D27">
            <v>134</v>
          </cell>
          <cell r="E27">
            <v>400</v>
          </cell>
          <cell r="F27">
            <v>216</v>
          </cell>
          <cell r="G27">
            <v>318</v>
          </cell>
          <cell r="H27">
            <v>0.22</v>
          </cell>
          <cell r="I27">
            <v>120</v>
          </cell>
          <cell r="J27" t="str">
            <v>в матрице</v>
          </cell>
          <cell r="L27">
            <v>213</v>
          </cell>
          <cell r="M27">
            <v>3</v>
          </cell>
          <cell r="P27">
            <v>75</v>
          </cell>
          <cell r="Q27">
            <v>75</v>
          </cell>
          <cell r="R27">
            <v>43.2</v>
          </cell>
          <cell r="S27">
            <v>70</v>
          </cell>
          <cell r="T27">
            <v>70</v>
          </cell>
          <cell r="V27">
            <v>12.453703703703701</v>
          </cell>
          <cell r="W27">
            <v>7.3611111111111098</v>
          </cell>
          <cell r="X27">
            <v>41.8</v>
          </cell>
          <cell r="Y27">
            <v>40</v>
          </cell>
          <cell r="Z27">
            <v>49.2</v>
          </cell>
          <cell r="AA27">
            <v>45</v>
          </cell>
          <cell r="AB27">
            <v>0</v>
          </cell>
        </row>
        <row r="28">
          <cell r="A28" t="str">
            <v>6208 ДЫМОВИЦА ИЗ ЛОПАТКИ ПМ к/в с/н в/у 1/150  Останкино</v>
          </cell>
          <cell r="B28" t="str">
            <v>шт</v>
          </cell>
          <cell r="C28">
            <v>6208</v>
          </cell>
          <cell r="D28">
            <v>112</v>
          </cell>
          <cell r="F28">
            <v>7</v>
          </cell>
          <cell r="G28">
            <v>105</v>
          </cell>
          <cell r="H28">
            <v>0.15</v>
          </cell>
          <cell r="I28">
            <v>45</v>
          </cell>
          <cell r="J28" t="str">
            <v>в матрице</v>
          </cell>
          <cell r="L28">
            <v>7</v>
          </cell>
          <cell r="M28">
            <v>0</v>
          </cell>
          <cell r="P28">
            <v>0</v>
          </cell>
          <cell r="Q28">
            <v>0</v>
          </cell>
          <cell r="R28">
            <v>1.4</v>
          </cell>
          <cell r="S28">
            <v>0</v>
          </cell>
          <cell r="T28">
            <v>0</v>
          </cell>
          <cell r="V28">
            <v>75</v>
          </cell>
          <cell r="W28">
            <v>75</v>
          </cell>
          <cell r="X28">
            <v>-0.2</v>
          </cell>
          <cell r="Y28">
            <v>5.4</v>
          </cell>
          <cell r="Z28">
            <v>0.6</v>
          </cell>
          <cell r="AA28">
            <v>1</v>
          </cell>
          <cell r="AB28" t="str">
            <v>увел продажи</v>
          </cell>
        </row>
        <row r="29">
          <cell r="A29" t="str">
            <v>6220 ГОВЯЖЬЯ папа может вар п/о  Останкино</v>
          </cell>
          <cell r="B29" t="str">
            <v>кг</v>
          </cell>
          <cell r="C29">
            <v>6220</v>
          </cell>
          <cell r="D29">
            <v>119.642</v>
          </cell>
          <cell r="E29">
            <v>2.7160000000000002</v>
          </cell>
          <cell r="F29">
            <v>93.995999999999995</v>
          </cell>
          <cell r="G29">
            <v>25.646000000000001</v>
          </cell>
          <cell r="H29">
            <v>1</v>
          </cell>
          <cell r="I29">
            <v>60</v>
          </cell>
          <cell r="J29" t="str">
            <v>в матрице</v>
          </cell>
          <cell r="L29">
            <v>89.9</v>
          </cell>
          <cell r="M29">
            <v>4.0959999999999903</v>
          </cell>
          <cell r="P29">
            <v>0</v>
          </cell>
          <cell r="Q29">
            <v>0</v>
          </cell>
          <cell r="R29">
            <v>18.799199999999999</v>
          </cell>
          <cell r="S29">
            <v>150</v>
          </cell>
          <cell r="T29">
            <v>150</v>
          </cell>
          <cell r="V29">
            <v>9.3432699263798504</v>
          </cell>
          <cell r="W29">
            <v>1.36420698753138</v>
          </cell>
          <cell r="X29">
            <v>8.407</v>
          </cell>
          <cell r="Y29">
            <v>11.37</v>
          </cell>
          <cell r="Z29">
            <v>11.285399999999999</v>
          </cell>
          <cell r="AA29">
            <v>6.53</v>
          </cell>
          <cell r="AB29">
            <v>0</v>
          </cell>
        </row>
        <row r="30">
          <cell r="A30" t="str">
            <v>6221 НЕОПОЛИТАНСКИЙ ДУЭТ с/к с/н мгс 1/90  Останкино</v>
          </cell>
          <cell r="B30" t="str">
            <v>шт</v>
          </cell>
          <cell r="C30">
            <v>6221</v>
          </cell>
          <cell r="D30">
            <v>65</v>
          </cell>
          <cell r="E30">
            <v>85</v>
          </cell>
          <cell r="F30">
            <v>72</v>
          </cell>
          <cell r="G30">
            <v>70</v>
          </cell>
          <cell r="H30">
            <v>0.09</v>
          </cell>
          <cell r="I30">
            <v>60</v>
          </cell>
          <cell r="J30" t="str">
            <v>в матрице</v>
          </cell>
          <cell r="L30">
            <v>75</v>
          </cell>
          <cell r="M30">
            <v>-3</v>
          </cell>
          <cell r="P30">
            <v>0</v>
          </cell>
          <cell r="Q30">
            <v>0</v>
          </cell>
          <cell r="R30">
            <v>14.4</v>
          </cell>
          <cell r="S30">
            <v>65</v>
          </cell>
          <cell r="T30">
            <v>65</v>
          </cell>
          <cell r="V30">
            <v>9.375</v>
          </cell>
          <cell r="W30">
            <v>4.8611111111111098</v>
          </cell>
          <cell r="X30">
            <v>9.8000000000000007</v>
          </cell>
          <cell r="Y30">
            <v>12</v>
          </cell>
          <cell r="Z30">
            <v>11.4</v>
          </cell>
          <cell r="AA30">
            <v>9.4</v>
          </cell>
          <cell r="AB30">
            <v>0</v>
          </cell>
        </row>
        <row r="31">
          <cell r="A31" t="str">
            <v>6228 МЯСНОЕ АССОРТИ к/з с/н мгс 1/90 10шт  Останкино</v>
          </cell>
          <cell r="B31" t="str">
            <v>шт</v>
          </cell>
          <cell r="C31">
            <v>6228</v>
          </cell>
          <cell r="D31">
            <v>64</v>
          </cell>
          <cell r="E31">
            <v>40</v>
          </cell>
          <cell r="F31">
            <v>103</v>
          </cell>
          <cell r="H31">
            <v>0.09</v>
          </cell>
          <cell r="I31">
            <v>45</v>
          </cell>
          <cell r="J31" t="str">
            <v>в матрице</v>
          </cell>
          <cell r="L31">
            <v>99</v>
          </cell>
          <cell r="M31">
            <v>4</v>
          </cell>
          <cell r="P31">
            <v>75</v>
          </cell>
          <cell r="Q31">
            <v>75</v>
          </cell>
          <cell r="R31">
            <v>20.6</v>
          </cell>
          <cell r="S31">
            <v>65</v>
          </cell>
          <cell r="T31">
            <v>65</v>
          </cell>
          <cell r="V31">
            <v>10.4368932038835</v>
          </cell>
          <cell r="W31">
            <v>0</v>
          </cell>
          <cell r="X31">
            <v>1</v>
          </cell>
          <cell r="Y31">
            <v>7.2</v>
          </cell>
          <cell r="Z31">
            <v>11.2</v>
          </cell>
          <cell r="AA31">
            <v>11.8</v>
          </cell>
          <cell r="AB31" t="str">
            <v>увел продажи</v>
          </cell>
        </row>
        <row r="32">
          <cell r="A32" t="str">
            <v>6279 КОРЕЙКА ПО-ОСТ.к/в в/с с/н в/у 1/150_45с  Останкино</v>
          </cell>
          <cell r="B32" t="str">
            <v>шт</v>
          </cell>
          <cell r="C32">
            <v>6279</v>
          </cell>
          <cell r="D32">
            <v>70</v>
          </cell>
          <cell r="F32">
            <v>67</v>
          </cell>
          <cell r="G32">
            <v>3</v>
          </cell>
          <cell r="H32">
            <v>0.15</v>
          </cell>
          <cell r="I32">
            <v>45</v>
          </cell>
          <cell r="J32" t="str">
            <v>в матрице</v>
          </cell>
          <cell r="L32">
            <v>133</v>
          </cell>
          <cell r="M32">
            <v>-66</v>
          </cell>
          <cell r="P32">
            <v>117.5</v>
          </cell>
          <cell r="Q32">
            <v>117.5</v>
          </cell>
          <cell r="R32">
            <v>13.4</v>
          </cell>
          <cell r="S32">
            <v>0</v>
          </cell>
          <cell r="T32">
            <v>0</v>
          </cell>
          <cell r="V32">
            <v>17.761194029850699</v>
          </cell>
          <cell r="W32">
            <v>0.22388059701492499</v>
          </cell>
          <cell r="X32">
            <v>2.6</v>
          </cell>
          <cell r="Y32">
            <v>11.8</v>
          </cell>
          <cell r="Z32">
            <v>5.2</v>
          </cell>
          <cell r="AA32">
            <v>15.4</v>
          </cell>
          <cell r="AB32" t="str">
            <v>увел продажи</v>
          </cell>
        </row>
        <row r="33">
          <cell r="A33" t="str">
            <v>6303 Мясные Папа может сос п/о мгс 1,5*3  Останкино</v>
          </cell>
          <cell r="B33" t="str">
            <v>кг</v>
          </cell>
          <cell r="C33">
            <v>6303</v>
          </cell>
          <cell r="D33">
            <v>2.879</v>
          </cell>
          <cell r="E33">
            <v>606.88599999999997</v>
          </cell>
          <cell r="F33">
            <v>185.02</v>
          </cell>
          <cell r="G33">
            <v>423.375</v>
          </cell>
          <cell r="H33">
            <v>1</v>
          </cell>
          <cell r="I33">
            <v>45</v>
          </cell>
          <cell r="J33" t="str">
            <v>в матрице</v>
          </cell>
          <cell r="L33">
            <v>183</v>
          </cell>
          <cell r="M33">
            <v>2.0200000000000098</v>
          </cell>
          <cell r="P33">
            <v>110</v>
          </cell>
          <cell r="Q33">
            <v>110</v>
          </cell>
          <cell r="R33">
            <v>37.003999999999998</v>
          </cell>
          <cell r="S33">
            <v>75</v>
          </cell>
          <cell r="T33">
            <v>75</v>
          </cell>
          <cell r="V33">
            <v>19.4134417900767</v>
          </cell>
          <cell r="W33">
            <v>11.441330666954901</v>
          </cell>
          <cell r="X33">
            <v>53.016399999999997</v>
          </cell>
          <cell r="Y33">
            <v>41.094799999999999</v>
          </cell>
          <cell r="Z33">
            <v>56.673999999999999</v>
          </cell>
          <cell r="AA33">
            <v>51.902200000000001</v>
          </cell>
          <cell r="AB33">
            <v>0</v>
          </cell>
        </row>
        <row r="34">
          <cell r="A34" t="str">
            <v>6325 ДОКТОРСКАЯ ПРЕМИУМ вар п/о 0.4кг 8шт.  ОСТАНКИНО</v>
          </cell>
          <cell r="B34" t="str">
            <v>шт</v>
          </cell>
          <cell r="C34">
            <v>6325</v>
          </cell>
          <cell r="D34">
            <v>5</v>
          </cell>
          <cell r="E34">
            <v>160</v>
          </cell>
          <cell r="F34">
            <v>45</v>
          </cell>
          <cell r="G34">
            <v>120</v>
          </cell>
          <cell r="H34">
            <v>0.4</v>
          </cell>
          <cell r="I34">
            <v>60</v>
          </cell>
          <cell r="J34" t="str">
            <v>в матрице</v>
          </cell>
          <cell r="L34">
            <v>53</v>
          </cell>
          <cell r="M34">
            <v>-8</v>
          </cell>
          <cell r="P34">
            <v>0</v>
          </cell>
          <cell r="Q34">
            <v>0</v>
          </cell>
          <cell r="R34">
            <v>9</v>
          </cell>
          <cell r="S34">
            <v>0</v>
          </cell>
          <cell r="T34">
            <v>0</v>
          </cell>
          <cell r="V34">
            <v>13.3333333333333</v>
          </cell>
          <cell r="W34">
            <v>13.3333333333333</v>
          </cell>
          <cell r="X34">
            <v>11.8</v>
          </cell>
          <cell r="Y34">
            <v>6</v>
          </cell>
          <cell r="Z34">
            <v>12.6</v>
          </cell>
          <cell r="AA34">
            <v>9.1999999999999993</v>
          </cell>
          <cell r="AB34">
            <v>0</v>
          </cell>
        </row>
        <row r="35">
          <cell r="A35" t="str">
            <v>6333 МЯСНАЯ Папа может вар п/о 0.4кг 8шт.  ОСТАНКИНО</v>
          </cell>
          <cell r="B35" t="str">
            <v>шт</v>
          </cell>
          <cell r="C35">
            <v>6333</v>
          </cell>
          <cell r="D35">
            <v>-1</v>
          </cell>
          <cell r="E35">
            <v>672</v>
          </cell>
          <cell r="F35">
            <v>201</v>
          </cell>
          <cell r="G35">
            <v>466</v>
          </cell>
          <cell r="H35">
            <v>0.4</v>
          </cell>
          <cell r="I35">
            <v>60</v>
          </cell>
          <cell r="J35" t="str">
            <v>в матрице</v>
          </cell>
          <cell r="L35">
            <v>300</v>
          </cell>
          <cell r="M35">
            <v>-99</v>
          </cell>
          <cell r="P35">
            <v>200</v>
          </cell>
          <cell r="Q35">
            <v>200</v>
          </cell>
          <cell r="R35">
            <v>40.200000000000003</v>
          </cell>
          <cell r="S35">
            <v>50</v>
          </cell>
          <cell r="T35">
            <v>50</v>
          </cell>
          <cell r="V35">
            <v>22.7860696517413</v>
          </cell>
          <cell r="W35">
            <v>11.592039800995</v>
          </cell>
          <cell r="X35">
            <v>61.2</v>
          </cell>
          <cell r="Y35">
            <v>48.4</v>
          </cell>
          <cell r="Z35">
            <v>67.400000000000006</v>
          </cell>
          <cell r="AA35">
            <v>72.400000000000006</v>
          </cell>
          <cell r="AB35">
            <v>0</v>
          </cell>
        </row>
        <row r="36">
          <cell r="A36" t="str">
            <v>6353 ЭКСТРА Папа может вар п/о 0.4кг 8шт.  ОСТАНКИНО</v>
          </cell>
          <cell r="B36" t="str">
            <v>шт</v>
          </cell>
          <cell r="C36">
            <v>6353</v>
          </cell>
          <cell r="D36">
            <v>12</v>
          </cell>
          <cell r="E36">
            <v>800</v>
          </cell>
          <cell r="F36">
            <v>141</v>
          </cell>
          <cell r="G36">
            <v>670</v>
          </cell>
          <cell r="H36">
            <v>0.4</v>
          </cell>
          <cell r="I36">
            <v>60</v>
          </cell>
          <cell r="J36" t="str">
            <v>в матрице</v>
          </cell>
          <cell r="L36">
            <v>153</v>
          </cell>
          <cell r="M36">
            <v>-12</v>
          </cell>
          <cell r="P36">
            <v>25</v>
          </cell>
          <cell r="Q36">
            <v>25</v>
          </cell>
          <cell r="R36">
            <v>28.2</v>
          </cell>
          <cell r="S36">
            <v>10</v>
          </cell>
          <cell r="T36">
            <v>10</v>
          </cell>
          <cell r="V36">
            <v>25.886524822695002</v>
          </cell>
          <cell r="W36">
            <v>23.758865248227</v>
          </cell>
          <cell r="X36">
            <v>39.6</v>
          </cell>
          <cell r="Y36">
            <v>35.200000000000003</v>
          </cell>
          <cell r="Z36">
            <v>67.400000000000006</v>
          </cell>
          <cell r="AA36">
            <v>33.200000000000003</v>
          </cell>
          <cell r="AB36">
            <v>0</v>
          </cell>
        </row>
        <row r="37">
          <cell r="A37" t="str">
            <v>6392 ФИЛЕЙНАЯ Папа может вар п/о 0,4кг  ОСТАНКИНО</v>
          </cell>
          <cell r="B37" t="str">
            <v>шт</v>
          </cell>
          <cell r="C37">
            <v>6392</v>
          </cell>
          <cell r="D37">
            <v>141</v>
          </cell>
          <cell r="E37">
            <v>594</v>
          </cell>
          <cell r="F37">
            <v>286</v>
          </cell>
          <cell r="G37">
            <v>443</v>
          </cell>
          <cell r="H37">
            <v>0.4</v>
          </cell>
          <cell r="I37">
            <v>60</v>
          </cell>
          <cell r="J37" t="str">
            <v>в матрице</v>
          </cell>
          <cell r="L37">
            <v>290</v>
          </cell>
          <cell r="M37">
            <v>-4</v>
          </cell>
          <cell r="P37">
            <v>110</v>
          </cell>
          <cell r="Q37">
            <v>110</v>
          </cell>
          <cell r="R37">
            <v>57.2</v>
          </cell>
          <cell r="S37">
            <v>100</v>
          </cell>
          <cell r="T37">
            <v>100</v>
          </cell>
          <cell r="V37">
            <v>13.339160839160799</v>
          </cell>
          <cell r="W37">
            <v>7.7447552447552397</v>
          </cell>
          <cell r="X37">
            <v>62.8</v>
          </cell>
          <cell r="Y37">
            <v>52.8</v>
          </cell>
          <cell r="Z37">
            <v>67.599999999999994</v>
          </cell>
          <cell r="AA37">
            <v>63.2</v>
          </cell>
          <cell r="AB37">
            <v>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6453</v>
          </cell>
          <cell r="D38">
            <v>1</v>
          </cell>
          <cell r="E38">
            <v>476</v>
          </cell>
          <cell r="F38">
            <v>78</v>
          </cell>
          <cell r="G38">
            <v>399</v>
          </cell>
          <cell r="H38">
            <v>0.1</v>
          </cell>
          <cell r="I38">
            <v>60</v>
          </cell>
          <cell r="J38" t="str">
            <v>в матрице</v>
          </cell>
          <cell r="L38">
            <v>80</v>
          </cell>
          <cell r="M38">
            <v>-2</v>
          </cell>
          <cell r="P38">
            <v>0</v>
          </cell>
          <cell r="Q38">
            <v>0</v>
          </cell>
          <cell r="R38">
            <v>15.6</v>
          </cell>
          <cell r="S38">
            <v>0</v>
          </cell>
          <cell r="T38">
            <v>0</v>
          </cell>
          <cell r="V38">
            <v>25.576923076923102</v>
          </cell>
          <cell r="W38">
            <v>25.576923076923102</v>
          </cell>
          <cell r="X38">
            <v>28.4</v>
          </cell>
          <cell r="Y38">
            <v>20.399999999999999</v>
          </cell>
          <cell r="Z38">
            <v>38.6</v>
          </cell>
          <cell r="AA38">
            <v>20.6</v>
          </cell>
          <cell r="AB38">
            <v>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6454</v>
          </cell>
          <cell r="D39">
            <v>-3</v>
          </cell>
          <cell r="E39">
            <v>700</v>
          </cell>
          <cell r="F39">
            <v>191</v>
          </cell>
          <cell r="G39">
            <v>506</v>
          </cell>
          <cell r="H39">
            <v>0.1</v>
          </cell>
          <cell r="I39">
            <v>60</v>
          </cell>
          <cell r="J39" t="str">
            <v>в матрице</v>
          </cell>
          <cell r="L39">
            <v>198</v>
          </cell>
          <cell r="M39">
            <v>-7</v>
          </cell>
          <cell r="P39">
            <v>0</v>
          </cell>
          <cell r="Q39">
            <v>0</v>
          </cell>
          <cell r="R39">
            <v>38.200000000000003</v>
          </cell>
          <cell r="S39">
            <v>0</v>
          </cell>
          <cell r="T39">
            <v>0</v>
          </cell>
          <cell r="V39">
            <v>13.2460732984293</v>
          </cell>
          <cell r="W39">
            <v>13.2460732984293</v>
          </cell>
          <cell r="X39">
            <v>32.799999999999997</v>
          </cell>
          <cell r="Y39">
            <v>24.6</v>
          </cell>
          <cell r="Z39">
            <v>52.2</v>
          </cell>
          <cell r="AA39">
            <v>25.8</v>
          </cell>
          <cell r="AB39">
            <v>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6459</v>
          </cell>
          <cell r="D40">
            <v>40</v>
          </cell>
          <cell r="F40">
            <v>41</v>
          </cell>
          <cell r="G40">
            <v>-1</v>
          </cell>
          <cell r="H40">
            <v>0.1</v>
          </cell>
          <cell r="I40">
            <v>45</v>
          </cell>
          <cell r="J40" t="str">
            <v>в матрице</v>
          </cell>
          <cell r="L40">
            <v>46</v>
          </cell>
          <cell r="M40">
            <v>-5</v>
          </cell>
          <cell r="P40">
            <v>0</v>
          </cell>
          <cell r="Q40">
            <v>0</v>
          </cell>
          <cell r="R40">
            <v>8.1999999999999993</v>
          </cell>
          <cell r="S40">
            <v>75</v>
          </cell>
          <cell r="T40">
            <v>75</v>
          </cell>
          <cell r="V40">
            <v>9.0243902439024399</v>
          </cell>
          <cell r="W40">
            <v>-0.12195121951219499</v>
          </cell>
          <cell r="X40">
            <v>1.4</v>
          </cell>
          <cell r="Y40">
            <v>2.8</v>
          </cell>
          <cell r="Z40">
            <v>1.4</v>
          </cell>
          <cell r="AA40">
            <v>1.4</v>
          </cell>
          <cell r="AB40">
            <v>0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6470</v>
          </cell>
          <cell r="E41">
            <v>67.17</v>
          </cell>
          <cell r="F41">
            <v>1.2250000000000001</v>
          </cell>
          <cell r="G41">
            <v>65.944999999999993</v>
          </cell>
          <cell r="H41">
            <v>1</v>
          </cell>
          <cell r="I41" t="e">
            <v>#N/A</v>
          </cell>
          <cell r="J41" t="e">
            <v>#N/A</v>
          </cell>
          <cell r="L41">
            <v>1.3</v>
          </cell>
          <cell r="M41">
            <v>-7.4999999999999997E-2</v>
          </cell>
          <cell r="P41">
            <v>0</v>
          </cell>
          <cell r="Q41">
            <v>0</v>
          </cell>
          <cell r="R41">
            <v>0.245</v>
          </cell>
          <cell r="S41">
            <v>0</v>
          </cell>
          <cell r="T41">
            <v>0</v>
          </cell>
          <cell r="V41">
            <v>269.16326530612201</v>
          </cell>
          <cell r="W41">
            <v>269.16326530612201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 t="e">
            <v>#N/A</v>
          </cell>
        </row>
        <row r="42">
          <cell r="A42" t="str">
            <v>6475 Сосиски Папа может 400г С сыром  ОСТАНКИНО</v>
          </cell>
          <cell r="B42" t="str">
            <v>шт</v>
          </cell>
          <cell r="C42">
            <v>6475</v>
          </cell>
          <cell r="D42">
            <v>-5</v>
          </cell>
          <cell r="E42">
            <v>834</v>
          </cell>
          <cell r="F42">
            <v>178</v>
          </cell>
          <cell r="G42">
            <v>650</v>
          </cell>
          <cell r="H42">
            <v>0.4</v>
          </cell>
          <cell r="I42">
            <v>45</v>
          </cell>
          <cell r="J42" t="str">
            <v>в матрице</v>
          </cell>
          <cell r="L42">
            <v>183</v>
          </cell>
          <cell r="M42">
            <v>-5</v>
          </cell>
          <cell r="P42">
            <v>0</v>
          </cell>
          <cell r="Q42">
            <v>0</v>
          </cell>
          <cell r="R42">
            <v>35.6</v>
          </cell>
          <cell r="S42">
            <v>0</v>
          </cell>
          <cell r="T42">
            <v>0</v>
          </cell>
          <cell r="V42">
            <v>18.258426966292099</v>
          </cell>
          <cell r="W42">
            <v>18.258426966292099</v>
          </cell>
          <cell r="X42">
            <v>16.8</v>
          </cell>
          <cell r="Y42">
            <v>28.8</v>
          </cell>
          <cell r="Z42">
            <v>69</v>
          </cell>
          <cell r="AA42">
            <v>16.600000000000001</v>
          </cell>
          <cell r="AB42">
            <v>0</v>
          </cell>
        </row>
        <row r="43">
          <cell r="A43" t="str">
            <v>6495 ВЕТЧ.МРАМОРНАЯ в/у срез 0,3кг 6шт_45с  Останкино</v>
          </cell>
          <cell r="B43" t="str">
            <v>шт</v>
          </cell>
          <cell r="C43">
            <v>6495</v>
          </cell>
          <cell r="E43">
            <v>246</v>
          </cell>
          <cell r="F43">
            <v>1</v>
          </cell>
          <cell r="G43">
            <v>245</v>
          </cell>
          <cell r="H43">
            <v>0.3</v>
          </cell>
          <cell r="I43" t="e">
            <v>#N/A</v>
          </cell>
          <cell r="J43" t="e">
            <v>#N/A</v>
          </cell>
          <cell r="L43">
            <v>1</v>
          </cell>
          <cell r="M43">
            <v>0</v>
          </cell>
          <cell r="P43">
            <v>0</v>
          </cell>
          <cell r="Q43">
            <v>0</v>
          </cell>
          <cell r="R43">
            <v>0.2</v>
          </cell>
          <cell r="S43">
            <v>0</v>
          </cell>
          <cell r="T43">
            <v>0</v>
          </cell>
          <cell r="V43">
            <v>1225</v>
          </cell>
          <cell r="W43">
            <v>1225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 t="e">
            <v>#N/A</v>
          </cell>
        </row>
        <row r="44">
          <cell r="A44" t="str">
            <v>6498 МОЛОЧНАЯ Папа может вар п/о  ОСТАНКИНО</v>
          </cell>
          <cell r="B44" t="str">
            <v>кг</v>
          </cell>
          <cell r="C44">
            <v>6498</v>
          </cell>
          <cell r="D44">
            <v>87.774000000000001</v>
          </cell>
          <cell r="E44">
            <v>13.042999999999999</v>
          </cell>
          <cell r="F44">
            <v>102.785</v>
          </cell>
          <cell r="G44">
            <v>-1.968</v>
          </cell>
          <cell r="H44">
            <v>1</v>
          </cell>
          <cell r="I44">
            <v>60</v>
          </cell>
          <cell r="J44" t="str">
            <v>в матрице</v>
          </cell>
          <cell r="L44">
            <v>98.9</v>
          </cell>
          <cell r="M44">
            <v>3.88499999999999</v>
          </cell>
          <cell r="P44">
            <v>110</v>
          </cell>
          <cell r="Q44">
            <v>110</v>
          </cell>
          <cell r="R44">
            <v>20.556999999999999</v>
          </cell>
          <cell r="S44">
            <v>50</v>
          </cell>
          <cell r="T44">
            <v>50</v>
          </cell>
          <cell r="V44">
            <v>13.0384783771951</v>
          </cell>
          <cell r="W44">
            <v>-9.5733813299605994E-2</v>
          </cell>
          <cell r="X44">
            <v>13.116</v>
          </cell>
          <cell r="Y44">
            <v>14.219799999999999</v>
          </cell>
          <cell r="Z44">
            <v>10.4732</v>
          </cell>
          <cell r="AA44">
            <v>16.373200000000001</v>
          </cell>
          <cell r="AB44">
            <v>0</v>
          </cell>
        </row>
        <row r="45">
          <cell r="A45" t="str">
            <v>6527 ШПИКАЧКИ СОЧНЫЕ ПМ сар б/о мгс 1*3 45с ОСТАНКИНО</v>
          </cell>
          <cell r="B45" t="str">
            <v>кг</v>
          </cell>
          <cell r="C45">
            <v>6527</v>
          </cell>
          <cell r="D45">
            <v>58.494999999999997</v>
          </cell>
          <cell r="E45">
            <v>187.40600000000001</v>
          </cell>
          <cell r="F45">
            <v>74.686000000000007</v>
          </cell>
          <cell r="G45">
            <v>170.589</v>
          </cell>
          <cell r="H45">
            <v>1</v>
          </cell>
          <cell r="I45">
            <v>45</v>
          </cell>
          <cell r="J45" t="str">
            <v>в матрице</v>
          </cell>
          <cell r="L45">
            <v>68</v>
          </cell>
          <cell r="M45">
            <v>6.6860000000000097</v>
          </cell>
          <cell r="P45">
            <v>40</v>
          </cell>
          <cell r="Q45">
            <v>40</v>
          </cell>
          <cell r="R45">
            <v>14.937200000000001</v>
          </cell>
          <cell r="S45">
            <v>0</v>
          </cell>
          <cell r="T45">
            <v>0</v>
          </cell>
          <cell r="V45">
            <v>16.776169563238099</v>
          </cell>
          <cell r="W45">
            <v>11.4204134643708</v>
          </cell>
          <cell r="X45">
            <v>9.4077999999999999</v>
          </cell>
          <cell r="Y45">
            <v>17.642199999999999</v>
          </cell>
          <cell r="Z45">
            <v>19.953600000000002</v>
          </cell>
          <cell r="AA45">
            <v>18.5396</v>
          </cell>
          <cell r="AB45">
            <v>0</v>
          </cell>
        </row>
        <row r="46">
          <cell r="A46" t="str">
            <v>6550 МЯСНЫЕ Папа может сар б/о мгс 1*3 О 45с  Останкино</v>
          </cell>
          <cell r="B46" t="str">
            <v>кг</v>
          </cell>
          <cell r="C46">
            <v>6550</v>
          </cell>
          <cell r="D46">
            <v>29.263000000000002</v>
          </cell>
          <cell r="E46">
            <v>204.59200000000001</v>
          </cell>
          <cell r="F46">
            <v>99.225999999999999</v>
          </cell>
          <cell r="G46">
            <v>134.214</v>
          </cell>
          <cell r="H46">
            <v>1</v>
          </cell>
          <cell r="I46">
            <v>45</v>
          </cell>
          <cell r="J46" t="str">
            <v>в матрице</v>
          </cell>
          <cell r="L46">
            <v>92</v>
          </cell>
          <cell r="M46">
            <v>7.226</v>
          </cell>
          <cell r="P46">
            <v>50</v>
          </cell>
          <cell r="Q46">
            <v>50</v>
          </cell>
          <cell r="R46">
            <v>19.845199999999998</v>
          </cell>
          <cell r="S46">
            <v>20</v>
          </cell>
          <cell r="T46">
            <v>20</v>
          </cell>
          <cell r="V46">
            <v>12.809848225263501</v>
          </cell>
          <cell r="W46">
            <v>6.7630459758530996</v>
          </cell>
          <cell r="X46">
            <v>14.763400000000001</v>
          </cell>
          <cell r="Y46">
            <v>14.5502</v>
          </cell>
          <cell r="Z46">
            <v>20.839200000000002</v>
          </cell>
          <cell r="AA46">
            <v>21.102599999999999</v>
          </cell>
          <cell r="AB46">
            <v>0</v>
          </cell>
        </row>
        <row r="47">
          <cell r="A47" t="str">
            <v>6602 БАВАРСКИЕ ПМ сос ц/о мгс 0,35кг 8шт  Останкино</v>
          </cell>
          <cell r="B47" t="str">
            <v>шт</v>
          </cell>
          <cell r="C47">
            <v>6602</v>
          </cell>
          <cell r="D47">
            <v>14</v>
          </cell>
          <cell r="E47">
            <v>32</v>
          </cell>
          <cell r="F47">
            <v>25</v>
          </cell>
          <cell r="G47">
            <v>21</v>
          </cell>
          <cell r="H47">
            <v>0.35</v>
          </cell>
          <cell r="I47">
            <v>45</v>
          </cell>
          <cell r="J47" t="str">
            <v>в матрице</v>
          </cell>
          <cell r="L47">
            <v>45</v>
          </cell>
          <cell r="M47">
            <v>-20</v>
          </cell>
          <cell r="P47">
            <v>0</v>
          </cell>
          <cell r="Q47">
            <v>0</v>
          </cell>
          <cell r="R47">
            <v>5</v>
          </cell>
          <cell r="S47">
            <v>25</v>
          </cell>
          <cell r="T47">
            <v>25</v>
          </cell>
          <cell r="V47">
            <v>9.1999999999999993</v>
          </cell>
          <cell r="W47">
            <v>4.2</v>
          </cell>
          <cell r="X47">
            <v>1.6</v>
          </cell>
          <cell r="Y47">
            <v>5.4</v>
          </cell>
          <cell r="Z47">
            <v>4</v>
          </cell>
          <cell r="AA47">
            <v>4</v>
          </cell>
          <cell r="AB47">
            <v>0</v>
          </cell>
        </row>
        <row r="48">
          <cell r="A48" t="str">
            <v>6608 С ГОВЯДИНОЙ ОРИГИН. сар б/о мгс 1*3_45с  ОСТАНКИНО</v>
          </cell>
          <cell r="B48" t="str">
            <v>кг</v>
          </cell>
          <cell r="C48">
            <v>6608</v>
          </cell>
          <cell r="D48">
            <v>86.212000000000003</v>
          </cell>
          <cell r="E48">
            <v>103.128</v>
          </cell>
          <cell r="F48">
            <v>82.635000000000005</v>
          </cell>
          <cell r="G48">
            <v>103.086</v>
          </cell>
          <cell r="H48">
            <v>1</v>
          </cell>
          <cell r="I48">
            <v>45</v>
          </cell>
          <cell r="J48" t="str">
            <v>в матрице</v>
          </cell>
          <cell r="L48">
            <v>80</v>
          </cell>
          <cell r="M48">
            <v>2.6349999999999998</v>
          </cell>
          <cell r="P48">
            <v>0</v>
          </cell>
          <cell r="Q48">
            <v>0</v>
          </cell>
          <cell r="R48">
            <v>16.527000000000001</v>
          </cell>
          <cell r="S48">
            <v>100</v>
          </cell>
          <cell r="T48">
            <v>100</v>
          </cell>
          <cell r="V48">
            <v>12.288134567677099</v>
          </cell>
          <cell r="W48">
            <v>6.23742966055545</v>
          </cell>
          <cell r="X48">
            <v>0.42020000000000002</v>
          </cell>
          <cell r="Y48">
            <v>15.13</v>
          </cell>
          <cell r="Z48">
            <v>16.508800000000001</v>
          </cell>
          <cell r="AA48">
            <v>13.536799999999999</v>
          </cell>
          <cell r="AB48">
            <v>0</v>
          </cell>
        </row>
        <row r="49">
          <cell r="A49" t="str">
            <v>6616 МОЛОЧНЫЕ КЛАССИЧЕСКИЕ сос п/о в/у 0,3 кг  Останкино</v>
          </cell>
          <cell r="B49" t="str">
            <v>шт</v>
          </cell>
          <cell r="C49">
            <v>6616</v>
          </cell>
          <cell r="D49">
            <v>19</v>
          </cell>
          <cell r="E49">
            <v>992</v>
          </cell>
          <cell r="F49">
            <v>286</v>
          </cell>
          <cell r="G49">
            <v>721</v>
          </cell>
          <cell r="H49">
            <v>0.3</v>
          </cell>
          <cell r="I49">
            <v>45</v>
          </cell>
          <cell r="J49" t="str">
            <v>в матрице</v>
          </cell>
          <cell r="L49">
            <v>284</v>
          </cell>
          <cell r="M49">
            <v>2</v>
          </cell>
          <cell r="P49">
            <v>0</v>
          </cell>
          <cell r="Q49">
            <v>0</v>
          </cell>
          <cell r="R49">
            <v>57.2</v>
          </cell>
          <cell r="S49">
            <v>60</v>
          </cell>
          <cell r="T49">
            <v>60</v>
          </cell>
          <cell r="V49">
            <v>13.653846153846199</v>
          </cell>
          <cell r="W49">
            <v>12.6048951048951</v>
          </cell>
          <cell r="X49">
            <v>40</v>
          </cell>
          <cell r="Y49">
            <v>47.8</v>
          </cell>
          <cell r="Z49">
            <v>77</v>
          </cell>
          <cell r="AA49">
            <v>53.4</v>
          </cell>
          <cell r="AB49">
            <v>0</v>
          </cell>
        </row>
        <row r="50">
          <cell r="A50" t="str">
            <v>6661 СОЧНЫЙ ГРИЛЬ ПМ сос п/о мгс 1,5*4_Маяк Останкино</v>
          </cell>
          <cell r="B50" t="str">
            <v>кг</v>
          </cell>
          <cell r="C50">
            <v>6661</v>
          </cell>
          <cell r="D50">
            <v>33.369999999999997</v>
          </cell>
          <cell r="E50">
            <v>126.03400000000001</v>
          </cell>
          <cell r="F50">
            <v>44.35</v>
          </cell>
          <cell r="G50">
            <v>113.494</v>
          </cell>
          <cell r="H50">
            <v>1</v>
          </cell>
          <cell r="I50">
            <v>45</v>
          </cell>
          <cell r="J50" t="str">
            <v>в матрице</v>
          </cell>
          <cell r="L50">
            <v>48</v>
          </cell>
          <cell r="M50">
            <v>-3.65</v>
          </cell>
          <cell r="P50">
            <v>55</v>
          </cell>
          <cell r="Q50">
            <v>55</v>
          </cell>
          <cell r="R50">
            <v>8.8699999999999992</v>
          </cell>
          <cell r="S50">
            <v>0</v>
          </cell>
          <cell r="T50">
            <v>0</v>
          </cell>
          <cell r="V50">
            <v>25.196617812852299</v>
          </cell>
          <cell r="W50">
            <v>12.795264937993201</v>
          </cell>
          <cell r="X50">
            <v>9.2439999999999998</v>
          </cell>
          <cell r="Y50">
            <v>9.5939999999999994</v>
          </cell>
          <cell r="Z50">
            <v>14.678599999999999</v>
          </cell>
          <cell r="AA50">
            <v>15.527799999999999</v>
          </cell>
          <cell r="AB50">
            <v>0</v>
          </cell>
        </row>
        <row r="51">
          <cell r="A51" t="str">
            <v>6697 СЕРВЕЛАТ ФИНСКИЙ ПМ в/к в/у 0,35кг 8шт  ОСТАНКИНО</v>
          </cell>
          <cell r="B51" t="str">
            <v>шт</v>
          </cell>
          <cell r="C51">
            <v>6697</v>
          </cell>
          <cell r="D51">
            <v>177</v>
          </cell>
          <cell r="E51">
            <v>400</v>
          </cell>
          <cell r="F51">
            <v>451</v>
          </cell>
          <cell r="G51">
            <v>124</v>
          </cell>
          <cell r="H51">
            <v>0.35</v>
          </cell>
          <cell r="I51">
            <v>45</v>
          </cell>
          <cell r="J51" t="str">
            <v>в матрице</v>
          </cell>
          <cell r="L51">
            <v>459</v>
          </cell>
          <cell r="M51">
            <v>-8</v>
          </cell>
          <cell r="P51">
            <v>500</v>
          </cell>
          <cell r="Q51">
            <v>500</v>
          </cell>
          <cell r="R51">
            <v>90.2</v>
          </cell>
          <cell r="S51">
            <v>70</v>
          </cell>
          <cell r="T51">
            <v>70</v>
          </cell>
          <cell r="V51">
            <v>13.237250554323699</v>
          </cell>
          <cell r="W51">
            <v>1.3747228381374701</v>
          </cell>
          <cell r="X51">
            <v>82.8</v>
          </cell>
          <cell r="Y51">
            <v>73.8</v>
          </cell>
          <cell r="Z51">
            <v>73.599999999999994</v>
          </cell>
          <cell r="AA51">
            <v>96.6</v>
          </cell>
          <cell r="AB51">
            <v>0</v>
          </cell>
        </row>
        <row r="52">
          <cell r="A52" t="str">
            <v>6713 СОЧНЫЙ ГРИЛЬ ПМ сос п/о мгс 0,41кг 8 шт.  ОСТАНКИНО</v>
          </cell>
          <cell r="B52" t="str">
            <v>шт</v>
          </cell>
          <cell r="C52">
            <v>6713</v>
          </cell>
          <cell r="D52">
            <v>-15</v>
          </cell>
          <cell r="E52">
            <v>800</v>
          </cell>
          <cell r="F52">
            <v>211</v>
          </cell>
          <cell r="G52">
            <v>570</v>
          </cell>
          <cell r="H52">
            <v>0.41</v>
          </cell>
          <cell r="I52">
            <v>45</v>
          </cell>
          <cell r="J52" t="str">
            <v>в матрице</v>
          </cell>
          <cell r="L52">
            <v>230</v>
          </cell>
          <cell r="M52">
            <v>-19</v>
          </cell>
          <cell r="P52">
            <v>0</v>
          </cell>
          <cell r="Q52">
            <v>0</v>
          </cell>
          <cell r="R52">
            <v>42.2</v>
          </cell>
          <cell r="S52">
            <v>25</v>
          </cell>
          <cell r="T52">
            <v>25</v>
          </cell>
          <cell r="V52">
            <v>14.0995260663507</v>
          </cell>
          <cell r="W52">
            <v>13.5071090047393</v>
          </cell>
          <cell r="X52">
            <v>49.8</v>
          </cell>
          <cell r="Y52">
            <v>32.6</v>
          </cell>
          <cell r="Z52">
            <v>66.8</v>
          </cell>
          <cell r="AA52">
            <v>35.6</v>
          </cell>
          <cell r="AB52">
            <v>0</v>
          </cell>
        </row>
        <row r="53">
          <cell r="A53" t="str">
            <v>6724 МОЛОЧНЫЕ ПМ сос п/о мгс 0,41кг 10шт  Останкино</v>
          </cell>
          <cell r="B53" t="str">
            <v>шт</v>
          </cell>
          <cell r="C53">
            <v>6724</v>
          </cell>
          <cell r="D53">
            <v>168</v>
          </cell>
          <cell r="E53">
            <v>1</v>
          </cell>
          <cell r="F53">
            <v>169</v>
          </cell>
          <cell r="H53">
            <v>0.41</v>
          </cell>
          <cell r="I53">
            <v>45</v>
          </cell>
          <cell r="J53" t="str">
            <v>в матрице</v>
          </cell>
          <cell r="L53">
            <v>187</v>
          </cell>
          <cell r="M53">
            <v>-18</v>
          </cell>
          <cell r="P53">
            <v>150</v>
          </cell>
          <cell r="Q53">
            <v>150</v>
          </cell>
          <cell r="R53">
            <v>33.799999999999997</v>
          </cell>
          <cell r="S53">
            <v>110</v>
          </cell>
          <cell r="T53">
            <v>110</v>
          </cell>
          <cell r="V53">
            <v>12.1301775147929</v>
          </cell>
          <cell r="W53">
            <v>0</v>
          </cell>
          <cell r="X53">
            <v>17.600000000000001</v>
          </cell>
          <cell r="Y53">
            <v>24</v>
          </cell>
          <cell r="Z53">
            <v>10.4</v>
          </cell>
          <cell r="AA53">
            <v>31.8</v>
          </cell>
          <cell r="AB53">
            <v>0</v>
          </cell>
        </row>
        <row r="54">
          <cell r="A54" t="str">
            <v>6765 РУБЛЕНЫЕ сос ц/о мгс 0,36кг 6шт  Останкино</v>
          </cell>
          <cell r="B54" t="str">
            <v>шт</v>
          </cell>
          <cell r="C54">
            <v>6765</v>
          </cell>
          <cell r="D54">
            <v>2</v>
          </cell>
          <cell r="E54">
            <v>348</v>
          </cell>
          <cell r="F54">
            <v>116</v>
          </cell>
          <cell r="G54">
            <v>232</v>
          </cell>
          <cell r="H54">
            <v>0.36</v>
          </cell>
          <cell r="I54">
            <v>45</v>
          </cell>
          <cell r="J54" t="str">
            <v>в матрице</v>
          </cell>
          <cell r="L54">
            <v>132</v>
          </cell>
          <cell r="M54">
            <v>-16</v>
          </cell>
          <cell r="P54">
            <v>25</v>
          </cell>
          <cell r="Q54">
            <v>25</v>
          </cell>
          <cell r="R54">
            <v>23.2</v>
          </cell>
          <cell r="S54">
            <v>35</v>
          </cell>
          <cell r="T54">
            <v>35</v>
          </cell>
          <cell r="V54">
            <v>13.663793103448301</v>
          </cell>
          <cell r="W54">
            <v>10</v>
          </cell>
          <cell r="X54">
            <v>16</v>
          </cell>
          <cell r="Y54">
            <v>15</v>
          </cell>
          <cell r="Z54">
            <v>27</v>
          </cell>
          <cell r="AA54">
            <v>10.199999999999999</v>
          </cell>
          <cell r="AB54" t="str">
            <v>нужно увеличить продажи</v>
          </cell>
        </row>
        <row r="55">
          <cell r="A55" t="str">
            <v>6767 РУБЛЕНЫЕ сос ц/о мгс 1*4  Останкино</v>
          </cell>
          <cell r="B55" t="str">
            <v>кг</v>
          </cell>
          <cell r="C55">
            <v>6767</v>
          </cell>
          <cell r="D55">
            <v>29.472000000000001</v>
          </cell>
          <cell r="F55">
            <v>5.2569999999999997</v>
          </cell>
          <cell r="G55">
            <v>24.215</v>
          </cell>
          <cell r="H55">
            <v>1</v>
          </cell>
          <cell r="I55">
            <v>0</v>
          </cell>
          <cell r="J55" t="e">
            <v>#VALUE!</v>
          </cell>
          <cell r="L55">
            <v>5</v>
          </cell>
          <cell r="M55">
            <v>0.25700000000000001</v>
          </cell>
          <cell r="P55">
            <v>0</v>
          </cell>
          <cell r="Q55">
            <v>0</v>
          </cell>
          <cell r="R55">
            <v>1.0513999999999999</v>
          </cell>
          <cell r="S55">
            <v>0</v>
          </cell>
          <cell r="T55">
            <v>0</v>
          </cell>
          <cell r="V55">
            <v>23.031196499904901</v>
          </cell>
          <cell r="W55">
            <v>23.031196499904901</v>
          </cell>
          <cell r="X55">
            <v>0.43819999999999998</v>
          </cell>
          <cell r="Y55">
            <v>1.1100000000000001</v>
          </cell>
          <cell r="Z55">
            <v>1.9338</v>
          </cell>
          <cell r="AA55">
            <v>0.45400000000000001</v>
          </cell>
          <cell r="AB55" t="e">
            <v>#VALUE!</v>
          </cell>
        </row>
        <row r="56">
          <cell r="A56" t="str">
            <v>6787 СЕРВЕЛАТ КРЕМЛЕВСКИЙ в/к в/у 0,33кг 8шт  Останкино</v>
          </cell>
          <cell r="B56" t="str">
            <v>шт</v>
          </cell>
          <cell r="C56">
            <v>6787</v>
          </cell>
          <cell r="D56">
            <v>1</v>
          </cell>
          <cell r="F56">
            <v>-2</v>
          </cell>
          <cell r="H56">
            <v>0.33</v>
          </cell>
          <cell r="I56">
            <v>45</v>
          </cell>
          <cell r="J56" t="str">
            <v>в матрице</v>
          </cell>
          <cell r="L56">
            <v>4</v>
          </cell>
          <cell r="M56">
            <v>-6</v>
          </cell>
          <cell r="P56">
            <v>60</v>
          </cell>
          <cell r="Q56">
            <v>60</v>
          </cell>
          <cell r="R56">
            <v>-0.4</v>
          </cell>
          <cell r="S56">
            <v>0</v>
          </cell>
          <cell r="T56">
            <v>0</v>
          </cell>
          <cell r="V56">
            <v>-300</v>
          </cell>
          <cell r="W56">
            <v>0</v>
          </cell>
          <cell r="X56">
            <v>4</v>
          </cell>
          <cell r="Y56">
            <v>1</v>
          </cell>
          <cell r="Z56">
            <v>0.2</v>
          </cell>
          <cell r="AA56">
            <v>5.4</v>
          </cell>
          <cell r="AB56">
            <v>0</v>
          </cell>
        </row>
        <row r="57">
          <cell r="A57" t="str">
            <v>6793 БАЛЫКОВАЯ в/к в/у 0,33кг 8шт  Останкино</v>
          </cell>
          <cell r="B57" t="str">
            <v>шт</v>
          </cell>
          <cell r="C57">
            <v>6793</v>
          </cell>
          <cell r="D57">
            <v>97</v>
          </cell>
          <cell r="F57">
            <v>110</v>
          </cell>
          <cell r="G57">
            <v>-13</v>
          </cell>
          <cell r="H57">
            <v>0.33</v>
          </cell>
          <cell r="I57">
            <v>45</v>
          </cell>
          <cell r="J57" t="str">
            <v>в матрице</v>
          </cell>
          <cell r="L57">
            <v>142</v>
          </cell>
          <cell r="M57">
            <v>-32</v>
          </cell>
          <cell r="P57">
            <v>80</v>
          </cell>
          <cell r="Q57">
            <v>80</v>
          </cell>
          <cell r="R57">
            <v>22</v>
          </cell>
          <cell r="S57">
            <v>100</v>
          </cell>
          <cell r="T57">
            <v>100</v>
          </cell>
          <cell r="V57">
            <v>11.2272727272727</v>
          </cell>
          <cell r="W57">
            <v>-0.59090909090909105</v>
          </cell>
          <cell r="X57">
            <v>17.2</v>
          </cell>
          <cell r="Y57">
            <v>23.6</v>
          </cell>
          <cell r="Z57">
            <v>21.4</v>
          </cell>
          <cell r="AA57">
            <v>19.600000000000001</v>
          </cell>
          <cell r="AB57">
            <v>0</v>
          </cell>
        </row>
        <row r="58">
          <cell r="A58" t="str">
            <v>6797 С ИНДЕЙКОЙ Папа может вар п/о 0,4кг 8шт. ОСТАНКИНО</v>
          </cell>
          <cell r="B58" t="str">
            <v>шт</v>
          </cell>
          <cell r="C58">
            <v>6797</v>
          </cell>
          <cell r="D58">
            <v>155</v>
          </cell>
          <cell r="F58">
            <v>58</v>
          </cell>
          <cell r="G58">
            <v>97</v>
          </cell>
          <cell r="H58">
            <v>0.4</v>
          </cell>
          <cell r="I58" t="e">
            <v>#N/A</v>
          </cell>
          <cell r="J58" t="e">
            <v>#N/A</v>
          </cell>
          <cell r="L58">
            <v>58</v>
          </cell>
          <cell r="M58">
            <v>0</v>
          </cell>
          <cell r="P58">
            <v>0</v>
          </cell>
          <cell r="Q58">
            <v>0</v>
          </cell>
          <cell r="R58">
            <v>11.6</v>
          </cell>
          <cell r="S58">
            <v>50</v>
          </cell>
          <cell r="T58">
            <v>50</v>
          </cell>
          <cell r="V58">
            <v>12.6724137931034</v>
          </cell>
          <cell r="W58">
            <v>8.3620689655172402</v>
          </cell>
          <cell r="X58">
            <v>0</v>
          </cell>
          <cell r="Y58">
            <v>0</v>
          </cell>
          <cell r="Z58">
            <v>0</v>
          </cell>
          <cell r="AA58">
            <v>1</v>
          </cell>
          <cell r="AB58" t="e">
            <v>#N/A</v>
          </cell>
        </row>
        <row r="59">
          <cell r="A59" t="str">
            <v>6807 СЕРВЕЛАТ ЕВРОПЕЙСКИЙ в/к в/у 0,33кг 8шт  Останкино</v>
          </cell>
          <cell r="B59" t="str">
            <v>шт</v>
          </cell>
          <cell r="C59">
            <v>6807</v>
          </cell>
          <cell r="D59">
            <v>68</v>
          </cell>
          <cell r="F59">
            <v>66</v>
          </cell>
          <cell r="G59">
            <v>1</v>
          </cell>
          <cell r="H59">
            <v>0.33</v>
          </cell>
          <cell r="I59">
            <v>45</v>
          </cell>
          <cell r="J59" t="str">
            <v>в матрице</v>
          </cell>
          <cell r="L59">
            <v>70</v>
          </cell>
          <cell r="M59">
            <v>-4</v>
          </cell>
          <cell r="P59">
            <v>110</v>
          </cell>
          <cell r="Q59">
            <v>110</v>
          </cell>
          <cell r="R59">
            <v>13.2</v>
          </cell>
          <cell r="S59">
            <v>0</v>
          </cell>
          <cell r="T59">
            <v>0</v>
          </cell>
          <cell r="V59">
            <v>16.7424242424242</v>
          </cell>
          <cell r="W59">
            <v>7.5757575757575801E-2</v>
          </cell>
          <cell r="X59">
            <v>10.6</v>
          </cell>
          <cell r="Y59">
            <v>3.4</v>
          </cell>
          <cell r="Z59">
            <v>2</v>
          </cell>
          <cell r="AA59">
            <v>13.8</v>
          </cell>
          <cell r="AB59">
            <v>0</v>
          </cell>
        </row>
        <row r="60">
          <cell r="A60" t="str">
            <v>6829  МОЛОЧНЫЕ КЛАССИЧЕСКИЕ сос п/о мгс 2*4 С  Останккино</v>
          </cell>
          <cell r="B60" t="str">
            <v>кг</v>
          </cell>
          <cell r="C60">
            <v>6829</v>
          </cell>
          <cell r="D60">
            <v>182.983</v>
          </cell>
          <cell r="E60">
            <v>616.74199999999996</v>
          </cell>
          <cell r="F60">
            <v>432.43099999999998</v>
          </cell>
          <cell r="G60">
            <v>330.05399999999997</v>
          </cell>
          <cell r="H60">
            <v>1</v>
          </cell>
          <cell r="I60">
            <v>45</v>
          </cell>
          <cell r="J60" t="str">
            <v>в матрице</v>
          </cell>
          <cell r="L60">
            <v>422.024</v>
          </cell>
          <cell r="M60">
            <v>10.407</v>
          </cell>
          <cell r="P60">
            <v>175</v>
          </cell>
          <cell r="Q60">
            <v>175</v>
          </cell>
          <cell r="R60">
            <v>86.486199999999997</v>
          </cell>
          <cell r="S60">
            <v>300</v>
          </cell>
          <cell r="T60">
            <v>300</v>
          </cell>
          <cell r="V60">
            <v>11.331911911958199</v>
          </cell>
          <cell r="W60">
            <v>3.8162620163679302</v>
          </cell>
          <cell r="X60">
            <v>81.638400000000004</v>
          </cell>
          <cell r="Y60">
            <v>66.671400000000006</v>
          </cell>
          <cell r="Z60">
            <v>77.873199999999997</v>
          </cell>
          <cell r="AA60">
            <v>76.927999999999997</v>
          </cell>
          <cell r="AB60">
            <v>0</v>
          </cell>
        </row>
        <row r="61">
          <cell r="A61" t="str">
            <v>6834 ПОСОЛЬСКАЯ с/к с/н в/у 1/100 10шт  Останкино</v>
          </cell>
          <cell r="B61" t="str">
            <v>шт</v>
          </cell>
          <cell r="C61">
            <v>6834</v>
          </cell>
          <cell r="E61">
            <v>81</v>
          </cell>
          <cell r="F61">
            <v>14</v>
          </cell>
          <cell r="G61">
            <v>65</v>
          </cell>
          <cell r="H61">
            <v>0.1</v>
          </cell>
          <cell r="I61">
            <v>60</v>
          </cell>
          <cell r="J61" t="str">
            <v>в матрице</v>
          </cell>
          <cell r="L61">
            <v>16</v>
          </cell>
          <cell r="M61">
            <v>-2</v>
          </cell>
          <cell r="P61">
            <v>20</v>
          </cell>
          <cell r="Q61">
            <v>20</v>
          </cell>
          <cell r="R61">
            <v>2.8</v>
          </cell>
          <cell r="S61">
            <v>0</v>
          </cell>
          <cell r="T61">
            <v>0</v>
          </cell>
          <cell r="V61">
            <v>37.5</v>
          </cell>
          <cell r="W61">
            <v>23.214285714285701</v>
          </cell>
          <cell r="X61">
            <v>0.4</v>
          </cell>
          <cell r="Y61">
            <v>1.4</v>
          </cell>
          <cell r="Z61">
            <v>4.4000000000000004</v>
          </cell>
          <cell r="AA61">
            <v>0.4</v>
          </cell>
          <cell r="AB61" t="str">
            <v>нужно увеличить продажи!!! / 06,03,25 в уценку 85шт.</v>
          </cell>
        </row>
        <row r="62">
          <cell r="A62" t="str">
            <v>6837 ФИЛЕЙНЫЕ Папа Может сос ц/о мгс 0,4кг  Останкино</v>
          </cell>
          <cell r="B62" t="str">
            <v>шт</v>
          </cell>
          <cell r="C62">
            <v>6837</v>
          </cell>
          <cell r="D62">
            <v>180</v>
          </cell>
          <cell r="E62">
            <v>1</v>
          </cell>
          <cell r="F62">
            <v>175</v>
          </cell>
          <cell r="G62">
            <v>4</v>
          </cell>
          <cell r="H62">
            <v>0.4</v>
          </cell>
          <cell r="I62">
            <v>45</v>
          </cell>
          <cell r="J62" t="str">
            <v>в матрице</v>
          </cell>
          <cell r="L62">
            <v>237</v>
          </cell>
          <cell r="M62">
            <v>-62</v>
          </cell>
          <cell r="P62">
            <v>25</v>
          </cell>
          <cell r="Q62">
            <v>25</v>
          </cell>
          <cell r="R62">
            <v>35</v>
          </cell>
          <cell r="S62">
            <v>260</v>
          </cell>
          <cell r="T62">
            <v>260</v>
          </cell>
          <cell r="V62">
            <v>8.9714285714285698</v>
          </cell>
          <cell r="W62">
            <v>0.114285714285714</v>
          </cell>
          <cell r="X62">
            <v>17</v>
          </cell>
          <cell r="Y62">
            <v>18.399999999999999</v>
          </cell>
          <cell r="Z62">
            <v>15.8</v>
          </cell>
          <cell r="AA62">
            <v>11.8</v>
          </cell>
          <cell r="AB62">
            <v>0</v>
          </cell>
        </row>
        <row r="63">
          <cell r="A63" t="str">
            <v>6861 ДОМАШНИЙ РЕЦЕПТ Коровино вар п/о  Останкино</v>
          </cell>
          <cell r="B63" t="str">
            <v>кг</v>
          </cell>
          <cell r="C63">
            <v>6861</v>
          </cell>
          <cell r="D63">
            <v>8.0280000000000005</v>
          </cell>
          <cell r="F63">
            <v>1.95</v>
          </cell>
          <cell r="G63">
            <v>6.0780000000000003</v>
          </cell>
          <cell r="H63">
            <v>1</v>
          </cell>
          <cell r="I63" t="e">
            <v>#N/A</v>
          </cell>
          <cell r="J63" t="e">
            <v>#N/A</v>
          </cell>
          <cell r="L63">
            <v>0</v>
          </cell>
          <cell r="M63">
            <v>1.95</v>
          </cell>
          <cell r="P63">
            <v>10</v>
          </cell>
          <cell r="Q63">
            <v>10</v>
          </cell>
          <cell r="R63">
            <v>0.39</v>
          </cell>
          <cell r="S63">
            <v>0</v>
          </cell>
          <cell r="T63">
            <v>0</v>
          </cell>
          <cell r="V63">
            <v>66.866666666666703</v>
          </cell>
          <cell r="W63">
            <v>15.5846153846154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 t="e">
            <v>#N/A</v>
          </cell>
        </row>
        <row r="64">
          <cell r="A64" t="str">
            <v>6862 ДОМАШНИЙ РЕЦЕПТ СО ШПИК. Коровино вар п/о  Останкино</v>
          </cell>
          <cell r="B64" t="str">
            <v>кг</v>
          </cell>
          <cell r="C64">
            <v>6892</v>
          </cell>
          <cell r="D64">
            <v>3.8809999999999998</v>
          </cell>
          <cell r="F64">
            <v>0</v>
          </cell>
          <cell r="G64">
            <v>3.8809999999999998</v>
          </cell>
          <cell r="H64">
            <v>1</v>
          </cell>
          <cell r="I64">
            <v>0</v>
          </cell>
          <cell r="J64" t="e">
            <v>#VALUE!</v>
          </cell>
          <cell r="L64">
            <v>0</v>
          </cell>
          <cell r="M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V64" t="e">
            <v>#DIV/0!</v>
          </cell>
          <cell r="W64" t="e">
            <v>#DIV/0!</v>
          </cell>
          <cell r="X64">
            <v>0</v>
          </cell>
          <cell r="Y64">
            <v>0.78059999999999996</v>
          </cell>
          <cell r="Z64">
            <v>0</v>
          </cell>
          <cell r="AA64">
            <v>0</v>
          </cell>
          <cell r="AB64" t="e">
            <v>#VALUE!</v>
          </cell>
        </row>
        <row r="65">
          <cell r="A65" t="str">
            <v>6866 ВЕТЧ.НЕЖНАЯ Коровино п/о_Маяк  Останкино</v>
          </cell>
          <cell r="B65" t="str">
            <v>кг</v>
          </cell>
          <cell r="C65">
            <v>6866</v>
          </cell>
          <cell r="D65">
            <v>34.92</v>
          </cell>
          <cell r="E65">
            <v>119.84</v>
          </cell>
          <cell r="F65">
            <v>46.774999999999999</v>
          </cell>
          <cell r="G65">
            <v>107.985</v>
          </cell>
          <cell r="H65">
            <v>1</v>
          </cell>
          <cell r="I65">
            <v>60</v>
          </cell>
          <cell r="J65" t="str">
            <v>в матрице</v>
          </cell>
          <cell r="L65">
            <v>0</v>
          </cell>
          <cell r="M65">
            <v>46.774999999999999</v>
          </cell>
          <cell r="P65">
            <v>0</v>
          </cell>
          <cell r="Q65">
            <v>0</v>
          </cell>
          <cell r="R65">
            <v>9.3550000000000004</v>
          </cell>
          <cell r="S65">
            <v>0</v>
          </cell>
          <cell r="T65">
            <v>0</v>
          </cell>
          <cell r="V65">
            <v>11.5430251202565</v>
          </cell>
          <cell r="W65">
            <v>11.5430251202565</v>
          </cell>
          <cell r="X65">
            <v>0.90200000000000002</v>
          </cell>
          <cell r="Y65">
            <v>7.5484</v>
          </cell>
          <cell r="Z65">
            <v>10.635999999999999</v>
          </cell>
          <cell r="AA65">
            <v>3.5259999999999998</v>
          </cell>
          <cell r="AB65">
            <v>0</v>
          </cell>
        </row>
        <row r="66">
          <cell r="A66" t="str">
            <v>6967 БУРГУНДИЯ Папа может с/к в/у 1/250 8шт  Останкино</v>
          </cell>
          <cell r="B66" t="str">
            <v>шт</v>
          </cell>
          <cell r="C66">
            <v>6967</v>
          </cell>
          <cell r="D66">
            <v>75</v>
          </cell>
          <cell r="F66">
            <v>70</v>
          </cell>
          <cell r="G66">
            <v>5</v>
          </cell>
          <cell r="H66">
            <v>0.25</v>
          </cell>
          <cell r="I66">
            <v>120</v>
          </cell>
          <cell r="J66" t="str">
            <v>в матрице</v>
          </cell>
          <cell r="L66">
            <v>70</v>
          </cell>
          <cell r="M66">
            <v>0</v>
          </cell>
          <cell r="P66">
            <v>0</v>
          </cell>
          <cell r="Q66">
            <v>0</v>
          </cell>
          <cell r="R66">
            <v>14</v>
          </cell>
          <cell r="S66">
            <v>110</v>
          </cell>
          <cell r="T66">
            <v>110</v>
          </cell>
          <cell r="V66">
            <v>8.21428571428571</v>
          </cell>
          <cell r="W66">
            <v>0.35714285714285698</v>
          </cell>
          <cell r="X66">
            <v>3</v>
          </cell>
          <cell r="Y66">
            <v>5.8</v>
          </cell>
          <cell r="Z66">
            <v>0.8</v>
          </cell>
          <cell r="AA66">
            <v>0.8</v>
          </cell>
          <cell r="AB66">
            <v>0</v>
          </cell>
        </row>
        <row r="67">
          <cell r="A67" t="str">
            <v>7001 КЛАССИЧЕСКИЕ Папа может сар б/о мгс 1*3  Останкино</v>
          </cell>
          <cell r="B67" t="str">
            <v>кг</v>
          </cell>
          <cell r="C67">
            <v>7001</v>
          </cell>
          <cell r="D67">
            <v>163.25700000000001</v>
          </cell>
          <cell r="E67">
            <v>9.3209999999999997</v>
          </cell>
          <cell r="F67">
            <v>92.814999999999998</v>
          </cell>
          <cell r="G67">
            <v>76.097999999999999</v>
          </cell>
          <cell r="H67">
            <v>1</v>
          </cell>
          <cell r="I67">
            <v>45</v>
          </cell>
          <cell r="J67" t="str">
            <v>в матрице</v>
          </cell>
          <cell r="L67">
            <v>87</v>
          </cell>
          <cell r="M67">
            <v>5.8150000000000004</v>
          </cell>
          <cell r="P67">
            <v>0</v>
          </cell>
          <cell r="Q67">
            <v>0</v>
          </cell>
          <cell r="R67">
            <v>18.562999999999999</v>
          </cell>
          <cell r="S67">
            <v>110</v>
          </cell>
          <cell r="T67">
            <v>110</v>
          </cell>
          <cell r="V67">
            <v>10.025211442115999</v>
          </cell>
          <cell r="W67">
            <v>4.0994451327910397</v>
          </cell>
          <cell r="X67">
            <v>4.5518000000000001</v>
          </cell>
          <cell r="Y67">
            <v>14.728400000000001</v>
          </cell>
          <cell r="Z67">
            <v>4.3868</v>
          </cell>
          <cell r="AA67">
            <v>5.4871999999999996</v>
          </cell>
          <cell r="AB67">
            <v>0</v>
          </cell>
        </row>
        <row r="68">
          <cell r="A68" t="str">
            <v>7059 ШПИКАЧКИ СОЧНЫЕ С БЕК. п/о мгс 0,3кг 60с ОСТАНКИНО</v>
          </cell>
          <cell r="B68" t="str">
            <v>шт</v>
          </cell>
          <cell r="C68">
            <v>7059</v>
          </cell>
          <cell r="D68">
            <v>505</v>
          </cell>
          <cell r="F68">
            <v>98</v>
          </cell>
          <cell r="G68">
            <v>406</v>
          </cell>
          <cell r="H68">
            <v>0.3</v>
          </cell>
          <cell r="I68">
            <v>0</v>
          </cell>
          <cell r="J68" t="e">
            <v>#VALUE!</v>
          </cell>
          <cell r="L68">
            <v>91</v>
          </cell>
          <cell r="M68">
            <v>7</v>
          </cell>
          <cell r="P68">
            <v>0</v>
          </cell>
          <cell r="Q68">
            <v>0</v>
          </cell>
          <cell r="R68">
            <v>19.600000000000001</v>
          </cell>
          <cell r="S68">
            <v>0</v>
          </cell>
          <cell r="T68">
            <v>0</v>
          </cell>
          <cell r="V68">
            <v>20.714285714285701</v>
          </cell>
          <cell r="W68">
            <v>20.714285714285701</v>
          </cell>
          <cell r="X68">
            <v>20.2</v>
          </cell>
          <cell r="Y68">
            <v>12</v>
          </cell>
          <cell r="Z68">
            <v>8.1999999999999993</v>
          </cell>
          <cell r="AA68">
            <v>23</v>
          </cell>
          <cell r="AB68" t="e">
            <v>#VALUE!</v>
          </cell>
        </row>
        <row r="69">
          <cell r="A69" t="str">
            <v>7066 СОЧНЫЕ ПМ сос п/о мгс 0,41кг 10шт 50с  Останкино</v>
          </cell>
          <cell r="B69" t="str">
            <v>шт</v>
          </cell>
          <cell r="C69">
            <v>7066</v>
          </cell>
          <cell r="D69">
            <v>150</v>
          </cell>
          <cell r="E69">
            <v>1202</v>
          </cell>
          <cell r="F69">
            <v>375</v>
          </cell>
          <cell r="G69">
            <v>976</v>
          </cell>
          <cell r="H69">
            <v>0.41</v>
          </cell>
          <cell r="I69">
            <v>50</v>
          </cell>
          <cell r="J69" t="str">
            <v>в матрице</v>
          </cell>
          <cell r="L69">
            <v>394</v>
          </cell>
          <cell r="M69">
            <v>-19</v>
          </cell>
          <cell r="P69">
            <v>0</v>
          </cell>
          <cell r="Q69">
            <v>0</v>
          </cell>
          <cell r="R69">
            <v>75</v>
          </cell>
          <cell r="S69">
            <v>50</v>
          </cell>
          <cell r="T69">
            <v>50</v>
          </cell>
          <cell r="V69">
            <v>13.68</v>
          </cell>
          <cell r="W69">
            <v>13.0133333333333</v>
          </cell>
          <cell r="X69">
            <v>99</v>
          </cell>
          <cell r="Y69">
            <v>54.2</v>
          </cell>
          <cell r="Z69">
            <v>117.8</v>
          </cell>
          <cell r="AA69">
            <v>97</v>
          </cell>
          <cell r="AB69">
            <v>0</v>
          </cell>
        </row>
        <row r="70">
          <cell r="A70" t="str">
            <v>7070 СОЧНЫЕ ПМ сос п/о 1,5*4_А_50с  Останкино</v>
          </cell>
          <cell r="B70" t="str">
            <v>кг</v>
          </cell>
          <cell r="C70">
            <v>7070</v>
          </cell>
          <cell r="D70">
            <v>252.917</v>
          </cell>
          <cell r="E70">
            <v>226</v>
          </cell>
          <cell r="F70">
            <v>267.30099999999999</v>
          </cell>
          <cell r="G70">
            <v>101</v>
          </cell>
          <cell r="H70">
            <v>1</v>
          </cell>
          <cell r="I70">
            <v>50</v>
          </cell>
          <cell r="J70" t="str">
            <v>в матрице</v>
          </cell>
          <cell r="L70">
            <v>260</v>
          </cell>
          <cell r="M70">
            <v>7.3009999999999904</v>
          </cell>
          <cell r="P70">
            <v>110</v>
          </cell>
          <cell r="Q70">
            <v>110</v>
          </cell>
          <cell r="R70">
            <v>53.4602</v>
          </cell>
          <cell r="S70">
            <v>250</v>
          </cell>
          <cell r="T70">
            <v>250</v>
          </cell>
          <cell r="V70">
            <v>10.680842944844899</v>
          </cell>
          <cell r="W70">
            <v>1.8892559324506799</v>
          </cell>
          <cell r="X70">
            <v>42.415199999999999</v>
          </cell>
          <cell r="Y70">
            <v>39.615600000000001</v>
          </cell>
          <cell r="Z70">
            <v>34.4</v>
          </cell>
          <cell r="AA70">
            <v>36.601999999999997</v>
          </cell>
          <cell r="AB70">
            <v>0</v>
          </cell>
        </row>
        <row r="71">
          <cell r="A71" t="str">
            <v>7073 МОЛОЧ.ПРЕМИУМ ПМ сос п/о в/у 1/350_50с  Останкино</v>
          </cell>
          <cell r="B71" t="str">
            <v>шт</v>
          </cell>
          <cell r="C71">
            <v>7073</v>
          </cell>
          <cell r="D71">
            <v>113</v>
          </cell>
          <cell r="F71">
            <v>107</v>
          </cell>
          <cell r="G71">
            <v>6</v>
          </cell>
          <cell r="H71">
            <v>0.35</v>
          </cell>
          <cell r="I71">
            <v>50</v>
          </cell>
          <cell r="J71" t="str">
            <v>в матрице</v>
          </cell>
          <cell r="L71">
            <v>100</v>
          </cell>
          <cell r="M71">
            <v>7</v>
          </cell>
          <cell r="P71">
            <v>35</v>
          </cell>
          <cell r="Q71">
            <v>35</v>
          </cell>
          <cell r="R71">
            <v>21.4</v>
          </cell>
          <cell r="S71">
            <v>150</v>
          </cell>
          <cell r="T71">
            <v>150</v>
          </cell>
          <cell r="V71">
            <v>10.5607476635514</v>
          </cell>
          <cell r="W71">
            <v>0.28037383177570102</v>
          </cell>
          <cell r="X71">
            <v>15.4</v>
          </cell>
          <cell r="Y71">
            <v>6.8</v>
          </cell>
          <cell r="Z71">
            <v>10.6</v>
          </cell>
          <cell r="AA71">
            <v>9.6</v>
          </cell>
          <cell r="AB71">
            <v>0</v>
          </cell>
        </row>
        <row r="72">
          <cell r="A72" t="str">
            <v>7075 МОЛОЧ.ПРЕМИУМ ПМ сос п/о мгс 1,5*4_О_50с  Останкино</v>
          </cell>
          <cell r="B72" t="str">
            <v>кг</v>
          </cell>
          <cell r="C72">
            <v>7075</v>
          </cell>
          <cell r="D72">
            <v>48.110999999999997</v>
          </cell>
          <cell r="E72">
            <v>52.820999999999998</v>
          </cell>
          <cell r="F72">
            <v>29.51</v>
          </cell>
          <cell r="G72">
            <v>68.328000000000003</v>
          </cell>
          <cell r="H72">
            <v>1</v>
          </cell>
          <cell r="I72">
            <v>50</v>
          </cell>
          <cell r="J72" t="str">
            <v>в матрице</v>
          </cell>
          <cell r="L72">
            <v>28.5</v>
          </cell>
          <cell r="M72">
            <v>1.01</v>
          </cell>
          <cell r="P72">
            <v>0</v>
          </cell>
          <cell r="Q72">
            <v>0</v>
          </cell>
          <cell r="R72">
            <v>5.9020000000000001</v>
          </cell>
          <cell r="S72">
            <v>0</v>
          </cell>
          <cell r="T72">
            <v>0</v>
          </cell>
          <cell r="V72">
            <v>11.5770925110132</v>
          </cell>
          <cell r="W72">
            <v>11.5770925110132</v>
          </cell>
          <cell r="X72">
            <v>12.558999999999999</v>
          </cell>
          <cell r="Y72">
            <v>10.2094</v>
          </cell>
          <cell r="Z72">
            <v>10.2056</v>
          </cell>
          <cell r="AA72">
            <v>12.3688</v>
          </cell>
          <cell r="AB72">
            <v>0</v>
          </cell>
        </row>
        <row r="73">
          <cell r="A73" t="str">
            <v>7080 СЛИВОЧНЫЕ ПМ сос п/о мгс 0,41кг 10шт 50с  Останкино</v>
          </cell>
          <cell r="B73" t="str">
            <v>шт</v>
          </cell>
          <cell r="C73">
            <v>7080</v>
          </cell>
          <cell r="D73">
            <v>87</v>
          </cell>
          <cell r="E73">
            <v>1340</v>
          </cell>
          <cell r="F73">
            <v>347</v>
          </cell>
          <cell r="G73">
            <v>1078</v>
          </cell>
          <cell r="H73">
            <v>0.41</v>
          </cell>
          <cell r="I73">
            <v>50</v>
          </cell>
          <cell r="J73" t="str">
            <v>в матрице</v>
          </cell>
          <cell r="L73">
            <v>494</v>
          </cell>
          <cell r="M73">
            <v>-147</v>
          </cell>
          <cell r="P73">
            <v>50</v>
          </cell>
          <cell r="Q73">
            <v>50</v>
          </cell>
          <cell r="R73">
            <v>69.400000000000006</v>
          </cell>
          <cell r="S73">
            <v>0</v>
          </cell>
          <cell r="T73">
            <v>0</v>
          </cell>
          <cell r="V73">
            <v>16.974063400576402</v>
          </cell>
          <cell r="W73">
            <v>15.5331412103746</v>
          </cell>
          <cell r="X73">
            <v>74.2</v>
          </cell>
          <cell r="Y73">
            <v>53.4</v>
          </cell>
          <cell r="Z73">
            <v>106.4</v>
          </cell>
          <cell r="AA73">
            <v>50.2</v>
          </cell>
          <cell r="AB73">
            <v>0</v>
          </cell>
        </row>
        <row r="74">
          <cell r="A74" t="str">
            <v>7083 СЛИВОЧНЫЕ ПМ сос п/о мгс 1.5*4_А_50с  ОСТАНКИНО</v>
          </cell>
          <cell r="B74" t="str">
            <v>кг</v>
          </cell>
          <cell r="C74">
            <v>7083</v>
          </cell>
          <cell r="D74">
            <v>231.191</v>
          </cell>
          <cell r="E74">
            <v>52.877000000000002</v>
          </cell>
          <cell r="F74">
            <v>178.583</v>
          </cell>
          <cell r="G74">
            <v>102.36199999999999</v>
          </cell>
          <cell r="H74">
            <v>1</v>
          </cell>
          <cell r="I74">
            <v>0</v>
          </cell>
          <cell r="J74" t="str">
            <v>не матрица</v>
          </cell>
          <cell r="L74">
            <v>158.5</v>
          </cell>
          <cell r="M74">
            <v>20.082999999999998</v>
          </cell>
          <cell r="P74">
            <v>175</v>
          </cell>
          <cell r="Q74">
            <v>175</v>
          </cell>
          <cell r="R74">
            <v>35.7166</v>
          </cell>
          <cell r="S74">
            <v>0</v>
          </cell>
          <cell r="T74">
            <v>0</v>
          </cell>
          <cell r="V74">
            <v>12.665315287569401</v>
          </cell>
          <cell r="W74">
            <v>2.8659502864214401</v>
          </cell>
          <cell r="X74">
            <v>42.8292</v>
          </cell>
          <cell r="Y74">
            <v>8.1592000000000002</v>
          </cell>
          <cell r="Z74">
            <v>33.249600000000001</v>
          </cell>
          <cell r="AA74">
            <v>39.016599999999997</v>
          </cell>
          <cell r="AB74" t="e">
            <v>#VALUE!</v>
          </cell>
        </row>
        <row r="75">
          <cell r="A75" t="str">
            <v>7090 СВИНИНА ПО-ДОМ.к/в мл/к в/у 0,3кг_50с  Останкино</v>
          </cell>
          <cell r="B75" t="str">
            <v>шт</v>
          </cell>
          <cell r="C75">
            <v>7090</v>
          </cell>
          <cell r="D75">
            <v>-3</v>
          </cell>
          <cell r="E75">
            <v>192</v>
          </cell>
          <cell r="F75">
            <v>67</v>
          </cell>
          <cell r="G75">
            <v>119</v>
          </cell>
          <cell r="H75">
            <v>0.3</v>
          </cell>
          <cell r="I75">
            <v>50</v>
          </cell>
          <cell r="J75" t="str">
            <v>в матрице</v>
          </cell>
          <cell r="L75">
            <v>70</v>
          </cell>
          <cell r="M75">
            <v>-3</v>
          </cell>
          <cell r="P75">
            <v>35</v>
          </cell>
          <cell r="Q75">
            <v>35</v>
          </cell>
          <cell r="R75">
            <v>13.4</v>
          </cell>
          <cell r="S75">
            <v>0</v>
          </cell>
          <cell r="T75">
            <v>0</v>
          </cell>
          <cell r="V75">
            <v>14.1044776119403</v>
          </cell>
          <cell r="W75">
            <v>8.8805970149253692</v>
          </cell>
          <cell r="X75">
            <v>11.4</v>
          </cell>
          <cell r="Y75">
            <v>11</v>
          </cell>
          <cell r="Z75">
            <v>16.2</v>
          </cell>
          <cell r="AA75">
            <v>16.600000000000001</v>
          </cell>
          <cell r="AB75">
            <v>0</v>
          </cell>
        </row>
        <row r="76">
          <cell r="A76" t="str">
            <v>7092 БЕКОН Папа может с/к с/н в/у 1/140_50с  Останкино</v>
          </cell>
          <cell r="B76" t="str">
            <v>шт</v>
          </cell>
          <cell r="C76">
            <v>7092</v>
          </cell>
          <cell r="D76">
            <v>8</v>
          </cell>
          <cell r="E76">
            <v>80</v>
          </cell>
          <cell r="F76">
            <v>24</v>
          </cell>
          <cell r="G76">
            <v>64</v>
          </cell>
          <cell r="H76">
            <v>0.14000000000000001</v>
          </cell>
          <cell r="I76">
            <v>0</v>
          </cell>
          <cell r="J76" t="e">
            <v>#VALUE!</v>
          </cell>
          <cell r="L76">
            <v>24</v>
          </cell>
          <cell r="M76">
            <v>0</v>
          </cell>
          <cell r="P76">
            <v>0</v>
          </cell>
          <cell r="Q76">
            <v>0</v>
          </cell>
          <cell r="R76">
            <v>4.8</v>
          </cell>
          <cell r="S76">
            <v>0</v>
          </cell>
          <cell r="T76">
            <v>0</v>
          </cell>
          <cell r="V76">
            <v>13.3333333333333</v>
          </cell>
          <cell r="W76">
            <v>13.3333333333333</v>
          </cell>
          <cell r="X76">
            <v>4</v>
          </cell>
          <cell r="Y76">
            <v>4.8</v>
          </cell>
          <cell r="Z76">
            <v>5.2</v>
          </cell>
          <cell r="AA76">
            <v>2.4</v>
          </cell>
          <cell r="AB76" t="e">
            <v>#VALUE!</v>
          </cell>
        </row>
        <row r="77">
          <cell r="A77" t="str">
            <v>7103 БЕКОН Останкино с/к с/н в/у 1/180_50с  Останкино</v>
          </cell>
          <cell r="B77" t="str">
            <v>шт</v>
          </cell>
          <cell r="C77">
            <v>7103</v>
          </cell>
          <cell r="D77">
            <v>342</v>
          </cell>
          <cell r="F77">
            <v>141</v>
          </cell>
          <cell r="G77">
            <v>200</v>
          </cell>
          <cell r="H77">
            <v>0.18</v>
          </cell>
          <cell r="I77">
            <v>50</v>
          </cell>
          <cell r="J77" t="str">
            <v>в матрице</v>
          </cell>
          <cell r="L77">
            <v>142</v>
          </cell>
          <cell r="M77">
            <v>-1</v>
          </cell>
          <cell r="P77">
            <v>0</v>
          </cell>
          <cell r="Q77">
            <v>0</v>
          </cell>
          <cell r="R77">
            <v>28.2</v>
          </cell>
          <cell r="S77">
            <v>125</v>
          </cell>
          <cell r="T77">
            <v>125</v>
          </cell>
          <cell r="V77">
            <v>11.5248226950355</v>
          </cell>
          <cell r="W77">
            <v>7.0921985815602797</v>
          </cell>
          <cell r="X77">
            <v>21.4</v>
          </cell>
          <cell r="Y77">
            <v>36.6</v>
          </cell>
          <cell r="Z77">
            <v>14.6</v>
          </cell>
          <cell r="AA77">
            <v>23.4</v>
          </cell>
          <cell r="AB77">
            <v>0</v>
          </cell>
        </row>
        <row r="78">
          <cell r="A78" t="str">
            <v>7131 БАЛЫКОВАЯ в/к в/у 0,84кг  Останкино</v>
          </cell>
          <cell r="B78" t="str">
            <v>кг</v>
          </cell>
          <cell r="C78">
            <v>7131</v>
          </cell>
          <cell r="D78">
            <v>91.533000000000001</v>
          </cell>
          <cell r="E78">
            <v>1.679</v>
          </cell>
          <cell r="F78">
            <v>11.805999999999999</v>
          </cell>
          <cell r="G78">
            <v>81.406000000000006</v>
          </cell>
          <cell r="H78">
            <v>1</v>
          </cell>
          <cell r="I78">
            <v>45</v>
          </cell>
          <cell r="J78" t="str">
            <v>в матрице</v>
          </cell>
          <cell r="L78">
            <v>11.3</v>
          </cell>
          <cell r="M78">
            <v>0.50599999999999801</v>
          </cell>
          <cell r="P78">
            <v>0</v>
          </cell>
          <cell r="Q78">
            <v>0</v>
          </cell>
          <cell r="R78">
            <v>2.3612000000000002</v>
          </cell>
          <cell r="S78">
            <v>0</v>
          </cell>
          <cell r="T78">
            <v>0</v>
          </cell>
          <cell r="V78">
            <v>34.476537353887899</v>
          </cell>
          <cell r="W78">
            <v>34.476537353887899</v>
          </cell>
          <cell r="X78">
            <v>0.50600000000000001</v>
          </cell>
          <cell r="Y78">
            <v>3.5377999999999998</v>
          </cell>
          <cell r="Z78">
            <v>2.8702000000000001</v>
          </cell>
          <cell r="AA78">
            <v>4.3681999999999999</v>
          </cell>
          <cell r="AB78">
            <v>0</v>
          </cell>
        </row>
        <row r="79">
          <cell r="A79" t="str">
            <v>7147 САЛЬЧИЧОН Останкино с/к в/у 1/220 8 шт  Останкино</v>
          </cell>
          <cell r="B79" t="str">
            <v>шт</v>
          </cell>
          <cell r="C79">
            <v>7147</v>
          </cell>
          <cell r="D79">
            <v>86</v>
          </cell>
          <cell r="E79">
            <v>16</v>
          </cell>
          <cell r="F79">
            <v>49</v>
          </cell>
          <cell r="G79">
            <v>52</v>
          </cell>
          <cell r="H79">
            <v>0.22</v>
          </cell>
          <cell r="I79">
            <v>120</v>
          </cell>
          <cell r="J79" t="str">
            <v>в матрице</v>
          </cell>
          <cell r="L79">
            <v>50</v>
          </cell>
          <cell r="M79">
            <v>-1</v>
          </cell>
          <cell r="P79">
            <v>0</v>
          </cell>
          <cell r="Q79">
            <v>0</v>
          </cell>
          <cell r="R79">
            <v>9.8000000000000007</v>
          </cell>
          <cell r="S79">
            <v>60</v>
          </cell>
          <cell r="T79">
            <v>60</v>
          </cell>
          <cell r="V79">
            <v>11.4285714285714</v>
          </cell>
          <cell r="W79">
            <v>5.3061224489795897</v>
          </cell>
          <cell r="X79">
            <v>3.4</v>
          </cell>
          <cell r="Y79">
            <v>4.2</v>
          </cell>
          <cell r="Z79">
            <v>4</v>
          </cell>
          <cell r="AA79">
            <v>3.6</v>
          </cell>
          <cell r="AB79" t="str">
            <v>нужно увеличить продажи</v>
          </cell>
        </row>
        <row r="80">
          <cell r="A80" t="str">
            <v>7149 БАЛЫКОВАЯ Коровино п/к в/у 0,84кг_50с  Останкино</v>
          </cell>
          <cell r="B80" t="str">
            <v>шт</v>
          </cell>
          <cell r="C80">
            <v>7149</v>
          </cell>
          <cell r="D80">
            <v>24</v>
          </cell>
          <cell r="E80">
            <v>36</v>
          </cell>
          <cell r="F80">
            <v>22</v>
          </cell>
          <cell r="G80">
            <v>37</v>
          </cell>
          <cell r="H80">
            <v>0.84</v>
          </cell>
          <cell r="I80">
            <v>50</v>
          </cell>
          <cell r="J80" t="str">
            <v>в матрице</v>
          </cell>
          <cell r="L80">
            <v>0</v>
          </cell>
          <cell r="M80">
            <v>22</v>
          </cell>
          <cell r="P80">
            <v>0</v>
          </cell>
          <cell r="Q80">
            <v>0</v>
          </cell>
          <cell r="R80">
            <v>4.4000000000000004</v>
          </cell>
          <cell r="S80">
            <v>0</v>
          </cell>
          <cell r="T80">
            <v>0</v>
          </cell>
          <cell r="V80">
            <v>8.4090909090909101</v>
          </cell>
          <cell r="W80">
            <v>8.4090909090909101</v>
          </cell>
          <cell r="X80">
            <v>7.4</v>
          </cell>
          <cell r="Y80">
            <v>2.6</v>
          </cell>
          <cell r="Z80">
            <v>4.8</v>
          </cell>
          <cell r="AA80">
            <v>3.6</v>
          </cell>
          <cell r="AB80">
            <v>0</v>
          </cell>
        </row>
        <row r="81">
          <cell r="A81" t="str">
            <v>7154 СЕРВЕЛАТ ЗЕРНИСТЫЙ ПМ в/к в/у 0,35кг_50с  Останкино</v>
          </cell>
          <cell r="B81" t="str">
            <v>шт</v>
          </cell>
          <cell r="C81">
            <v>7154</v>
          </cell>
          <cell r="D81">
            <v>151</v>
          </cell>
          <cell r="E81">
            <v>545</v>
          </cell>
          <cell r="F81">
            <v>383</v>
          </cell>
          <cell r="G81">
            <v>309</v>
          </cell>
          <cell r="H81">
            <v>0.35</v>
          </cell>
          <cell r="I81">
            <v>50</v>
          </cell>
          <cell r="J81" t="str">
            <v>в матрице</v>
          </cell>
          <cell r="L81">
            <v>390.5</v>
          </cell>
          <cell r="M81">
            <v>-7.5</v>
          </cell>
          <cell r="P81">
            <v>325</v>
          </cell>
          <cell r="Q81">
            <v>325</v>
          </cell>
          <cell r="R81">
            <v>76.599999999999994</v>
          </cell>
          <cell r="S81">
            <v>75</v>
          </cell>
          <cell r="T81">
            <v>75</v>
          </cell>
          <cell r="V81">
            <v>13.4986945169713</v>
          </cell>
          <cell r="W81">
            <v>4.0339425587467401</v>
          </cell>
          <cell r="X81">
            <v>73.8</v>
          </cell>
          <cell r="Y81">
            <v>69.2</v>
          </cell>
          <cell r="Z81">
            <v>76</v>
          </cell>
          <cell r="AA81">
            <v>88.4</v>
          </cell>
          <cell r="AB81">
            <v>0</v>
          </cell>
        </row>
        <row r="82">
          <cell r="A82" t="str">
            <v>7157 СЕРВЕЛАТ ЗЕРНИСТЫЙ ПМ в/к в/у_50с  Останкино</v>
          </cell>
          <cell r="B82" t="str">
            <v>кг</v>
          </cell>
          <cell r="C82">
            <v>7157</v>
          </cell>
          <cell r="D82">
            <v>29.094999999999999</v>
          </cell>
          <cell r="E82">
            <v>53.814</v>
          </cell>
          <cell r="F82">
            <v>115.22199999999999</v>
          </cell>
          <cell r="G82">
            <v>-32.968000000000004</v>
          </cell>
          <cell r="H82">
            <v>1</v>
          </cell>
          <cell r="I82">
            <v>50</v>
          </cell>
          <cell r="J82" t="str">
            <v>в матрице</v>
          </cell>
          <cell r="L82">
            <v>114.1</v>
          </cell>
          <cell r="M82">
            <v>1.1220000000000001</v>
          </cell>
          <cell r="P82">
            <v>225</v>
          </cell>
          <cell r="Q82">
            <v>225</v>
          </cell>
          <cell r="R82">
            <v>23.0444</v>
          </cell>
          <cell r="S82">
            <v>0</v>
          </cell>
          <cell r="T82">
            <v>0</v>
          </cell>
          <cell r="V82">
            <v>18.096891218690899</v>
          </cell>
          <cell r="W82">
            <v>-1.4306295672701399</v>
          </cell>
          <cell r="X82">
            <v>31.273599999999998</v>
          </cell>
          <cell r="Y82">
            <v>31.450399999999998</v>
          </cell>
          <cell r="Z82">
            <v>28.277200000000001</v>
          </cell>
          <cell r="AA82">
            <v>30.029800000000002</v>
          </cell>
          <cell r="AB82">
            <v>0</v>
          </cell>
        </row>
        <row r="83">
          <cell r="A83" t="str">
            <v>7166 СЕРВЕЛАТ ОХОТНИЧИЙ ПМ в/к в/у_50с  Останкино</v>
          </cell>
          <cell r="B83" t="str">
            <v>кг</v>
          </cell>
          <cell r="C83">
            <v>7166</v>
          </cell>
          <cell r="D83">
            <v>131.56399999999999</v>
          </cell>
          <cell r="E83">
            <v>260.09699999999998</v>
          </cell>
          <cell r="F83">
            <v>194.32900000000001</v>
          </cell>
          <cell r="G83">
            <v>191.74700000000001</v>
          </cell>
          <cell r="H83">
            <v>1</v>
          </cell>
          <cell r="I83">
            <v>50</v>
          </cell>
          <cell r="J83" t="str">
            <v>в матрице</v>
          </cell>
          <cell r="L83">
            <v>192.7</v>
          </cell>
          <cell r="M83">
            <v>1.62900000000002</v>
          </cell>
          <cell r="P83">
            <v>185</v>
          </cell>
          <cell r="Q83">
            <v>185</v>
          </cell>
          <cell r="R83">
            <v>38.8658</v>
          </cell>
          <cell r="S83">
            <v>0</v>
          </cell>
          <cell r="T83">
            <v>0</v>
          </cell>
          <cell r="V83">
            <v>14.453504109011</v>
          </cell>
          <cell r="W83">
            <v>4.93356627163213</v>
          </cell>
          <cell r="X83">
            <v>40.164999999999999</v>
          </cell>
          <cell r="Y83">
            <v>39.247199999999999</v>
          </cell>
          <cell r="Z83">
            <v>41.149000000000001</v>
          </cell>
          <cell r="AA83">
            <v>50.016800000000003</v>
          </cell>
          <cell r="AB83">
            <v>0</v>
          </cell>
        </row>
        <row r="84">
          <cell r="A84" t="str">
            <v>7169 СЕРВЕЛАТ ОХОТНИЧИЙ ПМ в/к в/у 0,35кг_50с  Останкино</v>
          </cell>
          <cell r="B84" t="str">
            <v>шт</v>
          </cell>
          <cell r="C84">
            <v>7169</v>
          </cell>
          <cell r="D84">
            <v>123</v>
          </cell>
          <cell r="E84">
            <v>803</v>
          </cell>
          <cell r="F84">
            <v>415</v>
          </cell>
          <cell r="G84">
            <v>507</v>
          </cell>
          <cell r="H84">
            <v>0.35</v>
          </cell>
          <cell r="I84">
            <v>50</v>
          </cell>
          <cell r="J84" t="str">
            <v>в матрице</v>
          </cell>
          <cell r="L84">
            <v>446</v>
          </cell>
          <cell r="M84">
            <v>-31</v>
          </cell>
          <cell r="P84">
            <v>260</v>
          </cell>
          <cell r="Q84">
            <v>260</v>
          </cell>
          <cell r="R84">
            <v>83</v>
          </cell>
          <cell r="S84">
            <v>100</v>
          </cell>
          <cell r="T84">
            <v>100</v>
          </cell>
          <cell r="V84">
            <v>13.578313253012</v>
          </cell>
          <cell r="W84">
            <v>6.1084337349397604</v>
          </cell>
          <cell r="X84">
            <v>78.2</v>
          </cell>
          <cell r="Y84">
            <v>63</v>
          </cell>
          <cell r="Z84">
            <v>89</v>
          </cell>
          <cell r="AA84">
            <v>99</v>
          </cell>
          <cell r="AB84">
            <v>0</v>
          </cell>
        </row>
        <row r="85">
          <cell r="A85" t="str">
            <v>7187 ГРУДИНКА ПРЕМИУМ к/в мл/к в/у 0,3кг_50с  Останкино</v>
          </cell>
          <cell r="B85" t="str">
            <v>шт</v>
          </cell>
          <cell r="C85">
            <v>7187</v>
          </cell>
          <cell r="D85">
            <v>159</v>
          </cell>
          <cell r="F85">
            <v>90</v>
          </cell>
          <cell r="G85">
            <v>68</v>
          </cell>
          <cell r="H85">
            <v>0.3</v>
          </cell>
          <cell r="I85">
            <v>50</v>
          </cell>
          <cell r="J85" t="str">
            <v>в матрице</v>
          </cell>
          <cell r="L85">
            <v>90</v>
          </cell>
          <cell r="M85">
            <v>0</v>
          </cell>
          <cell r="P85">
            <v>40</v>
          </cell>
          <cell r="Q85">
            <v>40</v>
          </cell>
          <cell r="R85">
            <v>18</v>
          </cell>
          <cell r="S85">
            <v>75</v>
          </cell>
          <cell r="T85">
            <v>75</v>
          </cell>
          <cell r="V85">
            <v>12.3888888888889</v>
          </cell>
          <cell r="W85">
            <v>3.7777777777777799</v>
          </cell>
          <cell r="X85">
            <v>8.4</v>
          </cell>
          <cell r="Y85">
            <v>13.6</v>
          </cell>
          <cell r="Z85">
            <v>6.4</v>
          </cell>
          <cell r="AA85">
            <v>13.6</v>
          </cell>
          <cell r="AB85">
            <v>0</v>
          </cell>
        </row>
        <row r="86">
          <cell r="A86" t="str">
            <v>7231 КЛАССИЧЕСКАЯ ПМ вар п/о 0,3кг 8 шт_209к  Останкино</v>
          </cell>
          <cell r="B86" t="str">
            <v>шт</v>
          </cell>
          <cell r="C86">
            <v>7231</v>
          </cell>
          <cell r="D86">
            <v>50</v>
          </cell>
          <cell r="F86">
            <v>58</v>
          </cell>
          <cell r="G86">
            <v>-8</v>
          </cell>
          <cell r="H86">
            <v>0.3</v>
          </cell>
          <cell r="I86">
            <v>60</v>
          </cell>
          <cell r="J86" t="str">
            <v>в матрице</v>
          </cell>
          <cell r="L86">
            <v>96</v>
          </cell>
          <cell r="M86">
            <v>-38</v>
          </cell>
          <cell r="P86">
            <v>100</v>
          </cell>
          <cell r="Q86">
            <v>100</v>
          </cell>
          <cell r="R86">
            <v>11.6</v>
          </cell>
          <cell r="S86">
            <v>0</v>
          </cell>
          <cell r="T86">
            <v>0</v>
          </cell>
          <cell r="V86">
            <v>16.551724137931</v>
          </cell>
          <cell r="W86">
            <v>-0.68965517241379304</v>
          </cell>
          <cell r="X86">
            <v>9</v>
          </cell>
          <cell r="Y86">
            <v>0.6</v>
          </cell>
          <cell r="Z86">
            <v>3.4</v>
          </cell>
          <cell r="AA86">
            <v>13.8</v>
          </cell>
          <cell r="AB86">
            <v>0</v>
          </cell>
        </row>
        <row r="87">
          <cell r="A87" t="str">
            <v>7232 БОЯNСКАЯ ПМ п/к в/у 0,28кг 8шт_209к  Останкино</v>
          </cell>
          <cell r="B87" t="str">
            <v>шт</v>
          </cell>
          <cell r="C87">
            <v>7232</v>
          </cell>
          <cell r="D87">
            <v>179</v>
          </cell>
          <cell r="E87">
            <v>560</v>
          </cell>
          <cell r="F87">
            <v>356</v>
          </cell>
          <cell r="G87">
            <v>378</v>
          </cell>
          <cell r="H87">
            <v>0.28000000000000003</v>
          </cell>
          <cell r="I87">
            <v>50</v>
          </cell>
          <cell r="J87" t="str">
            <v>в матрице</v>
          </cell>
          <cell r="L87">
            <v>391</v>
          </cell>
          <cell r="M87">
            <v>-35</v>
          </cell>
          <cell r="P87">
            <v>150</v>
          </cell>
          <cell r="Q87">
            <v>150</v>
          </cell>
          <cell r="R87">
            <v>71.2</v>
          </cell>
          <cell r="S87">
            <v>200</v>
          </cell>
          <cell r="T87">
            <v>200</v>
          </cell>
          <cell r="V87">
            <v>12.331460674157301</v>
          </cell>
          <cell r="W87">
            <v>5.3089887640449396</v>
          </cell>
          <cell r="X87">
            <v>40.4</v>
          </cell>
          <cell r="Y87">
            <v>58</v>
          </cell>
          <cell r="Z87">
            <v>69</v>
          </cell>
          <cell r="AA87">
            <v>69.2</v>
          </cell>
          <cell r="AB87">
            <v>0</v>
          </cell>
        </row>
        <row r="88">
          <cell r="A88" t="str">
            <v>7236 СЕРВЕЛАТ КАРЕЛЬСКИЙ в/к в/у 0,28кг_209к  Останкино</v>
          </cell>
          <cell r="B88" t="str">
            <v>шт</v>
          </cell>
          <cell r="C88">
            <v>7236</v>
          </cell>
          <cell r="D88">
            <v>78</v>
          </cell>
          <cell r="E88">
            <v>675</v>
          </cell>
          <cell r="F88">
            <v>271</v>
          </cell>
          <cell r="G88">
            <v>469</v>
          </cell>
          <cell r="H88">
            <v>0.28000000000000003</v>
          </cell>
          <cell r="I88">
            <v>45</v>
          </cell>
          <cell r="J88" t="str">
            <v>в матрице</v>
          </cell>
          <cell r="L88">
            <v>301</v>
          </cell>
          <cell r="M88">
            <v>-30</v>
          </cell>
          <cell r="P88">
            <v>175</v>
          </cell>
          <cell r="Q88">
            <v>175</v>
          </cell>
          <cell r="R88">
            <v>54.2</v>
          </cell>
          <cell r="S88">
            <v>0</v>
          </cell>
          <cell r="T88">
            <v>0</v>
          </cell>
          <cell r="V88">
            <v>15.110701107011099</v>
          </cell>
          <cell r="W88">
            <v>8.6531365313653108</v>
          </cell>
          <cell r="X88">
            <v>67</v>
          </cell>
          <cell r="Y88">
            <v>56</v>
          </cell>
          <cell r="Z88">
            <v>74.599999999999994</v>
          </cell>
          <cell r="AA88">
            <v>71.599999999999994</v>
          </cell>
          <cell r="AB88">
            <v>0</v>
          </cell>
        </row>
        <row r="89">
          <cell r="A89" t="str">
            <v>7237 СЕРВЕЛАТ ШВАРЦЕР ПМ в/к в/у 0,28кг_209к  Останкино</v>
          </cell>
          <cell r="B89" t="str">
            <v>шт</v>
          </cell>
          <cell r="C89">
            <v>7237</v>
          </cell>
          <cell r="D89">
            <v>38</v>
          </cell>
          <cell r="E89">
            <v>128</v>
          </cell>
          <cell r="F89">
            <v>82</v>
          </cell>
          <cell r="G89">
            <v>84</v>
          </cell>
          <cell r="H89">
            <v>0.28000000000000003</v>
          </cell>
          <cell r="I89">
            <v>45</v>
          </cell>
          <cell r="J89" t="str">
            <v>в матрице</v>
          </cell>
          <cell r="L89">
            <v>80</v>
          </cell>
          <cell r="M89">
            <v>2</v>
          </cell>
          <cell r="P89">
            <v>65</v>
          </cell>
          <cell r="Q89">
            <v>65</v>
          </cell>
          <cell r="R89">
            <v>16.399999999999999</v>
          </cell>
          <cell r="S89">
            <v>25</v>
          </cell>
          <cell r="T89">
            <v>25</v>
          </cell>
          <cell r="V89">
            <v>14.5731707317073</v>
          </cell>
          <cell r="W89">
            <v>5.1219512195121997</v>
          </cell>
          <cell r="X89">
            <v>6.2</v>
          </cell>
          <cell r="Y89">
            <v>14.4</v>
          </cell>
          <cell r="Z89">
            <v>15.8</v>
          </cell>
          <cell r="AA89">
            <v>18.600000000000001</v>
          </cell>
          <cell r="AB89">
            <v>0</v>
          </cell>
        </row>
        <row r="90">
          <cell r="A90" t="str">
            <v>7241 САЛЯМИ Папа может п/к в/у 0,28кг ОСТАНКИНО</v>
          </cell>
          <cell r="B90" t="str">
            <v>шт</v>
          </cell>
          <cell r="C90">
            <v>7241</v>
          </cell>
          <cell r="D90">
            <v>-2</v>
          </cell>
          <cell r="E90">
            <v>480</v>
          </cell>
          <cell r="F90">
            <v>163</v>
          </cell>
          <cell r="G90">
            <v>312</v>
          </cell>
          <cell r="H90">
            <v>0.28000000000000003</v>
          </cell>
          <cell r="I90">
            <v>45</v>
          </cell>
          <cell r="J90" t="str">
            <v>в матрице</v>
          </cell>
          <cell r="L90">
            <v>175</v>
          </cell>
          <cell r="M90">
            <v>-12</v>
          </cell>
          <cell r="P90">
            <v>150</v>
          </cell>
          <cell r="Q90">
            <v>150</v>
          </cell>
          <cell r="R90">
            <v>32.6</v>
          </cell>
          <cell r="S90">
            <v>0</v>
          </cell>
          <cell r="T90">
            <v>0</v>
          </cell>
          <cell r="V90">
            <v>18.7730061349693</v>
          </cell>
          <cell r="W90">
            <v>9.5705521472392601</v>
          </cell>
          <cell r="X90">
            <v>44.8</v>
          </cell>
          <cell r="Y90">
            <v>28.4</v>
          </cell>
          <cell r="Z90">
            <v>46.4</v>
          </cell>
          <cell r="AA90">
            <v>51.4</v>
          </cell>
          <cell r="AB90">
            <v>0</v>
          </cell>
        </row>
        <row r="91">
          <cell r="A91" t="str">
            <v>7255 МЯСНЫЕ С ГОВЯД.ПМ сос п/о мгс 0.4кг 6шт.  ОСТАНКИНО</v>
          </cell>
          <cell r="B91" t="str">
            <v>шт</v>
          </cell>
          <cell r="C91">
            <v>7255</v>
          </cell>
          <cell r="D91">
            <v>6</v>
          </cell>
          <cell r="E91">
            <v>792</v>
          </cell>
          <cell r="F91">
            <v>168</v>
          </cell>
          <cell r="G91">
            <v>630</v>
          </cell>
          <cell r="H91">
            <v>0.4</v>
          </cell>
          <cell r="I91">
            <v>50</v>
          </cell>
          <cell r="J91" t="str">
            <v>в матрице</v>
          </cell>
          <cell r="L91">
            <v>159</v>
          </cell>
          <cell r="M91">
            <v>9</v>
          </cell>
          <cell r="P91">
            <v>0</v>
          </cell>
          <cell r="Q91">
            <v>0</v>
          </cell>
          <cell r="R91">
            <v>33.6</v>
          </cell>
          <cell r="S91">
            <v>0</v>
          </cell>
          <cell r="T91">
            <v>0</v>
          </cell>
          <cell r="V91">
            <v>18.75</v>
          </cell>
          <cell r="W91">
            <v>18.75</v>
          </cell>
          <cell r="X91">
            <v>29</v>
          </cell>
          <cell r="Y91">
            <v>26.4</v>
          </cell>
          <cell r="Z91">
            <v>59.8</v>
          </cell>
          <cell r="AA91">
            <v>27.2</v>
          </cell>
          <cell r="AB91">
            <v>0</v>
          </cell>
        </row>
        <row r="92">
          <cell r="A92" t="str">
            <v>7271 МЯСНЫЕ С ГОВЯДИНОЙ ПМ сос п/о мгс 1.5*4  ОСТАНКИНО</v>
          </cell>
          <cell r="B92" t="str">
            <v>кг</v>
          </cell>
          <cell r="C92">
            <v>7271</v>
          </cell>
          <cell r="D92">
            <v>60.209000000000003</v>
          </cell>
          <cell r="F92">
            <v>56.902000000000001</v>
          </cell>
          <cell r="G92">
            <v>3.3069999999999999</v>
          </cell>
          <cell r="H92">
            <v>1</v>
          </cell>
          <cell r="I92">
            <v>0</v>
          </cell>
          <cell r="J92" t="e">
            <v>#VALUE!</v>
          </cell>
          <cell r="L92">
            <v>54.5</v>
          </cell>
          <cell r="M92">
            <v>2.4020000000000001</v>
          </cell>
          <cell r="P92">
            <v>75</v>
          </cell>
          <cell r="Q92">
            <v>75</v>
          </cell>
          <cell r="R92">
            <v>11.3804</v>
          </cell>
          <cell r="S92">
            <v>0</v>
          </cell>
          <cell r="T92">
            <v>0</v>
          </cell>
          <cell r="V92">
            <v>13.471143369301601</v>
          </cell>
          <cell r="W92">
            <v>0.29058732557730799</v>
          </cell>
          <cell r="X92">
            <v>0</v>
          </cell>
          <cell r="Y92">
            <v>6.9550000000000001</v>
          </cell>
          <cell r="Z92">
            <v>6.6440000000000001</v>
          </cell>
          <cell r="AA92">
            <v>10.7052</v>
          </cell>
          <cell r="AB92" t="e">
            <v>#VALUE!</v>
          </cell>
        </row>
        <row r="93">
          <cell r="A93" t="str">
            <v>7276 СЛИВОЧНЫЕ ПМ сос п/о мгс 0,3кг 7шт  Останкино</v>
          </cell>
          <cell r="B93" t="str">
            <v>шт</v>
          </cell>
          <cell r="C93">
            <v>7276</v>
          </cell>
          <cell r="D93">
            <v>21</v>
          </cell>
          <cell r="F93">
            <v>20</v>
          </cell>
          <cell r="H93">
            <v>0.3</v>
          </cell>
          <cell r="I93">
            <v>0</v>
          </cell>
          <cell r="J93" t="e">
            <v>#VALUE!</v>
          </cell>
          <cell r="L93">
            <v>23</v>
          </cell>
          <cell r="M93">
            <v>-3</v>
          </cell>
          <cell r="P93">
            <v>75</v>
          </cell>
          <cell r="Q93">
            <v>75</v>
          </cell>
          <cell r="R93">
            <v>4</v>
          </cell>
          <cell r="S93">
            <v>0</v>
          </cell>
          <cell r="T93">
            <v>0</v>
          </cell>
          <cell r="V93">
            <v>37.5</v>
          </cell>
          <cell r="W93">
            <v>0</v>
          </cell>
          <cell r="X93">
            <v>8.8000000000000007</v>
          </cell>
          <cell r="Y93">
            <v>11</v>
          </cell>
          <cell r="Z93">
            <v>1.8</v>
          </cell>
          <cell r="AA93">
            <v>7.6</v>
          </cell>
          <cell r="AB93">
            <v>0</v>
          </cell>
        </row>
        <row r="94">
          <cell r="A94" t="str">
            <v>7284 ДЛЯ ДЕТЕЙ сос п/о мгс 0,33кг 6шт  Останкино</v>
          </cell>
          <cell r="B94" t="str">
            <v>шт</v>
          </cell>
          <cell r="C94">
            <v>7284</v>
          </cell>
          <cell r="D94">
            <v>114</v>
          </cell>
          <cell r="F94">
            <v>111</v>
          </cell>
          <cell r="G94">
            <v>1</v>
          </cell>
          <cell r="H94">
            <v>0.33</v>
          </cell>
          <cell r="I94">
            <v>30</v>
          </cell>
          <cell r="J94" t="str">
            <v>в матрице</v>
          </cell>
          <cell r="L94">
            <v>157</v>
          </cell>
          <cell r="M94">
            <v>-46</v>
          </cell>
          <cell r="P94">
            <v>0</v>
          </cell>
          <cell r="Q94">
            <v>0</v>
          </cell>
          <cell r="R94">
            <v>22.2</v>
          </cell>
          <cell r="S94">
            <v>190</v>
          </cell>
          <cell r="T94">
            <v>190</v>
          </cell>
          <cell r="V94">
            <v>8.6036036036036005</v>
          </cell>
          <cell r="W94">
            <v>4.5045045045045001E-2</v>
          </cell>
          <cell r="X94">
            <v>1.4</v>
          </cell>
          <cell r="Y94">
            <v>5</v>
          </cell>
          <cell r="Z94">
            <v>-0.2</v>
          </cell>
          <cell r="AA94">
            <v>1</v>
          </cell>
          <cell r="AB94">
            <v>0</v>
          </cell>
        </row>
        <row r="95">
          <cell r="A95" t="str">
            <v>7288 БАЛЫК с/к с/н в/у 1/100 10шт ОСТАНКИНО</v>
          </cell>
          <cell r="B95" t="str">
            <v>шт</v>
          </cell>
          <cell r="C95">
            <v>7288</v>
          </cell>
          <cell r="D95">
            <v>81</v>
          </cell>
          <cell r="F95">
            <v>53</v>
          </cell>
          <cell r="G95">
            <v>28</v>
          </cell>
          <cell r="H95">
            <v>0.1</v>
          </cell>
          <cell r="I95">
            <v>60</v>
          </cell>
          <cell r="J95" t="str">
            <v>в матрице</v>
          </cell>
          <cell r="L95">
            <v>53</v>
          </cell>
          <cell r="M95">
            <v>0</v>
          </cell>
          <cell r="P95">
            <v>0</v>
          </cell>
          <cell r="Q95">
            <v>0</v>
          </cell>
          <cell r="R95">
            <v>10.6</v>
          </cell>
          <cell r="S95">
            <v>80</v>
          </cell>
          <cell r="T95">
            <v>80</v>
          </cell>
          <cell r="V95">
            <v>10.188679245283</v>
          </cell>
          <cell r="W95">
            <v>2.64150943396226</v>
          </cell>
          <cell r="X95">
            <v>9.6</v>
          </cell>
          <cell r="Y95">
            <v>7.8</v>
          </cell>
          <cell r="Z95">
            <v>7.2</v>
          </cell>
          <cell r="AA95">
            <v>5.8</v>
          </cell>
          <cell r="AB95" t="str">
            <v>новинка</v>
          </cell>
        </row>
        <row r="96">
          <cell r="A96" t="str">
            <v>7332 БОЯРСКАЯ ПМ п/к в/у 0,28кг ОСТАНКИНО</v>
          </cell>
          <cell r="B96" t="str">
            <v>шт</v>
          </cell>
          <cell r="C96">
            <v>7332</v>
          </cell>
          <cell r="D96">
            <v>95</v>
          </cell>
          <cell r="E96">
            <v>48</v>
          </cell>
          <cell r="F96">
            <v>133</v>
          </cell>
          <cell r="G96">
            <v>10</v>
          </cell>
          <cell r="H96">
            <v>0.28000000000000003</v>
          </cell>
          <cell r="I96">
            <v>50</v>
          </cell>
          <cell r="J96" t="str">
            <v>в матрице</v>
          </cell>
          <cell r="L96">
            <v>134</v>
          </cell>
          <cell r="M96">
            <v>-1</v>
          </cell>
          <cell r="P96">
            <v>125</v>
          </cell>
          <cell r="Q96">
            <v>125</v>
          </cell>
          <cell r="R96">
            <v>26.6</v>
          </cell>
          <cell r="S96">
            <v>100</v>
          </cell>
          <cell r="T96">
            <v>100</v>
          </cell>
          <cell r="V96">
            <v>13.533834586466201</v>
          </cell>
          <cell r="W96">
            <v>0.37593984962406002</v>
          </cell>
          <cell r="X96">
            <v>6.8</v>
          </cell>
          <cell r="Y96">
            <v>2.4</v>
          </cell>
          <cell r="Z96">
            <v>19.600000000000001</v>
          </cell>
          <cell r="AA96">
            <v>25.8</v>
          </cell>
          <cell r="AB96">
            <v>0</v>
          </cell>
        </row>
        <row r="97">
          <cell r="A97" t="str">
            <v>7333 СЕРВЕЛАТ ОХОТНИЧИЙ ПМ в/к в/у 0,28кг ОСТАНКИНО</v>
          </cell>
          <cell r="B97" t="str">
            <v>шт</v>
          </cell>
          <cell r="C97">
            <v>7333</v>
          </cell>
          <cell r="D97">
            <v>32</v>
          </cell>
          <cell r="F97">
            <v>32</v>
          </cell>
          <cell r="H97">
            <v>0.28000000000000003</v>
          </cell>
          <cell r="I97">
            <v>50</v>
          </cell>
          <cell r="J97" t="str">
            <v>в матрице</v>
          </cell>
          <cell r="L97">
            <v>42</v>
          </cell>
          <cell r="M97">
            <v>-10</v>
          </cell>
          <cell r="P97">
            <v>0</v>
          </cell>
          <cell r="Q97">
            <v>0</v>
          </cell>
          <cell r="R97">
            <v>6.4</v>
          </cell>
          <cell r="S97">
            <v>75</v>
          </cell>
          <cell r="T97">
            <v>75</v>
          </cell>
          <cell r="V97">
            <v>11.71875</v>
          </cell>
          <cell r="W97">
            <v>0</v>
          </cell>
          <cell r="X97">
            <v>4.5999999999999996</v>
          </cell>
          <cell r="Y97">
            <v>4.5999999999999996</v>
          </cell>
          <cell r="Z97">
            <v>0.8</v>
          </cell>
          <cell r="AA97">
            <v>4</v>
          </cell>
          <cell r="AB97">
            <v>0</v>
          </cell>
        </row>
        <row r="98">
          <cell r="A98" t="str">
            <v>7343 СЕЙЧАС СЕЗОН ПМ вар п/о 0,4кг ОСТАНКИНО</v>
          </cell>
          <cell r="B98" t="str">
            <v>шт</v>
          </cell>
          <cell r="C98">
            <v>7343</v>
          </cell>
          <cell r="D98">
            <v>38</v>
          </cell>
          <cell r="E98">
            <v>16</v>
          </cell>
          <cell r="F98">
            <v>40</v>
          </cell>
          <cell r="G98">
            <v>14</v>
          </cell>
          <cell r="H98">
            <v>0.4</v>
          </cell>
          <cell r="I98">
            <v>0</v>
          </cell>
          <cell r="J98">
            <v>0</v>
          </cell>
          <cell r="L98">
            <v>41</v>
          </cell>
          <cell r="M98">
            <v>-1</v>
          </cell>
          <cell r="P98">
            <v>0</v>
          </cell>
          <cell r="Q98">
            <v>0</v>
          </cell>
          <cell r="R98">
            <v>8</v>
          </cell>
          <cell r="S98">
            <v>50</v>
          </cell>
          <cell r="T98">
            <v>50</v>
          </cell>
          <cell r="V98">
            <v>8</v>
          </cell>
          <cell r="W98">
            <v>1.75</v>
          </cell>
          <cell r="X98">
            <v>0</v>
          </cell>
          <cell r="Y98">
            <v>3</v>
          </cell>
          <cell r="Z98">
            <v>0</v>
          </cell>
          <cell r="AA98">
            <v>0.4</v>
          </cell>
          <cell r="AB98">
            <v>0</v>
          </cell>
        </row>
        <row r="99">
          <cell r="A99" t="str">
            <v>7371 БРЕСТСКИЕ сос п/о в/у 0,3кг 8шт. ОСТАНКИНО</v>
          </cell>
          <cell r="B99" t="str">
            <v>шт</v>
          </cell>
          <cell r="C99">
            <v>7371</v>
          </cell>
          <cell r="D99">
            <v>379</v>
          </cell>
          <cell r="F99">
            <v>78</v>
          </cell>
          <cell r="G99">
            <v>300</v>
          </cell>
          <cell r="H99">
            <v>0.3</v>
          </cell>
          <cell r="I99">
            <v>0</v>
          </cell>
          <cell r="J99" t="e">
            <v>#N/A</v>
          </cell>
          <cell r="L99">
            <v>75</v>
          </cell>
          <cell r="M99">
            <v>3</v>
          </cell>
          <cell r="P99">
            <v>0</v>
          </cell>
          <cell r="Q99">
            <v>0</v>
          </cell>
          <cell r="R99">
            <v>15.6</v>
          </cell>
          <cell r="S99">
            <v>0</v>
          </cell>
          <cell r="T99">
            <v>0</v>
          </cell>
          <cell r="V99">
            <v>19.230769230769202</v>
          </cell>
          <cell r="W99">
            <v>19.230769230769202</v>
          </cell>
          <cell r="X99">
            <v>0</v>
          </cell>
          <cell r="Y99">
            <v>3.2</v>
          </cell>
          <cell r="Z99">
            <v>9.4</v>
          </cell>
          <cell r="AA99">
            <v>10.4</v>
          </cell>
          <cell r="AB99">
            <v>0</v>
          </cell>
        </row>
        <row r="100">
          <cell r="A100" t="str">
            <v>7382  САЛЯМИ МЕЛКОЗЕРНЕНАЯ с/к в/у1/120 8шт.  ОСТАНКИНО</v>
          </cell>
          <cell r="B100" t="str">
            <v>шт</v>
          </cell>
          <cell r="C100">
            <v>7382</v>
          </cell>
          <cell r="D100">
            <v>58</v>
          </cell>
          <cell r="E100">
            <v>400</v>
          </cell>
          <cell r="F100">
            <v>250</v>
          </cell>
          <cell r="G100">
            <v>208</v>
          </cell>
          <cell r="H100">
            <v>0.12</v>
          </cell>
          <cell r="I100">
            <v>60</v>
          </cell>
          <cell r="J100" t="str">
            <v>в матрице</v>
          </cell>
          <cell r="L100">
            <v>278</v>
          </cell>
          <cell r="M100">
            <v>-28</v>
          </cell>
          <cell r="P100">
            <v>125</v>
          </cell>
          <cell r="Q100">
            <v>125</v>
          </cell>
          <cell r="R100">
            <v>50</v>
          </cell>
          <cell r="S100">
            <v>150</v>
          </cell>
          <cell r="T100">
            <v>150</v>
          </cell>
          <cell r="V100">
            <v>12.16</v>
          </cell>
          <cell r="W100">
            <v>4.16</v>
          </cell>
          <cell r="X100">
            <v>44.2</v>
          </cell>
          <cell r="Y100">
            <v>16.8</v>
          </cell>
          <cell r="Z100">
            <v>44.6</v>
          </cell>
          <cell r="AA100">
            <v>48</v>
          </cell>
          <cell r="AB100">
            <v>0</v>
          </cell>
        </row>
        <row r="101">
          <cell r="A101" t="str">
            <v>7461 ДЛЯ ДЕТЕЙ Папа Может сос п/о мгс 0,33кг ОСТАНКИНО</v>
          </cell>
          <cell r="B101" t="str">
            <v>шт</v>
          </cell>
          <cell r="C101">
            <v>7461</v>
          </cell>
          <cell r="D101">
            <v>10</v>
          </cell>
          <cell r="E101">
            <v>300</v>
          </cell>
          <cell r="F101">
            <v>30</v>
          </cell>
          <cell r="G101">
            <v>280</v>
          </cell>
          <cell r="H101">
            <v>0.12</v>
          </cell>
          <cell r="I101">
            <v>0</v>
          </cell>
          <cell r="J101" t="e">
            <v>#N/A</v>
          </cell>
          <cell r="L101">
            <v>51</v>
          </cell>
          <cell r="M101">
            <v>-21</v>
          </cell>
          <cell r="P101">
            <v>0</v>
          </cell>
          <cell r="Q101">
            <v>0</v>
          </cell>
          <cell r="R101">
            <v>6</v>
          </cell>
          <cell r="S101">
            <v>0</v>
          </cell>
          <cell r="T101">
            <v>0</v>
          </cell>
          <cell r="V101">
            <v>46.6666666666667</v>
          </cell>
          <cell r="W101">
            <v>46.6666666666667</v>
          </cell>
          <cell r="X101">
            <v>0</v>
          </cell>
          <cell r="Y101">
            <v>7.4</v>
          </cell>
          <cell r="Z101">
            <v>25</v>
          </cell>
          <cell r="AA101">
            <v>24.6</v>
          </cell>
          <cell r="AB101">
            <v>0</v>
          </cell>
        </row>
        <row r="102">
          <cell r="A102" t="str">
            <v>7523 ГОВЯЖЬЯ Папа Может вар п/о 0,4кг 6шт. ОСТАНКИНО</v>
          </cell>
          <cell r="B102" t="str">
            <v>шт</v>
          </cell>
          <cell r="C102">
            <v>7523</v>
          </cell>
          <cell r="D102">
            <v>34</v>
          </cell>
          <cell r="F102">
            <v>36</v>
          </cell>
          <cell r="G102">
            <v>-2</v>
          </cell>
          <cell r="H102">
            <v>0.4</v>
          </cell>
          <cell r="I102">
            <v>0</v>
          </cell>
          <cell r="J102" t="e">
            <v>#VALUE!</v>
          </cell>
          <cell r="L102">
            <v>46</v>
          </cell>
          <cell r="M102">
            <v>-10</v>
          </cell>
          <cell r="P102">
            <v>100</v>
          </cell>
          <cell r="Q102">
            <v>100</v>
          </cell>
          <cell r="R102">
            <v>7.2</v>
          </cell>
          <cell r="S102">
            <v>0</v>
          </cell>
          <cell r="T102">
            <v>0</v>
          </cell>
          <cell r="V102">
            <v>27.5</v>
          </cell>
          <cell r="W102">
            <v>-0.27777777777777801</v>
          </cell>
          <cell r="X102">
            <v>0</v>
          </cell>
          <cell r="Y102">
            <v>7</v>
          </cell>
          <cell r="Z102">
            <v>5.6</v>
          </cell>
          <cell r="AA102">
            <v>10.4</v>
          </cell>
          <cell r="AB102">
            <v>0</v>
          </cell>
        </row>
        <row r="103">
          <cell r="A103" t="str">
            <v>7539 ДОКТОРСКАЯ ГОСТ вар п/о 0,35кг ОСТАНКИНО</v>
          </cell>
          <cell r="B103" t="str">
            <v>шт</v>
          </cell>
          <cell r="C103">
            <v>7539</v>
          </cell>
          <cell r="D103">
            <v>42</v>
          </cell>
          <cell r="E103">
            <v>34</v>
          </cell>
          <cell r="F103">
            <v>57</v>
          </cell>
          <cell r="G103">
            <v>17</v>
          </cell>
          <cell r="H103">
            <v>0.35</v>
          </cell>
          <cell r="I103">
            <v>0</v>
          </cell>
          <cell r="J103" t="e">
            <v>#VALUE!</v>
          </cell>
          <cell r="L103">
            <v>70</v>
          </cell>
          <cell r="M103">
            <v>-13</v>
          </cell>
          <cell r="P103">
            <v>0</v>
          </cell>
          <cell r="Q103">
            <v>0</v>
          </cell>
          <cell r="R103">
            <v>11.4</v>
          </cell>
          <cell r="S103">
            <v>110</v>
          </cell>
          <cell r="T103">
            <v>110</v>
          </cell>
          <cell r="V103">
            <v>11.140350877193001</v>
          </cell>
          <cell r="W103">
            <v>1.4912280701754399</v>
          </cell>
          <cell r="X103">
            <v>0</v>
          </cell>
          <cell r="Y103">
            <v>5.4</v>
          </cell>
          <cell r="Z103">
            <v>6.8</v>
          </cell>
          <cell r="AA103">
            <v>9.1999999999999993</v>
          </cell>
          <cell r="AB103">
            <v>0</v>
          </cell>
        </row>
        <row r="104">
          <cell r="A104" t="str">
            <v>7603 БАЛЫКОВАЯ в/к в/у 0.33кг 8шт. ОСТАНКИНО</v>
          </cell>
          <cell r="B104" t="str">
            <v>шт</v>
          </cell>
          <cell r="C104">
            <v>7603</v>
          </cell>
          <cell r="E104">
            <v>96</v>
          </cell>
          <cell r="F104">
            <v>0</v>
          </cell>
          <cell r="G104">
            <v>96</v>
          </cell>
          <cell r="H104">
            <v>0.33</v>
          </cell>
          <cell r="I104" t="e">
            <v>#N/A</v>
          </cell>
          <cell r="J104" t="e">
            <v>#N/A</v>
          </cell>
          <cell r="L104">
            <v>0</v>
          </cell>
          <cell r="M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V104" t="e">
            <v>#DIV/0!</v>
          </cell>
          <cell r="W104" t="e">
            <v>#DIV/0!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 t="e">
            <v>#N/A</v>
          </cell>
        </row>
        <row r="105">
          <cell r="A105" t="str">
            <v>БОНУС_6087 СОЧНЫЕ ПМ сос п/о мгс 0,41кг 10шт.  ОСТАНКИНО</v>
          </cell>
          <cell r="B105" t="str">
            <v>шт</v>
          </cell>
          <cell r="C105">
            <v>0</v>
          </cell>
          <cell r="D105">
            <v>29</v>
          </cell>
          <cell r="F105">
            <v>0</v>
          </cell>
          <cell r="G105">
            <v>29</v>
          </cell>
          <cell r="H105">
            <v>0</v>
          </cell>
          <cell r="I105">
            <v>0</v>
          </cell>
          <cell r="J105">
            <v>0</v>
          </cell>
          <cell r="L105">
            <v>25</v>
          </cell>
          <cell r="M105">
            <v>-25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V105" t="e">
            <v>#DIV/0!</v>
          </cell>
          <cell r="W105" t="e">
            <v>#DIV/0!</v>
          </cell>
          <cell r="X105">
            <v>0</v>
          </cell>
          <cell r="Y105">
            <v>3.2</v>
          </cell>
          <cell r="Z105">
            <v>2.2000000000000002</v>
          </cell>
          <cell r="AA105">
            <v>0</v>
          </cell>
          <cell r="AB105">
            <v>0</v>
          </cell>
        </row>
        <row r="106">
          <cell r="A106" t="str">
            <v>БОНУС_6954 СОЧНЫЕ Папа может сос п/о мгс 1.5*4_Х5  ОСТАНКИНО</v>
          </cell>
          <cell r="B106" t="str">
            <v>кг</v>
          </cell>
          <cell r="C106">
            <v>0</v>
          </cell>
          <cell r="E106">
            <v>100</v>
          </cell>
          <cell r="F106">
            <v>0</v>
          </cell>
          <cell r="G106">
            <v>100</v>
          </cell>
          <cell r="H106">
            <v>0</v>
          </cell>
          <cell r="I106" t="e">
            <v>#N/A</v>
          </cell>
          <cell r="J106" t="e">
            <v>#N/A</v>
          </cell>
          <cell r="L106">
            <v>0</v>
          </cell>
          <cell r="M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V106" t="e">
            <v>#DIV/0!</v>
          </cell>
          <cell r="W106" t="e">
            <v>#DIV/0!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 t="e">
            <v>#N/A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Мелитополь Останкино молоко</v>
          </cell>
          <cell r="B7">
            <v>2498.8000000000002</v>
          </cell>
        </row>
        <row r="8">
          <cell r="A8" t="str">
            <v>Останкино ООО</v>
          </cell>
          <cell r="B8">
            <v>2498.8000000000002</v>
          </cell>
        </row>
        <row r="9">
          <cell r="A9" t="str">
            <v>ООО Останкино-Краснодар (ШТ)</v>
          </cell>
          <cell r="B9">
            <v>2</v>
          </cell>
        </row>
        <row r="10">
          <cell r="A10" t="str">
            <v>6228 МЯСНОЕ АССОРТИ к/з с/н мгс 1/90 10шт  Останкино</v>
          </cell>
          <cell r="B10">
            <v>2</v>
          </cell>
        </row>
        <row r="11">
          <cell r="A11" t="str">
            <v>Останкино (соусы, майонезы)</v>
          </cell>
          <cell r="B11">
            <v>554</v>
          </cell>
        </row>
        <row r="12">
          <cell r="A12" t="str">
            <v>6948249 Майонезный соус провансаль 824,5гр деликатес.с массовой долей жирн.25% Коровино Останкино</v>
          </cell>
          <cell r="B12">
            <v>40</v>
          </cell>
        </row>
        <row r="13">
          <cell r="A13" t="str">
            <v>6948256 Майонез провансаль классич.оливковый Папа может 372гр с массовой долей жирн. 67% Останкино</v>
          </cell>
          <cell r="B13">
            <v>47</v>
          </cell>
        </row>
        <row r="14">
          <cell r="A14" t="str">
            <v>6948263 Майонез провансаль классич.оливковый Папа может 744гр с массовой долей жирн. 67% Останкино</v>
          </cell>
          <cell r="B14">
            <v>109</v>
          </cell>
        </row>
        <row r="15">
          <cell r="A15" t="str">
            <v>6948270 Майонез провансаль классич.Папа может 372гр с массовой долей жирн. 67% Останкино</v>
          </cell>
          <cell r="B15">
            <v>227</v>
          </cell>
        </row>
        <row r="16">
          <cell r="A16" t="str">
            <v>6948287 Майонез провансаль классич.Папа может 744гр с массовой долей жирн. 67% Останкино</v>
          </cell>
          <cell r="B16">
            <v>131</v>
          </cell>
        </row>
        <row r="17">
          <cell r="A17" t="str">
            <v>Останкино СЫР</v>
          </cell>
          <cell r="B17">
            <v>1942.8</v>
          </cell>
        </row>
        <row r="18">
          <cell r="A18" t="str">
            <v>3323 Сыр Российский цилиндр 1/4 пленка ЮКМП м.д.ж. 50%  ОСТАНКИНО</v>
          </cell>
          <cell r="B18">
            <v>61.5</v>
          </cell>
        </row>
        <row r="19">
          <cell r="A19" t="str">
            <v>9988421 Творожный Сыр 60 % С маринованными огурчиками и укропом  Останкино</v>
          </cell>
          <cell r="B19">
            <v>29</v>
          </cell>
        </row>
        <row r="20">
          <cell r="A20" t="str">
            <v>9988438 Плавленый Сыр 45% "С ветчиной" СТМ"ПапаМожет" 180гр  Останкино</v>
          </cell>
          <cell r="B20">
            <v>32</v>
          </cell>
        </row>
        <row r="21">
          <cell r="A21" t="str">
            <v>9988445 Плавленый Сыр 45%"С грибами" СТМ"ПапаМожет" 180 гр  Останкино</v>
          </cell>
          <cell r="B21">
            <v>32</v>
          </cell>
        </row>
        <row r="22">
          <cell r="A22" t="str">
            <v>Cыр Перлини копченый 40% 100гр (8шт)  Останкино</v>
          </cell>
          <cell r="B22">
            <v>10</v>
          </cell>
        </row>
        <row r="23">
          <cell r="A23" t="str">
            <v>Масло сливочное 72,5 % 180 гр.(10 шт) СЛАВЯНА  Останкино</v>
          </cell>
          <cell r="B23">
            <v>13</v>
          </cell>
        </row>
        <row r="24">
          <cell r="A24" t="str">
            <v>Плавленый продукт с Сыром колбасный копченый 40% СТМ "Коровино" 400гр  Останкино</v>
          </cell>
          <cell r="B24">
            <v>19</v>
          </cell>
        </row>
        <row r="25">
          <cell r="A25" t="str">
            <v>Плавленый сыр "Шоколадный" 30% 180гр Папа Может Останкино</v>
          </cell>
          <cell r="B25">
            <v>8</v>
          </cell>
        </row>
        <row r="26">
          <cell r="A26" t="str">
            <v>Плавленый Сыр колбасный копченый 40% СТМ"ПапаМожет"400гр  Останкино</v>
          </cell>
          <cell r="B26">
            <v>22</v>
          </cell>
        </row>
        <row r="27">
          <cell r="A27" t="str">
            <v>Продукт белково-жировой Сметанковый 50% ВЕС Коровино Останкино</v>
          </cell>
          <cell r="B27">
            <v>8</v>
          </cell>
        </row>
        <row r="28">
          <cell r="A28" t="str">
            <v>Продукт По-Росийски Классический с ЗМЖ 50% ВЕС Коровино Останкино</v>
          </cell>
          <cell r="B28">
            <v>8</v>
          </cell>
        </row>
        <row r="29">
          <cell r="A29" t="str">
            <v>Сыр "Пармезан" 40% кусок 180 гр  ОСТАНКИНО</v>
          </cell>
          <cell r="B29">
            <v>54</v>
          </cell>
        </row>
        <row r="30">
          <cell r="A30" t="str">
            <v>Сыр Боккончини копченый 40% 100 гр.  ОСТАНКИНО</v>
          </cell>
          <cell r="B30">
            <v>9</v>
          </cell>
        </row>
        <row r="31">
          <cell r="A31" t="str">
            <v>Сыр Косичка сырная 45% 100г/8шт Папа Может Останкино</v>
          </cell>
          <cell r="B31">
            <v>56</v>
          </cell>
        </row>
        <row r="32">
          <cell r="A32" t="str">
            <v>Сыр Косичка сырная копченая 43% 100г/8шт Папа Может Останкино</v>
          </cell>
          <cell r="B32">
            <v>56</v>
          </cell>
        </row>
        <row r="33">
          <cell r="A33" t="str">
            <v>Сыр ПАПА МОЖЕТ "Гауда Голд" 45 % 180 гр (10шт) Останкино</v>
          </cell>
          <cell r="B33">
            <v>134</v>
          </cell>
        </row>
        <row r="34">
          <cell r="A34" t="str">
            <v>Сыр ПАПА МОЖЕТ "Голландский традиционный" 45% 180 гр (10шт)  Останкино</v>
          </cell>
          <cell r="B34">
            <v>85</v>
          </cell>
        </row>
        <row r="35">
          <cell r="A35" t="str">
            <v>Сыр ПАПА МОЖЕТ "Министерский" 180 г фасованный массовая  Останкино</v>
          </cell>
          <cell r="B35">
            <v>36</v>
          </cell>
        </row>
        <row r="36">
          <cell r="A36" t="str">
            <v>Сыр ПАПА МОЖЕТ "Папин завтрак"  45% 180 г  Останкино</v>
          </cell>
          <cell r="B36">
            <v>146</v>
          </cell>
        </row>
        <row r="37">
          <cell r="A37" t="str">
            <v>Сыр ПАПА МОЖЕТ "Российский традиционный"45 % 180 г Останкино</v>
          </cell>
          <cell r="B37">
            <v>262</v>
          </cell>
        </row>
        <row r="38">
          <cell r="A38" t="str">
            <v>Сыр ПАПА МОЖЕТ "Тильзитер" фасованный массовая доля жира в сухом веществе 45%, 180г  Останкино</v>
          </cell>
          <cell r="B38">
            <v>170</v>
          </cell>
        </row>
        <row r="39">
          <cell r="A39" t="str">
            <v>Сыр плавленный Сливочный ж.45% 180г ТМ Папа может (16шт)  Останкино</v>
          </cell>
          <cell r="B39">
            <v>49</v>
          </cell>
        </row>
        <row r="40">
          <cell r="A40" t="str">
            <v>Сыр полутвердый "Гауда" с массовой долей жира в пересчете на сухое вещество 45%,   Останкино</v>
          </cell>
          <cell r="B40">
            <v>54.5</v>
          </cell>
        </row>
        <row r="41">
          <cell r="A41" t="str">
            <v>Сыр полутвердый "Голландский" с массовой долей жира в пересчете на сухое  Останкино</v>
          </cell>
          <cell r="B41">
            <v>38.5</v>
          </cell>
        </row>
        <row r="42">
          <cell r="A42" t="str">
            <v>Сыр полутвердый "Сметанковый", с масс долей жира в пересчете на сухое вещес50%, брус  Останкино</v>
          </cell>
          <cell r="B42">
            <v>24.8</v>
          </cell>
        </row>
        <row r="43">
          <cell r="A43" t="str">
            <v>Сыр полутвердый "Тильзитер" с массовой долей жира в пересчете на сухое вещество 45%. 1/5  Останкино</v>
          </cell>
          <cell r="B43">
            <v>38.5</v>
          </cell>
        </row>
        <row r="44">
          <cell r="A44" t="str">
            <v>Сыр рассольный жирный Чечил 45% 100 гр  ОСТАНКИНО</v>
          </cell>
          <cell r="B44">
            <v>69</v>
          </cell>
        </row>
        <row r="45">
          <cell r="A45" t="str">
            <v>Сыр рассольный жирный Чечил копченый 43% 100 гр  Останкино</v>
          </cell>
          <cell r="B45">
            <v>86</v>
          </cell>
        </row>
        <row r="46">
          <cell r="A46" t="str">
            <v>Сыр Творожный с зеленью 60% Папа может 140 гр.  Останкино</v>
          </cell>
          <cell r="B46">
            <v>35</v>
          </cell>
        </row>
        <row r="47">
          <cell r="A47" t="str">
            <v>Сыр творожный Сливочный 140 гр.  Останкино</v>
          </cell>
          <cell r="B47">
            <v>69</v>
          </cell>
        </row>
        <row r="48">
          <cell r="A48" t="str">
            <v>Сыч/Прод Коровино Российский 50% 200г СЗМЖ  Останкино</v>
          </cell>
          <cell r="B48">
            <v>86</v>
          </cell>
        </row>
        <row r="49">
          <cell r="A49" t="str">
            <v>Сыч/Прод Коровино Российский Оригин 50% ВЕС (3,5 кг)  Останкино</v>
          </cell>
          <cell r="B49">
            <v>14</v>
          </cell>
        </row>
        <row r="50">
          <cell r="A50" t="str">
            <v>Сыч/Прод Коровино Российский Оригин 50% ВЕС НОВАЯ (3,5 кг)  ОСТАНКИНО</v>
          </cell>
          <cell r="B50">
            <v>37</v>
          </cell>
        </row>
        <row r="51">
          <cell r="A51" t="str">
            <v>Сыч/Прод Коровино Тильзитер 50% 200г СЗМЖ  ОСТАНКИНО</v>
          </cell>
          <cell r="B51">
            <v>50</v>
          </cell>
        </row>
        <row r="52">
          <cell r="A52" t="str">
            <v>Сыч/Прод Коровино Тильзитер Оригин 50% ВЕС (3,5 кг брус) СЗМЖ  Останкино</v>
          </cell>
          <cell r="B52">
            <v>41</v>
          </cell>
        </row>
        <row r="53">
          <cell r="A53" t="str">
            <v>АСП1 ЗПФ Мелитополь</v>
          </cell>
          <cell r="B53">
            <v>516</v>
          </cell>
        </row>
        <row r="54">
          <cell r="A54" t="str">
            <v>Останкино ООО</v>
          </cell>
          <cell r="B54">
            <v>516</v>
          </cell>
        </row>
        <row r="55">
          <cell r="A55" t="str">
            <v>Останкино Заморозка</v>
          </cell>
          <cell r="B55">
            <v>48</v>
          </cell>
        </row>
        <row r="56">
          <cell r="A56" t="str">
            <v>5579 БЛИНЧ.КРУГЛЫЕ С САД.ЯБЛОК.пл.1/420 зам. ОСТАНКИНО</v>
          </cell>
          <cell r="B56">
            <v>24</v>
          </cell>
        </row>
        <row r="57">
          <cell r="A57" t="str">
            <v>5897 БЛИНЧ.КРУГЛЫЕ С ГРУШЕЙ пл.1/420 зам.   ОСТАНКИНО</v>
          </cell>
          <cell r="B57">
            <v>24</v>
          </cell>
        </row>
        <row r="58">
          <cell r="A58" t="str">
            <v>Останкино СЫР</v>
          </cell>
          <cell r="B58">
            <v>468</v>
          </cell>
        </row>
        <row r="59">
          <cell r="A59" t="str">
            <v>Масло "Папа может" 82,5% 180гр  Останкино</v>
          </cell>
          <cell r="B59">
            <v>52</v>
          </cell>
        </row>
        <row r="60">
          <cell r="A60" t="str">
            <v>Масло сливочное 72,5 % 180 гр.(10 шт) СЛАВЯНА  Останкино</v>
          </cell>
          <cell r="B60">
            <v>416</v>
          </cell>
        </row>
        <row r="61">
          <cell r="A61" t="str">
            <v>АСП1 Мелитополь Останкино</v>
          </cell>
          <cell r="B61">
            <v>11221.572</v>
          </cell>
        </row>
        <row r="62">
          <cell r="A62" t="str">
            <v>Останкино ООО</v>
          </cell>
          <cell r="B62">
            <v>11221.572</v>
          </cell>
        </row>
        <row r="63">
          <cell r="A63" t="str">
            <v>ООО Останкино-Краснодар</v>
          </cell>
          <cell r="B63">
            <v>2627.4720000000002</v>
          </cell>
        </row>
        <row r="64">
          <cell r="A64" t="str">
            <v>3287 САЛЯМИ ИТАЛЬЯНСКАЯ с/к в/у ОСТАНКИНО</v>
          </cell>
          <cell r="B64">
            <v>37.1</v>
          </cell>
        </row>
        <row r="65">
          <cell r="A65" t="str">
            <v>4063 МЯСНАЯ Папа может вар п/о_Л   ОСТАНКИНО</v>
          </cell>
          <cell r="B65">
            <v>129.30000000000001</v>
          </cell>
        </row>
        <row r="66">
          <cell r="A66" t="str">
            <v>4117 ЭКСТРА Папа может с/к в/у_Л   ОСТАНКИНО</v>
          </cell>
          <cell r="B66">
            <v>33.1</v>
          </cell>
        </row>
        <row r="67">
          <cell r="A67" t="str">
            <v>4574 Мясная со шпиком Папа может вар п/о ОСТАНКИНО</v>
          </cell>
          <cell r="B67">
            <v>34.700000000000003</v>
          </cell>
        </row>
        <row r="68">
          <cell r="A68" t="str">
            <v>4813 ФИЛЕЙНАЯ Папа может вар п/о_Л   ОСТАНКИНО</v>
          </cell>
          <cell r="B68">
            <v>117.9</v>
          </cell>
        </row>
        <row r="69">
          <cell r="A69" t="str">
            <v>5452 ВЕТЧ.МЯСНАЯ Папа может п/о    ОСТАНКИНО</v>
          </cell>
          <cell r="B69">
            <v>32.299999999999997</v>
          </cell>
        </row>
        <row r="70">
          <cell r="A70" t="str">
            <v>5544 Сервелат Финский в/к в/у_45с НОВАЯ ОСТАНКИНО</v>
          </cell>
          <cell r="B70">
            <v>231.1</v>
          </cell>
        </row>
        <row r="71">
          <cell r="A71" t="str">
            <v>5708 ПОСОЛЬСКАЯ Папа может с/к в/у ОСТАНКИНО</v>
          </cell>
          <cell r="B71">
            <v>33.5</v>
          </cell>
        </row>
        <row r="72">
          <cell r="A72" t="str">
            <v>5851 ЭКСТРА Папа может вар п/о   ОСТАНКИНО</v>
          </cell>
          <cell r="B72">
            <v>162.78299999999999</v>
          </cell>
        </row>
        <row r="73">
          <cell r="A73" t="str">
            <v>6220 ГОВЯЖЬЯ папа может вар п/о  Останкино</v>
          </cell>
          <cell r="B73">
            <v>34.4</v>
          </cell>
        </row>
        <row r="74">
          <cell r="A74" t="str">
            <v>6303 Мясные Папа может сос п/о мгс 1,5*3  Останкино</v>
          </cell>
          <cell r="B74">
            <v>187.29900000000001</v>
          </cell>
        </row>
        <row r="75">
          <cell r="A75" t="str">
            <v>6498 МОЛОЧНАЯ Папа может вар п/о  ОСТАНКИНО</v>
          </cell>
          <cell r="B75">
            <v>33.5</v>
          </cell>
        </row>
        <row r="76">
          <cell r="A76" t="str">
            <v>6527 ШПИКАЧКИ СОЧНЫЕ ПМ сар б/о мгс 1*3 45с ОСТАНКИНО</v>
          </cell>
          <cell r="B76">
            <v>85</v>
          </cell>
        </row>
        <row r="77">
          <cell r="A77" t="str">
            <v>6550 МЯСНЫЕ Папа может сар б/о мгс 1*3 О 45с  Останкино</v>
          </cell>
          <cell r="B77">
            <v>152.05199999999999</v>
          </cell>
        </row>
        <row r="78">
          <cell r="A78" t="str">
            <v>6608 С ГОВЯДИНОЙ ОРИГИН. сар б/о мгс 1*3_45с  ОСТАНКИНО</v>
          </cell>
          <cell r="B78">
            <v>77</v>
          </cell>
        </row>
        <row r="79">
          <cell r="A79" t="str">
            <v>6661 СОЧНЫЙ ГРИЛЬ ПМ сос п/о мгс 1,5*4_Маяк Останкино</v>
          </cell>
          <cell r="B79">
            <v>120</v>
          </cell>
        </row>
        <row r="80">
          <cell r="A80" t="str">
            <v>6767 РУБЛЕНЫЕ сос ц/о мгс 1*4  Останкино</v>
          </cell>
          <cell r="B80">
            <v>8.0340000000000007</v>
          </cell>
        </row>
        <row r="81">
          <cell r="A81" t="str">
            <v>6829  МОЛОЧНЫЕ КЛАССИЧЕСКИЕ сос п/о мгс 2*4 С  Останккино</v>
          </cell>
          <cell r="B81">
            <v>424.66399999999999</v>
          </cell>
        </row>
        <row r="82">
          <cell r="A82" t="str">
            <v>7001 КЛАССИЧЕСКИЕ Папа может сар б/о мгс 1*3  Останкино</v>
          </cell>
          <cell r="B82">
            <v>77</v>
          </cell>
        </row>
        <row r="83">
          <cell r="A83" t="str">
            <v>7070 СОЧНЫЕ ПМ сос п/о 1,5*4_А_50с  Останкино</v>
          </cell>
          <cell r="B83">
            <v>90</v>
          </cell>
        </row>
        <row r="84">
          <cell r="A84" t="str">
            <v>7075 МОЛОЧ.ПРЕМИУМ ПМ сос п/о мгс 1,5*4_О_50с  Останкино</v>
          </cell>
          <cell r="B84">
            <v>54</v>
          </cell>
        </row>
        <row r="85">
          <cell r="A85" t="str">
            <v>7083 СЛИВОЧНЫЕ ПМ сос п/о мгс 1.5*4_А_50с  ОСТАНКИНО</v>
          </cell>
          <cell r="B85">
            <v>163</v>
          </cell>
        </row>
        <row r="86">
          <cell r="A86" t="str">
            <v>7131 БАЛЫКОВАЯ в/к в/у 0,84кг  Останкино</v>
          </cell>
          <cell r="B86">
            <v>11.54</v>
          </cell>
        </row>
        <row r="87">
          <cell r="A87" t="str">
            <v>7157 СЕРВЕЛАТ ЗЕРНИСТЫЙ ПМ в/к в/у_50с  Останкино</v>
          </cell>
          <cell r="B87">
            <v>74.099999999999994</v>
          </cell>
        </row>
        <row r="88">
          <cell r="A88" t="str">
            <v>7166 СЕРВЕЛАТ ОХОТНИЧИЙ ПМ в/к в/у_50с  Останкино</v>
          </cell>
          <cell r="B88">
            <v>224.1</v>
          </cell>
        </row>
        <row r="89">
          <cell r="A89" t="str">
            <v>ООО Останкино-Краснодар (ШТ)</v>
          </cell>
          <cell r="B89">
            <v>8566.2999999999993</v>
          </cell>
        </row>
        <row r="90">
          <cell r="A90" t="str">
            <v>3215 ВЕТЧ.МЯСНАЯ Папа может п/о 0.4кг 8шт.    ОСТАНКИНО</v>
          </cell>
          <cell r="B90">
            <v>204</v>
          </cell>
        </row>
        <row r="91">
          <cell r="A91" t="str">
            <v>3986 Ароматная с/к в/у 1/250 ОСТАНКИНО</v>
          </cell>
          <cell r="B91">
            <v>50</v>
          </cell>
        </row>
        <row r="92">
          <cell r="A92" t="str">
            <v>4993 САЛЯМИ ИТАЛЬЯНСКАЯ с/к в/у 1/250*8_120c ОСТАНКИНО</v>
          </cell>
          <cell r="B92">
            <v>155</v>
          </cell>
        </row>
        <row r="93">
          <cell r="A93" t="str">
            <v>5483 ЭКСТРА Папа может с/к в/у 1/250 8шт.   ОСТАНКИНО</v>
          </cell>
          <cell r="B93">
            <v>192</v>
          </cell>
        </row>
        <row r="94">
          <cell r="A94" t="str">
            <v>5495 ВЕТЧ.С ИНДЕЙКОЙ Папа может п/о 400*6  Останкино</v>
          </cell>
          <cell r="B94">
            <v>104</v>
          </cell>
        </row>
        <row r="95">
          <cell r="A95" t="str">
            <v>5679 САЛЯМИ ИТАЛЬЯНСКАЯ с/к в/у 1/150_60с ОСТАНКИНО</v>
          </cell>
          <cell r="B95">
            <v>17</v>
          </cell>
        </row>
        <row r="96">
          <cell r="A96" t="str">
            <v>5819 Сосиски Папа может 400г Мясные  ОСТАНКИНО</v>
          </cell>
          <cell r="B96">
            <v>140</v>
          </cell>
        </row>
        <row r="97">
          <cell r="A97" t="str">
            <v>5931 ОХОТНИЧЬЯ Папа может с/к в/у 1/220 8шт.   ОСТАНКИНО</v>
          </cell>
          <cell r="B97">
            <v>196</v>
          </cell>
        </row>
        <row r="98">
          <cell r="A98" t="str">
            <v>6208 ДЫМОВИЦА ИЗ ЛОПАТКИ ПМ к/в с/н в/у 1/150  Останкино</v>
          </cell>
          <cell r="B98">
            <v>55</v>
          </cell>
        </row>
        <row r="99">
          <cell r="A99" t="str">
            <v>6221 НЕОПОЛИТАНСКИЙ ДУЭТ с/к с/н мгс 1/90  Останкино</v>
          </cell>
          <cell r="B99">
            <v>76</v>
          </cell>
        </row>
        <row r="100">
          <cell r="A100" t="str">
            <v>6228 МЯСНОЕ АССОРТИ к/з с/н мгс 1/90 10шт  Останкино</v>
          </cell>
          <cell r="B100">
            <v>50</v>
          </cell>
        </row>
        <row r="101">
          <cell r="A101" t="str">
            <v>6268 Колбаса Папа может 400г Говяжья вар п/о  ОСТАНКИНО</v>
          </cell>
          <cell r="B101">
            <v>15</v>
          </cell>
        </row>
        <row r="102">
          <cell r="A102" t="str">
            <v>6279 КОРЕЙКА ПО-ОСТ.к/в в/с с/н в/у 1/150_45с  Останкино</v>
          </cell>
          <cell r="B102">
            <v>24</v>
          </cell>
        </row>
        <row r="103">
          <cell r="A103" t="str">
            <v>6324 ДОКТОРСКАЯ ГОСТ вар п/о 0,4кг 8шт  Останкино</v>
          </cell>
          <cell r="B103">
            <v>2</v>
          </cell>
        </row>
        <row r="104">
          <cell r="A104" t="str">
            <v>6325 ДОКТОРСКАЯ ПРЕМИУМ вар п/о 0.4кг 8шт.  ОСТАНКИНО</v>
          </cell>
          <cell r="B104">
            <v>95</v>
          </cell>
        </row>
        <row r="105">
          <cell r="A105" t="str">
            <v>6333 МЯСНАЯ Папа может вар п/о 0.4кг 8шт.  ОСТАНКИНО</v>
          </cell>
          <cell r="B105">
            <v>313</v>
          </cell>
        </row>
        <row r="106">
          <cell r="A106" t="str">
            <v>6353 ЭКСТРА Папа может вар п/о 0.4кг 8шт.  ОСТАНКИНО</v>
          </cell>
          <cell r="B106">
            <v>238</v>
          </cell>
        </row>
        <row r="107">
          <cell r="A107" t="str">
            <v>6392 ФИЛЕЙНАЯ Папа может вар п/о 0,4кг  ОСТАНКИНО</v>
          </cell>
          <cell r="B107">
            <v>319</v>
          </cell>
        </row>
        <row r="108">
          <cell r="A108" t="str">
            <v>6448 Свинина Останкино 100г Мадера с/к в/у нарезка  ОСТАНКИНО</v>
          </cell>
          <cell r="B108">
            <v>11</v>
          </cell>
        </row>
        <row r="109">
          <cell r="A109" t="str">
            <v>6453 ЭКСТРА Папа может с/к с/н в/у 1/100 14шт.   ОСТАНКИНО</v>
          </cell>
          <cell r="B109">
            <v>122</v>
          </cell>
        </row>
        <row r="110">
          <cell r="A110" t="str">
            <v>6454 АРОМАТНАЯ с/к с/н в/у 1/100 10шт.  ОСТАНКИНО</v>
          </cell>
          <cell r="B110">
            <v>197</v>
          </cell>
        </row>
        <row r="111">
          <cell r="A111" t="str">
            <v>6459 СЕРВЕЛАТ ШВЕЙЦАРСК. в/к с/н в/у 1/100*10  Останкино</v>
          </cell>
          <cell r="B111">
            <v>11</v>
          </cell>
        </row>
        <row r="112">
          <cell r="A112" t="str">
            <v>6475 Сосиски Папа может 400г С сыром  ОСТАНКИНО</v>
          </cell>
          <cell r="B112">
            <v>161</v>
          </cell>
        </row>
        <row r="113">
          <cell r="A113" t="str">
            <v>6495 ВЕТЧ.МРАМОРНАЯ в/у срез 0,3кг 6шт_45с  Останкино</v>
          </cell>
          <cell r="B113">
            <v>17</v>
          </cell>
        </row>
        <row r="114">
          <cell r="A114" t="str">
            <v>6602 БАВАРСКИЕ ПМ сос ц/о мгс 0,35кг 8шт  Останкино</v>
          </cell>
          <cell r="B114">
            <v>39</v>
          </cell>
        </row>
        <row r="115">
          <cell r="A115" t="str">
            <v>6609 С ГОВЯДИНОЙ ПМ сар б/о мгс 0,4 кг_45с</v>
          </cell>
          <cell r="B115">
            <v>1</v>
          </cell>
        </row>
        <row r="116">
          <cell r="A116" t="str">
            <v>6616 МОЛОЧНЫЕ КЛАССИЧЕСКИЕ сос п/о в/у 0,3 кг  Останкино</v>
          </cell>
          <cell r="B116">
            <v>368</v>
          </cell>
        </row>
        <row r="117">
          <cell r="A117" t="str">
            <v>6697 СЕРВЕЛАТ ФИНСКИЙ ПМ в/к в/у 0,35кг 8шт  ОСТАНКИНО</v>
          </cell>
          <cell r="B117">
            <v>269</v>
          </cell>
        </row>
        <row r="118">
          <cell r="A118" t="str">
            <v>6713 СОЧНЫЙ ГРИЛЬ ПМ сос п/о мгс 0,41кг 8 шт.  ОСТАНКИНО</v>
          </cell>
          <cell r="B118">
            <v>256</v>
          </cell>
        </row>
        <row r="119">
          <cell r="A119" t="str">
            <v>6724 МОЛОЧНЫЕ ПМ сос п/о мгс 0,41кг 10шт  Останкино</v>
          </cell>
          <cell r="B119">
            <v>40</v>
          </cell>
        </row>
        <row r="120">
          <cell r="A120" t="str">
            <v>6759 МОЛОЧНЫЕ ГОСТ сос ц/о мгс 0,4кг 7 шт  Останкино</v>
          </cell>
          <cell r="B120">
            <v>2</v>
          </cell>
        </row>
        <row r="121">
          <cell r="A121" t="str">
            <v>6765 РУБЛЕНЫЕ сос ц/о мгс 0,36кг 6шт  Останкино</v>
          </cell>
          <cell r="B121">
            <v>93</v>
          </cell>
        </row>
        <row r="122">
          <cell r="A122" t="str">
            <v>6787 СЕРВЕЛАТ КРЕМЛЕВСКИЙ в/к в/у 0,33кг 8шт  Останкино</v>
          </cell>
          <cell r="B122">
            <v>9</v>
          </cell>
        </row>
        <row r="123">
          <cell r="A123" t="str">
            <v>6791 СЕРВЕЛАТ ПРЕМИУМ в/к в/у 0,33кг 8шт  Останкино</v>
          </cell>
          <cell r="B123">
            <v>3</v>
          </cell>
        </row>
        <row r="124">
          <cell r="A124" t="str">
            <v>6793 БАЛЫКОВАЯ в/к в/у 0,33кг 8шт  Останкино</v>
          </cell>
          <cell r="B124">
            <v>67</v>
          </cell>
        </row>
        <row r="125">
          <cell r="A125" t="str">
            <v>6797 С ИНДЕЙКОЙ Папа может вар п/о 0,4кг 8шт. ОСТАНКИНО</v>
          </cell>
          <cell r="B125">
            <v>75</v>
          </cell>
        </row>
        <row r="126">
          <cell r="A126" t="str">
            <v>6807 СЕРВЕЛАТ ЕВРОПЕЙСКИЙ в/к в/у 0,33кг 8шт  Останкино</v>
          </cell>
          <cell r="B126">
            <v>24</v>
          </cell>
        </row>
        <row r="127">
          <cell r="A127" t="str">
            <v>6834 ПОСОЛЬСКАЯ с/к с/н в/у 1/100 10шт  Останкино</v>
          </cell>
          <cell r="B127">
            <v>32</v>
          </cell>
        </row>
        <row r="128">
          <cell r="A128" t="str">
            <v>6837 ФИЛЕЙНЫЕ Папа Может сос ц/о мгс 0,4кг  Останкино</v>
          </cell>
          <cell r="B128">
            <v>39</v>
          </cell>
        </row>
        <row r="129">
          <cell r="A129" t="str">
            <v>6967 БУРГУНДИЯ Папа может с/к в/у 1/250 8шт  Останкино</v>
          </cell>
          <cell r="B129">
            <v>5</v>
          </cell>
        </row>
        <row r="130">
          <cell r="A130" t="str">
            <v>7059 ШПИКАЧКИ СОЧНЫЕ С БЕК. п/о мгс 0,3кг 60с ОСТАНКИНО</v>
          </cell>
          <cell r="B130">
            <v>73</v>
          </cell>
        </row>
        <row r="131">
          <cell r="A131" t="str">
            <v>7066 СОЧНЫЕ ПМ сос п/о мгс 0,41кг 10шт 50с  Останкино</v>
          </cell>
          <cell r="B131">
            <v>452</v>
          </cell>
        </row>
        <row r="132">
          <cell r="A132" t="str">
            <v>7073 МОЛОЧ.ПРЕМИУМ ПМ сос п/о в/у 1/350_50с  Останкино</v>
          </cell>
          <cell r="B132">
            <v>24</v>
          </cell>
        </row>
        <row r="133">
          <cell r="A133" t="str">
            <v>7077 МЯСНЫЕ С ГОВЯД. ПМ сос п/о мгс 0,4кг_50с  Останкино</v>
          </cell>
          <cell r="B133">
            <v>32</v>
          </cell>
        </row>
        <row r="134">
          <cell r="A134" t="str">
            <v>7080 СЛИВОЧНЫЕ ПМ сос п/о мгс 0,41кг 10шт 50с  Останкино</v>
          </cell>
          <cell r="B134">
            <v>502</v>
          </cell>
        </row>
        <row r="135">
          <cell r="A135" t="str">
            <v>7090 СВИНИНА ПО-ДОМ.к/в мл/к в/у 0,3кг_50с  Останкино</v>
          </cell>
          <cell r="B135">
            <v>98</v>
          </cell>
        </row>
        <row r="136">
          <cell r="A136" t="str">
            <v>7092 БЕКОН Папа может с/к с/н в/у 1/140_50с  Останкино</v>
          </cell>
          <cell r="B136">
            <v>25</v>
          </cell>
        </row>
        <row r="137">
          <cell r="A137" t="str">
            <v>7103 БЕКОН Останкино с/к с/н в/у 1/180_50с  Останкино</v>
          </cell>
          <cell r="B137">
            <v>163</v>
          </cell>
        </row>
        <row r="138">
          <cell r="A138" t="str">
            <v>7147 САЛЬЧИЧОН Останкино с/к в/у 1/220 8 шт  Останкино</v>
          </cell>
          <cell r="B138">
            <v>44</v>
          </cell>
        </row>
        <row r="139">
          <cell r="A139" t="str">
            <v>7154 СЕРВЕЛАТ ЗЕРНИСТЫЙ ПМ в/к в/у 0,35кг_50с  Останкино</v>
          </cell>
          <cell r="B139">
            <v>368</v>
          </cell>
        </row>
        <row r="140">
          <cell r="A140" t="str">
            <v>7169 СЕРВЕЛАТ ОХОТНИЧИЙ ПМ в/к в/у 0,35кг_50с  Останкино</v>
          </cell>
          <cell r="B140">
            <v>491</v>
          </cell>
        </row>
        <row r="141">
          <cell r="A141" t="str">
            <v>7187 ГРУДИНКА ПРЕМИУМ к/в мл/к в/у 0,3кг_50с  Останкино</v>
          </cell>
          <cell r="B141">
            <v>98</v>
          </cell>
        </row>
        <row r="142">
          <cell r="A142" t="str">
            <v>7231 КЛАССИЧЕСКАЯ ПМ вар п/о 0,3кг 8 шт_209к  Останкино</v>
          </cell>
          <cell r="B142">
            <v>49</v>
          </cell>
        </row>
        <row r="143">
          <cell r="A143" t="str">
            <v>7232 БОЯNСКАЯ ПМ п/к в/у 0,28кг 8шт_209к  Останкино</v>
          </cell>
          <cell r="B143">
            <v>363</v>
          </cell>
        </row>
        <row r="144">
          <cell r="A144" t="str">
            <v>7236 СЕРВЕЛАТ КАРЕЛЬСКИЙ в/к в/у 0,28кг_209к  Останкино</v>
          </cell>
          <cell r="B144">
            <v>304</v>
          </cell>
        </row>
        <row r="145">
          <cell r="A145" t="str">
            <v>7237 СЕРВЕЛАТ ШВАРЦЕР ПМ в/к в/у 0,28кг_209к  Останкино</v>
          </cell>
          <cell r="B145">
            <v>102</v>
          </cell>
        </row>
        <row r="146">
          <cell r="A146" t="str">
            <v>7241 САЛЯМИ Папа может п/к в/у 0,28кг ОСТАНКИНО</v>
          </cell>
          <cell r="B146">
            <v>272</v>
          </cell>
        </row>
        <row r="147">
          <cell r="A147" t="str">
            <v>7255 МЯСНЫЕ С ГОВЯД.ПМ сос п/о мгс 0.4кг 6шт.  ОСТАНКИНО</v>
          </cell>
          <cell r="B147">
            <v>285</v>
          </cell>
        </row>
        <row r="148">
          <cell r="A148" t="str">
            <v>7271 МЯСНЫЕ С ГОВЯДИНОЙ ПМ сос п/о мгс 1.5*4  ОСТАНКИНО</v>
          </cell>
          <cell r="B148">
            <v>22.5</v>
          </cell>
        </row>
        <row r="149">
          <cell r="A149" t="str">
            <v>7276 СЛИВОЧНЫЕ ПМ сос п/о мгс 0,3кг 7шт  Останкино</v>
          </cell>
          <cell r="B149">
            <v>12</v>
          </cell>
        </row>
        <row r="150">
          <cell r="A150" t="str">
            <v>7284 ДЛЯ ДЕТЕЙ сос п/о мгс 0,33кг 6шт  Останкино</v>
          </cell>
          <cell r="B150">
            <v>21</v>
          </cell>
        </row>
        <row r="151">
          <cell r="A151" t="str">
            <v>7288 БАЛЫК с/к с/н в/у 1/100 10шт ОСТАНКИНО</v>
          </cell>
          <cell r="B151">
            <v>36</v>
          </cell>
        </row>
        <row r="152">
          <cell r="A152" t="str">
            <v>7332 БОЯРСКАЯ ПМ п/к в/у 0,28кг ОСТАНКИНО</v>
          </cell>
          <cell r="B152">
            <v>45</v>
          </cell>
        </row>
        <row r="153">
          <cell r="A153" t="str">
            <v>7333 СЕРВЕЛАТ ОХОТНИЧИЙ ПМ в/к в/у 0,28кг ОСТАНКИНО</v>
          </cell>
          <cell r="B153">
            <v>6</v>
          </cell>
        </row>
        <row r="154">
          <cell r="A154" t="str">
            <v>7343 СЕЙЧАС СЕЗОН ПМ вар п/о 0,4кг ОСТАНКИНО</v>
          </cell>
          <cell r="B154">
            <v>14</v>
          </cell>
        </row>
        <row r="155">
          <cell r="A155" t="str">
            <v>7371 БРЕСТСКИЕ сос п/о в/у 0,3кг 8шт. ОСТАНКИНО</v>
          </cell>
          <cell r="B155">
            <v>98</v>
          </cell>
        </row>
        <row r="156">
          <cell r="A156" t="str">
            <v>7382  САЛЯМИ МЕЛКОЗЕРНЕНАЯ с/к в/у1/120 8шт.  ОСТАНКИНО</v>
          </cell>
          <cell r="B156">
            <v>221.8</v>
          </cell>
        </row>
        <row r="157">
          <cell r="A157" t="str">
            <v>7461 ДЛЯ ДЕТЕЙ Папа Может сос п/о мгс 0,33кг ОСТАНКИНО</v>
          </cell>
          <cell r="B157">
            <v>109</v>
          </cell>
        </row>
        <row r="158">
          <cell r="A158" t="str">
            <v>7489 СЫРРРВЕЛАТ Папа Может в/к в/у 0,28кг 8шт. ОСТАНКИНО</v>
          </cell>
          <cell r="B158">
            <v>10</v>
          </cell>
        </row>
        <row r="159">
          <cell r="A159" t="str">
            <v>7523 ГОВЯЖЬЯ Папа Может вар п/о 0,4кг 6шт. ОСТАНКИНО</v>
          </cell>
          <cell r="B159">
            <v>4</v>
          </cell>
        </row>
        <row r="160">
          <cell r="A160" t="str">
            <v>7539 ДОКТОРСКАЯ ГОСТ вар п/о 0,35кг ОСТАНКИНО</v>
          </cell>
          <cell r="B160">
            <v>61</v>
          </cell>
        </row>
        <row r="161">
          <cell r="A161" t="str">
            <v>7603 БАЛЫКОВАЯ в/к в/у 0.33кг 8шт. ОСТАНКИНО</v>
          </cell>
          <cell r="B161">
            <v>61</v>
          </cell>
        </row>
        <row r="162">
          <cell r="A162" t="str">
            <v>БОНУС_6087 СОЧНЫЕ ПМ сос п/о мгс 0,41кг 10шт.  ОСТАНКИНО</v>
          </cell>
          <cell r="B162">
            <v>14</v>
          </cell>
        </row>
        <row r="163">
          <cell r="A163" t="str">
            <v>Останкино КОРОВИНО (ВЕС)</v>
          </cell>
          <cell r="B163">
            <v>2.8</v>
          </cell>
        </row>
        <row r="164">
          <cell r="A164" t="str">
            <v>6866 ВЕТЧ.НЕЖНАЯ Коровино п/о_Маяк  Останкино</v>
          </cell>
          <cell r="B164">
            <v>2.8</v>
          </cell>
        </row>
        <row r="165">
          <cell r="A165" t="str">
            <v>Останкино КОРОВИНО (ШТ)</v>
          </cell>
          <cell r="B165">
            <v>25</v>
          </cell>
        </row>
        <row r="166">
          <cell r="A166" t="str">
            <v>7149 БАЛЫКОВАЯ Коровино п/к в/у 0,84кг_50с  Останкино</v>
          </cell>
          <cell r="B166">
            <v>25</v>
          </cell>
        </row>
        <row r="167">
          <cell r="A167" t="str">
            <v>Итого</v>
          </cell>
          <cell r="B167">
            <v>82951.240000000005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BE108"/>
  <sheetViews>
    <sheetView tabSelected="1" topLeftCell="A4" workbookViewId="0">
      <pane xSplit="3" ySplit="7" topLeftCell="D11" activePane="bottomRight" state="frozen"/>
      <selection pane="topRight"/>
      <selection pane="bottomLeft"/>
      <selection pane="bottomRight" activeCell="G115" sqref="G115"/>
    </sheetView>
  </sheetViews>
  <sheetFormatPr defaultColWidth="10.42578125" defaultRowHeight="11.4" customHeight="1" outlineLevelRow="1"/>
  <cols>
    <col min="1" max="1" width="50" style="1" customWidth="1"/>
    <col min="2" max="3" width="5.140625" style="1" customWidth="1"/>
    <col min="4" max="4" width="10" style="1" customWidth="1"/>
    <col min="5" max="5" width="9.140625" style="1" customWidth="1"/>
    <col min="6" max="6" width="8.7109375" style="1" customWidth="1"/>
    <col min="7" max="7" width="10" style="1" customWidth="1"/>
    <col min="8" max="29" width="7" style="2" customWidth="1"/>
    <col min="30" max="30" width="2.140625" style="2" customWidth="1"/>
    <col min="31" max="16384" width="10.42578125" style="2"/>
  </cols>
  <sheetData>
    <row r="1" spans="1:57" s="1" customFormat="1" ht="9.9" customHeight="1"/>
    <row r="2" spans="1:57" ht="24.9" customHeight="1">
      <c r="A2" s="3" t="s">
        <v>0</v>
      </c>
    </row>
    <row r="3" spans="1:57" s="1" customFormat="1" ht="9.9" customHeight="1"/>
    <row r="4" spans="1:57" ht="12.9" customHeight="1" outlineLevel="1">
      <c r="A4" s="4" t="s">
        <v>1</v>
      </c>
      <c r="B4" s="4"/>
      <c r="C4" s="4"/>
      <c r="D4" s="4"/>
    </row>
    <row r="5" spans="1:57" ht="12.9" customHeight="1" outlineLevel="1">
      <c r="B5" s="4"/>
      <c r="C5" s="4"/>
      <c r="D5" s="4"/>
    </row>
    <row r="6" spans="1:57" ht="26.1" customHeight="1" outlineLevel="1">
      <c r="A6" s="5" t="s">
        <v>2</v>
      </c>
      <c r="B6" s="4"/>
      <c r="C6" s="4"/>
      <c r="D6" s="4"/>
      <c r="E6" s="4"/>
      <c r="F6" s="4"/>
      <c r="G6" s="4"/>
    </row>
    <row r="7" spans="1:57" s="1" customFormat="1" ht="9.9" customHeight="1"/>
    <row r="8" spans="1:57" ht="12.9" customHeight="1">
      <c r="A8" s="6" t="s">
        <v>3</v>
      </c>
      <c r="B8" s="6" t="s">
        <v>4</v>
      </c>
      <c r="C8" s="6"/>
      <c r="D8" s="7" t="s">
        <v>5</v>
      </c>
      <c r="E8" s="7" t="s">
        <v>6</v>
      </c>
      <c r="F8" s="7" t="s">
        <v>7</v>
      </c>
      <c r="G8" s="7" t="s">
        <v>8</v>
      </c>
      <c r="H8" s="8" t="s">
        <v>9</v>
      </c>
      <c r="I8" s="8" t="s">
        <v>10</v>
      </c>
      <c r="J8" s="9" t="s">
        <v>11</v>
      </c>
      <c r="K8" s="10" t="s">
        <v>12</v>
      </c>
      <c r="L8" s="10" t="s">
        <v>13</v>
      </c>
      <c r="M8" s="10" t="s">
        <v>14</v>
      </c>
      <c r="N8" s="10" t="s">
        <v>15</v>
      </c>
      <c r="O8" s="10" t="s">
        <v>16</v>
      </c>
      <c r="P8" s="10" t="s">
        <v>17</v>
      </c>
      <c r="Q8" s="10" t="s">
        <v>17</v>
      </c>
      <c r="R8" s="10" t="s">
        <v>18</v>
      </c>
      <c r="S8" s="11" t="s">
        <v>19</v>
      </c>
      <c r="T8" s="12" t="s">
        <v>20</v>
      </c>
      <c r="U8" s="12" t="s">
        <v>21</v>
      </c>
      <c r="V8" s="10" t="s">
        <v>22</v>
      </c>
      <c r="W8" s="10" t="s">
        <v>23</v>
      </c>
      <c r="X8" s="10" t="s">
        <v>24</v>
      </c>
      <c r="Y8" s="10" t="s">
        <v>24</v>
      </c>
      <c r="Z8" s="10" t="s">
        <v>24</v>
      </c>
      <c r="AA8" s="10" t="s">
        <v>24</v>
      </c>
      <c r="AB8" s="10" t="s">
        <v>25</v>
      </c>
      <c r="AC8" s="10" t="s">
        <v>26</v>
      </c>
    </row>
    <row r="9" spans="1:57" ht="12.9" customHeight="1">
      <c r="A9" s="6"/>
      <c r="B9" s="6"/>
      <c r="C9" s="6"/>
      <c r="D9" s="7"/>
      <c r="E9" s="7"/>
      <c r="F9" s="7"/>
      <c r="G9" s="7"/>
      <c r="H9" s="13"/>
      <c r="I9" s="13"/>
      <c r="J9" s="14"/>
      <c r="K9" s="13"/>
      <c r="L9" s="13"/>
      <c r="M9" s="13"/>
      <c r="N9" s="13"/>
      <c r="O9" s="13"/>
      <c r="P9" s="13" t="s">
        <v>27</v>
      </c>
      <c r="Q9" s="13" t="s">
        <v>28</v>
      </c>
      <c r="R9" s="13" t="s">
        <v>28</v>
      </c>
      <c r="S9" s="13" t="s">
        <v>29</v>
      </c>
      <c r="T9" s="13" t="s">
        <v>30</v>
      </c>
      <c r="U9" s="13"/>
      <c r="V9" s="13"/>
      <c r="W9" s="13"/>
      <c r="X9" s="15" t="s">
        <v>31</v>
      </c>
      <c r="Y9" s="15" t="s">
        <v>32</v>
      </c>
      <c r="Z9" s="15" t="s">
        <v>33</v>
      </c>
      <c r="AA9" s="15" t="s">
        <v>34</v>
      </c>
      <c r="AB9" s="13"/>
      <c r="AC9" s="13" t="s">
        <v>29</v>
      </c>
    </row>
    <row r="10" spans="1:57" ht="12.9" customHeight="1">
      <c r="A10" s="6"/>
      <c r="B10" s="6"/>
      <c r="C10" s="16"/>
      <c r="D10" s="17">
        <f>SUM(D11:D354)</f>
        <v>17221.627</v>
      </c>
      <c r="E10" s="17">
        <f t="shared" ref="E10:G10" si="0">SUM(E11:E354)</f>
        <v>11449.564</v>
      </c>
      <c r="F10" s="17">
        <f t="shared" si="0"/>
        <v>10688.745000000001</v>
      </c>
      <c r="G10" s="17">
        <f t="shared" si="0"/>
        <v>15259.360999999995</v>
      </c>
      <c r="H10" s="13"/>
      <c r="I10" s="13"/>
      <c r="J10" s="14"/>
      <c r="K10" s="13"/>
      <c r="L10" s="17">
        <f>SUM(L11:L354)</f>
        <v>11091.571999999998</v>
      </c>
      <c r="M10" s="17">
        <f>SUM(M11:M354)</f>
        <v>-402.827</v>
      </c>
      <c r="N10" s="13"/>
      <c r="O10" s="17">
        <f t="shared" ref="O10:T10" si="1">SUM(O11:O354)</f>
        <v>0</v>
      </c>
      <c r="P10" s="17">
        <f t="shared" si="1"/>
        <v>4838</v>
      </c>
      <c r="Q10" s="17">
        <f t="shared" si="1"/>
        <v>4838</v>
      </c>
      <c r="R10" s="17">
        <f t="shared" si="1"/>
        <v>2137.7489999999998</v>
      </c>
      <c r="S10" s="17">
        <f t="shared" si="1"/>
        <v>11654.712399999999</v>
      </c>
      <c r="T10" s="17">
        <f t="shared" si="1"/>
        <v>13475</v>
      </c>
      <c r="U10" s="13"/>
      <c r="V10" s="13"/>
      <c r="W10" s="13"/>
      <c r="X10" s="17">
        <f>SUM(X11:X354)</f>
        <v>1791.634</v>
      </c>
      <c r="Y10" s="17">
        <f>SUM(Y11:Y354)</f>
        <v>2391.9448000000007</v>
      </c>
      <c r="Z10" s="17">
        <f>SUM(Z11:Z354)</f>
        <v>2210.0301999999997</v>
      </c>
      <c r="AA10" s="17">
        <f>SUM(AA11:AA354)</f>
        <v>2260.3338000000003</v>
      </c>
      <c r="AB10" s="13"/>
      <c r="AC10" s="17">
        <f>SUM(AC11:AC354)</f>
        <v>5167.4303999999984</v>
      </c>
    </row>
    <row r="11" spans="1:57" ht="11.1" customHeight="1">
      <c r="A11" s="18" t="s">
        <v>35</v>
      </c>
      <c r="B11" s="18" t="s">
        <v>36</v>
      </c>
      <c r="C11" s="18">
        <f>VLOOKUP(A:A,[1]TDSheet!$A:$C,3,0)</f>
        <v>3215</v>
      </c>
      <c r="D11" s="19">
        <v>281</v>
      </c>
      <c r="E11" s="19">
        <v>345</v>
      </c>
      <c r="F11" s="19">
        <v>217</v>
      </c>
      <c r="G11" s="19">
        <v>369</v>
      </c>
      <c r="H11" s="20">
        <f>VLOOKUP(A:A,[1]TDSheet!$A:$H,8,0)</f>
        <v>0.4</v>
      </c>
      <c r="I11" s="21">
        <f>VLOOKUP(A:A,[1]TDSheet!$A:$I,9,0)</f>
        <v>60</v>
      </c>
      <c r="J11" s="21" t="str">
        <f>VLOOKUP(A:A,[1]TDSheet!$A:$J,10,0)</f>
        <v>в матрице</v>
      </c>
      <c r="K11" s="21"/>
      <c r="L11" s="21">
        <f>VLOOKUP(A:A,[2]TDSheet!$A:$B,2,0)</f>
        <v>204</v>
      </c>
      <c r="M11" s="21">
        <f>F11-L11</f>
        <v>13</v>
      </c>
      <c r="N11" s="21"/>
      <c r="O11" s="21"/>
      <c r="P11" s="21">
        <f>VLOOKUP(A:A,[1]TDSheet!$A:$S,19,0)</f>
        <v>75</v>
      </c>
      <c r="Q11" s="21">
        <v>75</v>
      </c>
      <c r="R11" s="21">
        <f>F11/5</f>
        <v>43.4</v>
      </c>
      <c r="S11" s="22">
        <f>R11*14-G11-P11-Q11</f>
        <v>88.600000000000023</v>
      </c>
      <c r="T11" s="22">
        <v>89</v>
      </c>
      <c r="U11" s="21"/>
      <c r="V11" s="21">
        <f>(G11+P11+Q11+S11)/R11</f>
        <v>14.000000000000002</v>
      </c>
      <c r="W11" s="21">
        <f>G11/R11</f>
        <v>8.5023041474654377</v>
      </c>
      <c r="X11" s="21">
        <f>VLOOKUP(A:A,[1]TDSheet!$A:$Y,25,0)</f>
        <v>26.6</v>
      </c>
      <c r="Y11" s="21">
        <f>VLOOKUP(A:A,[1]TDSheet!$A:$Z,26,0)</f>
        <v>58.2</v>
      </c>
      <c r="Z11" s="21">
        <f>VLOOKUP(A:A,[1]TDSheet!$A:$AA,27,0)</f>
        <v>54.4</v>
      </c>
      <c r="AA11" s="21">
        <f>VLOOKUP(A:A,[1]TDSheet!$A:$R,18,0)</f>
        <v>44.2</v>
      </c>
      <c r="AB11" s="21">
        <f>VLOOKUP(A:A,[1]TDSheet!$A:$AB,28,0)</f>
        <v>0</v>
      </c>
      <c r="AC11" s="21">
        <f>S11*H11</f>
        <v>35.440000000000012</v>
      </c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21"/>
      <c r="BA11" s="21"/>
      <c r="BB11" s="21"/>
      <c r="BC11" s="21"/>
      <c r="BD11" s="21"/>
      <c r="BE11" s="21"/>
    </row>
    <row r="12" spans="1:57" ht="11.1" customHeight="1">
      <c r="A12" s="18" t="s">
        <v>37</v>
      </c>
      <c r="B12" s="18" t="s">
        <v>38</v>
      </c>
      <c r="C12" s="18">
        <f>VLOOKUP(A:A,[1]TDSheet!$A:$C,3,0)</f>
        <v>3287</v>
      </c>
      <c r="D12" s="19">
        <v>162.53299999999999</v>
      </c>
      <c r="E12" s="19">
        <v>12.378</v>
      </c>
      <c r="F12" s="19">
        <v>36.232999999999997</v>
      </c>
      <c r="G12" s="19">
        <v>124.77</v>
      </c>
      <c r="H12" s="20">
        <f>VLOOKUP(A:A,[1]TDSheet!$A:$H,8,0)</f>
        <v>1</v>
      </c>
      <c r="I12" s="21">
        <f>VLOOKUP(A:A,[1]TDSheet!$A:$I,9,0)</f>
        <v>120</v>
      </c>
      <c r="J12" s="21" t="str">
        <f>VLOOKUP(A:A,[1]TDSheet!$A:$J,10,0)</f>
        <v>в матрице</v>
      </c>
      <c r="K12" s="21"/>
      <c r="L12" s="21">
        <f>VLOOKUP(A:A,[2]TDSheet!$A:$B,2,0)</f>
        <v>37.1</v>
      </c>
      <c r="M12" s="21">
        <f t="shared" ref="M12:M75" si="2">F12-L12</f>
        <v>-0.86700000000000443</v>
      </c>
      <c r="N12" s="21"/>
      <c r="O12" s="21"/>
      <c r="P12" s="21">
        <f>VLOOKUP(A:A,[1]TDSheet!$A:$S,19,0)</f>
        <v>0</v>
      </c>
      <c r="Q12" s="21">
        <v>0</v>
      </c>
      <c r="R12" s="21">
        <f t="shared" ref="R12:R75" si="3">F12/5</f>
        <v>7.246599999999999</v>
      </c>
      <c r="S12" s="22"/>
      <c r="T12" s="22"/>
      <c r="U12" s="21"/>
      <c r="V12" s="21">
        <f t="shared" ref="V12:V75" si="4">(G12+P12+Q12+S12)/R12</f>
        <v>17.217729693925428</v>
      </c>
      <c r="W12" s="21">
        <f t="shared" ref="W12:W75" si="5">G12/R12</f>
        <v>17.217729693925428</v>
      </c>
      <c r="X12" s="21">
        <f>VLOOKUP(A:A,[1]TDSheet!$A:$Y,25,0)</f>
        <v>4.343</v>
      </c>
      <c r="Y12" s="21">
        <f>VLOOKUP(A:A,[1]TDSheet!$A:$Z,26,0)</f>
        <v>7.6756000000000002</v>
      </c>
      <c r="Z12" s="21">
        <f>VLOOKUP(A:A,[1]TDSheet!$A:$AA,27,0)</f>
        <v>9.3382000000000005</v>
      </c>
      <c r="AA12" s="21">
        <f>VLOOKUP(A:A,[1]TDSheet!$A:$R,18,0)</f>
        <v>4.9813999999999998</v>
      </c>
      <c r="AB12" s="21">
        <f>VLOOKUP(A:A,[1]TDSheet!$A:$AB,28,0)</f>
        <v>0</v>
      </c>
      <c r="AC12" s="21">
        <f t="shared" ref="AC12:AC75" si="6">S12*H12</f>
        <v>0</v>
      </c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1"/>
    </row>
    <row r="13" spans="1:57" ht="11.1" customHeight="1">
      <c r="A13" s="18" t="s">
        <v>39</v>
      </c>
      <c r="B13" s="18" t="s">
        <v>36</v>
      </c>
      <c r="C13" s="18">
        <f>VLOOKUP(A:A,[1]TDSheet!$A:$C,3,0)</f>
        <v>3986</v>
      </c>
      <c r="D13" s="19">
        <v>2</v>
      </c>
      <c r="E13" s="19">
        <v>400</v>
      </c>
      <c r="F13" s="19">
        <v>15</v>
      </c>
      <c r="G13" s="19">
        <v>343</v>
      </c>
      <c r="H13" s="20">
        <f>VLOOKUP(A:A,[1]TDSheet!$A:$H,8,0)</f>
        <v>0.25</v>
      </c>
      <c r="I13" s="21">
        <f>VLOOKUP(A:A,[1]TDSheet!$A:$I,9,0)</f>
        <v>120</v>
      </c>
      <c r="J13" s="21" t="str">
        <f>VLOOKUP(A:A,[1]TDSheet!$A:$J,10,0)</f>
        <v>в матрице</v>
      </c>
      <c r="K13" s="21"/>
      <c r="L13" s="21">
        <f>VLOOKUP(A:A,[2]TDSheet!$A:$B,2,0)</f>
        <v>50</v>
      </c>
      <c r="M13" s="21">
        <f t="shared" si="2"/>
        <v>-35</v>
      </c>
      <c r="N13" s="21"/>
      <c r="O13" s="21"/>
      <c r="P13" s="21">
        <f>VLOOKUP(A:A,[1]TDSheet!$A:$S,19,0)</f>
        <v>100</v>
      </c>
      <c r="Q13" s="21">
        <v>100</v>
      </c>
      <c r="R13" s="21">
        <f t="shared" si="3"/>
        <v>3</v>
      </c>
      <c r="S13" s="22"/>
      <c r="T13" s="22"/>
      <c r="U13" s="21"/>
      <c r="V13" s="21">
        <f t="shared" si="4"/>
        <v>181</v>
      </c>
      <c r="W13" s="21">
        <f t="shared" si="5"/>
        <v>114.33333333333333</v>
      </c>
      <c r="X13" s="21">
        <f>VLOOKUP(A:A,[1]TDSheet!$A:$Y,25,0)</f>
        <v>20.2</v>
      </c>
      <c r="Y13" s="21">
        <f>VLOOKUP(A:A,[1]TDSheet!$A:$Z,26,0)</f>
        <v>17.600000000000001</v>
      </c>
      <c r="Z13" s="21">
        <f>VLOOKUP(A:A,[1]TDSheet!$A:$AA,27,0)</f>
        <v>29.8</v>
      </c>
      <c r="AA13" s="21">
        <f>VLOOKUP(A:A,[1]TDSheet!$A:$R,18,0)</f>
        <v>23</v>
      </c>
      <c r="AB13" s="21">
        <f>VLOOKUP(A:A,[1]TDSheet!$A:$AB,28,0)</f>
        <v>0</v>
      </c>
      <c r="AC13" s="21">
        <f t="shared" si="6"/>
        <v>0</v>
      </c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  <c r="AY13" s="21"/>
      <c r="AZ13" s="21"/>
      <c r="BA13" s="21"/>
      <c r="BB13" s="21"/>
      <c r="BC13" s="21"/>
      <c r="BD13" s="21"/>
      <c r="BE13" s="21"/>
    </row>
    <row r="14" spans="1:57" ht="11.1" customHeight="1">
      <c r="A14" s="18" t="s">
        <v>40</v>
      </c>
      <c r="B14" s="18" t="s">
        <v>38</v>
      </c>
      <c r="C14" s="18">
        <f>VLOOKUP(A:A,[1]TDSheet!$A:$C,3,0)</f>
        <v>4063</v>
      </c>
      <c r="D14" s="19">
        <v>229.071</v>
      </c>
      <c r="E14" s="19">
        <v>145.49700000000001</v>
      </c>
      <c r="F14" s="19">
        <v>144.49100000000001</v>
      </c>
      <c r="G14" s="19">
        <v>208.37</v>
      </c>
      <c r="H14" s="20">
        <f>VLOOKUP(A:A,[1]TDSheet!$A:$H,8,0)</f>
        <v>1</v>
      </c>
      <c r="I14" s="21">
        <f>VLOOKUP(A:A,[1]TDSheet!$A:$I,9,0)</f>
        <v>60</v>
      </c>
      <c r="J14" s="21" t="str">
        <f>VLOOKUP(A:A,[1]TDSheet!$A:$J,10,0)</f>
        <v>в матрице</v>
      </c>
      <c r="K14" s="21"/>
      <c r="L14" s="21">
        <f>VLOOKUP(A:A,[2]TDSheet!$A:$B,2,0)</f>
        <v>129.30000000000001</v>
      </c>
      <c r="M14" s="21">
        <f t="shared" si="2"/>
        <v>15.191000000000003</v>
      </c>
      <c r="N14" s="21"/>
      <c r="O14" s="21"/>
      <c r="P14" s="21">
        <f>VLOOKUP(A:A,[1]TDSheet!$A:$S,19,0)</f>
        <v>175</v>
      </c>
      <c r="Q14" s="21">
        <v>175</v>
      </c>
      <c r="R14" s="21">
        <f t="shared" si="3"/>
        <v>28.898200000000003</v>
      </c>
      <c r="S14" s="22"/>
      <c r="T14" s="22"/>
      <c r="U14" s="21"/>
      <c r="V14" s="21">
        <f t="shared" si="4"/>
        <v>19.321964689842272</v>
      </c>
      <c r="W14" s="21">
        <f t="shared" si="5"/>
        <v>7.2104836979465841</v>
      </c>
      <c r="X14" s="21">
        <f>VLOOKUP(A:A,[1]TDSheet!$A:$Y,25,0)</f>
        <v>44.527200000000001</v>
      </c>
      <c r="Y14" s="21">
        <f>VLOOKUP(A:A,[1]TDSheet!$A:$Z,26,0)</f>
        <v>41.238999999999997</v>
      </c>
      <c r="Z14" s="21">
        <f>VLOOKUP(A:A,[1]TDSheet!$A:$AA,27,0)</f>
        <v>37.770800000000001</v>
      </c>
      <c r="AA14" s="21">
        <f>VLOOKUP(A:A,[1]TDSheet!$A:$R,18,0)</f>
        <v>42.983400000000003</v>
      </c>
      <c r="AB14" s="21">
        <f>VLOOKUP(A:A,[1]TDSheet!$A:$AB,28,0)</f>
        <v>0</v>
      </c>
      <c r="AC14" s="21">
        <f t="shared" si="6"/>
        <v>0</v>
      </c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</row>
    <row r="15" spans="1:57" ht="11.1" customHeight="1">
      <c r="A15" s="18" t="s">
        <v>41</v>
      </c>
      <c r="B15" s="18" t="s">
        <v>38</v>
      </c>
      <c r="C15" s="18">
        <f>VLOOKUP(A:A,[1]TDSheet!$A:$C,3,0)</f>
        <v>4117</v>
      </c>
      <c r="D15" s="19">
        <v>68.97</v>
      </c>
      <c r="E15" s="19">
        <v>0.497</v>
      </c>
      <c r="F15" s="19">
        <v>34.814</v>
      </c>
      <c r="G15" s="19">
        <v>26.702999999999999</v>
      </c>
      <c r="H15" s="20">
        <f>VLOOKUP(A:A,[1]TDSheet!$A:$H,8,0)</f>
        <v>1</v>
      </c>
      <c r="I15" s="21">
        <f>VLOOKUP(A:A,[1]TDSheet!$A:$I,9,0)</f>
        <v>120</v>
      </c>
      <c r="J15" s="21" t="str">
        <f>VLOOKUP(A:A,[1]TDSheet!$A:$J,10,0)</f>
        <v>в матрице</v>
      </c>
      <c r="K15" s="21"/>
      <c r="L15" s="21">
        <f>VLOOKUP(A:A,[2]TDSheet!$A:$B,2,0)</f>
        <v>33.1</v>
      </c>
      <c r="M15" s="21">
        <f t="shared" si="2"/>
        <v>1.7139999999999986</v>
      </c>
      <c r="N15" s="21"/>
      <c r="O15" s="21"/>
      <c r="P15" s="21">
        <f>VLOOKUP(A:A,[1]TDSheet!$A:$S,19,0)</f>
        <v>0</v>
      </c>
      <c r="Q15" s="21">
        <v>0</v>
      </c>
      <c r="R15" s="21">
        <f t="shared" si="3"/>
        <v>6.9627999999999997</v>
      </c>
      <c r="S15" s="22"/>
      <c r="T15" s="22"/>
      <c r="U15" s="21"/>
      <c r="V15" s="21">
        <f t="shared" si="4"/>
        <v>3.8350950766932845</v>
      </c>
      <c r="W15" s="21">
        <f t="shared" si="5"/>
        <v>3.8350950766932845</v>
      </c>
      <c r="X15" s="21">
        <f>VLOOKUP(A:A,[1]TDSheet!$A:$Y,25,0)</f>
        <v>3.0634000000000001</v>
      </c>
      <c r="Y15" s="21">
        <f>VLOOKUP(A:A,[1]TDSheet!$A:$Z,26,0)</f>
        <v>5.3411999999999997</v>
      </c>
      <c r="Z15" s="21">
        <f>VLOOKUP(A:A,[1]TDSheet!$A:$AA,27,0)</f>
        <v>4.3540000000000001</v>
      </c>
      <c r="AA15" s="21">
        <f>VLOOKUP(A:A,[1]TDSheet!$A:$R,18,0)</f>
        <v>3.1852</v>
      </c>
      <c r="AB15" s="21">
        <f>VLOOKUP(A:A,[1]TDSheet!$A:$AB,28,0)</f>
        <v>0</v>
      </c>
      <c r="AC15" s="21">
        <f t="shared" si="6"/>
        <v>0</v>
      </c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  <c r="AY15" s="21"/>
      <c r="AZ15" s="21"/>
      <c r="BA15" s="21"/>
      <c r="BB15" s="21"/>
      <c r="BC15" s="21"/>
      <c r="BD15" s="21"/>
      <c r="BE15" s="21"/>
    </row>
    <row r="16" spans="1:57" ht="11.1" customHeight="1">
      <c r="A16" s="18" t="s">
        <v>42</v>
      </c>
      <c r="B16" s="18" t="s">
        <v>38</v>
      </c>
      <c r="C16" s="18">
        <f>VLOOKUP(A:A,[1]TDSheet!$A:$C,3,0)</f>
        <v>4574</v>
      </c>
      <c r="D16" s="19">
        <v>65.501000000000005</v>
      </c>
      <c r="E16" s="19">
        <v>98.346000000000004</v>
      </c>
      <c r="F16" s="19">
        <v>39.273000000000003</v>
      </c>
      <c r="G16" s="19">
        <v>112.36199999999999</v>
      </c>
      <c r="H16" s="20">
        <f>VLOOKUP(A:A,[1]TDSheet!$A:$H,8,0)</f>
        <v>1</v>
      </c>
      <c r="I16" s="21">
        <f>VLOOKUP(A:A,[1]TDSheet!$A:$I,9,0)</f>
        <v>60</v>
      </c>
      <c r="J16" s="21" t="str">
        <f>VLOOKUP(A:A,[1]TDSheet!$A:$J,10,0)</f>
        <v>в матрице</v>
      </c>
      <c r="K16" s="21"/>
      <c r="L16" s="21">
        <f>VLOOKUP(A:A,[2]TDSheet!$A:$B,2,0)</f>
        <v>34.700000000000003</v>
      </c>
      <c r="M16" s="21">
        <f t="shared" si="2"/>
        <v>4.5730000000000004</v>
      </c>
      <c r="N16" s="21"/>
      <c r="O16" s="21"/>
      <c r="P16" s="21">
        <f>VLOOKUP(A:A,[1]TDSheet!$A:$S,19,0)</f>
        <v>0</v>
      </c>
      <c r="Q16" s="21">
        <v>0</v>
      </c>
      <c r="R16" s="21">
        <f t="shared" si="3"/>
        <v>7.8546000000000005</v>
      </c>
      <c r="S16" s="22"/>
      <c r="T16" s="22"/>
      <c r="U16" s="21"/>
      <c r="V16" s="21">
        <f t="shared" si="4"/>
        <v>14.305247880223053</v>
      </c>
      <c r="W16" s="21">
        <f t="shared" si="5"/>
        <v>14.305247880223053</v>
      </c>
      <c r="X16" s="21">
        <f>VLOOKUP(A:A,[1]TDSheet!$A:$Y,25,0)</f>
        <v>10.9404</v>
      </c>
      <c r="Y16" s="21">
        <f>VLOOKUP(A:A,[1]TDSheet!$A:$Z,26,0)</f>
        <v>10.395</v>
      </c>
      <c r="Z16" s="21">
        <f>VLOOKUP(A:A,[1]TDSheet!$A:$AA,27,0)</f>
        <v>11.516999999999999</v>
      </c>
      <c r="AA16" s="21">
        <f>VLOOKUP(A:A,[1]TDSheet!$A:$R,18,0)</f>
        <v>8.6346000000000007</v>
      </c>
      <c r="AB16" s="21">
        <f>VLOOKUP(A:A,[1]TDSheet!$A:$AB,28,0)</f>
        <v>0</v>
      </c>
      <c r="AC16" s="21">
        <f t="shared" si="6"/>
        <v>0</v>
      </c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</row>
    <row r="17" spans="1:57" ht="11.1" customHeight="1">
      <c r="A17" s="18" t="s">
        <v>43</v>
      </c>
      <c r="B17" s="18" t="s">
        <v>38</v>
      </c>
      <c r="C17" s="18">
        <f>VLOOKUP(A:A,[1]TDSheet!$A:$C,3,0)</f>
        <v>4813</v>
      </c>
      <c r="D17" s="19">
        <v>31.683</v>
      </c>
      <c r="E17" s="19">
        <v>417.63</v>
      </c>
      <c r="F17" s="19">
        <v>93.775999999999996</v>
      </c>
      <c r="G17" s="19">
        <v>337.72500000000002</v>
      </c>
      <c r="H17" s="20">
        <f>VLOOKUP(A:A,[1]TDSheet!$A:$H,8,0)</f>
        <v>1</v>
      </c>
      <c r="I17" s="21">
        <f>VLOOKUP(A:A,[1]TDSheet!$A:$I,9,0)</f>
        <v>60</v>
      </c>
      <c r="J17" s="21" t="str">
        <f>VLOOKUP(A:A,[1]TDSheet!$A:$J,10,0)</f>
        <v>в матрице</v>
      </c>
      <c r="K17" s="21"/>
      <c r="L17" s="21">
        <f>VLOOKUP(A:A,[2]TDSheet!$A:$B,2,0)</f>
        <v>117.9</v>
      </c>
      <c r="M17" s="21">
        <f t="shared" si="2"/>
        <v>-24.124000000000009</v>
      </c>
      <c r="N17" s="21"/>
      <c r="O17" s="21"/>
      <c r="P17" s="21">
        <f>VLOOKUP(A:A,[1]TDSheet!$A:$S,19,0)</f>
        <v>110</v>
      </c>
      <c r="Q17" s="21">
        <v>110</v>
      </c>
      <c r="R17" s="21">
        <f t="shared" si="3"/>
        <v>18.755199999999999</v>
      </c>
      <c r="S17" s="22"/>
      <c r="T17" s="22"/>
      <c r="U17" s="21"/>
      <c r="V17" s="21">
        <f t="shared" si="4"/>
        <v>29.737086248080537</v>
      </c>
      <c r="W17" s="21">
        <f t="shared" si="5"/>
        <v>18.007006056986864</v>
      </c>
      <c r="X17" s="21">
        <f>VLOOKUP(A:A,[1]TDSheet!$A:$Y,25,0)</f>
        <v>35.5212</v>
      </c>
      <c r="Y17" s="21">
        <f>VLOOKUP(A:A,[1]TDSheet!$A:$Z,26,0)</f>
        <v>29.197199999999999</v>
      </c>
      <c r="Z17" s="21">
        <f>VLOOKUP(A:A,[1]TDSheet!$A:$AA,27,0)</f>
        <v>40.128599999999999</v>
      </c>
      <c r="AA17" s="21">
        <f>VLOOKUP(A:A,[1]TDSheet!$A:$R,18,0)</f>
        <v>41.007599999999996</v>
      </c>
      <c r="AB17" s="21">
        <f>VLOOKUP(A:A,[1]TDSheet!$A:$AB,28,0)</f>
        <v>0</v>
      </c>
      <c r="AC17" s="21">
        <f t="shared" si="6"/>
        <v>0</v>
      </c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</row>
    <row r="18" spans="1:57" ht="11.1" customHeight="1">
      <c r="A18" s="18" t="s">
        <v>44</v>
      </c>
      <c r="B18" s="18" t="s">
        <v>36</v>
      </c>
      <c r="C18" s="18">
        <f>VLOOKUP(A:A,[1]TDSheet!$A:$C,3,0)</f>
        <v>4993</v>
      </c>
      <c r="D18" s="19">
        <v>419</v>
      </c>
      <c r="E18" s="19"/>
      <c r="F18" s="19">
        <v>161</v>
      </c>
      <c r="G18" s="19">
        <v>225</v>
      </c>
      <c r="H18" s="20">
        <f>VLOOKUP(A:A,[1]TDSheet!$A:$H,8,0)</f>
        <v>0.25</v>
      </c>
      <c r="I18" s="21">
        <f>VLOOKUP(A:A,[1]TDSheet!$A:$I,9,0)</f>
        <v>120</v>
      </c>
      <c r="J18" s="21" t="str">
        <f>VLOOKUP(A:A,[1]TDSheet!$A:$J,10,0)</f>
        <v>в матрице</v>
      </c>
      <c r="K18" s="21"/>
      <c r="L18" s="21">
        <f>VLOOKUP(A:A,[2]TDSheet!$A:$B,2,0)</f>
        <v>155</v>
      </c>
      <c r="M18" s="21">
        <f t="shared" si="2"/>
        <v>6</v>
      </c>
      <c r="N18" s="21"/>
      <c r="O18" s="21"/>
      <c r="P18" s="21">
        <f>VLOOKUP(A:A,[1]TDSheet!$A:$S,19,0)</f>
        <v>8</v>
      </c>
      <c r="Q18" s="21">
        <v>8</v>
      </c>
      <c r="R18" s="21">
        <f t="shared" si="3"/>
        <v>32.200000000000003</v>
      </c>
      <c r="S18" s="22">
        <f t="shared" ref="S18:S75" si="7">R18*14-G18-P18-Q18</f>
        <v>209.80000000000007</v>
      </c>
      <c r="T18" s="22">
        <v>300</v>
      </c>
      <c r="U18" s="21"/>
      <c r="V18" s="21">
        <f t="shared" si="4"/>
        <v>14</v>
      </c>
      <c r="W18" s="21">
        <f t="shared" si="5"/>
        <v>6.9875776397515521</v>
      </c>
      <c r="X18" s="21">
        <f>VLOOKUP(A:A,[1]TDSheet!$A:$Y,25,0)</f>
        <v>21.2</v>
      </c>
      <c r="Y18" s="21">
        <f>VLOOKUP(A:A,[1]TDSheet!$A:$Z,26,0)</f>
        <v>39</v>
      </c>
      <c r="Z18" s="21">
        <f>VLOOKUP(A:A,[1]TDSheet!$A:$AA,27,0)</f>
        <v>16.8</v>
      </c>
      <c r="AA18" s="21">
        <f>VLOOKUP(A:A,[1]TDSheet!$A:$R,18,0)</f>
        <v>24</v>
      </c>
      <c r="AB18" s="21">
        <f>VLOOKUP(A:A,[1]TDSheet!$A:$AB,28,0)</f>
        <v>0</v>
      </c>
      <c r="AC18" s="21">
        <f t="shared" si="6"/>
        <v>52.450000000000017</v>
      </c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</row>
    <row r="19" spans="1:57" ht="11.1" customHeight="1">
      <c r="A19" s="18" t="s">
        <v>45</v>
      </c>
      <c r="B19" s="18" t="s">
        <v>38</v>
      </c>
      <c r="C19" s="18">
        <f>VLOOKUP(A:A,[1]TDSheet!$A:$C,3,0)</f>
        <v>5452</v>
      </c>
      <c r="D19" s="19">
        <v>57.832000000000001</v>
      </c>
      <c r="E19" s="19"/>
      <c r="F19" s="19">
        <v>37.018000000000001</v>
      </c>
      <c r="G19" s="19">
        <v>12.75</v>
      </c>
      <c r="H19" s="20">
        <f>VLOOKUP(A:A,[1]TDSheet!$A:$H,8,0)</f>
        <v>1</v>
      </c>
      <c r="I19" s="21">
        <f>VLOOKUP(A:A,[1]TDSheet!$A:$I,9,0)</f>
        <v>60</v>
      </c>
      <c r="J19" s="21" t="str">
        <f>VLOOKUP(A:A,[1]TDSheet!$A:$J,10,0)</f>
        <v>в матрице</v>
      </c>
      <c r="K19" s="21"/>
      <c r="L19" s="21">
        <f>VLOOKUP(A:A,[2]TDSheet!$A:$B,2,0)</f>
        <v>32.299999999999997</v>
      </c>
      <c r="M19" s="21">
        <f t="shared" si="2"/>
        <v>4.7180000000000035</v>
      </c>
      <c r="N19" s="21"/>
      <c r="O19" s="21"/>
      <c r="P19" s="21">
        <f>VLOOKUP(A:A,[1]TDSheet!$A:$S,19,0)</f>
        <v>40</v>
      </c>
      <c r="Q19" s="21">
        <v>40</v>
      </c>
      <c r="R19" s="21">
        <f t="shared" si="3"/>
        <v>7.4036</v>
      </c>
      <c r="S19" s="22"/>
      <c r="T19" s="22"/>
      <c r="U19" s="21"/>
      <c r="V19" s="21">
        <f t="shared" si="4"/>
        <v>12.527689232265384</v>
      </c>
      <c r="W19" s="21">
        <f t="shared" si="5"/>
        <v>1.7221351774812255</v>
      </c>
      <c r="X19" s="21">
        <f>VLOOKUP(A:A,[1]TDSheet!$A:$Y,25,0)</f>
        <v>5.9554</v>
      </c>
      <c r="Y19" s="21">
        <f>VLOOKUP(A:A,[1]TDSheet!$A:$Z,26,0)</f>
        <v>7.3453999999999997</v>
      </c>
      <c r="Z19" s="21">
        <f>VLOOKUP(A:A,[1]TDSheet!$A:$AA,27,0)</f>
        <v>7.6818</v>
      </c>
      <c r="AA19" s="21">
        <f>VLOOKUP(A:A,[1]TDSheet!$A:$R,18,0)</f>
        <v>10.1214</v>
      </c>
      <c r="AB19" s="21">
        <f>VLOOKUP(A:A,[1]TDSheet!$A:$AB,28,0)</f>
        <v>0</v>
      </c>
      <c r="AC19" s="21">
        <f t="shared" si="6"/>
        <v>0</v>
      </c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</row>
    <row r="20" spans="1:57" ht="11.1" customHeight="1">
      <c r="A20" s="18" t="s">
        <v>46</v>
      </c>
      <c r="B20" s="18" t="s">
        <v>36</v>
      </c>
      <c r="C20" s="18">
        <f>VLOOKUP(A:A,[1]TDSheet!$A:$C,3,0)</f>
        <v>5483</v>
      </c>
      <c r="D20" s="19">
        <v>187</v>
      </c>
      <c r="E20" s="19">
        <v>336</v>
      </c>
      <c r="F20" s="19">
        <v>195</v>
      </c>
      <c r="G20" s="19">
        <v>285</v>
      </c>
      <c r="H20" s="20">
        <f>VLOOKUP(A:A,[1]TDSheet!$A:$H,8,0)</f>
        <v>0.25</v>
      </c>
      <c r="I20" s="21">
        <f>VLOOKUP(A:A,[1]TDSheet!$A:$I,9,0)</f>
        <v>120</v>
      </c>
      <c r="J20" s="21" t="str">
        <f>VLOOKUP(A:A,[1]TDSheet!$A:$J,10,0)</f>
        <v>в матрице</v>
      </c>
      <c r="K20" s="21"/>
      <c r="L20" s="21">
        <f>VLOOKUP(A:A,[2]TDSheet!$A:$B,2,0)</f>
        <v>192</v>
      </c>
      <c r="M20" s="21">
        <f t="shared" si="2"/>
        <v>3</v>
      </c>
      <c r="N20" s="21"/>
      <c r="O20" s="21"/>
      <c r="P20" s="21">
        <f>VLOOKUP(A:A,[1]TDSheet!$A:$S,19,0)</f>
        <v>60</v>
      </c>
      <c r="Q20" s="21">
        <v>60</v>
      </c>
      <c r="R20" s="21">
        <f t="shared" si="3"/>
        <v>39</v>
      </c>
      <c r="S20" s="22">
        <f t="shared" si="7"/>
        <v>141</v>
      </c>
      <c r="T20" s="22">
        <v>250</v>
      </c>
      <c r="U20" s="21"/>
      <c r="V20" s="21">
        <f t="shared" si="4"/>
        <v>14</v>
      </c>
      <c r="W20" s="21">
        <f t="shared" si="5"/>
        <v>7.3076923076923075</v>
      </c>
      <c r="X20" s="21">
        <f>VLOOKUP(A:A,[1]TDSheet!$A:$Y,25,0)</f>
        <v>29.6</v>
      </c>
      <c r="Y20" s="21">
        <f>VLOOKUP(A:A,[1]TDSheet!$A:$Z,26,0)</f>
        <v>40.6</v>
      </c>
      <c r="Z20" s="21">
        <f>VLOOKUP(A:A,[1]TDSheet!$A:$AA,27,0)</f>
        <v>47.4</v>
      </c>
      <c r="AA20" s="21">
        <f>VLOOKUP(A:A,[1]TDSheet!$A:$R,18,0)</f>
        <v>43.6</v>
      </c>
      <c r="AB20" s="21">
        <f>VLOOKUP(A:A,[1]TDSheet!$A:$AB,28,0)</f>
        <v>0</v>
      </c>
      <c r="AC20" s="21">
        <f t="shared" si="6"/>
        <v>35.25</v>
      </c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21"/>
      <c r="BA20" s="21"/>
      <c r="BB20" s="21"/>
      <c r="BC20" s="21"/>
      <c r="BD20" s="21"/>
      <c r="BE20" s="21"/>
    </row>
    <row r="21" spans="1:57" ht="11.1" customHeight="1">
      <c r="A21" s="18" t="s">
        <v>47</v>
      </c>
      <c r="B21" s="18" t="s">
        <v>36</v>
      </c>
      <c r="C21" s="18">
        <f>VLOOKUP(A:A,[1]TDSheet!$A:$C,3,0)</f>
        <v>5495</v>
      </c>
      <c r="D21" s="19">
        <v>101</v>
      </c>
      <c r="E21" s="19">
        <v>198</v>
      </c>
      <c r="F21" s="19">
        <v>114</v>
      </c>
      <c r="G21" s="19">
        <v>146</v>
      </c>
      <c r="H21" s="20">
        <f>VLOOKUP(A:A,[1]TDSheet!$A:$H,8,0)</f>
        <v>0.4</v>
      </c>
      <c r="I21" s="21">
        <f>VLOOKUP(A:A,[1]TDSheet!$A:$I,9,0)</f>
        <v>60</v>
      </c>
      <c r="J21" s="21" t="str">
        <f>VLOOKUP(A:A,[1]TDSheet!$A:$J,10,0)</f>
        <v>в матрице</v>
      </c>
      <c r="K21" s="21"/>
      <c r="L21" s="21">
        <f>VLOOKUP(A:A,[2]TDSheet!$A:$B,2,0)</f>
        <v>104</v>
      </c>
      <c r="M21" s="21">
        <f t="shared" si="2"/>
        <v>10</v>
      </c>
      <c r="N21" s="21"/>
      <c r="O21" s="21"/>
      <c r="P21" s="21">
        <f>VLOOKUP(A:A,[1]TDSheet!$A:$S,19,0)</f>
        <v>35</v>
      </c>
      <c r="Q21" s="21">
        <v>35</v>
      </c>
      <c r="R21" s="21">
        <f t="shared" si="3"/>
        <v>22.8</v>
      </c>
      <c r="S21" s="22">
        <f t="shared" si="7"/>
        <v>103.19999999999999</v>
      </c>
      <c r="T21" s="22">
        <v>103</v>
      </c>
      <c r="U21" s="21"/>
      <c r="V21" s="21">
        <f t="shared" si="4"/>
        <v>13.999999999999998</v>
      </c>
      <c r="W21" s="21">
        <f t="shared" si="5"/>
        <v>6.4035087719298245</v>
      </c>
      <c r="X21" s="21">
        <f>VLOOKUP(A:A,[1]TDSheet!$A:$Y,25,0)</f>
        <v>10</v>
      </c>
      <c r="Y21" s="21">
        <f>VLOOKUP(A:A,[1]TDSheet!$A:$Z,26,0)</f>
        <v>16.399999999999999</v>
      </c>
      <c r="Z21" s="21">
        <f>VLOOKUP(A:A,[1]TDSheet!$A:$AA,27,0)</f>
        <v>19.600000000000001</v>
      </c>
      <c r="AA21" s="21">
        <f>VLOOKUP(A:A,[1]TDSheet!$A:$R,18,0)</f>
        <v>8.1999999999999993</v>
      </c>
      <c r="AB21" s="21">
        <f>VLOOKUP(A:A,[1]TDSheet!$A:$AB,28,0)</f>
        <v>0</v>
      </c>
      <c r="AC21" s="21">
        <f t="shared" si="6"/>
        <v>41.28</v>
      </c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</row>
    <row r="22" spans="1:57" ht="11.1" customHeight="1">
      <c r="A22" s="18" t="s">
        <v>48</v>
      </c>
      <c r="B22" s="18" t="s">
        <v>38</v>
      </c>
      <c r="C22" s="18">
        <f>VLOOKUP(A:A,[1]TDSheet!$A:$C,3,0)</f>
        <v>5544</v>
      </c>
      <c r="D22" s="19">
        <v>320.49599999999998</v>
      </c>
      <c r="E22" s="19">
        <v>126.685</v>
      </c>
      <c r="F22" s="19">
        <v>244.18899999999999</v>
      </c>
      <c r="G22" s="19">
        <v>185.49</v>
      </c>
      <c r="H22" s="20">
        <f>VLOOKUP(A:A,[1]TDSheet!$A:$H,8,0)</f>
        <v>1</v>
      </c>
      <c r="I22" s="21">
        <f>VLOOKUP(A:A,[1]TDSheet!$A:$I,9,0)</f>
        <v>45</v>
      </c>
      <c r="J22" s="21" t="str">
        <f>VLOOKUP(A:A,[1]TDSheet!$A:$J,10,0)</f>
        <v>в матрице</v>
      </c>
      <c r="K22" s="21"/>
      <c r="L22" s="21">
        <f>VLOOKUP(A:A,[2]TDSheet!$A:$B,2,0)</f>
        <v>231.1</v>
      </c>
      <c r="M22" s="21">
        <f t="shared" si="2"/>
        <v>13.088999999999999</v>
      </c>
      <c r="N22" s="21"/>
      <c r="O22" s="21"/>
      <c r="P22" s="21">
        <f>VLOOKUP(A:A,[1]TDSheet!$A:$S,19,0)</f>
        <v>100</v>
      </c>
      <c r="Q22" s="21">
        <v>100</v>
      </c>
      <c r="R22" s="21">
        <f t="shared" si="3"/>
        <v>48.837800000000001</v>
      </c>
      <c r="S22" s="22">
        <f t="shared" si="7"/>
        <v>298.23919999999998</v>
      </c>
      <c r="T22" s="22">
        <v>350</v>
      </c>
      <c r="U22" s="21"/>
      <c r="V22" s="21">
        <f t="shared" si="4"/>
        <v>14</v>
      </c>
      <c r="W22" s="21">
        <f t="shared" si="5"/>
        <v>3.7980826327148236</v>
      </c>
      <c r="X22" s="21">
        <f>VLOOKUP(A:A,[1]TDSheet!$A:$Y,25,0)</f>
        <v>39.526200000000003</v>
      </c>
      <c r="Y22" s="21">
        <f>VLOOKUP(A:A,[1]TDSheet!$A:$Z,26,0)</f>
        <v>46.965800000000002</v>
      </c>
      <c r="Z22" s="21">
        <f>VLOOKUP(A:A,[1]TDSheet!$A:$AA,27,0)</f>
        <v>42.197000000000003</v>
      </c>
      <c r="AA22" s="21">
        <f>VLOOKUP(A:A,[1]TDSheet!$A:$R,18,0)</f>
        <v>42.3718</v>
      </c>
      <c r="AB22" s="21">
        <f>VLOOKUP(A:A,[1]TDSheet!$A:$AB,28,0)</f>
        <v>0</v>
      </c>
      <c r="AC22" s="21">
        <f t="shared" si="6"/>
        <v>298.23919999999998</v>
      </c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</row>
    <row r="23" spans="1:57" ht="11.1" customHeight="1">
      <c r="A23" s="18" t="s">
        <v>49</v>
      </c>
      <c r="B23" s="18" t="s">
        <v>36</v>
      </c>
      <c r="C23" s="18">
        <f>VLOOKUP(A:A,[1]TDSheet!$A:$C,3,0)</f>
        <v>5679</v>
      </c>
      <c r="D23" s="19">
        <v>197</v>
      </c>
      <c r="E23" s="19">
        <v>7</v>
      </c>
      <c r="F23" s="19">
        <v>7</v>
      </c>
      <c r="G23" s="19"/>
      <c r="H23" s="20">
        <f>VLOOKUP(A:A,[1]TDSheet!$A:$H,8,0)</f>
        <v>0.15</v>
      </c>
      <c r="I23" s="21">
        <f>VLOOKUP(A:A,[1]TDSheet!$A:$I,9,0)</f>
        <v>60</v>
      </c>
      <c r="J23" s="21" t="e">
        <f>VLOOKUP(A:A,[1]TDSheet!$A:$J,10,0)</f>
        <v>#VALUE!</v>
      </c>
      <c r="K23" s="21"/>
      <c r="L23" s="21">
        <f>VLOOKUP(A:A,[2]TDSheet!$A:$B,2,0)</f>
        <v>17</v>
      </c>
      <c r="M23" s="21">
        <f t="shared" si="2"/>
        <v>-10</v>
      </c>
      <c r="N23" s="21"/>
      <c r="O23" s="21"/>
      <c r="P23" s="21">
        <f>VLOOKUP(A:A,[1]TDSheet!$A:$S,19,0)</f>
        <v>0</v>
      </c>
      <c r="Q23" s="21">
        <v>0</v>
      </c>
      <c r="R23" s="21">
        <f t="shared" si="3"/>
        <v>1.4</v>
      </c>
      <c r="S23" s="22">
        <f t="shared" si="7"/>
        <v>19.599999999999998</v>
      </c>
      <c r="T23" s="22">
        <v>50</v>
      </c>
      <c r="U23" s="21"/>
      <c r="V23" s="21">
        <f t="shared" si="4"/>
        <v>14</v>
      </c>
      <c r="W23" s="21">
        <f t="shared" si="5"/>
        <v>0</v>
      </c>
      <c r="X23" s="21">
        <f>VLOOKUP(A:A,[1]TDSheet!$A:$Y,25,0)</f>
        <v>3.2</v>
      </c>
      <c r="Y23" s="21">
        <f>VLOOKUP(A:A,[1]TDSheet!$A:$Z,26,0)</f>
        <v>6</v>
      </c>
      <c r="Z23" s="21">
        <f>VLOOKUP(A:A,[1]TDSheet!$A:$AA,27,0)</f>
        <v>0.2</v>
      </c>
      <c r="AA23" s="21">
        <f>VLOOKUP(A:A,[1]TDSheet!$A:$R,18,0)</f>
        <v>1.4</v>
      </c>
      <c r="AB23" s="21" t="str">
        <f>VLOOKUP(A:A,[1]TDSheet!$A:$AB,28,0)</f>
        <v>увел продажи</v>
      </c>
      <c r="AC23" s="21">
        <f t="shared" si="6"/>
        <v>2.9399999999999995</v>
      </c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</row>
    <row r="24" spans="1:57" ht="11.1" customHeight="1">
      <c r="A24" s="18" t="s">
        <v>50</v>
      </c>
      <c r="B24" s="18" t="s">
        <v>38</v>
      </c>
      <c r="C24" s="18">
        <f>VLOOKUP(A:A,[1]TDSheet!$A:$C,3,0)</f>
        <v>5708</v>
      </c>
      <c r="D24" s="19">
        <v>48.2</v>
      </c>
      <c r="E24" s="19"/>
      <c r="F24" s="19">
        <v>35.325000000000003</v>
      </c>
      <c r="G24" s="19">
        <v>3.8530000000000002</v>
      </c>
      <c r="H24" s="20">
        <f>VLOOKUP(A:A,[1]TDSheet!$A:$H,8,0)</f>
        <v>1</v>
      </c>
      <c r="I24" s="21">
        <f>VLOOKUP(A:A,[1]TDSheet!$A:$I,9,0)</f>
        <v>120</v>
      </c>
      <c r="J24" s="21" t="str">
        <f>VLOOKUP(A:A,[1]TDSheet!$A:$J,10,0)</f>
        <v>в матрице</v>
      </c>
      <c r="K24" s="21"/>
      <c r="L24" s="21">
        <f>VLOOKUP(A:A,[2]TDSheet!$A:$B,2,0)</f>
        <v>33.5</v>
      </c>
      <c r="M24" s="21">
        <f t="shared" si="2"/>
        <v>1.8250000000000028</v>
      </c>
      <c r="N24" s="21"/>
      <c r="O24" s="21"/>
      <c r="P24" s="21">
        <f>VLOOKUP(A:A,[1]TDSheet!$A:$S,19,0)</f>
        <v>10</v>
      </c>
      <c r="Q24" s="21">
        <v>10</v>
      </c>
      <c r="R24" s="21">
        <f t="shared" si="3"/>
        <v>7.0650000000000004</v>
      </c>
      <c r="S24" s="22">
        <f t="shared" si="7"/>
        <v>75.057000000000016</v>
      </c>
      <c r="T24" s="22">
        <v>150</v>
      </c>
      <c r="U24" s="21"/>
      <c r="V24" s="21">
        <f t="shared" si="4"/>
        <v>14.000000000000004</v>
      </c>
      <c r="W24" s="21">
        <f t="shared" si="5"/>
        <v>0.54536447275300781</v>
      </c>
      <c r="X24" s="21">
        <f>VLOOKUP(A:A,[1]TDSheet!$A:$Y,25,0)</f>
        <v>1.4081999999999999</v>
      </c>
      <c r="Y24" s="21">
        <f>VLOOKUP(A:A,[1]TDSheet!$A:$Z,26,0)</f>
        <v>3.726</v>
      </c>
      <c r="Z24" s="21">
        <f>VLOOKUP(A:A,[1]TDSheet!$A:$AA,27,0)</f>
        <v>3.508</v>
      </c>
      <c r="AA24" s="21">
        <f>VLOOKUP(A:A,[1]TDSheet!$A:$R,18,0)</f>
        <v>2.3460000000000001</v>
      </c>
      <c r="AB24" s="21">
        <f>VLOOKUP(A:A,[1]TDSheet!$A:$AB,28,0)</f>
        <v>0</v>
      </c>
      <c r="AC24" s="21">
        <f t="shared" si="6"/>
        <v>75.057000000000016</v>
      </c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</row>
    <row r="25" spans="1:57" ht="11.1" customHeight="1">
      <c r="A25" s="18" t="s">
        <v>51</v>
      </c>
      <c r="B25" s="18" t="s">
        <v>36</v>
      </c>
      <c r="C25" s="18">
        <f>VLOOKUP(A:A,[1]TDSheet!$A:$C,3,0)</f>
        <v>5819</v>
      </c>
      <c r="D25" s="19">
        <v>197</v>
      </c>
      <c r="E25" s="19">
        <v>48</v>
      </c>
      <c r="F25" s="19">
        <v>152</v>
      </c>
      <c r="G25" s="19">
        <v>77</v>
      </c>
      <c r="H25" s="20">
        <f>VLOOKUP(A:A,[1]TDSheet!$A:$H,8,0)</f>
        <v>0.4</v>
      </c>
      <c r="I25" s="21">
        <f>VLOOKUP(A:A,[1]TDSheet!$A:$I,9,0)</f>
        <v>45</v>
      </c>
      <c r="J25" s="21" t="str">
        <f>VLOOKUP(A:A,[1]TDSheet!$A:$J,10,0)</f>
        <v>в матрице</v>
      </c>
      <c r="K25" s="21"/>
      <c r="L25" s="21">
        <f>VLOOKUP(A:A,[2]TDSheet!$A:$B,2,0)</f>
        <v>140</v>
      </c>
      <c r="M25" s="21">
        <f t="shared" si="2"/>
        <v>12</v>
      </c>
      <c r="N25" s="21"/>
      <c r="O25" s="21"/>
      <c r="P25" s="21">
        <f>VLOOKUP(A:A,[1]TDSheet!$A:$S,19,0)</f>
        <v>150</v>
      </c>
      <c r="Q25" s="21">
        <v>150</v>
      </c>
      <c r="R25" s="21">
        <f t="shared" si="3"/>
        <v>30.4</v>
      </c>
      <c r="S25" s="22">
        <f t="shared" si="7"/>
        <v>48.599999999999966</v>
      </c>
      <c r="T25" s="22">
        <v>120</v>
      </c>
      <c r="U25" s="21"/>
      <c r="V25" s="21">
        <f t="shared" si="4"/>
        <v>14</v>
      </c>
      <c r="W25" s="21">
        <f t="shared" si="5"/>
        <v>2.5328947368421053</v>
      </c>
      <c r="X25" s="21">
        <f>VLOOKUP(A:A,[1]TDSheet!$A:$Y,25,0)</f>
        <v>27.2</v>
      </c>
      <c r="Y25" s="21">
        <f>VLOOKUP(A:A,[1]TDSheet!$A:$Z,26,0)</f>
        <v>29.4</v>
      </c>
      <c r="Z25" s="21">
        <f>VLOOKUP(A:A,[1]TDSheet!$A:$AA,27,0)</f>
        <v>17.399999999999999</v>
      </c>
      <c r="AA25" s="21">
        <f>VLOOKUP(A:A,[1]TDSheet!$A:$R,18,0)</f>
        <v>33.4</v>
      </c>
      <c r="AB25" s="21">
        <f>VLOOKUP(A:A,[1]TDSheet!$A:$AB,28,0)</f>
        <v>0</v>
      </c>
      <c r="AC25" s="21">
        <f t="shared" si="6"/>
        <v>19.439999999999987</v>
      </c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  <c r="AY25" s="21"/>
      <c r="AZ25" s="21"/>
      <c r="BA25" s="21"/>
      <c r="BB25" s="21"/>
      <c r="BC25" s="21"/>
      <c r="BD25" s="21"/>
      <c r="BE25" s="21"/>
    </row>
    <row r="26" spans="1:57" ht="11.1" customHeight="1">
      <c r="A26" s="18" t="s">
        <v>52</v>
      </c>
      <c r="B26" s="18" t="s">
        <v>38</v>
      </c>
      <c r="C26" s="18">
        <f>VLOOKUP(A:A,[1]TDSheet!$A:$C,3,0)</f>
        <v>5851</v>
      </c>
      <c r="D26" s="19">
        <v>166.46700000000001</v>
      </c>
      <c r="E26" s="19">
        <v>18.937999999999999</v>
      </c>
      <c r="F26" s="19">
        <v>157.155</v>
      </c>
      <c r="G26" s="19">
        <v>12.026</v>
      </c>
      <c r="H26" s="20">
        <f>VLOOKUP(A:A,[1]TDSheet!$A:$H,8,0)</f>
        <v>1</v>
      </c>
      <c r="I26" s="21">
        <f>VLOOKUP(A:A,[1]TDSheet!$A:$I,9,0)</f>
        <v>60</v>
      </c>
      <c r="J26" s="21" t="str">
        <f>VLOOKUP(A:A,[1]TDSheet!$A:$J,10,0)</f>
        <v>в матрице</v>
      </c>
      <c r="K26" s="21"/>
      <c r="L26" s="21">
        <f>VLOOKUP(A:A,[2]TDSheet!$A:$B,2,0)</f>
        <v>162.78299999999999</v>
      </c>
      <c r="M26" s="21">
        <f t="shared" si="2"/>
        <v>-5.6279999999999859</v>
      </c>
      <c r="N26" s="21"/>
      <c r="O26" s="21"/>
      <c r="P26" s="21">
        <f>VLOOKUP(A:A,[1]TDSheet!$A:$S,19,0)</f>
        <v>100</v>
      </c>
      <c r="Q26" s="21">
        <v>100</v>
      </c>
      <c r="R26" s="21">
        <f t="shared" si="3"/>
        <v>31.431000000000001</v>
      </c>
      <c r="S26" s="22">
        <f t="shared" si="7"/>
        <v>228.00799999999998</v>
      </c>
      <c r="T26" s="22">
        <v>320</v>
      </c>
      <c r="U26" s="21"/>
      <c r="V26" s="21">
        <f t="shared" si="4"/>
        <v>14</v>
      </c>
      <c r="W26" s="21">
        <f t="shared" si="5"/>
        <v>0.38261588877223124</v>
      </c>
      <c r="X26" s="21">
        <f>VLOOKUP(A:A,[1]TDSheet!$A:$Y,25,0)</f>
        <v>19.7346</v>
      </c>
      <c r="Y26" s="21">
        <f>VLOOKUP(A:A,[1]TDSheet!$A:$Z,26,0)</f>
        <v>23.421399999999998</v>
      </c>
      <c r="Z26" s="21">
        <f>VLOOKUP(A:A,[1]TDSheet!$A:$AA,27,0)</f>
        <v>20.12</v>
      </c>
      <c r="AA26" s="21">
        <f>VLOOKUP(A:A,[1]TDSheet!$A:$R,18,0)</f>
        <v>23.541599999999999</v>
      </c>
      <c r="AB26" s="21">
        <f>VLOOKUP(A:A,[1]TDSheet!$A:$AB,28,0)</f>
        <v>0</v>
      </c>
      <c r="AC26" s="21">
        <f t="shared" si="6"/>
        <v>228.00799999999998</v>
      </c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  <c r="AY26" s="21"/>
      <c r="AZ26" s="21"/>
      <c r="BA26" s="21"/>
      <c r="BB26" s="21"/>
      <c r="BC26" s="21"/>
      <c r="BD26" s="21"/>
      <c r="BE26" s="21"/>
    </row>
    <row r="27" spans="1:57" ht="11.1" customHeight="1">
      <c r="A27" s="18" t="s">
        <v>53</v>
      </c>
      <c r="B27" s="18" t="s">
        <v>36</v>
      </c>
      <c r="C27" s="18">
        <f>VLOOKUP(A:A,[1]TDSheet!$A:$C,3,0)</f>
        <v>5931</v>
      </c>
      <c r="D27" s="19">
        <v>318</v>
      </c>
      <c r="E27" s="19">
        <v>152</v>
      </c>
      <c r="F27" s="19">
        <v>202</v>
      </c>
      <c r="G27" s="19">
        <v>242</v>
      </c>
      <c r="H27" s="20">
        <f>VLOOKUP(A:A,[1]TDSheet!$A:$H,8,0)</f>
        <v>0.22</v>
      </c>
      <c r="I27" s="21">
        <f>VLOOKUP(A:A,[1]TDSheet!$A:$I,9,0)</f>
        <v>120</v>
      </c>
      <c r="J27" s="21" t="str">
        <f>VLOOKUP(A:A,[1]TDSheet!$A:$J,10,0)</f>
        <v>в матрице</v>
      </c>
      <c r="K27" s="21"/>
      <c r="L27" s="21">
        <f>VLOOKUP(A:A,[2]TDSheet!$A:$B,2,0)</f>
        <v>196</v>
      </c>
      <c r="M27" s="21">
        <f t="shared" si="2"/>
        <v>6</v>
      </c>
      <c r="N27" s="21"/>
      <c r="O27" s="21"/>
      <c r="P27" s="21">
        <f>VLOOKUP(A:A,[1]TDSheet!$A:$S,19,0)</f>
        <v>70</v>
      </c>
      <c r="Q27" s="21">
        <v>70</v>
      </c>
      <c r="R27" s="21">
        <f t="shared" si="3"/>
        <v>40.4</v>
      </c>
      <c r="S27" s="22">
        <f t="shared" si="7"/>
        <v>183.60000000000002</v>
      </c>
      <c r="T27" s="22">
        <v>250</v>
      </c>
      <c r="U27" s="21"/>
      <c r="V27" s="21">
        <f t="shared" si="4"/>
        <v>14.000000000000002</v>
      </c>
      <c r="W27" s="21">
        <f t="shared" si="5"/>
        <v>5.9900990099009901</v>
      </c>
      <c r="X27" s="21">
        <f>VLOOKUP(A:A,[1]TDSheet!$A:$Y,25,0)</f>
        <v>40</v>
      </c>
      <c r="Y27" s="21">
        <f>VLOOKUP(A:A,[1]TDSheet!$A:$Z,26,0)</f>
        <v>49.2</v>
      </c>
      <c r="Z27" s="21">
        <f>VLOOKUP(A:A,[1]TDSheet!$A:$AA,27,0)</f>
        <v>45</v>
      </c>
      <c r="AA27" s="21">
        <f>VLOOKUP(A:A,[1]TDSheet!$A:$R,18,0)</f>
        <v>43.2</v>
      </c>
      <c r="AB27" s="21">
        <f>VLOOKUP(A:A,[1]TDSheet!$A:$AB,28,0)</f>
        <v>0</v>
      </c>
      <c r="AC27" s="21">
        <f t="shared" si="6"/>
        <v>40.392000000000003</v>
      </c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</row>
    <row r="28" spans="1:57" ht="11.1" customHeight="1">
      <c r="A28" s="18" t="s">
        <v>54</v>
      </c>
      <c r="B28" s="18" t="s">
        <v>36</v>
      </c>
      <c r="C28" s="18">
        <f>VLOOKUP(A:A,[1]TDSheet!$A:$C,3,0)</f>
        <v>6208</v>
      </c>
      <c r="D28" s="19">
        <v>105</v>
      </c>
      <c r="E28" s="19"/>
      <c r="F28" s="19">
        <v>62</v>
      </c>
      <c r="G28" s="19">
        <v>29</v>
      </c>
      <c r="H28" s="20">
        <f>VLOOKUP(A:A,[1]TDSheet!$A:$H,8,0)</f>
        <v>0.15</v>
      </c>
      <c r="I28" s="21">
        <f>VLOOKUP(A:A,[1]TDSheet!$A:$I,9,0)</f>
        <v>45</v>
      </c>
      <c r="J28" s="21" t="str">
        <f>VLOOKUP(A:A,[1]TDSheet!$A:$J,10,0)</f>
        <v>в матрице</v>
      </c>
      <c r="K28" s="21"/>
      <c r="L28" s="21">
        <f>VLOOKUP(A:A,[2]TDSheet!$A:$B,2,0)</f>
        <v>55</v>
      </c>
      <c r="M28" s="21">
        <f t="shared" si="2"/>
        <v>7</v>
      </c>
      <c r="N28" s="21"/>
      <c r="O28" s="21"/>
      <c r="P28" s="21">
        <f>VLOOKUP(A:A,[1]TDSheet!$A:$S,19,0)</f>
        <v>0</v>
      </c>
      <c r="Q28" s="21">
        <v>0</v>
      </c>
      <c r="R28" s="21">
        <f t="shared" si="3"/>
        <v>12.4</v>
      </c>
      <c r="S28" s="22">
        <f t="shared" si="7"/>
        <v>144.6</v>
      </c>
      <c r="T28" s="22">
        <v>250</v>
      </c>
      <c r="U28" s="21"/>
      <c r="V28" s="21">
        <f t="shared" si="4"/>
        <v>14</v>
      </c>
      <c r="W28" s="21">
        <f t="shared" si="5"/>
        <v>2.338709677419355</v>
      </c>
      <c r="X28" s="21">
        <f>VLOOKUP(A:A,[1]TDSheet!$A:$Y,25,0)</f>
        <v>5.4</v>
      </c>
      <c r="Y28" s="21">
        <f>VLOOKUP(A:A,[1]TDSheet!$A:$Z,26,0)</f>
        <v>0.6</v>
      </c>
      <c r="Z28" s="21">
        <f>VLOOKUP(A:A,[1]TDSheet!$A:$AA,27,0)</f>
        <v>1</v>
      </c>
      <c r="AA28" s="21">
        <f>VLOOKUP(A:A,[1]TDSheet!$A:$R,18,0)</f>
        <v>1.4</v>
      </c>
      <c r="AB28" s="21" t="str">
        <f>VLOOKUP(A:A,[1]TDSheet!$A:$AB,28,0)</f>
        <v>увел продажи</v>
      </c>
      <c r="AC28" s="21">
        <f t="shared" si="6"/>
        <v>21.689999999999998</v>
      </c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  <c r="AY28" s="21"/>
      <c r="AZ28" s="21"/>
      <c r="BA28" s="21"/>
      <c r="BB28" s="21"/>
      <c r="BC28" s="21"/>
      <c r="BD28" s="21"/>
      <c r="BE28" s="21"/>
    </row>
    <row r="29" spans="1:57" ht="11.1" customHeight="1">
      <c r="A29" s="18" t="s">
        <v>55</v>
      </c>
      <c r="B29" s="18" t="s">
        <v>38</v>
      </c>
      <c r="C29" s="18">
        <f>VLOOKUP(A:A,[1]TDSheet!$A:$C,3,0)</f>
        <v>6220</v>
      </c>
      <c r="D29" s="19">
        <v>25.646000000000001</v>
      </c>
      <c r="E29" s="19"/>
      <c r="F29" s="19">
        <v>24.366</v>
      </c>
      <c r="G29" s="19">
        <v>1.28</v>
      </c>
      <c r="H29" s="20">
        <f>VLOOKUP(A:A,[1]TDSheet!$A:$H,8,0)</f>
        <v>1</v>
      </c>
      <c r="I29" s="21">
        <f>VLOOKUP(A:A,[1]TDSheet!$A:$I,9,0)</f>
        <v>60</v>
      </c>
      <c r="J29" s="21" t="str">
        <f>VLOOKUP(A:A,[1]TDSheet!$A:$J,10,0)</f>
        <v>в матрице</v>
      </c>
      <c r="K29" s="21"/>
      <c r="L29" s="21">
        <f>VLOOKUP(A:A,[2]TDSheet!$A:$B,2,0)</f>
        <v>34.4</v>
      </c>
      <c r="M29" s="21">
        <f t="shared" si="2"/>
        <v>-10.033999999999999</v>
      </c>
      <c r="N29" s="21"/>
      <c r="O29" s="21"/>
      <c r="P29" s="21">
        <f>VLOOKUP(A:A,[1]TDSheet!$A:$S,19,0)</f>
        <v>150</v>
      </c>
      <c r="Q29" s="21">
        <v>150</v>
      </c>
      <c r="R29" s="21">
        <f t="shared" si="3"/>
        <v>4.8731999999999998</v>
      </c>
      <c r="S29" s="22"/>
      <c r="T29" s="22"/>
      <c r="U29" s="21"/>
      <c r="V29" s="21">
        <f t="shared" si="4"/>
        <v>61.823852909792329</v>
      </c>
      <c r="W29" s="21">
        <f t="shared" si="5"/>
        <v>0.26266108511860792</v>
      </c>
      <c r="X29" s="21">
        <f>VLOOKUP(A:A,[1]TDSheet!$A:$Y,25,0)</f>
        <v>11.37</v>
      </c>
      <c r="Y29" s="21">
        <f>VLOOKUP(A:A,[1]TDSheet!$A:$Z,26,0)</f>
        <v>11.285399999999999</v>
      </c>
      <c r="Z29" s="21">
        <f>VLOOKUP(A:A,[1]TDSheet!$A:$AA,27,0)</f>
        <v>6.53</v>
      </c>
      <c r="AA29" s="21">
        <f>VLOOKUP(A:A,[1]TDSheet!$A:$R,18,0)</f>
        <v>18.799199999999999</v>
      </c>
      <c r="AB29" s="21">
        <f>VLOOKUP(A:A,[1]TDSheet!$A:$AB,28,0)</f>
        <v>0</v>
      </c>
      <c r="AC29" s="21">
        <f t="shared" si="6"/>
        <v>0</v>
      </c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</row>
    <row r="30" spans="1:57" ht="11.1" customHeight="1">
      <c r="A30" s="18" t="s">
        <v>56</v>
      </c>
      <c r="B30" s="18" t="s">
        <v>36</v>
      </c>
      <c r="C30" s="18">
        <f>VLOOKUP(A:A,[1]TDSheet!$A:$C,3,0)</f>
        <v>6221</v>
      </c>
      <c r="D30" s="19">
        <v>70</v>
      </c>
      <c r="E30" s="19">
        <v>10</v>
      </c>
      <c r="F30" s="19">
        <v>73</v>
      </c>
      <c r="G30" s="19">
        <v>-3</v>
      </c>
      <c r="H30" s="20">
        <f>VLOOKUP(A:A,[1]TDSheet!$A:$H,8,0)</f>
        <v>0.09</v>
      </c>
      <c r="I30" s="21">
        <f>VLOOKUP(A:A,[1]TDSheet!$A:$I,9,0)</f>
        <v>60</v>
      </c>
      <c r="J30" s="21" t="str">
        <f>VLOOKUP(A:A,[1]TDSheet!$A:$J,10,0)</f>
        <v>в матрице</v>
      </c>
      <c r="K30" s="21"/>
      <c r="L30" s="21">
        <f>VLOOKUP(A:A,[2]TDSheet!$A:$B,2,0)</f>
        <v>76</v>
      </c>
      <c r="M30" s="21">
        <f t="shared" si="2"/>
        <v>-3</v>
      </c>
      <c r="N30" s="21"/>
      <c r="O30" s="21"/>
      <c r="P30" s="21">
        <f>VLOOKUP(A:A,[1]TDSheet!$A:$S,19,0)</f>
        <v>65</v>
      </c>
      <c r="Q30" s="21">
        <v>65</v>
      </c>
      <c r="R30" s="21">
        <f t="shared" si="3"/>
        <v>14.6</v>
      </c>
      <c r="S30" s="22">
        <f t="shared" si="7"/>
        <v>77.400000000000006</v>
      </c>
      <c r="T30" s="22">
        <v>120</v>
      </c>
      <c r="U30" s="21"/>
      <c r="V30" s="21">
        <f t="shared" si="4"/>
        <v>14</v>
      </c>
      <c r="W30" s="21">
        <f t="shared" si="5"/>
        <v>-0.20547945205479454</v>
      </c>
      <c r="X30" s="21">
        <f>VLOOKUP(A:A,[1]TDSheet!$A:$Y,25,0)</f>
        <v>12</v>
      </c>
      <c r="Y30" s="21">
        <f>VLOOKUP(A:A,[1]TDSheet!$A:$Z,26,0)</f>
        <v>11.4</v>
      </c>
      <c r="Z30" s="21">
        <f>VLOOKUP(A:A,[1]TDSheet!$A:$AA,27,0)</f>
        <v>9.4</v>
      </c>
      <c r="AA30" s="21">
        <f>VLOOKUP(A:A,[1]TDSheet!$A:$R,18,0)</f>
        <v>14.4</v>
      </c>
      <c r="AB30" s="21">
        <f>VLOOKUP(A:A,[1]TDSheet!$A:$AB,28,0)</f>
        <v>0</v>
      </c>
      <c r="AC30" s="21">
        <f t="shared" si="6"/>
        <v>6.9660000000000002</v>
      </c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</row>
    <row r="31" spans="1:57" ht="11.1" customHeight="1">
      <c r="A31" s="18" t="s">
        <v>57</v>
      </c>
      <c r="B31" s="18" t="s">
        <v>36</v>
      </c>
      <c r="C31" s="18">
        <f>VLOOKUP(A:A,[1]TDSheet!$A:$C,3,0)</f>
        <v>6228</v>
      </c>
      <c r="D31" s="23"/>
      <c r="E31" s="19">
        <v>140</v>
      </c>
      <c r="F31" s="19">
        <v>47</v>
      </c>
      <c r="G31" s="19">
        <v>74</v>
      </c>
      <c r="H31" s="20">
        <f>VLOOKUP(A:A,[1]TDSheet!$A:$H,8,0)</f>
        <v>0.09</v>
      </c>
      <c r="I31" s="21">
        <f>VLOOKUP(A:A,[1]TDSheet!$A:$I,9,0)</f>
        <v>45</v>
      </c>
      <c r="J31" s="21" t="str">
        <f>VLOOKUP(A:A,[1]TDSheet!$A:$J,10,0)</f>
        <v>в матрице</v>
      </c>
      <c r="K31" s="21"/>
      <c r="L31" s="21">
        <f>VLOOKUP(A:A,[2]TDSheet!$A:$B,2,0)</f>
        <v>2</v>
      </c>
      <c r="M31" s="21">
        <f t="shared" si="2"/>
        <v>45</v>
      </c>
      <c r="N31" s="21"/>
      <c r="O31" s="21"/>
      <c r="P31" s="21">
        <f>VLOOKUP(A:A,[1]TDSheet!$A:$S,19,0)</f>
        <v>65</v>
      </c>
      <c r="Q31" s="21">
        <v>65</v>
      </c>
      <c r="R31" s="21">
        <f t="shared" si="3"/>
        <v>9.4</v>
      </c>
      <c r="S31" s="22"/>
      <c r="T31" s="22"/>
      <c r="U31" s="21"/>
      <c r="V31" s="21">
        <f t="shared" si="4"/>
        <v>21.702127659574469</v>
      </c>
      <c r="W31" s="21">
        <f t="shared" si="5"/>
        <v>7.8723404255319149</v>
      </c>
      <c r="X31" s="21">
        <f>VLOOKUP(A:A,[1]TDSheet!$A:$Y,25,0)</f>
        <v>7.2</v>
      </c>
      <c r="Y31" s="21">
        <f>VLOOKUP(A:A,[1]TDSheet!$A:$Z,26,0)</f>
        <v>11.2</v>
      </c>
      <c r="Z31" s="21">
        <f>VLOOKUP(A:A,[1]TDSheet!$A:$AA,27,0)</f>
        <v>11.8</v>
      </c>
      <c r="AA31" s="21">
        <f>VLOOKUP(A:A,[1]TDSheet!$A:$R,18,0)</f>
        <v>20.6</v>
      </c>
      <c r="AB31" s="21" t="str">
        <f>VLOOKUP(A:A,[1]TDSheet!$A:$AB,28,0)</f>
        <v>увел продажи</v>
      </c>
      <c r="AC31" s="21">
        <f t="shared" si="6"/>
        <v>0</v>
      </c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  <c r="AY31" s="21"/>
      <c r="AZ31" s="21"/>
      <c r="BA31" s="21"/>
      <c r="BB31" s="21"/>
      <c r="BC31" s="21"/>
      <c r="BD31" s="21"/>
      <c r="BE31" s="21"/>
    </row>
    <row r="32" spans="1:57" ht="11.1" customHeight="1">
      <c r="A32" s="18" t="s">
        <v>58</v>
      </c>
      <c r="B32" s="18" t="s">
        <v>36</v>
      </c>
      <c r="C32" s="18">
        <f>VLOOKUP(A:A,[1]TDSheet!$A:$C,3,0)</f>
        <v>6279</v>
      </c>
      <c r="D32" s="19">
        <v>3</v>
      </c>
      <c r="E32" s="19">
        <v>224</v>
      </c>
      <c r="F32" s="19">
        <v>9</v>
      </c>
      <c r="G32" s="19">
        <v>193</v>
      </c>
      <c r="H32" s="20">
        <f>VLOOKUP(A:A,[1]TDSheet!$A:$H,8,0)</f>
        <v>0.15</v>
      </c>
      <c r="I32" s="21">
        <f>VLOOKUP(A:A,[1]TDSheet!$A:$I,9,0)</f>
        <v>45</v>
      </c>
      <c r="J32" s="21" t="str">
        <f>VLOOKUP(A:A,[1]TDSheet!$A:$J,10,0)</f>
        <v>в матрице</v>
      </c>
      <c r="K32" s="21"/>
      <c r="L32" s="21">
        <f>VLOOKUP(A:A,[2]TDSheet!$A:$B,2,0)</f>
        <v>24</v>
      </c>
      <c r="M32" s="21">
        <f t="shared" si="2"/>
        <v>-15</v>
      </c>
      <c r="N32" s="21"/>
      <c r="O32" s="21"/>
      <c r="P32" s="21">
        <f>VLOOKUP(A:A,[1]TDSheet!$A:$S,19,0)</f>
        <v>0</v>
      </c>
      <c r="Q32" s="21">
        <v>0</v>
      </c>
      <c r="R32" s="21">
        <f t="shared" si="3"/>
        <v>1.8</v>
      </c>
      <c r="S32" s="22"/>
      <c r="T32" s="22"/>
      <c r="U32" s="21"/>
      <c r="V32" s="21">
        <f t="shared" si="4"/>
        <v>107.22222222222221</v>
      </c>
      <c r="W32" s="21">
        <f t="shared" si="5"/>
        <v>107.22222222222221</v>
      </c>
      <c r="X32" s="21">
        <f>VLOOKUP(A:A,[1]TDSheet!$A:$Y,25,0)</f>
        <v>11.8</v>
      </c>
      <c r="Y32" s="21">
        <f>VLOOKUP(A:A,[1]TDSheet!$A:$Z,26,0)</f>
        <v>5.2</v>
      </c>
      <c r="Z32" s="21">
        <f>VLOOKUP(A:A,[1]TDSheet!$A:$AA,27,0)</f>
        <v>15.4</v>
      </c>
      <c r="AA32" s="21">
        <f>VLOOKUP(A:A,[1]TDSheet!$A:$R,18,0)</f>
        <v>13.4</v>
      </c>
      <c r="AB32" s="21" t="str">
        <f>VLOOKUP(A:A,[1]TDSheet!$A:$AB,28,0)</f>
        <v>увел продажи</v>
      </c>
      <c r="AC32" s="21">
        <f t="shared" si="6"/>
        <v>0</v>
      </c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</row>
    <row r="33" spans="1:57" ht="11.1" customHeight="1">
      <c r="A33" s="18" t="s">
        <v>59</v>
      </c>
      <c r="B33" s="18" t="s">
        <v>38</v>
      </c>
      <c r="C33" s="18">
        <f>VLOOKUP(A:A,[1]TDSheet!$A:$C,3,0)</f>
        <v>6303</v>
      </c>
      <c r="D33" s="19">
        <v>423.375</v>
      </c>
      <c r="E33" s="19">
        <v>272.43799999999999</v>
      </c>
      <c r="F33" s="19">
        <v>150.04400000000001</v>
      </c>
      <c r="G33" s="19">
        <v>492.81799999999998</v>
      </c>
      <c r="H33" s="20">
        <f>VLOOKUP(A:A,[1]TDSheet!$A:$H,8,0)</f>
        <v>1</v>
      </c>
      <c r="I33" s="21">
        <f>VLOOKUP(A:A,[1]TDSheet!$A:$I,9,0)</f>
        <v>45</v>
      </c>
      <c r="J33" s="21" t="str">
        <f>VLOOKUP(A:A,[1]TDSheet!$A:$J,10,0)</f>
        <v>в матрице</v>
      </c>
      <c r="K33" s="21"/>
      <c r="L33" s="21">
        <f>VLOOKUP(A:A,[2]TDSheet!$A:$B,2,0)</f>
        <v>187.29900000000001</v>
      </c>
      <c r="M33" s="21">
        <f t="shared" si="2"/>
        <v>-37.254999999999995</v>
      </c>
      <c r="N33" s="21"/>
      <c r="O33" s="21"/>
      <c r="P33" s="21">
        <f>VLOOKUP(A:A,[1]TDSheet!$A:$S,19,0)</f>
        <v>75</v>
      </c>
      <c r="Q33" s="21">
        <v>75</v>
      </c>
      <c r="R33" s="21">
        <f t="shared" si="3"/>
        <v>30.008800000000001</v>
      </c>
      <c r="S33" s="22"/>
      <c r="T33" s="22"/>
      <c r="U33" s="21"/>
      <c r="V33" s="21">
        <f t="shared" si="4"/>
        <v>21.420983178267708</v>
      </c>
      <c r="W33" s="21">
        <f t="shared" si="5"/>
        <v>16.422449414838312</v>
      </c>
      <c r="X33" s="21">
        <f>VLOOKUP(A:A,[1]TDSheet!$A:$Y,25,0)</f>
        <v>41.094799999999999</v>
      </c>
      <c r="Y33" s="21">
        <f>VLOOKUP(A:A,[1]TDSheet!$A:$Z,26,0)</f>
        <v>56.673999999999999</v>
      </c>
      <c r="Z33" s="21">
        <f>VLOOKUP(A:A,[1]TDSheet!$A:$AA,27,0)</f>
        <v>51.902200000000001</v>
      </c>
      <c r="AA33" s="21">
        <f>VLOOKUP(A:A,[1]TDSheet!$A:$R,18,0)</f>
        <v>37.003999999999998</v>
      </c>
      <c r="AB33" s="21">
        <f>VLOOKUP(A:A,[1]TDSheet!$A:$AB,28,0)</f>
        <v>0</v>
      </c>
      <c r="AC33" s="21">
        <f t="shared" si="6"/>
        <v>0</v>
      </c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</row>
    <row r="34" spans="1:57" ht="11.1" customHeight="1">
      <c r="A34" s="18" t="s">
        <v>60</v>
      </c>
      <c r="B34" s="18" t="s">
        <v>36</v>
      </c>
      <c r="C34" s="18">
        <f>VLOOKUP(A:A,[1]TDSheet!$A:$C,3,0)</f>
        <v>6325</v>
      </c>
      <c r="D34" s="19">
        <v>120</v>
      </c>
      <c r="E34" s="19">
        <v>3</v>
      </c>
      <c r="F34" s="19">
        <v>101</v>
      </c>
      <c r="G34" s="19">
        <v>15</v>
      </c>
      <c r="H34" s="20">
        <f>VLOOKUP(A:A,[1]TDSheet!$A:$H,8,0)</f>
        <v>0.4</v>
      </c>
      <c r="I34" s="21">
        <f>VLOOKUP(A:A,[1]TDSheet!$A:$I,9,0)</f>
        <v>60</v>
      </c>
      <c r="J34" s="21" t="str">
        <f>VLOOKUP(A:A,[1]TDSheet!$A:$J,10,0)</f>
        <v>в матрице</v>
      </c>
      <c r="K34" s="21"/>
      <c r="L34" s="21">
        <f>VLOOKUP(A:A,[2]TDSheet!$A:$B,2,0)</f>
        <v>95</v>
      </c>
      <c r="M34" s="21">
        <f t="shared" si="2"/>
        <v>6</v>
      </c>
      <c r="N34" s="21"/>
      <c r="O34" s="21"/>
      <c r="P34" s="21">
        <f>VLOOKUP(A:A,[1]TDSheet!$A:$S,19,0)</f>
        <v>0</v>
      </c>
      <c r="Q34" s="21">
        <v>0</v>
      </c>
      <c r="R34" s="21">
        <f t="shared" si="3"/>
        <v>20.2</v>
      </c>
      <c r="S34" s="22">
        <f t="shared" si="7"/>
        <v>267.8</v>
      </c>
      <c r="T34" s="22">
        <v>268</v>
      </c>
      <c r="U34" s="21"/>
      <c r="V34" s="21">
        <f t="shared" si="4"/>
        <v>14.000000000000002</v>
      </c>
      <c r="W34" s="21">
        <f t="shared" si="5"/>
        <v>0.74257425742574257</v>
      </c>
      <c r="X34" s="21">
        <f>VLOOKUP(A:A,[1]TDSheet!$A:$Y,25,0)</f>
        <v>6</v>
      </c>
      <c r="Y34" s="21">
        <f>VLOOKUP(A:A,[1]TDSheet!$A:$Z,26,0)</f>
        <v>12.6</v>
      </c>
      <c r="Z34" s="21">
        <f>VLOOKUP(A:A,[1]TDSheet!$A:$AA,27,0)</f>
        <v>9.1999999999999993</v>
      </c>
      <c r="AA34" s="21">
        <f>VLOOKUP(A:A,[1]TDSheet!$A:$R,18,0)</f>
        <v>9</v>
      </c>
      <c r="AB34" s="21">
        <f>VLOOKUP(A:A,[1]TDSheet!$A:$AB,28,0)</f>
        <v>0</v>
      </c>
      <c r="AC34" s="21">
        <f t="shared" si="6"/>
        <v>107.12</v>
      </c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</row>
    <row r="35" spans="1:57" ht="11.1" customHeight="1">
      <c r="A35" s="18" t="s">
        <v>61</v>
      </c>
      <c r="B35" s="18" t="s">
        <v>36</v>
      </c>
      <c r="C35" s="18">
        <f>VLOOKUP(A:A,[1]TDSheet!$A:$C,3,0)</f>
        <v>6333</v>
      </c>
      <c r="D35" s="19">
        <v>466</v>
      </c>
      <c r="E35" s="19">
        <v>409</v>
      </c>
      <c r="F35" s="19">
        <v>326</v>
      </c>
      <c r="G35" s="19">
        <v>507</v>
      </c>
      <c r="H35" s="20">
        <f>VLOOKUP(A:A,[1]TDSheet!$A:$H,8,0)</f>
        <v>0.4</v>
      </c>
      <c r="I35" s="21">
        <f>VLOOKUP(A:A,[1]TDSheet!$A:$I,9,0)</f>
        <v>60</v>
      </c>
      <c r="J35" s="21" t="str">
        <f>VLOOKUP(A:A,[1]TDSheet!$A:$J,10,0)</f>
        <v>в матрице</v>
      </c>
      <c r="K35" s="21"/>
      <c r="L35" s="21">
        <f>VLOOKUP(A:A,[2]TDSheet!$A:$B,2,0)</f>
        <v>313</v>
      </c>
      <c r="M35" s="21">
        <f t="shared" si="2"/>
        <v>13</v>
      </c>
      <c r="N35" s="21"/>
      <c r="O35" s="21"/>
      <c r="P35" s="21">
        <f>VLOOKUP(A:A,[1]TDSheet!$A:$S,19,0)</f>
        <v>50</v>
      </c>
      <c r="Q35" s="21">
        <v>50</v>
      </c>
      <c r="R35" s="21">
        <f t="shared" si="3"/>
        <v>65.2</v>
      </c>
      <c r="S35" s="22">
        <f t="shared" si="7"/>
        <v>305.80000000000007</v>
      </c>
      <c r="T35" s="22">
        <v>306</v>
      </c>
      <c r="U35" s="21"/>
      <c r="V35" s="21">
        <f t="shared" si="4"/>
        <v>14</v>
      </c>
      <c r="W35" s="21">
        <f t="shared" si="5"/>
        <v>7.7760736196319016</v>
      </c>
      <c r="X35" s="21">
        <f>VLOOKUP(A:A,[1]TDSheet!$A:$Y,25,0)</f>
        <v>48.4</v>
      </c>
      <c r="Y35" s="21">
        <f>VLOOKUP(A:A,[1]TDSheet!$A:$Z,26,0)</f>
        <v>67.400000000000006</v>
      </c>
      <c r="Z35" s="21">
        <f>VLOOKUP(A:A,[1]TDSheet!$A:$AA,27,0)</f>
        <v>72.400000000000006</v>
      </c>
      <c r="AA35" s="21">
        <f>VLOOKUP(A:A,[1]TDSheet!$A:$R,18,0)</f>
        <v>40.200000000000003</v>
      </c>
      <c r="AB35" s="21">
        <f>VLOOKUP(A:A,[1]TDSheet!$A:$AB,28,0)</f>
        <v>0</v>
      </c>
      <c r="AC35" s="21">
        <f t="shared" si="6"/>
        <v>122.32000000000004</v>
      </c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  <c r="AY35" s="21"/>
      <c r="AZ35" s="21"/>
      <c r="BA35" s="21"/>
      <c r="BB35" s="21"/>
      <c r="BC35" s="21"/>
      <c r="BD35" s="21"/>
      <c r="BE35" s="21"/>
    </row>
    <row r="36" spans="1:57" ht="11.1" customHeight="1">
      <c r="A36" s="33" t="s">
        <v>62</v>
      </c>
      <c r="B36" s="33" t="s">
        <v>36</v>
      </c>
      <c r="C36" s="33">
        <f>VLOOKUP(A:A,[1]TDSheet!$A:$C,3,0)</f>
        <v>6353</v>
      </c>
      <c r="D36" s="34">
        <v>670</v>
      </c>
      <c r="E36" s="34">
        <v>49</v>
      </c>
      <c r="F36" s="34">
        <v>241</v>
      </c>
      <c r="G36" s="34">
        <v>427</v>
      </c>
      <c r="H36" s="35">
        <f>VLOOKUP(A:A,[1]TDSheet!$A:$H,8,0)</f>
        <v>0.4</v>
      </c>
      <c r="I36" s="36">
        <f>VLOOKUP(A:A,[1]TDSheet!$A:$I,9,0)</f>
        <v>60</v>
      </c>
      <c r="J36" s="36" t="str">
        <f>VLOOKUP(A:A,[1]TDSheet!$A:$J,10,0)</f>
        <v>в матрице</v>
      </c>
      <c r="K36" s="36"/>
      <c r="L36" s="36">
        <f>VLOOKUP(A:A,[2]TDSheet!$A:$B,2,0)</f>
        <v>238</v>
      </c>
      <c r="M36" s="36">
        <f t="shared" si="2"/>
        <v>3</v>
      </c>
      <c r="N36" s="36"/>
      <c r="O36" s="36"/>
      <c r="P36" s="36">
        <f>VLOOKUP(A:A,[1]TDSheet!$A:$S,19,0)</f>
        <v>10</v>
      </c>
      <c r="Q36" s="36">
        <v>10</v>
      </c>
      <c r="R36" s="36">
        <f t="shared" si="3"/>
        <v>48.2</v>
      </c>
      <c r="S36" s="37">
        <f t="shared" si="7"/>
        <v>227.80000000000007</v>
      </c>
      <c r="T36" s="37">
        <v>0</v>
      </c>
      <c r="U36" s="21" t="s">
        <v>132</v>
      </c>
      <c r="V36" s="21">
        <f t="shared" si="4"/>
        <v>14</v>
      </c>
      <c r="W36" s="21">
        <f t="shared" si="5"/>
        <v>8.8589211618257249</v>
      </c>
      <c r="X36" s="21">
        <f>VLOOKUP(A:A,[1]TDSheet!$A:$Y,25,0)</f>
        <v>35.200000000000003</v>
      </c>
      <c r="Y36" s="21">
        <f>VLOOKUP(A:A,[1]TDSheet!$A:$Z,26,0)</f>
        <v>67.400000000000006</v>
      </c>
      <c r="Z36" s="21">
        <f>VLOOKUP(A:A,[1]TDSheet!$A:$AA,27,0)</f>
        <v>33.200000000000003</v>
      </c>
      <c r="AA36" s="21">
        <f>VLOOKUP(A:A,[1]TDSheet!$A:$R,18,0)</f>
        <v>28.2</v>
      </c>
      <c r="AB36" s="21">
        <f>VLOOKUP(A:A,[1]TDSheet!$A:$AB,28,0)</f>
        <v>0</v>
      </c>
      <c r="AC36" s="21">
        <f t="shared" si="6"/>
        <v>91.120000000000033</v>
      </c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</row>
    <row r="37" spans="1:57" ht="11.1" customHeight="1">
      <c r="A37" s="18" t="s">
        <v>63</v>
      </c>
      <c r="B37" s="18" t="s">
        <v>36</v>
      </c>
      <c r="C37" s="18">
        <f>VLOOKUP(A:A,[1]TDSheet!$A:$C,3,0)</f>
        <v>6392</v>
      </c>
      <c r="D37" s="19">
        <v>443</v>
      </c>
      <c r="E37" s="19">
        <v>217</v>
      </c>
      <c r="F37" s="19">
        <v>323</v>
      </c>
      <c r="G37" s="19">
        <v>285</v>
      </c>
      <c r="H37" s="20">
        <f>VLOOKUP(A:A,[1]TDSheet!$A:$H,8,0)</f>
        <v>0.4</v>
      </c>
      <c r="I37" s="21">
        <f>VLOOKUP(A:A,[1]TDSheet!$A:$I,9,0)</f>
        <v>60</v>
      </c>
      <c r="J37" s="21" t="str">
        <f>VLOOKUP(A:A,[1]TDSheet!$A:$J,10,0)</f>
        <v>в матрице</v>
      </c>
      <c r="K37" s="21"/>
      <c r="L37" s="21">
        <f>VLOOKUP(A:A,[2]TDSheet!$A:$B,2,0)</f>
        <v>319</v>
      </c>
      <c r="M37" s="21">
        <f t="shared" si="2"/>
        <v>4</v>
      </c>
      <c r="N37" s="21"/>
      <c r="O37" s="21"/>
      <c r="P37" s="21">
        <f>VLOOKUP(A:A,[1]TDSheet!$A:$S,19,0)</f>
        <v>100</v>
      </c>
      <c r="Q37" s="21">
        <v>100</v>
      </c>
      <c r="R37" s="21">
        <f t="shared" si="3"/>
        <v>64.599999999999994</v>
      </c>
      <c r="S37" s="22">
        <f t="shared" si="7"/>
        <v>419.39999999999986</v>
      </c>
      <c r="T37" s="22">
        <v>500</v>
      </c>
      <c r="U37" s="21"/>
      <c r="V37" s="21">
        <f t="shared" si="4"/>
        <v>14</v>
      </c>
      <c r="W37" s="21">
        <f t="shared" si="5"/>
        <v>4.4117647058823533</v>
      </c>
      <c r="X37" s="21">
        <f>VLOOKUP(A:A,[1]TDSheet!$A:$Y,25,0)</f>
        <v>52.8</v>
      </c>
      <c r="Y37" s="21">
        <f>VLOOKUP(A:A,[1]TDSheet!$A:$Z,26,0)</f>
        <v>67.599999999999994</v>
      </c>
      <c r="Z37" s="21">
        <f>VLOOKUP(A:A,[1]TDSheet!$A:$AA,27,0)</f>
        <v>63.2</v>
      </c>
      <c r="AA37" s="21">
        <f>VLOOKUP(A:A,[1]TDSheet!$A:$R,18,0)</f>
        <v>57.2</v>
      </c>
      <c r="AB37" s="21">
        <f>VLOOKUP(A:A,[1]TDSheet!$A:$AB,28,0)</f>
        <v>0</v>
      </c>
      <c r="AC37" s="21">
        <f t="shared" si="6"/>
        <v>167.75999999999996</v>
      </c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  <c r="AY37" s="21"/>
      <c r="AZ37" s="21"/>
      <c r="BA37" s="21"/>
      <c r="BB37" s="21"/>
      <c r="BC37" s="21"/>
      <c r="BD37" s="21"/>
      <c r="BE37" s="21"/>
    </row>
    <row r="38" spans="1:57" ht="11.1" customHeight="1">
      <c r="A38" s="18" t="s">
        <v>64</v>
      </c>
      <c r="B38" s="18" t="s">
        <v>36</v>
      </c>
      <c r="C38" s="18">
        <f>VLOOKUP(A:A,[1]TDSheet!$A:$C,3,0)</f>
        <v>6453</v>
      </c>
      <c r="D38" s="19">
        <v>399</v>
      </c>
      <c r="E38" s="19"/>
      <c r="F38" s="19">
        <v>119</v>
      </c>
      <c r="G38" s="19">
        <v>249</v>
      </c>
      <c r="H38" s="20">
        <f>VLOOKUP(A:A,[1]TDSheet!$A:$H,8,0)</f>
        <v>0.1</v>
      </c>
      <c r="I38" s="21">
        <f>VLOOKUP(A:A,[1]TDSheet!$A:$I,9,0)</f>
        <v>60</v>
      </c>
      <c r="J38" s="21" t="str">
        <f>VLOOKUP(A:A,[1]TDSheet!$A:$J,10,0)</f>
        <v>в матрице</v>
      </c>
      <c r="K38" s="21"/>
      <c r="L38" s="21">
        <f>VLOOKUP(A:A,[2]TDSheet!$A:$B,2,0)</f>
        <v>122</v>
      </c>
      <c r="M38" s="21">
        <f t="shared" si="2"/>
        <v>-3</v>
      </c>
      <c r="N38" s="21"/>
      <c r="O38" s="21"/>
      <c r="P38" s="21">
        <f>VLOOKUP(A:A,[1]TDSheet!$A:$S,19,0)</f>
        <v>0</v>
      </c>
      <c r="Q38" s="21">
        <v>0</v>
      </c>
      <c r="R38" s="21">
        <f t="shared" si="3"/>
        <v>23.8</v>
      </c>
      <c r="S38" s="22">
        <f t="shared" si="7"/>
        <v>84.199999999999989</v>
      </c>
      <c r="T38" s="22">
        <v>135</v>
      </c>
      <c r="U38" s="21"/>
      <c r="V38" s="21">
        <f t="shared" si="4"/>
        <v>13.999999999999998</v>
      </c>
      <c r="W38" s="21">
        <f t="shared" si="5"/>
        <v>10.46218487394958</v>
      </c>
      <c r="X38" s="21">
        <f>VLOOKUP(A:A,[1]TDSheet!$A:$Y,25,0)</f>
        <v>20.399999999999999</v>
      </c>
      <c r="Y38" s="21">
        <f>VLOOKUP(A:A,[1]TDSheet!$A:$Z,26,0)</f>
        <v>38.6</v>
      </c>
      <c r="Z38" s="21">
        <f>VLOOKUP(A:A,[1]TDSheet!$A:$AA,27,0)</f>
        <v>20.6</v>
      </c>
      <c r="AA38" s="21">
        <f>VLOOKUP(A:A,[1]TDSheet!$A:$R,18,0)</f>
        <v>15.6</v>
      </c>
      <c r="AB38" s="21">
        <f>VLOOKUP(A:A,[1]TDSheet!$A:$AB,28,0)</f>
        <v>0</v>
      </c>
      <c r="AC38" s="21">
        <f t="shared" si="6"/>
        <v>8.42</v>
      </c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1"/>
      <c r="AW38" s="21"/>
      <c r="AX38" s="21"/>
      <c r="AY38" s="21"/>
      <c r="AZ38" s="21"/>
      <c r="BA38" s="21"/>
      <c r="BB38" s="21"/>
      <c r="BC38" s="21"/>
      <c r="BD38" s="21"/>
      <c r="BE38" s="21"/>
    </row>
    <row r="39" spans="1:57" ht="11.1" customHeight="1">
      <c r="A39" s="18" t="s">
        <v>65</v>
      </c>
      <c r="B39" s="18" t="s">
        <v>36</v>
      </c>
      <c r="C39" s="18">
        <f>VLOOKUP(A:A,[1]TDSheet!$A:$C,3,0)</f>
        <v>6454</v>
      </c>
      <c r="D39" s="19">
        <v>506</v>
      </c>
      <c r="E39" s="19"/>
      <c r="F39" s="19">
        <v>204</v>
      </c>
      <c r="G39" s="19">
        <v>270</v>
      </c>
      <c r="H39" s="20">
        <f>VLOOKUP(A:A,[1]TDSheet!$A:$H,8,0)</f>
        <v>0.1</v>
      </c>
      <c r="I39" s="21">
        <f>VLOOKUP(A:A,[1]TDSheet!$A:$I,9,0)</f>
        <v>60</v>
      </c>
      <c r="J39" s="21" t="str">
        <f>VLOOKUP(A:A,[1]TDSheet!$A:$J,10,0)</f>
        <v>в матрице</v>
      </c>
      <c r="K39" s="21"/>
      <c r="L39" s="21">
        <f>VLOOKUP(A:A,[2]TDSheet!$A:$B,2,0)</f>
        <v>197</v>
      </c>
      <c r="M39" s="21">
        <f t="shared" si="2"/>
        <v>7</v>
      </c>
      <c r="N39" s="21"/>
      <c r="O39" s="21"/>
      <c r="P39" s="21">
        <f>VLOOKUP(A:A,[1]TDSheet!$A:$S,19,0)</f>
        <v>0</v>
      </c>
      <c r="Q39" s="21">
        <v>0</v>
      </c>
      <c r="R39" s="21">
        <f t="shared" si="3"/>
        <v>40.799999999999997</v>
      </c>
      <c r="S39" s="22">
        <f t="shared" si="7"/>
        <v>301.19999999999993</v>
      </c>
      <c r="T39" s="22">
        <v>301</v>
      </c>
      <c r="U39" s="21"/>
      <c r="V39" s="21">
        <f t="shared" si="4"/>
        <v>14</v>
      </c>
      <c r="W39" s="21">
        <f t="shared" si="5"/>
        <v>6.6176470588235299</v>
      </c>
      <c r="X39" s="21">
        <f>VLOOKUP(A:A,[1]TDSheet!$A:$Y,25,0)</f>
        <v>24.6</v>
      </c>
      <c r="Y39" s="21">
        <f>VLOOKUP(A:A,[1]TDSheet!$A:$Z,26,0)</f>
        <v>52.2</v>
      </c>
      <c r="Z39" s="21">
        <f>VLOOKUP(A:A,[1]TDSheet!$A:$AA,27,0)</f>
        <v>25.8</v>
      </c>
      <c r="AA39" s="21">
        <f>VLOOKUP(A:A,[1]TDSheet!$A:$R,18,0)</f>
        <v>38.200000000000003</v>
      </c>
      <c r="AB39" s="21">
        <f>VLOOKUP(A:A,[1]TDSheet!$A:$AB,28,0)</f>
        <v>0</v>
      </c>
      <c r="AC39" s="21">
        <f t="shared" si="6"/>
        <v>30.119999999999994</v>
      </c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1"/>
      <c r="BD39" s="21"/>
      <c r="BE39" s="21"/>
    </row>
    <row r="40" spans="1:57" ht="11.1" customHeight="1">
      <c r="A40" s="18" t="s">
        <v>66</v>
      </c>
      <c r="B40" s="18" t="s">
        <v>36</v>
      </c>
      <c r="C40" s="18">
        <f>VLOOKUP(A:A,[1]TDSheet!$A:$C,3,0)</f>
        <v>6459</v>
      </c>
      <c r="D40" s="19">
        <v>-1</v>
      </c>
      <c r="E40" s="19"/>
      <c r="F40" s="19">
        <v>-3</v>
      </c>
      <c r="G40" s="19">
        <v>-1</v>
      </c>
      <c r="H40" s="20">
        <f>VLOOKUP(A:A,[1]TDSheet!$A:$H,8,0)</f>
        <v>0.1</v>
      </c>
      <c r="I40" s="21">
        <f>VLOOKUP(A:A,[1]TDSheet!$A:$I,9,0)</f>
        <v>45</v>
      </c>
      <c r="J40" s="21" t="str">
        <f>VLOOKUP(A:A,[1]TDSheet!$A:$J,10,0)</f>
        <v>в матрице</v>
      </c>
      <c r="K40" s="21"/>
      <c r="L40" s="21">
        <f>VLOOKUP(A:A,[2]TDSheet!$A:$B,2,0)</f>
        <v>11</v>
      </c>
      <c r="M40" s="21">
        <f t="shared" si="2"/>
        <v>-14</v>
      </c>
      <c r="N40" s="21"/>
      <c r="O40" s="21"/>
      <c r="P40" s="21">
        <f>VLOOKUP(A:A,[1]TDSheet!$A:$S,19,0)</f>
        <v>75</v>
      </c>
      <c r="Q40" s="21">
        <v>75</v>
      </c>
      <c r="R40" s="21">
        <f t="shared" si="3"/>
        <v>-0.6</v>
      </c>
      <c r="S40" s="22"/>
      <c r="T40" s="22"/>
      <c r="U40" s="21"/>
      <c r="V40" s="21">
        <f t="shared" si="4"/>
        <v>-248.33333333333334</v>
      </c>
      <c r="W40" s="21">
        <f t="shared" si="5"/>
        <v>1.6666666666666667</v>
      </c>
      <c r="X40" s="21">
        <f>VLOOKUP(A:A,[1]TDSheet!$A:$Y,25,0)</f>
        <v>2.8</v>
      </c>
      <c r="Y40" s="21">
        <f>VLOOKUP(A:A,[1]TDSheet!$A:$Z,26,0)</f>
        <v>1.4</v>
      </c>
      <c r="Z40" s="21">
        <f>VLOOKUP(A:A,[1]TDSheet!$A:$AA,27,0)</f>
        <v>1.4</v>
      </c>
      <c r="AA40" s="21">
        <f>VLOOKUP(A:A,[1]TDSheet!$A:$R,18,0)</f>
        <v>8.1999999999999993</v>
      </c>
      <c r="AB40" s="21">
        <f>VLOOKUP(A:A,[1]TDSheet!$A:$AB,28,0)</f>
        <v>0</v>
      </c>
      <c r="AC40" s="21">
        <f t="shared" si="6"/>
        <v>0</v>
      </c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1"/>
      <c r="AW40" s="21"/>
      <c r="AX40" s="21"/>
      <c r="AY40" s="21"/>
      <c r="AZ40" s="21"/>
      <c r="BA40" s="21"/>
      <c r="BB40" s="21"/>
      <c r="BC40" s="21"/>
      <c r="BD40" s="21"/>
      <c r="BE40" s="21"/>
    </row>
    <row r="41" spans="1:57" ht="11.1" customHeight="1">
      <c r="A41" s="18" t="s">
        <v>67</v>
      </c>
      <c r="B41" s="18" t="s">
        <v>38</v>
      </c>
      <c r="C41" s="18">
        <f>VLOOKUP(A:A,[1]TDSheet!$A:$C,3,0)</f>
        <v>6470</v>
      </c>
      <c r="D41" s="19">
        <v>65.944999999999993</v>
      </c>
      <c r="E41" s="19"/>
      <c r="F41" s="19">
        <v>0</v>
      </c>
      <c r="G41" s="19">
        <v>65.944999999999993</v>
      </c>
      <c r="H41" s="20">
        <f>VLOOKUP(A:A,[1]TDSheet!$A:$H,8,0)</f>
        <v>1</v>
      </c>
      <c r="I41" s="21" t="e">
        <f>VLOOKUP(A:A,[1]TDSheet!$A:$I,9,0)</f>
        <v>#N/A</v>
      </c>
      <c r="J41" s="21" t="e">
        <f>VLOOKUP(A:A,[1]TDSheet!$A:$J,10,0)</f>
        <v>#N/A</v>
      </c>
      <c r="K41" s="21"/>
      <c r="L41" s="21">
        <v>0</v>
      </c>
      <c r="M41" s="21">
        <f t="shared" si="2"/>
        <v>0</v>
      </c>
      <c r="N41" s="21"/>
      <c r="O41" s="21"/>
      <c r="P41" s="21">
        <f>VLOOKUP(A:A,[1]TDSheet!$A:$S,19,0)</f>
        <v>0</v>
      </c>
      <c r="Q41" s="21">
        <v>0</v>
      </c>
      <c r="R41" s="21">
        <f t="shared" si="3"/>
        <v>0</v>
      </c>
      <c r="S41" s="22"/>
      <c r="T41" s="22"/>
      <c r="U41" s="21"/>
      <c r="V41" s="21" t="e">
        <f t="shared" si="4"/>
        <v>#DIV/0!</v>
      </c>
      <c r="W41" s="21" t="e">
        <f t="shared" si="5"/>
        <v>#DIV/0!</v>
      </c>
      <c r="X41" s="21">
        <f>VLOOKUP(A:A,[1]TDSheet!$A:$Y,25,0)</f>
        <v>0</v>
      </c>
      <c r="Y41" s="21">
        <f>VLOOKUP(A:A,[1]TDSheet!$A:$Z,26,0)</f>
        <v>0</v>
      </c>
      <c r="Z41" s="21">
        <f>VLOOKUP(A:A,[1]TDSheet!$A:$AA,27,0)</f>
        <v>0</v>
      </c>
      <c r="AA41" s="21">
        <f>VLOOKUP(A:A,[1]TDSheet!$A:$R,18,0)</f>
        <v>0.245</v>
      </c>
      <c r="AB41" s="21" t="e">
        <f>VLOOKUP(A:A,[1]TDSheet!$A:$AB,28,0)</f>
        <v>#N/A</v>
      </c>
      <c r="AC41" s="21">
        <f t="shared" si="6"/>
        <v>0</v>
      </c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1"/>
      <c r="AW41" s="21"/>
      <c r="AX41" s="21"/>
      <c r="AY41" s="21"/>
      <c r="AZ41" s="21"/>
      <c r="BA41" s="21"/>
      <c r="BB41" s="21"/>
      <c r="BC41" s="21"/>
      <c r="BD41" s="21"/>
      <c r="BE41" s="21"/>
    </row>
    <row r="42" spans="1:57" ht="11.1" customHeight="1">
      <c r="A42" s="18" t="s">
        <v>68</v>
      </c>
      <c r="B42" s="18" t="s">
        <v>36</v>
      </c>
      <c r="C42" s="18">
        <f>VLOOKUP(A:A,[1]TDSheet!$A:$C,3,0)</f>
        <v>6475</v>
      </c>
      <c r="D42" s="19">
        <v>650</v>
      </c>
      <c r="E42" s="19"/>
      <c r="F42" s="19">
        <v>169</v>
      </c>
      <c r="G42" s="19">
        <v>439</v>
      </c>
      <c r="H42" s="20">
        <f>VLOOKUP(A:A,[1]TDSheet!$A:$H,8,0)</f>
        <v>0.4</v>
      </c>
      <c r="I42" s="21">
        <f>VLOOKUP(A:A,[1]TDSheet!$A:$I,9,0)</f>
        <v>45</v>
      </c>
      <c r="J42" s="21" t="str">
        <f>VLOOKUP(A:A,[1]TDSheet!$A:$J,10,0)</f>
        <v>в матрице</v>
      </c>
      <c r="K42" s="21"/>
      <c r="L42" s="21">
        <f>VLOOKUP(A:A,[2]TDSheet!$A:$B,2,0)</f>
        <v>161</v>
      </c>
      <c r="M42" s="21">
        <f t="shared" si="2"/>
        <v>8</v>
      </c>
      <c r="N42" s="21"/>
      <c r="O42" s="21"/>
      <c r="P42" s="21">
        <f>VLOOKUP(A:A,[1]TDSheet!$A:$S,19,0)</f>
        <v>0</v>
      </c>
      <c r="Q42" s="21">
        <v>0</v>
      </c>
      <c r="R42" s="21">
        <f t="shared" si="3"/>
        <v>33.799999999999997</v>
      </c>
      <c r="S42" s="22"/>
      <c r="T42" s="22"/>
      <c r="U42" s="21"/>
      <c r="V42" s="21">
        <f t="shared" si="4"/>
        <v>12.988165680473374</v>
      </c>
      <c r="W42" s="21">
        <f t="shared" si="5"/>
        <v>12.988165680473374</v>
      </c>
      <c r="X42" s="21">
        <f>VLOOKUP(A:A,[1]TDSheet!$A:$Y,25,0)</f>
        <v>28.8</v>
      </c>
      <c r="Y42" s="21">
        <f>VLOOKUP(A:A,[1]TDSheet!$A:$Z,26,0)</f>
        <v>69</v>
      </c>
      <c r="Z42" s="21">
        <f>VLOOKUP(A:A,[1]TDSheet!$A:$AA,27,0)</f>
        <v>16.600000000000001</v>
      </c>
      <c r="AA42" s="21">
        <f>VLOOKUP(A:A,[1]TDSheet!$A:$R,18,0)</f>
        <v>35.6</v>
      </c>
      <c r="AB42" s="21">
        <f>VLOOKUP(A:A,[1]TDSheet!$A:$AB,28,0)</f>
        <v>0</v>
      </c>
      <c r="AC42" s="21">
        <f t="shared" si="6"/>
        <v>0</v>
      </c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21"/>
      <c r="BC42" s="21"/>
      <c r="BD42" s="21"/>
      <c r="BE42" s="21"/>
    </row>
    <row r="43" spans="1:57" ht="11.1" customHeight="1">
      <c r="A43" s="24" t="s">
        <v>69</v>
      </c>
      <c r="B43" s="24" t="s">
        <v>36</v>
      </c>
      <c r="C43" s="24">
        <f>VLOOKUP(A:A,[1]TDSheet!$A:$C,3,0)</f>
        <v>6495</v>
      </c>
      <c r="D43" s="25">
        <v>245</v>
      </c>
      <c r="E43" s="25"/>
      <c r="F43" s="25">
        <v>21</v>
      </c>
      <c r="G43" s="25">
        <v>206</v>
      </c>
      <c r="H43" s="26">
        <f>VLOOKUP(A:A,[1]TDSheet!$A:$H,8,0)</f>
        <v>0.3</v>
      </c>
      <c r="I43" s="27" t="e">
        <f>VLOOKUP(A:A,[1]TDSheet!$A:$I,9,0)</f>
        <v>#N/A</v>
      </c>
      <c r="J43" s="27" t="e">
        <f>VLOOKUP(A:A,[1]TDSheet!$A:$J,10,0)</f>
        <v>#N/A</v>
      </c>
      <c r="K43" s="21"/>
      <c r="L43" s="21">
        <f>VLOOKUP(A:A,[2]TDSheet!$A:$B,2,0)</f>
        <v>17</v>
      </c>
      <c r="M43" s="21">
        <f t="shared" si="2"/>
        <v>4</v>
      </c>
      <c r="N43" s="21"/>
      <c r="O43" s="21"/>
      <c r="P43" s="21">
        <f>VLOOKUP(A:A,[1]TDSheet!$A:$S,19,0)</f>
        <v>0</v>
      </c>
      <c r="Q43" s="21">
        <v>0</v>
      </c>
      <c r="R43" s="21">
        <f t="shared" si="3"/>
        <v>4.2</v>
      </c>
      <c r="S43" s="22"/>
      <c r="T43" s="22"/>
      <c r="U43" s="21"/>
      <c r="V43" s="21">
        <f t="shared" si="4"/>
        <v>49.047619047619044</v>
      </c>
      <c r="W43" s="21">
        <f t="shared" si="5"/>
        <v>49.047619047619044</v>
      </c>
      <c r="X43" s="21">
        <f>VLOOKUP(A:A,[1]TDSheet!$A:$Y,25,0)</f>
        <v>0</v>
      </c>
      <c r="Y43" s="21">
        <f>VLOOKUP(A:A,[1]TDSheet!$A:$Z,26,0)</f>
        <v>0</v>
      </c>
      <c r="Z43" s="21">
        <f>VLOOKUP(A:A,[1]TDSheet!$A:$AA,27,0)</f>
        <v>0</v>
      </c>
      <c r="AA43" s="21">
        <f>VLOOKUP(A:A,[1]TDSheet!$A:$R,18,0)</f>
        <v>0.2</v>
      </c>
      <c r="AB43" s="21" t="e">
        <f>VLOOKUP(A:A,[1]TDSheet!$A:$AB,28,0)</f>
        <v>#N/A</v>
      </c>
      <c r="AC43" s="21">
        <f t="shared" si="6"/>
        <v>0</v>
      </c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</row>
    <row r="44" spans="1:57" ht="11.1" customHeight="1">
      <c r="A44" s="18" t="s">
        <v>70</v>
      </c>
      <c r="B44" s="18" t="s">
        <v>38</v>
      </c>
      <c r="C44" s="18">
        <f>VLOOKUP(A:A,[1]TDSheet!$A:$C,3,0)</f>
        <v>6498</v>
      </c>
      <c r="D44" s="19">
        <v>-1.968</v>
      </c>
      <c r="E44" s="19">
        <v>216.30600000000001</v>
      </c>
      <c r="F44" s="19">
        <v>18.010000000000002</v>
      </c>
      <c r="G44" s="19">
        <v>176.256</v>
      </c>
      <c r="H44" s="20">
        <f>VLOOKUP(A:A,[1]TDSheet!$A:$H,8,0)</f>
        <v>1</v>
      </c>
      <c r="I44" s="21">
        <f>VLOOKUP(A:A,[1]TDSheet!$A:$I,9,0)</f>
        <v>60</v>
      </c>
      <c r="J44" s="21" t="str">
        <f>VLOOKUP(A:A,[1]TDSheet!$A:$J,10,0)</f>
        <v>в матрице</v>
      </c>
      <c r="K44" s="21"/>
      <c r="L44" s="21">
        <f>VLOOKUP(A:A,[2]TDSheet!$A:$B,2,0)</f>
        <v>33.5</v>
      </c>
      <c r="M44" s="21">
        <f t="shared" si="2"/>
        <v>-15.489999999999998</v>
      </c>
      <c r="N44" s="21"/>
      <c r="O44" s="21"/>
      <c r="P44" s="21">
        <f>VLOOKUP(A:A,[1]TDSheet!$A:$S,19,0)</f>
        <v>50</v>
      </c>
      <c r="Q44" s="21">
        <v>50</v>
      </c>
      <c r="R44" s="21">
        <f t="shared" si="3"/>
        <v>3.6020000000000003</v>
      </c>
      <c r="S44" s="22"/>
      <c r="T44" s="22"/>
      <c r="U44" s="21"/>
      <c r="V44" s="21">
        <f t="shared" si="4"/>
        <v>76.695169350360899</v>
      </c>
      <c r="W44" s="21">
        <f t="shared" si="5"/>
        <v>48.93281510272071</v>
      </c>
      <c r="X44" s="21">
        <f>VLOOKUP(A:A,[1]TDSheet!$A:$Y,25,0)</f>
        <v>14.219799999999999</v>
      </c>
      <c r="Y44" s="21">
        <f>VLOOKUP(A:A,[1]TDSheet!$A:$Z,26,0)</f>
        <v>10.4732</v>
      </c>
      <c r="Z44" s="21">
        <f>VLOOKUP(A:A,[1]TDSheet!$A:$AA,27,0)</f>
        <v>16.373200000000001</v>
      </c>
      <c r="AA44" s="21">
        <f>VLOOKUP(A:A,[1]TDSheet!$A:$R,18,0)</f>
        <v>20.556999999999999</v>
      </c>
      <c r="AB44" s="21">
        <f>VLOOKUP(A:A,[1]TDSheet!$A:$AB,28,0)</f>
        <v>0</v>
      </c>
      <c r="AC44" s="21">
        <f t="shared" si="6"/>
        <v>0</v>
      </c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21"/>
      <c r="BC44" s="21"/>
      <c r="BD44" s="21"/>
      <c r="BE44" s="21"/>
    </row>
    <row r="45" spans="1:57" ht="11.1" customHeight="1">
      <c r="A45" s="18" t="s">
        <v>71</v>
      </c>
      <c r="B45" s="18" t="s">
        <v>38</v>
      </c>
      <c r="C45" s="18">
        <f>VLOOKUP(A:A,[1]TDSheet!$A:$C,3,0)</f>
        <v>6527</v>
      </c>
      <c r="D45" s="19">
        <v>170.589</v>
      </c>
      <c r="E45" s="19">
        <v>88.070999999999998</v>
      </c>
      <c r="F45" s="19">
        <v>83.128</v>
      </c>
      <c r="G45" s="19">
        <v>152.40799999999999</v>
      </c>
      <c r="H45" s="20">
        <f>VLOOKUP(A:A,[1]TDSheet!$A:$H,8,0)</f>
        <v>1</v>
      </c>
      <c r="I45" s="21">
        <f>VLOOKUP(A:A,[1]TDSheet!$A:$I,9,0)</f>
        <v>45</v>
      </c>
      <c r="J45" s="21" t="str">
        <f>VLOOKUP(A:A,[1]TDSheet!$A:$J,10,0)</f>
        <v>в матрице</v>
      </c>
      <c r="K45" s="21"/>
      <c r="L45" s="21">
        <f>VLOOKUP(A:A,[2]TDSheet!$A:$B,2,0)</f>
        <v>85</v>
      </c>
      <c r="M45" s="21">
        <f t="shared" si="2"/>
        <v>-1.8719999999999999</v>
      </c>
      <c r="N45" s="21"/>
      <c r="O45" s="21"/>
      <c r="P45" s="21">
        <f>VLOOKUP(A:A,[1]TDSheet!$A:$S,19,0)</f>
        <v>0</v>
      </c>
      <c r="Q45" s="21">
        <v>0</v>
      </c>
      <c r="R45" s="21">
        <f t="shared" si="3"/>
        <v>16.625599999999999</v>
      </c>
      <c r="S45" s="22">
        <f t="shared" si="7"/>
        <v>80.350400000000008</v>
      </c>
      <c r="T45" s="22">
        <v>80</v>
      </c>
      <c r="U45" s="21"/>
      <c r="V45" s="21">
        <f t="shared" si="4"/>
        <v>14</v>
      </c>
      <c r="W45" s="21">
        <f t="shared" si="5"/>
        <v>9.1670676547011833</v>
      </c>
      <c r="X45" s="21">
        <f>VLOOKUP(A:A,[1]TDSheet!$A:$Y,25,0)</f>
        <v>17.642199999999999</v>
      </c>
      <c r="Y45" s="21">
        <f>VLOOKUP(A:A,[1]TDSheet!$A:$Z,26,0)</f>
        <v>19.953600000000002</v>
      </c>
      <c r="Z45" s="21">
        <f>VLOOKUP(A:A,[1]TDSheet!$A:$AA,27,0)</f>
        <v>18.5396</v>
      </c>
      <c r="AA45" s="21">
        <f>VLOOKUP(A:A,[1]TDSheet!$A:$R,18,0)</f>
        <v>14.937200000000001</v>
      </c>
      <c r="AB45" s="21">
        <f>VLOOKUP(A:A,[1]TDSheet!$A:$AB,28,0)</f>
        <v>0</v>
      </c>
      <c r="AC45" s="21">
        <f t="shared" si="6"/>
        <v>80.350400000000008</v>
      </c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</row>
    <row r="46" spans="1:57" ht="11.1" customHeight="1">
      <c r="A46" s="18" t="s">
        <v>72</v>
      </c>
      <c r="B46" s="18" t="s">
        <v>38</v>
      </c>
      <c r="C46" s="18">
        <f>VLOOKUP(A:A,[1]TDSheet!$A:$C,3,0)</f>
        <v>6550</v>
      </c>
      <c r="D46" s="19">
        <v>134.214</v>
      </c>
      <c r="E46" s="19">
        <v>134.429</v>
      </c>
      <c r="F46" s="19">
        <v>132.459</v>
      </c>
      <c r="G46" s="19">
        <v>93.86</v>
      </c>
      <c r="H46" s="20">
        <f>VLOOKUP(A:A,[1]TDSheet!$A:$H,8,0)</f>
        <v>1</v>
      </c>
      <c r="I46" s="21">
        <f>VLOOKUP(A:A,[1]TDSheet!$A:$I,9,0)</f>
        <v>45</v>
      </c>
      <c r="J46" s="21" t="str">
        <f>VLOOKUP(A:A,[1]TDSheet!$A:$J,10,0)</f>
        <v>в матрице</v>
      </c>
      <c r="K46" s="21"/>
      <c r="L46" s="21">
        <f>VLOOKUP(A:A,[2]TDSheet!$A:$B,2,0)</f>
        <v>152.05199999999999</v>
      </c>
      <c r="M46" s="21">
        <f t="shared" si="2"/>
        <v>-19.592999999999989</v>
      </c>
      <c r="N46" s="21"/>
      <c r="O46" s="21"/>
      <c r="P46" s="21">
        <f>VLOOKUP(A:A,[1]TDSheet!$A:$S,19,0)</f>
        <v>20</v>
      </c>
      <c r="Q46" s="21">
        <v>20</v>
      </c>
      <c r="R46" s="21">
        <f t="shared" si="3"/>
        <v>26.491800000000001</v>
      </c>
      <c r="S46" s="22">
        <f t="shared" si="7"/>
        <v>237.02519999999998</v>
      </c>
      <c r="T46" s="22">
        <v>237</v>
      </c>
      <c r="U46" s="21"/>
      <c r="V46" s="21">
        <f t="shared" si="4"/>
        <v>14</v>
      </c>
      <c r="W46" s="21">
        <f t="shared" si="5"/>
        <v>3.5429831117553352</v>
      </c>
      <c r="X46" s="21">
        <f>VLOOKUP(A:A,[1]TDSheet!$A:$Y,25,0)</f>
        <v>14.5502</v>
      </c>
      <c r="Y46" s="21">
        <f>VLOOKUP(A:A,[1]TDSheet!$A:$Z,26,0)</f>
        <v>20.839200000000002</v>
      </c>
      <c r="Z46" s="21">
        <f>VLOOKUP(A:A,[1]TDSheet!$A:$AA,27,0)</f>
        <v>21.102599999999999</v>
      </c>
      <c r="AA46" s="21">
        <f>VLOOKUP(A:A,[1]TDSheet!$A:$R,18,0)</f>
        <v>19.845199999999998</v>
      </c>
      <c r="AB46" s="21">
        <f>VLOOKUP(A:A,[1]TDSheet!$A:$AB,28,0)</f>
        <v>0</v>
      </c>
      <c r="AC46" s="21">
        <f t="shared" si="6"/>
        <v>237.02519999999998</v>
      </c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</row>
    <row r="47" spans="1:57" ht="11.1" customHeight="1">
      <c r="A47" s="18" t="s">
        <v>73</v>
      </c>
      <c r="B47" s="18" t="s">
        <v>36</v>
      </c>
      <c r="C47" s="18">
        <f>VLOOKUP(A:A,[1]TDSheet!$A:$C,3,0)</f>
        <v>6602</v>
      </c>
      <c r="D47" s="19">
        <v>21</v>
      </c>
      <c r="E47" s="19"/>
      <c r="F47" s="19">
        <v>21</v>
      </c>
      <c r="G47" s="19"/>
      <c r="H47" s="20">
        <f>VLOOKUP(A:A,[1]TDSheet!$A:$H,8,0)</f>
        <v>0.35</v>
      </c>
      <c r="I47" s="21">
        <f>VLOOKUP(A:A,[1]TDSheet!$A:$I,9,0)</f>
        <v>45</v>
      </c>
      <c r="J47" s="21" t="str">
        <f>VLOOKUP(A:A,[1]TDSheet!$A:$J,10,0)</f>
        <v>в матрице</v>
      </c>
      <c r="K47" s="21"/>
      <c r="L47" s="21">
        <f>VLOOKUP(A:A,[2]TDSheet!$A:$B,2,0)</f>
        <v>39</v>
      </c>
      <c r="M47" s="21">
        <f t="shared" si="2"/>
        <v>-18</v>
      </c>
      <c r="N47" s="21"/>
      <c r="O47" s="21"/>
      <c r="P47" s="21">
        <f>VLOOKUP(A:A,[1]TDSheet!$A:$S,19,0)</f>
        <v>25</v>
      </c>
      <c r="Q47" s="21">
        <v>25</v>
      </c>
      <c r="R47" s="21">
        <f t="shared" si="3"/>
        <v>4.2</v>
      </c>
      <c r="S47" s="22"/>
      <c r="T47" s="22"/>
      <c r="U47" s="21"/>
      <c r="V47" s="21">
        <f t="shared" si="4"/>
        <v>11.904761904761905</v>
      </c>
      <c r="W47" s="21">
        <f t="shared" si="5"/>
        <v>0</v>
      </c>
      <c r="X47" s="21">
        <f>VLOOKUP(A:A,[1]TDSheet!$A:$Y,25,0)</f>
        <v>5.4</v>
      </c>
      <c r="Y47" s="21">
        <f>VLOOKUP(A:A,[1]TDSheet!$A:$Z,26,0)</f>
        <v>4</v>
      </c>
      <c r="Z47" s="21">
        <f>VLOOKUP(A:A,[1]TDSheet!$A:$AA,27,0)</f>
        <v>4</v>
      </c>
      <c r="AA47" s="21">
        <f>VLOOKUP(A:A,[1]TDSheet!$A:$R,18,0)</f>
        <v>5</v>
      </c>
      <c r="AB47" s="21">
        <f>VLOOKUP(A:A,[1]TDSheet!$A:$AB,28,0)</f>
        <v>0</v>
      </c>
      <c r="AC47" s="21">
        <f t="shared" si="6"/>
        <v>0</v>
      </c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1"/>
      <c r="AW47" s="21"/>
      <c r="AX47" s="21"/>
      <c r="AY47" s="21"/>
      <c r="AZ47" s="21"/>
      <c r="BA47" s="21"/>
      <c r="BB47" s="21"/>
      <c r="BC47" s="21"/>
      <c r="BD47" s="21"/>
      <c r="BE47" s="21"/>
    </row>
    <row r="48" spans="1:57" ht="11.1" customHeight="1">
      <c r="A48" s="18" t="s">
        <v>74</v>
      </c>
      <c r="B48" s="18" t="s">
        <v>38</v>
      </c>
      <c r="C48" s="18">
        <f>VLOOKUP(A:A,[1]TDSheet!$A:$C,3,0)</f>
        <v>6608</v>
      </c>
      <c r="D48" s="19">
        <v>103.086</v>
      </c>
      <c r="E48" s="19">
        <v>6.2220000000000004</v>
      </c>
      <c r="F48" s="19">
        <v>76.891999999999996</v>
      </c>
      <c r="G48" s="19">
        <v>10.56</v>
      </c>
      <c r="H48" s="20">
        <f>VLOOKUP(A:A,[1]TDSheet!$A:$H,8,0)</f>
        <v>1</v>
      </c>
      <c r="I48" s="21">
        <f>VLOOKUP(A:A,[1]TDSheet!$A:$I,9,0)</f>
        <v>45</v>
      </c>
      <c r="J48" s="21" t="str">
        <f>VLOOKUP(A:A,[1]TDSheet!$A:$J,10,0)</f>
        <v>в матрице</v>
      </c>
      <c r="K48" s="21"/>
      <c r="L48" s="21">
        <f>VLOOKUP(A:A,[2]TDSheet!$A:$B,2,0)</f>
        <v>77</v>
      </c>
      <c r="M48" s="21">
        <f t="shared" si="2"/>
        <v>-0.10800000000000409</v>
      </c>
      <c r="N48" s="21"/>
      <c r="O48" s="21"/>
      <c r="P48" s="21">
        <f>VLOOKUP(A:A,[1]TDSheet!$A:$S,19,0)</f>
        <v>100</v>
      </c>
      <c r="Q48" s="21">
        <v>100</v>
      </c>
      <c r="R48" s="21">
        <f t="shared" si="3"/>
        <v>15.378399999999999</v>
      </c>
      <c r="S48" s="22"/>
      <c r="T48" s="22"/>
      <c r="U48" s="21"/>
      <c r="V48" s="21">
        <f t="shared" si="4"/>
        <v>13.691931540342299</v>
      </c>
      <c r="W48" s="21">
        <f t="shared" si="5"/>
        <v>0.68667741767674151</v>
      </c>
      <c r="X48" s="21">
        <f>VLOOKUP(A:A,[1]TDSheet!$A:$Y,25,0)</f>
        <v>15.13</v>
      </c>
      <c r="Y48" s="21">
        <f>VLOOKUP(A:A,[1]TDSheet!$A:$Z,26,0)</f>
        <v>16.508800000000001</v>
      </c>
      <c r="Z48" s="21">
        <f>VLOOKUP(A:A,[1]TDSheet!$A:$AA,27,0)</f>
        <v>13.536799999999999</v>
      </c>
      <c r="AA48" s="21">
        <f>VLOOKUP(A:A,[1]TDSheet!$A:$R,18,0)</f>
        <v>16.527000000000001</v>
      </c>
      <c r="AB48" s="21">
        <f>VLOOKUP(A:A,[1]TDSheet!$A:$AB,28,0)</f>
        <v>0</v>
      </c>
      <c r="AC48" s="21">
        <f t="shared" si="6"/>
        <v>0</v>
      </c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1"/>
      <c r="BB48" s="21"/>
      <c r="BC48" s="21"/>
      <c r="BD48" s="21"/>
      <c r="BE48" s="21"/>
    </row>
    <row r="49" spans="1:57" ht="11.1" customHeight="1">
      <c r="A49" s="18" t="s">
        <v>75</v>
      </c>
      <c r="B49" s="18" t="s">
        <v>36</v>
      </c>
      <c r="C49" s="18">
        <f>VLOOKUP(A:A,[1]TDSheet!$A:$C,3,0)</f>
        <v>6616</v>
      </c>
      <c r="D49" s="19">
        <v>721</v>
      </c>
      <c r="E49" s="19">
        <v>10</v>
      </c>
      <c r="F49" s="19">
        <v>379</v>
      </c>
      <c r="G49" s="19">
        <v>305</v>
      </c>
      <c r="H49" s="20">
        <f>VLOOKUP(A:A,[1]TDSheet!$A:$H,8,0)</f>
        <v>0.3</v>
      </c>
      <c r="I49" s="21">
        <f>VLOOKUP(A:A,[1]TDSheet!$A:$I,9,0)</f>
        <v>45</v>
      </c>
      <c r="J49" s="21" t="str">
        <f>VLOOKUP(A:A,[1]TDSheet!$A:$J,10,0)</f>
        <v>в матрице</v>
      </c>
      <c r="K49" s="21"/>
      <c r="L49" s="21">
        <f>VLOOKUP(A:A,[2]TDSheet!$A:$B,2,0)</f>
        <v>368</v>
      </c>
      <c r="M49" s="21">
        <f t="shared" si="2"/>
        <v>11</v>
      </c>
      <c r="N49" s="21"/>
      <c r="O49" s="21"/>
      <c r="P49" s="21">
        <f>VLOOKUP(A:A,[1]TDSheet!$A:$S,19,0)</f>
        <v>60</v>
      </c>
      <c r="Q49" s="21">
        <v>60</v>
      </c>
      <c r="R49" s="21">
        <f t="shared" si="3"/>
        <v>75.8</v>
      </c>
      <c r="S49" s="22">
        <f t="shared" si="7"/>
        <v>636.20000000000005</v>
      </c>
      <c r="T49" s="22">
        <v>750</v>
      </c>
      <c r="U49" s="21"/>
      <c r="V49" s="21">
        <f t="shared" si="4"/>
        <v>14.000000000000002</v>
      </c>
      <c r="W49" s="21">
        <f t="shared" si="5"/>
        <v>4.0237467018469655</v>
      </c>
      <c r="X49" s="21">
        <f>VLOOKUP(A:A,[1]TDSheet!$A:$Y,25,0)</f>
        <v>47.8</v>
      </c>
      <c r="Y49" s="21">
        <f>VLOOKUP(A:A,[1]TDSheet!$A:$Z,26,0)</f>
        <v>77</v>
      </c>
      <c r="Z49" s="21">
        <f>VLOOKUP(A:A,[1]TDSheet!$A:$AA,27,0)</f>
        <v>53.4</v>
      </c>
      <c r="AA49" s="21">
        <f>VLOOKUP(A:A,[1]TDSheet!$A:$R,18,0)</f>
        <v>57.2</v>
      </c>
      <c r="AB49" s="21">
        <f>VLOOKUP(A:A,[1]TDSheet!$A:$AB,28,0)</f>
        <v>0</v>
      </c>
      <c r="AC49" s="21">
        <f t="shared" si="6"/>
        <v>190.86</v>
      </c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1"/>
      <c r="AW49" s="21"/>
      <c r="AX49" s="21"/>
      <c r="AY49" s="21"/>
      <c r="AZ49" s="21"/>
      <c r="BA49" s="21"/>
      <c r="BB49" s="21"/>
      <c r="BC49" s="21"/>
      <c r="BD49" s="21"/>
      <c r="BE49" s="21"/>
    </row>
    <row r="50" spans="1:57" ht="11.1" customHeight="1">
      <c r="A50" s="18" t="s">
        <v>76</v>
      </c>
      <c r="B50" s="18" t="s">
        <v>38</v>
      </c>
      <c r="C50" s="18">
        <f>VLOOKUP(A:A,[1]TDSheet!$A:$C,3,0)</f>
        <v>6661</v>
      </c>
      <c r="D50" s="19">
        <v>113.494</v>
      </c>
      <c r="E50" s="19">
        <v>117.26</v>
      </c>
      <c r="F50" s="19">
        <v>116.982</v>
      </c>
      <c r="G50" s="19">
        <v>109.678</v>
      </c>
      <c r="H50" s="20">
        <f>VLOOKUP(A:A,[1]TDSheet!$A:$H,8,0)</f>
        <v>1</v>
      </c>
      <c r="I50" s="21">
        <f>VLOOKUP(A:A,[1]TDSheet!$A:$I,9,0)</f>
        <v>45</v>
      </c>
      <c r="J50" s="21" t="str">
        <f>VLOOKUP(A:A,[1]TDSheet!$A:$J,10,0)</f>
        <v>в матрице</v>
      </c>
      <c r="K50" s="21"/>
      <c r="L50" s="21">
        <f>VLOOKUP(A:A,[2]TDSheet!$A:$B,2,0)</f>
        <v>120</v>
      </c>
      <c r="M50" s="21">
        <f t="shared" si="2"/>
        <v>-3.0180000000000007</v>
      </c>
      <c r="N50" s="21"/>
      <c r="O50" s="21"/>
      <c r="P50" s="21">
        <f>VLOOKUP(A:A,[1]TDSheet!$A:$S,19,0)</f>
        <v>0</v>
      </c>
      <c r="Q50" s="21">
        <v>0</v>
      </c>
      <c r="R50" s="21">
        <f t="shared" si="3"/>
        <v>23.3964</v>
      </c>
      <c r="S50" s="22">
        <f t="shared" si="7"/>
        <v>217.8716</v>
      </c>
      <c r="T50" s="22">
        <v>300</v>
      </c>
      <c r="U50" s="21"/>
      <c r="V50" s="21">
        <f t="shared" si="4"/>
        <v>14</v>
      </c>
      <c r="W50" s="21">
        <f t="shared" si="5"/>
        <v>4.6878152194354685</v>
      </c>
      <c r="X50" s="21">
        <f>VLOOKUP(A:A,[1]TDSheet!$A:$Y,25,0)</f>
        <v>9.5939999999999994</v>
      </c>
      <c r="Y50" s="21">
        <f>VLOOKUP(A:A,[1]TDSheet!$A:$Z,26,0)</f>
        <v>14.678599999999999</v>
      </c>
      <c r="Z50" s="21">
        <f>VLOOKUP(A:A,[1]TDSheet!$A:$AA,27,0)</f>
        <v>15.527799999999999</v>
      </c>
      <c r="AA50" s="21">
        <f>VLOOKUP(A:A,[1]TDSheet!$A:$R,18,0)</f>
        <v>8.8699999999999992</v>
      </c>
      <c r="AB50" s="21">
        <f>VLOOKUP(A:A,[1]TDSheet!$A:$AB,28,0)</f>
        <v>0</v>
      </c>
      <c r="AC50" s="21">
        <f t="shared" si="6"/>
        <v>217.8716</v>
      </c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1"/>
      <c r="AW50" s="21"/>
      <c r="AX50" s="21"/>
      <c r="AY50" s="21"/>
      <c r="AZ50" s="21"/>
      <c r="BA50" s="21"/>
      <c r="BB50" s="21"/>
      <c r="BC50" s="21"/>
      <c r="BD50" s="21"/>
      <c r="BE50" s="21"/>
    </row>
    <row r="51" spans="1:57" ht="11.1" customHeight="1">
      <c r="A51" s="18" t="s">
        <v>77</v>
      </c>
      <c r="B51" s="18" t="s">
        <v>36</v>
      </c>
      <c r="C51" s="18">
        <f>VLOOKUP(A:A,[1]TDSheet!$A:$C,3,0)</f>
        <v>6697</v>
      </c>
      <c r="D51" s="19">
        <v>124</v>
      </c>
      <c r="E51" s="19">
        <v>1003</v>
      </c>
      <c r="F51" s="19">
        <v>177</v>
      </c>
      <c r="G51" s="19">
        <v>894</v>
      </c>
      <c r="H51" s="20">
        <f>VLOOKUP(A:A,[1]TDSheet!$A:$H,8,0)</f>
        <v>0.35</v>
      </c>
      <c r="I51" s="21">
        <f>VLOOKUP(A:A,[1]TDSheet!$A:$I,9,0)</f>
        <v>45</v>
      </c>
      <c r="J51" s="21" t="str">
        <f>VLOOKUP(A:A,[1]TDSheet!$A:$J,10,0)</f>
        <v>в матрице</v>
      </c>
      <c r="K51" s="21"/>
      <c r="L51" s="21">
        <f>VLOOKUP(A:A,[2]TDSheet!$A:$B,2,0)</f>
        <v>269</v>
      </c>
      <c r="M51" s="21">
        <f t="shared" si="2"/>
        <v>-92</v>
      </c>
      <c r="N51" s="21"/>
      <c r="O51" s="21"/>
      <c r="P51" s="21">
        <f>VLOOKUP(A:A,[1]TDSheet!$A:$S,19,0)</f>
        <v>70</v>
      </c>
      <c r="Q51" s="21">
        <v>70</v>
      </c>
      <c r="R51" s="21">
        <f t="shared" si="3"/>
        <v>35.4</v>
      </c>
      <c r="S51" s="22"/>
      <c r="T51" s="22"/>
      <c r="U51" s="21"/>
      <c r="V51" s="21">
        <f t="shared" si="4"/>
        <v>29.209039548022599</v>
      </c>
      <c r="W51" s="21">
        <f t="shared" si="5"/>
        <v>25.254237288135595</v>
      </c>
      <c r="X51" s="21">
        <f>VLOOKUP(A:A,[1]TDSheet!$A:$Y,25,0)</f>
        <v>73.8</v>
      </c>
      <c r="Y51" s="21">
        <f>VLOOKUP(A:A,[1]TDSheet!$A:$Z,26,0)</f>
        <v>73.599999999999994</v>
      </c>
      <c r="Z51" s="21">
        <f>VLOOKUP(A:A,[1]TDSheet!$A:$AA,27,0)</f>
        <v>96.6</v>
      </c>
      <c r="AA51" s="21">
        <f>VLOOKUP(A:A,[1]TDSheet!$A:$R,18,0)</f>
        <v>90.2</v>
      </c>
      <c r="AB51" s="21">
        <f>VLOOKUP(A:A,[1]TDSheet!$A:$AB,28,0)</f>
        <v>0</v>
      </c>
      <c r="AC51" s="21">
        <f t="shared" si="6"/>
        <v>0</v>
      </c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1"/>
      <c r="AW51" s="21"/>
      <c r="AX51" s="21"/>
      <c r="AY51" s="21"/>
      <c r="AZ51" s="21"/>
      <c r="BA51" s="21"/>
      <c r="BB51" s="21"/>
      <c r="BC51" s="21"/>
      <c r="BD51" s="21"/>
      <c r="BE51" s="21"/>
    </row>
    <row r="52" spans="1:57" ht="11.1" customHeight="1">
      <c r="A52" s="18" t="s">
        <v>78</v>
      </c>
      <c r="B52" s="18" t="s">
        <v>36</v>
      </c>
      <c r="C52" s="18">
        <f>VLOOKUP(A:A,[1]TDSheet!$A:$C,3,0)</f>
        <v>6713</v>
      </c>
      <c r="D52" s="19">
        <v>570</v>
      </c>
      <c r="E52" s="19">
        <v>8</v>
      </c>
      <c r="F52" s="19">
        <v>255</v>
      </c>
      <c r="G52" s="19">
        <v>274</v>
      </c>
      <c r="H52" s="20">
        <f>VLOOKUP(A:A,[1]TDSheet!$A:$H,8,0)</f>
        <v>0.41</v>
      </c>
      <c r="I52" s="21">
        <f>VLOOKUP(A:A,[1]TDSheet!$A:$I,9,0)</f>
        <v>45</v>
      </c>
      <c r="J52" s="21" t="str">
        <f>VLOOKUP(A:A,[1]TDSheet!$A:$J,10,0)</f>
        <v>в матрице</v>
      </c>
      <c r="K52" s="21"/>
      <c r="L52" s="21">
        <f>VLOOKUP(A:A,[2]TDSheet!$A:$B,2,0)</f>
        <v>256</v>
      </c>
      <c r="M52" s="21">
        <f t="shared" si="2"/>
        <v>-1</v>
      </c>
      <c r="N52" s="21"/>
      <c r="O52" s="21"/>
      <c r="P52" s="21">
        <f>VLOOKUP(A:A,[1]TDSheet!$A:$S,19,0)</f>
        <v>25</v>
      </c>
      <c r="Q52" s="21">
        <v>25</v>
      </c>
      <c r="R52" s="21">
        <f t="shared" si="3"/>
        <v>51</v>
      </c>
      <c r="S52" s="22">
        <f t="shared" si="7"/>
        <v>390</v>
      </c>
      <c r="T52" s="22">
        <v>450</v>
      </c>
      <c r="U52" s="21"/>
      <c r="V52" s="21">
        <f t="shared" si="4"/>
        <v>14</v>
      </c>
      <c r="W52" s="21">
        <f t="shared" si="5"/>
        <v>5.3725490196078427</v>
      </c>
      <c r="X52" s="21">
        <f>VLOOKUP(A:A,[1]TDSheet!$A:$Y,25,0)</f>
        <v>32.6</v>
      </c>
      <c r="Y52" s="21">
        <f>VLOOKUP(A:A,[1]TDSheet!$A:$Z,26,0)</f>
        <v>66.8</v>
      </c>
      <c r="Z52" s="21">
        <f>VLOOKUP(A:A,[1]TDSheet!$A:$AA,27,0)</f>
        <v>35.6</v>
      </c>
      <c r="AA52" s="21">
        <f>VLOOKUP(A:A,[1]TDSheet!$A:$R,18,0)</f>
        <v>42.2</v>
      </c>
      <c r="AB52" s="21">
        <f>VLOOKUP(A:A,[1]TDSheet!$A:$AB,28,0)</f>
        <v>0</v>
      </c>
      <c r="AC52" s="21">
        <f t="shared" si="6"/>
        <v>159.89999999999998</v>
      </c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1"/>
      <c r="AW52" s="21"/>
      <c r="AX52" s="21"/>
      <c r="AY52" s="21"/>
      <c r="AZ52" s="21"/>
      <c r="BA52" s="21"/>
      <c r="BB52" s="21"/>
      <c r="BC52" s="21"/>
      <c r="BD52" s="21"/>
      <c r="BE52" s="21"/>
    </row>
    <row r="53" spans="1:57" ht="11.1" customHeight="1">
      <c r="A53" s="18" t="s">
        <v>79</v>
      </c>
      <c r="B53" s="18" t="s">
        <v>36</v>
      </c>
      <c r="C53" s="18">
        <f>VLOOKUP(A:A,[1]TDSheet!$A:$C,3,0)</f>
        <v>6724</v>
      </c>
      <c r="D53" s="23"/>
      <c r="E53" s="19">
        <v>310</v>
      </c>
      <c r="F53" s="19">
        <v>26</v>
      </c>
      <c r="G53" s="19">
        <v>247</v>
      </c>
      <c r="H53" s="20">
        <f>VLOOKUP(A:A,[1]TDSheet!$A:$H,8,0)</f>
        <v>0.41</v>
      </c>
      <c r="I53" s="21">
        <f>VLOOKUP(A:A,[1]TDSheet!$A:$I,9,0)</f>
        <v>45</v>
      </c>
      <c r="J53" s="21" t="str">
        <f>VLOOKUP(A:A,[1]TDSheet!$A:$J,10,0)</f>
        <v>в матрице</v>
      </c>
      <c r="K53" s="21"/>
      <c r="L53" s="21">
        <f>VLOOKUP(A:A,[2]TDSheet!$A:$B,2,0)</f>
        <v>40</v>
      </c>
      <c r="M53" s="21">
        <f t="shared" si="2"/>
        <v>-14</v>
      </c>
      <c r="N53" s="21"/>
      <c r="O53" s="21"/>
      <c r="P53" s="21">
        <f>VLOOKUP(A:A,[1]TDSheet!$A:$S,19,0)</f>
        <v>110</v>
      </c>
      <c r="Q53" s="21">
        <v>110</v>
      </c>
      <c r="R53" s="21">
        <f t="shared" si="3"/>
        <v>5.2</v>
      </c>
      <c r="S53" s="22"/>
      <c r="T53" s="22"/>
      <c r="U53" s="21"/>
      <c r="V53" s="21">
        <f t="shared" si="4"/>
        <v>89.807692307692307</v>
      </c>
      <c r="W53" s="21">
        <f t="shared" si="5"/>
        <v>47.5</v>
      </c>
      <c r="X53" s="21">
        <f>VLOOKUP(A:A,[1]TDSheet!$A:$Y,25,0)</f>
        <v>24</v>
      </c>
      <c r="Y53" s="21">
        <f>VLOOKUP(A:A,[1]TDSheet!$A:$Z,26,0)</f>
        <v>10.4</v>
      </c>
      <c r="Z53" s="21">
        <f>VLOOKUP(A:A,[1]TDSheet!$A:$AA,27,0)</f>
        <v>31.8</v>
      </c>
      <c r="AA53" s="21">
        <f>VLOOKUP(A:A,[1]TDSheet!$A:$R,18,0)</f>
        <v>33.799999999999997</v>
      </c>
      <c r="AB53" s="21">
        <f>VLOOKUP(A:A,[1]TDSheet!$A:$AB,28,0)</f>
        <v>0</v>
      </c>
      <c r="AC53" s="21">
        <f t="shared" si="6"/>
        <v>0</v>
      </c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1"/>
      <c r="AW53" s="21"/>
      <c r="AX53" s="21"/>
      <c r="AY53" s="21"/>
      <c r="AZ53" s="21"/>
      <c r="BA53" s="21"/>
      <c r="BB53" s="21"/>
      <c r="BC53" s="21"/>
      <c r="BD53" s="21"/>
      <c r="BE53" s="21"/>
    </row>
    <row r="54" spans="1:57" ht="11.1" customHeight="1">
      <c r="A54" s="18" t="s">
        <v>80</v>
      </c>
      <c r="B54" s="18" t="s">
        <v>36</v>
      </c>
      <c r="C54" s="18">
        <f>VLOOKUP(A:A,[1]TDSheet!$A:$C,3,0)</f>
        <v>6765</v>
      </c>
      <c r="D54" s="19">
        <v>232</v>
      </c>
      <c r="E54" s="19">
        <v>48</v>
      </c>
      <c r="F54" s="19">
        <v>102</v>
      </c>
      <c r="G54" s="19">
        <v>159</v>
      </c>
      <c r="H54" s="20">
        <f>VLOOKUP(A:A,[1]TDSheet!$A:$H,8,0)</f>
        <v>0.36</v>
      </c>
      <c r="I54" s="21">
        <f>VLOOKUP(A:A,[1]TDSheet!$A:$I,9,0)</f>
        <v>45</v>
      </c>
      <c r="J54" s="21" t="str">
        <f>VLOOKUP(A:A,[1]TDSheet!$A:$J,10,0)</f>
        <v>в матрице</v>
      </c>
      <c r="K54" s="21"/>
      <c r="L54" s="21">
        <f>VLOOKUP(A:A,[2]TDSheet!$A:$B,2,0)</f>
        <v>93</v>
      </c>
      <c r="M54" s="21">
        <f t="shared" si="2"/>
        <v>9</v>
      </c>
      <c r="N54" s="21"/>
      <c r="O54" s="21"/>
      <c r="P54" s="21">
        <f>VLOOKUP(A:A,[1]TDSheet!$A:$S,19,0)</f>
        <v>35</v>
      </c>
      <c r="Q54" s="21">
        <v>35</v>
      </c>
      <c r="R54" s="21">
        <f t="shared" si="3"/>
        <v>20.399999999999999</v>
      </c>
      <c r="S54" s="22"/>
      <c r="T54" s="22"/>
      <c r="U54" s="21"/>
      <c r="V54" s="21">
        <f t="shared" si="4"/>
        <v>11.225490196078432</v>
      </c>
      <c r="W54" s="21">
        <f t="shared" si="5"/>
        <v>7.7941176470588243</v>
      </c>
      <c r="X54" s="21">
        <f>VLOOKUP(A:A,[1]TDSheet!$A:$Y,25,0)</f>
        <v>15</v>
      </c>
      <c r="Y54" s="21">
        <f>VLOOKUP(A:A,[1]TDSheet!$A:$Z,26,0)</f>
        <v>27</v>
      </c>
      <c r="Z54" s="21">
        <f>VLOOKUP(A:A,[1]TDSheet!$A:$AA,27,0)</f>
        <v>10.199999999999999</v>
      </c>
      <c r="AA54" s="21">
        <f>VLOOKUP(A:A,[1]TDSheet!$A:$R,18,0)</f>
        <v>23.2</v>
      </c>
      <c r="AB54" s="21" t="str">
        <f>VLOOKUP(A:A,[1]TDSheet!$A:$AB,28,0)</f>
        <v>нужно увеличить продажи</v>
      </c>
      <c r="AC54" s="21">
        <f t="shared" si="6"/>
        <v>0</v>
      </c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1"/>
      <c r="AW54" s="21"/>
      <c r="AX54" s="21"/>
      <c r="AY54" s="21"/>
      <c r="AZ54" s="21"/>
      <c r="BA54" s="21"/>
      <c r="BB54" s="21"/>
      <c r="BC54" s="21"/>
      <c r="BD54" s="21"/>
      <c r="BE54" s="21"/>
    </row>
    <row r="55" spans="1:57" ht="11.1" customHeight="1">
      <c r="A55" s="18" t="s">
        <v>81</v>
      </c>
      <c r="B55" s="18" t="s">
        <v>38</v>
      </c>
      <c r="C55" s="18">
        <f>VLOOKUP(A:A,[1]TDSheet!$A:$C,3,0)</f>
        <v>6767</v>
      </c>
      <c r="D55" s="19">
        <v>24.215</v>
      </c>
      <c r="E55" s="19"/>
      <c r="F55" s="19">
        <v>5.1790000000000003</v>
      </c>
      <c r="G55" s="19"/>
      <c r="H55" s="20">
        <f>VLOOKUP(A:A,[1]TDSheet!$A:$H,8,0)</f>
        <v>1</v>
      </c>
      <c r="I55" s="21">
        <f>VLOOKUP(A:A,[1]TDSheet!$A:$I,9,0)</f>
        <v>0</v>
      </c>
      <c r="J55" s="21" t="e">
        <f>VLOOKUP(A:A,[1]TDSheet!$A:$J,10,0)</f>
        <v>#VALUE!</v>
      </c>
      <c r="K55" s="21"/>
      <c r="L55" s="21">
        <f>VLOOKUP(A:A,[2]TDSheet!$A:$B,2,0)</f>
        <v>8.0340000000000007</v>
      </c>
      <c r="M55" s="21">
        <f t="shared" si="2"/>
        <v>-2.8550000000000004</v>
      </c>
      <c r="N55" s="21"/>
      <c r="O55" s="21"/>
      <c r="P55" s="21">
        <f>VLOOKUP(A:A,[1]TDSheet!$A:$S,19,0)</f>
        <v>0</v>
      </c>
      <c r="Q55" s="21">
        <v>0</v>
      </c>
      <c r="R55" s="21">
        <f t="shared" si="3"/>
        <v>1.0358000000000001</v>
      </c>
      <c r="S55" s="22"/>
      <c r="T55" s="22"/>
      <c r="U55" s="21"/>
      <c r="V55" s="21">
        <f t="shared" si="4"/>
        <v>0</v>
      </c>
      <c r="W55" s="21">
        <f t="shared" si="5"/>
        <v>0</v>
      </c>
      <c r="X55" s="21">
        <f>VLOOKUP(A:A,[1]TDSheet!$A:$Y,25,0)</f>
        <v>1.1100000000000001</v>
      </c>
      <c r="Y55" s="21">
        <f>VLOOKUP(A:A,[1]TDSheet!$A:$Z,26,0)</f>
        <v>1.9338</v>
      </c>
      <c r="Z55" s="21">
        <f>VLOOKUP(A:A,[1]TDSheet!$A:$AA,27,0)</f>
        <v>0.45400000000000001</v>
      </c>
      <c r="AA55" s="21">
        <f>VLOOKUP(A:A,[1]TDSheet!$A:$R,18,0)</f>
        <v>1.0513999999999999</v>
      </c>
      <c r="AB55" s="21" t="e">
        <f>VLOOKUP(A:A,[1]TDSheet!$A:$AB,28,0)</f>
        <v>#VALUE!</v>
      </c>
      <c r="AC55" s="21">
        <f t="shared" si="6"/>
        <v>0</v>
      </c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</row>
    <row r="56" spans="1:57" ht="11.1" customHeight="1">
      <c r="A56" s="18" t="s">
        <v>82</v>
      </c>
      <c r="B56" s="18" t="s">
        <v>36</v>
      </c>
      <c r="C56" s="18">
        <f>VLOOKUP(A:A,[1]TDSheet!$A:$C,3,0)</f>
        <v>6787</v>
      </c>
      <c r="D56" s="23"/>
      <c r="E56" s="19">
        <v>112</v>
      </c>
      <c r="F56" s="19">
        <v>9</v>
      </c>
      <c r="G56" s="19">
        <v>79</v>
      </c>
      <c r="H56" s="20">
        <f>VLOOKUP(A:A,[1]TDSheet!$A:$H,8,0)</f>
        <v>0.33</v>
      </c>
      <c r="I56" s="21">
        <f>VLOOKUP(A:A,[1]TDSheet!$A:$I,9,0)</f>
        <v>45</v>
      </c>
      <c r="J56" s="21" t="str">
        <f>VLOOKUP(A:A,[1]TDSheet!$A:$J,10,0)</f>
        <v>в матрице</v>
      </c>
      <c r="K56" s="21"/>
      <c r="L56" s="21">
        <f>VLOOKUP(A:A,[2]TDSheet!$A:$B,2,0)</f>
        <v>9</v>
      </c>
      <c r="M56" s="21">
        <f t="shared" si="2"/>
        <v>0</v>
      </c>
      <c r="N56" s="21"/>
      <c r="O56" s="21"/>
      <c r="P56" s="21">
        <f>VLOOKUP(A:A,[1]TDSheet!$A:$S,19,0)</f>
        <v>0</v>
      </c>
      <c r="Q56" s="21">
        <v>0</v>
      </c>
      <c r="R56" s="21">
        <f t="shared" si="3"/>
        <v>1.8</v>
      </c>
      <c r="S56" s="22"/>
      <c r="T56" s="22"/>
      <c r="U56" s="21"/>
      <c r="V56" s="21">
        <f t="shared" si="4"/>
        <v>43.888888888888886</v>
      </c>
      <c r="W56" s="21">
        <f t="shared" si="5"/>
        <v>43.888888888888886</v>
      </c>
      <c r="X56" s="21">
        <f>VLOOKUP(A:A,[1]TDSheet!$A:$Y,25,0)</f>
        <v>1</v>
      </c>
      <c r="Y56" s="21">
        <f>VLOOKUP(A:A,[1]TDSheet!$A:$Z,26,0)</f>
        <v>0.2</v>
      </c>
      <c r="Z56" s="21">
        <f>VLOOKUP(A:A,[1]TDSheet!$A:$AA,27,0)</f>
        <v>5.4</v>
      </c>
      <c r="AA56" s="21">
        <f>VLOOKUP(A:A,[1]TDSheet!$A:$R,18,0)</f>
        <v>-0.4</v>
      </c>
      <c r="AB56" s="21">
        <f>VLOOKUP(A:A,[1]TDSheet!$A:$AB,28,0)</f>
        <v>0</v>
      </c>
      <c r="AC56" s="21">
        <f t="shared" si="6"/>
        <v>0</v>
      </c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1"/>
      <c r="AW56" s="21"/>
      <c r="AX56" s="21"/>
      <c r="AY56" s="21"/>
      <c r="AZ56" s="21"/>
      <c r="BA56" s="21"/>
      <c r="BB56" s="21"/>
      <c r="BC56" s="21"/>
      <c r="BD56" s="21"/>
      <c r="BE56" s="21"/>
    </row>
    <row r="57" spans="1:57" ht="11.1" customHeight="1">
      <c r="A57" s="18" t="s">
        <v>83</v>
      </c>
      <c r="B57" s="18" t="s">
        <v>36</v>
      </c>
      <c r="C57" s="18">
        <f>VLOOKUP(A:A,[1]TDSheet!$A:$C,3,0)</f>
        <v>6793</v>
      </c>
      <c r="D57" s="19">
        <v>-13</v>
      </c>
      <c r="E57" s="19"/>
      <c r="F57" s="19">
        <v>-16</v>
      </c>
      <c r="G57" s="19">
        <v>-14</v>
      </c>
      <c r="H57" s="20">
        <f>VLOOKUP(A:A,[1]TDSheet!$A:$H,8,0)</f>
        <v>0.33</v>
      </c>
      <c r="I57" s="21">
        <f>VLOOKUP(A:A,[1]TDSheet!$A:$I,9,0)</f>
        <v>45</v>
      </c>
      <c r="J57" s="21" t="str">
        <f>VLOOKUP(A:A,[1]TDSheet!$A:$J,10,0)</f>
        <v>в матрице</v>
      </c>
      <c r="K57" s="21"/>
      <c r="L57" s="21">
        <f>VLOOKUP(A:A,[2]TDSheet!$A:$B,2,0)</f>
        <v>67</v>
      </c>
      <c r="M57" s="21">
        <f t="shared" si="2"/>
        <v>-83</v>
      </c>
      <c r="N57" s="21"/>
      <c r="O57" s="21"/>
      <c r="P57" s="21">
        <f>VLOOKUP(A:A,[1]TDSheet!$A:$S,19,0)</f>
        <v>100</v>
      </c>
      <c r="Q57" s="21">
        <v>100</v>
      </c>
      <c r="R57" s="21">
        <f t="shared" si="3"/>
        <v>-3.2</v>
      </c>
      <c r="S57" s="22"/>
      <c r="T57" s="22"/>
      <c r="U57" s="21"/>
      <c r="V57" s="21">
        <f t="shared" si="4"/>
        <v>-58.125</v>
      </c>
      <c r="W57" s="21">
        <f t="shared" si="5"/>
        <v>4.375</v>
      </c>
      <c r="X57" s="21">
        <f>VLOOKUP(A:A,[1]TDSheet!$A:$Y,25,0)</f>
        <v>23.6</v>
      </c>
      <c r="Y57" s="21">
        <f>VLOOKUP(A:A,[1]TDSheet!$A:$Z,26,0)</f>
        <v>21.4</v>
      </c>
      <c r="Z57" s="21">
        <f>VLOOKUP(A:A,[1]TDSheet!$A:$AA,27,0)</f>
        <v>19.600000000000001</v>
      </c>
      <c r="AA57" s="21">
        <f>VLOOKUP(A:A,[1]TDSheet!$A:$R,18,0)</f>
        <v>22</v>
      </c>
      <c r="AB57" s="21">
        <f>VLOOKUP(A:A,[1]TDSheet!$A:$AB,28,0)</f>
        <v>0</v>
      </c>
      <c r="AC57" s="21">
        <f t="shared" si="6"/>
        <v>0</v>
      </c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1"/>
      <c r="AW57" s="21"/>
      <c r="AX57" s="21"/>
      <c r="AY57" s="21"/>
      <c r="AZ57" s="21"/>
      <c r="BA57" s="21"/>
      <c r="BB57" s="21"/>
      <c r="BC57" s="21"/>
      <c r="BD57" s="21"/>
      <c r="BE57" s="21"/>
    </row>
    <row r="58" spans="1:57" ht="11.1" customHeight="1">
      <c r="A58" s="18" t="s">
        <v>84</v>
      </c>
      <c r="B58" s="18" t="s">
        <v>36</v>
      </c>
      <c r="C58" s="18">
        <f>VLOOKUP(A:A,[1]TDSheet!$A:$C,3,0)</f>
        <v>6797</v>
      </c>
      <c r="D58" s="19">
        <v>97</v>
      </c>
      <c r="E58" s="19"/>
      <c r="F58" s="19">
        <v>75</v>
      </c>
      <c r="G58" s="19">
        <v>6</v>
      </c>
      <c r="H58" s="20">
        <f>VLOOKUP(A:A,[1]TDSheet!$A:$H,8,0)</f>
        <v>0.4</v>
      </c>
      <c r="I58" s="21" t="e">
        <f>VLOOKUP(A:A,[1]TDSheet!$A:$I,9,0)</f>
        <v>#N/A</v>
      </c>
      <c r="J58" s="21" t="e">
        <f>VLOOKUP(A:A,[1]TDSheet!$A:$J,10,0)</f>
        <v>#N/A</v>
      </c>
      <c r="K58" s="21"/>
      <c r="L58" s="21">
        <f>VLOOKUP(A:A,[2]TDSheet!$A:$B,2,0)</f>
        <v>75</v>
      </c>
      <c r="M58" s="21">
        <f t="shared" si="2"/>
        <v>0</v>
      </c>
      <c r="N58" s="21"/>
      <c r="O58" s="21"/>
      <c r="P58" s="21">
        <f>VLOOKUP(A:A,[1]TDSheet!$A:$S,19,0)</f>
        <v>50</v>
      </c>
      <c r="Q58" s="21">
        <v>50</v>
      </c>
      <c r="R58" s="21">
        <f t="shared" si="3"/>
        <v>15</v>
      </c>
      <c r="S58" s="22">
        <f t="shared" si="7"/>
        <v>104</v>
      </c>
      <c r="T58" s="22">
        <v>104</v>
      </c>
      <c r="U58" s="21"/>
      <c r="V58" s="21">
        <f t="shared" si="4"/>
        <v>14</v>
      </c>
      <c r="W58" s="21">
        <f t="shared" si="5"/>
        <v>0.4</v>
      </c>
      <c r="X58" s="21">
        <f>VLOOKUP(A:A,[1]TDSheet!$A:$Y,25,0)</f>
        <v>0</v>
      </c>
      <c r="Y58" s="21">
        <f>VLOOKUP(A:A,[1]TDSheet!$A:$Z,26,0)</f>
        <v>0</v>
      </c>
      <c r="Z58" s="21">
        <f>VLOOKUP(A:A,[1]TDSheet!$A:$AA,27,0)</f>
        <v>1</v>
      </c>
      <c r="AA58" s="21">
        <f>VLOOKUP(A:A,[1]TDSheet!$A:$R,18,0)</f>
        <v>11.6</v>
      </c>
      <c r="AB58" s="21" t="e">
        <f>VLOOKUP(A:A,[1]TDSheet!$A:$AB,28,0)</f>
        <v>#N/A</v>
      </c>
      <c r="AC58" s="21">
        <f t="shared" si="6"/>
        <v>41.6</v>
      </c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1"/>
      <c r="AW58" s="21"/>
      <c r="AX58" s="21"/>
      <c r="AY58" s="21"/>
      <c r="AZ58" s="21"/>
      <c r="BA58" s="21"/>
      <c r="BB58" s="21"/>
      <c r="BC58" s="21"/>
      <c r="BD58" s="21"/>
      <c r="BE58" s="21"/>
    </row>
    <row r="59" spans="1:57" ht="11.1" customHeight="1">
      <c r="A59" s="18" t="s">
        <v>85</v>
      </c>
      <c r="B59" s="18" t="s">
        <v>36</v>
      </c>
      <c r="C59" s="18">
        <f>VLOOKUP(A:A,[1]TDSheet!$A:$C,3,0)</f>
        <v>6807</v>
      </c>
      <c r="D59" s="19">
        <v>1</v>
      </c>
      <c r="E59" s="19">
        <v>208</v>
      </c>
      <c r="F59" s="19">
        <v>21</v>
      </c>
      <c r="G59" s="19">
        <v>164</v>
      </c>
      <c r="H59" s="20">
        <f>VLOOKUP(A:A,[1]TDSheet!$A:$H,8,0)</f>
        <v>0.33</v>
      </c>
      <c r="I59" s="21">
        <f>VLOOKUP(A:A,[1]TDSheet!$A:$I,9,0)</f>
        <v>45</v>
      </c>
      <c r="J59" s="21" t="str">
        <f>VLOOKUP(A:A,[1]TDSheet!$A:$J,10,0)</f>
        <v>в матрице</v>
      </c>
      <c r="K59" s="21"/>
      <c r="L59" s="21">
        <f>VLOOKUP(A:A,[2]TDSheet!$A:$B,2,0)</f>
        <v>24</v>
      </c>
      <c r="M59" s="21">
        <f t="shared" si="2"/>
        <v>-3</v>
      </c>
      <c r="N59" s="21"/>
      <c r="O59" s="21"/>
      <c r="P59" s="21">
        <f>VLOOKUP(A:A,[1]TDSheet!$A:$S,19,0)</f>
        <v>0</v>
      </c>
      <c r="Q59" s="21">
        <v>0</v>
      </c>
      <c r="R59" s="21">
        <f t="shared" si="3"/>
        <v>4.2</v>
      </c>
      <c r="S59" s="22"/>
      <c r="T59" s="22"/>
      <c r="U59" s="21"/>
      <c r="V59" s="21">
        <f t="shared" si="4"/>
        <v>39.047619047619044</v>
      </c>
      <c r="W59" s="21">
        <f t="shared" si="5"/>
        <v>39.047619047619044</v>
      </c>
      <c r="X59" s="21">
        <f>VLOOKUP(A:A,[1]TDSheet!$A:$Y,25,0)</f>
        <v>3.4</v>
      </c>
      <c r="Y59" s="21">
        <f>VLOOKUP(A:A,[1]TDSheet!$A:$Z,26,0)</f>
        <v>2</v>
      </c>
      <c r="Z59" s="21">
        <f>VLOOKUP(A:A,[1]TDSheet!$A:$AA,27,0)</f>
        <v>13.8</v>
      </c>
      <c r="AA59" s="21">
        <f>VLOOKUP(A:A,[1]TDSheet!$A:$R,18,0)</f>
        <v>13.2</v>
      </c>
      <c r="AB59" s="21">
        <f>VLOOKUP(A:A,[1]TDSheet!$A:$AB,28,0)</f>
        <v>0</v>
      </c>
      <c r="AC59" s="21">
        <f t="shared" si="6"/>
        <v>0</v>
      </c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1"/>
      <c r="AW59" s="21"/>
      <c r="AX59" s="21"/>
      <c r="AY59" s="21"/>
      <c r="AZ59" s="21"/>
      <c r="BA59" s="21"/>
      <c r="BB59" s="21"/>
      <c r="BC59" s="21"/>
      <c r="BD59" s="21"/>
      <c r="BE59" s="21"/>
    </row>
    <row r="60" spans="1:57" ht="11.1" customHeight="1">
      <c r="A60" s="18" t="s">
        <v>86</v>
      </c>
      <c r="B60" s="18" t="s">
        <v>38</v>
      </c>
      <c r="C60" s="18">
        <f>VLOOKUP(A:A,[1]TDSheet!$A:$C,3,0)</f>
        <v>6829</v>
      </c>
      <c r="D60" s="19">
        <v>330.05399999999997</v>
      </c>
      <c r="E60" s="19">
        <v>415.49599999999998</v>
      </c>
      <c r="F60" s="19">
        <v>390.86799999999999</v>
      </c>
      <c r="G60" s="19">
        <v>261.08499999999998</v>
      </c>
      <c r="H60" s="20">
        <f>VLOOKUP(A:A,[1]TDSheet!$A:$H,8,0)</f>
        <v>1</v>
      </c>
      <c r="I60" s="21">
        <f>VLOOKUP(A:A,[1]TDSheet!$A:$I,9,0)</f>
        <v>45</v>
      </c>
      <c r="J60" s="21" t="str">
        <f>VLOOKUP(A:A,[1]TDSheet!$A:$J,10,0)</f>
        <v>в матрице</v>
      </c>
      <c r="K60" s="21"/>
      <c r="L60" s="21">
        <f>VLOOKUP(A:A,[2]TDSheet!$A:$B,2,0)</f>
        <v>424.66399999999999</v>
      </c>
      <c r="M60" s="21">
        <f t="shared" si="2"/>
        <v>-33.795999999999992</v>
      </c>
      <c r="N60" s="21"/>
      <c r="O60" s="21"/>
      <c r="P60" s="21">
        <f>VLOOKUP(A:A,[1]TDSheet!$A:$S,19,0)</f>
        <v>300</v>
      </c>
      <c r="Q60" s="21">
        <v>300</v>
      </c>
      <c r="R60" s="21">
        <f t="shared" si="3"/>
        <v>78.173599999999993</v>
      </c>
      <c r="S60" s="22">
        <f t="shared" si="7"/>
        <v>233.34539999999993</v>
      </c>
      <c r="T60" s="22">
        <v>233</v>
      </c>
      <c r="U60" s="21"/>
      <c r="V60" s="21">
        <f t="shared" si="4"/>
        <v>14</v>
      </c>
      <c r="W60" s="21">
        <f t="shared" si="5"/>
        <v>3.339810370764555</v>
      </c>
      <c r="X60" s="21">
        <f>VLOOKUP(A:A,[1]TDSheet!$A:$Y,25,0)</f>
        <v>66.671400000000006</v>
      </c>
      <c r="Y60" s="21">
        <f>VLOOKUP(A:A,[1]TDSheet!$A:$Z,26,0)</f>
        <v>77.873199999999997</v>
      </c>
      <c r="Z60" s="21">
        <f>VLOOKUP(A:A,[1]TDSheet!$A:$AA,27,0)</f>
        <v>76.927999999999997</v>
      </c>
      <c r="AA60" s="21">
        <f>VLOOKUP(A:A,[1]TDSheet!$A:$R,18,0)</f>
        <v>86.486199999999997</v>
      </c>
      <c r="AB60" s="21">
        <f>VLOOKUP(A:A,[1]TDSheet!$A:$AB,28,0)</f>
        <v>0</v>
      </c>
      <c r="AC60" s="21">
        <f t="shared" si="6"/>
        <v>233.34539999999993</v>
      </c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1"/>
      <c r="AW60" s="21"/>
      <c r="AX60" s="21"/>
      <c r="AY60" s="21"/>
      <c r="AZ60" s="21"/>
      <c r="BA60" s="21"/>
      <c r="BB60" s="21"/>
      <c r="BC60" s="21"/>
      <c r="BD60" s="21"/>
      <c r="BE60" s="21"/>
    </row>
    <row r="61" spans="1:57" ht="11.1" customHeight="1">
      <c r="A61" s="18" t="s">
        <v>87</v>
      </c>
      <c r="B61" s="18" t="s">
        <v>36</v>
      </c>
      <c r="C61" s="18">
        <f>VLOOKUP(A:A,[1]TDSheet!$A:$C,3,0)</f>
        <v>6834</v>
      </c>
      <c r="D61" s="19">
        <v>65</v>
      </c>
      <c r="E61" s="19"/>
      <c r="F61" s="19">
        <v>32</v>
      </c>
      <c r="G61" s="19">
        <v>33</v>
      </c>
      <c r="H61" s="20">
        <f>VLOOKUP(A:A,[1]TDSheet!$A:$H,8,0)</f>
        <v>0.1</v>
      </c>
      <c r="I61" s="21">
        <f>VLOOKUP(A:A,[1]TDSheet!$A:$I,9,0)</f>
        <v>60</v>
      </c>
      <c r="J61" s="21" t="str">
        <f>VLOOKUP(A:A,[1]TDSheet!$A:$J,10,0)</f>
        <v>в матрице</v>
      </c>
      <c r="K61" s="21"/>
      <c r="L61" s="21">
        <f>VLOOKUP(A:A,[2]TDSheet!$A:$B,2,0)</f>
        <v>32</v>
      </c>
      <c r="M61" s="21">
        <f t="shared" si="2"/>
        <v>0</v>
      </c>
      <c r="N61" s="21"/>
      <c r="O61" s="21"/>
      <c r="P61" s="21">
        <f>VLOOKUP(A:A,[1]TDSheet!$A:$S,19,0)</f>
        <v>0</v>
      </c>
      <c r="Q61" s="21">
        <v>0</v>
      </c>
      <c r="R61" s="21">
        <f t="shared" si="3"/>
        <v>6.4</v>
      </c>
      <c r="S61" s="22"/>
      <c r="T61" s="22"/>
      <c r="U61" s="21"/>
      <c r="V61" s="21">
        <f t="shared" si="4"/>
        <v>5.15625</v>
      </c>
      <c r="W61" s="21">
        <f t="shared" si="5"/>
        <v>5.15625</v>
      </c>
      <c r="X61" s="21">
        <f>VLOOKUP(A:A,[1]TDSheet!$A:$Y,25,0)</f>
        <v>1.4</v>
      </c>
      <c r="Y61" s="21">
        <f>VLOOKUP(A:A,[1]TDSheet!$A:$Z,26,0)</f>
        <v>4.4000000000000004</v>
      </c>
      <c r="Z61" s="21">
        <f>VLOOKUP(A:A,[1]TDSheet!$A:$AA,27,0)</f>
        <v>0.4</v>
      </c>
      <c r="AA61" s="21">
        <f>VLOOKUP(A:A,[1]TDSheet!$A:$R,18,0)</f>
        <v>2.8</v>
      </c>
      <c r="AB61" s="21" t="str">
        <f>VLOOKUP(A:A,[1]TDSheet!$A:$AB,28,0)</f>
        <v>нужно увеличить продажи!!! / 06,03,25 в уценку 85шт.</v>
      </c>
      <c r="AC61" s="21">
        <f t="shared" si="6"/>
        <v>0</v>
      </c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1"/>
      <c r="AW61" s="21"/>
      <c r="AX61" s="21"/>
      <c r="AY61" s="21"/>
      <c r="AZ61" s="21"/>
      <c r="BA61" s="21"/>
      <c r="BB61" s="21"/>
      <c r="BC61" s="21"/>
      <c r="BD61" s="21"/>
      <c r="BE61" s="21"/>
    </row>
    <row r="62" spans="1:57" ht="11.1" customHeight="1">
      <c r="A62" s="18" t="s">
        <v>88</v>
      </c>
      <c r="B62" s="18" t="s">
        <v>36</v>
      </c>
      <c r="C62" s="18">
        <f>VLOOKUP(A:A,[1]TDSheet!$A:$C,3,0)</f>
        <v>6837</v>
      </c>
      <c r="D62" s="19">
        <v>4</v>
      </c>
      <c r="E62" s="19">
        <v>51</v>
      </c>
      <c r="F62" s="19">
        <v>1</v>
      </c>
      <c r="G62" s="19">
        <v>41</v>
      </c>
      <c r="H62" s="20">
        <f>VLOOKUP(A:A,[1]TDSheet!$A:$H,8,0)</f>
        <v>0.4</v>
      </c>
      <c r="I62" s="21">
        <f>VLOOKUP(A:A,[1]TDSheet!$A:$I,9,0)</f>
        <v>45</v>
      </c>
      <c r="J62" s="21" t="str">
        <f>VLOOKUP(A:A,[1]TDSheet!$A:$J,10,0)</f>
        <v>в матрице</v>
      </c>
      <c r="K62" s="21"/>
      <c r="L62" s="21">
        <f>VLOOKUP(A:A,[2]TDSheet!$A:$B,2,0)</f>
        <v>39</v>
      </c>
      <c r="M62" s="21">
        <f t="shared" si="2"/>
        <v>-38</v>
      </c>
      <c r="N62" s="21"/>
      <c r="O62" s="21"/>
      <c r="P62" s="21">
        <f>VLOOKUP(A:A,[1]TDSheet!$A:$S,19,0)</f>
        <v>260</v>
      </c>
      <c r="Q62" s="21">
        <v>260</v>
      </c>
      <c r="R62" s="21">
        <f t="shared" si="3"/>
        <v>0.2</v>
      </c>
      <c r="S62" s="22"/>
      <c r="T62" s="22"/>
      <c r="U62" s="21"/>
      <c r="V62" s="21">
        <f t="shared" si="4"/>
        <v>2805</v>
      </c>
      <c r="W62" s="21">
        <f t="shared" si="5"/>
        <v>205</v>
      </c>
      <c r="X62" s="21">
        <f>VLOOKUP(A:A,[1]TDSheet!$A:$Y,25,0)</f>
        <v>18.399999999999999</v>
      </c>
      <c r="Y62" s="21">
        <f>VLOOKUP(A:A,[1]TDSheet!$A:$Z,26,0)</f>
        <v>15.8</v>
      </c>
      <c r="Z62" s="21">
        <f>VLOOKUP(A:A,[1]TDSheet!$A:$AA,27,0)</f>
        <v>11.8</v>
      </c>
      <c r="AA62" s="21">
        <f>VLOOKUP(A:A,[1]TDSheet!$A:$R,18,0)</f>
        <v>35</v>
      </c>
      <c r="AB62" s="21">
        <f>VLOOKUP(A:A,[1]TDSheet!$A:$AB,28,0)</f>
        <v>0</v>
      </c>
      <c r="AC62" s="21">
        <f t="shared" si="6"/>
        <v>0</v>
      </c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</row>
    <row r="63" spans="1:57" ht="11.1" customHeight="1">
      <c r="A63" s="18" t="s">
        <v>89</v>
      </c>
      <c r="B63" s="18" t="s">
        <v>38</v>
      </c>
      <c r="C63" s="18">
        <f>VLOOKUP(A:A,[1]TDSheet!$A:$C,3,0)</f>
        <v>6861</v>
      </c>
      <c r="D63" s="19">
        <v>6.0780000000000003</v>
      </c>
      <c r="E63" s="19">
        <v>15.576000000000001</v>
      </c>
      <c r="F63" s="19">
        <v>0</v>
      </c>
      <c r="G63" s="19">
        <v>21.654</v>
      </c>
      <c r="H63" s="20">
        <f>VLOOKUP(A:A,[1]TDSheet!$A:$H,8,0)</f>
        <v>1</v>
      </c>
      <c r="I63" s="21" t="e">
        <f>VLOOKUP(A:A,[1]TDSheet!$A:$I,9,0)</f>
        <v>#N/A</v>
      </c>
      <c r="J63" s="21" t="e">
        <f>VLOOKUP(A:A,[1]TDSheet!$A:$J,10,0)</f>
        <v>#N/A</v>
      </c>
      <c r="K63" s="21"/>
      <c r="L63" s="21">
        <v>0</v>
      </c>
      <c r="M63" s="21">
        <f t="shared" si="2"/>
        <v>0</v>
      </c>
      <c r="N63" s="21"/>
      <c r="O63" s="21"/>
      <c r="P63" s="21">
        <f>VLOOKUP(A:A,[1]TDSheet!$A:$S,19,0)</f>
        <v>0</v>
      </c>
      <c r="Q63" s="21">
        <v>0</v>
      </c>
      <c r="R63" s="21">
        <f t="shared" si="3"/>
        <v>0</v>
      </c>
      <c r="S63" s="22"/>
      <c r="T63" s="22"/>
      <c r="U63" s="21"/>
      <c r="V63" s="21" t="e">
        <f t="shared" si="4"/>
        <v>#DIV/0!</v>
      </c>
      <c r="W63" s="21" t="e">
        <f t="shared" si="5"/>
        <v>#DIV/0!</v>
      </c>
      <c r="X63" s="21">
        <f>VLOOKUP(A:A,[1]TDSheet!$A:$Y,25,0)</f>
        <v>0</v>
      </c>
      <c r="Y63" s="21">
        <f>VLOOKUP(A:A,[1]TDSheet!$A:$Z,26,0)</f>
        <v>0</v>
      </c>
      <c r="Z63" s="21">
        <f>VLOOKUP(A:A,[1]TDSheet!$A:$AA,27,0)</f>
        <v>0</v>
      </c>
      <c r="AA63" s="21">
        <f>VLOOKUP(A:A,[1]TDSheet!$A:$R,18,0)</f>
        <v>0.39</v>
      </c>
      <c r="AB63" s="21" t="e">
        <f>VLOOKUP(A:A,[1]TDSheet!$A:$AB,28,0)</f>
        <v>#N/A</v>
      </c>
      <c r="AC63" s="21">
        <f t="shared" si="6"/>
        <v>0</v>
      </c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</row>
    <row r="64" spans="1:57" ht="11.1" customHeight="1">
      <c r="A64" s="18" t="s">
        <v>90</v>
      </c>
      <c r="B64" s="18" t="s">
        <v>38</v>
      </c>
      <c r="C64" s="18">
        <f>VLOOKUP(A:A,[1]TDSheet!$A:$C,3,0)</f>
        <v>6892</v>
      </c>
      <c r="D64" s="19">
        <v>3.8809999999999998</v>
      </c>
      <c r="E64" s="19"/>
      <c r="F64" s="19">
        <v>0</v>
      </c>
      <c r="G64" s="19">
        <v>3.8809999999999998</v>
      </c>
      <c r="H64" s="20">
        <f>VLOOKUP(A:A,[1]TDSheet!$A:$H,8,0)</f>
        <v>1</v>
      </c>
      <c r="I64" s="21">
        <f>VLOOKUP(A:A,[1]TDSheet!$A:$I,9,0)</f>
        <v>0</v>
      </c>
      <c r="J64" s="21" t="e">
        <f>VLOOKUP(A:A,[1]TDSheet!$A:$J,10,0)</f>
        <v>#VALUE!</v>
      </c>
      <c r="K64" s="21"/>
      <c r="L64" s="21">
        <v>0</v>
      </c>
      <c r="M64" s="21">
        <f t="shared" si="2"/>
        <v>0</v>
      </c>
      <c r="N64" s="21"/>
      <c r="O64" s="21"/>
      <c r="P64" s="21">
        <f>VLOOKUP(A:A,[1]TDSheet!$A:$S,19,0)</f>
        <v>0</v>
      </c>
      <c r="Q64" s="21">
        <v>0</v>
      </c>
      <c r="R64" s="21">
        <f t="shared" si="3"/>
        <v>0</v>
      </c>
      <c r="S64" s="22"/>
      <c r="T64" s="22"/>
      <c r="U64" s="21"/>
      <c r="V64" s="21" t="e">
        <f t="shared" si="4"/>
        <v>#DIV/0!</v>
      </c>
      <c r="W64" s="21" t="e">
        <f t="shared" si="5"/>
        <v>#DIV/0!</v>
      </c>
      <c r="X64" s="21">
        <f>VLOOKUP(A:A,[1]TDSheet!$A:$Y,25,0)</f>
        <v>0.78059999999999996</v>
      </c>
      <c r="Y64" s="21">
        <f>VLOOKUP(A:A,[1]TDSheet!$A:$Z,26,0)</f>
        <v>0</v>
      </c>
      <c r="Z64" s="21">
        <f>VLOOKUP(A:A,[1]TDSheet!$A:$AA,27,0)</f>
        <v>0</v>
      </c>
      <c r="AA64" s="21">
        <f>VLOOKUP(A:A,[1]TDSheet!$A:$R,18,0)</f>
        <v>0</v>
      </c>
      <c r="AB64" s="21" t="e">
        <f>VLOOKUP(A:A,[1]TDSheet!$A:$AB,28,0)</f>
        <v>#VALUE!</v>
      </c>
      <c r="AC64" s="21">
        <f t="shared" si="6"/>
        <v>0</v>
      </c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1"/>
      <c r="AW64" s="21"/>
      <c r="AX64" s="21"/>
      <c r="AY64" s="21"/>
      <c r="AZ64" s="21"/>
      <c r="BA64" s="21"/>
      <c r="BB64" s="21"/>
      <c r="BC64" s="21"/>
      <c r="BD64" s="21"/>
      <c r="BE64" s="21"/>
    </row>
    <row r="65" spans="1:57" ht="11.1" customHeight="1">
      <c r="A65" s="24" t="s">
        <v>91</v>
      </c>
      <c r="B65" s="24" t="s">
        <v>38</v>
      </c>
      <c r="C65" s="24">
        <f>VLOOKUP(A:A,[1]TDSheet!$A:$C,3,0)</f>
        <v>6866</v>
      </c>
      <c r="D65" s="25">
        <v>107.985</v>
      </c>
      <c r="E65" s="25">
        <v>5.9749999999999996</v>
      </c>
      <c r="F65" s="25">
        <v>2.9849999999999999</v>
      </c>
      <c r="G65" s="25">
        <v>104.935</v>
      </c>
      <c r="H65" s="26">
        <f>VLOOKUP(A:A,[1]TDSheet!$A:$H,8,0)</f>
        <v>1</v>
      </c>
      <c r="I65" s="27">
        <f>VLOOKUP(A:A,[1]TDSheet!$A:$I,9,0)</f>
        <v>60</v>
      </c>
      <c r="J65" s="27" t="str">
        <f>VLOOKUP(A:A,[1]TDSheet!$A:$J,10,0)</f>
        <v>в матрице</v>
      </c>
      <c r="K65" s="21"/>
      <c r="L65" s="21">
        <f>VLOOKUP(A:A,[2]TDSheet!$A:$B,2,0)</f>
        <v>2.8</v>
      </c>
      <c r="M65" s="21">
        <f t="shared" si="2"/>
        <v>0.18500000000000005</v>
      </c>
      <c r="N65" s="21"/>
      <c r="O65" s="21"/>
      <c r="P65" s="21">
        <f>VLOOKUP(A:A,[1]TDSheet!$A:$S,19,0)</f>
        <v>0</v>
      </c>
      <c r="Q65" s="21">
        <v>0</v>
      </c>
      <c r="R65" s="21">
        <f t="shared" si="3"/>
        <v>0.59699999999999998</v>
      </c>
      <c r="S65" s="22"/>
      <c r="T65" s="22"/>
      <c r="U65" s="21"/>
      <c r="V65" s="21">
        <f t="shared" si="4"/>
        <v>175.77051926298159</v>
      </c>
      <c r="W65" s="21">
        <f t="shared" si="5"/>
        <v>175.77051926298159</v>
      </c>
      <c r="X65" s="21">
        <f>VLOOKUP(A:A,[1]TDSheet!$A:$Y,25,0)</f>
        <v>7.5484</v>
      </c>
      <c r="Y65" s="21">
        <f>VLOOKUP(A:A,[1]TDSheet!$A:$Z,26,0)</f>
        <v>10.635999999999999</v>
      </c>
      <c r="Z65" s="21">
        <f>VLOOKUP(A:A,[1]TDSheet!$A:$AA,27,0)</f>
        <v>3.5259999999999998</v>
      </c>
      <c r="AA65" s="21">
        <f>VLOOKUP(A:A,[1]TDSheet!$A:$R,18,0)</f>
        <v>9.3550000000000004</v>
      </c>
      <c r="AB65" s="21">
        <f>VLOOKUP(A:A,[1]TDSheet!$A:$AB,28,0)</f>
        <v>0</v>
      </c>
      <c r="AC65" s="21">
        <f t="shared" si="6"/>
        <v>0</v>
      </c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1"/>
      <c r="AW65" s="21"/>
      <c r="AX65" s="21"/>
      <c r="AY65" s="21"/>
      <c r="AZ65" s="21"/>
      <c r="BA65" s="21"/>
      <c r="BB65" s="21"/>
      <c r="BC65" s="21"/>
      <c r="BD65" s="21"/>
      <c r="BE65" s="21"/>
    </row>
    <row r="66" spans="1:57" ht="11.1" customHeight="1">
      <c r="A66" s="18" t="s">
        <v>92</v>
      </c>
      <c r="B66" s="18" t="s">
        <v>36</v>
      </c>
      <c r="C66" s="18">
        <f>VLOOKUP(A:A,[1]TDSheet!$A:$C,3,0)</f>
        <v>6967</v>
      </c>
      <c r="D66" s="19">
        <v>5</v>
      </c>
      <c r="E66" s="19"/>
      <c r="F66" s="19">
        <v>4</v>
      </c>
      <c r="G66" s="19"/>
      <c r="H66" s="20">
        <f>VLOOKUP(A:A,[1]TDSheet!$A:$H,8,0)</f>
        <v>0.25</v>
      </c>
      <c r="I66" s="21">
        <f>VLOOKUP(A:A,[1]TDSheet!$A:$I,9,0)</f>
        <v>120</v>
      </c>
      <c r="J66" s="21" t="str">
        <f>VLOOKUP(A:A,[1]TDSheet!$A:$J,10,0)</f>
        <v>в матрице</v>
      </c>
      <c r="K66" s="21"/>
      <c r="L66" s="21">
        <f>VLOOKUP(A:A,[2]TDSheet!$A:$B,2,0)</f>
        <v>5</v>
      </c>
      <c r="M66" s="21">
        <f t="shared" si="2"/>
        <v>-1</v>
      </c>
      <c r="N66" s="21"/>
      <c r="O66" s="21"/>
      <c r="P66" s="21">
        <f>VLOOKUP(A:A,[1]TDSheet!$A:$S,19,0)</f>
        <v>110</v>
      </c>
      <c r="Q66" s="21">
        <v>110</v>
      </c>
      <c r="R66" s="21">
        <f t="shared" si="3"/>
        <v>0.8</v>
      </c>
      <c r="S66" s="22"/>
      <c r="T66" s="22"/>
      <c r="U66" s="21"/>
      <c r="V66" s="21">
        <f t="shared" si="4"/>
        <v>275</v>
      </c>
      <c r="W66" s="21">
        <f t="shared" si="5"/>
        <v>0</v>
      </c>
      <c r="X66" s="21">
        <f>VLOOKUP(A:A,[1]TDSheet!$A:$Y,25,0)</f>
        <v>5.8</v>
      </c>
      <c r="Y66" s="21">
        <f>VLOOKUP(A:A,[1]TDSheet!$A:$Z,26,0)</f>
        <v>0.8</v>
      </c>
      <c r="Z66" s="21">
        <f>VLOOKUP(A:A,[1]TDSheet!$A:$AA,27,0)</f>
        <v>0.8</v>
      </c>
      <c r="AA66" s="21">
        <f>VLOOKUP(A:A,[1]TDSheet!$A:$R,18,0)</f>
        <v>14</v>
      </c>
      <c r="AB66" s="21">
        <f>VLOOKUP(A:A,[1]TDSheet!$A:$AB,28,0)</f>
        <v>0</v>
      </c>
      <c r="AC66" s="21">
        <f t="shared" si="6"/>
        <v>0</v>
      </c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1"/>
      <c r="AW66" s="21"/>
      <c r="AX66" s="21"/>
      <c r="AY66" s="21"/>
      <c r="AZ66" s="21"/>
      <c r="BA66" s="21"/>
      <c r="BB66" s="21"/>
      <c r="BC66" s="21"/>
      <c r="BD66" s="21"/>
      <c r="BE66" s="21"/>
    </row>
    <row r="67" spans="1:57" ht="11.1" customHeight="1">
      <c r="A67" s="18" t="s">
        <v>93</v>
      </c>
      <c r="B67" s="18" t="s">
        <v>38</v>
      </c>
      <c r="C67" s="18">
        <f>VLOOKUP(A:A,[1]TDSheet!$A:$C,3,0)</f>
        <v>7001</v>
      </c>
      <c r="D67" s="19">
        <v>76.097999999999999</v>
      </c>
      <c r="E67" s="19">
        <v>3.113</v>
      </c>
      <c r="F67" s="19">
        <v>59.697000000000003</v>
      </c>
      <c r="G67" s="19">
        <v>13.263999999999999</v>
      </c>
      <c r="H67" s="20">
        <f>VLOOKUP(A:A,[1]TDSheet!$A:$H,8,0)</f>
        <v>1</v>
      </c>
      <c r="I67" s="21">
        <f>VLOOKUP(A:A,[1]TDSheet!$A:$I,9,0)</f>
        <v>45</v>
      </c>
      <c r="J67" s="21" t="str">
        <f>VLOOKUP(A:A,[1]TDSheet!$A:$J,10,0)</f>
        <v>в матрице</v>
      </c>
      <c r="K67" s="21"/>
      <c r="L67" s="21">
        <f>VLOOKUP(A:A,[2]TDSheet!$A:$B,2,0)</f>
        <v>77</v>
      </c>
      <c r="M67" s="21">
        <f t="shared" si="2"/>
        <v>-17.302999999999997</v>
      </c>
      <c r="N67" s="21"/>
      <c r="O67" s="21"/>
      <c r="P67" s="21">
        <f>VLOOKUP(A:A,[1]TDSheet!$A:$S,19,0)</f>
        <v>110</v>
      </c>
      <c r="Q67" s="21">
        <v>110</v>
      </c>
      <c r="R67" s="21">
        <f t="shared" si="3"/>
        <v>11.939400000000001</v>
      </c>
      <c r="S67" s="22"/>
      <c r="T67" s="22"/>
      <c r="U67" s="21"/>
      <c r="V67" s="21">
        <f t="shared" si="4"/>
        <v>19.537330184096351</v>
      </c>
      <c r="W67" s="21">
        <f t="shared" si="5"/>
        <v>1.1109435985057874</v>
      </c>
      <c r="X67" s="21">
        <f>VLOOKUP(A:A,[1]TDSheet!$A:$Y,25,0)</f>
        <v>14.728400000000001</v>
      </c>
      <c r="Y67" s="21">
        <f>VLOOKUP(A:A,[1]TDSheet!$A:$Z,26,0)</f>
        <v>4.3868</v>
      </c>
      <c r="Z67" s="21">
        <f>VLOOKUP(A:A,[1]TDSheet!$A:$AA,27,0)</f>
        <v>5.4871999999999996</v>
      </c>
      <c r="AA67" s="21">
        <f>VLOOKUP(A:A,[1]TDSheet!$A:$R,18,0)</f>
        <v>18.562999999999999</v>
      </c>
      <c r="AB67" s="21">
        <f>VLOOKUP(A:A,[1]TDSheet!$A:$AB,28,0)</f>
        <v>0</v>
      </c>
      <c r="AC67" s="21">
        <f t="shared" si="6"/>
        <v>0</v>
      </c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1"/>
      <c r="AW67" s="21"/>
      <c r="AX67" s="21"/>
      <c r="AY67" s="21"/>
      <c r="AZ67" s="21"/>
      <c r="BA67" s="21"/>
      <c r="BB67" s="21"/>
      <c r="BC67" s="21"/>
      <c r="BD67" s="21"/>
      <c r="BE67" s="21"/>
    </row>
    <row r="68" spans="1:57" ht="11.1" customHeight="1">
      <c r="A68" s="18" t="s">
        <v>94</v>
      </c>
      <c r="B68" s="18" t="s">
        <v>36</v>
      </c>
      <c r="C68" s="18">
        <f>VLOOKUP(A:A,[1]TDSheet!$A:$C,3,0)</f>
        <v>7059</v>
      </c>
      <c r="D68" s="19">
        <v>406</v>
      </c>
      <c r="E68" s="19"/>
      <c r="F68" s="19">
        <v>83</v>
      </c>
      <c r="G68" s="19">
        <v>275</v>
      </c>
      <c r="H68" s="20">
        <f>VLOOKUP(A:A,[1]TDSheet!$A:$H,8,0)</f>
        <v>0.3</v>
      </c>
      <c r="I68" s="21">
        <f>VLOOKUP(A:A,[1]TDSheet!$A:$I,9,0)</f>
        <v>0</v>
      </c>
      <c r="J68" s="21" t="e">
        <f>VLOOKUP(A:A,[1]TDSheet!$A:$J,10,0)</f>
        <v>#VALUE!</v>
      </c>
      <c r="K68" s="21"/>
      <c r="L68" s="21">
        <f>VLOOKUP(A:A,[2]TDSheet!$A:$B,2,0)</f>
        <v>73</v>
      </c>
      <c r="M68" s="21">
        <f t="shared" si="2"/>
        <v>10</v>
      </c>
      <c r="N68" s="21"/>
      <c r="O68" s="21"/>
      <c r="P68" s="21">
        <f>VLOOKUP(A:A,[1]TDSheet!$A:$S,19,0)</f>
        <v>0</v>
      </c>
      <c r="Q68" s="21">
        <v>0</v>
      </c>
      <c r="R68" s="21">
        <f t="shared" si="3"/>
        <v>16.600000000000001</v>
      </c>
      <c r="S68" s="22"/>
      <c r="T68" s="22"/>
      <c r="U68" s="21"/>
      <c r="V68" s="21">
        <f t="shared" si="4"/>
        <v>16.566265060240962</v>
      </c>
      <c r="W68" s="21">
        <f t="shared" si="5"/>
        <v>16.566265060240962</v>
      </c>
      <c r="X68" s="21">
        <f>VLOOKUP(A:A,[1]TDSheet!$A:$Y,25,0)</f>
        <v>12</v>
      </c>
      <c r="Y68" s="21">
        <f>VLOOKUP(A:A,[1]TDSheet!$A:$Z,26,0)</f>
        <v>8.1999999999999993</v>
      </c>
      <c r="Z68" s="21">
        <f>VLOOKUP(A:A,[1]TDSheet!$A:$AA,27,0)</f>
        <v>23</v>
      </c>
      <c r="AA68" s="21">
        <f>VLOOKUP(A:A,[1]TDSheet!$A:$R,18,0)</f>
        <v>19.600000000000001</v>
      </c>
      <c r="AB68" s="21" t="e">
        <f>VLOOKUP(A:A,[1]TDSheet!$A:$AB,28,0)</f>
        <v>#VALUE!</v>
      </c>
      <c r="AC68" s="21">
        <f t="shared" si="6"/>
        <v>0</v>
      </c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1"/>
      <c r="AW68" s="21"/>
      <c r="AX68" s="21"/>
      <c r="AY68" s="21"/>
      <c r="AZ68" s="21"/>
      <c r="BA68" s="21"/>
      <c r="BB68" s="21"/>
      <c r="BC68" s="21"/>
      <c r="BD68" s="21"/>
      <c r="BE68" s="21"/>
    </row>
    <row r="69" spans="1:57" ht="11.1" customHeight="1">
      <c r="A69" s="28" t="s">
        <v>95</v>
      </c>
      <c r="B69" s="28" t="s">
        <v>36</v>
      </c>
      <c r="C69" s="28">
        <f>VLOOKUP(A:A,[1]TDSheet!$A:$C,3,0)</f>
        <v>7066</v>
      </c>
      <c r="D69" s="29">
        <v>976</v>
      </c>
      <c r="E69" s="29">
        <v>17</v>
      </c>
      <c r="F69" s="29">
        <v>478</v>
      </c>
      <c r="G69" s="29">
        <v>445</v>
      </c>
      <c r="H69" s="30">
        <f>VLOOKUP(A:A,[1]TDSheet!$A:$H,8,0)</f>
        <v>0.41</v>
      </c>
      <c r="I69" s="31">
        <f>VLOOKUP(A:A,[1]TDSheet!$A:$I,9,0)</f>
        <v>50</v>
      </c>
      <c r="J69" s="31" t="str">
        <f>VLOOKUP(A:A,[1]TDSheet!$A:$J,10,0)</f>
        <v>в матрице</v>
      </c>
      <c r="K69" s="21"/>
      <c r="L69" s="21">
        <f>VLOOKUP(A:A,[2]TDSheet!$A:$B,2,0)</f>
        <v>452</v>
      </c>
      <c r="M69" s="21">
        <f t="shared" si="2"/>
        <v>26</v>
      </c>
      <c r="N69" s="21"/>
      <c r="O69" s="21"/>
      <c r="P69" s="21">
        <f>VLOOKUP(A:A,[1]TDSheet!$A:$S,19,0)</f>
        <v>50</v>
      </c>
      <c r="Q69" s="21">
        <v>50</v>
      </c>
      <c r="R69" s="21">
        <f t="shared" si="3"/>
        <v>95.6</v>
      </c>
      <c r="S69" s="22">
        <f t="shared" si="7"/>
        <v>793.39999999999986</v>
      </c>
      <c r="T69" s="22">
        <v>900</v>
      </c>
      <c r="U69" s="21"/>
      <c r="V69" s="21">
        <f t="shared" si="4"/>
        <v>14</v>
      </c>
      <c r="W69" s="21">
        <f t="shared" si="5"/>
        <v>4.6548117154811717</v>
      </c>
      <c r="X69" s="21">
        <f>VLOOKUP(A:A,[1]TDSheet!$A:$Y,25,0)</f>
        <v>54.2</v>
      </c>
      <c r="Y69" s="21">
        <f>VLOOKUP(A:A,[1]TDSheet!$A:$Z,26,0)</f>
        <v>117.8</v>
      </c>
      <c r="Z69" s="21">
        <f>VLOOKUP(A:A,[1]TDSheet!$A:$AA,27,0)</f>
        <v>97</v>
      </c>
      <c r="AA69" s="21">
        <f>VLOOKUP(A:A,[1]TDSheet!$A:$R,18,0)</f>
        <v>75</v>
      </c>
      <c r="AB69" s="21">
        <f>VLOOKUP(A:A,[1]TDSheet!$A:$AB,28,0)</f>
        <v>0</v>
      </c>
      <c r="AC69" s="21">
        <f t="shared" si="6"/>
        <v>325.29399999999993</v>
      </c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</row>
    <row r="70" spans="1:57" ht="11.1" customHeight="1">
      <c r="A70" s="28" t="s">
        <v>96</v>
      </c>
      <c r="B70" s="28" t="s">
        <v>38</v>
      </c>
      <c r="C70" s="28">
        <f>VLOOKUP(A:A,[1]TDSheet!$A:$C,3,0)</f>
        <v>7070</v>
      </c>
      <c r="D70" s="29">
        <v>101</v>
      </c>
      <c r="E70" s="29">
        <v>248.86</v>
      </c>
      <c r="F70" s="29">
        <v>50.643999999999998</v>
      </c>
      <c r="G70" s="29">
        <v>276</v>
      </c>
      <c r="H70" s="30">
        <f>VLOOKUP(A:A,[1]TDSheet!$A:$H,8,0)</f>
        <v>1</v>
      </c>
      <c r="I70" s="31">
        <f>VLOOKUP(A:A,[1]TDSheet!$A:$I,9,0)</f>
        <v>50</v>
      </c>
      <c r="J70" s="31" t="str">
        <f>VLOOKUP(A:A,[1]TDSheet!$A:$J,10,0)</f>
        <v>в матрице</v>
      </c>
      <c r="K70" s="21"/>
      <c r="L70" s="21">
        <f>VLOOKUP(A:A,[2]TDSheet!$A:$B,2,0)</f>
        <v>90</v>
      </c>
      <c r="M70" s="21">
        <f t="shared" si="2"/>
        <v>-39.356000000000002</v>
      </c>
      <c r="N70" s="21"/>
      <c r="O70" s="21"/>
      <c r="P70" s="21">
        <f>VLOOKUP(A:A,[1]TDSheet!$A:$S,19,0)</f>
        <v>250</v>
      </c>
      <c r="Q70" s="21">
        <v>250</v>
      </c>
      <c r="R70" s="21">
        <f t="shared" si="3"/>
        <v>10.1288</v>
      </c>
      <c r="S70" s="22"/>
      <c r="T70" s="22"/>
      <c r="U70" s="21"/>
      <c r="V70" s="21">
        <f t="shared" si="4"/>
        <v>76.61322170444673</v>
      </c>
      <c r="W70" s="21">
        <f t="shared" si="5"/>
        <v>27.249032461890845</v>
      </c>
      <c r="X70" s="21">
        <f>VLOOKUP(A:A,[1]TDSheet!$A:$Y,25,0)</f>
        <v>39.615600000000001</v>
      </c>
      <c r="Y70" s="21">
        <f>VLOOKUP(A:A,[1]TDSheet!$A:$Z,26,0)</f>
        <v>34.4</v>
      </c>
      <c r="Z70" s="21">
        <f>VLOOKUP(A:A,[1]TDSheet!$A:$AA,27,0)</f>
        <v>36.601999999999997</v>
      </c>
      <c r="AA70" s="21">
        <f>VLOOKUP(A:A,[1]TDSheet!$A:$R,18,0)</f>
        <v>53.4602</v>
      </c>
      <c r="AB70" s="21">
        <f>VLOOKUP(A:A,[1]TDSheet!$A:$AB,28,0)</f>
        <v>0</v>
      </c>
      <c r="AC70" s="21">
        <f t="shared" si="6"/>
        <v>0</v>
      </c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</row>
    <row r="71" spans="1:57" ht="11.1" customHeight="1">
      <c r="A71" s="18" t="s">
        <v>97</v>
      </c>
      <c r="B71" s="18" t="s">
        <v>36</v>
      </c>
      <c r="C71" s="18">
        <f>VLOOKUP(A:A,[1]TDSheet!$A:$C,3,0)</f>
        <v>7073</v>
      </c>
      <c r="D71" s="19">
        <v>6</v>
      </c>
      <c r="E71" s="19">
        <v>64</v>
      </c>
      <c r="F71" s="19">
        <v>22</v>
      </c>
      <c r="G71" s="19">
        <v>24</v>
      </c>
      <c r="H71" s="20">
        <f>VLOOKUP(A:A,[1]TDSheet!$A:$H,8,0)</f>
        <v>0.35</v>
      </c>
      <c r="I71" s="21">
        <f>VLOOKUP(A:A,[1]TDSheet!$A:$I,9,0)</f>
        <v>50</v>
      </c>
      <c r="J71" s="21" t="str">
        <f>VLOOKUP(A:A,[1]TDSheet!$A:$J,10,0)</f>
        <v>в матрице</v>
      </c>
      <c r="K71" s="21"/>
      <c r="L71" s="21">
        <f>VLOOKUP(A:A,[2]TDSheet!$A:$B,2,0)</f>
        <v>24</v>
      </c>
      <c r="M71" s="21">
        <f t="shared" si="2"/>
        <v>-2</v>
      </c>
      <c r="N71" s="21"/>
      <c r="O71" s="21"/>
      <c r="P71" s="21">
        <f>VLOOKUP(A:A,[1]TDSheet!$A:$S,19,0)</f>
        <v>150</v>
      </c>
      <c r="Q71" s="21">
        <v>150</v>
      </c>
      <c r="R71" s="21">
        <f t="shared" si="3"/>
        <v>4.4000000000000004</v>
      </c>
      <c r="S71" s="22"/>
      <c r="T71" s="22"/>
      <c r="U71" s="21"/>
      <c r="V71" s="21">
        <f t="shared" si="4"/>
        <v>73.636363636363626</v>
      </c>
      <c r="W71" s="21">
        <f t="shared" si="5"/>
        <v>5.4545454545454541</v>
      </c>
      <c r="X71" s="21">
        <f>VLOOKUP(A:A,[1]TDSheet!$A:$Y,25,0)</f>
        <v>6.8</v>
      </c>
      <c r="Y71" s="21">
        <f>VLOOKUP(A:A,[1]TDSheet!$A:$Z,26,0)</f>
        <v>10.6</v>
      </c>
      <c r="Z71" s="21">
        <f>VLOOKUP(A:A,[1]TDSheet!$A:$AA,27,0)</f>
        <v>9.6</v>
      </c>
      <c r="AA71" s="21">
        <f>VLOOKUP(A:A,[1]TDSheet!$A:$R,18,0)</f>
        <v>21.4</v>
      </c>
      <c r="AB71" s="21">
        <f>VLOOKUP(A:A,[1]TDSheet!$A:$AB,28,0)</f>
        <v>0</v>
      </c>
      <c r="AC71" s="21">
        <f t="shared" si="6"/>
        <v>0</v>
      </c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1"/>
      <c r="AW71" s="21"/>
      <c r="AX71" s="21"/>
      <c r="AY71" s="21"/>
      <c r="AZ71" s="21"/>
      <c r="BA71" s="21"/>
      <c r="BB71" s="21"/>
      <c r="BC71" s="21"/>
      <c r="BD71" s="21"/>
      <c r="BE71" s="21"/>
    </row>
    <row r="72" spans="1:57" ht="11.1" customHeight="1">
      <c r="A72" s="18" t="s">
        <v>98</v>
      </c>
      <c r="B72" s="18" t="s">
        <v>38</v>
      </c>
      <c r="C72" s="18">
        <f>VLOOKUP(A:A,[1]TDSheet!$A:$C,3,0)</f>
        <v>7075</v>
      </c>
      <c r="D72" s="19">
        <v>68.328000000000003</v>
      </c>
      <c r="E72" s="19">
        <v>6.2</v>
      </c>
      <c r="F72" s="19">
        <v>60.618000000000002</v>
      </c>
      <c r="G72" s="19">
        <v>13.91</v>
      </c>
      <c r="H72" s="20">
        <f>VLOOKUP(A:A,[1]TDSheet!$A:$H,8,0)</f>
        <v>1</v>
      </c>
      <c r="I72" s="21">
        <f>VLOOKUP(A:A,[1]TDSheet!$A:$I,9,0)</f>
        <v>50</v>
      </c>
      <c r="J72" s="21" t="str">
        <f>VLOOKUP(A:A,[1]TDSheet!$A:$J,10,0)</f>
        <v>в матрице</v>
      </c>
      <c r="K72" s="21"/>
      <c r="L72" s="21">
        <f>VLOOKUP(A:A,[2]TDSheet!$A:$B,2,0)</f>
        <v>54</v>
      </c>
      <c r="M72" s="21">
        <f t="shared" si="2"/>
        <v>6.6180000000000021</v>
      </c>
      <c r="N72" s="21"/>
      <c r="O72" s="21"/>
      <c r="P72" s="21">
        <f>VLOOKUP(A:A,[1]TDSheet!$A:$S,19,0)</f>
        <v>0</v>
      </c>
      <c r="Q72" s="21">
        <v>0</v>
      </c>
      <c r="R72" s="21">
        <f t="shared" si="3"/>
        <v>12.1236</v>
      </c>
      <c r="S72" s="22">
        <f t="shared" si="7"/>
        <v>155.82040000000001</v>
      </c>
      <c r="T72" s="22">
        <v>250</v>
      </c>
      <c r="U72" s="21"/>
      <c r="V72" s="21">
        <f t="shared" si="4"/>
        <v>14</v>
      </c>
      <c r="W72" s="21">
        <f t="shared" si="5"/>
        <v>1.1473489722524663</v>
      </c>
      <c r="X72" s="21">
        <f>VLOOKUP(A:A,[1]TDSheet!$A:$Y,25,0)</f>
        <v>10.2094</v>
      </c>
      <c r="Y72" s="21">
        <f>VLOOKUP(A:A,[1]TDSheet!$A:$Z,26,0)</f>
        <v>10.2056</v>
      </c>
      <c r="Z72" s="21">
        <f>VLOOKUP(A:A,[1]TDSheet!$A:$AA,27,0)</f>
        <v>12.3688</v>
      </c>
      <c r="AA72" s="21">
        <f>VLOOKUP(A:A,[1]TDSheet!$A:$R,18,0)</f>
        <v>5.9020000000000001</v>
      </c>
      <c r="AB72" s="21">
        <f>VLOOKUP(A:A,[1]TDSheet!$A:$AB,28,0)</f>
        <v>0</v>
      </c>
      <c r="AC72" s="21">
        <f t="shared" si="6"/>
        <v>155.82040000000001</v>
      </c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</row>
    <row r="73" spans="1:57" ht="11.1" customHeight="1">
      <c r="A73" s="18" t="s">
        <v>99</v>
      </c>
      <c r="B73" s="18" t="s">
        <v>36</v>
      </c>
      <c r="C73" s="18">
        <f>VLOOKUP(A:A,[1]TDSheet!$A:$C,3,0)</f>
        <v>7080</v>
      </c>
      <c r="D73" s="19">
        <v>1078</v>
      </c>
      <c r="E73" s="19">
        <v>118</v>
      </c>
      <c r="F73" s="19">
        <v>515</v>
      </c>
      <c r="G73" s="19">
        <v>591</v>
      </c>
      <c r="H73" s="20">
        <f>VLOOKUP(A:A,[1]TDSheet!$A:$H,8,0)</f>
        <v>0.41</v>
      </c>
      <c r="I73" s="21">
        <f>VLOOKUP(A:A,[1]TDSheet!$A:$I,9,0)</f>
        <v>50</v>
      </c>
      <c r="J73" s="21" t="str">
        <f>VLOOKUP(A:A,[1]TDSheet!$A:$J,10,0)</f>
        <v>в матрице</v>
      </c>
      <c r="K73" s="21"/>
      <c r="L73" s="21">
        <f>VLOOKUP(A:A,[2]TDSheet!$A:$B,2,0)</f>
        <v>502</v>
      </c>
      <c r="M73" s="21">
        <f t="shared" si="2"/>
        <v>13</v>
      </c>
      <c r="N73" s="21"/>
      <c r="O73" s="21"/>
      <c r="P73" s="21">
        <f>VLOOKUP(A:A,[1]TDSheet!$A:$S,19,0)</f>
        <v>0</v>
      </c>
      <c r="Q73" s="21">
        <v>0</v>
      </c>
      <c r="R73" s="21">
        <f t="shared" si="3"/>
        <v>103</v>
      </c>
      <c r="S73" s="22">
        <f t="shared" si="7"/>
        <v>851</v>
      </c>
      <c r="T73" s="22">
        <v>980</v>
      </c>
      <c r="U73" s="21"/>
      <c r="V73" s="21">
        <f t="shared" si="4"/>
        <v>14</v>
      </c>
      <c r="W73" s="21">
        <f t="shared" si="5"/>
        <v>5.7378640776699026</v>
      </c>
      <c r="X73" s="21">
        <f>VLOOKUP(A:A,[1]TDSheet!$A:$Y,25,0)</f>
        <v>53.4</v>
      </c>
      <c r="Y73" s="21">
        <f>VLOOKUP(A:A,[1]TDSheet!$A:$Z,26,0)</f>
        <v>106.4</v>
      </c>
      <c r="Z73" s="21">
        <f>VLOOKUP(A:A,[1]TDSheet!$A:$AA,27,0)</f>
        <v>50.2</v>
      </c>
      <c r="AA73" s="21">
        <f>VLOOKUP(A:A,[1]TDSheet!$A:$R,18,0)</f>
        <v>69.400000000000006</v>
      </c>
      <c r="AB73" s="21">
        <f>VLOOKUP(A:A,[1]TDSheet!$A:$AB,28,0)</f>
        <v>0</v>
      </c>
      <c r="AC73" s="21">
        <f t="shared" si="6"/>
        <v>348.90999999999997</v>
      </c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1"/>
      <c r="AW73" s="21"/>
      <c r="AX73" s="21"/>
      <c r="AY73" s="21"/>
      <c r="AZ73" s="21"/>
      <c r="BA73" s="21"/>
      <c r="BB73" s="21"/>
      <c r="BC73" s="21"/>
      <c r="BD73" s="21"/>
      <c r="BE73" s="21"/>
    </row>
    <row r="74" spans="1:57" ht="11.1" customHeight="1">
      <c r="A74" s="18" t="s">
        <v>100</v>
      </c>
      <c r="B74" s="18" t="s">
        <v>38</v>
      </c>
      <c r="C74" s="18">
        <f>VLOOKUP(A:A,[1]TDSheet!$A:$C,3,0)</f>
        <v>7083</v>
      </c>
      <c r="D74" s="19">
        <v>102.36199999999999</v>
      </c>
      <c r="E74" s="19">
        <v>375.98099999999999</v>
      </c>
      <c r="F74" s="19">
        <v>158.97200000000001</v>
      </c>
      <c r="G74" s="19">
        <v>295.49</v>
      </c>
      <c r="H74" s="20">
        <f>VLOOKUP(A:A,[1]TDSheet!$A:$H,8,0)</f>
        <v>1</v>
      </c>
      <c r="I74" s="21">
        <f>VLOOKUP(A:A,[1]TDSheet!$A:$I,9,0)</f>
        <v>0</v>
      </c>
      <c r="J74" s="21" t="str">
        <f>VLOOKUP(A:A,[1]TDSheet!$A:$J,10,0)</f>
        <v>не матрица</v>
      </c>
      <c r="K74" s="21"/>
      <c r="L74" s="21">
        <f>VLOOKUP(A:A,[2]TDSheet!$A:$B,2,0)</f>
        <v>163</v>
      </c>
      <c r="M74" s="21">
        <f t="shared" si="2"/>
        <v>-4.0279999999999916</v>
      </c>
      <c r="N74" s="21"/>
      <c r="O74" s="21"/>
      <c r="P74" s="21">
        <f>VLOOKUP(A:A,[1]TDSheet!$A:$S,19,0)</f>
        <v>0</v>
      </c>
      <c r="Q74" s="21">
        <v>0</v>
      </c>
      <c r="R74" s="21">
        <f t="shared" si="3"/>
        <v>31.794400000000003</v>
      </c>
      <c r="S74" s="22">
        <f t="shared" si="7"/>
        <v>149.63160000000005</v>
      </c>
      <c r="T74" s="22">
        <v>260</v>
      </c>
      <c r="U74" s="21"/>
      <c r="V74" s="21">
        <f t="shared" si="4"/>
        <v>14</v>
      </c>
      <c r="W74" s="21">
        <f t="shared" si="5"/>
        <v>9.2937750044032903</v>
      </c>
      <c r="X74" s="21">
        <f>VLOOKUP(A:A,[1]TDSheet!$A:$Y,25,0)</f>
        <v>8.1592000000000002</v>
      </c>
      <c r="Y74" s="21">
        <f>VLOOKUP(A:A,[1]TDSheet!$A:$Z,26,0)</f>
        <v>33.249600000000001</v>
      </c>
      <c r="Z74" s="21">
        <f>VLOOKUP(A:A,[1]TDSheet!$A:$AA,27,0)</f>
        <v>39.016599999999997</v>
      </c>
      <c r="AA74" s="21">
        <f>VLOOKUP(A:A,[1]TDSheet!$A:$R,18,0)</f>
        <v>35.7166</v>
      </c>
      <c r="AB74" s="21" t="e">
        <f>VLOOKUP(A:A,[1]TDSheet!$A:$AB,28,0)</f>
        <v>#VALUE!</v>
      </c>
      <c r="AC74" s="21">
        <f t="shared" si="6"/>
        <v>149.63160000000005</v>
      </c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</row>
    <row r="75" spans="1:57" ht="11.1" customHeight="1">
      <c r="A75" s="18" t="s">
        <v>101</v>
      </c>
      <c r="B75" s="18" t="s">
        <v>36</v>
      </c>
      <c r="C75" s="18">
        <f>VLOOKUP(A:A,[1]TDSheet!$A:$C,3,0)</f>
        <v>7090</v>
      </c>
      <c r="D75" s="19">
        <v>119</v>
      </c>
      <c r="E75" s="19">
        <v>63</v>
      </c>
      <c r="F75" s="19">
        <v>108</v>
      </c>
      <c r="G75" s="19">
        <v>38</v>
      </c>
      <c r="H75" s="20">
        <f>VLOOKUP(A:A,[1]TDSheet!$A:$H,8,0)</f>
        <v>0.3</v>
      </c>
      <c r="I75" s="21">
        <f>VLOOKUP(A:A,[1]TDSheet!$A:$I,9,0)</f>
        <v>50</v>
      </c>
      <c r="J75" s="21" t="str">
        <f>VLOOKUP(A:A,[1]TDSheet!$A:$J,10,0)</f>
        <v>в матрице</v>
      </c>
      <c r="K75" s="21"/>
      <c r="L75" s="21">
        <f>VLOOKUP(A:A,[2]TDSheet!$A:$B,2,0)</f>
        <v>98</v>
      </c>
      <c r="M75" s="21">
        <f t="shared" si="2"/>
        <v>10</v>
      </c>
      <c r="N75" s="21"/>
      <c r="O75" s="21"/>
      <c r="P75" s="21">
        <f>VLOOKUP(A:A,[1]TDSheet!$A:$S,19,0)</f>
        <v>0</v>
      </c>
      <c r="Q75" s="21">
        <v>0</v>
      </c>
      <c r="R75" s="21">
        <f t="shared" si="3"/>
        <v>21.6</v>
      </c>
      <c r="S75" s="22">
        <f t="shared" si="7"/>
        <v>264.40000000000003</v>
      </c>
      <c r="T75" s="22">
        <v>300</v>
      </c>
      <c r="U75" s="21"/>
      <c r="V75" s="21">
        <f t="shared" si="4"/>
        <v>14</v>
      </c>
      <c r="W75" s="21">
        <f t="shared" si="5"/>
        <v>1.7592592592592591</v>
      </c>
      <c r="X75" s="21">
        <f>VLOOKUP(A:A,[1]TDSheet!$A:$Y,25,0)</f>
        <v>11</v>
      </c>
      <c r="Y75" s="21">
        <f>VLOOKUP(A:A,[1]TDSheet!$A:$Z,26,0)</f>
        <v>16.2</v>
      </c>
      <c r="Z75" s="21">
        <f>VLOOKUP(A:A,[1]TDSheet!$A:$AA,27,0)</f>
        <v>16.600000000000001</v>
      </c>
      <c r="AA75" s="21">
        <f>VLOOKUP(A:A,[1]TDSheet!$A:$R,18,0)</f>
        <v>13.4</v>
      </c>
      <c r="AB75" s="21">
        <f>VLOOKUP(A:A,[1]TDSheet!$A:$AB,28,0)</f>
        <v>0</v>
      </c>
      <c r="AC75" s="21">
        <f t="shared" si="6"/>
        <v>79.320000000000007</v>
      </c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</row>
    <row r="76" spans="1:57" ht="11.1" customHeight="1">
      <c r="A76" s="18" t="s">
        <v>102</v>
      </c>
      <c r="B76" s="18" t="s">
        <v>36</v>
      </c>
      <c r="C76" s="18">
        <f>VLOOKUP(A:A,[1]TDSheet!$A:$C,3,0)</f>
        <v>7092</v>
      </c>
      <c r="D76" s="19">
        <v>64</v>
      </c>
      <c r="E76" s="19"/>
      <c r="F76" s="19">
        <v>25</v>
      </c>
      <c r="G76" s="19">
        <v>39</v>
      </c>
      <c r="H76" s="20">
        <f>VLOOKUP(A:A,[1]TDSheet!$A:$H,8,0)</f>
        <v>0.14000000000000001</v>
      </c>
      <c r="I76" s="21">
        <f>VLOOKUP(A:A,[1]TDSheet!$A:$I,9,0)</f>
        <v>0</v>
      </c>
      <c r="J76" s="21" t="e">
        <f>VLOOKUP(A:A,[1]TDSheet!$A:$J,10,0)</f>
        <v>#VALUE!</v>
      </c>
      <c r="K76" s="21"/>
      <c r="L76" s="21">
        <f>VLOOKUP(A:A,[2]TDSheet!$A:$B,2,0)</f>
        <v>25</v>
      </c>
      <c r="M76" s="21">
        <f t="shared" ref="M76:M105" si="8">F76-L76</f>
        <v>0</v>
      </c>
      <c r="N76" s="21"/>
      <c r="O76" s="21"/>
      <c r="P76" s="21">
        <f>VLOOKUP(A:A,[1]TDSheet!$A:$S,19,0)</f>
        <v>0</v>
      </c>
      <c r="Q76" s="21">
        <v>0</v>
      </c>
      <c r="R76" s="21">
        <f t="shared" ref="R76:R105" si="9">F76/5</f>
        <v>5</v>
      </c>
      <c r="S76" s="22"/>
      <c r="T76" s="22"/>
      <c r="U76" s="21"/>
      <c r="V76" s="21">
        <f t="shared" ref="V76:V105" si="10">(G76+P76+Q76+S76)/R76</f>
        <v>7.8</v>
      </c>
      <c r="W76" s="21">
        <f t="shared" ref="W76:W105" si="11">G76/R76</f>
        <v>7.8</v>
      </c>
      <c r="X76" s="21">
        <f>VLOOKUP(A:A,[1]TDSheet!$A:$Y,25,0)</f>
        <v>4.8</v>
      </c>
      <c r="Y76" s="21">
        <f>VLOOKUP(A:A,[1]TDSheet!$A:$Z,26,0)</f>
        <v>5.2</v>
      </c>
      <c r="Z76" s="21">
        <f>VLOOKUP(A:A,[1]TDSheet!$A:$AA,27,0)</f>
        <v>2.4</v>
      </c>
      <c r="AA76" s="21">
        <f>VLOOKUP(A:A,[1]TDSheet!$A:$R,18,0)</f>
        <v>4.8</v>
      </c>
      <c r="AB76" s="21" t="e">
        <f>VLOOKUP(A:A,[1]TDSheet!$A:$AB,28,0)</f>
        <v>#VALUE!</v>
      </c>
      <c r="AC76" s="21">
        <f t="shared" ref="AC76:AC105" si="12">S76*H76</f>
        <v>0</v>
      </c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</row>
    <row r="77" spans="1:57" ht="11.1" customHeight="1">
      <c r="A77" s="18" t="s">
        <v>103</v>
      </c>
      <c r="B77" s="18" t="s">
        <v>36</v>
      </c>
      <c r="C77" s="18">
        <f>VLOOKUP(A:A,[1]TDSheet!$A:$C,3,0)</f>
        <v>7103</v>
      </c>
      <c r="D77" s="19">
        <v>200</v>
      </c>
      <c r="E77" s="19">
        <v>1</v>
      </c>
      <c r="F77" s="19">
        <v>123</v>
      </c>
      <c r="G77" s="19">
        <v>38</v>
      </c>
      <c r="H77" s="20">
        <f>VLOOKUP(A:A,[1]TDSheet!$A:$H,8,0)</f>
        <v>0.18</v>
      </c>
      <c r="I77" s="21">
        <f>VLOOKUP(A:A,[1]TDSheet!$A:$I,9,0)</f>
        <v>50</v>
      </c>
      <c r="J77" s="21" t="str">
        <f>VLOOKUP(A:A,[1]TDSheet!$A:$J,10,0)</f>
        <v>в матрице</v>
      </c>
      <c r="K77" s="21"/>
      <c r="L77" s="21">
        <f>VLOOKUP(A:A,[2]TDSheet!$A:$B,2,0)</f>
        <v>163</v>
      </c>
      <c r="M77" s="21">
        <f t="shared" si="8"/>
        <v>-40</v>
      </c>
      <c r="N77" s="21"/>
      <c r="O77" s="21"/>
      <c r="P77" s="21">
        <f>VLOOKUP(A:A,[1]TDSheet!$A:$S,19,0)</f>
        <v>125</v>
      </c>
      <c r="Q77" s="21">
        <v>125</v>
      </c>
      <c r="R77" s="21">
        <f t="shared" si="9"/>
        <v>24.6</v>
      </c>
      <c r="S77" s="22"/>
      <c r="T77" s="22"/>
      <c r="U77" s="21"/>
      <c r="V77" s="21">
        <f t="shared" si="10"/>
        <v>11.707317073170731</v>
      </c>
      <c r="W77" s="21">
        <f t="shared" si="11"/>
        <v>1.5447154471544715</v>
      </c>
      <c r="X77" s="21">
        <f>VLOOKUP(A:A,[1]TDSheet!$A:$Y,25,0)</f>
        <v>36.6</v>
      </c>
      <c r="Y77" s="21">
        <f>VLOOKUP(A:A,[1]TDSheet!$A:$Z,26,0)</f>
        <v>14.6</v>
      </c>
      <c r="Z77" s="21">
        <f>VLOOKUP(A:A,[1]TDSheet!$A:$AA,27,0)</f>
        <v>23.4</v>
      </c>
      <c r="AA77" s="21">
        <f>VLOOKUP(A:A,[1]TDSheet!$A:$R,18,0)</f>
        <v>28.2</v>
      </c>
      <c r="AB77" s="21">
        <f>VLOOKUP(A:A,[1]TDSheet!$A:$AB,28,0)</f>
        <v>0</v>
      </c>
      <c r="AC77" s="21">
        <f t="shared" si="12"/>
        <v>0</v>
      </c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</row>
    <row r="78" spans="1:57" ht="11.1" customHeight="1">
      <c r="A78" s="18" t="s">
        <v>104</v>
      </c>
      <c r="B78" s="18" t="s">
        <v>38</v>
      </c>
      <c r="C78" s="18">
        <f>VLOOKUP(A:A,[1]TDSheet!$A:$C,3,0)</f>
        <v>7131</v>
      </c>
      <c r="D78" s="19">
        <v>81.406000000000006</v>
      </c>
      <c r="E78" s="19"/>
      <c r="F78" s="19">
        <v>10.964</v>
      </c>
      <c r="G78" s="19">
        <v>2.4420000000000002</v>
      </c>
      <c r="H78" s="20">
        <f>VLOOKUP(A:A,[1]TDSheet!$A:$H,8,0)</f>
        <v>1</v>
      </c>
      <c r="I78" s="21">
        <f>VLOOKUP(A:A,[1]TDSheet!$A:$I,9,0)</f>
        <v>45</v>
      </c>
      <c r="J78" s="21" t="str">
        <f>VLOOKUP(A:A,[1]TDSheet!$A:$J,10,0)</f>
        <v>в матрице</v>
      </c>
      <c r="K78" s="21"/>
      <c r="L78" s="21">
        <f>VLOOKUP(A:A,[2]TDSheet!$A:$B,2,0)</f>
        <v>11.54</v>
      </c>
      <c r="M78" s="21">
        <f t="shared" si="8"/>
        <v>-0.57599999999999874</v>
      </c>
      <c r="N78" s="21"/>
      <c r="O78" s="21"/>
      <c r="P78" s="21">
        <f>VLOOKUP(A:A,[1]TDSheet!$A:$S,19,0)</f>
        <v>0</v>
      </c>
      <c r="Q78" s="21">
        <v>0</v>
      </c>
      <c r="R78" s="21">
        <f t="shared" si="9"/>
        <v>2.1928000000000001</v>
      </c>
      <c r="S78" s="22"/>
      <c r="T78" s="22"/>
      <c r="U78" s="21"/>
      <c r="V78" s="21">
        <f t="shared" si="10"/>
        <v>1.1136446552353156</v>
      </c>
      <c r="W78" s="21">
        <f t="shared" si="11"/>
        <v>1.1136446552353156</v>
      </c>
      <c r="X78" s="21">
        <f>VLOOKUP(A:A,[1]TDSheet!$A:$Y,25,0)</f>
        <v>3.5377999999999998</v>
      </c>
      <c r="Y78" s="21">
        <f>VLOOKUP(A:A,[1]TDSheet!$A:$Z,26,0)</f>
        <v>2.8702000000000001</v>
      </c>
      <c r="Z78" s="21">
        <f>VLOOKUP(A:A,[1]TDSheet!$A:$AA,27,0)</f>
        <v>4.3681999999999999</v>
      </c>
      <c r="AA78" s="21">
        <f>VLOOKUP(A:A,[1]TDSheet!$A:$R,18,0)</f>
        <v>2.3612000000000002</v>
      </c>
      <c r="AB78" s="21">
        <f>VLOOKUP(A:A,[1]TDSheet!$A:$AB,28,0)</f>
        <v>0</v>
      </c>
      <c r="AC78" s="21">
        <f t="shared" si="12"/>
        <v>0</v>
      </c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</row>
    <row r="79" spans="1:57" ht="11.1" customHeight="1">
      <c r="A79" s="18" t="s">
        <v>105</v>
      </c>
      <c r="B79" s="18" t="s">
        <v>36</v>
      </c>
      <c r="C79" s="18">
        <f>VLOOKUP(A:A,[1]TDSheet!$A:$C,3,0)</f>
        <v>7147</v>
      </c>
      <c r="D79" s="19">
        <v>52</v>
      </c>
      <c r="E79" s="19"/>
      <c r="F79" s="19">
        <v>44</v>
      </c>
      <c r="G79" s="19">
        <v>6</v>
      </c>
      <c r="H79" s="20">
        <f>VLOOKUP(A:A,[1]TDSheet!$A:$H,8,0)</f>
        <v>0.22</v>
      </c>
      <c r="I79" s="21">
        <f>VLOOKUP(A:A,[1]TDSheet!$A:$I,9,0)</f>
        <v>120</v>
      </c>
      <c r="J79" s="21" t="str">
        <f>VLOOKUP(A:A,[1]TDSheet!$A:$J,10,0)</f>
        <v>в матрице</v>
      </c>
      <c r="K79" s="21"/>
      <c r="L79" s="21">
        <f>VLOOKUP(A:A,[2]TDSheet!$A:$B,2,0)</f>
        <v>44</v>
      </c>
      <c r="M79" s="21">
        <f t="shared" si="8"/>
        <v>0</v>
      </c>
      <c r="N79" s="21"/>
      <c r="O79" s="21"/>
      <c r="P79" s="21">
        <f>VLOOKUP(A:A,[1]TDSheet!$A:$S,19,0)</f>
        <v>60</v>
      </c>
      <c r="Q79" s="21">
        <v>60</v>
      </c>
      <c r="R79" s="21">
        <f t="shared" si="9"/>
        <v>8.8000000000000007</v>
      </c>
      <c r="S79" s="22"/>
      <c r="T79" s="22"/>
      <c r="U79" s="21"/>
      <c r="V79" s="21">
        <f t="shared" si="10"/>
        <v>14.318181818181817</v>
      </c>
      <c r="W79" s="21">
        <f t="shared" si="11"/>
        <v>0.68181818181818177</v>
      </c>
      <c r="X79" s="21">
        <f>VLOOKUP(A:A,[1]TDSheet!$A:$Y,25,0)</f>
        <v>4.2</v>
      </c>
      <c r="Y79" s="21">
        <f>VLOOKUP(A:A,[1]TDSheet!$A:$Z,26,0)</f>
        <v>4</v>
      </c>
      <c r="Z79" s="21">
        <f>VLOOKUP(A:A,[1]TDSheet!$A:$AA,27,0)</f>
        <v>3.6</v>
      </c>
      <c r="AA79" s="21">
        <f>VLOOKUP(A:A,[1]TDSheet!$A:$R,18,0)</f>
        <v>9.8000000000000007</v>
      </c>
      <c r="AB79" s="21" t="str">
        <f>VLOOKUP(A:A,[1]TDSheet!$A:$AB,28,0)</f>
        <v>нужно увеличить продажи</v>
      </c>
      <c r="AC79" s="21">
        <f t="shared" si="12"/>
        <v>0</v>
      </c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</row>
    <row r="80" spans="1:57" ht="11.1" customHeight="1">
      <c r="A80" s="18" t="s">
        <v>106</v>
      </c>
      <c r="B80" s="18" t="s">
        <v>36</v>
      </c>
      <c r="C80" s="18">
        <f>VLOOKUP(A:A,[1]TDSheet!$A:$C,3,0)</f>
        <v>7149</v>
      </c>
      <c r="D80" s="19">
        <v>37</v>
      </c>
      <c r="E80" s="19"/>
      <c r="F80" s="19">
        <v>29</v>
      </c>
      <c r="G80" s="19">
        <v>2</v>
      </c>
      <c r="H80" s="20">
        <f>VLOOKUP(A:A,[1]TDSheet!$A:$H,8,0)</f>
        <v>0.84</v>
      </c>
      <c r="I80" s="21">
        <f>VLOOKUP(A:A,[1]TDSheet!$A:$I,9,0)</f>
        <v>50</v>
      </c>
      <c r="J80" s="21" t="str">
        <f>VLOOKUP(A:A,[1]TDSheet!$A:$J,10,0)</f>
        <v>в матрице</v>
      </c>
      <c r="K80" s="21"/>
      <c r="L80" s="21">
        <f>VLOOKUP(A:A,[2]TDSheet!$A:$B,2,0)</f>
        <v>25</v>
      </c>
      <c r="M80" s="21">
        <f t="shared" si="8"/>
        <v>4</v>
      </c>
      <c r="N80" s="21"/>
      <c r="O80" s="21"/>
      <c r="P80" s="21">
        <f>VLOOKUP(A:A,[1]TDSheet!$A:$S,19,0)</f>
        <v>0</v>
      </c>
      <c r="Q80" s="21">
        <v>0</v>
      </c>
      <c r="R80" s="21">
        <f t="shared" si="9"/>
        <v>5.8</v>
      </c>
      <c r="S80" s="22">
        <f t="shared" ref="S80:S104" si="13">R80*14-G80-P80-Q80</f>
        <v>79.2</v>
      </c>
      <c r="T80" s="22">
        <v>79</v>
      </c>
      <c r="U80" s="21"/>
      <c r="V80" s="21">
        <f t="shared" si="10"/>
        <v>14.000000000000002</v>
      </c>
      <c r="W80" s="21">
        <f t="shared" si="11"/>
        <v>0.34482758620689657</v>
      </c>
      <c r="X80" s="21">
        <f>VLOOKUP(A:A,[1]TDSheet!$A:$Y,25,0)</f>
        <v>2.6</v>
      </c>
      <c r="Y80" s="21">
        <f>VLOOKUP(A:A,[1]TDSheet!$A:$Z,26,0)</f>
        <v>4.8</v>
      </c>
      <c r="Z80" s="21">
        <f>VLOOKUP(A:A,[1]TDSheet!$A:$AA,27,0)</f>
        <v>3.6</v>
      </c>
      <c r="AA80" s="21">
        <f>VLOOKUP(A:A,[1]TDSheet!$A:$R,18,0)</f>
        <v>4.4000000000000004</v>
      </c>
      <c r="AB80" s="21">
        <f>VLOOKUP(A:A,[1]TDSheet!$A:$AB,28,0)</f>
        <v>0</v>
      </c>
      <c r="AC80" s="21">
        <f t="shared" si="12"/>
        <v>66.528000000000006</v>
      </c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1"/>
      <c r="AW80" s="21"/>
      <c r="AX80" s="21"/>
      <c r="AY80" s="21"/>
      <c r="AZ80" s="21"/>
      <c r="BA80" s="21"/>
      <c r="BB80" s="21"/>
      <c r="BC80" s="21"/>
      <c r="BD80" s="21"/>
      <c r="BE80" s="21"/>
    </row>
    <row r="81" spans="1:57" ht="11.1" customHeight="1">
      <c r="A81" s="18" t="s">
        <v>107</v>
      </c>
      <c r="B81" s="18" t="s">
        <v>36</v>
      </c>
      <c r="C81" s="18">
        <f>VLOOKUP(A:A,[1]TDSheet!$A:$C,3,0)</f>
        <v>7154</v>
      </c>
      <c r="D81" s="19">
        <v>309</v>
      </c>
      <c r="E81" s="19">
        <v>646</v>
      </c>
      <c r="F81" s="19">
        <v>388</v>
      </c>
      <c r="G81" s="19">
        <v>518</v>
      </c>
      <c r="H81" s="20">
        <f>VLOOKUP(A:A,[1]TDSheet!$A:$H,8,0)</f>
        <v>0.35</v>
      </c>
      <c r="I81" s="21">
        <f>VLOOKUP(A:A,[1]TDSheet!$A:$I,9,0)</f>
        <v>50</v>
      </c>
      <c r="J81" s="21" t="str">
        <f>VLOOKUP(A:A,[1]TDSheet!$A:$J,10,0)</f>
        <v>в матрице</v>
      </c>
      <c r="K81" s="21"/>
      <c r="L81" s="21">
        <f>VLOOKUP(A:A,[2]TDSheet!$A:$B,2,0)</f>
        <v>368</v>
      </c>
      <c r="M81" s="21">
        <f t="shared" si="8"/>
        <v>20</v>
      </c>
      <c r="N81" s="21"/>
      <c r="O81" s="21"/>
      <c r="P81" s="21">
        <f>VLOOKUP(A:A,[1]TDSheet!$A:$S,19,0)</f>
        <v>75</v>
      </c>
      <c r="Q81" s="21">
        <v>75</v>
      </c>
      <c r="R81" s="21">
        <f t="shared" si="9"/>
        <v>77.599999999999994</v>
      </c>
      <c r="S81" s="22">
        <f t="shared" si="13"/>
        <v>418.39999999999986</v>
      </c>
      <c r="T81" s="22">
        <v>550</v>
      </c>
      <c r="U81" s="21"/>
      <c r="V81" s="21">
        <f t="shared" si="10"/>
        <v>14</v>
      </c>
      <c r="W81" s="21">
        <f t="shared" si="11"/>
        <v>6.6752577319587632</v>
      </c>
      <c r="X81" s="21">
        <f>VLOOKUP(A:A,[1]TDSheet!$A:$Y,25,0)</f>
        <v>69.2</v>
      </c>
      <c r="Y81" s="21">
        <f>VLOOKUP(A:A,[1]TDSheet!$A:$Z,26,0)</f>
        <v>76</v>
      </c>
      <c r="Z81" s="21">
        <f>VLOOKUP(A:A,[1]TDSheet!$A:$AA,27,0)</f>
        <v>88.4</v>
      </c>
      <c r="AA81" s="21">
        <f>VLOOKUP(A:A,[1]TDSheet!$A:$R,18,0)</f>
        <v>76.599999999999994</v>
      </c>
      <c r="AB81" s="21">
        <f>VLOOKUP(A:A,[1]TDSheet!$A:$AB,28,0)</f>
        <v>0</v>
      </c>
      <c r="AC81" s="21">
        <f t="shared" si="12"/>
        <v>146.43999999999994</v>
      </c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1"/>
      <c r="AW81" s="21"/>
      <c r="AX81" s="21"/>
      <c r="AY81" s="21"/>
      <c r="AZ81" s="21"/>
      <c r="BA81" s="21"/>
      <c r="BB81" s="21"/>
      <c r="BC81" s="21"/>
      <c r="BD81" s="21"/>
      <c r="BE81" s="21"/>
    </row>
    <row r="82" spans="1:57" ht="11.1" customHeight="1">
      <c r="A82" s="18" t="s">
        <v>108</v>
      </c>
      <c r="B82" s="18" t="s">
        <v>38</v>
      </c>
      <c r="C82" s="18">
        <f>VLOOKUP(A:A,[1]TDSheet!$A:$C,3,0)</f>
        <v>7157</v>
      </c>
      <c r="D82" s="19">
        <v>-32.968000000000004</v>
      </c>
      <c r="E82" s="19">
        <v>478.28500000000003</v>
      </c>
      <c r="F82" s="19">
        <v>67.989000000000004</v>
      </c>
      <c r="G82" s="19">
        <v>357.04899999999998</v>
      </c>
      <c r="H82" s="20">
        <f>VLOOKUP(A:A,[1]TDSheet!$A:$H,8,0)</f>
        <v>1</v>
      </c>
      <c r="I82" s="21">
        <f>VLOOKUP(A:A,[1]TDSheet!$A:$I,9,0)</f>
        <v>50</v>
      </c>
      <c r="J82" s="21" t="str">
        <f>VLOOKUP(A:A,[1]TDSheet!$A:$J,10,0)</f>
        <v>в матрице</v>
      </c>
      <c r="K82" s="21"/>
      <c r="L82" s="21">
        <f>VLOOKUP(A:A,[2]TDSheet!$A:$B,2,0)</f>
        <v>74.099999999999994</v>
      </c>
      <c r="M82" s="21">
        <f t="shared" si="8"/>
        <v>-6.11099999999999</v>
      </c>
      <c r="N82" s="21"/>
      <c r="O82" s="21"/>
      <c r="P82" s="21">
        <f>VLOOKUP(A:A,[1]TDSheet!$A:$S,19,0)</f>
        <v>0</v>
      </c>
      <c r="Q82" s="21">
        <v>0</v>
      </c>
      <c r="R82" s="21">
        <f t="shared" si="9"/>
        <v>13.597800000000001</v>
      </c>
      <c r="S82" s="22"/>
      <c r="T82" s="22"/>
      <c r="U82" s="21"/>
      <c r="V82" s="21">
        <f t="shared" si="10"/>
        <v>26.257850534645307</v>
      </c>
      <c r="W82" s="21">
        <f t="shared" si="11"/>
        <v>26.257850534645307</v>
      </c>
      <c r="X82" s="21">
        <f>VLOOKUP(A:A,[1]TDSheet!$A:$Y,25,0)</f>
        <v>31.450399999999998</v>
      </c>
      <c r="Y82" s="21">
        <f>VLOOKUP(A:A,[1]TDSheet!$A:$Z,26,0)</f>
        <v>28.277200000000001</v>
      </c>
      <c r="Z82" s="21">
        <f>VLOOKUP(A:A,[1]TDSheet!$A:$AA,27,0)</f>
        <v>30.029800000000002</v>
      </c>
      <c r="AA82" s="21">
        <f>VLOOKUP(A:A,[1]TDSheet!$A:$R,18,0)</f>
        <v>23.0444</v>
      </c>
      <c r="AB82" s="21">
        <f>VLOOKUP(A:A,[1]TDSheet!$A:$AB,28,0)</f>
        <v>0</v>
      </c>
      <c r="AC82" s="21">
        <f t="shared" si="12"/>
        <v>0</v>
      </c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</row>
    <row r="83" spans="1:57" ht="11.1" customHeight="1">
      <c r="A83" s="18" t="s">
        <v>109</v>
      </c>
      <c r="B83" s="18" t="s">
        <v>38</v>
      </c>
      <c r="C83" s="18">
        <f>VLOOKUP(A:A,[1]TDSheet!$A:$C,3,0)</f>
        <v>7166</v>
      </c>
      <c r="D83" s="19">
        <v>191.74700000000001</v>
      </c>
      <c r="E83" s="19">
        <v>381.78300000000002</v>
      </c>
      <c r="F83" s="19">
        <v>220.727</v>
      </c>
      <c r="G83" s="19">
        <v>330.47199999999998</v>
      </c>
      <c r="H83" s="20">
        <f>VLOOKUP(A:A,[1]TDSheet!$A:$H,8,0)</f>
        <v>1</v>
      </c>
      <c r="I83" s="21">
        <f>VLOOKUP(A:A,[1]TDSheet!$A:$I,9,0)</f>
        <v>50</v>
      </c>
      <c r="J83" s="21" t="str">
        <f>VLOOKUP(A:A,[1]TDSheet!$A:$J,10,0)</f>
        <v>в матрице</v>
      </c>
      <c r="K83" s="21"/>
      <c r="L83" s="21">
        <f>VLOOKUP(A:A,[2]TDSheet!$A:$B,2,0)</f>
        <v>224.1</v>
      </c>
      <c r="M83" s="21">
        <f t="shared" si="8"/>
        <v>-3.3729999999999905</v>
      </c>
      <c r="N83" s="21"/>
      <c r="O83" s="21"/>
      <c r="P83" s="21">
        <f>VLOOKUP(A:A,[1]TDSheet!$A:$S,19,0)</f>
        <v>0</v>
      </c>
      <c r="Q83" s="21">
        <v>0</v>
      </c>
      <c r="R83" s="21">
        <f t="shared" si="9"/>
        <v>44.145400000000002</v>
      </c>
      <c r="S83" s="22">
        <f t="shared" si="13"/>
        <v>287.56360000000006</v>
      </c>
      <c r="T83" s="22">
        <v>288</v>
      </c>
      <c r="U83" s="21"/>
      <c r="V83" s="21">
        <f t="shared" si="10"/>
        <v>14</v>
      </c>
      <c r="W83" s="21">
        <f t="shared" si="11"/>
        <v>7.4859894802176434</v>
      </c>
      <c r="X83" s="21">
        <f>VLOOKUP(A:A,[1]TDSheet!$A:$Y,25,0)</f>
        <v>39.247199999999999</v>
      </c>
      <c r="Y83" s="21">
        <f>VLOOKUP(A:A,[1]TDSheet!$A:$Z,26,0)</f>
        <v>41.149000000000001</v>
      </c>
      <c r="Z83" s="21">
        <f>VLOOKUP(A:A,[1]TDSheet!$A:$AA,27,0)</f>
        <v>50.016800000000003</v>
      </c>
      <c r="AA83" s="21">
        <f>VLOOKUP(A:A,[1]TDSheet!$A:$R,18,0)</f>
        <v>38.8658</v>
      </c>
      <c r="AB83" s="21">
        <f>VLOOKUP(A:A,[1]TDSheet!$A:$AB,28,0)</f>
        <v>0</v>
      </c>
      <c r="AC83" s="21">
        <f t="shared" si="12"/>
        <v>287.56360000000006</v>
      </c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</row>
    <row r="84" spans="1:57" ht="11.1" customHeight="1">
      <c r="A84" s="18" t="s">
        <v>110</v>
      </c>
      <c r="B84" s="18" t="s">
        <v>36</v>
      </c>
      <c r="C84" s="18">
        <f>VLOOKUP(A:A,[1]TDSheet!$A:$C,3,0)</f>
        <v>7169</v>
      </c>
      <c r="D84" s="19">
        <v>507</v>
      </c>
      <c r="E84" s="19">
        <v>519</v>
      </c>
      <c r="F84" s="19">
        <v>497</v>
      </c>
      <c r="G84" s="19">
        <v>474</v>
      </c>
      <c r="H84" s="20">
        <f>VLOOKUP(A:A,[1]TDSheet!$A:$H,8,0)</f>
        <v>0.35</v>
      </c>
      <c r="I84" s="21">
        <f>VLOOKUP(A:A,[1]TDSheet!$A:$I,9,0)</f>
        <v>50</v>
      </c>
      <c r="J84" s="21" t="str">
        <f>VLOOKUP(A:A,[1]TDSheet!$A:$J,10,0)</f>
        <v>в матрице</v>
      </c>
      <c r="K84" s="21"/>
      <c r="L84" s="21">
        <f>VLOOKUP(A:A,[2]TDSheet!$A:$B,2,0)</f>
        <v>491</v>
      </c>
      <c r="M84" s="21">
        <f t="shared" si="8"/>
        <v>6</v>
      </c>
      <c r="N84" s="21"/>
      <c r="O84" s="21"/>
      <c r="P84" s="21">
        <f>VLOOKUP(A:A,[1]TDSheet!$A:$S,19,0)</f>
        <v>100</v>
      </c>
      <c r="Q84" s="21">
        <v>100</v>
      </c>
      <c r="R84" s="21">
        <f t="shared" si="9"/>
        <v>99.4</v>
      </c>
      <c r="S84" s="22">
        <f t="shared" si="13"/>
        <v>717.60000000000014</v>
      </c>
      <c r="T84" s="22">
        <v>850</v>
      </c>
      <c r="U84" s="21"/>
      <c r="V84" s="21">
        <f t="shared" si="10"/>
        <v>14</v>
      </c>
      <c r="W84" s="21">
        <f t="shared" si="11"/>
        <v>4.7686116700201202</v>
      </c>
      <c r="X84" s="21">
        <f>VLOOKUP(A:A,[1]TDSheet!$A:$Y,25,0)</f>
        <v>63</v>
      </c>
      <c r="Y84" s="21">
        <f>VLOOKUP(A:A,[1]TDSheet!$A:$Z,26,0)</f>
        <v>89</v>
      </c>
      <c r="Z84" s="21">
        <f>VLOOKUP(A:A,[1]TDSheet!$A:$AA,27,0)</f>
        <v>99</v>
      </c>
      <c r="AA84" s="21">
        <f>VLOOKUP(A:A,[1]TDSheet!$A:$R,18,0)</f>
        <v>83</v>
      </c>
      <c r="AB84" s="21">
        <f>VLOOKUP(A:A,[1]TDSheet!$A:$AB,28,0)</f>
        <v>0</v>
      </c>
      <c r="AC84" s="21">
        <f t="shared" si="12"/>
        <v>251.16000000000003</v>
      </c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</row>
    <row r="85" spans="1:57" ht="11.1" customHeight="1">
      <c r="A85" s="18" t="s">
        <v>111</v>
      </c>
      <c r="B85" s="18" t="s">
        <v>36</v>
      </c>
      <c r="C85" s="18">
        <f>VLOOKUP(A:A,[1]TDSheet!$A:$C,3,0)</f>
        <v>7187</v>
      </c>
      <c r="D85" s="19">
        <v>68</v>
      </c>
      <c r="E85" s="19">
        <v>74</v>
      </c>
      <c r="F85" s="19">
        <v>92</v>
      </c>
      <c r="G85" s="19">
        <v>8</v>
      </c>
      <c r="H85" s="20">
        <f>VLOOKUP(A:A,[1]TDSheet!$A:$H,8,0)</f>
        <v>0.3</v>
      </c>
      <c r="I85" s="21">
        <f>VLOOKUP(A:A,[1]TDSheet!$A:$I,9,0)</f>
        <v>50</v>
      </c>
      <c r="J85" s="21" t="str">
        <f>VLOOKUP(A:A,[1]TDSheet!$A:$J,10,0)</f>
        <v>в матрице</v>
      </c>
      <c r="K85" s="21"/>
      <c r="L85" s="21">
        <f>VLOOKUP(A:A,[2]TDSheet!$A:$B,2,0)</f>
        <v>98</v>
      </c>
      <c r="M85" s="21">
        <f t="shared" si="8"/>
        <v>-6</v>
      </c>
      <c r="N85" s="21"/>
      <c r="O85" s="21"/>
      <c r="P85" s="21">
        <f>VLOOKUP(A:A,[1]TDSheet!$A:$S,19,0)</f>
        <v>75</v>
      </c>
      <c r="Q85" s="21">
        <v>75</v>
      </c>
      <c r="R85" s="21">
        <f t="shared" si="9"/>
        <v>18.399999999999999</v>
      </c>
      <c r="S85" s="22">
        <f t="shared" si="13"/>
        <v>99.599999999999966</v>
      </c>
      <c r="T85" s="22">
        <v>100</v>
      </c>
      <c r="U85" s="21"/>
      <c r="V85" s="21">
        <f t="shared" si="10"/>
        <v>14</v>
      </c>
      <c r="W85" s="21">
        <f t="shared" si="11"/>
        <v>0.43478260869565222</v>
      </c>
      <c r="X85" s="21">
        <f>VLOOKUP(A:A,[1]TDSheet!$A:$Y,25,0)</f>
        <v>13.6</v>
      </c>
      <c r="Y85" s="21">
        <f>VLOOKUP(A:A,[1]TDSheet!$A:$Z,26,0)</f>
        <v>6.4</v>
      </c>
      <c r="Z85" s="21">
        <f>VLOOKUP(A:A,[1]TDSheet!$A:$AA,27,0)</f>
        <v>13.6</v>
      </c>
      <c r="AA85" s="21">
        <f>VLOOKUP(A:A,[1]TDSheet!$A:$R,18,0)</f>
        <v>18</v>
      </c>
      <c r="AB85" s="21">
        <f>VLOOKUP(A:A,[1]TDSheet!$A:$AB,28,0)</f>
        <v>0</v>
      </c>
      <c r="AC85" s="21">
        <f t="shared" si="12"/>
        <v>29.879999999999988</v>
      </c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</row>
    <row r="86" spans="1:57" ht="11.1" customHeight="1">
      <c r="A86" s="18" t="s">
        <v>112</v>
      </c>
      <c r="B86" s="18" t="s">
        <v>36</v>
      </c>
      <c r="C86" s="18">
        <f>VLOOKUP(A:A,[1]TDSheet!$A:$C,3,0)</f>
        <v>7231</v>
      </c>
      <c r="D86" s="19">
        <v>-8</v>
      </c>
      <c r="E86" s="19">
        <v>187</v>
      </c>
      <c r="F86" s="19">
        <v>27</v>
      </c>
      <c r="G86" s="19">
        <v>111</v>
      </c>
      <c r="H86" s="20">
        <f>VLOOKUP(A:A,[1]TDSheet!$A:$H,8,0)</f>
        <v>0.3</v>
      </c>
      <c r="I86" s="21">
        <f>VLOOKUP(A:A,[1]TDSheet!$A:$I,9,0)</f>
        <v>60</v>
      </c>
      <c r="J86" s="21" t="str">
        <f>VLOOKUP(A:A,[1]TDSheet!$A:$J,10,0)</f>
        <v>в матрице</v>
      </c>
      <c r="K86" s="21"/>
      <c r="L86" s="21">
        <f>VLOOKUP(A:A,[2]TDSheet!$A:$B,2,0)</f>
        <v>49</v>
      </c>
      <c r="M86" s="21">
        <f t="shared" si="8"/>
        <v>-22</v>
      </c>
      <c r="N86" s="21"/>
      <c r="O86" s="21"/>
      <c r="P86" s="21">
        <f>VLOOKUP(A:A,[1]TDSheet!$A:$S,19,0)</f>
        <v>0</v>
      </c>
      <c r="Q86" s="21">
        <v>0</v>
      </c>
      <c r="R86" s="21">
        <f t="shared" si="9"/>
        <v>5.4</v>
      </c>
      <c r="S86" s="22"/>
      <c r="T86" s="22"/>
      <c r="U86" s="21"/>
      <c r="V86" s="21">
        <f t="shared" si="10"/>
        <v>20.555555555555554</v>
      </c>
      <c r="W86" s="21">
        <f t="shared" si="11"/>
        <v>20.555555555555554</v>
      </c>
      <c r="X86" s="21">
        <f>VLOOKUP(A:A,[1]TDSheet!$A:$Y,25,0)</f>
        <v>0.6</v>
      </c>
      <c r="Y86" s="21">
        <f>VLOOKUP(A:A,[1]TDSheet!$A:$Z,26,0)</f>
        <v>3.4</v>
      </c>
      <c r="Z86" s="21">
        <f>VLOOKUP(A:A,[1]TDSheet!$A:$AA,27,0)</f>
        <v>13.8</v>
      </c>
      <c r="AA86" s="21">
        <f>VLOOKUP(A:A,[1]TDSheet!$A:$R,18,0)</f>
        <v>11.6</v>
      </c>
      <c r="AB86" s="21">
        <f>VLOOKUP(A:A,[1]TDSheet!$A:$AB,28,0)</f>
        <v>0</v>
      </c>
      <c r="AC86" s="21">
        <f t="shared" si="12"/>
        <v>0</v>
      </c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</row>
    <row r="87" spans="1:57" ht="11.1" customHeight="1">
      <c r="A87" s="18" t="s">
        <v>113</v>
      </c>
      <c r="B87" s="18" t="s">
        <v>36</v>
      </c>
      <c r="C87" s="18">
        <f>VLOOKUP(A:A,[1]TDSheet!$A:$C,3,0)</f>
        <v>7232</v>
      </c>
      <c r="D87" s="19">
        <v>378</v>
      </c>
      <c r="E87" s="19">
        <v>299</v>
      </c>
      <c r="F87" s="19">
        <v>372</v>
      </c>
      <c r="G87" s="19">
        <v>248</v>
      </c>
      <c r="H87" s="20">
        <f>VLOOKUP(A:A,[1]TDSheet!$A:$H,8,0)</f>
        <v>0.28000000000000003</v>
      </c>
      <c r="I87" s="21">
        <f>VLOOKUP(A:A,[1]TDSheet!$A:$I,9,0)</f>
        <v>50</v>
      </c>
      <c r="J87" s="21" t="str">
        <f>VLOOKUP(A:A,[1]TDSheet!$A:$J,10,0)</f>
        <v>в матрице</v>
      </c>
      <c r="K87" s="21"/>
      <c r="L87" s="21">
        <f>VLOOKUP(A:A,[2]TDSheet!$A:$B,2,0)</f>
        <v>363</v>
      </c>
      <c r="M87" s="21">
        <f t="shared" si="8"/>
        <v>9</v>
      </c>
      <c r="N87" s="21"/>
      <c r="O87" s="21"/>
      <c r="P87" s="21">
        <f>VLOOKUP(A:A,[1]TDSheet!$A:$S,19,0)</f>
        <v>200</v>
      </c>
      <c r="Q87" s="21">
        <v>200</v>
      </c>
      <c r="R87" s="21">
        <f t="shared" si="9"/>
        <v>74.400000000000006</v>
      </c>
      <c r="S87" s="22">
        <f t="shared" si="13"/>
        <v>393.60000000000014</v>
      </c>
      <c r="T87" s="22">
        <v>394</v>
      </c>
      <c r="U87" s="21"/>
      <c r="V87" s="21">
        <f t="shared" si="10"/>
        <v>14</v>
      </c>
      <c r="W87" s="21">
        <f t="shared" si="11"/>
        <v>3.333333333333333</v>
      </c>
      <c r="X87" s="21">
        <f>VLOOKUP(A:A,[1]TDSheet!$A:$Y,25,0)</f>
        <v>58</v>
      </c>
      <c r="Y87" s="21">
        <f>VLOOKUP(A:A,[1]TDSheet!$A:$Z,26,0)</f>
        <v>69</v>
      </c>
      <c r="Z87" s="21">
        <f>VLOOKUP(A:A,[1]TDSheet!$A:$AA,27,0)</f>
        <v>69.2</v>
      </c>
      <c r="AA87" s="21">
        <f>VLOOKUP(A:A,[1]TDSheet!$A:$R,18,0)</f>
        <v>71.2</v>
      </c>
      <c r="AB87" s="21">
        <f>VLOOKUP(A:A,[1]TDSheet!$A:$AB,28,0)</f>
        <v>0</v>
      </c>
      <c r="AC87" s="21">
        <f t="shared" si="12"/>
        <v>110.20800000000006</v>
      </c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</row>
    <row r="88" spans="1:57" ht="11.1" customHeight="1">
      <c r="A88" s="18" t="s">
        <v>114</v>
      </c>
      <c r="B88" s="18" t="s">
        <v>36</v>
      </c>
      <c r="C88" s="18">
        <f>VLOOKUP(A:A,[1]TDSheet!$A:$C,3,0)</f>
        <v>7236</v>
      </c>
      <c r="D88" s="19">
        <v>469</v>
      </c>
      <c r="E88" s="19">
        <v>350</v>
      </c>
      <c r="F88" s="19">
        <v>306</v>
      </c>
      <c r="G88" s="19">
        <v>458</v>
      </c>
      <c r="H88" s="20">
        <f>VLOOKUP(A:A,[1]TDSheet!$A:$H,8,0)</f>
        <v>0.28000000000000003</v>
      </c>
      <c r="I88" s="21">
        <f>VLOOKUP(A:A,[1]TDSheet!$A:$I,9,0)</f>
        <v>45</v>
      </c>
      <c r="J88" s="21" t="str">
        <f>VLOOKUP(A:A,[1]TDSheet!$A:$J,10,0)</f>
        <v>в матрице</v>
      </c>
      <c r="K88" s="21"/>
      <c r="L88" s="21">
        <f>VLOOKUP(A:A,[2]TDSheet!$A:$B,2,0)</f>
        <v>304</v>
      </c>
      <c r="M88" s="21">
        <f t="shared" si="8"/>
        <v>2</v>
      </c>
      <c r="N88" s="21"/>
      <c r="O88" s="21"/>
      <c r="P88" s="21">
        <f>VLOOKUP(A:A,[1]TDSheet!$A:$S,19,0)</f>
        <v>0</v>
      </c>
      <c r="Q88" s="21">
        <v>0</v>
      </c>
      <c r="R88" s="21">
        <f t="shared" si="9"/>
        <v>61.2</v>
      </c>
      <c r="S88" s="22">
        <f t="shared" si="13"/>
        <v>398.80000000000007</v>
      </c>
      <c r="T88" s="22">
        <v>399</v>
      </c>
      <c r="U88" s="21"/>
      <c r="V88" s="21">
        <f t="shared" si="10"/>
        <v>14</v>
      </c>
      <c r="W88" s="21">
        <f t="shared" si="11"/>
        <v>7.4836601307189543</v>
      </c>
      <c r="X88" s="21">
        <f>VLOOKUP(A:A,[1]TDSheet!$A:$Y,25,0)</f>
        <v>56</v>
      </c>
      <c r="Y88" s="21">
        <f>VLOOKUP(A:A,[1]TDSheet!$A:$Z,26,0)</f>
        <v>74.599999999999994</v>
      </c>
      <c r="Z88" s="21">
        <f>VLOOKUP(A:A,[1]TDSheet!$A:$AA,27,0)</f>
        <v>71.599999999999994</v>
      </c>
      <c r="AA88" s="21">
        <f>VLOOKUP(A:A,[1]TDSheet!$A:$R,18,0)</f>
        <v>54.2</v>
      </c>
      <c r="AB88" s="21">
        <f>VLOOKUP(A:A,[1]TDSheet!$A:$AB,28,0)</f>
        <v>0</v>
      </c>
      <c r="AC88" s="21">
        <f t="shared" si="12"/>
        <v>111.66400000000003</v>
      </c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</row>
    <row r="89" spans="1:57" ht="11.1" customHeight="1">
      <c r="A89" s="18" t="s">
        <v>115</v>
      </c>
      <c r="B89" s="18" t="s">
        <v>36</v>
      </c>
      <c r="C89" s="18">
        <f>VLOOKUP(A:A,[1]TDSheet!$A:$C,3,0)</f>
        <v>7237</v>
      </c>
      <c r="D89" s="19">
        <v>84</v>
      </c>
      <c r="E89" s="19">
        <v>133</v>
      </c>
      <c r="F89" s="19">
        <v>100</v>
      </c>
      <c r="G89" s="19">
        <v>76</v>
      </c>
      <c r="H89" s="20">
        <f>VLOOKUP(A:A,[1]TDSheet!$A:$H,8,0)</f>
        <v>0.28000000000000003</v>
      </c>
      <c r="I89" s="21">
        <f>VLOOKUP(A:A,[1]TDSheet!$A:$I,9,0)</f>
        <v>45</v>
      </c>
      <c r="J89" s="21" t="str">
        <f>VLOOKUP(A:A,[1]TDSheet!$A:$J,10,0)</f>
        <v>в матрице</v>
      </c>
      <c r="K89" s="21"/>
      <c r="L89" s="21">
        <f>VLOOKUP(A:A,[2]TDSheet!$A:$B,2,0)</f>
        <v>102</v>
      </c>
      <c r="M89" s="21">
        <f t="shared" si="8"/>
        <v>-2</v>
      </c>
      <c r="N89" s="21"/>
      <c r="O89" s="21"/>
      <c r="P89" s="21">
        <f>VLOOKUP(A:A,[1]TDSheet!$A:$S,19,0)</f>
        <v>25</v>
      </c>
      <c r="Q89" s="21">
        <v>25</v>
      </c>
      <c r="R89" s="21">
        <f t="shared" si="9"/>
        <v>20</v>
      </c>
      <c r="S89" s="22">
        <f t="shared" si="13"/>
        <v>154</v>
      </c>
      <c r="T89" s="22">
        <v>250</v>
      </c>
      <c r="U89" s="21"/>
      <c r="V89" s="21">
        <f t="shared" si="10"/>
        <v>14</v>
      </c>
      <c r="W89" s="21">
        <f t="shared" si="11"/>
        <v>3.8</v>
      </c>
      <c r="X89" s="21">
        <f>VLOOKUP(A:A,[1]TDSheet!$A:$Y,25,0)</f>
        <v>14.4</v>
      </c>
      <c r="Y89" s="21">
        <f>VLOOKUP(A:A,[1]TDSheet!$A:$Z,26,0)</f>
        <v>15.8</v>
      </c>
      <c r="Z89" s="21">
        <f>VLOOKUP(A:A,[1]TDSheet!$A:$AA,27,0)</f>
        <v>18.600000000000001</v>
      </c>
      <c r="AA89" s="21">
        <f>VLOOKUP(A:A,[1]TDSheet!$A:$R,18,0)</f>
        <v>16.399999999999999</v>
      </c>
      <c r="AB89" s="21">
        <f>VLOOKUP(A:A,[1]TDSheet!$A:$AB,28,0)</f>
        <v>0</v>
      </c>
      <c r="AC89" s="21">
        <f t="shared" si="12"/>
        <v>43.120000000000005</v>
      </c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  <c r="AV89" s="21"/>
      <c r="AW89" s="21"/>
      <c r="AX89" s="21"/>
      <c r="AY89" s="21"/>
      <c r="AZ89" s="21"/>
      <c r="BA89" s="21"/>
      <c r="BB89" s="21"/>
      <c r="BC89" s="21"/>
      <c r="BD89" s="21"/>
      <c r="BE89" s="21"/>
    </row>
    <row r="90" spans="1:57" ht="11.1" customHeight="1">
      <c r="A90" s="18" t="s">
        <v>116</v>
      </c>
      <c r="B90" s="18" t="s">
        <v>36</v>
      </c>
      <c r="C90" s="18">
        <f>VLOOKUP(A:A,[1]TDSheet!$A:$C,3,0)</f>
        <v>7241</v>
      </c>
      <c r="D90" s="19">
        <v>312</v>
      </c>
      <c r="E90" s="19">
        <v>292</v>
      </c>
      <c r="F90" s="19">
        <v>251</v>
      </c>
      <c r="G90" s="19">
        <v>306</v>
      </c>
      <c r="H90" s="20">
        <f>VLOOKUP(A:A,[1]TDSheet!$A:$H,8,0)</f>
        <v>0.28000000000000003</v>
      </c>
      <c r="I90" s="21">
        <f>VLOOKUP(A:A,[1]TDSheet!$A:$I,9,0)</f>
        <v>45</v>
      </c>
      <c r="J90" s="21" t="str">
        <f>VLOOKUP(A:A,[1]TDSheet!$A:$J,10,0)</f>
        <v>в матрице</v>
      </c>
      <c r="K90" s="21"/>
      <c r="L90" s="21">
        <f>VLOOKUP(A:A,[2]TDSheet!$A:$B,2,0)</f>
        <v>272</v>
      </c>
      <c r="M90" s="21">
        <f t="shared" si="8"/>
        <v>-21</v>
      </c>
      <c r="N90" s="21"/>
      <c r="O90" s="21"/>
      <c r="P90" s="21">
        <f>VLOOKUP(A:A,[1]TDSheet!$A:$S,19,0)</f>
        <v>0</v>
      </c>
      <c r="Q90" s="21">
        <v>0</v>
      </c>
      <c r="R90" s="21">
        <f t="shared" si="9"/>
        <v>50.2</v>
      </c>
      <c r="S90" s="22">
        <f t="shared" si="13"/>
        <v>396.80000000000007</v>
      </c>
      <c r="T90" s="22">
        <v>397</v>
      </c>
      <c r="U90" s="21"/>
      <c r="V90" s="21">
        <f t="shared" si="10"/>
        <v>14</v>
      </c>
      <c r="W90" s="21">
        <f t="shared" si="11"/>
        <v>6.095617529880478</v>
      </c>
      <c r="X90" s="21">
        <f>VLOOKUP(A:A,[1]TDSheet!$A:$Y,25,0)</f>
        <v>28.4</v>
      </c>
      <c r="Y90" s="21">
        <f>VLOOKUP(A:A,[1]TDSheet!$A:$Z,26,0)</f>
        <v>46.4</v>
      </c>
      <c r="Z90" s="21">
        <f>VLOOKUP(A:A,[1]TDSheet!$A:$AA,27,0)</f>
        <v>51.4</v>
      </c>
      <c r="AA90" s="21">
        <f>VLOOKUP(A:A,[1]TDSheet!$A:$R,18,0)</f>
        <v>32.6</v>
      </c>
      <c r="AB90" s="21">
        <f>VLOOKUP(A:A,[1]TDSheet!$A:$AB,28,0)</f>
        <v>0</v>
      </c>
      <c r="AC90" s="21">
        <f t="shared" si="12"/>
        <v>111.10400000000003</v>
      </c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</row>
    <row r="91" spans="1:57" ht="11.1" customHeight="1">
      <c r="A91" s="18" t="s">
        <v>117</v>
      </c>
      <c r="B91" s="18" t="s">
        <v>36</v>
      </c>
      <c r="C91" s="18">
        <f>VLOOKUP(A:A,[1]TDSheet!$A:$C,3,0)</f>
        <v>7255</v>
      </c>
      <c r="D91" s="19">
        <v>630</v>
      </c>
      <c r="E91" s="19">
        <v>8</v>
      </c>
      <c r="F91" s="19">
        <v>309</v>
      </c>
      <c r="G91" s="19">
        <v>285</v>
      </c>
      <c r="H91" s="20">
        <f>VLOOKUP(A:A,[1]TDSheet!$A:$H,8,0)</f>
        <v>0.4</v>
      </c>
      <c r="I91" s="21">
        <f>VLOOKUP(A:A,[1]TDSheet!$A:$I,9,0)</f>
        <v>50</v>
      </c>
      <c r="J91" s="21" t="str">
        <f>VLOOKUP(A:A,[1]TDSheet!$A:$J,10,0)</f>
        <v>в матрице</v>
      </c>
      <c r="K91" s="21"/>
      <c r="L91" s="21">
        <f>VLOOKUP(A:A,[2]TDSheet!$A:$B,2,0)</f>
        <v>285</v>
      </c>
      <c r="M91" s="21">
        <f t="shared" si="8"/>
        <v>24</v>
      </c>
      <c r="N91" s="21"/>
      <c r="O91" s="21"/>
      <c r="P91" s="21">
        <f>VLOOKUP(A:A,[1]TDSheet!$A:$S,19,0)</f>
        <v>0</v>
      </c>
      <c r="Q91" s="21">
        <v>0</v>
      </c>
      <c r="R91" s="21">
        <f t="shared" si="9"/>
        <v>61.8</v>
      </c>
      <c r="S91" s="22">
        <f t="shared" si="13"/>
        <v>580.19999999999993</v>
      </c>
      <c r="T91" s="22">
        <v>580</v>
      </c>
      <c r="U91" s="21"/>
      <c r="V91" s="21">
        <f t="shared" si="10"/>
        <v>14</v>
      </c>
      <c r="W91" s="21">
        <f t="shared" si="11"/>
        <v>4.6116504854368934</v>
      </c>
      <c r="X91" s="21">
        <f>VLOOKUP(A:A,[1]TDSheet!$A:$Y,25,0)</f>
        <v>26.4</v>
      </c>
      <c r="Y91" s="21">
        <f>VLOOKUP(A:A,[1]TDSheet!$A:$Z,26,0)</f>
        <v>59.8</v>
      </c>
      <c r="Z91" s="21">
        <f>VLOOKUP(A:A,[1]TDSheet!$A:$AA,27,0)</f>
        <v>27.2</v>
      </c>
      <c r="AA91" s="21">
        <f>VLOOKUP(A:A,[1]TDSheet!$A:$R,18,0)</f>
        <v>33.6</v>
      </c>
      <c r="AB91" s="21">
        <f>VLOOKUP(A:A,[1]TDSheet!$A:$AB,28,0)</f>
        <v>0</v>
      </c>
      <c r="AC91" s="21">
        <f t="shared" si="12"/>
        <v>232.07999999999998</v>
      </c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</row>
    <row r="92" spans="1:57" ht="11.1" customHeight="1">
      <c r="A92" s="18" t="s">
        <v>118</v>
      </c>
      <c r="B92" s="18" t="s">
        <v>38</v>
      </c>
      <c r="C92" s="18">
        <f>VLOOKUP(A:A,[1]TDSheet!$A:$C,3,0)</f>
        <v>7271</v>
      </c>
      <c r="D92" s="19">
        <v>3.3069999999999999</v>
      </c>
      <c r="E92" s="19">
        <v>151.59800000000001</v>
      </c>
      <c r="F92" s="19">
        <v>11.946999999999999</v>
      </c>
      <c r="G92" s="19">
        <v>136.32499999999999</v>
      </c>
      <c r="H92" s="20">
        <f>VLOOKUP(A:A,[1]TDSheet!$A:$H,8,0)</f>
        <v>1</v>
      </c>
      <c r="I92" s="21">
        <f>VLOOKUP(A:A,[1]TDSheet!$A:$I,9,0)</f>
        <v>0</v>
      </c>
      <c r="J92" s="21" t="e">
        <f>VLOOKUP(A:A,[1]TDSheet!$A:$J,10,0)</f>
        <v>#VALUE!</v>
      </c>
      <c r="K92" s="21"/>
      <c r="L92" s="21">
        <f>VLOOKUP(A:A,[2]TDSheet!$A:$B,2,0)</f>
        <v>22.5</v>
      </c>
      <c r="M92" s="21">
        <f t="shared" si="8"/>
        <v>-10.553000000000001</v>
      </c>
      <c r="N92" s="21"/>
      <c r="O92" s="21"/>
      <c r="P92" s="21">
        <f>VLOOKUP(A:A,[1]TDSheet!$A:$S,19,0)</f>
        <v>0</v>
      </c>
      <c r="Q92" s="21">
        <v>0</v>
      </c>
      <c r="R92" s="21">
        <f t="shared" si="9"/>
        <v>2.3893999999999997</v>
      </c>
      <c r="S92" s="22"/>
      <c r="T92" s="22"/>
      <c r="U92" s="21"/>
      <c r="V92" s="21">
        <f t="shared" si="10"/>
        <v>57.054072152004686</v>
      </c>
      <c r="W92" s="21">
        <f t="shared" si="11"/>
        <v>57.054072152004686</v>
      </c>
      <c r="X92" s="21">
        <f>VLOOKUP(A:A,[1]TDSheet!$A:$Y,25,0)</f>
        <v>6.9550000000000001</v>
      </c>
      <c r="Y92" s="21">
        <f>VLOOKUP(A:A,[1]TDSheet!$A:$Z,26,0)</f>
        <v>6.6440000000000001</v>
      </c>
      <c r="Z92" s="21">
        <f>VLOOKUP(A:A,[1]TDSheet!$A:$AA,27,0)</f>
        <v>10.7052</v>
      </c>
      <c r="AA92" s="21">
        <f>VLOOKUP(A:A,[1]TDSheet!$A:$R,18,0)</f>
        <v>11.3804</v>
      </c>
      <c r="AB92" s="21" t="e">
        <f>VLOOKUP(A:A,[1]TDSheet!$A:$AB,28,0)</f>
        <v>#VALUE!</v>
      </c>
      <c r="AC92" s="21">
        <f t="shared" si="12"/>
        <v>0</v>
      </c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</row>
    <row r="93" spans="1:57" ht="11.1" customHeight="1">
      <c r="A93" s="18" t="s">
        <v>119</v>
      </c>
      <c r="B93" s="18" t="s">
        <v>36</v>
      </c>
      <c r="C93" s="18">
        <f>VLOOKUP(A:A,[1]TDSheet!$A:$C,3,0)</f>
        <v>7276</v>
      </c>
      <c r="D93" s="23"/>
      <c r="E93" s="19">
        <v>147</v>
      </c>
      <c r="F93" s="19">
        <v>14</v>
      </c>
      <c r="G93" s="19">
        <v>126</v>
      </c>
      <c r="H93" s="20">
        <f>VLOOKUP(A:A,[1]TDSheet!$A:$H,8,0)</f>
        <v>0.3</v>
      </c>
      <c r="I93" s="21">
        <f>VLOOKUP(A:A,[1]TDSheet!$A:$I,9,0)</f>
        <v>0</v>
      </c>
      <c r="J93" s="21" t="e">
        <f>VLOOKUP(A:A,[1]TDSheet!$A:$J,10,0)</f>
        <v>#VALUE!</v>
      </c>
      <c r="K93" s="21"/>
      <c r="L93" s="21">
        <f>VLOOKUP(A:A,[2]TDSheet!$A:$B,2,0)</f>
        <v>12</v>
      </c>
      <c r="M93" s="21">
        <f t="shared" si="8"/>
        <v>2</v>
      </c>
      <c r="N93" s="21"/>
      <c r="O93" s="21"/>
      <c r="P93" s="21">
        <f>VLOOKUP(A:A,[1]TDSheet!$A:$S,19,0)</f>
        <v>0</v>
      </c>
      <c r="Q93" s="21">
        <v>0</v>
      </c>
      <c r="R93" s="21">
        <f t="shared" si="9"/>
        <v>2.8</v>
      </c>
      <c r="S93" s="22"/>
      <c r="T93" s="22"/>
      <c r="U93" s="21"/>
      <c r="V93" s="21">
        <f t="shared" si="10"/>
        <v>45</v>
      </c>
      <c r="W93" s="21">
        <f t="shared" si="11"/>
        <v>45</v>
      </c>
      <c r="X93" s="21">
        <f>VLOOKUP(A:A,[1]TDSheet!$A:$Y,25,0)</f>
        <v>11</v>
      </c>
      <c r="Y93" s="21">
        <f>VLOOKUP(A:A,[1]TDSheet!$A:$Z,26,0)</f>
        <v>1.8</v>
      </c>
      <c r="Z93" s="21">
        <f>VLOOKUP(A:A,[1]TDSheet!$A:$AA,27,0)</f>
        <v>7.6</v>
      </c>
      <c r="AA93" s="21">
        <f>VLOOKUP(A:A,[1]TDSheet!$A:$R,18,0)</f>
        <v>4</v>
      </c>
      <c r="AB93" s="21">
        <f>VLOOKUP(A:A,[1]TDSheet!$A:$AB,28,0)</f>
        <v>0</v>
      </c>
      <c r="AC93" s="21">
        <f t="shared" si="12"/>
        <v>0</v>
      </c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</row>
    <row r="94" spans="1:57" ht="11.1" customHeight="1">
      <c r="A94" s="18" t="s">
        <v>120</v>
      </c>
      <c r="B94" s="18" t="s">
        <v>36</v>
      </c>
      <c r="C94" s="18">
        <f>VLOOKUP(A:A,[1]TDSheet!$A:$C,3,0)</f>
        <v>7284</v>
      </c>
      <c r="D94" s="19">
        <v>1</v>
      </c>
      <c r="E94" s="19"/>
      <c r="F94" s="19">
        <v>-6</v>
      </c>
      <c r="G94" s="19">
        <v>1</v>
      </c>
      <c r="H94" s="20">
        <f>VLOOKUP(A:A,[1]TDSheet!$A:$H,8,0)</f>
        <v>0.33</v>
      </c>
      <c r="I94" s="21">
        <f>VLOOKUP(A:A,[1]TDSheet!$A:$I,9,0)</f>
        <v>30</v>
      </c>
      <c r="J94" s="21" t="str">
        <f>VLOOKUP(A:A,[1]TDSheet!$A:$J,10,0)</f>
        <v>в матрице</v>
      </c>
      <c r="K94" s="21"/>
      <c r="L94" s="21">
        <f>VLOOKUP(A:A,[2]TDSheet!$A:$B,2,0)</f>
        <v>21</v>
      </c>
      <c r="M94" s="21">
        <f t="shared" si="8"/>
        <v>-27</v>
      </c>
      <c r="N94" s="21"/>
      <c r="O94" s="21"/>
      <c r="P94" s="21">
        <f>VLOOKUP(A:A,[1]TDSheet!$A:$S,19,0)</f>
        <v>190</v>
      </c>
      <c r="Q94" s="21">
        <v>190</v>
      </c>
      <c r="R94" s="21">
        <f t="shared" si="9"/>
        <v>-1.2</v>
      </c>
      <c r="S94" s="22"/>
      <c r="T94" s="22"/>
      <c r="U94" s="21"/>
      <c r="V94" s="21">
        <f t="shared" si="10"/>
        <v>-317.5</v>
      </c>
      <c r="W94" s="21">
        <f t="shared" si="11"/>
        <v>-0.83333333333333337</v>
      </c>
      <c r="X94" s="21">
        <f>VLOOKUP(A:A,[1]TDSheet!$A:$Y,25,0)</f>
        <v>5</v>
      </c>
      <c r="Y94" s="21">
        <f>VLOOKUP(A:A,[1]TDSheet!$A:$Z,26,0)</f>
        <v>-0.2</v>
      </c>
      <c r="Z94" s="21">
        <f>VLOOKUP(A:A,[1]TDSheet!$A:$AA,27,0)</f>
        <v>1</v>
      </c>
      <c r="AA94" s="21">
        <f>VLOOKUP(A:A,[1]TDSheet!$A:$R,18,0)</f>
        <v>22.2</v>
      </c>
      <c r="AB94" s="21">
        <f>VLOOKUP(A:A,[1]TDSheet!$A:$AB,28,0)</f>
        <v>0</v>
      </c>
      <c r="AC94" s="21">
        <f t="shared" si="12"/>
        <v>0</v>
      </c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</row>
    <row r="95" spans="1:57" ht="11.1" customHeight="1">
      <c r="A95" s="18" t="s">
        <v>121</v>
      </c>
      <c r="B95" s="18" t="s">
        <v>36</v>
      </c>
      <c r="C95" s="18">
        <f>VLOOKUP(A:A,[1]TDSheet!$A:$C,3,0)</f>
        <v>7288</v>
      </c>
      <c r="D95" s="19">
        <v>28</v>
      </c>
      <c r="E95" s="19"/>
      <c r="F95" s="19">
        <v>31</v>
      </c>
      <c r="G95" s="19">
        <v>-3</v>
      </c>
      <c r="H95" s="20">
        <f>VLOOKUP(A:A,[1]TDSheet!$A:$H,8,0)</f>
        <v>0.1</v>
      </c>
      <c r="I95" s="21">
        <f>VLOOKUP(A:A,[1]TDSheet!$A:$I,9,0)</f>
        <v>60</v>
      </c>
      <c r="J95" s="21" t="str">
        <f>VLOOKUP(A:A,[1]TDSheet!$A:$J,10,0)</f>
        <v>в матрице</v>
      </c>
      <c r="K95" s="21"/>
      <c r="L95" s="21">
        <f>VLOOKUP(A:A,[2]TDSheet!$A:$B,2,0)</f>
        <v>36</v>
      </c>
      <c r="M95" s="21">
        <f t="shared" si="8"/>
        <v>-5</v>
      </c>
      <c r="N95" s="21"/>
      <c r="O95" s="21"/>
      <c r="P95" s="21">
        <f>VLOOKUP(A:A,[1]TDSheet!$A:$S,19,0)</f>
        <v>80</v>
      </c>
      <c r="Q95" s="21">
        <v>80</v>
      </c>
      <c r="R95" s="21">
        <f t="shared" si="9"/>
        <v>6.2</v>
      </c>
      <c r="S95" s="22"/>
      <c r="T95" s="22"/>
      <c r="U95" s="21"/>
      <c r="V95" s="21">
        <f t="shared" si="10"/>
        <v>25.322580645161288</v>
      </c>
      <c r="W95" s="21">
        <f t="shared" si="11"/>
        <v>-0.48387096774193544</v>
      </c>
      <c r="X95" s="21">
        <f>VLOOKUP(A:A,[1]TDSheet!$A:$Y,25,0)</f>
        <v>7.8</v>
      </c>
      <c r="Y95" s="21">
        <f>VLOOKUP(A:A,[1]TDSheet!$A:$Z,26,0)</f>
        <v>7.2</v>
      </c>
      <c r="Z95" s="21">
        <f>VLOOKUP(A:A,[1]TDSheet!$A:$AA,27,0)</f>
        <v>5.8</v>
      </c>
      <c r="AA95" s="21">
        <f>VLOOKUP(A:A,[1]TDSheet!$A:$R,18,0)</f>
        <v>10.6</v>
      </c>
      <c r="AB95" s="21" t="str">
        <f>VLOOKUP(A:A,[1]TDSheet!$A:$AB,28,0)</f>
        <v>новинка</v>
      </c>
      <c r="AC95" s="21">
        <f t="shared" si="12"/>
        <v>0</v>
      </c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</row>
    <row r="96" spans="1:57" ht="11.1" customHeight="1">
      <c r="A96" s="18" t="s">
        <v>122</v>
      </c>
      <c r="B96" s="18" t="s">
        <v>36</v>
      </c>
      <c r="C96" s="18">
        <f>VLOOKUP(A:A,[1]TDSheet!$A:$C,3,0)</f>
        <v>7332</v>
      </c>
      <c r="D96" s="19">
        <v>10</v>
      </c>
      <c r="E96" s="19">
        <v>243</v>
      </c>
      <c r="F96" s="19">
        <v>27</v>
      </c>
      <c r="G96" s="19">
        <v>201</v>
      </c>
      <c r="H96" s="20">
        <f>VLOOKUP(A:A,[1]TDSheet!$A:$H,8,0)</f>
        <v>0.28000000000000003</v>
      </c>
      <c r="I96" s="21">
        <f>VLOOKUP(A:A,[1]TDSheet!$A:$I,9,0)</f>
        <v>50</v>
      </c>
      <c r="J96" s="21" t="str">
        <f>VLOOKUP(A:A,[1]TDSheet!$A:$J,10,0)</f>
        <v>в матрице</v>
      </c>
      <c r="K96" s="21"/>
      <c r="L96" s="21">
        <f>VLOOKUP(A:A,[2]TDSheet!$A:$B,2,0)</f>
        <v>45</v>
      </c>
      <c r="M96" s="21">
        <f t="shared" si="8"/>
        <v>-18</v>
      </c>
      <c r="N96" s="21"/>
      <c r="O96" s="21"/>
      <c r="P96" s="21">
        <f>VLOOKUP(A:A,[1]TDSheet!$A:$S,19,0)</f>
        <v>100</v>
      </c>
      <c r="Q96" s="21">
        <v>100</v>
      </c>
      <c r="R96" s="21">
        <f t="shared" si="9"/>
        <v>5.4</v>
      </c>
      <c r="S96" s="22"/>
      <c r="T96" s="22"/>
      <c r="U96" s="21"/>
      <c r="V96" s="21">
        <f t="shared" si="10"/>
        <v>74.259259259259252</v>
      </c>
      <c r="W96" s="21">
        <f t="shared" si="11"/>
        <v>37.222222222222221</v>
      </c>
      <c r="X96" s="21">
        <f>VLOOKUP(A:A,[1]TDSheet!$A:$Y,25,0)</f>
        <v>2.4</v>
      </c>
      <c r="Y96" s="21">
        <f>VLOOKUP(A:A,[1]TDSheet!$A:$Z,26,0)</f>
        <v>19.600000000000001</v>
      </c>
      <c r="Z96" s="21">
        <f>VLOOKUP(A:A,[1]TDSheet!$A:$AA,27,0)</f>
        <v>25.8</v>
      </c>
      <c r="AA96" s="21">
        <f>VLOOKUP(A:A,[1]TDSheet!$A:$R,18,0)</f>
        <v>26.6</v>
      </c>
      <c r="AB96" s="21">
        <f>VLOOKUP(A:A,[1]TDSheet!$A:$AB,28,0)</f>
        <v>0</v>
      </c>
      <c r="AC96" s="21">
        <f t="shared" si="12"/>
        <v>0</v>
      </c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</row>
    <row r="97" spans="1:57" ht="11.1" customHeight="1">
      <c r="A97" s="18" t="s">
        <v>123</v>
      </c>
      <c r="B97" s="18" t="s">
        <v>36</v>
      </c>
      <c r="C97" s="18">
        <f>VLOOKUP(A:A,[1]TDSheet!$A:$C,3,0)</f>
        <v>7343</v>
      </c>
      <c r="D97" s="19">
        <v>14</v>
      </c>
      <c r="E97" s="19"/>
      <c r="F97" s="19">
        <v>13</v>
      </c>
      <c r="G97" s="19">
        <v>1</v>
      </c>
      <c r="H97" s="20">
        <f>VLOOKUP(A:A,[1]TDSheet!$A:$H,8,0)</f>
        <v>0.4</v>
      </c>
      <c r="I97" s="21">
        <f>VLOOKUP(A:A,[1]TDSheet!$A:$I,9,0)</f>
        <v>0</v>
      </c>
      <c r="J97" s="21">
        <f>VLOOKUP(A:A,[1]TDSheet!$A:$J,10,0)</f>
        <v>0</v>
      </c>
      <c r="K97" s="21"/>
      <c r="L97" s="21">
        <f>VLOOKUP(A:A,[2]TDSheet!$A:$B,2,0)</f>
        <v>14</v>
      </c>
      <c r="M97" s="21">
        <f t="shared" si="8"/>
        <v>-1</v>
      </c>
      <c r="N97" s="21"/>
      <c r="O97" s="21"/>
      <c r="P97" s="21">
        <f>VLOOKUP(A:A,[1]TDSheet!$A:$S,19,0)</f>
        <v>50</v>
      </c>
      <c r="Q97" s="21">
        <v>50</v>
      </c>
      <c r="R97" s="21">
        <f t="shared" si="9"/>
        <v>2.6</v>
      </c>
      <c r="S97" s="22"/>
      <c r="T97" s="22"/>
      <c r="U97" s="21"/>
      <c r="V97" s="21">
        <f t="shared" si="10"/>
        <v>38.846153846153847</v>
      </c>
      <c r="W97" s="21">
        <f t="shared" si="11"/>
        <v>0.38461538461538458</v>
      </c>
      <c r="X97" s="21">
        <f>VLOOKUP(A:A,[1]TDSheet!$A:$Y,25,0)</f>
        <v>3</v>
      </c>
      <c r="Y97" s="21">
        <f>VLOOKUP(A:A,[1]TDSheet!$A:$Z,26,0)</f>
        <v>0</v>
      </c>
      <c r="Z97" s="21">
        <f>VLOOKUP(A:A,[1]TDSheet!$A:$AA,27,0)</f>
        <v>0.4</v>
      </c>
      <c r="AA97" s="21">
        <f>VLOOKUP(A:A,[1]TDSheet!$A:$R,18,0)</f>
        <v>8</v>
      </c>
      <c r="AB97" s="21">
        <f>VLOOKUP(A:A,[1]TDSheet!$A:$AB,28,0)</f>
        <v>0</v>
      </c>
      <c r="AC97" s="21">
        <f t="shared" si="12"/>
        <v>0</v>
      </c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</row>
    <row r="98" spans="1:57" ht="11.1" customHeight="1">
      <c r="A98" s="18" t="s">
        <v>124</v>
      </c>
      <c r="B98" s="18" t="s">
        <v>36</v>
      </c>
      <c r="C98" s="18">
        <f>VLOOKUP(A:A,[1]TDSheet!$A:$C,3,0)</f>
        <v>7371</v>
      </c>
      <c r="D98" s="19">
        <v>300</v>
      </c>
      <c r="E98" s="19">
        <v>4</v>
      </c>
      <c r="F98" s="19">
        <v>102</v>
      </c>
      <c r="G98" s="19"/>
      <c r="H98" s="20">
        <f>VLOOKUP(A:A,[1]TDSheet!$A:$H,8,0)</f>
        <v>0.3</v>
      </c>
      <c r="I98" s="21">
        <f>VLOOKUP(A:A,[1]TDSheet!$A:$I,9,0)</f>
        <v>0</v>
      </c>
      <c r="J98" s="21" t="e">
        <f>VLOOKUP(A:A,[1]TDSheet!$A:$J,10,0)</f>
        <v>#N/A</v>
      </c>
      <c r="K98" s="21"/>
      <c r="L98" s="21">
        <f>VLOOKUP(A:A,[2]TDSheet!$A:$B,2,0)</f>
        <v>98</v>
      </c>
      <c r="M98" s="21">
        <f t="shared" si="8"/>
        <v>4</v>
      </c>
      <c r="N98" s="21"/>
      <c r="O98" s="21"/>
      <c r="P98" s="21">
        <f>VLOOKUP(A:A,[1]TDSheet!$A:$S,19,0)</f>
        <v>0</v>
      </c>
      <c r="Q98" s="21">
        <v>0</v>
      </c>
      <c r="R98" s="21">
        <f t="shared" si="9"/>
        <v>20.399999999999999</v>
      </c>
      <c r="S98" s="22">
        <f t="shared" si="13"/>
        <v>285.59999999999997</v>
      </c>
      <c r="T98" s="22">
        <v>350</v>
      </c>
      <c r="U98" s="21"/>
      <c r="V98" s="21">
        <f t="shared" si="10"/>
        <v>14</v>
      </c>
      <c r="W98" s="21">
        <f t="shared" si="11"/>
        <v>0</v>
      </c>
      <c r="X98" s="21">
        <f>VLOOKUP(A:A,[1]TDSheet!$A:$Y,25,0)</f>
        <v>3.2</v>
      </c>
      <c r="Y98" s="21">
        <f>VLOOKUP(A:A,[1]TDSheet!$A:$Z,26,0)</f>
        <v>9.4</v>
      </c>
      <c r="Z98" s="21">
        <f>VLOOKUP(A:A,[1]TDSheet!$A:$AA,27,0)</f>
        <v>10.4</v>
      </c>
      <c r="AA98" s="21">
        <f>VLOOKUP(A:A,[1]TDSheet!$A:$R,18,0)</f>
        <v>15.6</v>
      </c>
      <c r="AB98" s="21">
        <f>VLOOKUP(A:A,[1]TDSheet!$A:$AB,28,0)</f>
        <v>0</v>
      </c>
      <c r="AC98" s="21">
        <f t="shared" si="12"/>
        <v>85.679999999999993</v>
      </c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</row>
    <row r="99" spans="1:57" ht="11.1" customHeight="1">
      <c r="A99" s="18" t="s">
        <v>125</v>
      </c>
      <c r="B99" s="18" t="s">
        <v>36</v>
      </c>
      <c r="C99" s="18">
        <f>VLOOKUP(A:A,[1]TDSheet!$A:$C,3,0)</f>
        <v>7382</v>
      </c>
      <c r="D99" s="19">
        <v>208</v>
      </c>
      <c r="E99" s="19">
        <v>256</v>
      </c>
      <c r="F99" s="19">
        <v>230</v>
      </c>
      <c r="G99" s="19">
        <v>208</v>
      </c>
      <c r="H99" s="20">
        <f>VLOOKUP(A:A,[1]TDSheet!$A:$H,8,0)</f>
        <v>0.12</v>
      </c>
      <c r="I99" s="21">
        <f>VLOOKUP(A:A,[1]TDSheet!$A:$I,9,0)</f>
        <v>60</v>
      </c>
      <c r="J99" s="21" t="str">
        <f>VLOOKUP(A:A,[1]TDSheet!$A:$J,10,0)</f>
        <v>в матрице</v>
      </c>
      <c r="K99" s="21"/>
      <c r="L99" s="21">
        <f>VLOOKUP(A:A,[2]TDSheet!$A:$B,2,0)</f>
        <v>221.8</v>
      </c>
      <c r="M99" s="21">
        <f t="shared" si="8"/>
        <v>8.1999999999999886</v>
      </c>
      <c r="N99" s="21"/>
      <c r="O99" s="21"/>
      <c r="P99" s="21">
        <f>VLOOKUP(A:A,[1]TDSheet!$A:$S,19,0)</f>
        <v>150</v>
      </c>
      <c r="Q99" s="21">
        <v>150</v>
      </c>
      <c r="R99" s="21">
        <f t="shared" si="9"/>
        <v>46</v>
      </c>
      <c r="S99" s="22">
        <f t="shared" si="13"/>
        <v>136</v>
      </c>
      <c r="T99" s="22">
        <v>136</v>
      </c>
      <c r="U99" s="21"/>
      <c r="V99" s="21">
        <f t="shared" si="10"/>
        <v>14</v>
      </c>
      <c r="W99" s="21">
        <f t="shared" si="11"/>
        <v>4.5217391304347823</v>
      </c>
      <c r="X99" s="21">
        <f>VLOOKUP(A:A,[1]TDSheet!$A:$Y,25,0)</f>
        <v>16.8</v>
      </c>
      <c r="Y99" s="21">
        <f>VLOOKUP(A:A,[1]TDSheet!$A:$Z,26,0)</f>
        <v>44.6</v>
      </c>
      <c r="Z99" s="21">
        <f>VLOOKUP(A:A,[1]TDSheet!$A:$AA,27,0)</f>
        <v>48</v>
      </c>
      <c r="AA99" s="21">
        <f>VLOOKUP(A:A,[1]TDSheet!$A:$R,18,0)</f>
        <v>50</v>
      </c>
      <c r="AB99" s="21">
        <f>VLOOKUP(A:A,[1]TDSheet!$A:$AB,28,0)</f>
        <v>0</v>
      </c>
      <c r="AC99" s="21">
        <f t="shared" si="12"/>
        <v>16.32</v>
      </c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</row>
    <row r="100" spans="1:57" ht="11.1" customHeight="1">
      <c r="A100" s="18" t="s">
        <v>126</v>
      </c>
      <c r="B100" s="18" t="s">
        <v>36</v>
      </c>
      <c r="C100" s="18">
        <f>VLOOKUP(A:A,[1]TDSheet!$A:$C,3,0)</f>
        <v>7461</v>
      </c>
      <c r="D100" s="19">
        <v>280</v>
      </c>
      <c r="E100" s="19">
        <v>2</v>
      </c>
      <c r="F100" s="19">
        <v>118</v>
      </c>
      <c r="G100" s="19">
        <v>128</v>
      </c>
      <c r="H100" s="20">
        <f>VLOOKUP(A:A,[1]TDSheet!$A:$H,8,0)</f>
        <v>0.12</v>
      </c>
      <c r="I100" s="21">
        <f>VLOOKUP(A:A,[1]TDSheet!$A:$I,9,0)</f>
        <v>0</v>
      </c>
      <c r="J100" s="21" t="e">
        <f>VLOOKUP(A:A,[1]TDSheet!$A:$J,10,0)</f>
        <v>#N/A</v>
      </c>
      <c r="K100" s="21"/>
      <c r="L100" s="21">
        <f>VLOOKUP(A:A,[2]TDSheet!$A:$B,2,0)</f>
        <v>109</v>
      </c>
      <c r="M100" s="21">
        <f t="shared" si="8"/>
        <v>9</v>
      </c>
      <c r="N100" s="21"/>
      <c r="O100" s="21"/>
      <c r="P100" s="21">
        <f>VLOOKUP(A:A,[1]TDSheet!$A:$S,19,0)</f>
        <v>0</v>
      </c>
      <c r="Q100" s="21">
        <v>0</v>
      </c>
      <c r="R100" s="21">
        <f t="shared" si="9"/>
        <v>23.6</v>
      </c>
      <c r="S100" s="22">
        <f t="shared" si="13"/>
        <v>202.40000000000003</v>
      </c>
      <c r="T100" s="22">
        <v>202</v>
      </c>
      <c r="U100" s="21"/>
      <c r="V100" s="21">
        <f t="shared" si="10"/>
        <v>14</v>
      </c>
      <c r="W100" s="21">
        <f t="shared" si="11"/>
        <v>5.4237288135593218</v>
      </c>
      <c r="X100" s="21">
        <f>VLOOKUP(A:A,[1]TDSheet!$A:$Y,25,0)</f>
        <v>7.4</v>
      </c>
      <c r="Y100" s="21">
        <f>VLOOKUP(A:A,[1]TDSheet!$A:$Z,26,0)</f>
        <v>25</v>
      </c>
      <c r="Z100" s="21">
        <f>VLOOKUP(A:A,[1]TDSheet!$A:$AA,27,0)</f>
        <v>24.6</v>
      </c>
      <c r="AA100" s="21">
        <f>VLOOKUP(A:A,[1]TDSheet!$A:$R,18,0)</f>
        <v>6</v>
      </c>
      <c r="AB100" s="21">
        <f>VLOOKUP(A:A,[1]TDSheet!$A:$AB,28,0)</f>
        <v>0</v>
      </c>
      <c r="AC100" s="21">
        <f t="shared" si="12"/>
        <v>24.288000000000004</v>
      </c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</row>
    <row r="101" spans="1:57" ht="11.1" customHeight="1">
      <c r="A101" s="18" t="s">
        <v>127</v>
      </c>
      <c r="B101" s="18" t="s">
        <v>36</v>
      </c>
      <c r="C101" s="18">
        <f>VLOOKUP(A:A,[1]TDSheet!$A:$C,3,0)</f>
        <v>7523</v>
      </c>
      <c r="D101" s="19">
        <v>-2</v>
      </c>
      <c r="E101" s="19"/>
      <c r="F101" s="19">
        <v>0</v>
      </c>
      <c r="G101" s="19">
        <v>-2</v>
      </c>
      <c r="H101" s="20">
        <f>VLOOKUP(A:A,[1]TDSheet!$A:$H,8,0)</f>
        <v>0.4</v>
      </c>
      <c r="I101" s="21">
        <f>VLOOKUP(A:A,[1]TDSheet!$A:$I,9,0)</f>
        <v>0</v>
      </c>
      <c r="J101" s="21" t="e">
        <f>VLOOKUP(A:A,[1]TDSheet!$A:$J,10,0)</f>
        <v>#VALUE!</v>
      </c>
      <c r="K101" s="21"/>
      <c r="L101" s="21">
        <f>VLOOKUP(A:A,[2]TDSheet!$A:$B,2,0)</f>
        <v>4</v>
      </c>
      <c r="M101" s="21">
        <f t="shared" si="8"/>
        <v>-4</v>
      </c>
      <c r="N101" s="21"/>
      <c r="O101" s="21"/>
      <c r="P101" s="21">
        <f>VLOOKUP(A:A,[1]TDSheet!$A:$S,19,0)</f>
        <v>0</v>
      </c>
      <c r="Q101" s="21">
        <v>0</v>
      </c>
      <c r="R101" s="21">
        <f t="shared" si="9"/>
        <v>0</v>
      </c>
      <c r="S101" s="22"/>
      <c r="T101" s="22"/>
      <c r="U101" s="21"/>
      <c r="V101" s="21" t="e">
        <f t="shared" si="10"/>
        <v>#DIV/0!</v>
      </c>
      <c r="W101" s="21" t="e">
        <f t="shared" si="11"/>
        <v>#DIV/0!</v>
      </c>
      <c r="X101" s="21">
        <f>VLOOKUP(A:A,[1]TDSheet!$A:$Y,25,0)</f>
        <v>7</v>
      </c>
      <c r="Y101" s="21">
        <f>VLOOKUP(A:A,[1]TDSheet!$A:$Z,26,0)</f>
        <v>5.6</v>
      </c>
      <c r="Z101" s="21">
        <f>VLOOKUP(A:A,[1]TDSheet!$A:$AA,27,0)</f>
        <v>10.4</v>
      </c>
      <c r="AA101" s="21">
        <f>VLOOKUP(A:A,[1]TDSheet!$A:$R,18,0)</f>
        <v>7.2</v>
      </c>
      <c r="AB101" s="21">
        <f>VLOOKUP(A:A,[1]TDSheet!$A:$AB,28,0)</f>
        <v>0</v>
      </c>
      <c r="AC101" s="21">
        <f t="shared" si="12"/>
        <v>0</v>
      </c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</row>
    <row r="102" spans="1:57" ht="11.1" customHeight="1">
      <c r="A102" s="18" t="s">
        <v>128</v>
      </c>
      <c r="B102" s="18" t="s">
        <v>36</v>
      </c>
      <c r="C102" s="18">
        <f>VLOOKUP(A:A,[1]TDSheet!$A:$C,3,0)</f>
        <v>7539</v>
      </c>
      <c r="D102" s="19">
        <v>17</v>
      </c>
      <c r="E102" s="19"/>
      <c r="F102" s="19">
        <v>10</v>
      </c>
      <c r="G102" s="19">
        <v>7</v>
      </c>
      <c r="H102" s="20">
        <f>VLOOKUP(A:A,[1]TDSheet!$A:$H,8,0)</f>
        <v>0.35</v>
      </c>
      <c r="I102" s="21">
        <f>VLOOKUP(A:A,[1]TDSheet!$A:$I,9,0)</f>
        <v>0</v>
      </c>
      <c r="J102" s="21" t="e">
        <f>VLOOKUP(A:A,[1]TDSheet!$A:$J,10,0)</f>
        <v>#VALUE!</v>
      </c>
      <c r="K102" s="21"/>
      <c r="L102" s="21">
        <f>VLOOKUP(A:A,[2]TDSheet!$A:$B,2,0)</f>
        <v>61</v>
      </c>
      <c r="M102" s="21">
        <f t="shared" si="8"/>
        <v>-51</v>
      </c>
      <c r="N102" s="21"/>
      <c r="O102" s="21"/>
      <c r="P102" s="21">
        <f>VLOOKUP(A:A,[1]TDSheet!$A:$S,19,0)</f>
        <v>110</v>
      </c>
      <c r="Q102" s="21">
        <v>110</v>
      </c>
      <c r="R102" s="21">
        <f t="shared" si="9"/>
        <v>2</v>
      </c>
      <c r="S102" s="22"/>
      <c r="T102" s="22">
        <v>50</v>
      </c>
      <c r="U102" s="21"/>
      <c r="V102" s="21">
        <f t="shared" si="10"/>
        <v>113.5</v>
      </c>
      <c r="W102" s="21">
        <f t="shared" si="11"/>
        <v>3.5</v>
      </c>
      <c r="X102" s="21">
        <f>VLOOKUP(A:A,[1]TDSheet!$A:$Y,25,0)</f>
        <v>5.4</v>
      </c>
      <c r="Y102" s="21">
        <f>VLOOKUP(A:A,[1]TDSheet!$A:$Z,26,0)</f>
        <v>6.8</v>
      </c>
      <c r="Z102" s="21">
        <f>VLOOKUP(A:A,[1]TDSheet!$A:$AA,27,0)</f>
        <v>9.1999999999999993</v>
      </c>
      <c r="AA102" s="21">
        <f>VLOOKUP(A:A,[1]TDSheet!$A:$R,18,0)</f>
        <v>11.4</v>
      </c>
      <c r="AB102" s="21">
        <f>VLOOKUP(A:A,[1]TDSheet!$A:$AB,28,0)</f>
        <v>0</v>
      </c>
      <c r="AC102" s="21">
        <f t="shared" si="12"/>
        <v>0</v>
      </c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</row>
    <row r="103" spans="1:57" ht="11.1" customHeight="1">
      <c r="A103" s="18" t="s">
        <v>129</v>
      </c>
      <c r="B103" s="18" t="s">
        <v>36</v>
      </c>
      <c r="C103" s="18">
        <f>VLOOKUP(A:A,[1]TDSheet!$A:$C,3,0)</f>
        <v>7603</v>
      </c>
      <c r="D103" s="19">
        <v>96</v>
      </c>
      <c r="E103" s="19">
        <v>1</v>
      </c>
      <c r="F103" s="19">
        <v>61</v>
      </c>
      <c r="G103" s="19">
        <v>27</v>
      </c>
      <c r="H103" s="20">
        <f>VLOOKUP(A:A,[1]TDSheet!$A:$H,8,0)</f>
        <v>0.33</v>
      </c>
      <c r="I103" s="21" t="e">
        <f>VLOOKUP(A:A,[1]TDSheet!$A:$I,9,0)</f>
        <v>#N/A</v>
      </c>
      <c r="J103" s="21" t="e">
        <f>VLOOKUP(A:A,[1]TDSheet!$A:$J,10,0)</f>
        <v>#N/A</v>
      </c>
      <c r="K103" s="21"/>
      <c r="L103" s="21">
        <f>VLOOKUP(A:A,[2]TDSheet!$A:$B,2,0)</f>
        <v>61</v>
      </c>
      <c r="M103" s="21">
        <f t="shared" si="8"/>
        <v>0</v>
      </c>
      <c r="N103" s="21"/>
      <c r="O103" s="21"/>
      <c r="P103" s="21">
        <f>VLOOKUP(A:A,[1]TDSheet!$A:$S,19,0)</f>
        <v>0</v>
      </c>
      <c r="Q103" s="21">
        <v>0</v>
      </c>
      <c r="R103" s="21">
        <f t="shared" si="9"/>
        <v>12.2</v>
      </c>
      <c r="S103" s="22">
        <f t="shared" si="13"/>
        <v>143.79999999999998</v>
      </c>
      <c r="T103" s="22">
        <v>144</v>
      </c>
      <c r="U103" s="21"/>
      <c r="V103" s="21">
        <f t="shared" si="10"/>
        <v>14</v>
      </c>
      <c r="W103" s="21">
        <f t="shared" si="11"/>
        <v>2.2131147540983607</v>
      </c>
      <c r="X103" s="21">
        <f>VLOOKUP(A:A,[1]TDSheet!$A:$Y,25,0)</f>
        <v>0</v>
      </c>
      <c r="Y103" s="21">
        <f>VLOOKUP(A:A,[1]TDSheet!$A:$Z,26,0)</f>
        <v>0</v>
      </c>
      <c r="Z103" s="21">
        <f>VLOOKUP(A:A,[1]TDSheet!$A:$AA,27,0)</f>
        <v>0</v>
      </c>
      <c r="AA103" s="21">
        <f>VLOOKUP(A:A,[1]TDSheet!$A:$R,18,0)</f>
        <v>0</v>
      </c>
      <c r="AB103" s="21" t="e">
        <f>VLOOKUP(A:A,[1]TDSheet!$A:$AB,28,0)</f>
        <v>#N/A</v>
      </c>
      <c r="AC103" s="21">
        <f t="shared" si="12"/>
        <v>47.453999999999994</v>
      </c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</row>
    <row r="104" spans="1:57" ht="11.1" customHeight="1">
      <c r="A104" s="28" t="s">
        <v>130</v>
      </c>
      <c r="B104" s="28" t="s">
        <v>36</v>
      </c>
      <c r="C104" s="28">
        <f>VLOOKUP(A:A,[1]TDSheet!$A:$C,3,0)</f>
        <v>0</v>
      </c>
      <c r="D104" s="29">
        <v>29</v>
      </c>
      <c r="E104" s="29"/>
      <c r="F104" s="29">
        <v>14</v>
      </c>
      <c r="G104" s="29">
        <v>15</v>
      </c>
      <c r="H104" s="30">
        <f>VLOOKUP(A:A,[1]TDSheet!$A:$H,8,0)</f>
        <v>0</v>
      </c>
      <c r="I104" s="31">
        <f>VLOOKUP(A:A,[1]TDSheet!$A:$I,9,0)</f>
        <v>0</v>
      </c>
      <c r="J104" s="31">
        <f>VLOOKUP(A:A,[1]TDSheet!$A:$J,10,0)</f>
        <v>0</v>
      </c>
      <c r="K104" s="21"/>
      <c r="L104" s="21">
        <f>VLOOKUP(A:A,[2]TDSheet!$A:$B,2,0)</f>
        <v>14</v>
      </c>
      <c r="M104" s="21">
        <f t="shared" si="8"/>
        <v>0</v>
      </c>
      <c r="N104" s="21"/>
      <c r="O104" s="21"/>
      <c r="P104" s="21">
        <f>VLOOKUP(A:A,[1]TDSheet!$A:$S,19,0)</f>
        <v>0</v>
      </c>
      <c r="Q104" s="21">
        <v>0</v>
      </c>
      <c r="R104" s="21">
        <f t="shared" si="9"/>
        <v>2.8</v>
      </c>
      <c r="S104" s="22">
        <f t="shared" si="13"/>
        <v>24.199999999999996</v>
      </c>
      <c r="T104" s="22"/>
      <c r="U104" s="21"/>
      <c r="V104" s="21">
        <f t="shared" si="10"/>
        <v>14</v>
      </c>
      <c r="W104" s="21">
        <f t="shared" si="11"/>
        <v>5.3571428571428577</v>
      </c>
      <c r="X104" s="21">
        <f>VLOOKUP(A:A,[1]TDSheet!$A:$Y,25,0)</f>
        <v>3.2</v>
      </c>
      <c r="Y104" s="21">
        <f>VLOOKUP(A:A,[1]TDSheet!$A:$Z,26,0)</f>
        <v>2.2000000000000002</v>
      </c>
      <c r="Z104" s="21">
        <f>VLOOKUP(A:A,[1]TDSheet!$A:$AA,27,0)</f>
        <v>0</v>
      </c>
      <c r="AA104" s="21">
        <f>VLOOKUP(A:A,[1]TDSheet!$A:$R,18,0)</f>
        <v>0</v>
      </c>
      <c r="AB104" s="21">
        <f>VLOOKUP(A:A,[1]TDSheet!$A:$AB,28,0)</f>
        <v>0</v>
      </c>
      <c r="AC104" s="21">
        <f t="shared" si="12"/>
        <v>0</v>
      </c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</row>
    <row r="105" spans="1:57" ht="11.1" customHeight="1">
      <c r="A105" s="28" t="s">
        <v>131</v>
      </c>
      <c r="B105" s="28" t="s">
        <v>38</v>
      </c>
      <c r="C105" s="28">
        <f>VLOOKUP(A:A,[1]TDSheet!$A:$C,3,0)</f>
        <v>0</v>
      </c>
      <c r="D105" s="29">
        <v>100</v>
      </c>
      <c r="E105" s="29"/>
      <c r="F105" s="29">
        <v>0</v>
      </c>
      <c r="G105" s="29">
        <v>100</v>
      </c>
      <c r="H105" s="30">
        <f>VLOOKUP(A:A,[1]TDSheet!$A:$H,8,0)</f>
        <v>0</v>
      </c>
      <c r="I105" s="31" t="e">
        <f>VLOOKUP(A:A,[1]TDSheet!$A:$I,9,0)</f>
        <v>#N/A</v>
      </c>
      <c r="J105" s="31" t="e">
        <f>VLOOKUP(A:A,[1]TDSheet!$A:$J,10,0)</f>
        <v>#N/A</v>
      </c>
      <c r="K105" s="21"/>
      <c r="L105" s="21">
        <v>0</v>
      </c>
      <c r="M105" s="21">
        <f t="shared" si="8"/>
        <v>0</v>
      </c>
      <c r="N105" s="21"/>
      <c r="O105" s="21"/>
      <c r="P105" s="21">
        <f>VLOOKUP(A:A,[1]TDSheet!$A:$S,19,0)</f>
        <v>0</v>
      </c>
      <c r="Q105" s="21">
        <v>0</v>
      </c>
      <c r="R105" s="21">
        <f t="shared" si="9"/>
        <v>0</v>
      </c>
      <c r="S105" s="22"/>
      <c r="T105" s="22"/>
      <c r="U105" s="21"/>
      <c r="V105" s="21" t="e">
        <f t="shared" si="10"/>
        <v>#DIV/0!</v>
      </c>
      <c r="W105" s="21" t="e">
        <f t="shared" si="11"/>
        <v>#DIV/0!</v>
      </c>
      <c r="X105" s="21">
        <f>VLOOKUP(A:A,[1]TDSheet!$A:$Y,25,0)</f>
        <v>0</v>
      </c>
      <c r="Y105" s="21">
        <f>VLOOKUP(A:A,[1]TDSheet!$A:$Z,26,0)</f>
        <v>0</v>
      </c>
      <c r="Z105" s="21">
        <f>VLOOKUP(A:A,[1]TDSheet!$A:$AA,27,0)</f>
        <v>0</v>
      </c>
      <c r="AA105" s="21">
        <f>VLOOKUP(A:A,[1]TDSheet!$A:$R,18,0)</f>
        <v>0</v>
      </c>
      <c r="AB105" s="21" t="e">
        <f>VLOOKUP(A:A,[1]TDSheet!$A:$AB,28,0)</f>
        <v>#N/A</v>
      </c>
      <c r="AC105" s="21">
        <f t="shared" si="12"/>
        <v>0</v>
      </c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</row>
    <row r="106" spans="1:57" ht="11.4" customHeight="1">
      <c r="D106" s="32"/>
      <c r="E106" s="32"/>
      <c r="F106" s="32"/>
      <c r="G106" s="32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</row>
    <row r="107" spans="1:57" ht="11.4" customHeight="1">
      <c r="D107" s="32"/>
      <c r="E107" s="32"/>
      <c r="F107" s="32"/>
      <c r="G107" s="32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  <c r="AV107" s="21"/>
      <c r="AW107" s="21"/>
      <c r="AX107" s="21"/>
      <c r="AY107" s="21"/>
      <c r="AZ107" s="21"/>
      <c r="BA107" s="21"/>
      <c r="BB107" s="21"/>
      <c r="BC107" s="21"/>
      <c r="BD107" s="21"/>
      <c r="BE107" s="21"/>
    </row>
    <row r="108" spans="1:57" ht="11.4" customHeight="1">
      <c r="D108" s="32"/>
      <c r="E108" s="32"/>
      <c r="F108" s="32"/>
      <c r="G108" s="32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  <c r="AV108" s="21"/>
      <c r="AW108" s="21"/>
      <c r="AX108" s="21"/>
      <c r="AY108" s="21"/>
      <c r="AZ108" s="21"/>
      <c r="BA108" s="21"/>
      <c r="BB108" s="21"/>
      <c r="BC108" s="21"/>
      <c r="BD108" s="21"/>
      <c r="BE108" s="21"/>
    </row>
  </sheetData>
  <autoFilter ref="A10:J105"/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2026-06-23T06:20:56Z</dcterms:created>
  <dcterms:modified xsi:type="dcterms:W3CDTF">2026-06-23T09:20:12Z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4C8D48F0B7344AEA87AF2DFF6F4449C3_12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