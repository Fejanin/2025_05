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394B18F-0C9E-4E09-9EFA-18BB57EAA2B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Q7" i="1"/>
  <c r="AC7" i="1" s="1"/>
  <c r="Q8" i="1"/>
  <c r="AC8" i="1" s="1"/>
  <c r="Q9" i="1"/>
  <c r="AC9" i="1" s="1"/>
  <c r="Q10" i="1"/>
  <c r="AC10" i="1" s="1"/>
  <c r="Q11" i="1"/>
  <c r="Q12" i="1"/>
  <c r="AC12" i="1" s="1"/>
  <c r="Q13" i="1"/>
  <c r="AC13" i="1" s="1"/>
  <c r="Q14" i="1"/>
  <c r="Q15" i="1"/>
  <c r="Q16" i="1"/>
  <c r="Q17" i="1"/>
  <c r="Q18" i="1"/>
  <c r="Q19" i="1"/>
  <c r="AC19" i="1" s="1"/>
  <c r="Q20" i="1"/>
  <c r="AC20" i="1" s="1"/>
  <c r="Q21" i="1"/>
  <c r="AC21" i="1" s="1"/>
  <c r="Q22" i="1"/>
  <c r="Q23" i="1"/>
  <c r="AC23" i="1" s="1"/>
  <c r="Q24" i="1"/>
  <c r="Q25" i="1"/>
  <c r="AC25" i="1" s="1"/>
  <c r="Q26" i="1"/>
  <c r="AC26" i="1" s="1"/>
  <c r="Q27" i="1"/>
  <c r="AC27" i="1" s="1"/>
  <c r="Q28" i="1"/>
  <c r="AC28" i="1" s="1"/>
  <c r="Q29" i="1"/>
  <c r="AC29" i="1" s="1"/>
  <c r="Q30" i="1"/>
  <c r="AC30" i="1" s="1"/>
  <c r="Q31" i="1"/>
  <c r="Q32" i="1"/>
  <c r="AC32" i="1" s="1"/>
  <c r="Q33" i="1"/>
  <c r="Q34" i="1"/>
  <c r="Q35" i="1"/>
  <c r="AC35" i="1" s="1"/>
  <c r="Q36" i="1"/>
  <c r="AC36" i="1" s="1"/>
  <c r="Q37" i="1"/>
  <c r="Q38" i="1"/>
  <c r="AC38" i="1" s="1"/>
  <c r="Q39" i="1"/>
  <c r="Q40" i="1"/>
  <c r="Q41" i="1"/>
  <c r="Q42" i="1"/>
  <c r="Q43" i="1"/>
  <c r="Q44" i="1"/>
  <c r="AC44" i="1" s="1"/>
  <c r="Q6" i="1"/>
  <c r="AC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W44" i="1"/>
  <c r="X44" i="1"/>
  <c r="Y44" i="1"/>
  <c r="Z44" i="1"/>
  <c r="AA4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V21" i="1" s="1"/>
  <c r="O22" i="1"/>
  <c r="O23" i="1"/>
  <c r="O24" i="1"/>
  <c r="O25" i="1"/>
  <c r="V25" i="1" s="1"/>
  <c r="O26" i="1"/>
  <c r="V26" i="1" s="1"/>
  <c r="O27" i="1"/>
  <c r="V27" i="1" s="1"/>
  <c r="O28" i="1"/>
  <c r="O29" i="1"/>
  <c r="O30" i="1"/>
  <c r="V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AA6" i="1"/>
  <c r="Z6" i="1"/>
  <c r="Y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6" i="1"/>
  <c r="V28" i="1" l="1"/>
  <c r="U21" i="1"/>
  <c r="U25" i="1"/>
  <c r="U26" i="1"/>
  <c r="U27" i="1"/>
  <c r="U28" i="1"/>
  <c r="U30" i="1"/>
  <c r="R34" i="1"/>
  <c r="AC34" i="1" s="1"/>
  <c r="V6" i="1"/>
  <c r="AC24" i="1"/>
  <c r="R43" i="1"/>
  <c r="AC43" i="1" s="1"/>
  <c r="R42" i="1"/>
  <c r="AC42" i="1" s="1"/>
  <c r="R22" i="1"/>
  <c r="AC22" i="1" s="1"/>
  <c r="R41" i="1"/>
  <c r="AC41" i="1" s="1"/>
  <c r="AC40" i="1"/>
  <c r="AC39" i="1"/>
  <c r="R18" i="1"/>
  <c r="AC18" i="1" s="1"/>
  <c r="R37" i="1"/>
  <c r="AC37" i="1" s="1"/>
  <c r="R17" i="1"/>
  <c r="AC17" i="1" s="1"/>
  <c r="AC16" i="1"/>
  <c r="AC15" i="1"/>
  <c r="AC14" i="1"/>
  <c r="R33" i="1"/>
  <c r="AC33" i="1" s="1"/>
  <c r="AC31" i="1"/>
  <c r="R11" i="1"/>
  <c r="AC11" i="1" s="1"/>
  <c r="U44" i="1"/>
  <c r="U19" i="1"/>
  <c r="U38" i="1"/>
  <c r="U36" i="1"/>
  <c r="U35" i="1"/>
  <c r="U10" i="1"/>
  <c r="U8" i="1"/>
  <c r="U7" i="1"/>
  <c r="U23" i="1"/>
  <c r="U13" i="1"/>
  <c r="U32" i="1"/>
  <c r="U12" i="1"/>
  <c r="U29" i="1"/>
  <c r="U9" i="1"/>
  <c r="V36" i="1"/>
  <c r="U20" i="1"/>
  <c r="V16" i="1"/>
  <c r="U6" i="1"/>
  <c r="V35" i="1"/>
  <c r="V15" i="1"/>
  <c r="V44" i="1"/>
  <c r="V34" i="1"/>
  <c r="V24" i="1"/>
  <c r="V14" i="1"/>
  <c r="V43" i="1"/>
  <c r="V33" i="1"/>
  <c r="V23" i="1"/>
  <c r="V13" i="1"/>
  <c r="V42" i="1"/>
  <c r="V32" i="1"/>
  <c r="V22" i="1"/>
  <c r="V12" i="1"/>
  <c r="V41" i="1"/>
  <c r="V31" i="1"/>
  <c r="V11" i="1"/>
  <c r="V40" i="1"/>
  <c r="V20" i="1"/>
  <c r="V10" i="1"/>
  <c r="V39" i="1"/>
  <c r="V29" i="1"/>
  <c r="V19" i="1"/>
  <c r="V9" i="1"/>
  <c r="V38" i="1"/>
  <c r="V18" i="1"/>
  <c r="V8" i="1"/>
  <c r="V37" i="1"/>
  <c r="V17" i="1"/>
  <c r="V7" i="1"/>
  <c r="F5" i="1"/>
  <c r="S5" i="1"/>
  <c r="N5" i="1"/>
  <c r="M5" i="1"/>
  <c r="K5" i="1"/>
  <c r="U43" i="1" l="1"/>
  <c r="U40" i="1"/>
  <c r="U42" i="1"/>
  <c r="U41" i="1"/>
  <c r="U39" i="1"/>
  <c r="U24" i="1"/>
  <c r="U22" i="1"/>
  <c r="U14" i="1"/>
  <c r="U34" i="1"/>
  <c r="U11" i="1"/>
  <c r="U31" i="1"/>
  <c r="U15" i="1"/>
  <c r="U16" i="1"/>
  <c r="U33" i="1"/>
  <c r="U17" i="1"/>
  <c r="U37" i="1"/>
  <c r="U18" i="1"/>
  <c r="Q5" i="1"/>
  <c r="Z5" i="1"/>
  <c r="AA5" i="1"/>
  <c r="E5" i="1"/>
  <c r="X5" i="1"/>
  <c r="Y5" i="1"/>
  <c r="O5" i="1"/>
  <c r="W5" i="1"/>
  <c r="R5" i="1" l="1"/>
  <c r="AC5" i="1"/>
  <c r="L5" i="1"/>
</calcChain>
</file>

<file path=xl/sharedStrings.xml><?xml version="1.0" encoding="utf-8"?>
<sst xmlns="http://schemas.openxmlformats.org/spreadsheetml/2006/main" count="130" uniqueCount="75">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</sst>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3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S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1087.8388</v>
      </c>
      <c r="S5" s="4">
        <f t="shared" si="0"/>
        <v>907</v>
      </c>
      <c r="T5" s="1"/>
      <c r="U5" s="1"/>
      <c r="V5" s="1"/>
      <c r="W5" s="4">
        <f>SUM(W6:W401)</f>
        <v>611.33759999999984</v>
      </c>
      <c r="X5" s="4">
        <f>SUM(X6:X401)</f>
        <v>375.51</v>
      </c>
      <c r="Y5" s="4">
        <f>SUM(Y6:Y401)</f>
        <v>391.67239999999998</v>
      </c>
      <c r="Z5" s="4">
        <f>SUM(Z6:Z401)</f>
        <v>516.0128000000002</v>
      </c>
      <c r="AA5" s="4">
        <f>SUM(AA6:AA401)</f>
        <v>429.01400000000007</v>
      </c>
      <c r="AB5" s="1"/>
      <c r="AC5" s="4">
        <f>SUM(AC6:AC401)</f>
        <v>400.77479999999997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/>
      <c r="T6" s="1"/>
      <c r="U6" s="1">
        <f>(F6+O6+R6)/Q6</f>
        <v>22.963703522803591</v>
      </c>
      <c r="V6" s="1">
        <f>(F6+O6)/Q6</f>
        <v>22.963703522803591</v>
      </c>
      <c r="W6" s="1">
        <f>VLOOKUP(A6,[2]TDSheet!$A:$AB,16,0)</f>
        <v>10.0276</v>
      </c>
      <c r="X6" s="1">
        <f>VLOOKUP(A6,[2]TDSheet!$A:$AB,28,0)</f>
        <v>4.4912000000000001</v>
      </c>
      <c r="Y6" s="1">
        <f>VLOOKUP(A6,[2]TDSheet!$A:$AB,27,0)</f>
        <v>5.9976000000000003</v>
      </c>
      <c r="Z6" s="1">
        <f>VLOOKUP(A6,[2]TDSheet!$A:$AB,26,0)</f>
        <v>6.2723999999999993</v>
      </c>
      <c r="AA6" s="1">
        <f>VLOOKUP(A6,[2]TDSheet!$A:$AB,25,0)</f>
        <v>4.0884</v>
      </c>
      <c r="AB6" s="1"/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2">E7-K7</f>
        <v>-4</v>
      </c>
      <c r="M7" s="1"/>
      <c r="N7" s="1"/>
      <c r="O7" s="1">
        <f>VLOOKUP(A7,[2]TDSheet!$A:$R,18,0)</f>
        <v>0</v>
      </c>
      <c r="P7" s="1"/>
      <c r="Q7" s="1">
        <f t="shared" ref="Q7:Q44" si="3">E7/5</f>
        <v>1.8</v>
      </c>
      <c r="R7" s="10"/>
      <c r="S7" s="10"/>
      <c r="T7" s="1"/>
      <c r="U7" s="1">
        <f t="shared" ref="U7:U44" si="4">(F7+O7+R7)/Q7</f>
        <v>50</v>
      </c>
      <c r="V7" s="1">
        <f t="shared" ref="V7:V44" si="5">(F7+O7)/Q7</f>
        <v>50</v>
      </c>
      <c r="W7" s="1">
        <f>VLOOKUP(A7,[2]TDSheet!$A:$AB,16,0)</f>
        <v>0.4</v>
      </c>
      <c r="X7" s="1">
        <f>VLOOKUP(A7,[2]TDSheet!$A:$AB,28,0)</f>
        <v>0.6</v>
      </c>
      <c r="Y7" s="1">
        <f>VLOOKUP(A7,[2]TDSheet!$A:$AB,27,0)</f>
        <v>2.6</v>
      </c>
      <c r="Z7" s="1">
        <f>VLOOKUP(A7,[2]TDSheet!$A:$AB,26,0)</f>
        <v>4.2</v>
      </c>
      <c r="AA7" s="1">
        <f>VLOOKUP(A7,[2]TDSheet!$A:$AB,25,0)</f>
        <v>2.4</v>
      </c>
      <c r="AB7" s="11" t="s">
        <v>72</v>
      </c>
      <c r="AC7" s="1">
        <f t="shared" ref="AC7:AC44" si="6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2"/>
        <v>-4</v>
      </c>
      <c r="M8" s="1"/>
      <c r="N8" s="1"/>
      <c r="O8" s="1">
        <f>VLOOKUP(A8,[2]TDSheet!$A:$R,18,0)</f>
        <v>0</v>
      </c>
      <c r="P8" s="1"/>
      <c r="Q8" s="1">
        <f t="shared" si="3"/>
        <v>2</v>
      </c>
      <c r="R8" s="10"/>
      <c r="S8" s="10"/>
      <c r="T8" s="1"/>
      <c r="U8" s="1">
        <f t="shared" si="4"/>
        <v>30</v>
      </c>
      <c r="V8" s="1">
        <f t="shared" si="5"/>
        <v>30</v>
      </c>
      <c r="W8" s="1">
        <f>VLOOKUP(A8,[2]TDSheet!$A:$AB,16,0)</f>
        <v>0.4</v>
      </c>
      <c r="X8" s="1">
        <f>VLOOKUP(A8,[2]TDSheet!$A:$AB,28,0)</f>
        <v>0.6</v>
      </c>
      <c r="Y8" s="1">
        <f>VLOOKUP(A8,[2]TDSheet!$A:$AB,27,0)</f>
        <v>2.6</v>
      </c>
      <c r="Z8" s="1">
        <f>VLOOKUP(A8,[2]TDSheet!$A:$AB,26,0)</f>
        <v>3.6</v>
      </c>
      <c r="AA8" s="1">
        <f>VLOOKUP(A8,[2]TDSheet!$A:$AB,25,0)</f>
        <v>1.4</v>
      </c>
      <c r="AB8" s="11" t="s">
        <v>72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2"/>
        <v>1.7420000000000009</v>
      </c>
      <c r="M9" s="1"/>
      <c r="N9" s="1"/>
      <c r="O9" s="1">
        <f>VLOOKUP(A9,[2]TDSheet!$A:$R,18,0)</f>
        <v>0</v>
      </c>
      <c r="P9" s="1"/>
      <c r="Q9" s="1">
        <f t="shared" si="3"/>
        <v>5.8715999999999999</v>
      </c>
      <c r="R9" s="10"/>
      <c r="S9" s="10"/>
      <c r="T9" s="1"/>
      <c r="U9" s="1">
        <f t="shared" si="4"/>
        <v>26.008243068328905</v>
      </c>
      <c r="V9" s="1">
        <f t="shared" si="5"/>
        <v>26.008243068328905</v>
      </c>
      <c r="W9" s="1">
        <f>VLOOKUP(A9,[2]TDSheet!$A:$AB,16,0)</f>
        <v>3.3479999999999999</v>
      </c>
      <c r="X9" s="1">
        <f>VLOOKUP(A9,[2]TDSheet!$A:$AB,28,0)</f>
        <v>2.6175999999999999</v>
      </c>
      <c r="Y9" s="1">
        <f>VLOOKUP(A9,[2]TDSheet!$A:$AB,27,0)</f>
        <v>0</v>
      </c>
      <c r="Z9" s="1">
        <f>VLOOKUP(A9,[2]TDSheet!$A:$AB,26,0)</f>
        <v>0</v>
      </c>
      <c r="AA9" s="1">
        <f>VLOOKUP(A9,[2]TDSheet!$A:$AB,25,0)</f>
        <v>0</v>
      </c>
      <c r="AB9" s="12" t="s">
        <v>73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2"/>
        <v>-2</v>
      </c>
      <c r="M10" s="1"/>
      <c r="N10" s="1"/>
      <c r="O10" s="1">
        <f>VLOOKUP(A10,[2]TDSheet!$A:$R,18,0)</f>
        <v>0</v>
      </c>
      <c r="P10" s="1"/>
      <c r="Q10" s="1">
        <f t="shared" si="3"/>
        <v>0</v>
      </c>
      <c r="R10" s="10"/>
      <c r="S10" s="10"/>
      <c r="T10" s="1"/>
      <c r="U10" s="1" t="e">
        <f t="shared" si="4"/>
        <v>#DIV/0!</v>
      </c>
      <c r="V10" s="1" t="e">
        <f t="shared" si="5"/>
        <v>#DIV/0!</v>
      </c>
      <c r="W10" s="1">
        <f>VLOOKUP(A10,[2]TDSheet!$A:$AB,16,0)</f>
        <v>0.6</v>
      </c>
      <c r="X10" s="1">
        <f>VLOOKUP(A10,[2]TDSheet!$A:$AB,28,0)</f>
        <v>0.2</v>
      </c>
      <c r="Y10" s="1">
        <f>VLOOKUP(A10,[2]TDSheet!$A:$AB,27,0)</f>
        <v>1</v>
      </c>
      <c r="Z10" s="1">
        <f>VLOOKUP(A10,[2]TDSheet!$A:$AB,26,0)</f>
        <v>0.4</v>
      </c>
      <c r="AA10" s="1">
        <f>VLOOKUP(A10,[2]TDSheet!$A:$AB,25,0)</f>
        <v>0</v>
      </c>
      <c r="AB10" s="11" t="s">
        <v>72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2"/>
        <v>-9</v>
      </c>
      <c r="M11" s="1"/>
      <c r="N11" s="1"/>
      <c r="O11" s="1">
        <f>VLOOKUP(A11,[2]TDSheet!$A:$R,18,0)</f>
        <v>0</v>
      </c>
      <c r="P11" s="1"/>
      <c r="Q11" s="1">
        <f t="shared" si="3"/>
        <v>29.8</v>
      </c>
      <c r="R11" s="10">
        <f t="shared" ref="R11:R43" si="7">20*Q11-O11-F11</f>
        <v>163</v>
      </c>
      <c r="S11" s="10">
        <v>100</v>
      </c>
      <c r="T11" s="1"/>
      <c r="U11" s="1">
        <f t="shared" si="4"/>
        <v>20</v>
      </c>
      <c r="V11" s="1">
        <f t="shared" si="5"/>
        <v>14.530201342281879</v>
      </c>
      <c r="W11" s="1">
        <f>VLOOKUP(A11,[2]TDSheet!$A:$AB,16,0)</f>
        <v>4.4000000000000004</v>
      </c>
      <c r="X11" s="1">
        <f>VLOOKUP(A11,[2]TDSheet!$A:$AB,28,0)</f>
        <v>10.4</v>
      </c>
      <c r="Y11" s="1">
        <f>VLOOKUP(A11,[2]TDSheet!$A:$AB,27,0)</f>
        <v>10.6</v>
      </c>
      <c r="Z11" s="1">
        <f>VLOOKUP(A11,[2]TDSheet!$A:$AB,26,0)</f>
        <v>10</v>
      </c>
      <c r="AA11" s="1">
        <f>VLOOKUP(A11,[2]TDSheet!$A:$AB,25,0)</f>
        <v>19.600000000000001</v>
      </c>
      <c r="AB11" s="1"/>
      <c r="AC11" s="1">
        <f t="shared" si="6"/>
        <v>60.636000000000003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2"/>
        <v>-8</v>
      </c>
      <c r="M12" s="1"/>
      <c r="N12" s="1"/>
      <c r="O12" s="1">
        <f>VLOOKUP(A12,[2]TDSheet!$A:$R,18,0)</f>
        <v>0</v>
      </c>
      <c r="P12" s="1"/>
      <c r="Q12" s="1">
        <f t="shared" si="3"/>
        <v>8.4</v>
      </c>
      <c r="R12" s="10"/>
      <c r="S12" s="10"/>
      <c r="T12" s="1"/>
      <c r="U12" s="1">
        <f t="shared" si="4"/>
        <v>52.261904761904759</v>
      </c>
      <c r="V12" s="1">
        <f t="shared" si="5"/>
        <v>52.261904761904759</v>
      </c>
      <c r="W12" s="1">
        <f>VLOOKUP(A12,[2]TDSheet!$A:$AB,16,0)</f>
        <v>3.2</v>
      </c>
      <c r="X12" s="1">
        <f>VLOOKUP(A12,[2]TDSheet!$A:$AB,28,0)</f>
        <v>2.4</v>
      </c>
      <c r="Y12" s="1">
        <f>VLOOKUP(A12,[2]TDSheet!$A:$AB,27,0)</f>
        <v>4.2</v>
      </c>
      <c r="Z12" s="1">
        <f>VLOOKUP(A12,[2]TDSheet!$A:$AB,26,0)</f>
        <v>4</v>
      </c>
      <c r="AA12" s="1">
        <f>VLOOKUP(A12,[2]TDSheet!$A:$AB,25,0)</f>
        <v>5</v>
      </c>
      <c r="AB12" s="11" t="s">
        <v>72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2"/>
        <v>-24</v>
      </c>
      <c r="M13" s="1"/>
      <c r="N13" s="1"/>
      <c r="O13" s="1">
        <f>VLOOKUP(A13,[2]TDSheet!$A:$R,18,0)</f>
        <v>0</v>
      </c>
      <c r="P13" s="1"/>
      <c r="Q13" s="1">
        <f t="shared" si="3"/>
        <v>42.8</v>
      </c>
      <c r="R13" s="10"/>
      <c r="S13" s="10"/>
      <c r="T13" s="1"/>
      <c r="U13" s="1">
        <f t="shared" si="4"/>
        <v>21.728971962616825</v>
      </c>
      <c r="V13" s="1">
        <f t="shared" si="5"/>
        <v>21.728971962616825</v>
      </c>
      <c r="W13" s="1">
        <f>VLOOKUP(A13,[2]TDSheet!$A:$AB,16,0)</f>
        <v>12</v>
      </c>
      <c r="X13" s="1">
        <f>VLOOKUP(A13,[2]TDSheet!$A:$AB,28,0)</f>
        <v>17</v>
      </c>
      <c r="Y13" s="1">
        <f>VLOOKUP(A13,[2]TDSheet!$A:$AB,27,0)</f>
        <v>16.399999999999999</v>
      </c>
      <c r="Z13" s="1">
        <f>VLOOKUP(A13,[2]TDSheet!$A:$AB,26,0)</f>
        <v>21.4</v>
      </c>
      <c r="AA13" s="1">
        <f>VLOOKUP(A13,[2]TDSheet!$A:$AB,25,0)</f>
        <v>60.6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2"/>
        <v>-18</v>
      </c>
      <c r="M14" s="1"/>
      <c r="N14" s="1"/>
      <c r="O14" s="1">
        <f>VLOOKUP(A14,[2]TDSheet!$A:$R,18,0)</f>
        <v>0</v>
      </c>
      <c r="P14" s="1"/>
      <c r="Q14" s="1">
        <f t="shared" si="3"/>
        <v>15.8</v>
      </c>
      <c r="R14" s="10"/>
      <c r="S14" s="10"/>
      <c r="T14" s="1"/>
      <c r="U14" s="1">
        <f t="shared" si="4"/>
        <v>16.645569620253163</v>
      </c>
      <c r="V14" s="1">
        <f t="shared" si="5"/>
        <v>16.645569620253163</v>
      </c>
      <c r="W14" s="1">
        <f>VLOOKUP(A14,[2]TDSheet!$A:$AB,16,0)</f>
        <v>7.2</v>
      </c>
      <c r="X14" s="1">
        <f>VLOOKUP(A14,[2]TDSheet!$A:$AB,28,0)</f>
        <v>9.6</v>
      </c>
      <c r="Y14" s="1">
        <f>VLOOKUP(A14,[2]TDSheet!$A:$AB,27,0)</f>
        <v>4.4000000000000004</v>
      </c>
      <c r="Z14" s="1">
        <f>VLOOKUP(A14,[2]TDSheet!$A:$AB,26,0)</f>
        <v>3.6</v>
      </c>
      <c r="AA14" s="1">
        <f>VLOOKUP(A14,[2]TDSheet!$A:$AB,25,0)</f>
        <v>13.2</v>
      </c>
      <c r="AB14" s="1"/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2"/>
        <v>-5</v>
      </c>
      <c r="M15" s="1"/>
      <c r="N15" s="1"/>
      <c r="O15" s="1">
        <f>VLOOKUP(A15,[2]TDSheet!$A:$R,18,0)</f>
        <v>0</v>
      </c>
      <c r="P15" s="1"/>
      <c r="Q15" s="1">
        <f t="shared" si="3"/>
        <v>9.1999999999999993</v>
      </c>
      <c r="R15" s="10"/>
      <c r="S15" s="10"/>
      <c r="T15" s="1"/>
      <c r="U15" s="1">
        <f t="shared" si="4"/>
        <v>6.1956521739130439</v>
      </c>
      <c r="V15" s="1">
        <f t="shared" si="5"/>
        <v>6.1956521739130439</v>
      </c>
      <c r="W15" s="1">
        <f>VLOOKUP(A15,[2]TDSheet!$A:$AB,16,0)</f>
        <v>7</v>
      </c>
      <c r="X15" s="1">
        <f>VLOOKUP(A15,[2]TDSheet!$A:$AB,28,0)</f>
        <v>6.4</v>
      </c>
      <c r="Y15" s="1">
        <f>VLOOKUP(A15,[2]TDSheet!$A:$AB,27,0)</f>
        <v>9.1999999999999993</v>
      </c>
      <c r="Z15" s="1">
        <f>VLOOKUP(A15,[2]TDSheet!$A:$AB,26,0)</f>
        <v>5.8</v>
      </c>
      <c r="AA15" s="1">
        <f>VLOOKUP(A15,[2]TDSheet!$A:$AB,25,0)</f>
        <v>7.2</v>
      </c>
      <c r="AB15" s="1"/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2"/>
        <v>-3</v>
      </c>
      <c r="M16" s="1"/>
      <c r="N16" s="1"/>
      <c r="O16" s="1">
        <f>VLOOKUP(A16,[2]TDSheet!$A:$R,18,0)</f>
        <v>0</v>
      </c>
      <c r="P16" s="1"/>
      <c r="Q16" s="1">
        <f t="shared" si="3"/>
        <v>9.6</v>
      </c>
      <c r="R16" s="10"/>
      <c r="S16" s="10"/>
      <c r="T16" s="1"/>
      <c r="U16" s="1">
        <f t="shared" si="4"/>
        <v>8.9583333333333339</v>
      </c>
      <c r="V16" s="1">
        <f t="shared" si="5"/>
        <v>8.9583333333333339</v>
      </c>
      <c r="W16" s="1">
        <f>VLOOKUP(A16,[2]TDSheet!$A:$AB,16,0)</f>
        <v>9</v>
      </c>
      <c r="X16" s="1">
        <f>VLOOKUP(A16,[2]TDSheet!$A:$AB,28,0)</f>
        <v>5.8</v>
      </c>
      <c r="Y16" s="1">
        <f>VLOOKUP(A16,[2]TDSheet!$A:$AB,27,0)</f>
        <v>7.8</v>
      </c>
      <c r="Z16" s="1">
        <f>VLOOKUP(A16,[2]TDSheet!$A:$AB,26,0)</f>
        <v>6.8</v>
      </c>
      <c r="AA16" s="1">
        <f>VLOOKUP(A16,[2]TDSheet!$A:$AB,25,0)</f>
        <v>7.6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2"/>
        <v>-18</v>
      </c>
      <c r="M17" s="1"/>
      <c r="N17" s="1"/>
      <c r="O17" s="1">
        <f>VLOOKUP(A17,[2]TDSheet!$A:$R,18,0)</f>
        <v>442</v>
      </c>
      <c r="P17" s="1"/>
      <c r="Q17" s="1">
        <f t="shared" si="3"/>
        <v>56.6</v>
      </c>
      <c r="R17" s="10">
        <f t="shared" si="7"/>
        <v>248</v>
      </c>
      <c r="S17" s="10">
        <v>200</v>
      </c>
      <c r="T17" s="1"/>
      <c r="U17" s="1">
        <f t="shared" si="4"/>
        <v>20</v>
      </c>
      <c r="V17" s="1">
        <f t="shared" si="5"/>
        <v>15.618374558303886</v>
      </c>
      <c r="W17" s="1">
        <f>VLOOKUP(A17,[2]TDSheet!$A:$AB,16,0)</f>
        <v>59</v>
      </c>
      <c r="X17" s="1">
        <f>VLOOKUP(A17,[2]TDSheet!$A:$AB,28,0)</f>
        <v>34.6</v>
      </c>
      <c r="Y17" s="1">
        <f>VLOOKUP(A17,[2]TDSheet!$A:$AB,27,0)</f>
        <v>34.799999999999997</v>
      </c>
      <c r="Z17" s="1">
        <f>VLOOKUP(A17,[2]TDSheet!$A:$AB,26,0)</f>
        <v>64.8</v>
      </c>
      <c r="AA17" s="1">
        <f>VLOOKUP(A17,[2]TDSheet!$A:$AB,25,0)</f>
        <v>33.200000000000003</v>
      </c>
      <c r="AB17" s="1"/>
      <c r="AC17" s="1">
        <f t="shared" si="6"/>
        <v>44.64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2"/>
        <v>-10</v>
      </c>
      <c r="M18" s="1"/>
      <c r="N18" s="1"/>
      <c r="O18" s="1">
        <f>VLOOKUP(A18,[2]TDSheet!$A:$R,18,0)</f>
        <v>0</v>
      </c>
      <c r="P18" s="1"/>
      <c r="Q18" s="1">
        <f t="shared" si="3"/>
        <v>18.8</v>
      </c>
      <c r="R18" s="10">
        <f t="shared" si="7"/>
        <v>27</v>
      </c>
      <c r="S18" s="10"/>
      <c r="T18" s="1"/>
      <c r="U18" s="1">
        <f t="shared" si="4"/>
        <v>20</v>
      </c>
      <c r="V18" s="1">
        <f t="shared" si="5"/>
        <v>18.563829787234042</v>
      </c>
      <c r="W18" s="1">
        <f>VLOOKUP(A18,[2]TDSheet!$A:$AB,16,0)</f>
        <v>28.6</v>
      </c>
      <c r="X18" s="1">
        <f>VLOOKUP(A18,[2]TDSheet!$A:$AB,28,0)</f>
        <v>11.4</v>
      </c>
      <c r="Y18" s="1">
        <f>VLOOKUP(A18,[2]TDSheet!$A:$AB,27,0)</f>
        <v>10.4</v>
      </c>
      <c r="Z18" s="1">
        <f>VLOOKUP(A18,[2]TDSheet!$A:$AB,26,0)</f>
        <v>37</v>
      </c>
      <c r="AA18" s="1">
        <f>VLOOKUP(A18,[2]TDSheet!$A:$AB,25,0)</f>
        <v>28.8</v>
      </c>
      <c r="AB18" s="1"/>
      <c r="AC18" s="1">
        <f t="shared" si="6"/>
        <v>4.8599999999999994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2"/>
        <v>-7</v>
      </c>
      <c r="M19" s="1"/>
      <c r="N19" s="1"/>
      <c r="O19" s="1">
        <f>VLOOKUP(A19,[2]TDSheet!$A:$R,18,0)</f>
        <v>0</v>
      </c>
      <c r="P19" s="1"/>
      <c r="Q19" s="1">
        <f t="shared" si="3"/>
        <v>1</v>
      </c>
      <c r="R19" s="10"/>
      <c r="S19" s="10"/>
      <c r="T19" s="1"/>
      <c r="U19" s="1">
        <f t="shared" si="4"/>
        <v>63</v>
      </c>
      <c r="V19" s="1">
        <f t="shared" si="5"/>
        <v>63</v>
      </c>
      <c r="W19" s="1">
        <f>VLOOKUP(A19,[2]TDSheet!$A:$AB,16,0)</f>
        <v>1.6</v>
      </c>
      <c r="X19" s="1">
        <f>VLOOKUP(A19,[2]TDSheet!$A:$AB,28,0)</f>
        <v>1</v>
      </c>
      <c r="Y19" s="1">
        <f>VLOOKUP(A19,[2]TDSheet!$A:$AB,27,0)</f>
        <v>0.2</v>
      </c>
      <c r="Z19" s="1">
        <f>VLOOKUP(A19,[2]TDSheet!$A:$AB,26,0)</f>
        <v>2.2000000000000002</v>
      </c>
      <c r="AA19" s="1">
        <f>VLOOKUP(A19,[2]TDSheet!$A:$AB,25,0)</f>
        <v>0.6</v>
      </c>
      <c r="AB19" s="11" t="s">
        <v>72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2"/>
        <v>-4</v>
      </c>
      <c r="M20" s="1"/>
      <c r="N20" s="1"/>
      <c r="O20" s="1">
        <f>VLOOKUP(A20,[2]TDSheet!$A:$R,18,0)</f>
        <v>0</v>
      </c>
      <c r="P20" s="1"/>
      <c r="Q20" s="1">
        <f t="shared" si="3"/>
        <v>0.8</v>
      </c>
      <c r="R20" s="10"/>
      <c r="S20" s="10"/>
      <c r="T20" s="1"/>
      <c r="U20" s="1">
        <f t="shared" si="4"/>
        <v>53.75</v>
      </c>
      <c r="V20" s="1">
        <f t="shared" si="5"/>
        <v>53.75</v>
      </c>
      <c r="W20" s="1">
        <f>VLOOKUP(A20,[2]TDSheet!$A:$AB,16,0)</f>
        <v>0.2</v>
      </c>
      <c r="X20" s="1">
        <f>VLOOKUP(A20,[2]TDSheet!$A:$AB,28,0)</f>
        <v>1.6</v>
      </c>
      <c r="Y20" s="1">
        <f>VLOOKUP(A20,[2]TDSheet!$A:$AB,27,0)</f>
        <v>2</v>
      </c>
      <c r="Z20" s="1">
        <f>VLOOKUP(A20,[2]TDSheet!$A:$AB,26,0)</f>
        <v>0.8</v>
      </c>
      <c r="AA20" s="1">
        <f>VLOOKUP(A20,[2]TDSheet!$A:$AB,25,0)</f>
        <v>3.2</v>
      </c>
      <c r="AB20" s="11" t="s">
        <v>72</v>
      </c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2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3"/>
        <v>5.8</v>
      </c>
      <c r="R21" s="10"/>
      <c r="S21" s="10">
        <v>80</v>
      </c>
      <c r="T21" s="1"/>
      <c r="U21" s="1">
        <f>(F21+O21+R21+P21)/Q21</f>
        <v>64.137931034482762</v>
      </c>
      <c r="V21" s="1">
        <f>(F21+O21+P21)/Q21</f>
        <v>64.137931034482762</v>
      </c>
      <c r="W21" s="1">
        <f>VLOOKUP(A21,[2]TDSheet!$A:$AB,16,0)</f>
        <v>5.4</v>
      </c>
      <c r="X21" s="1">
        <f>VLOOKUP(A21,[2]TDSheet!$A:$AB,28,0)</f>
        <v>8.4</v>
      </c>
      <c r="Y21" s="1">
        <f>VLOOKUP(A21,[2]TDSheet!$A:$AB,27,0)</f>
        <v>13.8</v>
      </c>
      <c r="Z21" s="1">
        <f>VLOOKUP(A21,[2]TDSheet!$A:$AB,26,0)</f>
        <v>5.4</v>
      </c>
      <c r="AA21" s="1">
        <f>VLOOKUP(A21,[2]TDSheet!$A:$AB,25,0)</f>
        <v>3.8</v>
      </c>
      <c r="AB21" s="11" t="s">
        <v>72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2"/>
        <v>-11</v>
      </c>
      <c r="M22" s="1"/>
      <c r="N22" s="1"/>
      <c r="O22" s="1">
        <f>VLOOKUP(A22,[2]TDSheet!$A:$R,18,0)</f>
        <v>100</v>
      </c>
      <c r="P22" s="1"/>
      <c r="Q22" s="1">
        <f t="shared" si="3"/>
        <v>21.4</v>
      </c>
      <c r="R22" s="10">
        <f t="shared" si="7"/>
        <v>198</v>
      </c>
      <c r="S22" s="10">
        <v>150</v>
      </c>
      <c r="T22" s="1"/>
      <c r="U22" s="1">
        <f t="shared" si="4"/>
        <v>20</v>
      </c>
      <c r="V22" s="1">
        <f t="shared" si="5"/>
        <v>10.747663551401869</v>
      </c>
      <c r="W22" s="1">
        <f>VLOOKUP(A22,[2]TDSheet!$A:$AB,16,0)</f>
        <v>19.600000000000001</v>
      </c>
      <c r="X22" s="1">
        <f>VLOOKUP(A22,[2]TDSheet!$A:$AB,28,0)</f>
        <v>23.2</v>
      </c>
      <c r="Y22" s="1">
        <f>VLOOKUP(A22,[2]TDSheet!$A:$AB,27,0)</f>
        <v>20</v>
      </c>
      <c r="Z22" s="1">
        <f>VLOOKUP(A22,[2]TDSheet!$A:$AB,26,0)</f>
        <v>20.399999999999999</v>
      </c>
      <c r="AA22" s="1">
        <f>VLOOKUP(A22,[2]TDSheet!$A:$AB,25,0)</f>
        <v>7.4</v>
      </c>
      <c r="AB22" s="1"/>
      <c r="AC22" s="1">
        <f t="shared" si="6"/>
        <v>19.8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2"/>
        <v>-84</v>
      </c>
      <c r="M23" s="1"/>
      <c r="N23" s="1"/>
      <c r="O23" s="1">
        <f>VLOOKUP(A23,[2]TDSheet!$A:$R,18,0)</f>
        <v>327</v>
      </c>
      <c r="P23" s="1"/>
      <c r="Q23" s="1">
        <f t="shared" si="3"/>
        <v>5.2</v>
      </c>
      <c r="R23" s="10"/>
      <c r="S23" s="10"/>
      <c r="T23" s="1"/>
      <c r="U23" s="1">
        <f t="shared" si="4"/>
        <v>62.88461538461538</v>
      </c>
      <c r="V23" s="1">
        <f t="shared" si="5"/>
        <v>62.88461538461538</v>
      </c>
      <c r="W23" s="1">
        <f>VLOOKUP(A23,[2]TDSheet!$A:$AB,16,0)</f>
        <v>22</v>
      </c>
      <c r="X23" s="1">
        <f>VLOOKUP(A23,[2]TDSheet!$A:$AB,28,0)</f>
        <v>12</v>
      </c>
      <c r="Y23" s="1">
        <f>VLOOKUP(A23,[2]TDSheet!$A:$AB,27,0)</f>
        <v>10.8</v>
      </c>
      <c r="Z23" s="1">
        <f>VLOOKUP(A23,[2]TDSheet!$A:$AB,26,0)</f>
        <v>12.8</v>
      </c>
      <c r="AA23" s="1">
        <f>VLOOKUP(A23,[2]TDSheet!$A:$AB,25,0)</f>
        <v>7.8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2"/>
        <v>-2</v>
      </c>
      <c r="M24" s="1"/>
      <c r="N24" s="1"/>
      <c r="O24" s="1">
        <f>VLOOKUP(A24,[2]TDSheet!$A:$R,18,0)</f>
        <v>258</v>
      </c>
      <c r="P24" s="1"/>
      <c r="Q24" s="1">
        <f t="shared" si="3"/>
        <v>18.2</v>
      </c>
      <c r="R24" s="10"/>
      <c r="S24" s="10"/>
      <c r="T24" s="1"/>
      <c r="U24" s="1">
        <f t="shared" si="4"/>
        <v>15.989010989010989</v>
      </c>
      <c r="V24" s="1">
        <f t="shared" si="5"/>
        <v>15.989010989010989</v>
      </c>
      <c r="W24" s="1">
        <f>VLOOKUP(A24,[2]TDSheet!$A:$AB,16,0)</f>
        <v>19</v>
      </c>
      <c r="X24" s="1">
        <f>VLOOKUP(A24,[2]TDSheet!$A:$AB,28,0)</f>
        <v>12.8</v>
      </c>
      <c r="Y24" s="1">
        <f>VLOOKUP(A24,[2]TDSheet!$A:$AB,27,0)</f>
        <v>10</v>
      </c>
      <c r="Z24" s="1">
        <f>VLOOKUP(A24,[2]TDSheet!$A:$AB,26,0)</f>
        <v>9.8000000000000007</v>
      </c>
      <c r="AA24" s="1">
        <f>VLOOKUP(A24,[2]TDSheet!$A:$AB,25,0)</f>
        <v>15.4</v>
      </c>
      <c r="AB24" s="1"/>
      <c r="AC24" s="1">
        <f t="shared" si="6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2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3"/>
        <v>14.6</v>
      </c>
      <c r="R25" s="10"/>
      <c r="S25" s="10">
        <v>40</v>
      </c>
      <c r="T25" s="1"/>
      <c r="U25" s="1">
        <f t="shared" ref="U25:U28" si="8">(F25+O25+R25+P25)/Q25</f>
        <v>45.479452054794521</v>
      </c>
      <c r="V25" s="1">
        <f t="shared" ref="V25:V28" si="9">(F25+O25+P25)/Q25</f>
        <v>45.479452054794521</v>
      </c>
      <c r="W25" s="1">
        <f>VLOOKUP(A25,[2]TDSheet!$A:$AB,16,0)</f>
        <v>19</v>
      </c>
      <c r="X25" s="1">
        <f>VLOOKUP(A25,[2]TDSheet!$A:$AB,28,0)</f>
        <v>12.2</v>
      </c>
      <c r="Y25" s="1">
        <f>VLOOKUP(A25,[2]TDSheet!$A:$AB,27,0)</f>
        <v>11.8</v>
      </c>
      <c r="Z25" s="1">
        <f>VLOOKUP(A25,[2]TDSheet!$A:$AB,26,0)</f>
        <v>15.8</v>
      </c>
      <c r="AA25" s="1">
        <f>VLOOKUP(A25,[2]TDSheet!$A:$AB,25,0)</f>
        <v>11.6</v>
      </c>
      <c r="AB25" s="11" t="s">
        <v>72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2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3"/>
        <v>51.2</v>
      </c>
      <c r="R26" s="10"/>
      <c r="S26" s="10">
        <v>50</v>
      </c>
      <c r="T26" s="1"/>
      <c r="U26" s="1">
        <f t="shared" si="8"/>
        <v>27.79296875</v>
      </c>
      <c r="V26" s="1">
        <f t="shared" si="9"/>
        <v>27.79296875</v>
      </c>
      <c r="W26" s="1">
        <f>VLOOKUP(A26,[2]TDSheet!$A:$AB,16,0)</f>
        <v>64.599999999999994</v>
      </c>
      <c r="X26" s="1">
        <f>VLOOKUP(A26,[2]TDSheet!$A:$AB,28,0)</f>
        <v>25.4</v>
      </c>
      <c r="Y26" s="1">
        <f>VLOOKUP(A26,[2]TDSheet!$A:$AB,27,0)</f>
        <v>37.799999999999997</v>
      </c>
      <c r="Z26" s="1">
        <f>VLOOKUP(A26,[2]TDSheet!$A:$AB,26,0)</f>
        <v>32.200000000000003</v>
      </c>
      <c r="AA26" s="1">
        <f>VLOOKUP(A26,[2]TDSheet!$A:$AB,25,0)</f>
        <v>15.6</v>
      </c>
      <c r="AB26" s="1"/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2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3"/>
        <v>6.2</v>
      </c>
      <c r="R27" s="10"/>
      <c r="S27" s="10"/>
      <c r="T27" s="1"/>
      <c r="U27" s="1">
        <f t="shared" si="8"/>
        <v>99.354838709677423</v>
      </c>
      <c r="V27" s="1">
        <f t="shared" si="9"/>
        <v>99.354838709677423</v>
      </c>
      <c r="W27" s="1">
        <f>VLOOKUP(A27,[2]TDSheet!$A:$AB,16,0)</f>
        <v>3.4</v>
      </c>
      <c r="X27" s="1">
        <f>VLOOKUP(A27,[2]TDSheet!$A:$AB,28,0)</f>
        <v>0.2</v>
      </c>
      <c r="Y27" s="1">
        <f>VLOOKUP(A27,[2]TDSheet!$A:$AB,27,0)</f>
        <v>0.2</v>
      </c>
      <c r="Z27" s="1">
        <f>VLOOKUP(A27,[2]TDSheet!$A:$AB,26,0)</f>
        <v>11.2</v>
      </c>
      <c r="AA27" s="1">
        <f>VLOOKUP(A27,[2]TDSheet!$A:$AB,25,0)</f>
        <v>6</v>
      </c>
      <c r="AB27" s="11" t="s">
        <v>72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2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3"/>
        <v>3.6</v>
      </c>
      <c r="R28" s="10"/>
      <c r="S28" s="10">
        <v>30</v>
      </c>
      <c r="T28" s="1"/>
      <c r="U28" s="1">
        <f t="shared" si="8"/>
        <v>72.222222222222214</v>
      </c>
      <c r="V28" s="1">
        <f t="shared" si="9"/>
        <v>72.222222222222214</v>
      </c>
      <c r="W28" s="1">
        <f>VLOOKUP(A28,[2]TDSheet!$A:$AB,16,0)</f>
        <v>1.4</v>
      </c>
      <c r="X28" s="1">
        <f>VLOOKUP(A28,[2]TDSheet!$A:$AB,28,0)</f>
        <v>1.8</v>
      </c>
      <c r="Y28" s="1">
        <f>VLOOKUP(A28,[2]TDSheet!$A:$AB,27,0)</f>
        <v>5.4</v>
      </c>
      <c r="Z28" s="1">
        <f>VLOOKUP(A28,[2]TDSheet!$A:$AB,26,0)</f>
        <v>4</v>
      </c>
      <c r="AA28" s="1">
        <f>VLOOKUP(A28,[2]TDSheet!$A:$AB,25,0)</f>
        <v>4.4000000000000004</v>
      </c>
      <c r="AB28" s="11" t="s">
        <v>72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2"/>
        <v>-90</v>
      </c>
      <c r="M29" s="1"/>
      <c r="N29" s="1"/>
      <c r="O29" s="1">
        <f>VLOOKUP(A29,[2]TDSheet!$A:$R,18,0)</f>
        <v>1600</v>
      </c>
      <c r="P29" s="1"/>
      <c r="Q29" s="1">
        <f t="shared" si="3"/>
        <v>50.2</v>
      </c>
      <c r="R29" s="10"/>
      <c r="S29" s="10"/>
      <c r="T29" s="1"/>
      <c r="U29" s="1">
        <f t="shared" si="4"/>
        <v>42.350597609561753</v>
      </c>
      <c r="V29" s="1">
        <f t="shared" si="5"/>
        <v>42.350597609561753</v>
      </c>
      <c r="W29" s="1">
        <f>VLOOKUP(A29,[2]TDSheet!$A:$AB,16,0)</f>
        <v>126.4</v>
      </c>
      <c r="X29" s="1">
        <f>VLOOKUP(A29,[2]TDSheet!$A:$AB,28,0)</f>
        <v>47.6</v>
      </c>
      <c r="Y29" s="1">
        <f>VLOOKUP(A29,[2]TDSheet!$A:$AB,27,0)</f>
        <v>15</v>
      </c>
      <c r="Z29" s="1">
        <f>VLOOKUP(A29,[2]TDSheet!$A:$AB,26,0)</f>
        <v>69.8</v>
      </c>
      <c r="AA29" s="1">
        <f>VLOOKUP(A29,[2]TDSheet!$A:$AB,25,0)</f>
        <v>19.2</v>
      </c>
      <c r="AB29" s="11" t="s">
        <v>72</v>
      </c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2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3"/>
        <v>9</v>
      </c>
      <c r="R30" s="10"/>
      <c r="S30" s="10"/>
      <c r="T30" s="1"/>
      <c r="U30" s="1">
        <f>(F30+O30+R30+P30)/Q30</f>
        <v>97.333333333333329</v>
      </c>
      <c r="V30" s="1">
        <f>(F30+O30+P30)/Q30</f>
        <v>97.333333333333329</v>
      </c>
      <c r="W30" s="1">
        <f>VLOOKUP(A30,[2]TDSheet!$A:$AB,16,0)</f>
        <v>26.2</v>
      </c>
      <c r="X30" s="1">
        <f>VLOOKUP(A30,[2]TDSheet!$A:$AB,28,0)</f>
        <v>6.6</v>
      </c>
      <c r="Y30" s="1">
        <f>VLOOKUP(A30,[2]TDSheet!$A:$AB,27,0)</f>
        <v>13.4</v>
      </c>
      <c r="Z30" s="1">
        <f>VLOOKUP(A30,[2]TDSheet!$A:$AB,26,0)</f>
        <v>18.2</v>
      </c>
      <c r="AA30" s="1">
        <f>VLOOKUP(A30,[2]TDSheet!$A:$AB,25,0)</f>
        <v>9.8000000000000007</v>
      </c>
      <c r="AB30" s="11" t="s">
        <v>72</v>
      </c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2"/>
        <v>-4</v>
      </c>
      <c r="M31" s="1"/>
      <c r="N31" s="1"/>
      <c r="O31" s="1">
        <f>VLOOKUP(A31,[2]TDSheet!$A:$R,18,0)</f>
        <v>0</v>
      </c>
      <c r="P31" s="1"/>
      <c r="Q31" s="1">
        <f t="shared" si="3"/>
        <v>9</v>
      </c>
      <c r="R31" s="10"/>
      <c r="S31" s="10"/>
      <c r="T31" s="1"/>
      <c r="U31" s="1">
        <f t="shared" si="4"/>
        <v>17.333333333333332</v>
      </c>
      <c r="V31" s="1">
        <f t="shared" si="5"/>
        <v>17.333333333333332</v>
      </c>
      <c r="W31" s="1">
        <f>VLOOKUP(A31,[2]TDSheet!$A:$AB,16,0)</f>
        <v>9.4</v>
      </c>
      <c r="X31" s="1">
        <f>VLOOKUP(A31,[2]TDSheet!$A:$AB,28,0)</f>
        <v>5.8</v>
      </c>
      <c r="Y31" s="1">
        <f>VLOOKUP(A31,[2]TDSheet!$A:$AB,27,0)</f>
        <v>9.8000000000000007</v>
      </c>
      <c r="Z31" s="1">
        <f>VLOOKUP(A31,[2]TDSheet!$A:$AB,26,0)</f>
        <v>12.6</v>
      </c>
      <c r="AA31" s="1">
        <f>VLOOKUP(A31,[2]TDSheet!$A:$AB,25,0)</f>
        <v>9.1999999999999993</v>
      </c>
      <c r="AB31" s="1"/>
      <c r="AC31" s="1">
        <f t="shared" si="6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2"/>
        <v>0.85599999999999987</v>
      </c>
      <c r="M32" s="1"/>
      <c r="N32" s="1"/>
      <c r="O32" s="1">
        <f>VLOOKUP(A32,[2]TDSheet!$A:$R,18,0)</f>
        <v>0</v>
      </c>
      <c r="P32" s="1"/>
      <c r="Q32" s="1">
        <f t="shared" si="3"/>
        <v>0.67120000000000002</v>
      </c>
      <c r="R32" s="10"/>
      <c r="S32" s="10"/>
      <c r="T32" s="1"/>
      <c r="U32" s="1">
        <f t="shared" si="4"/>
        <v>218.52800953516089</v>
      </c>
      <c r="V32" s="1">
        <f t="shared" si="5"/>
        <v>218.52800953516089</v>
      </c>
      <c r="W32" s="1">
        <f>VLOOKUP(A32,[2]TDSheet!$A:$AB,16,0)</f>
        <v>2.7472000000000003</v>
      </c>
      <c r="X32" s="1">
        <f>VLOOKUP(A32,[2]TDSheet!$A:$AB,28,0)</f>
        <v>1.3408</v>
      </c>
      <c r="Y32" s="1">
        <f>VLOOKUP(A32,[2]TDSheet!$A:$AB,27,0)</f>
        <v>3.3899999999999997</v>
      </c>
      <c r="Z32" s="1">
        <f>VLOOKUP(A32,[2]TDSheet!$A:$AB,26,0)</f>
        <v>8.0055999999999994</v>
      </c>
      <c r="AA32" s="1">
        <f>VLOOKUP(A32,[2]TDSheet!$A:$AB,25,0)</f>
        <v>4.3655999999999997</v>
      </c>
      <c r="AB32" s="11" t="s">
        <v>72</v>
      </c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2"/>
        <v>1.6960000000000015</v>
      </c>
      <c r="M33" s="1"/>
      <c r="N33" s="1"/>
      <c r="O33" s="1">
        <f>VLOOKUP(A33,[2]TDSheet!$A:$R,18,0)</f>
        <v>0</v>
      </c>
      <c r="P33" s="1"/>
      <c r="Q33" s="1">
        <f t="shared" si="3"/>
        <v>3.8392000000000004</v>
      </c>
      <c r="R33" s="10">
        <f t="shared" si="7"/>
        <v>5.6560000000000059</v>
      </c>
      <c r="S33" s="10">
        <v>30</v>
      </c>
      <c r="T33" s="1"/>
      <c r="U33" s="1">
        <f t="shared" si="4"/>
        <v>20</v>
      </c>
      <c r="V33" s="1">
        <f t="shared" si="5"/>
        <v>18.526776411752447</v>
      </c>
      <c r="W33" s="1">
        <f>VLOOKUP(A33,[2]TDSheet!$A:$AB,16,0)</f>
        <v>0</v>
      </c>
      <c r="X33" s="1">
        <f>VLOOKUP(A33,[2]TDSheet!$A:$AB,28,0)</f>
        <v>0.61119999999999997</v>
      </c>
      <c r="Y33" s="1">
        <f>VLOOKUP(A33,[2]TDSheet!$A:$AB,27,0)</f>
        <v>0.67199999999999993</v>
      </c>
      <c r="Z33" s="1">
        <f>VLOOKUP(A33,[2]TDSheet!$A:$AB,26,0)</f>
        <v>0</v>
      </c>
      <c r="AA33" s="1">
        <f>VLOOKUP(A33,[2]TDSheet!$A:$AB,25,0)</f>
        <v>0</v>
      </c>
      <c r="AB33" s="1"/>
      <c r="AC33" s="1">
        <f t="shared" si="6"/>
        <v>5.6560000000000059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2"/>
        <v>1.2339999999999947</v>
      </c>
      <c r="M34" s="1"/>
      <c r="N34" s="1"/>
      <c r="O34" s="1">
        <f>VLOOKUP(A34,[2]TDSheet!$A:$R,18,0)</f>
        <v>0</v>
      </c>
      <c r="P34" s="1"/>
      <c r="Q34" s="1">
        <f t="shared" si="3"/>
        <v>9.9192</v>
      </c>
      <c r="R34" s="10">
        <f>19*Q34-O34-F34</f>
        <v>150.4008</v>
      </c>
      <c r="S34" s="10">
        <v>100</v>
      </c>
      <c r="T34" s="1"/>
      <c r="U34" s="1">
        <f t="shared" si="4"/>
        <v>19</v>
      </c>
      <c r="V34" s="1">
        <f t="shared" si="5"/>
        <v>3.8374062424389064</v>
      </c>
      <c r="W34" s="1">
        <f>VLOOKUP(A34,[2]TDSheet!$A:$AB,16,0)</f>
        <v>6.0739999999999998</v>
      </c>
      <c r="X34" s="1">
        <f>VLOOKUP(A34,[2]TDSheet!$A:$AB,28,0)</f>
        <v>2.6675999999999997</v>
      </c>
      <c r="Y34" s="1">
        <f>VLOOKUP(A34,[2]TDSheet!$A:$AB,27,0)</f>
        <v>7.4495999999999993</v>
      </c>
      <c r="Z34" s="1">
        <f>VLOOKUP(A34,[2]TDSheet!$A:$AB,26,0)</f>
        <v>8.7568000000000001</v>
      </c>
      <c r="AA34" s="1">
        <f>VLOOKUP(A34,[2]TDSheet!$A:$AB,25,0)</f>
        <v>1.8356000000000001</v>
      </c>
      <c r="AB34" s="1"/>
      <c r="AC34" s="1">
        <f t="shared" si="6"/>
        <v>150.4008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2"/>
        <v>-1.902000000000001</v>
      </c>
      <c r="M35" s="1"/>
      <c r="N35" s="1"/>
      <c r="O35" s="1">
        <f>VLOOKUP(A35,[2]TDSheet!$A:$R,18,0)</f>
        <v>0</v>
      </c>
      <c r="P35" s="1"/>
      <c r="Q35" s="1">
        <f t="shared" si="3"/>
        <v>4.4596</v>
      </c>
      <c r="R35" s="10"/>
      <c r="S35" s="10"/>
      <c r="T35" s="1"/>
      <c r="U35" s="1">
        <f t="shared" si="4"/>
        <v>35.849403533949229</v>
      </c>
      <c r="V35" s="1">
        <f t="shared" si="5"/>
        <v>35.849403533949229</v>
      </c>
      <c r="W35" s="1">
        <f>VLOOKUP(A35,[2]TDSheet!$A:$AB,16,0)</f>
        <v>0.64160000000000006</v>
      </c>
      <c r="X35" s="1">
        <f>VLOOKUP(A35,[2]TDSheet!$A:$AB,28,0)</f>
        <v>0</v>
      </c>
      <c r="Y35" s="1">
        <f>VLOOKUP(A35,[2]TDSheet!$A:$AB,27,0)</f>
        <v>3.8592</v>
      </c>
      <c r="Z35" s="1">
        <f>VLOOKUP(A35,[2]TDSheet!$A:$AB,26,0)</f>
        <v>3.2023999999999999</v>
      </c>
      <c r="AA35" s="1">
        <f>VLOOKUP(A35,[2]TDSheet!$A:$AB,25,0)</f>
        <v>0.48559999999999998</v>
      </c>
      <c r="AB35" s="11" t="s">
        <v>72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2"/>
        <v>-48</v>
      </c>
      <c r="M36" s="1"/>
      <c r="N36" s="1"/>
      <c r="O36" s="1">
        <f>VLOOKUP(A36,[2]TDSheet!$A:$R,18,0)</f>
        <v>515</v>
      </c>
      <c r="P36" s="1"/>
      <c r="Q36" s="1">
        <f t="shared" si="3"/>
        <v>41.4</v>
      </c>
      <c r="R36" s="10"/>
      <c r="S36" s="10"/>
      <c r="T36" s="1"/>
      <c r="U36" s="1">
        <f t="shared" si="4"/>
        <v>21.256038647342997</v>
      </c>
      <c r="V36" s="1">
        <f t="shared" si="5"/>
        <v>21.256038647342997</v>
      </c>
      <c r="W36" s="1">
        <f>VLOOKUP(A36,[2]TDSheet!$A:$AB,16,0)</f>
        <v>48.2</v>
      </c>
      <c r="X36" s="1">
        <f>VLOOKUP(A36,[2]TDSheet!$A:$AB,28,0)</f>
        <v>20</v>
      </c>
      <c r="Y36" s="1">
        <f>VLOOKUP(A36,[2]TDSheet!$A:$AB,27,0)</f>
        <v>24.8</v>
      </c>
      <c r="Z36" s="1">
        <f>VLOOKUP(A36,[2]TDSheet!$A:$AB,26,0)</f>
        <v>45.6</v>
      </c>
      <c r="AA36" s="1">
        <f>VLOOKUP(A36,[2]TDSheet!$A:$AB,25,0)</f>
        <v>38.6</v>
      </c>
      <c r="AB36" s="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2"/>
        <v>-29</v>
      </c>
      <c r="M37" s="1"/>
      <c r="N37" s="1"/>
      <c r="O37" s="1">
        <f>VLOOKUP(A37,[2]TDSheet!$A:$R,18,0)</f>
        <v>231</v>
      </c>
      <c r="P37" s="1"/>
      <c r="Q37" s="1">
        <f t="shared" si="3"/>
        <v>38.200000000000003</v>
      </c>
      <c r="R37" s="10">
        <f t="shared" si="7"/>
        <v>74</v>
      </c>
      <c r="S37" s="10"/>
      <c r="T37" s="1"/>
      <c r="U37" s="1">
        <f t="shared" si="4"/>
        <v>20</v>
      </c>
      <c r="V37" s="1">
        <f t="shared" si="5"/>
        <v>18.062827225130889</v>
      </c>
      <c r="W37" s="1">
        <f>VLOOKUP(A37,[2]TDSheet!$A:$AB,16,0)</f>
        <v>44.8</v>
      </c>
      <c r="X37" s="1">
        <f>VLOOKUP(A37,[2]TDSheet!$A:$AB,28,0)</f>
        <v>44.2</v>
      </c>
      <c r="Y37" s="1">
        <f>VLOOKUP(A37,[2]TDSheet!$A:$AB,27,0)</f>
        <v>47</v>
      </c>
      <c r="Z37" s="1">
        <f>VLOOKUP(A37,[2]TDSheet!$A:$AB,26,0)</f>
        <v>39.6</v>
      </c>
      <c r="AA37" s="1">
        <f>VLOOKUP(A37,[2]TDSheet!$A:$AB,25,0)</f>
        <v>39.6</v>
      </c>
      <c r="AB37" s="1"/>
      <c r="AC37" s="1">
        <f t="shared" si="6"/>
        <v>7.4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2"/>
        <v>-5.128000000000001</v>
      </c>
      <c r="M38" s="1"/>
      <c r="N38" s="1"/>
      <c r="O38" s="1">
        <f>VLOOKUP(A38,[2]TDSheet!$A:$R,18,0)</f>
        <v>0</v>
      </c>
      <c r="P38" s="1"/>
      <c r="Q38" s="1">
        <f t="shared" si="3"/>
        <v>1.3344</v>
      </c>
      <c r="R38" s="10"/>
      <c r="S38" s="10"/>
      <c r="T38" s="1"/>
      <c r="U38" s="1">
        <f t="shared" si="4"/>
        <v>26.009442446043167</v>
      </c>
      <c r="V38" s="1">
        <f t="shared" si="5"/>
        <v>26.009442446043167</v>
      </c>
      <c r="W38" s="1">
        <f>VLOOKUP(A38,[2]TDSheet!$A:$AB,16,0)</f>
        <v>0.9012</v>
      </c>
      <c r="X38" s="1">
        <f>VLOOKUP(A38,[2]TDSheet!$A:$AB,28,0)</f>
        <v>0</v>
      </c>
      <c r="Y38" s="1">
        <f>VLOOKUP(A38,[2]TDSheet!$A:$AB,27,0)</f>
        <v>0</v>
      </c>
      <c r="Z38" s="1">
        <f>VLOOKUP(A38,[2]TDSheet!$A:$AB,26,0)</f>
        <v>1.0096000000000001</v>
      </c>
      <c r="AA38" s="1">
        <f>VLOOKUP(A38,[2]TDSheet!$A:$AB,25,0)</f>
        <v>0.48</v>
      </c>
      <c r="AB38" s="1"/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2"/>
        <v>-3</v>
      </c>
      <c r="M39" s="1"/>
      <c r="N39" s="1"/>
      <c r="O39" s="1">
        <f>VLOOKUP(A39,[2]TDSheet!$A:$R,18,0)</f>
        <v>60</v>
      </c>
      <c r="P39" s="1"/>
      <c r="Q39" s="1">
        <f t="shared" si="3"/>
        <v>9</v>
      </c>
      <c r="R39" s="10"/>
      <c r="S39" s="10"/>
      <c r="T39" s="1"/>
      <c r="U39" s="1">
        <f t="shared" si="4"/>
        <v>14.888888888888889</v>
      </c>
      <c r="V39" s="1">
        <f t="shared" si="5"/>
        <v>14.888888888888889</v>
      </c>
      <c r="W39" s="1">
        <f>VLOOKUP(A39,[2]TDSheet!$A:$AB,16,0)</f>
        <v>8.8000000000000007</v>
      </c>
      <c r="X39" s="1">
        <f>VLOOKUP(A39,[2]TDSheet!$A:$AB,28,0)</f>
        <v>3</v>
      </c>
      <c r="Y39" s="1">
        <f>VLOOKUP(A39,[2]TDSheet!$A:$AB,27,0)</f>
        <v>5</v>
      </c>
      <c r="Z39" s="1">
        <f>VLOOKUP(A39,[2]TDSheet!$A:$AB,26,0)</f>
        <v>4.8</v>
      </c>
      <c r="AA39" s="1">
        <f>VLOOKUP(A39,[2]TDSheet!$A:$AB,25,0)</f>
        <v>6.6</v>
      </c>
      <c r="AB39" s="1"/>
      <c r="AC39" s="1">
        <f t="shared" si="6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2"/>
        <v>-3</v>
      </c>
      <c r="M40" s="1"/>
      <c r="N40" s="1"/>
      <c r="O40" s="1">
        <f>VLOOKUP(A40,[2]TDSheet!$A:$R,18,0)</f>
        <v>125</v>
      </c>
      <c r="P40" s="1"/>
      <c r="Q40" s="1">
        <f t="shared" si="3"/>
        <v>16</v>
      </c>
      <c r="R40" s="10"/>
      <c r="S40" s="10"/>
      <c r="T40" s="1"/>
      <c r="U40" s="1">
        <f t="shared" si="4"/>
        <v>10.1875</v>
      </c>
      <c r="V40" s="1">
        <f t="shared" si="5"/>
        <v>10.1875</v>
      </c>
      <c r="W40" s="1">
        <f>VLOOKUP(A40,[2]TDSheet!$A:$AB,16,0)</f>
        <v>11.6</v>
      </c>
      <c r="X40" s="1">
        <f>VLOOKUP(A40,[2]TDSheet!$A:$AB,28,0)</f>
        <v>9.1999999999999993</v>
      </c>
      <c r="Y40" s="1">
        <f>VLOOKUP(A40,[2]TDSheet!$A:$AB,27,0)</f>
        <v>7.4</v>
      </c>
      <c r="Z40" s="1">
        <f>VLOOKUP(A40,[2]TDSheet!$A:$AB,26,0)</f>
        <v>7.2</v>
      </c>
      <c r="AA40" s="1">
        <f>VLOOKUP(A40,[2]TDSheet!$A:$AB,25,0)</f>
        <v>7.2</v>
      </c>
      <c r="AB40" s="1"/>
      <c r="AC40" s="1">
        <f t="shared" si="6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2"/>
        <v>-20</v>
      </c>
      <c r="M41" s="1"/>
      <c r="N41" s="1"/>
      <c r="O41" s="1">
        <f>VLOOKUP(A41,[2]TDSheet!$A:$R,18,0)</f>
        <v>0</v>
      </c>
      <c r="P41" s="1"/>
      <c r="Q41" s="1">
        <f t="shared" si="3"/>
        <v>11.2</v>
      </c>
      <c r="R41" s="10">
        <f t="shared" si="7"/>
        <v>127</v>
      </c>
      <c r="S41" s="10">
        <v>77</v>
      </c>
      <c r="T41" s="1"/>
      <c r="U41" s="1">
        <f t="shared" si="4"/>
        <v>20</v>
      </c>
      <c r="V41" s="1">
        <f t="shared" si="5"/>
        <v>8.6607142857142865</v>
      </c>
      <c r="W41" s="1">
        <f>VLOOKUP(A41,[2]TDSheet!$A:$AB,16,0)</f>
        <v>10</v>
      </c>
      <c r="X41" s="1">
        <f>VLOOKUP(A41,[2]TDSheet!$A:$AB,28,0)</f>
        <v>9.1999999999999993</v>
      </c>
      <c r="Y41" s="1">
        <f>VLOOKUP(A41,[2]TDSheet!$A:$AB,27,0)</f>
        <v>5.6</v>
      </c>
      <c r="Z41" s="1">
        <f>VLOOKUP(A41,[2]TDSheet!$A:$AB,26,0)</f>
        <v>3.8</v>
      </c>
      <c r="AA41" s="1">
        <f>VLOOKUP(A41,[2]TDSheet!$A:$AB,25,0)</f>
        <v>15.2</v>
      </c>
      <c r="AB41" s="1"/>
      <c r="AC41" s="1">
        <f t="shared" si="6"/>
        <v>25.400000000000002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2"/>
        <v>2.0860000000000021</v>
      </c>
      <c r="M42" s="1"/>
      <c r="N42" s="1"/>
      <c r="O42" s="1">
        <f>VLOOKUP(A42,[2]TDSheet!$A:$R,18,0)</f>
        <v>0</v>
      </c>
      <c r="P42" s="1"/>
      <c r="Q42" s="1">
        <f t="shared" si="3"/>
        <v>5.3572000000000006</v>
      </c>
      <c r="R42" s="10">
        <f t="shared" si="7"/>
        <v>78.782000000000011</v>
      </c>
      <c r="S42" s="10">
        <v>50</v>
      </c>
      <c r="T42" s="1"/>
      <c r="U42" s="1">
        <f t="shared" si="4"/>
        <v>20</v>
      </c>
      <c r="V42" s="1">
        <f t="shared" si="5"/>
        <v>5.2941835287090262</v>
      </c>
      <c r="W42" s="1">
        <f>VLOOKUP(A42,[2]TDSheet!$A:$AB,16,0)</f>
        <v>0.70960000000000001</v>
      </c>
      <c r="X42" s="1">
        <f>VLOOKUP(A42,[2]TDSheet!$A:$AB,28,0)</f>
        <v>0</v>
      </c>
      <c r="Y42" s="1">
        <f>VLOOKUP(A42,[2]TDSheet!$A:$AB,27,0)</f>
        <v>1.8264</v>
      </c>
      <c r="Z42" s="1">
        <f>VLOOKUP(A42,[2]TDSheet!$A:$AB,26,0)</f>
        <v>0</v>
      </c>
      <c r="AA42" s="1">
        <f>VLOOKUP(A42,[2]TDSheet!$A:$AB,25,0)</f>
        <v>1.8675999999999999</v>
      </c>
      <c r="AB42" s="1"/>
      <c r="AC42" s="1">
        <f t="shared" si="6"/>
        <v>78.782000000000011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2"/>
        <v>-20</v>
      </c>
      <c r="M43" s="1"/>
      <c r="N43" s="1"/>
      <c r="O43" s="1">
        <f>VLOOKUP(A43,[2]TDSheet!$A:$R,18,0)</f>
        <v>91</v>
      </c>
      <c r="P43" s="1"/>
      <c r="Q43" s="1">
        <f t="shared" si="3"/>
        <v>11</v>
      </c>
      <c r="R43" s="10">
        <f t="shared" si="7"/>
        <v>16</v>
      </c>
      <c r="S43" s="10"/>
      <c r="T43" s="1"/>
      <c r="U43" s="1">
        <f t="shared" si="4"/>
        <v>20</v>
      </c>
      <c r="V43" s="1">
        <f t="shared" si="5"/>
        <v>18.545454545454547</v>
      </c>
      <c r="W43" s="1">
        <f>VLOOKUP(A43,[2]TDSheet!$A:$AB,16,0)</f>
        <v>12.8</v>
      </c>
      <c r="X43" s="1">
        <f>VLOOKUP(A43,[2]TDSheet!$A:$AB,28,0)</f>
        <v>12.8</v>
      </c>
      <c r="Y43" s="1">
        <f>VLOOKUP(A43,[2]TDSheet!$A:$AB,27,0)</f>
        <v>14.6</v>
      </c>
      <c r="Z43" s="1">
        <f>VLOOKUP(A43,[2]TDSheet!$A:$AB,26,0)</f>
        <v>7.4</v>
      </c>
      <c r="AA43" s="1">
        <f>VLOOKUP(A43,[2]TDSheet!$A:$AB,25,0)</f>
        <v>10.8</v>
      </c>
      <c r="AB43" s="1"/>
      <c r="AC43" s="1">
        <f t="shared" si="6"/>
        <v>3.2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2"/>
        <v>-10.5</v>
      </c>
      <c r="M44" s="1"/>
      <c r="N44" s="1"/>
      <c r="O44" s="1">
        <f>VLOOKUP(A44,[2]TDSheet!$A:$R,18,0)</f>
        <v>100</v>
      </c>
      <c r="P44" s="1"/>
      <c r="Q44" s="1">
        <f t="shared" si="3"/>
        <v>0</v>
      </c>
      <c r="R44" s="10"/>
      <c r="S44" s="10"/>
      <c r="T44" s="1"/>
      <c r="U44" s="1" t="e">
        <f t="shared" si="4"/>
        <v>#DIV/0!</v>
      </c>
      <c r="V44" s="1" t="e">
        <f t="shared" si="5"/>
        <v>#DIV/0!</v>
      </c>
      <c r="W44" s="1">
        <f>VLOOKUP(A44,[2]TDSheet!$A:$AB,16,0)</f>
        <v>0.68840000000000001</v>
      </c>
      <c r="X44" s="1">
        <f>VLOOKUP(A44,[2]TDSheet!$A:$AB,28,0)</f>
        <v>7.7816000000000001</v>
      </c>
      <c r="Y44" s="1">
        <f>VLOOKUP(A44,[2]TDSheet!$A:$AB,27,0)</f>
        <v>9.8775999999999993</v>
      </c>
      <c r="Z44" s="1">
        <f>VLOOKUP(A44,[2]TDSheet!$A:$AB,26,0)</f>
        <v>3.5659999999999998</v>
      </c>
      <c r="AA44" s="1">
        <f>VLOOKUP(A44,[2]TDSheet!$A:$AB,25,0)</f>
        <v>4.8911999999999995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</sheetData>
  <autoFilter ref="A3:AC4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2026-07-02T06:49:45Z</dcterms:modified>
</cp:coreProperties>
</file>