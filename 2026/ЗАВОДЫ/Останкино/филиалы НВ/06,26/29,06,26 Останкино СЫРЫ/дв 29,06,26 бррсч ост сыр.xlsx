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A9AE1620-827D-4B06-A72B-8ED19881D9F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Sheet!$A$3:$AC$56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1" l="1"/>
  <c r="Q20" i="1"/>
  <c r="F6" i="1"/>
  <c r="AA56" i="1"/>
  <c r="Z56" i="1"/>
  <c r="Y56" i="1"/>
  <c r="X56" i="1"/>
  <c r="W56" i="1"/>
  <c r="Q56" i="1"/>
  <c r="O56" i="1"/>
  <c r="V56" i="1" s="1"/>
  <c r="L56" i="1"/>
  <c r="AA55" i="1"/>
  <c r="Z55" i="1"/>
  <c r="Y55" i="1"/>
  <c r="X55" i="1"/>
  <c r="W55" i="1"/>
  <c r="Q55" i="1"/>
  <c r="AC55" i="1" s="1"/>
  <c r="O55" i="1"/>
  <c r="V55" i="1" s="1"/>
  <c r="L55" i="1"/>
  <c r="AA54" i="1"/>
  <c r="Z54" i="1"/>
  <c r="Y54" i="1"/>
  <c r="X54" i="1"/>
  <c r="W54" i="1"/>
  <c r="Q54" i="1"/>
  <c r="AC54" i="1" s="1"/>
  <c r="O54" i="1"/>
  <c r="V54" i="1" s="1"/>
  <c r="L54" i="1"/>
  <c r="AA53" i="1"/>
  <c r="Z53" i="1"/>
  <c r="Y53" i="1"/>
  <c r="X53" i="1"/>
  <c r="W53" i="1"/>
  <c r="Q53" i="1"/>
  <c r="V53" i="1" s="1"/>
  <c r="L53" i="1"/>
  <c r="AA52" i="1"/>
  <c r="Z52" i="1"/>
  <c r="Y52" i="1"/>
  <c r="X52" i="1"/>
  <c r="W52" i="1"/>
  <c r="Q52" i="1"/>
  <c r="AC52" i="1" s="1"/>
  <c r="O52" i="1"/>
  <c r="L52" i="1"/>
  <c r="H52" i="1"/>
  <c r="AA51" i="1"/>
  <c r="Z51" i="1"/>
  <c r="Y51" i="1"/>
  <c r="X51" i="1"/>
  <c r="W51" i="1"/>
  <c r="Q51" i="1"/>
  <c r="AC51" i="1" s="1"/>
  <c r="O51" i="1"/>
  <c r="L51" i="1"/>
  <c r="H51" i="1"/>
  <c r="AA50" i="1"/>
  <c r="Z50" i="1"/>
  <c r="Y50" i="1"/>
  <c r="X50" i="1"/>
  <c r="W50" i="1"/>
  <c r="Q50" i="1"/>
  <c r="AC50" i="1" s="1"/>
  <c r="O50" i="1"/>
  <c r="L50" i="1"/>
  <c r="AA49" i="1"/>
  <c r="Z49" i="1"/>
  <c r="Y49" i="1"/>
  <c r="X49" i="1"/>
  <c r="W49" i="1"/>
  <c r="Q49" i="1"/>
  <c r="O49" i="1"/>
  <c r="L49" i="1"/>
  <c r="H49" i="1"/>
  <c r="AA48" i="1"/>
  <c r="Z48" i="1"/>
  <c r="Y48" i="1"/>
  <c r="X48" i="1"/>
  <c r="W48" i="1"/>
  <c r="Q48" i="1"/>
  <c r="V48" i="1" s="1"/>
  <c r="L48" i="1"/>
  <c r="H48" i="1"/>
  <c r="AA47" i="1"/>
  <c r="Z47" i="1"/>
  <c r="Y47" i="1"/>
  <c r="X47" i="1"/>
  <c r="W47" i="1"/>
  <c r="Q47" i="1"/>
  <c r="V47" i="1" s="1"/>
  <c r="L47" i="1"/>
  <c r="AA46" i="1"/>
  <c r="Z46" i="1"/>
  <c r="Y46" i="1"/>
  <c r="X46" i="1"/>
  <c r="W46" i="1"/>
  <c r="Q46" i="1"/>
  <c r="V46" i="1" s="1"/>
  <c r="L46" i="1"/>
  <c r="H46" i="1"/>
  <c r="Q45" i="1"/>
  <c r="U45" i="1" s="1"/>
  <c r="L45" i="1"/>
  <c r="AA44" i="1"/>
  <c r="Z44" i="1"/>
  <c r="Y44" i="1"/>
  <c r="X44" i="1"/>
  <c r="W44" i="1"/>
  <c r="Q44" i="1"/>
  <c r="L44" i="1"/>
  <c r="AA43" i="1"/>
  <c r="Z43" i="1"/>
  <c r="Y43" i="1"/>
  <c r="X43" i="1"/>
  <c r="W43" i="1"/>
  <c r="Q43" i="1"/>
  <c r="L43" i="1"/>
  <c r="Q42" i="1"/>
  <c r="L42" i="1"/>
  <c r="AA41" i="1"/>
  <c r="Z41" i="1"/>
  <c r="Y41" i="1"/>
  <c r="X41" i="1"/>
  <c r="W41" i="1"/>
  <c r="O41" i="1"/>
  <c r="H41" i="1"/>
  <c r="F41" i="1"/>
  <c r="E41" i="1"/>
  <c r="Q41" i="1" s="1"/>
  <c r="AA40" i="1"/>
  <c r="Z40" i="1"/>
  <c r="Y40" i="1"/>
  <c r="X40" i="1"/>
  <c r="W40" i="1"/>
  <c r="Q40" i="1"/>
  <c r="O40" i="1"/>
  <c r="L40" i="1"/>
  <c r="AA39" i="1"/>
  <c r="Z39" i="1"/>
  <c r="Y39" i="1"/>
  <c r="X39" i="1"/>
  <c r="W39" i="1"/>
  <c r="Q39" i="1"/>
  <c r="O39" i="1"/>
  <c r="L39" i="1"/>
  <c r="AA38" i="1"/>
  <c r="Z38" i="1"/>
  <c r="Y38" i="1"/>
  <c r="X38" i="1"/>
  <c r="W38" i="1"/>
  <c r="Q38" i="1"/>
  <c r="AC38" i="1" s="1"/>
  <c r="O38" i="1"/>
  <c r="V38" i="1" s="1"/>
  <c r="L38" i="1"/>
  <c r="H38" i="1"/>
  <c r="AA37" i="1"/>
  <c r="Z37" i="1"/>
  <c r="Y37" i="1"/>
  <c r="X37" i="1"/>
  <c r="W37" i="1"/>
  <c r="Q37" i="1"/>
  <c r="L37" i="1"/>
  <c r="H37" i="1"/>
  <c r="F37" i="1"/>
  <c r="AA36" i="1"/>
  <c r="Z36" i="1"/>
  <c r="Y36" i="1"/>
  <c r="X36" i="1"/>
  <c r="W36" i="1"/>
  <c r="Q36" i="1"/>
  <c r="O36" i="1"/>
  <c r="L36" i="1"/>
  <c r="H36" i="1"/>
  <c r="F36" i="1"/>
  <c r="AA35" i="1"/>
  <c r="Z35" i="1"/>
  <c r="Y35" i="1"/>
  <c r="X35" i="1"/>
  <c r="W35" i="1"/>
  <c r="Q35" i="1"/>
  <c r="V35" i="1" s="1"/>
  <c r="L35" i="1"/>
  <c r="H35" i="1"/>
  <c r="AA34" i="1"/>
  <c r="Z34" i="1"/>
  <c r="Y34" i="1"/>
  <c r="X34" i="1"/>
  <c r="W34" i="1"/>
  <c r="Q34" i="1"/>
  <c r="R34" i="1" s="1"/>
  <c r="U34" i="1" s="1"/>
  <c r="L34" i="1"/>
  <c r="H34" i="1"/>
  <c r="AA33" i="1"/>
  <c r="Z33" i="1"/>
  <c r="Y33" i="1"/>
  <c r="X33" i="1"/>
  <c r="W33" i="1"/>
  <c r="Q33" i="1"/>
  <c r="O33" i="1"/>
  <c r="V33" i="1" s="1"/>
  <c r="L33" i="1"/>
  <c r="H33" i="1"/>
  <c r="AA32" i="1"/>
  <c r="Z32" i="1"/>
  <c r="Y32" i="1"/>
  <c r="X32" i="1"/>
  <c r="W32" i="1"/>
  <c r="Q32" i="1"/>
  <c r="O32" i="1"/>
  <c r="L32" i="1"/>
  <c r="AA31" i="1"/>
  <c r="Z31" i="1"/>
  <c r="Y31" i="1"/>
  <c r="X31" i="1"/>
  <c r="W31" i="1"/>
  <c r="Q31" i="1"/>
  <c r="V31" i="1" s="1"/>
  <c r="L31" i="1"/>
  <c r="AA30" i="1"/>
  <c r="Z30" i="1"/>
  <c r="Y30" i="1"/>
  <c r="X30" i="1"/>
  <c r="W30" i="1"/>
  <c r="Q30" i="1"/>
  <c r="AC30" i="1" s="1"/>
  <c r="O30" i="1"/>
  <c r="L30" i="1"/>
  <c r="H30" i="1"/>
  <c r="AA29" i="1"/>
  <c r="Z29" i="1"/>
  <c r="Y29" i="1"/>
  <c r="X29" i="1"/>
  <c r="W29" i="1"/>
  <c r="Q29" i="1"/>
  <c r="V29" i="1" s="1"/>
  <c r="L29" i="1"/>
  <c r="H29" i="1"/>
  <c r="Q28" i="1"/>
  <c r="V28" i="1" s="1"/>
  <c r="L28" i="1"/>
  <c r="AA27" i="1"/>
  <c r="Z27" i="1"/>
  <c r="Y27" i="1"/>
  <c r="X27" i="1"/>
  <c r="W27" i="1"/>
  <c r="Q27" i="1"/>
  <c r="V27" i="1" s="1"/>
  <c r="L27" i="1"/>
  <c r="AA26" i="1"/>
  <c r="Z26" i="1"/>
  <c r="Y26" i="1"/>
  <c r="X26" i="1"/>
  <c r="W26" i="1"/>
  <c r="Q26" i="1"/>
  <c r="AC26" i="1" s="1"/>
  <c r="L26" i="1"/>
  <c r="AA25" i="1"/>
  <c r="Z25" i="1"/>
  <c r="Y25" i="1"/>
  <c r="X25" i="1"/>
  <c r="W25" i="1"/>
  <c r="Q25" i="1"/>
  <c r="L25" i="1"/>
  <c r="AA24" i="1"/>
  <c r="Z24" i="1"/>
  <c r="Y24" i="1"/>
  <c r="X24" i="1"/>
  <c r="W24" i="1"/>
  <c r="Q24" i="1"/>
  <c r="AC24" i="1" s="1"/>
  <c r="L24" i="1"/>
  <c r="H24" i="1"/>
  <c r="AA23" i="1"/>
  <c r="Z23" i="1"/>
  <c r="Y23" i="1"/>
  <c r="X23" i="1"/>
  <c r="W23" i="1"/>
  <c r="Q23" i="1"/>
  <c r="L23" i="1"/>
  <c r="AA22" i="1"/>
  <c r="Z22" i="1"/>
  <c r="Y22" i="1"/>
  <c r="X22" i="1"/>
  <c r="W22" i="1"/>
  <c r="Q22" i="1"/>
  <c r="L22" i="1"/>
  <c r="H22" i="1"/>
  <c r="AA21" i="1"/>
  <c r="Z21" i="1"/>
  <c r="Y21" i="1"/>
  <c r="X21" i="1"/>
  <c r="W21" i="1"/>
  <c r="Q21" i="1"/>
  <c r="R21" i="1" s="1"/>
  <c r="AC21" i="1" s="1"/>
  <c r="L21" i="1"/>
  <c r="H21" i="1"/>
  <c r="AA20" i="1"/>
  <c r="Z20" i="1"/>
  <c r="Y20" i="1"/>
  <c r="X20" i="1"/>
  <c r="W20" i="1"/>
  <c r="AC20" i="1"/>
  <c r="O20" i="1"/>
  <c r="L20" i="1"/>
  <c r="H20" i="1"/>
  <c r="AA19" i="1"/>
  <c r="Z19" i="1"/>
  <c r="Y19" i="1"/>
  <c r="X19" i="1"/>
  <c r="W19" i="1"/>
  <c r="Q19" i="1"/>
  <c r="O19" i="1"/>
  <c r="U19" i="1" s="1"/>
  <c r="L19" i="1"/>
  <c r="AA18" i="1"/>
  <c r="Z18" i="1"/>
  <c r="Y18" i="1"/>
  <c r="X18" i="1"/>
  <c r="W18" i="1"/>
  <c r="Q18" i="1"/>
  <c r="AC18" i="1" s="1"/>
  <c r="L18" i="1"/>
  <c r="AA17" i="1"/>
  <c r="Z17" i="1"/>
  <c r="Y17" i="1"/>
  <c r="X17" i="1"/>
  <c r="W17" i="1"/>
  <c r="Q17" i="1"/>
  <c r="L17" i="1"/>
  <c r="H17" i="1"/>
  <c r="Q16" i="1"/>
  <c r="V16" i="1" s="1"/>
  <c r="L16" i="1"/>
  <c r="AA15" i="1"/>
  <c r="Z15" i="1"/>
  <c r="Y15" i="1"/>
  <c r="X15" i="1"/>
  <c r="W15" i="1"/>
  <c r="Q15" i="1"/>
  <c r="V15" i="1" s="1"/>
  <c r="L15" i="1"/>
  <c r="AA14" i="1"/>
  <c r="Z14" i="1"/>
  <c r="Y14" i="1"/>
  <c r="X14" i="1"/>
  <c r="W14" i="1"/>
  <c r="Q14" i="1"/>
  <c r="V14" i="1" s="1"/>
  <c r="L14" i="1"/>
  <c r="H14" i="1"/>
  <c r="AA13" i="1"/>
  <c r="Z13" i="1"/>
  <c r="Y13" i="1"/>
  <c r="X13" i="1"/>
  <c r="W13" i="1"/>
  <c r="Q13" i="1"/>
  <c r="O13" i="1"/>
  <c r="V13" i="1" s="1"/>
  <c r="L13" i="1"/>
  <c r="H13" i="1"/>
  <c r="AA12" i="1"/>
  <c r="Z12" i="1"/>
  <c r="Y12" i="1"/>
  <c r="X12" i="1"/>
  <c r="W12" i="1"/>
  <c r="Q12" i="1"/>
  <c r="O12" i="1"/>
  <c r="L12" i="1"/>
  <c r="H12" i="1"/>
  <c r="AA11" i="1"/>
  <c r="Z11" i="1"/>
  <c r="Y11" i="1"/>
  <c r="X11" i="1"/>
  <c r="W11" i="1"/>
  <c r="Q11" i="1"/>
  <c r="V11" i="1" s="1"/>
  <c r="L11" i="1"/>
  <c r="H11" i="1"/>
  <c r="AA10" i="1"/>
  <c r="Z10" i="1"/>
  <c r="Y10" i="1"/>
  <c r="X10" i="1"/>
  <c r="W10" i="1"/>
  <c r="Q10" i="1"/>
  <c r="V10" i="1" s="1"/>
  <c r="L10" i="1"/>
  <c r="H10" i="1"/>
  <c r="AA9" i="1"/>
  <c r="Z9" i="1"/>
  <c r="Y9" i="1"/>
  <c r="X9" i="1"/>
  <c r="W9" i="1"/>
  <c r="Q9" i="1"/>
  <c r="V9" i="1" s="1"/>
  <c r="L9" i="1"/>
  <c r="AA8" i="1"/>
  <c r="Z8" i="1"/>
  <c r="Y8" i="1"/>
  <c r="X8" i="1"/>
  <c r="W8" i="1"/>
  <c r="Q8" i="1"/>
  <c r="V8" i="1" s="1"/>
  <c r="L8" i="1"/>
  <c r="AA7" i="1"/>
  <c r="Z7" i="1"/>
  <c r="Y7" i="1"/>
  <c r="X7" i="1"/>
  <c r="W7" i="1"/>
  <c r="Q7" i="1"/>
  <c r="V7" i="1" s="1"/>
  <c r="L7" i="1"/>
  <c r="AA6" i="1"/>
  <c r="Z6" i="1"/>
  <c r="Y6" i="1"/>
  <c r="X6" i="1"/>
  <c r="W6" i="1"/>
  <c r="O6" i="1"/>
  <c r="E6" i="1"/>
  <c r="Q6" i="1" s="1"/>
  <c r="AC6" i="1" s="1"/>
  <c r="S5" i="1"/>
  <c r="N5" i="1"/>
  <c r="M5" i="1"/>
  <c r="K5" i="1"/>
  <c r="R33" i="1" l="1"/>
  <c r="U7" i="1"/>
  <c r="U8" i="1"/>
  <c r="U29" i="1"/>
  <c r="U33" i="1"/>
  <c r="V34" i="1"/>
  <c r="U38" i="1"/>
  <c r="V30" i="1"/>
  <c r="U40" i="1"/>
  <c r="F5" i="1"/>
  <c r="R37" i="1"/>
  <c r="AC37" i="1" s="1"/>
  <c r="V51" i="1"/>
  <c r="U39" i="1"/>
  <c r="R12" i="1"/>
  <c r="AC12" i="1" s="1"/>
  <c r="V49" i="1"/>
  <c r="R41" i="1"/>
  <c r="AC41" i="1" s="1"/>
  <c r="R32" i="1"/>
  <c r="AC32" i="1" s="1"/>
  <c r="R13" i="1"/>
  <c r="AC13" i="1" s="1"/>
  <c r="R56" i="1"/>
  <c r="AC56" i="1" s="1"/>
  <c r="R49" i="1"/>
  <c r="AC49" i="1" s="1"/>
  <c r="AC33" i="1"/>
  <c r="V36" i="1"/>
  <c r="AC34" i="1"/>
  <c r="V52" i="1"/>
  <c r="U36" i="1"/>
  <c r="AC36" i="1"/>
  <c r="AC35" i="1"/>
  <c r="R14" i="1"/>
  <c r="AC14" i="1" s="1"/>
  <c r="AC15" i="1"/>
  <c r="V6" i="1"/>
  <c r="AC16" i="1"/>
  <c r="R17" i="1"/>
  <c r="AC17" i="1" s="1"/>
  <c r="U22" i="1"/>
  <c r="U20" i="1"/>
  <c r="AC43" i="1"/>
  <c r="V12" i="1"/>
  <c r="V50" i="1"/>
  <c r="AC44" i="1"/>
  <c r="AC22" i="1"/>
  <c r="AC46" i="1"/>
  <c r="U18" i="1"/>
  <c r="AC23" i="1"/>
  <c r="AC47" i="1"/>
  <c r="AC48" i="1"/>
  <c r="V32" i="1"/>
  <c r="AC25" i="1"/>
  <c r="AC27" i="1"/>
  <c r="U21" i="1"/>
  <c r="AC29" i="1"/>
  <c r="AC8" i="1"/>
  <c r="AC53" i="1"/>
  <c r="U46" i="1"/>
  <c r="R9" i="1"/>
  <c r="AC9" i="1" s="1"/>
  <c r="R31" i="1"/>
  <c r="AC31" i="1" s="1"/>
  <c r="U24" i="1"/>
  <c r="U42" i="1"/>
  <c r="AC10" i="1"/>
  <c r="R11" i="1"/>
  <c r="AC11" i="1" s="1"/>
  <c r="U26" i="1"/>
  <c r="U16" i="1"/>
  <c r="V26" i="1"/>
  <c r="U55" i="1"/>
  <c r="U35" i="1"/>
  <c r="U15" i="1"/>
  <c r="V45" i="1"/>
  <c r="V25" i="1"/>
  <c r="U54" i="1"/>
  <c r="V44" i="1"/>
  <c r="V24" i="1"/>
  <c r="U53" i="1"/>
  <c r="V43" i="1"/>
  <c r="V23" i="1"/>
  <c r="U52" i="1"/>
  <c r="V42" i="1"/>
  <c r="V22" i="1"/>
  <c r="U51" i="1"/>
  <c r="V41" i="1"/>
  <c r="V21" i="1"/>
  <c r="U50" i="1"/>
  <c r="U30" i="1"/>
  <c r="U10" i="1"/>
  <c r="V40" i="1"/>
  <c r="V20" i="1"/>
  <c r="V39" i="1"/>
  <c r="V19" i="1"/>
  <c r="Q5" i="1"/>
  <c r="U28" i="1"/>
  <c r="V18" i="1"/>
  <c r="U47" i="1"/>
  <c r="V37" i="1"/>
  <c r="V17" i="1"/>
  <c r="U6" i="1"/>
  <c r="L6" i="1"/>
  <c r="Z5" i="1"/>
  <c r="AA5" i="1"/>
  <c r="E5" i="1"/>
  <c r="X5" i="1"/>
  <c r="Y5" i="1"/>
  <c r="O5" i="1"/>
  <c r="W5" i="1"/>
  <c r="L41" i="1"/>
  <c r="U37" i="1" l="1"/>
  <c r="U49" i="1"/>
  <c r="U56" i="1"/>
  <c r="U41" i="1"/>
  <c r="U11" i="1"/>
  <c r="U12" i="1"/>
  <c r="U13" i="1"/>
  <c r="U14" i="1"/>
  <c r="U32" i="1"/>
  <c r="U31" i="1"/>
  <c r="U25" i="1"/>
  <c r="R5" i="1"/>
  <c r="U27" i="1"/>
  <c r="U17" i="1"/>
  <c r="U48" i="1"/>
  <c r="AC7" i="1"/>
  <c r="AC5" i="1" s="1"/>
  <c r="U23" i="1"/>
  <c r="U43" i="1"/>
  <c r="U44" i="1"/>
  <c r="U9" i="1"/>
  <c r="L5" i="1"/>
</calcChain>
</file>

<file path=xl/sharedStrings.xml><?xml version="1.0" encoding="utf-8"?>
<sst xmlns="http://schemas.openxmlformats.org/spreadsheetml/2006/main" count="171" uniqueCount="89">
  <si>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</si>
  <si>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</si>
  <si>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</si>
  <si>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</si>
  <si>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</si>
  <si>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</si>
  <si>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</si>
  <si>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</si>
  <si>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</si>
  <si>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</si>
  <si>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</si>
  <si>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</si>
  <si>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</si>
  <si>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</si>
  <si>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</si>
  <si>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</si>
  <si>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</si>
  <si>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</si>
  <si>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</si>
  <si>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</si>
  <si>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</si>
  <si>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</si>
  <si>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</si>
  <si>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</si>
  <si>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</si>
  <si>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</si>
  <si>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</si>
  <si>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</si>
  <si>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</si>
  <si>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</si>
  <si>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</si>
  <si>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</si>
  <si>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</si>
  <si>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</si>
  <si>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</si>
  <si>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</si>
  <si>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</si>
  <si>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</si>
  <si>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</si>
  <si>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</si>
  <si>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</si>
  <si>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</si>
  <si>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</si>
  <si>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</si>
  <si>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</si>
  <si>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</si>
  <si>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</si>
  <si>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</si>
  <si>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</si>
  <si>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</si>
  <si>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</si>
  <si>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</si>
  <si>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</si>
  <si>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</si>
  <si>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</si>
  <si>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</si>
  <si>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Российский сливочный 45% ТМ Папа Может, брус (2шт)  Останкино</t>
  </si>
  <si>
    <t>дубль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</si>
  <si>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</si>
  <si>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</si>
  <si>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</si>
  <si>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</si>
  <si>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</si>
  <si>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</si>
  <si>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</si>
  <si>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</si>
  <si>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</si>
  <si>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</si>
  <si>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</si>
  <si>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</si>
  <si>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</si>
  <si>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</si>
  <si>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</si>
  <si>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</si>
  <si>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</si>
  <si>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</si>
  <si>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</si>
  <si>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</si>
  <si>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</si>
  <si>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</si>
  <si>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</si>
  <si>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</si>
  <si>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</si>
  <si>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</si>
  <si>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</si>
  <si>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</si>
  <si>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</si>
  <si>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нужно увеличить продажи!!!</t>
  </si>
  <si>
    <t>29,06,(доп)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</si>
</sst>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" fontId="0" fillId="0" borderId="0" xfId="0" applyNumberFormat="1" applyBorder="1"/>
    <xf numFmtId="1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" fontId="0" fillId="5" borderId="0" xfId="0" applyNumberFormat="1" applyFill="1" applyBorder="1"/>
    <xf numFmtId="1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заказ в пути</v>
          </cell>
          <cell r="P8" t="str">
            <v>ср нов</v>
          </cell>
          <cell r="Q8" t="str">
            <v>расчет</v>
          </cell>
          <cell r="R8" t="str">
            <v>заказ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</row>
        <row r="9">
          <cell r="A9" t="str">
            <v>-</v>
          </cell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N9" t="str">
            <v>15,06,</v>
          </cell>
          <cell r="O9" t="str">
            <v>22,06,</v>
          </cell>
          <cell r="P9" t="str">
            <v>22,06,</v>
          </cell>
          <cell r="Q9" t="str">
            <v>29,06,</v>
          </cell>
          <cell r="R9" t="str">
            <v>29,06,</v>
          </cell>
          <cell r="W9" t="str">
            <v>25,05,</v>
          </cell>
          <cell r="X9" t="str">
            <v>01,06,</v>
          </cell>
          <cell r="Y9" t="str">
            <v>08,06,</v>
          </cell>
          <cell r="Z9" t="str">
            <v>15,06,</v>
          </cell>
        </row>
        <row r="10">
          <cell r="A10" t="str">
            <v>-</v>
          </cell>
          <cell r="D10">
            <v>8040.063000000001</v>
          </cell>
          <cell r="E10">
            <v>2568.7939999999999</v>
          </cell>
          <cell r="F10">
            <v>3774.192</v>
          </cell>
          <cell r="G10">
            <v>6803.3629999999985</v>
          </cell>
          <cell r="L10">
            <v>5028.054000000001</v>
          </cell>
          <cell r="M10">
            <v>-1253.8620000000003</v>
          </cell>
          <cell r="N10">
            <v>5340</v>
          </cell>
          <cell r="O10">
            <v>5362.0959999999995</v>
          </cell>
          <cell r="P10">
            <v>754.83839999999998</v>
          </cell>
          <cell r="Q10">
            <v>3901.2489999999998</v>
          </cell>
          <cell r="R10">
            <v>3813.2489999999998</v>
          </cell>
          <cell r="S10">
            <v>0</v>
          </cell>
          <cell r="W10">
            <v>960.62299999999993</v>
          </cell>
          <cell r="X10">
            <v>581.02279999999985</v>
          </cell>
          <cell r="Y10">
            <v>925.91160000000013</v>
          </cell>
          <cell r="Z10">
            <v>787.73339999999985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296.91800000000001</v>
          </cell>
          <cell r="E11">
            <v>52.054000000000002</v>
          </cell>
          <cell r="F11">
            <v>102.17400000000001</v>
          </cell>
          <cell r="G11">
            <v>242.49600000000001</v>
          </cell>
          <cell r="H11">
            <v>1</v>
          </cell>
          <cell r="L11">
            <v>106.354</v>
          </cell>
          <cell r="M11">
            <v>-4.1799999999999926</v>
          </cell>
          <cell r="N11">
            <v>0</v>
          </cell>
          <cell r="O11">
            <v>62.314</v>
          </cell>
          <cell r="P11">
            <v>20.434800000000003</v>
          </cell>
          <cell r="Q11">
            <v>103.88600000000002</v>
          </cell>
          <cell r="R11">
            <v>103.88600000000002</v>
          </cell>
          <cell r="U11">
            <v>20</v>
          </cell>
          <cell r="V11">
            <v>11.866815432497503</v>
          </cell>
          <cell r="W11">
            <v>5.8540000000000001</v>
          </cell>
          <cell r="X11">
            <v>16.459399999999999</v>
          </cell>
          <cell r="Y11">
            <v>14.24</v>
          </cell>
          <cell r="Z11">
            <v>20.461600000000001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1577</v>
          </cell>
          <cell r="D12">
            <v>258</v>
          </cell>
          <cell r="F12">
            <v>33</v>
          </cell>
          <cell r="G12">
            <v>225</v>
          </cell>
          <cell r="H12">
            <v>0.18</v>
          </cell>
          <cell r="L12">
            <v>33</v>
          </cell>
          <cell r="M12">
            <v>0</v>
          </cell>
          <cell r="N12">
            <v>0</v>
          </cell>
          <cell r="O12">
            <v>0</v>
          </cell>
          <cell r="P12">
            <v>6.6</v>
          </cell>
          <cell r="R12">
            <v>0</v>
          </cell>
          <cell r="U12">
            <v>34.090909090909093</v>
          </cell>
          <cell r="V12">
            <v>34.090909090909093</v>
          </cell>
          <cell r="W12">
            <v>62</v>
          </cell>
          <cell r="X12">
            <v>0</v>
          </cell>
          <cell r="Y12">
            <v>1</v>
          </cell>
          <cell r="Z12">
            <v>7.4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1584</v>
          </cell>
          <cell r="D13">
            <v>285</v>
          </cell>
          <cell r="E13">
            <v>10</v>
          </cell>
          <cell r="F13">
            <v>22</v>
          </cell>
          <cell r="G13">
            <v>272</v>
          </cell>
          <cell r="H13">
            <v>0.18</v>
          </cell>
          <cell r="L13">
            <v>23</v>
          </cell>
          <cell r="M13">
            <v>-1</v>
          </cell>
          <cell r="N13">
            <v>0</v>
          </cell>
          <cell r="O13">
            <v>0</v>
          </cell>
          <cell r="P13">
            <v>4.4000000000000004</v>
          </cell>
          <cell r="R13">
            <v>0</v>
          </cell>
          <cell r="U13">
            <v>61.818181818181813</v>
          </cell>
          <cell r="V13">
            <v>61.818181818181813</v>
          </cell>
          <cell r="W13">
            <v>81</v>
          </cell>
          <cell r="X13">
            <v>5.6</v>
          </cell>
          <cell r="Y13">
            <v>9.1999999999999993</v>
          </cell>
          <cell r="Z13">
            <v>11.2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4931</v>
          </cell>
          <cell r="D14">
            <v>67.554000000000002</v>
          </cell>
          <cell r="E14">
            <v>48.042000000000002</v>
          </cell>
          <cell r="F14">
            <v>29.603999999999999</v>
          </cell>
          <cell r="G14">
            <v>85.992000000000004</v>
          </cell>
          <cell r="H14">
            <v>1</v>
          </cell>
          <cell r="L14">
            <v>0</v>
          </cell>
          <cell r="M14">
            <v>29.603999999999999</v>
          </cell>
          <cell r="N14">
            <v>0</v>
          </cell>
          <cell r="O14">
            <v>62.781999999999996</v>
          </cell>
          <cell r="P14">
            <v>5.9207999999999998</v>
          </cell>
          <cell r="R14">
            <v>0</v>
          </cell>
          <cell r="U14">
            <v>25.1273476557222</v>
          </cell>
          <cell r="V14">
            <v>14.52371301175517</v>
          </cell>
          <cell r="W14">
            <v>0</v>
          </cell>
          <cell r="X14">
            <v>0</v>
          </cell>
          <cell r="Y14">
            <v>0.61439999999999995</v>
          </cell>
          <cell r="Z14">
            <v>6.5167999999999999</v>
          </cell>
        </row>
        <row r="15">
          <cell r="A15" t="str">
            <v>5579 БЛИНЧ.КРУГЛЫЕ С САД.ЯБЛОК.пл.1/420 зам. ОСТАНКИНО</v>
          </cell>
          <cell r="B15" t="str">
            <v>шт</v>
          </cell>
          <cell r="C15">
            <v>5579</v>
          </cell>
          <cell r="D15">
            <v>233</v>
          </cell>
          <cell r="E15">
            <v>7</v>
          </cell>
          <cell r="F15">
            <v>10</v>
          </cell>
          <cell r="G15">
            <v>224</v>
          </cell>
          <cell r="H15">
            <v>0.42</v>
          </cell>
          <cell r="L15">
            <v>16</v>
          </cell>
          <cell r="M15">
            <v>-6</v>
          </cell>
          <cell r="N15">
            <v>0</v>
          </cell>
          <cell r="O15">
            <v>0</v>
          </cell>
          <cell r="P15">
            <v>2</v>
          </cell>
          <cell r="R15">
            <v>0</v>
          </cell>
          <cell r="T15" t="str">
            <v>блины</v>
          </cell>
          <cell r="U15">
            <v>112</v>
          </cell>
          <cell r="V15">
            <v>112</v>
          </cell>
          <cell r="W15">
            <v>1.4</v>
          </cell>
          <cell r="X15">
            <v>1.6</v>
          </cell>
          <cell r="Y15">
            <v>2.4</v>
          </cell>
          <cell r="Z15">
            <v>3.6</v>
          </cell>
        </row>
        <row r="16">
          <cell r="A16" t="str">
            <v>5754 БЛИНЧ.КРУГЛЫЕ С МЯСОМ 4,5кг зам. ПМ ОСТАНКИНО</v>
          </cell>
          <cell r="B16" t="str">
            <v>кг</v>
          </cell>
          <cell r="C16">
            <v>5754</v>
          </cell>
          <cell r="D16">
            <v>122.68600000000001</v>
          </cell>
          <cell r="F16">
            <v>18.146000000000001</v>
          </cell>
          <cell r="G16">
            <v>104.54</v>
          </cell>
          <cell r="H16">
            <v>1</v>
          </cell>
          <cell r="L16">
            <v>18</v>
          </cell>
          <cell r="M16">
            <v>0.1460000000000008</v>
          </cell>
          <cell r="N16">
            <v>0</v>
          </cell>
          <cell r="O16">
            <v>0</v>
          </cell>
          <cell r="P16">
            <v>3.6292</v>
          </cell>
          <cell r="R16">
            <v>0</v>
          </cell>
          <cell r="T16" t="str">
            <v>блины</v>
          </cell>
          <cell r="U16">
            <v>28.805246335280504</v>
          </cell>
          <cell r="V16">
            <v>28.805246335280504</v>
          </cell>
          <cell r="W16">
            <v>4.5772000000000004</v>
          </cell>
          <cell r="X16">
            <v>0</v>
          </cell>
          <cell r="Y16">
            <v>0.91279999999999994</v>
          </cell>
          <cell r="Z16">
            <v>0.91800000000000004</v>
          </cell>
        </row>
        <row r="17">
          <cell r="A17" t="str">
            <v>5755 БЛИНЧ.КРУГЛЫЕ С ТВОРОГОМ 4,5кг зам. ПМ ОСТАНКИНО</v>
          </cell>
          <cell r="B17" t="str">
            <v>кг</v>
          </cell>
          <cell r="C17">
            <v>5755</v>
          </cell>
          <cell r="D17">
            <v>272.82600000000002</v>
          </cell>
          <cell r="F17">
            <v>6.5</v>
          </cell>
          <cell r="G17">
            <v>266.32600000000002</v>
          </cell>
          <cell r="H17">
            <v>1</v>
          </cell>
          <cell r="L17">
            <v>6.5</v>
          </cell>
          <cell r="M17">
            <v>0</v>
          </cell>
          <cell r="N17">
            <v>0</v>
          </cell>
          <cell r="O17">
            <v>0</v>
          </cell>
          <cell r="P17">
            <v>1.3</v>
          </cell>
          <cell r="R17">
            <v>0</v>
          </cell>
          <cell r="T17" t="str">
            <v>блины</v>
          </cell>
          <cell r="U17">
            <v>204.86615384615385</v>
          </cell>
          <cell r="V17">
            <v>204.86615384615385</v>
          </cell>
          <cell r="W17">
            <v>2.7416</v>
          </cell>
          <cell r="X17">
            <v>0</v>
          </cell>
          <cell r="Y17">
            <v>0</v>
          </cell>
          <cell r="Z17">
            <v>0.9</v>
          </cell>
        </row>
        <row r="18">
          <cell r="A18" t="str">
            <v>5897 БЛИНЧ.КРУГЛЫЕ С ГРУШЕЙ пл.1/420 зам.   ОСТАНКИНО</v>
          </cell>
          <cell r="B18" t="str">
            <v>шт</v>
          </cell>
          <cell r="C18">
            <v>5897</v>
          </cell>
          <cell r="D18">
            <v>161</v>
          </cell>
          <cell r="E18">
            <v>7</v>
          </cell>
          <cell r="F18">
            <v>17</v>
          </cell>
          <cell r="G18">
            <v>146</v>
          </cell>
          <cell r="H18">
            <v>0.42</v>
          </cell>
          <cell r="L18">
            <v>22</v>
          </cell>
          <cell r="M18">
            <v>-5</v>
          </cell>
          <cell r="N18">
            <v>0</v>
          </cell>
          <cell r="O18">
            <v>0</v>
          </cell>
          <cell r="P18">
            <v>3.4</v>
          </cell>
          <cell r="R18">
            <v>0</v>
          </cell>
          <cell r="T18" t="str">
            <v>блины</v>
          </cell>
          <cell r="U18">
            <v>42.941176470588239</v>
          </cell>
          <cell r="V18">
            <v>42.941176470588239</v>
          </cell>
          <cell r="W18">
            <v>1</v>
          </cell>
          <cell r="X18">
            <v>2</v>
          </cell>
          <cell r="Y18">
            <v>1.4</v>
          </cell>
          <cell r="Z18">
            <v>3.2</v>
          </cell>
        </row>
        <row r="19">
          <cell r="A19" t="str">
            <v>6148 БЛИНЧ.КРУГЛЫЕ С ВЕТЧ.И СЫР. ПМ 1/300 зам. ОСТАНКИНО</v>
          </cell>
          <cell r="B19" t="str">
            <v>шт</v>
          </cell>
          <cell r="C19">
            <v>6148</v>
          </cell>
          <cell r="D19">
            <v>86</v>
          </cell>
          <cell r="E19">
            <v>7</v>
          </cell>
          <cell r="F19">
            <v>62</v>
          </cell>
          <cell r="G19">
            <v>26</v>
          </cell>
          <cell r="H19">
            <v>0.3</v>
          </cell>
          <cell r="L19">
            <v>67</v>
          </cell>
          <cell r="M19">
            <v>-5</v>
          </cell>
          <cell r="N19">
            <v>0</v>
          </cell>
          <cell r="O19">
            <v>138</v>
          </cell>
          <cell r="P19">
            <v>12.4</v>
          </cell>
          <cell r="Q19">
            <v>84</v>
          </cell>
          <cell r="R19">
            <v>0</v>
          </cell>
          <cell r="T19" t="str">
            <v>блины</v>
          </cell>
          <cell r="U19">
            <v>20</v>
          </cell>
          <cell r="V19">
            <v>2.096774193548387</v>
          </cell>
          <cell r="W19">
            <v>13.2</v>
          </cell>
          <cell r="X19">
            <v>10.4</v>
          </cell>
          <cell r="Y19">
            <v>5</v>
          </cell>
          <cell r="Z19">
            <v>11.2</v>
          </cell>
        </row>
        <row r="20">
          <cell r="A20" t="str">
            <v>6149 БЛИНЧ.КРУГЛЫЕ С ПЕЧЕНЬЮ ПМ 1/300 зам. ОСТАНКИНО</v>
          </cell>
          <cell r="B20" t="str">
            <v>шт</v>
          </cell>
          <cell r="C20">
            <v>6149</v>
          </cell>
          <cell r="D20">
            <v>128</v>
          </cell>
          <cell r="E20">
            <v>3</v>
          </cell>
          <cell r="F20">
            <v>77</v>
          </cell>
          <cell r="G20">
            <v>56</v>
          </cell>
          <cell r="H20">
            <v>0.3</v>
          </cell>
          <cell r="L20">
            <v>75</v>
          </cell>
          <cell r="M20">
            <v>2</v>
          </cell>
          <cell r="N20">
            <v>0</v>
          </cell>
          <cell r="O20">
            <v>288</v>
          </cell>
          <cell r="P20">
            <v>15.4</v>
          </cell>
          <cell r="R20">
            <v>0</v>
          </cell>
          <cell r="T20" t="str">
            <v>блины</v>
          </cell>
          <cell r="U20">
            <v>22.337662337662337</v>
          </cell>
          <cell r="V20">
            <v>3.6363636363636362</v>
          </cell>
          <cell r="W20">
            <v>18</v>
          </cell>
          <cell r="X20">
            <v>15.4</v>
          </cell>
          <cell r="Y20">
            <v>12.6</v>
          </cell>
          <cell r="Z20">
            <v>20.8</v>
          </cell>
        </row>
        <row r="21">
          <cell r="A21" t="str">
            <v>6168 Блинчики с мясом пл. 1/350 зам. ОСТАНКИНО</v>
          </cell>
          <cell r="B21" t="str">
            <v>шт</v>
          </cell>
          <cell r="C21">
            <v>6168</v>
          </cell>
          <cell r="D21">
            <v>161</v>
          </cell>
          <cell r="E21">
            <v>5</v>
          </cell>
          <cell r="F21">
            <v>55</v>
          </cell>
          <cell r="G21">
            <v>106</v>
          </cell>
          <cell r="H21">
            <v>0.35</v>
          </cell>
          <cell r="L21">
            <v>60</v>
          </cell>
          <cell r="M21">
            <v>-5</v>
          </cell>
          <cell r="N21">
            <v>0</v>
          </cell>
          <cell r="O21">
            <v>239</v>
          </cell>
          <cell r="P21">
            <v>11</v>
          </cell>
          <cell r="R21">
            <v>0</v>
          </cell>
          <cell r="T21" t="str">
            <v>блины</v>
          </cell>
          <cell r="U21">
            <v>31.363636363636363</v>
          </cell>
          <cell r="V21">
            <v>9.6363636363636367</v>
          </cell>
          <cell r="W21">
            <v>13.8</v>
          </cell>
          <cell r="X21">
            <v>12</v>
          </cell>
          <cell r="Y21">
            <v>16.2</v>
          </cell>
          <cell r="Z21">
            <v>20</v>
          </cell>
        </row>
        <row r="22">
          <cell r="A22" t="str">
            <v>6202 БЛИНЧ.КРУГЛЫЕ С ТВОРОГОМ ПМ 1/300 зам. ОСТАНКИНО</v>
          </cell>
          <cell r="B22" t="str">
            <v>шт</v>
          </cell>
          <cell r="C22">
            <v>6202</v>
          </cell>
          <cell r="D22">
            <v>176</v>
          </cell>
          <cell r="E22">
            <v>5</v>
          </cell>
          <cell r="F22">
            <v>54</v>
          </cell>
          <cell r="G22">
            <v>124</v>
          </cell>
          <cell r="H22">
            <v>0.3</v>
          </cell>
          <cell r="L22">
            <v>57</v>
          </cell>
          <cell r="M22">
            <v>-3</v>
          </cell>
          <cell r="N22">
            <v>0</v>
          </cell>
          <cell r="O22">
            <v>88</v>
          </cell>
          <cell r="P22">
            <v>10.8</v>
          </cell>
          <cell r="Q22">
            <v>4</v>
          </cell>
          <cell r="R22">
            <v>0</v>
          </cell>
          <cell r="T22" t="str">
            <v>блины</v>
          </cell>
          <cell r="U22">
            <v>20</v>
          </cell>
          <cell r="V22">
            <v>11.481481481481481</v>
          </cell>
          <cell r="W22">
            <v>8.4</v>
          </cell>
          <cell r="X22">
            <v>9.6</v>
          </cell>
          <cell r="Y22">
            <v>8.6</v>
          </cell>
          <cell r="Z22">
            <v>13.2</v>
          </cell>
        </row>
        <row r="23">
          <cell r="A23" t="str">
            <v>6209 Блинчики с куриным мясом пл. 1/350 зам. ОСТАНКИНО</v>
          </cell>
          <cell r="B23" t="str">
            <v>шт</v>
          </cell>
          <cell r="C23">
            <v>6209</v>
          </cell>
          <cell r="D23">
            <v>45</v>
          </cell>
          <cell r="E23">
            <v>5</v>
          </cell>
          <cell r="F23">
            <v>39</v>
          </cell>
          <cell r="G23">
            <v>6</v>
          </cell>
          <cell r="H23">
            <v>0.35</v>
          </cell>
          <cell r="L23">
            <v>78</v>
          </cell>
          <cell r="M23">
            <v>-39</v>
          </cell>
          <cell r="N23">
            <v>0</v>
          </cell>
          <cell r="O23">
            <v>167</v>
          </cell>
          <cell r="P23">
            <v>7.8</v>
          </cell>
          <cell r="R23">
            <v>0</v>
          </cell>
          <cell r="T23" t="str">
            <v>блины</v>
          </cell>
          <cell r="U23">
            <v>22.179487179487179</v>
          </cell>
          <cell r="V23">
            <v>0.76923076923076927</v>
          </cell>
          <cell r="W23">
            <v>16.2</v>
          </cell>
          <cell r="X23">
            <v>2</v>
          </cell>
          <cell r="Y23">
            <v>0</v>
          </cell>
          <cell r="Z23">
            <v>10.6</v>
          </cell>
        </row>
        <row r="24">
          <cell r="A24" t="str">
            <v>6819 БЛИНЧ.КРУГЛЫЕ С САД.ЯБЛОК. пл. 1/300 зам. ОСТАНКИНО</v>
          </cell>
          <cell r="B24" t="str">
            <v>шт</v>
          </cell>
          <cell r="C24">
            <v>6819</v>
          </cell>
          <cell r="D24">
            <v>140</v>
          </cell>
          <cell r="E24">
            <v>7</v>
          </cell>
          <cell r="F24">
            <v>13</v>
          </cell>
          <cell r="G24">
            <v>129</v>
          </cell>
          <cell r="H24">
            <v>0.3</v>
          </cell>
          <cell r="L24">
            <v>18</v>
          </cell>
          <cell r="M24">
            <v>-5</v>
          </cell>
          <cell r="N24">
            <v>0</v>
          </cell>
          <cell r="O24">
            <v>0</v>
          </cell>
          <cell r="P24">
            <v>2.6</v>
          </cell>
          <cell r="R24">
            <v>0</v>
          </cell>
          <cell r="T24" t="str">
            <v>блины</v>
          </cell>
          <cell r="U24">
            <v>49.615384615384613</v>
          </cell>
          <cell r="V24">
            <v>49.615384615384613</v>
          </cell>
          <cell r="W24">
            <v>0</v>
          </cell>
          <cell r="X24">
            <v>0</v>
          </cell>
          <cell r="Y24">
            <v>0</v>
          </cell>
          <cell r="Z24">
            <v>0.4</v>
          </cell>
        </row>
        <row r="25">
          <cell r="A25" t="str">
            <v>6948249 Майонезный соус провансаль 824,5гр деликатес.с массовой долей жирн.25% Коровино Останкино</v>
          </cell>
          <cell r="B25" t="str">
            <v>шт</v>
          </cell>
          <cell r="C25">
            <v>8249</v>
          </cell>
          <cell r="D25">
            <v>187</v>
          </cell>
          <cell r="F25">
            <v>8</v>
          </cell>
          <cell r="G25">
            <v>179</v>
          </cell>
          <cell r="H25">
            <v>0.82450000000000001</v>
          </cell>
          <cell r="I25">
            <v>180</v>
          </cell>
          <cell r="L25">
            <v>8</v>
          </cell>
          <cell r="M25">
            <v>0</v>
          </cell>
          <cell r="N25">
            <v>0</v>
          </cell>
          <cell r="O25">
            <v>0</v>
          </cell>
          <cell r="P25">
            <v>1.6</v>
          </cell>
          <cell r="R25">
            <v>0</v>
          </cell>
          <cell r="U25">
            <v>111.875</v>
          </cell>
          <cell r="V25">
            <v>111.875</v>
          </cell>
          <cell r="W25">
            <v>7.6</v>
          </cell>
          <cell r="X25">
            <v>1</v>
          </cell>
          <cell r="Y25">
            <v>2.2000000000000002</v>
          </cell>
          <cell r="Z25">
            <v>3.8</v>
          </cell>
        </row>
        <row r="26">
          <cell r="A26" t="str">
            <v>6948256 Майонез провансаль классич.оливковый Папа может 372гр с массовой долей жирн. 67% Останкино</v>
          </cell>
          <cell r="B26" t="str">
            <v>шт</v>
          </cell>
          <cell r="C26">
            <v>8256</v>
          </cell>
          <cell r="D26">
            <v>379</v>
          </cell>
          <cell r="F26">
            <v>105</v>
          </cell>
          <cell r="G26">
            <v>274</v>
          </cell>
          <cell r="H26">
            <v>0.372</v>
          </cell>
          <cell r="I26">
            <v>180</v>
          </cell>
          <cell r="L26">
            <v>105</v>
          </cell>
          <cell r="M26">
            <v>0</v>
          </cell>
          <cell r="N26">
            <v>400</v>
          </cell>
          <cell r="O26">
            <v>0</v>
          </cell>
          <cell r="P26">
            <v>21</v>
          </cell>
          <cell r="R26">
            <v>0</v>
          </cell>
          <cell r="U26">
            <v>32.095238095238095</v>
          </cell>
          <cell r="V26">
            <v>13.047619047619047</v>
          </cell>
          <cell r="W26">
            <v>32.200000000000003</v>
          </cell>
          <cell r="X26">
            <v>21.8</v>
          </cell>
          <cell r="Y26">
            <v>44.4</v>
          </cell>
          <cell r="Z26">
            <v>20.6</v>
          </cell>
        </row>
        <row r="27">
          <cell r="A27" t="str">
            <v>6948263 Майонез провансаль классич.оливковый Папа может 744гр с массовой долей жирн. 67% Останкино</v>
          </cell>
          <cell r="B27" t="str">
            <v>шт</v>
          </cell>
          <cell r="C27">
            <v>8263</v>
          </cell>
          <cell r="D27">
            <v>405</v>
          </cell>
          <cell r="F27">
            <v>100</v>
          </cell>
          <cell r="G27">
            <v>305</v>
          </cell>
          <cell r="H27">
            <v>0.74399999999999999</v>
          </cell>
          <cell r="I27">
            <v>180</v>
          </cell>
          <cell r="L27">
            <v>98</v>
          </cell>
          <cell r="M27">
            <v>2</v>
          </cell>
          <cell r="N27">
            <v>0</v>
          </cell>
          <cell r="O27">
            <v>0</v>
          </cell>
          <cell r="P27">
            <v>20</v>
          </cell>
          <cell r="Q27">
            <v>95</v>
          </cell>
          <cell r="R27">
            <v>95</v>
          </cell>
          <cell r="U27">
            <v>20</v>
          </cell>
          <cell r="V27">
            <v>15.25</v>
          </cell>
          <cell r="W27">
            <v>6.2</v>
          </cell>
          <cell r="X27">
            <v>21.2</v>
          </cell>
          <cell r="Y27">
            <v>23.4</v>
          </cell>
          <cell r="Z27">
            <v>19</v>
          </cell>
        </row>
        <row r="28">
          <cell r="A28" t="str">
            <v>6948270 Майонез провансаль классич.Папа может 372гр с массовой долей жирн. 67% Останкино</v>
          </cell>
          <cell r="B28" t="str">
            <v>шт</v>
          </cell>
          <cell r="C28">
            <v>8270</v>
          </cell>
          <cell r="D28">
            <v>270</v>
          </cell>
          <cell r="E28">
            <v>64</v>
          </cell>
          <cell r="F28">
            <v>250</v>
          </cell>
          <cell r="G28">
            <v>80</v>
          </cell>
          <cell r="H28">
            <v>0.372</v>
          </cell>
          <cell r="I28">
            <v>180</v>
          </cell>
          <cell r="L28">
            <v>255</v>
          </cell>
          <cell r="M28">
            <v>-5</v>
          </cell>
          <cell r="N28">
            <v>260</v>
          </cell>
          <cell r="O28">
            <v>634</v>
          </cell>
          <cell r="P28">
            <v>50</v>
          </cell>
          <cell r="Q28">
            <v>26</v>
          </cell>
          <cell r="R28">
            <v>26</v>
          </cell>
          <cell r="U28">
            <v>20</v>
          </cell>
          <cell r="V28">
            <v>1.6</v>
          </cell>
          <cell r="W28">
            <v>54.4</v>
          </cell>
          <cell r="X28">
            <v>48</v>
          </cell>
          <cell r="Y28">
            <v>70.8</v>
          </cell>
          <cell r="Z28">
            <v>61.2</v>
          </cell>
        </row>
        <row r="29">
          <cell r="A29" t="str">
            <v>6948287 Майонез провансаль классич.Папа может 744гр с массовой долей жирн. 67% Останкино</v>
          </cell>
          <cell r="B29" t="str">
            <v>шт</v>
          </cell>
          <cell r="C29">
            <v>8287</v>
          </cell>
          <cell r="D29">
            <v>74</v>
          </cell>
          <cell r="E29">
            <v>216</v>
          </cell>
          <cell r="F29">
            <v>182</v>
          </cell>
          <cell r="G29">
            <v>108</v>
          </cell>
          <cell r="H29">
            <v>0.74399999999999999</v>
          </cell>
          <cell r="I29">
            <v>180</v>
          </cell>
          <cell r="L29">
            <v>182</v>
          </cell>
          <cell r="M29">
            <v>0</v>
          </cell>
          <cell r="N29">
            <v>100</v>
          </cell>
          <cell r="O29">
            <v>582</v>
          </cell>
          <cell r="P29">
            <v>36.4</v>
          </cell>
          <cell r="R29">
            <v>0</v>
          </cell>
          <cell r="U29">
            <v>21.703296703296704</v>
          </cell>
          <cell r="V29">
            <v>2.9670329670329672</v>
          </cell>
          <cell r="W29">
            <v>31</v>
          </cell>
          <cell r="X29">
            <v>32.200000000000003</v>
          </cell>
          <cell r="Y29">
            <v>39</v>
          </cell>
          <cell r="Z29">
            <v>48.8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 t="str">
            <v>шт</v>
          </cell>
          <cell r="C30">
            <v>8421</v>
          </cell>
          <cell r="D30">
            <v>146</v>
          </cell>
          <cell r="F30">
            <v>19</v>
          </cell>
          <cell r="G30">
            <v>127</v>
          </cell>
          <cell r="H30">
            <v>0</v>
          </cell>
          <cell r="L30">
            <v>19</v>
          </cell>
          <cell r="M30">
            <v>0</v>
          </cell>
          <cell r="N30">
            <v>0</v>
          </cell>
          <cell r="O30">
            <v>0</v>
          </cell>
          <cell r="P30">
            <v>3.8</v>
          </cell>
          <cell r="R30">
            <v>0</v>
          </cell>
          <cell r="U30">
            <v>33.421052631578952</v>
          </cell>
          <cell r="V30">
            <v>33.421052631578952</v>
          </cell>
          <cell r="W30">
            <v>1.4</v>
          </cell>
          <cell r="X30">
            <v>3.4</v>
          </cell>
          <cell r="Y30">
            <v>2.2000000000000002</v>
          </cell>
          <cell r="Z30">
            <v>0.4</v>
          </cell>
        </row>
        <row r="31">
          <cell r="A31" t="str">
            <v>9988445 Плавленый Сыр 45%"С грибами" СТМ"ПапаМожет" 180 гр  Останкино</v>
          </cell>
          <cell r="B31" t="str">
            <v>шт</v>
          </cell>
          <cell r="C31">
            <v>8445</v>
          </cell>
          <cell r="D31">
            <v>100</v>
          </cell>
          <cell r="E31">
            <v>112</v>
          </cell>
          <cell r="F31">
            <v>42</v>
          </cell>
          <cell r="G31">
            <v>169</v>
          </cell>
          <cell r="H31">
            <v>0.18</v>
          </cell>
          <cell r="I31">
            <v>270</v>
          </cell>
          <cell r="L31">
            <v>43</v>
          </cell>
          <cell r="M31">
            <v>-1</v>
          </cell>
          <cell r="N31">
            <v>0</v>
          </cell>
          <cell r="O31">
            <v>0</v>
          </cell>
          <cell r="P31">
            <v>8.4</v>
          </cell>
          <cell r="R31">
            <v>0</v>
          </cell>
          <cell r="U31">
            <v>20.119047619047617</v>
          </cell>
          <cell r="V31">
            <v>20.119047619047617</v>
          </cell>
          <cell r="W31">
            <v>10.8</v>
          </cell>
          <cell r="X31">
            <v>11</v>
          </cell>
          <cell r="Y31">
            <v>12</v>
          </cell>
          <cell r="Z31">
            <v>8.8000000000000007</v>
          </cell>
        </row>
        <row r="32">
          <cell r="A32" t="str">
            <v>Cыр Перлини со вкусом Васаби 40% 100гр (8шт)  Останкино</v>
          </cell>
          <cell r="B32" t="str">
            <v>шт</v>
          </cell>
          <cell r="C32">
            <v>8444927</v>
          </cell>
          <cell r="D32">
            <v>131</v>
          </cell>
          <cell r="F32">
            <v>27</v>
          </cell>
          <cell r="G32">
            <v>99</v>
          </cell>
          <cell r="H32">
            <v>0.1</v>
          </cell>
          <cell r="L32">
            <v>30</v>
          </cell>
          <cell r="M32">
            <v>-3</v>
          </cell>
          <cell r="N32">
            <v>0</v>
          </cell>
          <cell r="O32">
            <v>41</v>
          </cell>
          <cell r="P32">
            <v>5.4</v>
          </cell>
          <cell r="R32">
            <v>0</v>
          </cell>
          <cell r="U32">
            <v>25.925925925925924</v>
          </cell>
          <cell r="V32">
            <v>18.333333333333332</v>
          </cell>
          <cell r="W32">
            <v>11.6</v>
          </cell>
          <cell r="X32">
            <v>5.2</v>
          </cell>
          <cell r="Y32">
            <v>9</v>
          </cell>
          <cell r="Z32">
            <v>8.6</v>
          </cell>
        </row>
        <row r="33">
          <cell r="A33" t="str">
            <v>А_Сыр Боккончини копченый 40% 100 гр.  ОСТАНКИНО</v>
          </cell>
          <cell r="B33" t="str">
            <v>шт</v>
          </cell>
          <cell r="D33">
            <v>20</v>
          </cell>
          <cell r="F33">
            <v>10</v>
          </cell>
          <cell r="G33">
            <v>10</v>
          </cell>
          <cell r="H33">
            <v>0.1</v>
          </cell>
          <cell r="L33">
            <v>11</v>
          </cell>
          <cell r="M33">
            <v>-1</v>
          </cell>
          <cell r="N33">
            <v>0</v>
          </cell>
          <cell r="O33">
            <v>0</v>
          </cell>
          <cell r="P33">
            <v>2</v>
          </cell>
          <cell r="Q33">
            <v>30</v>
          </cell>
          <cell r="R33">
            <v>30</v>
          </cell>
          <cell r="U33">
            <v>20</v>
          </cell>
          <cell r="V33">
            <v>5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A34" t="str">
            <v>Масло "Папа может" 82,5% 180гр  Останкино</v>
          </cell>
          <cell r="B34" t="str">
            <v>шт</v>
          </cell>
          <cell r="C34">
            <v>1018967</v>
          </cell>
          <cell r="D34">
            <v>-2</v>
          </cell>
          <cell r="E34">
            <v>530</v>
          </cell>
          <cell r="F34">
            <v>404</v>
          </cell>
          <cell r="G34">
            <v>97</v>
          </cell>
          <cell r="H34">
            <v>0.18</v>
          </cell>
          <cell r="I34">
            <v>120</v>
          </cell>
          <cell r="L34">
            <v>444</v>
          </cell>
          <cell r="M34">
            <v>-40</v>
          </cell>
          <cell r="N34">
            <v>0</v>
          </cell>
          <cell r="O34">
            <v>0</v>
          </cell>
          <cell r="P34">
            <v>80.8</v>
          </cell>
          <cell r="Q34">
            <v>1519</v>
          </cell>
          <cell r="R34">
            <v>1519</v>
          </cell>
          <cell r="U34">
            <v>20</v>
          </cell>
          <cell r="V34">
            <v>1.2004950495049505</v>
          </cell>
          <cell r="W34">
            <v>41</v>
          </cell>
          <cell r="X34">
            <v>35.200000000000003</v>
          </cell>
          <cell r="Y34">
            <v>32</v>
          </cell>
          <cell r="Z34">
            <v>1.4</v>
          </cell>
        </row>
        <row r="35">
          <cell r="A35" t="str">
            <v>Масло сливочное 72,5 % 180 гр.(10 шт) СЛАВЯНА  Останкино</v>
          </cell>
          <cell r="B35" t="str">
            <v>шт</v>
          </cell>
          <cell r="C35">
            <v>1018950</v>
          </cell>
          <cell r="E35">
            <v>230</v>
          </cell>
          <cell r="F35">
            <v>210</v>
          </cell>
          <cell r="G35">
            <v>10</v>
          </cell>
          <cell r="H35">
            <v>0.18</v>
          </cell>
          <cell r="I35">
            <v>120</v>
          </cell>
          <cell r="L35">
            <v>336</v>
          </cell>
          <cell r="M35">
            <v>-126</v>
          </cell>
          <cell r="N35">
            <v>1400</v>
          </cell>
          <cell r="O35">
            <v>1500</v>
          </cell>
          <cell r="P35">
            <v>42</v>
          </cell>
          <cell r="R35">
            <v>0</v>
          </cell>
          <cell r="U35">
            <v>69.285714285714292</v>
          </cell>
          <cell r="V35">
            <v>0.23809523809523808</v>
          </cell>
          <cell r="W35">
            <v>137.6</v>
          </cell>
          <cell r="X35">
            <v>94.6</v>
          </cell>
          <cell r="Y35">
            <v>193.8</v>
          </cell>
          <cell r="Z35">
            <v>156</v>
          </cell>
        </row>
        <row r="36">
          <cell r="A36" t="str">
            <v>Плавленый продукт с Сыром колбасный копченый 40% СТМ "Коровино" 400гр  Останкино</v>
          </cell>
          <cell r="B36" t="str">
            <v>шт</v>
          </cell>
          <cell r="C36">
            <v>9988476</v>
          </cell>
          <cell r="D36">
            <v>92</v>
          </cell>
          <cell r="F36">
            <v>1</v>
          </cell>
          <cell r="G36">
            <v>91</v>
          </cell>
          <cell r="H36">
            <v>0.4</v>
          </cell>
          <cell r="I36">
            <v>270</v>
          </cell>
          <cell r="L36">
            <v>1</v>
          </cell>
          <cell r="M36">
            <v>0</v>
          </cell>
          <cell r="N36">
            <v>0</v>
          </cell>
          <cell r="O36">
            <v>0</v>
          </cell>
          <cell r="P36">
            <v>0.2</v>
          </cell>
          <cell r="R36">
            <v>0</v>
          </cell>
          <cell r="U36">
            <v>455</v>
          </cell>
          <cell r="V36">
            <v>455</v>
          </cell>
          <cell r="W36">
            <v>1</v>
          </cell>
          <cell r="X36">
            <v>0</v>
          </cell>
          <cell r="Y36">
            <v>0.2</v>
          </cell>
          <cell r="Z36">
            <v>0.2</v>
          </cell>
        </row>
        <row r="37">
          <cell r="A37" t="str">
            <v>Плавленый сыр "Шоколадный" 30% 180гр Папа Может Останкино</v>
          </cell>
          <cell r="B37" t="str">
            <v>шт</v>
          </cell>
          <cell r="C37">
            <v>9988674</v>
          </cell>
          <cell r="D37">
            <v>226</v>
          </cell>
          <cell r="F37">
            <v>5</v>
          </cell>
          <cell r="G37">
            <v>221</v>
          </cell>
          <cell r="H37">
            <v>0.18</v>
          </cell>
          <cell r="L37">
            <v>5</v>
          </cell>
          <cell r="M37">
            <v>0</v>
          </cell>
          <cell r="N37">
            <v>0</v>
          </cell>
          <cell r="O37">
            <v>0</v>
          </cell>
          <cell r="P37">
            <v>1</v>
          </cell>
          <cell r="R37">
            <v>0</v>
          </cell>
          <cell r="U37">
            <v>221</v>
          </cell>
          <cell r="V37">
            <v>221</v>
          </cell>
          <cell r="W37">
            <v>3.6</v>
          </cell>
          <cell r="X37">
            <v>3.2</v>
          </cell>
          <cell r="Y37">
            <v>0.6</v>
          </cell>
          <cell r="Z37">
            <v>1.4</v>
          </cell>
        </row>
        <row r="38">
          <cell r="A38" t="str">
            <v>Плавленый Сыр колбасный копченый 40% СТМ"ПапаМожет"400гр  Останкино</v>
          </cell>
          <cell r="B38" t="str">
            <v>шт</v>
          </cell>
          <cell r="C38">
            <v>9988452</v>
          </cell>
          <cell r="D38">
            <v>20</v>
          </cell>
          <cell r="F38">
            <v>4</v>
          </cell>
          <cell r="G38">
            <v>16</v>
          </cell>
          <cell r="H38">
            <v>0.4</v>
          </cell>
          <cell r="I38">
            <v>270</v>
          </cell>
          <cell r="L38">
            <v>4</v>
          </cell>
          <cell r="M38">
            <v>0</v>
          </cell>
          <cell r="N38">
            <v>0</v>
          </cell>
          <cell r="O38">
            <v>36</v>
          </cell>
          <cell r="P38">
            <v>0.8</v>
          </cell>
          <cell r="R38">
            <v>0</v>
          </cell>
          <cell r="U38">
            <v>65</v>
          </cell>
          <cell r="V38">
            <v>20</v>
          </cell>
          <cell r="W38">
            <v>0.4</v>
          </cell>
          <cell r="X38">
            <v>0.6</v>
          </cell>
          <cell r="Y38">
            <v>0.6</v>
          </cell>
          <cell r="Z38">
            <v>2.8</v>
          </cell>
        </row>
        <row r="39">
          <cell r="A39" t="str">
            <v>Продукт белково-жировой Сметанковый 50% ВЕС Коровино Останкино</v>
          </cell>
          <cell r="B39" t="str">
            <v>кг</v>
          </cell>
          <cell r="C39">
            <v>7100726</v>
          </cell>
          <cell r="D39">
            <v>54.895000000000003</v>
          </cell>
          <cell r="F39">
            <v>0</v>
          </cell>
          <cell r="G39">
            <v>54.895000000000003</v>
          </cell>
          <cell r="H39">
            <v>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>
            <v>0</v>
          </cell>
          <cell r="U39" t="e">
            <v>#DIV/0!</v>
          </cell>
          <cell r="V39" t="e">
            <v>#DIV/0!</v>
          </cell>
          <cell r="W39">
            <v>0.44500000000000001</v>
          </cell>
          <cell r="X39">
            <v>0.97499999999999998</v>
          </cell>
          <cell r="Y39">
            <v>0</v>
          </cell>
          <cell r="Z39">
            <v>1.7669999999999999</v>
          </cell>
        </row>
        <row r="40">
          <cell r="A40" t="str">
            <v>Продукт По-Росийски Классический с ЗМЖ 50% 200г Коровино Останкино</v>
          </cell>
          <cell r="B40" t="str">
            <v>шт</v>
          </cell>
          <cell r="C40">
            <v>7100108</v>
          </cell>
          <cell r="D40">
            <v>27</v>
          </cell>
          <cell r="F40">
            <v>0</v>
          </cell>
          <cell r="G40">
            <v>27</v>
          </cell>
          <cell r="H40">
            <v>0.2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R40">
            <v>0</v>
          </cell>
          <cell r="U40" t="e">
            <v>#DIV/0!</v>
          </cell>
          <cell r="V40" t="e">
            <v>#DIV/0!</v>
          </cell>
          <cell r="W40">
            <v>0</v>
          </cell>
          <cell r="X40">
            <v>1</v>
          </cell>
          <cell r="Y40">
            <v>0</v>
          </cell>
          <cell r="Z40">
            <v>0</v>
          </cell>
        </row>
        <row r="41">
          <cell r="A41" t="str">
            <v>Продукт По-Росийски Классический с ЗМЖ 50% ВЕС Коровино Останкино</v>
          </cell>
          <cell r="B41" t="str">
            <v>кг</v>
          </cell>
          <cell r="C41">
            <v>7100139</v>
          </cell>
          <cell r="D41">
            <v>67.125</v>
          </cell>
          <cell r="F41">
            <v>0</v>
          </cell>
          <cell r="G41">
            <v>67.125</v>
          </cell>
          <cell r="H41">
            <v>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>
            <v>0</v>
          </cell>
          <cell r="U41" t="e">
            <v>#DIV/0!</v>
          </cell>
          <cell r="V41" t="e">
            <v>#DIV/0!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A42" t="str">
            <v>Сыр "Пармезан" 40% кусок 180 гр  ОСТАНКИНО</v>
          </cell>
          <cell r="B42" t="str">
            <v>шт</v>
          </cell>
          <cell r="C42">
            <v>5034819</v>
          </cell>
          <cell r="D42">
            <v>117</v>
          </cell>
          <cell r="F42">
            <v>0</v>
          </cell>
          <cell r="G42">
            <v>117</v>
          </cell>
          <cell r="H42">
            <v>0.18</v>
          </cell>
          <cell r="I42">
            <v>150</v>
          </cell>
          <cell r="L42">
            <v>134</v>
          </cell>
          <cell r="M42">
            <v>-134</v>
          </cell>
          <cell r="N42">
            <v>0</v>
          </cell>
          <cell r="O42">
            <v>0</v>
          </cell>
          <cell r="P42">
            <v>0</v>
          </cell>
          <cell r="R42">
            <v>0</v>
          </cell>
          <cell r="U42" t="e">
            <v>#DIV/0!</v>
          </cell>
          <cell r="V42" t="e">
            <v>#DIV/0!</v>
          </cell>
          <cell r="W42">
            <v>0</v>
          </cell>
          <cell r="X42">
            <v>-0.6</v>
          </cell>
          <cell r="Y42">
            <v>-0.6</v>
          </cell>
          <cell r="Z42">
            <v>-0.2</v>
          </cell>
        </row>
        <row r="43">
          <cell r="A43" t="str">
            <v>Сыр Боккончини копченый 40% 100 гр.  ОСТАНКИНО</v>
          </cell>
          <cell r="B43" t="str">
            <v>шт</v>
          </cell>
          <cell r="C43">
            <v>8444163</v>
          </cell>
          <cell r="E43">
            <v>120</v>
          </cell>
          <cell r="F43">
            <v>61</v>
          </cell>
          <cell r="G43">
            <v>55</v>
          </cell>
          <cell r="H43">
            <v>0.1</v>
          </cell>
          <cell r="I43">
            <v>90</v>
          </cell>
          <cell r="L43">
            <v>73</v>
          </cell>
          <cell r="M43">
            <v>-12</v>
          </cell>
          <cell r="N43">
            <v>0</v>
          </cell>
          <cell r="O43">
            <v>0</v>
          </cell>
          <cell r="P43">
            <v>12.2</v>
          </cell>
          <cell r="Q43">
            <v>189</v>
          </cell>
          <cell r="R43">
            <v>189</v>
          </cell>
          <cell r="U43">
            <v>20</v>
          </cell>
          <cell r="V43">
            <v>4.5081967213114753</v>
          </cell>
          <cell r="W43">
            <v>0</v>
          </cell>
          <cell r="X43">
            <v>0</v>
          </cell>
          <cell r="Y43">
            <v>0</v>
          </cell>
          <cell r="Z43">
            <v>-0.6</v>
          </cell>
        </row>
        <row r="44">
          <cell r="A44" t="str">
            <v>Сыр Косичка сырная 45% 100г/8шт Папа Может Останкино</v>
          </cell>
          <cell r="B44" t="str">
            <v>шт</v>
          </cell>
          <cell r="C44">
            <v>8445160</v>
          </cell>
          <cell r="D44">
            <v>14</v>
          </cell>
          <cell r="F44">
            <v>10</v>
          </cell>
          <cell r="G44">
            <v>-3</v>
          </cell>
          <cell r="H44">
            <v>0.1</v>
          </cell>
          <cell r="L44">
            <v>79</v>
          </cell>
          <cell r="M44">
            <v>-69</v>
          </cell>
          <cell r="N44">
            <v>650</v>
          </cell>
          <cell r="O44">
            <v>0</v>
          </cell>
          <cell r="P44">
            <v>2</v>
          </cell>
          <cell r="R44">
            <v>0</v>
          </cell>
          <cell r="U44">
            <v>323.5</v>
          </cell>
          <cell r="V44">
            <v>-1.5</v>
          </cell>
          <cell r="W44">
            <v>14</v>
          </cell>
          <cell r="X44">
            <v>5.2</v>
          </cell>
          <cell r="Y44">
            <v>44.2</v>
          </cell>
          <cell r="Z44">
            <v>24.8</v>
          </cell>
        </row>
        <row r="45">
          <cell r="A45" t="str">
            <v>Сыр Косичка сырная копченая 43% 100г/8шт Папа Может Останкино</v>
          </cell>
          <cell r="B45" t="str">
            <v>шт</v>
          </cell>
          <cell r="C45">
            <v>8445177</v>
          </cell>
          <cell r="D45">
            <v>111</v>
          </cell>
          <cell r="E45">
            <v>2</v>
          </cell>
          <cell r="F45">
            <v>103</v>
          </cell>
          <cell r="G45">
            <v>1</v>
          </cell>
          <cell r="H45">
            <v>0.1</v>
          </cell>
          <cell r="L45">
            <v>118</v>
          </cell>
          <cell r="M45">
            <v>-15</v>
          </cell>
          <cell r="N45">
            <v>300</v>
          </cell>
          <cell r="O45">
            <v>17</v>
          </cell>
          <cell r="P45">
            <v>20.6</v>
          </cell>
          <cell r="Q45">
            <v>94</v>
          </cell>
          <cell r="R45">
            <v>94</v>
          </cell>
          <cell r="U45">
            <v>20</v>
          </cell>
          <cell r="V45">
            <v>4.8543689320388349E-2</v>
          </cell>
          <cell r="W45">
            <v>16.2</v>
          </cell>
          <cell r="X45">
            <v>2.2000000000000002</v>
          </cell>
          <cell r="Y45">
            <v>28</v>
          </cell>
          <cell r="Z45">
            <v>21.4</v>
          </cell>
        </row>
        <row r="46">
          <cell r="A46" t="str">
            <v>Сыр ПАПА МОЖЕТ "Гауда Голд" 45 % 180 гр (10шт) Останкино</v>
          </cell>
          <cell r="B46" t="str">
            <v>шт</v>
          </cell>
          <cell r="C46">
            <v>5038411</v>
          </cell>
          <cell r="D46">
            <v>92</v>
          </cell>
          <cell r="E46">
            <v>120</v>
          </cell>
          <cell r="F46">
            <v>116</v>
          </cell>
          <cell r="G46">
            <v>93</v>
          </cell>
          <cell r="H46">
            <v>0.18</v>
          </cell>
          <cell r="I46">
            <v>150</v>
          </cell>
          <cell r="L46">
            <v>182</v>
          </cell>
          <cell r="M46">
            <v>-66</v>
          </cell>
          <cell r="N46">
            <v>300</v>
          </cell>
          <cell r="O46">
            <v>0</v>
          </cell>
          <cell r="P46">
            <v>23.2</v>
          </cell>
          <cell r="Q46">
            <v>71</v>
          </cell>
          <cell r="R46">
            <v>71</v>
          </cell>
          <cell r="U46">
            <v>20</v>
          </cell>
          <cell r="V46">
            <v>4.0086206896551726</v>
          </cell>
          <cell r="W46">
            <v>39.4</v>
          </cell>
          <cell r="X46">
            <v>37.799999999999997</v>
          </cell>
          <cell r="Y46">
            <v>35</v>
          </cell>
          <cell r="Z46">
            <v>15</v>
          </cell>
        </row>
        <row r="47">
          <cell r="A47" t="str">
            <v>Сыр ПАПА МОЖЕТ "Голландский традиционный" 45% 180 гр (10шт)  Останкино</v>
          </cell>
          <cell r="B47" t="str">
            <v>шт</v>
          </cell>
          <cell r="C47">
            <v>5038459</v>
          </cell>
          <cell r="D47">
            <v>82</v>
          </cell>
          <cell r="F47">
            <v>99</v>
          </cell>
          <cell r="G47">
            <v>-19</v>
          </cell>
          <cell r="H47">
            <v>0.18</v>
          </cell>
          <cell r="I47">
            <v>150</v>
          </cell>
          <cell r="L47">
            <v>342</v>
          </cell>
          <cell r="M47">
            <v>-243</v>
          </cell>
          <cell r="N47">
            <v>1000</v>
          </cell>
          <cell r="O47">
            <v>0</v>
          </cell>
          <cell r="P47">
            <v>19.8</v>
          </cell>
          <cell r="R47">
            <v>0</v>
          </cell>
          <cell r="U47">
            <v>49.545454545454547</v>
          </cell>
          <cell r="V47">
            <v>-0.95959595959595956</v>
          </cell>
          <cell r="W47">
            <v>26.4</v>
          </cell>
          <cell r="X47">
            <v>2</v>
          </cell>
          <cell r="Y47">
            <v>83.6</v>
          </cell>
          <cell r="Z47">
            <v>15.8</v>
          </cell>
        </row>
        <row r="48">
          <cell r="A48" t="str">
            <v>Сыр ПАПА МОЖЕТ "Министерский" 180 г фасованный массовая  Останкино</v>
          </cell>
          <cell r="B48" t="str">
            <v>шт</v>
          </cell>
          <cell r="C48">
            <v>5038831</v>
          </cell>
          <cell r="D48">
            <v>126</v>
          </cell>
          <cell r="F48">
            <v>0</v>
          </cell>
          <cell r="G48">
            <v>126</v>
          </cell>
          <cell r="H48">
            <v>0.18</v>
          </cell>
          <cell r="I48">
            <v>150</v>
          </cell>
          <cell r="L48">
            <v>169</v>
          </cell>
          <cell r="M48">
            <v>-169</v>
          </cell>
          <cell r="N48">
            <v>0</v>
          </cell>
          <cell r="O48">
            <v>0</v>
          </cell>
          <cell r="P48">
            <v>0</v>
          </cell>
          <cell r="R48">
            <v>0</v>
          </cell>
          <cell r="U48" t="e">
            <v>#DIV/0!</v>
          </cell>
          <cell r="V48" t="e">
            <v>#DIV/0!</v>
          </cell>
          <cell r="W48">
            <v>0.2</v>
          </cell>
          <cell r="X48">
            <v>0</v>
          </cell>
          <cell r="Y48">
            <v>-0.4</v>
          </cell>
          <cell r="Z48">
            <v>-0.4</v>
          </cell>
        </row>
        <row r="49">
          <cell r="A49" t="str">
            <v>Сыр ПАПА МОЖЕТ "Папин завтрак"  45% 180 г  Останкино</v>
          </cell>
          <cell r="B49" t="str">
            <v>шт</v>
          </cell>
          <cell r="C49">
            <v>5038855</v>
          </cell>
          <cell r="D49">
            <v>115</v>
          </cell>
          <cell r="E49">
            <v>120</v>
          </cell>
          <cell r="F49">
            <v>135</v>
          </cell>
          <cell r="G49">
            <v>97</v>
          </cell>
          <cell r="H49">
            <v>0.18</v>
          </cell>
          <cell r="I49">
            <v>120</v>
          </cell>
          <cell r="L49">
            <v>127</v>
          </cell>
          <cell r="M49">
            <v>8</v>
          </cell>
          <cell r="N49">
            <v>30</v>
          </cell>
          <cell r="O49">
            <v>183</v>
          </cell>
          <cell r="P49">
            <v>27</v>
          </cell>
          <cell r="Q49">
            <v>230</v>
          </cell>
          <cell r="R49">
            <v>230</v>
          </cell>
          <cell r="U49">
            <v>20</v>
          </cell>
          <cell r="V49">
            <v>3.5925925925925926</v>
          </cell>
          <cell r="W49">
            <v>17.399999999999999</v>
          </cell>
          <cell r="X49">
            <v>19.2</v>
          </cell>
          <cell r="Y49">
            <v>19.2</v>
          </cell>
          <cell r="Z49">
            <v>22.4</v>
          </cell>
        </row>
        <row r="50">
          <cell r="A50" t="str">
            <v>Сыр ПАПА МОЖЕТ "Российский традиционный"45 % 180 г Останкино</v>
          </cell>
          <cell r="B50" t="str">
            <v>шт</v>
          </cell>
          <cell r="C50">
            <v>5038435</v>
          </cell>
          <cell r="D50">
            <v>240</v>
          </cell>
          <cell r="E50">
            <v>8</v>
          </cell>
          <cell r="F50">
            <v>122</v>
          </cell>
          <cell r="G50">
            <v>117</v>
          </cell>
          <cell r="H50">
            <v>0.18</v>
          </cell>
          <cell r="I50">
            <v>150</v>
          </cell>
          <cell r="L50">
            <v>284</v>
          </cell>
          <cell r="M50">
            <v>-162</v>
          </cell>
          <cell r="N50">
            <v>700</v>
          </cell>
          <cell r="O50">
            <v>0</v>
          </cell>
          <cell r="P50">
            <v>24.4</v>
          </cell>
          <cell r="R50">
            <v>0</v>
          </cell>
          <cell r="U50">
            <v>33.483606557377051</v>
          </cell>
          <cell r="V50">
            <v>4.7950819672131146</v>
          </cell>
          <cell r="W50">
            <v>47.8</v>
          </cell>
          <cell r="X50">
            <v>1.2</v>
          </cell>
          <cell r="Y50">
            <v>78</v>
          </cell>
          <cell r="Z50">
            <v>46</v>
          </cell>
        </row>
        <row r="51">
          <cell r="A51" t="str">
            <v>Сыр ПАПА МОЖЕТ "Тильзитер" фасованный массовая доля жира в сухом веществе 45%, 180г  Останкино</v>
          </cell>
          <cell r="B51" t="str">
            <v>шт</v>
          </cell>
          <cell r="C51">
            <v>5038398</v>
          </cell>
          <cell r="D51">
            <v>317</v>
          </cell>
          <cell r="E51">
            <v>80</v>
          </cell>
          <cell r="F51">
            <v>184</v>
          </cell>
          <cell r="G51">
            <v>203</v>
          </cell>
          <cell r="H51">
            <v>0.18</v>
          </cell>
          <cell r="I51">
            <v>120</v>
          </cell>
          <cell r="L51">
            <v>163</v>
          </cell>
          <cell r="M51">
            <v>21</v>
          </cell>
          <cell r="N51">
            <v>0</v>
          </cell>
          <cell r="O51">
            <v>55</v>
          </cell>
          <cell r="P51">
            <v>36.799999999999997</v>
          </cell>
          <cell r="Q51">
            <v>478</v>
          </cell>
          <cell r="R51">
            <v>478</v>
          </cell>
          <cell r="U51">
            <v>20</v>
          </cell>
          <cell r="V51">
            <v>5.5163043478260878</v>
          </cell>
          <cell r="W51">
            <v>31.4</v>
          </cell>
          <cell r="X51">
            <v>28.4</v>
          </cell>
          <cell r="Y51">
            <v>22</v>
          </cell>
          <cell r="Z51">
            <v>22.6</v>
          </cell>
        </row>
        <row r="52">
          <cell r="A52" t="str">
            <v>Сыр Папа Может Папин Завтрак 50% 200г  Останкино</v>
          </cell>
          <cell r="B52" t="str">
            <v>шт</v>
          </cell>
          <cell r="F52">
            <v>2</v>
          </cell>
          <cell r="G52">
            <v>-2</v>
          </cell>
          <cell r="H52">
            <v>0.2</v>
          </cell>
          <cell r="L52">
            <v>2</v>
          </cell>
          <cell r="M52">
            <v>0</v>
          </cell>
          <cell r="N52">
            <v>0</v>
          </cell>
          <cell r="O52">
            <v>0</v>
          </cell>
          <cell r="P52">
            <v>0.4</v>
          </cell>
          <cell r="Q52">
            <v>10</v>
          </cell>
          <cell r="R52">
            <v>10</v>
          </cell>
          <cell r="U52">
            <v>20</v>
          </cell>
          <cell r="V52">
            <v>-5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</row>
        <row r="53">
          <cell r="A53" t="str">
            <v>Сыр Папа Может Российский  50% 200гр    Останкино</v>
          </cell>
          <cell r="B53" t="str">
            <v>шт</v>
          </cell>
          <cell r="F53">
            <v>2</v>
          </cell>
          <cell r="G53">
            <v>-2</v>
          </cell>
          <cell r="H53">
            <v>0.2</v>
          </cell>
          <cell r="L53">
            <v>2</v>
          </cell>
          <cell r="M53">
            <v>0</v>
          </cell>
          <cell r="N53">
            <v>0</v>
          </cell>
          <cell r="O53">
            <v>0</v>
          </cell>
          <cell r="P53">
            <v>0.4</v>
          </cell>
          <cell r="Q53">
            <v>10</v>
          </cell>
          <cell r="R53">
            <v>10</v>
          </cell>
          <cell r="U53">
            <v>20</v>
          </cell>
          <cell r="V53">
            <v>-5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</row>
        <row r="54">
          <cell r="A54" t="str">
            <v>Сыр плавленный Сливочный ж.45% 180г ТМ Папа может (16шт)  Останкино</v>
          </cell>
          <cell r="B54" t="str">
            <v>шт</v>
          </cell>
          <cell r="C54">
            <v>9988681</v>
          </cell>
          <cell r="D54">
            <v>280</v>
          </cell>
          <cell r="E54">
            <v>2</v>
          </cell>
          <cell r="F54">
            <v>93</v>
          </cell>
          <cell r="G54">
            <v>187</v>
          </cell>
          <cell r="H54">
            <v>0.18</v>
          </cell>
          <cell r="I54">
            <v>270</v>
          </cell>
          <cell r="L54">
            <v>95</v>
          </cell>
          <cell r="M54">
            <v>-2</v>
          </cell>
          <cell r="N54">
            <v>0</v>
          </cell>
          <cell r="O54">
            <v>28</v>
          </cell>
          <cell r="P54">
            <v>18.600000000000001</v>
          </cell>
          <cell r="Q54">
            <v>157</v>
          </cell>
          <cell r="R54">
            <v>157</v>
          </cell>
          <cell r="U54">
            <v>20</v>
          </cell>
          <cell r="V54">
            <v>10.053763440860214</v>
          </cell>
          <cell r="W54">
            <v>8.8000000000000007</v>
          </cell>
          <cell r="X54">
            <v>17</v>
          </cell>
          <cell r="Y54">
            <v>13.4</v>
          </cell>
          <cell r="Z54">
            <v>15.4</v>
          </cell>
        </row>
        <row r="55">
          <cell r="A55" t="str">
            <v>Сыр полутвердый "Гауда" с массовой долей жира в пересчете на сухое вещество 45%,   Останкино</v>
          </cell>
          <cell r="B55" t="str">
            <v>кг</v>
          </cell>
          <cell r="C55" t="str">
            <v>дубль</v>
          </cell>
          <cell r="D55">
            <v>208.49799999999999</v>
          </cell>
          <cell r="F55">
            <v>23.207999999999998</v>
          </cell>
          <cell r="G55">
            <v>185.29</v>
          </cell>
          <cell r="H55">
            <v>1</v>
          </cell>
          <cell r="L55">
            <v>22.8</v>
          </cell>
          <cell r="M55">
            <v>0.4079999999999977</v>
          </cell>
          <cell r="N55">
            <v>0</v>
          </cell>
          <cell r="O55">
            <v>0</v>
          </cell>
          <cell r="P55">
            <v>4.6415999999999995</v>
          </cell>
          <cell r="R55">
            <v>0</v>
          </cell>
          <cell r="U55">
            <v>39.919424336435718</v>
          </cell>
          <cell r="V55">
            <v>39.919424336435718</v>
          </cell>
          <cell r="W55">
            <v>10.0892</v>
          </cell>
          <cell r="X55">
            <v>5.3731999999999998</v>
          </cell>
          <cell r="Y55">
            <v>3.3104</v>
          </cell>
          <cell r="Z55">
            <v>1.8744000000000001</v>
          </cell>
        </row>
        <row r="56">
          <cell r="A56" t="str">
            <v>Сыр полутвердый "Голландский" с массовой долей жира в пересчете на сухое  Останкино</v>
          </cell>
          <cell r="B56" t="str">
            <v>кг</v>
          </cell>
          <cell r="D56">
            <v>169.86199999999999</v>
          </cell>
          <cell r="F56">
            <v>9.8239999999999998</v>
          </cell>
          <cell r="G56">
            <v>160.03800000000001</v>
          </cell>
          <cell r="H56">
            <v>1</v>
          </cell>
          <cell r="L56">
            <v>10.5</v>
          </cell>
          <cell r="M56">
            <v>-0.67600000000000016</v>
          </cell>
          <cell r="N56">
            <v>0</v>
          </cell>
          <cell r="O56">
            <v>0</v>
          </cell>
          <cell r="P56">
            <v>1.9647999999999999</v>
          </cell>
          <cell r="R56">
            <v>0</v>
          </cell>
          <cell r="U56">
            <v>81.452565146579815</v>
          </cell>
          <cell r="V56">
            <v>81.452565146579815</v>
          </cell>
          <cell r="W56">
            <v>0</v>
          </cell>
          <cell r="X56">
            <v>0</v>
          </cell>
          <cell r="Y56">
            <v>3.278</v>
          </cell>
          <cell r="Z56">
            <v>5.1787999999999998</v>
          </cell>
        </row>
        <row r="57">
          <cell r="A57" t="str">
            <v>Сыр полутвердый "Сметанковый", с масс долей жира в пересчете на сухое вещес50%, брус  Останкино</v>
          </cell>
          <cell r="B57" t="str">
            <v>кг</v>
          </cell>
          <cell r="C57">
            <v>8785198</v>
          </cell>
          <cell r="D57">
            <v>3.274</v>
          </cell>
          <cell r="E57">
            <v>255.69800000000001</v>
          </cell>
          <cell r="F57">
            <v>26.218</v>
          </cell>
          <cell r="G57">
            <v>232.75399999999999</v>
          </cell>
          <cell r="H57">
            <v>1</v>
          </cell>
          <cell r="I57">
            <v>120</v>
          </cell>
          <cell r="L57">
            <v>26.6</v>
          </cell>
          <cell r="M57">
            <v>-0.38200000000000145</v>
          </cell>
          <cell r="N57">
            <v>0</v>
          </cell>
          <cell r="O57">
            <v>0</v>
          </cell>
          <cell r="P57">
            <v>5.2435999999999998</v>
          </cell>
          <cell r="R57">
            <v>0</v>
          </cell>
          <cell r="U57">
            <v>44.38820657563506</v>
          </cell>
          <cell r="V57">
            <v>44.38820657563506</v>
          </cell>
          <cell r="W57">
            <v>6.5208000000000004</v>
          </cell>
          <cell r="X57">
            <v>13.148400000000001</v>
          </cell>
          <cell r="Y57">
            <v>11.757999999999999</v>
          </cell>
          <cell r="Z57">
            <v>8.76</v>
          </cell>
        </row>
        <row r="58">
          <cell r="A58" t="str">
            <v>Сыр полутвердый "Тильзитер" с массовой долей жира в пересчете на сухое вещество 45%. 1/5  Останкино</v>
          </cell>
          <cell r="B58" t="str">
            <v>кг</v>
          </cell>
          <cell r="D58">
            <v>170.55799999999999</v>
          </cell>
          <cell r="F58">
            <v>12.071999999999999</v>
          </cell>
          <cell r="G58">
            <v>158.48599999999999</v>
          </cell>
          <cell r="H58">
            <v>1</v>
          </cell>
          <cell r="L58">
            <v>14</v>
          </cell>
          <cell r="M58">
            <v>-1.9280000000000008</v>
          </cell>
          <cell r="N58">
            <v>0</v>
          </cell>
          <cell r="O58">
            <v>0</v>
          </cell>
          <cell r="P58">
            <v>2.4143999999999997</v>
          </cell>
          <cell r="R58">
            <v>0</v>
          </cell>
          <cell r="U58">
            <v>65.641981444665348</v>
          </cell>
          <cell r="V58">
            <v>65.641981444665348</v>
          </cell>
          <cell r="W58">
            <v>6.4363999999999999</v>
          </cell>
          <cell r="X58">
            <v>0.59599999999999997</v>
          </cell>
          <cell r="Y58">
            <v>1.24</v>
          </cell>
          <cell r="Z58">
            <v>3.694</v>
          </cell>
        </row>
        <row r="59">
          <cell r="A59" t="str">
            <v>Сыр рассольный жирный Чечил 45% 100 гр  ОСТАНКИНО</v>
          </cell>
          <cell r="B59" t="str">
            <v>шт</v>
          </cell>
          <cell r="C59">
            <v>8444187</v>
          </cell>
          <cell r="D59">
            <v>184</v>
          </cell>
          <cell r="E59">
            <v>2</v>
          </cell>
          <cell r="F59">
            <v>170</v>
          </cell>
          <cell r="G59">
            <v>-8</v>
          </cell>
          <cell r="H59">
            <v>0.1</v>
          </cell>
          <cell r="I59">
            <v>60</v>
          </cell>
          <cell r="L59">
            <v>287</v>
          </cell>
          <cell r="M59">
            <v>-117</v>
          </cell>
          <cell r="N59">
            <v>0</v>
          </cell>
          <cell r="O59">
            <v>1176</v>
          </cell>
          <cell r="P59">
            <v>34</v>
          </cell>
          <cell r="R59">
            <v>0</v>
          </cell>
          <cell r="U59">
            <v>34.352941176470587</v>
          </cell>
          <cell r="V59">
            <v>-0.23529411764705882</v>
          </cell>
          <cell r="W59">
            <v>87.8</v>
          </cell>
          <cell r="X59">
            <v>13</v>
          </cell>
          <cell r="Y59">
            <v>12.8</v>
          </cell>
          <cell r="Z59">
            <v>68</v>
          </cell>
        </row>
        <row r="60">
          <cell r="A60" t="str">
            <v>Сыр рассольный жирный Чечил копченый 43% 100 гр  Останкино</v>
          </cell>
          <cell r="B60" t="str">
            <v>шт</v>
          </cell>
          <cell r="C60">
            <v>8444194</v>
          </cell>
          <cell r="D60">
            <v>-18</v>
          </cell>
          <cell r="E60">
            <v>443</v>
          </cell>
          <cell r="F60">
            <v>166</v>
          </cell>
          <cell r="G60">
            <v>252</v>
          </cell>
          <cell r="H60">
            <v>0.1</v>
          </cell>
          <cell r="I60">
            <v>90</v>
          </cell>
          <cell r="L60">
            <v>201</v>
          </cell>
          <cell r="M60">
            <v>-35</v>
          </cell>
          <cell r="N60">
            <v>0</v>
          </cell>
          <cell r="O60">
            <v>22</v>
          </cell>
          <cell r="P60">
            <v>33.200000000000003</v>
          </cell>
          <cell r="Q60">
            <v>390</v>
          </cell>
          <cell r="R60">
            <v>390</v>
          </cell>
          <cell r="U60">
            <v>20</v>
          </cell>
          <cell r="V60">
            <v>7.5903614457831319</v>
          </cell>
          <cell r="W60">
            <v>48.4</v>
          </cell>
          <cell r="X60">
            <v>35.799999999999997</v>
          </cell>
          <cell r="Y60">
            <v>30.2</v>
          </cell>
          <cell r="Z60">
            <v>22.2</v>
          </cell>
        </row>
        <row r="61">
          <cell r="A61" t="str">
            <v>Сыр Скаморца свежий 100 гр.  ОСТАНКИНО</v>
          </cell>
          <cell r="B61" t="str">
            <v>шт</v>
          </cell>
          <cell r="C61">
            <v>8444170</v>
          </cell>
          <cell r="D61">
            <v>65</v>
          </cell>
          <cell r="E61">
            <v>1</v>
          </cell>
          <cell r="F61">
            <v>37</v>
          </cell>
          <cell r="G61">
            <v>24</v>
          </cell>
          <cell r="H61">
            <v>0.1</v>
          </cell>
          <cell r="L61">
            <v>38</v>
          </cell>
          <cell r="M61">
            <v>-1</v>
          </cell>
          <cell r="N61">
            <v>100</v>
          </cell>
          <cell r="O61">
            <v>0</v>
          </cell>
          <cell r="P61">
            <v>7.4</v>
          </cell>
          <cell r="Q61">
            <v>24</v>
          </cell>
          <cell r="R61">
            <v>24</v>
          </cell>
          <cell r="U61">
            <v>20</v>
          </cell>
          <cell r="V61">
            <v>3.243243243243243</v>
          </cell>
          <cell r="W61">
            <v>3.2</v>
          </cell>
          <cell r="X61">
            <v>3.8</v>
          </cell>
          <cell r="Y61">
            <v>10.4</v>
          </cell>
          <cell r="Z61">
            <v>7.2</v>
          </cell>
        </row>
        <row r="62">
          <cell r="A62" t="str">
            <v>Сыр Творожный с зеленью 60% Папа может 140 гр.  Останкино</v>
          </cell>
          <cell r="B62" t="str">
            <v>шт</v>
          </cell>
          <cell r="C62">
            <v>9988391</v>
          </cell>
          <cell r="D62">
            <v>114</v>
          </cell>
          <cell r="F62">
            <v>28</v>
          </cell>
          <cell r="G62">
            <v>86</v>
          </cell>
          <cell r="H62">
            <v>0.14000000000000001</v>
          </cell>
          <cell r="I62">
            <v>180</v>
          </cell>
          <cell r="L62">
            <v>28</v>
          </cell>
          <cell r="M62">
            <v>0</v>
          </cell>
          <cell r="N62">
            <v>0</v>
          </cell>
          <cell r="O62">
            <v>0</v>
          </cell>
          <cell r="P62">
            <v>5.6</v>
          </cell>
          <cell r="Q62">
            <v>26</v>
          </cell>
          <cell r="R62">
            <v>26</v>
          </cell>
          <cell r="U62">
            <v>20</v>
          </cell>
          <cell r="V62">
            <v>15.357142857142858</v>
          </cell>
          <cell r="W62">
            <v>2.4</v>
          </cell>
          <cell r="X62">
            <v>7</v>
          </cell>
          <cell r="Y62">
            <v>5.4</v>
          </cell>
          <cell r="Z62">
            <v>1.8</v>
          </cell>
        </row>
        <row r="63">
          <cell r="A63" t="str">
            <v>Сыр творожный Сливочный 140 гр.  Останкино</v>
          </cell>
          <cell r="B63" t="str">
            <v>шт</v>
          </cell>
          <cell r="C63">
            <v>9988377</v>
          </cell>
          <cell r="D63">
            <v>160</v>
          </cell>
          <cell r="E63">
            <v>64</v>
          </cell>
          <cell r="F63">
            <v>53</v>
          </cell>
          <cell r="G63">
            <v>167</v>
          </cell>
          <cell r="H63">
            <v>0.14000000000000001</v>
          </cell>
          <cell r="I63">
            <v>180</v>
          </cell>
          <cell r="L63">
            <v>57</v>
          </cell>
          <cell r="M63">
            <v>-4</v>
          </cell>
          <cell r="N63">
            <v>0</v>
          </cell>
          <cell r="O63">
            <v>0</v>
          </cell>
          <cell r="P63">
            <v>10.6</v>
          </cell>
          <cell r="Q63">
            <v>45</v>
          </cell>
          <cell r="R63">
            <v>45</v>
          </cell>
          <cell r="U63">
            <v>20</v>
          </cell>
          <cell r="V63">
            <v>15.754716981132075</v>
          </cell>
          <cell r="W63">
            <v>5</v>
          </cell>
          <cell r="X63">
            <v>13.4</v>
          </cell>
          <cell r="Y63">
            <v>6.2</v>
          </cell>
          <cell r="Z63">
            <v>3.4</v>
          </cell>
        </row>
        <row r="64">
          <cell r="A64" t="str">
            <v>Сыч/Прод Коровино Российский 50% 200г НОВАЯ СЗМЖ  ОСТАНКИНО</v>
          </cell>
          <cell r="B64" t="str">
            <v>шт</v>
          </cell>
          <cell r="C64" t="str">
            <v>783К798</v>
          </cell>
          <cell r="D64">
            <v>153</v>
          </cell>
          <cell r="E64">
            <v>40</v>
          </cell>
          <cell r="F64">
            <v>39</v>
          </cell>
          <cell r="G64">
            <v>154</v>
          </cell>
          <cell r="H64">
            <v>0.2</v>
          </cell>
          <cell r="L64">
            <v>39</v>
          </cell>
          <cell r="M64">
            <v>0</v>
          </cell>
          <cell r="N64">
            <v>0</v>
          </cell>
          <cell r="O64">
            <v>0</v>
          </cell>
          <cell r="P64">
            <v>7.8</v>
          </cell>
          <cell r="Q64">
            <v>2</v>
          </cell>
          <cell r="R64">
            <v>2</v>
          </cell>
          <cell r="U64">
            <v>20</v>
          </cell>
          <cell r="V64">
            <v>19.743589743589745</v>
          </cell>
          <cell r="W64">
            <v>9.1999999999999993</v>
          </cell>
          <cell r="X64">
            <v>12</v>
          </cell>
          <cell r="Y64">
            <v>2.2000000000000002</v>
          </cell>
          <cell r="Z64">
            <v>7.4</v>
          </cell>
        </row>
        <row r="65">
          <cell r="A65" t="str">
            <v>Сыч/Прод Коровино Российский Оригин 50% ВЕС НОВАЯ (3,5 кг)  ОСТАНКИНО</v>
          </cell>
          <cell r="B65" t="str">
            <v>кг</v>
          </cell>
          <cell r="C65" t="str">
            <v>дубль798</v>
          </cell>
          <cell r="D65">
            <v>624.22500000000002</v>
          </cell>
          <cell r="E65">
            <v>3</v>
          </cell>
          <cell r="F65">
            <v>171.87</v>
          </cell>
          <cell r="G65">
            <v>452.35500000000002</v>
          </cell>
          <cell r="H65">
            <v>1</v>
          </cell>
          <cell r="L65">
            <v>176.8</v>
          </cell>
          <cell r="M65">
            <v>-4.9300000000000068</v>
          </cell>
          <cell r="N65">
            <v>0</v>
          </cell>
          <cell r="O65">
            <v>0</v>
          </cell>
          <cell r="P65">
            <v>34.374000000000002</v>
          </cell>
          <cell r="Q65">
            <v>235.125</v>
          </cell>
          <cell r="R65">
            <v>235.125</v>
          </cell>
          <cell r="U65">
            <v>20</v>
          </cell>
          <cell r="V65">
            <v>13.159801012393087</v>
          </cell>
          <cell r="W65">
            <v>2.7692000000000001</v>
          </cell>
          <cell r="X65">
            <v>1.1095999999999999</v>
          </cell>
          <cell r="Y65">
            <v>2.6507999999999998</v>
          </cell>
          <cell r="Z65">
            <v>1.9136</v>
          </cell>
        </row>
        <row r="66">
          <cell r="A66" t="str">
            <v>Сыч/Прод Коровино Тильзитер 50% 200г НОВАЯ СЗМЖ  ОСТАНКИНО</v>
          </cell>
          <cell r="B66" t="str">
            <v>шт</v>
          </cell>
          <cell r="C66" t="str">
            <v>783К801</v>
          </cell>
          <cell r="D66">
            <v>33</v>
          </cell>
          <cell r="F66">
            <v>27</v>
          </cell>
          <cell r="G66">
            <v>6</v>
          </cell>
          <cell r="H66">
            <v>0.2</v>
          </cell>
          <cell r="L66">
            <v>29</v>
          </cell>
          <cell r="M66">
            <v>-2</v>
          </cell>
          <cell r="N66">
            <v>0</v>
          </cell>
          <cell r="O66">
            <v>43</v>
          </cell>
          <cell r="P66">
            <v>5.4</v>
          </cell>
          <cell r="Q66">
            <v>59</v>
          </cell>
          <cell r="R66">
            <v>59</v>
          </cell>
          <cell r="U66">
            <v>20</v>
          </cell>
          <cell r="V66">
            <v>1.1111111111111109</v>
          </cell>
          <cell r="W66">
            <v>3.4</v>
          </cell>
          <cell r="X66">
            <v>2.4</v>
          </cell>
          <cell r="Y66">
            <v>2</v>
          </cell>
          <cell r="Z66">
            <v>3.8</v>
          </cell>
        </row>
        <row r="67">
          <cell r="A67" t="str">
            <v>Сыч/Прод Коровино Тильзитер Оригин 50% ВЕС НОВАЯ (5 кг брус) СЗМЖ  ОСТАНКИНО</v>
          </cell>
          <cell r="B67" t="str">
            <v>кг</v>
          </cell>
          <cell r="D67">
            <v>48.642000000000003</v>
          </cell>
          <cell r="F67">
            <v>33.576000000000001</v>
          </cell>
          <cell r="G67">
            <v>15.066000000000001</v>
          </cell>
          <cell r="H67">
            <v>1</v>
          </cell>
          <cell r="L67">
            <v>29.5</v>
          </cell>
          <cell r="M67">
            <v>4.0760000000000005</v>
          </cell>
          <cell r="N67">
            <v>100</v>
          </cell>
          <cell r="O67">
            <v>0</v>
          </cell>
          <cell r="P67">
            <v>6.7152000000000003</v>
          </cell>
          <cell r="Q67">
            <v>19.238</v>
          </cell>
          <cell r="R67">
            <v>19.238</v>
          </cell>
          <cell r="U67">
            <v>20</v>
          </cell>
          <cell r="V67">
            <v>2.2435668334524661</v>
          </cell>
          <cell r="W67">
            <v>6.3895999999999997</v>
          </cell>
          <cell r="X67">
            <v>6.5612000000000004</v>
          </cell>
          <cell r="Y67">
            <v>9.7072000000000003</v>
          </cell>
          <cell r="Z67">
            <v>5.1492000000000004</v>
          </cell>
        </row>
        <row r="68">
          <cell r="A68" t="str">
            <v>7216 СОЧНЫЕ СО СЛ.МАСЛ.ПМ пельм пл.0.7кг зам. ОСТАНКИНО</v>
          </cell>
          <cell r="F68">
            <v>145</v>
          </cell>
          <cell r="H68">
            <v>0.7</v>
          </cell>
          <cell r="I68" t="e">
            <v>#N/A</v>
          </cell>
          <cell r="L68">
            <v>178</v>
          </cell>
          <cell r="M68">
            <v>-33</v>
          </cell>
          <cell r="N68">
            <v>0</v>
          </cell>
          <cell r="O68">
            <v>0</v>
          </cell>
          <cell r="P68">
            <v>29</v>
          </cell>
          <cell r="R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0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31" sqref="T31"/>
    </sheetView>
  </sheetViews>
  <sheetFormatPr defaultRowHeight="15" x14ac:dyDescent="0.25"/>
  <cols>
    <col min="1" max="1" width="96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0" customWidth="1"/>
    <col min="17" max="19" width="7" customWidth="1"/>
    <col min="20" max="20" width="21" customWidth="1"/>
    <col min="21" max="22" width="5" customWidth="1"/>
    <col min="23" max="27" width="6" customWidth="1"/>
    <col min="28" max="28" width="31.4257812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88</v>
      </c>
      <c r="Q4" s="1" t="s">
        <v>25</v>
      </c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SUM(E6:E452)</f>
        <v>3825.52</v>
      </c>
      <c r="F5" s="4">
        <f>SUM(F6:F452)</f>
        <v>10868.423000000001</v>
      </c>
      <c r="G5" s="7"/>
      <c r="H5" s="1"/>
      <c r="I5" s="1"/>
      <c r="J5" s="1"/>
      <c r="K5" s="4">
        <f t="shared" ref="K5:S5" si="0">SUM(K6:K452)</f>
        <v>4895.3999999999996</v>
      </c>
      <c r="L5" s="4">
        <f t="shared" si="0"/>
        <v>-1069.8799999999999</v>
      </c>
      <c r="M5" s="4">
        <f t="shared" si="0"/>
        <v>0</v>
      </c>
      <c r="N5" s="4">
        <f t="shared" si="0"/>
        <v>0</v>
      </c>
      <c r="O5" s="4">
        <f t="shared" si="0"/>
        <v>3811.2489999999998</v>
      </c>
      <c r="P5" s="4">
        <f t="shared" ref="P5" si="1">SUM(P6:P452)</f>
        <v>1400</v>
      </c>
      <c r="Q5" s="4">
        <f t="shared" si="0"/>
        <v>765.10399999999993</v>
      </c>
      <c r="R5" s="4">
        <f t="shared" si="0"/>
        <v>4816.6260000000002</v>
      </c>
      <c r="S5" s="4">
        <f t="shared" si="0"/>
        <v>0</v>
      </c>
      <c r="T5" s="1"/>
      <c r="U5" s="1"/>
      <c r="V5" s="1"/>
      <c r="W5" s="4">
        <f>SUM(W6:W452)</f>
        <v>655.50920000000008</v>
      </c>
      <c r="X5" s="4">
        <f>SUM(X6:X452)</f>
        <v>702.91539999999986</v>
      </c>
      <c r="Y5" s="4">
        <f>SUM(Y6:Y452)</f>
        <v>878.79880000000003</v>
      </c>
      <c r="Z5" s="4">
        <f>SUM(Z6:Z452)</f>
        <v>528.02279999999996</v>
      </c>
      <c r="AA5" s="4">
        <f>SUM(AA6:AA452)</f>
        <v>881.30419999999981</v>
      </c>
      <c r="AB5" s="1"/>
      <c r="AC5" s="4">
        <f>SUM(AC6:AC452)</f>
        <v>1325.5059999999999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31</v>
      </c>
      <c r="B6" s="1" t="s">
        <v>32</v>
      </c>
      <c r="C6" s="1">
        <v>242.49600000000001</v>
      </c>
      <c r="D6" s="1">
        <v>91.796000000000006</v>
      </c>
      <c r="E6" s="17">
        <f>42.58+E28+E45</f>
        <v>45.008000000000003</v>
      </c>
      <c r="F6" s="17">
        <f>241.624+F28+F45</f>
        <v>236.71200000000002</v>
      </c>
      <c r="G6" s="7">
        <v>1</v>
      </c>
      <c r="H6" s="1"/>
      <c r="I6" s="1"/>
      <c r="J6" s="1"/>
      <c r="K6" s="1">
        <v>49.3</v>
      </c>
      <c r="L6" s="1">
        <f t="shared" ref="L6:L37" si="2">E6-K6</f>
        <v>-4.2919999999999945</v>
      </c>
      <c r="M6" s="1"/>
      <c r="N6" s="1"/>
      <c r="O6" s="1">
        <f>VLOOKUP(A6,[1]TDSheet!$A:$R,18,0)</f>
        <v>103.88600000000002</v>
      </c>
      <c r="P6" s="1"/>
      <c r="Q6" s="1">
        <f t="shared" ref="Q6:Q37" si="3">E6/5</f>
        <v>9.0015999999999998</v>
      </c>
      <c r="R6" s="9"/>
      <c r="S6" s="9"/>
      <c r="T6" s="1"/>
      <c r="U6" s="1">
        <f>(F6+O6+R6)/Q6</f>
        <v>37.837495556345544</v>
      </c>
      <c r="V6" s="1">
        <f>(F6+O6)/Q6</f>
        <v>37.837495556345544</v>
      </c>
      <c r="W6" s="10">
        <f>VLOOKUP(A6,[1]TDSheet!$A:$Z,16,0)</f>
        <v>20.434800000000003</v>
      </c>
      <c r="X6" s="11">
        <f>VLOOKUP(A6,[1]TDSheet!$A:$Z,26,0)</f>
        <v>20.461600000000001</v>
      </c>
      <c r="Y6" s="10">
        <f>VLOOKUP(A6,[1]TDSheet!$A:$Z,25,0)</f>
        <v>14.24</v>
      </c>
      <c r="Z6" s="10">
        <f>VLOOKUP(A6,[1]TDSheet!$A:$Z,24,0)</f>
        <v>16.459399999999999</v>
      </c>
      <c r="AA6" s="10">
        <f>VLOOKUP(A6,[1]TDSheet!$A:$Z,23,0)</f>
        <v>5.8540000000000001</v>
      </c>
      <c r="AB6" s="18" t="s">
        <v>86</v>
      </c>
      <c r="AC6" s="1">
        <f>R6*G6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33</v>
      </c>
      <c r="B7" s="1" t="s">
        <v>34</v>
      </c>
      <c r="C7" s="1">
        <v>225</v>
      </c>
      <c r="D7" s="1"/>
      <c r="E7" s="1">
        <v>34</v>
      </c>
      <c r="F7" s="1">
        <v>191</v>
      </c>
      <c r="G7" s="7">
        <v>0.18</v>
      </c>
      <c r="H7" s="1"/>
      <c r="I7" s="1"/>
      <c r="J7" s="1"/>
      <c r="K7" s="1">
        <v>30</v>
      </c>
      <c r="L7" s="1">
        <f t="shared" si="2"/>
        <v>4</v>
      </c>
      <c r="M7" s="1"/>
      <c r="N7" s="1"/>
      <c r="O7" s="1"/>
      <c r="P7" s="1">
        <v>150</v>
      </c>
      <c r="Q7" s="1">
        <f t="shared" si="3"/>
        <v>6.8</v>
      </c>
      <c r="R7" s="9"/>
      <c r="S7" s="9"/>
      <c r="T7" s="1"/>
      <c r="U7" s="1">
        <f>(F7+O7+R7+P7)/Q7</f>
        <v>50.147058823529413</v>
      </c>
      <c r="V7" s="1">
        <f>(F7+O7+P7)/Q7</f>
        <v>50.147058823529413</v>
      </c>
      <c r="W7" s="10">
        <f>VLOOKUP(A7,[1]TDSheet!$A:$Z,16,0)</f>
        <v>6.6</v>
      </c>
      <c r="X7" s="11">
        <f>VLOOKUP(A7,[1]TDSheet!$A:$Z,26,0)</f>
        <v>7.4</v>
      </c>
      <c r="Y7" s="10">
        <f>VLOOKUP(A7,[1]TDSheet!$A:$Z,25,0)</f>
        <v>1</v>
      </c>
      <c r="Z7" s="10">
        <f>VLOOKUP(A7,[1]TDSheet!$A:$Z,24,0)</f>
        <v>0</v>
      </c>
      <c r="AA7" s="10">
        <f>VLOOKUP(A7,[1]TDSheet!$A:$Z,23,0)</f>
        <v>62</v>
      </c>
      <c r="AB7" s="18" t="s">
        <v>86</v>
      </c>
      <c r="AC7" s="1">
        <f t="shared" ref="AC7:AC18" si="4">R7*G7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35</v>
      </c>
      <c r="B8" s="1" t="s">
        <v>34</v>
      </c>
      <c r="C8" s="1">
        <v>272</v>
      </c>
      <c r="D8" s="1"/>
      <c r="E8" s="1">
        <v>40</v>
      </c>
      <c r="F8" s="1">
        <v>228</v>
      </c>
      <c r="G8" s="7">
        <v>0.18</v>
      </c>
      <c r="H8" s="1"/>
      <c r="I8" s="1"/>
      <c r="J8" s="1"/>
      <c r="K8" s="1">
        <v>38</v>
      </c>
      <c r="L8" s="1">
        <f t="shared" si="2"/>
        <v>2</v>
      </c>
      <c r="M8" s="1"/>
      <c r="N8" s="1"/>
      <c r="O8" s="1"/>
      <c r="P8" s="1">
        <v>150</v>
      </c>
      <c r="Q8" s="1">
        <f t="shared" si="3"/>
        <v>8</v>
      </c>
      <c r="R8" s="9"/>
      <c r="S8" s="9"/>
      <c r="T8" s="1"/>
      <c r="U8" s="1">
        <f>(F8+O8+R8+P8)/Q8</f>
        <v>47.25</v>
      </c>
      <c r="V8" s="1">
        <f>(F8+O8+P8)/Q8</f>
        <v>47.25</v>
      </c>
      <c r="W8" s="10">
        <f>VLOOKUP(A8,[1]TDSheet!$A:$Z,16,0)</f>
        <v>4.4000000000000004</v>
      </c>
      <c r="X8" s="11">
        <f>VLOOKUP(A8,[1]TDSheet!$A:$Z,26,0)</f>
        <v>11.2</v>
      </c>
      <c r="Y8" s="10">
        <f>VLOOKUP(A8,[1]TDSheet!$A:$Z,25,0)</f>
        <v>9.1999999999999993</v>
      </c>
      <c r="Z8" s="10">
        <f>VLOOKUP(A8,[1]TDSheet!$A:$Z,24,0)</f>
        <v>5.6</v>
      </c>
      <c r="AA8" s="10">
        <f>VLOOKUP(A8,[1]TDSheet!$A:$Z,23,0)</f>
        <v>81</v>
      </c>
      <c r="AB8" s="18" t="s">
        <v>86</v>
      </c>
      <c r="AC8" s="1">
        <f t="shared" si="4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36</v>
      </c>
      <c r="B9" s="1" t="s">
        <v>32</v>
      </c>
      <c r="C9" s="1">
        <v>85.992000000000004</v>
      </c>
      <c r="D9" s="1"/>
      <c r="E9" s="1">
        <v>28.814</v>
      </c>
      <c r="F9" s="1">
        <v>50.47</v>
      </c>
      <c r="G9" s="7">
        <v>1</v>
      </c>
      <c r="H9" s="1"/>
      <c r="I9" s="1"/>
      <c r="J9" s="1"/>
      <c r="K9" s="1">
        <v>30.2</v>
      </c>
      <c r="L9" s="1">
        <f t="shared" si="2"/>
        <v>-1.3859999999999992</v>
      </c>
      <c r="M9" s="1"/>
      <c r="N9" s="1"/>
      <c r="O9" s="1"/>
      <c r="P9" s="1"/>
      <c r="Q9" s="1">
        <f t="shared" si="3"/>
        <v>5.7628000000000004</v>
      </c>
      <c r="R9" s="9">
        <f t="shared" ref="R9:R17" si="5">20*Q9-O9-F9</f>
        <v>64.786000000000001</v>
      </c>
      <c r="S9" s="9"/>
      <c r="T9" s="1"/>
      <c r="U9" s="1">
        <f t="shared" ref="U9:U56" si="6">(F9+O9+R9)/Q9</f>
        <v>20</v>
      </c>
      <c r="V9" s="1">
        <f t="shared" ref="V9:V56" si="7">(F9+O9)/Q9</f>
        <v>8.7578954674810845</v>
      </c>
      <c r="W9" s="10">
        <f>VLOOKUP(A9,[1]TDSheet!$A:$Z,16,0)</f>
        <v>5.9207999999999998</v>
      </c>
      <c r="X9" s="11">
        <f>VLOOKUP(A9,[1]TDSheet!$A:$Z,26,0)</f>
        <v>6.5167999999999999</v>
      </c>
      <c r="Y9" s="10">
        <f>VLOOKUP(A9,[1]TDSheet!$A:$Z,25,0)</f>
        <v>0.61439999999999995</v>
      </c>
      <c r="Z9" s="10">
        <f>VLOOKUP(A9,[1]TDSheet!$A:$Z,24,0)</f>
        <v>0</v>
      </c>
      <c r="AA9" s="10">
        <f>VLOOKUP(A9,[1]TDSheet!$A:$Z,23,0)</f>
        <v>0</v>
      </c>
      <c r="AB9" s="1"/>
      <c r="AC9" s="1">
        <f t="shared" si="4"/>
        <v>64.786000000000001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37</v>
      </c>
      <c r="B10" s="1" t="s">
        <v>34</v>
      </c>
      <c r="C10" s="1">
        <v>179</v>
      </c>
      <c r="D10" s="1"/>
      <c r="E10" s="1">
        <v>19</v>
      </c>
      <c r="F10" s="1">
        <v>160</v>
      </c>
      <c r="G10" s="7">
        <v>0.82450000000000001</v>
      </c>
      <c r="H10" s="1">
        <f>VLOOKUP(A10,[1]TDSheet!$A:$I,9,0)</f>
        <v>180</v>
      </c>
      <c r="I10" s="1"/>
      <c r="J10" s="1"/>
      <c r="K10" s="1">
        <v>22</v>
      </c>
      <c r="L10" s="1">
        <f t="shared" si="2"/>
        <v>-3</v>
      </c>
      <c r="M10" s="1"/>
      <c r="N10" s="1"/>
      <c r="O10" s="1"/>
      <c r="P10" s="1"/>
      <c r="Q10" s="1">
        <f t="shared" si="3"/>
        <v>3.8</v>
      </c>
      <c r="R10" s="9"/>
      <c r="S10" s="9"/>
      <c r="T10" s="1"/>
      <c r="U10" s="1">
        <f t="shared" si="6"/>
        <v>42.10526315789474</v>
      </c>
      <c r="V10" s="1">
        <f t="shared" si="7"/>
        <v>42.10526315789474</v>
      </c>
      <c r="W10" s="10">
        <f>VLOOKUP(A10,[1]TDSheet!$A:$Z,16,0)</f>
        <v>1.6</v>
      </c>
      <c r="X10" s="11">
        <f>VLOOKUP(A10,[1]TDSheet!$A:$Z,26,0)</f>
        <v>3.8</v>
      </c>
      <c r="Y10" s="10">
        <f>VLOOKUP(A10,[1]TDSheet!$A:$Z,25,0)</f>
        <v>2.2000000000000002</v>
      </c>
      <c r="Z10" s="10">
        <f>VLOOKUP(A10,[1]TDSheet!$A:$Z,24,0)</f>
        <v>1</v>
      </c>
      <c r="AA10" s="10">
        <f>VLOOKUP(A10,[1]TDSheet!$A:$Z,23,0)</f>
        <v>7.6</v>
      </c>
      <c r="AB10" s="19" t="s">
        <v>87</v>
      </c>
      <c r="AC10" s="1">
        <f t="shared" si="4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38</v>
      </c>
      <c r="B11" s="1" t="s">
        <v>34</v>
      </c>
      <c r="C11" s="1">
        <v>274</v>
      </c>
      <c r="D11" s="1">
        <v>413</v>
      </c>
      <c r="E11" s="1">
        <v>146</v>
      </c>
      <c r="F11" s="1">
        <v>516</v>
      </c>
      <c r="G11" s="7">
        <v>0.372</v>
      </c>
      <c r="H11" s="1">
        <f>VLOOKUP(A11,[1]TDSheet!$A:$I,9,0)</f>
        <v>180</v>
      </c>
      <c r="I11" s="1"/>
      <c r="J11" s="1"/>
      <c r="K11" s="1">
        <v>159</v>
      </c>
      <c r="L11" s="1">
        <f t="shared" si="2"/>
        <v>-13</v>
      </c>
      <c r="M11" s="1"/>
      <c r="N11" s="1"/>
      <c r="O11" s="1"/>
      <c r="P11" s="1"/>
      <c r="Q11" s="1">
        <f t="shared" si="3"/>
        <v>29.2</v>
      </c>
      <c r="R11" s="9">
        <f t="shared" si="5"/>
        <v>68</v>
      </c>
      <c r="S11" s="9"/>
      <c r="T11" s="1"/>
      <c r="U11" s="1">
        <f t="shared" si="6"/>
        <v>20</v>
      </c>
      <c r="V11" s="1">
        <f t="shared" si="7"/>
        <v>17.671232876712327</v>
      </c>
      <c r="W11" s="10">
        <f>VLOOKUP(A11,[1]TDSheet!$A:$Z,16,0)</f>
        <v>21</v>
      </c>
      <c r="X11" s="11">
        <f>VLOOKUP(A11,[1]TDSheet!$A:$Z,26,0)</f>
        <v>20.6</v>
      </c>
      <c r="Y11" s="10">
        <f>VLOOKUP(A11,[1]TDSheet!$A:$Z,25,0)</f>
        <v>44.4</v>
      </c>
      <c r="Z11" s="10">
        <f>VLOOKUP(A11,[1]TDSheet!$A:$Z,24,0)</f>
        <v>21.8</v>
      </c>
      <c r="AA11" s="10">
        <f>VLOOKUP(A11,[1]TDSheet!$A:$Z,23,0)</f>
        <v>32.200000000000003</v>
      </c>
      <c r="AB11" s="1"/>
      <c r="AC11" s="1">
        <f t="shared" si="4"/>
        <v>25.295999999999999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39</v>
      </c>
      <c r="B12" s="1" t="s">
        <v>34</v>
      </c>
      <c r="C12" s="1">
        <v>305</v>
      </c>
      <c r="D12" s="1">
        <v>12</v>
      </c>
      <c r="E12" s="1">
        <v>120</v>
      </c>
      <c r="F12" s="1">
        <v>180</v>
      </c>
      <c r="G12" s="7">
        <v>0.74399999999999999</v>
      </c>
      <c r="H12" s="1">
        <f>VLOOKUP(A12,[1]TDSheet!$A:$I,9,0)</f>
        <v>180</v>
      </c>
      <c r="I12" s="1"/>
      <c r="J12" s="1"/>
      <c r="K12" s="1">
        <v>133</v>
      </c>
      <c r="L12" s="1">
        <f t="shared" si="2"/>
        <v>-13</v>
      </c>
      <c r="M12" s="1"/>
      <c r="N12" s="1"/>
      <c r="O12" s="1">
        <f>VLOOKUP(A12,[1]TDSheet!$A:$R,18,0)</f>
        <v>95</v>
      </c>
      <c r="P12" s="1"/>
      <c r="Q12" s="1">
        <f t="shared" si="3"/>
        <v>24</v>
      </c>
      <c r="R12" s="9">
        <f t="shared" si="5"/>
        <v>205</v>
      </c>
      <c r="S12" s="9"/>
      <c r="T12" s="1"/>
      <c r="U12" s="1">
        <f t="shared" si="6"/>
        <v>20</v>
      </c>
      <c r="V12" s="1">
        <f t="shared" si="7"/>
        <v>11.458333333333334</v>
      </c>
      <c r="W12" s="10">
        <f>VLOOKUP(A12,[1]TDSheet!$A:$Z,16,0)</f>
        <v>20</v>
      </c>
      <c r="X12" s="11">
        <f>VLOOKUP(A12,[1]TDSheet!$A:$Z,26,0)</f>
        <v>19</v>
      </c>
      <c r="Y12" s="10">
        <f>VLOOKUP(A12,[1]TDSheet!$A:$Z,25,0)</f>
        <v>23.4</v>
      </c>
      <c r="Z12" s="10">
        <f>VLOOKUP(A12,[1]TDSheet!$A:$Z,24,0)</f>
        <v>21.2</v>
      </c>
      <c r="AA12" s="10">
        <f>VLOOKUP(A12,[1]TDSheet!$A:$Z,23,0)</f>
        <v>6.2</v>
      </c>
      <c r="AB12" s="1"/>
      <c r="AC12" s="1">
        <f t="shared" si="4"/>
        <v>152.52000000000001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40</v>
      </c>
      <c r="B13" s="1" t="s">
        <v>34</v>
      </c>
      <c r="C13" s="1">
        <v>80</v>
      </c>
      <c r="D13" s="1">
        <v>869</v>
      </c>
      <c r="E13" s="1">
        <v>324</v>
      </c>
      <c r="F13" s="1">
        <v>596</v>
      </c>
      <c r="G13" s="7">
        <v>0.372</v>
      </c>
      <c r="H13" s="1">
        <f>VLOOKUP(A13,[1]TDSheet!$A:$I,9,0)</f>
        <v>180</v>
      </c>
      <c r="I13" s="1"/>
      <c r="J13" s="1"/>
      <c r="K13" s="1">
        <v>356</v>
      </c>
      <c r="L13" s="1">
        <f t="shared" si="2"/>
        <v>-32</v>
      </c>
      <c r="M13" s="1"/>
      <c r="N13" s="1"/>
      <c r="O13" s="1">
        <f>VLOOKUP(A13,[1]TDSheet!$A:$R,18,0)</f>
        <v>26</v>
      </c>
      <c r="P13" s="1"/>
      <c r="Q13" s="1">
        <f t="shared" si="3"/>
        <v>64.8</v>
      </c>
      <c r="R13" s="9">
        <f t="shared" si="5"/>
        <v>674</v>
      </c>
      <c r="S13" s="9"/>
      <c r="T13" s="1"/>
      <c r="U13" s="1">
        <f t="shared" si="6"/>
        <v>20</v>
      </c>
      <c r="V13" s="1">
        <f t="shared" si="7"/>
        <v>9.5987654320987659</v>
      </c>
      <c r="W13" s="10">
        <f>VLOOKUP(A13,[1]TDSheet!$A:$Z,16,0)</f>
        <v>50</v>
      </c>
      <c r="X13" s="11">
        <f>VLOOKUP(A13,[1]TDSheet!$A:$Z,26,0)</f>
        <v>61.2</v>
      </c>
      <c r="Y13" s="10">
        <f>VLOOKUP(A13,[1]TDSheet!$A:$Z,25,0)</f>
        <v>70.8</v>
      </c>
      <c r="Z13" s="10">
        <f>VLOOKUP(A13,[1]TDSheet!$A:$Z,24,0)</f>
        <v>48</v>
      </c>
      <c r="AA13" s="10">
        <f>VLOOKUP(A13,[1]TDSheet!$A:$Z,23,0)</f>
        <v>54.4</v>
      </c>
      <c r="AB13" s="1"/>
      <c r="AC13" s="1">
        <f t="shared" si="4"/>
        <v>250.72800000000001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41</v>
      </c>
      <c r="B14" s="1" t="s">
        <v>34</v>
      </c>
      <c r="C14" s="1">
        <v>108</v>
      </c>
      <c r="D14" s="1">
        <v>725</v>
      </c>
      <c r="E14" s="1">
        <v>199</v>
      </c>
      <c r="F14" s="1">
        <v>602</v>
      </c>
      <c r="G14" s="7">
        <v>0.74399999999999999</v>
      </c>
      <c r="H14" s="1">
        <f>VLOOKUP(A14,[1]TDSheet!$A:$I,9,0)</f>
        <v>180</v>
      </c>
      <c r="I14" s="1"/>
      <c r="J14" s="1"/>
      <c r="K14" s="1">
        <v>297</v>
      </c>
      <c r="L14" s="1">
        <f t="shared" si="2"/>
        <v>-98</v>
      </c>
      <c r="M14" s="1"/>
      <c r="N14" s="1"/>
      <c r="O14" s="1"/>
      <c r="P14" s="1"/>
      <c r="Q14" s="1">
        <f t="shared" si="3"/>
        <v>39.799999999999997</v>
      </c>
      <c r="R14" s="9">
        <f t="shared" si="5"/>
        <v>194</v>
      </c>
      <c r="S14" s="9"/>
      <c r="T14" s="1"/>
      <c r="U14" s="1">
        <f t="shared" si="6"/>
        <v>20</v>
      </c>
      <c r="V14" s="1">
        <f t="shared" si="7"/>
        <v>15.125628140703519</v>
      </c>
      <c r="W14" s="10">
        <f>VLOOKUP(A14,[1]TDSheet!$A:$Z,16,0)</f>
        <v>36.4</v>
      </c>
      <c r="X14" s="11">
        <f>VLOOKUP(A14,[1]TDSheet!$A:$Z,26,0)</f>
        <v>48.8</v>
      </c>
      <c r="Y14" s="10">
        <f>VLOOKUP(A14,[1]TDSheet!$A:$Z,25,0)</f>
        <v>39</v>
      </c>
      <c r="Z14" s="10">
        <f>VLOOKUP(A14,[1]TDSheet!$A:$Z,24,0)</f>
        <v>32.200000000000003</v>
      </c>
      <c r="AA14" s="10">
        <f>VLOOKUP(A14,[1]TDSheet!$A:$Z,23,0)</f>
        <v>31</v>
      </c>
      <c r="AB14" s="1"/>
      <c r="AC14" s="1">
        <f t="shared" si="4"/>
        <v>144.33600000000001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42</v>
      </c>
      <c r="B15" s="1" t="s">
        <v>34</v>
      </c>
      <c r="C15" s="1">
        <v>127</v>
      </c>
      <c r="D15" s="1"/>
      <c r="E15" s="1">
        <v>8</v>
      </c>
      <c r="F15" s="1">
        <v>119</v>
      </c>
      <c r="G15" s="7">
        <v>0.14000000000000001</v>
      </c>
      <c r="H15" s="1"/>
      <c r="I15" s="1"/>
      <c r="J15" s="1"/>
      <c r="K15" s="1">
        <v>8</v>
      </c>
      <c r="L15" s="1">
        <f t="shared" si="2"/>
        <v>0</v>
      </c>
      <c r="M15" s="1"/>
      <c r="N15" s="1"/>
      <c r="O15" s="1"/>
      <c r="P15" s="1"/>
      <c r="Q15" s="1">
        <f t="shared" si="3"/>
        <v>1.6</v>
      </c>
      <c r="R15" s="9"/>
      <c r="S15" s="9"/>
      <c r="T15" s="1"/>
      <c r="U15" s="1">
        <f t="shared" si="6"/>
        <v>74.375</v>
      </c>
      <c r="V15" s="1">
        <f t="shared" si="7"/>
        <v>74.375</v>
      </c>
      <c r="W15" s="10">
        <f>VLOOKUP(A15,[1]TDSheet!$A:$Z,16,0)</f>
        <v>3.8</v>
      </c>
      <c r="X15" s="11">
        <f>VLOOKUP(A15,[1]TDSheet!$A:$Z,26,0)</f>
        <v>0.4</v>
      </c>
      <c r="Y15" s="10">
        <f>VLOOKUP(A15,[1]TDSheet!$A:$Z,25,0)</f>
        <v>2.2000000000000002</v>
      </c>
      <c r="Z15" s="10">
        <f>VLOOKUP(A15,[1]TDSheet!$A:$Z,24,0)</f>
        <v>3.4</v>
      </c>
      <c r="AA15" s="10">
        <f>VLOOKUP(A15,[1]TDSheet!$A:$Z,23,0)</f>
        <v>1.4</v>
      </c>
      <c r="AB15" s="19" t="s">
        <v>87</v>
      </c>
      <c r="AC15" s="1">
        <f t="shared" si="4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43</v>
      </c>
      <c r="B16" s="1" t="s">
        <v>34</v>
      </c>
      <c r="C16" s="1"/>
      <c r="D16" s="1"/>
      <c r="E16" s="1">
        <v>-2</v>
      </c>
      <c r="F16" s="1">
        <v>-1</v>
      </c>
      <c r="G16" s="7">
        <v>0.18</v>
      </c>
      <c r="H16" s="1"/>
      <c r="I16" s="1"/>
      <c r="J16" s="1"/>
      <c r="K16" s="1">
        <v>21</v>
      </c>
      <c r="L16" s="1">
        <f t="shared" si="2"/>
        <v>-23</v>
      </c>
      <c r="M16" s="1"/>
      <c r="N16" s="1"/>
      <c r="O16" s="1"/>
      <c r="P16" s="1"/>
      <c r="Q16" s="1">
        <f t="shared" si="3"/>
        <v>-0.4</v>
      </c>
      <c r="R16" s="9">
        <v>30</v>
      </c>
      <c r="S16" s="9"/>
      <c r="T16" s="1"/>
      <c r="U16" s="1">
        <f t="shared" si="6"/>
        <v>-72.5</v>
      </c>
      <c r="V16" s="1">
        <f t="shared" si="7"/>
        <v>2.5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"/>
      <c r="AC16" s="1">
        <f t="shared" si="4"/>
        <v>5.3999999999999995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44</v>
      </c>
      <c r="B17" s="1" t="s">
        <v>34</v>
      </c>
      <c r="C17" s="1">
        <v>169</v>
      </c>
      <c r="D17" s="1">
        <v>4</v>
      </c>
      <c r="E17" s="1">
        <v>36</v>
      </c>
      <c r="F17" s="1">
        <v>127</v>
      </c>
      <c r="G17" s="7">
        <v>0.18</v>
      </c>
      <c r="H17" s="1">
        <f>VLOOKUP(A17,[1]TDSheet!$A:$I,9,0)</f>
        <v>270</v>
      </c>
      <c r="I17" s="1"/>
      <c r="J17" s="1"/>
      <c r="K17" s="1">
        <v>40</v>
      </c>
      <c r="L17" s="1">
        <f t="shared" si="2"/>
        <v>-4</v>
      </c>
      <c r="M17" s="1"/>
      <c r="N17" s="1"/>
      <c r="O17" s="1"/>
      <c r="P17" s="1"/>
      <c r="Q17" s="1">
        <f t="shared" si="3"/>
        <v>7.2</v>
      </c>
      <c r="R17" s="9">
        <f t="shared" si="5"/>
        <v>17</v>
      </c>
      <c r="S17" s="9"/>
      <c r="T17" s="1"/>
      <c r="U17" s="1">
        <f t="shared" si="6"/>
        <v>20</v>
      </c>
      <c r="V17" s="1">
        <f t="shared" si="7"/>
        <v>17.638888888888889</v>
      </c>
      <c r="W17" s="10">
        <f>VLOOKUP(A17,[1]TDSheet!$A:$Z,16,0)</f>
        <v>8.4</v>
      </c>
      <c r="X17" s="11">
        <f>VLOOKUP(A17,[1]TDSheet!$A:$Z,26,0)</f>
        <v>8.8000000000000007</v>
      </c>
      <c r="Y17" s="10">
        <f>VLOOKUP(A17,[1]TDSheet!$A:$Z,25,0)</f>
        <v>12</v>
      </c>
      <c r="Z17" s="10">
        <f>VLOOKUP(A17,[1]TDSheet!$A:$Z,24,0)</f>
        <v>11</v>
      </c>
      <c r="AA17" s="10">
        <f>VLOOKUP(A17,[1]TDSheet!$A:$Z,23,0)</f>
        <v>10.8</v>
      </c>
      <c r="AB17" s="1"/>
      <c r="AC17" s="1">
        <f t="shared" si="4"/>
        <v>3.06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45</v>
      </c>
      <c r="B18" s="1" t="s">
        <v>34</v>
      </c>
      <c r="C18" s="1">
        <v>99</v>
      </c>
      <c r="D18" s="1">
        <v>40</v>
      </c>
      <c r="E18" s="1">
        <v>14</v>
      </c>
      <c r="F18" s="1">
        <v>109</v>
      </c>
      <c r="G18" s="7">
        <v>0.1</v>
      </c>
      <c r="H18" s="1"/>
      <c r="I18" s="1"/>
      <c r="J18" s="1"/>
      <c r="K18" s="1">
        <v>25</v>
      </c>
      <c r="L18" s="1">
        <f t="shared" si="2"/>
        <v>-11</v>
      </c>
      <c r="M18" s="1"/>
      <c r="N18" s="1"/>
      <c r="O18" s="1"/>
      <c r="P18" s="1"/>
      <c r="Q18" s="1">
        <f t="shared" si="3"/>
        <v>2.8</v>
      </c>
      <c r="R18" s="9"/>
      <c r="S18" s="9"/>
      <c r="T18" s="1"/>
      <c r="U18" s="1">
        <f t="shared" si="6"/>
        <v>38.928571428571431</v>
      </c>
      <c r="V18" s="1">
        <f t="shared" si="7"/>
        <v>38.928571428571431</v>
      </c>
      <c r="W18" s="10">
        <f>VLOOKUP(A18,[1]TDSheet!$A:$Z,16,0)</f>
        <v>5.4</v>
      </c>
      <c r="X18" s="11">
        <f>VLOOKUP(A18,[1]TDSheet!$A:$Z,26,0)</f>
        <v>8.6</v>
      </c>
      <c r="Y18" s="10">
        <f>VLOOKUP(A18,[1]TDSheet!$A:$Z,25,0)</f>
        <v>9</v>
      </c>
      <c r="Z18" s="10">
        <f>VLOOKUP(A18,[1]TDSheet!$A:$Z,24,0)</f>
        <v>5.2</v>
      </c>
      <c r="AA18" s="10">
        <f>VLOOKUP(A18,[1]TDSheet!$A:$Z,23,0)</f>
        <v>11.6</v>
      </c>
      <c r="AB18" s="19" t="s">
        <v>87</v>
      </c>
      <c r="AC18" s="1">
        <f t="shared" si="4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2" t="s">
        <v>46</v>
      </c>
      <c r="B19" s="12" t="s">
        <v>34</v>
      </c>
      <c r="C19" s="12">
        <v>10</v>
      </c>
      <c r="D19" s="12"/>
      <c r="E19" s="12"/>
      <c r="F19" s="12">
        <v>10</v>
      </c>
      <c r="G19" s="13">
        <v>0</v>
      </c>
      <c r="H19" s="12"/>
      <c r="I19" s="12" t="s">
        <v>47</v>
      </c>
      <c r="J19" s="12"/>
      <c r="K19" s="12">
        <v>5</v>
      </c>
      <c r="L19" s="12">
        <f t="shared" si="2"/>
        <v>-5</v>
      </c>
      <c r="M19" s="12"/>
      <c r="N19" s="12"/>
      <c r="O19" s="12">
        <f>VLOOKUP(A19,[1]TDSheet!$A:$R,18,0)</f>
        <v>30</v>
      </c>
      <c r="P19" s="12"/>
      <c r="Q19" s="12">
        <f t="shared" si="3"/>
        <v>0</v>
      </c>
      <c r="R19" s="14"/>
      <c r="S19" s="14"/>
      <c r="T19" s="12"/>
      <c r="U19" s="12" t="e">
        <f t="shared" si="6"/>
        <v>#DIV/0!</v>
      </c>
      <c r="V19" s="12" t="e">
        <f t="shared" si="7"/>
        <v>#DIV/0!</v>
      </c>
      <c r="W19" s="15">
        <f>VLOOKUP(A19,[1]TDSheet!$A:$Z,16,0)</f>
        <v>2</v>
      </c>
      <c r="X19" s="16">
        <f>VLOOKUP(A19,[1]TDSheet!$A:$Z,26,0)</f>
        <v>0</v>
      </c>
      <c r="Y19" s="15">
        <f>VLOOKUP(A19,[1]TDSheet!$A:$Z,25,0)</f>
        <v>0</v>
      </c>
      <c r="Z19" s="15">
        <f>VLOOKUP(A19,[1]TDSheet!$A:$Z,24,0)</f>
        <v>0</v>
      </c>
      <c r="AA19" s="15">
        <f>VLOOKUP(A19,[1]TDSheet!$A:$Z,23,0)</f>
        <v>0</v>
      </c>
      <c r="AB19" s="12"/>
      <c r="AC19" s="1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48</v>
      </c>
      <c r="B20" s="1" t="s">
        <v>34</v>
      </c>
      <c r="C20" s="1">
        <v>97</v>
      </c>
      <c r="D20" s="1"/>
      <c r="E20" s="1">
        <v>92</v>
      </c>
      <c r="F20" s="1">
        <v>-7</v>
      </c>
      <c r="G20" s="7">
        <v>0.18</v>
      </c>
      <c r="H20" s="1">
        <f>VLOOKUP(A20,[1]TDSheet!$A:$I,9,0)</f>
        <v>120</v>
      </c>
      <c r="I20" s="1"/>
      <c r="J20" s="1"/>
      <c r="K20" s="1">
        <v>337</v>
      </c>
      <c r="L20" s="1">
        <f t="shared" si="2"/>
        <v>-245</v>
      </c>
      <c r="M20" s="1"/>
      <c r="N20" s="1"/>
      <c r="O20" s="1">
        <f>VLOOKUP(A20,[1]TDSheet!$A:$R,18,0)</f>
        <v>1519</v>
      </c>
      <c r="P20" s="1"/>
      <c r="Q20" s="1">
        <f t="shared" si="3"/>
        <v>18.399999999999999</v>
      </c>
      <c r="R20" s="9"/>
      <c r="S20" s="9"/>
      <c r="T20" s="1"/>
      <c r="U20" s="1">
        <f t="shared" si="6"/>
        <v>82.173913043478265</v>
      </c>
      <c r="V20" s="1">
        <f t="shared" si="7"/>
        <v>82.173913043478265</v>
      </c>
      <c r="W20" s="10">
        <f>VLOOKUP(A20,[1]TDSheet!$A:$Z,16,0)</f>
        <v>80.8</v>
      </c>
      <c r="X20" s="11">
        <f>VLOOKUP(A20,[1]TDSheet!$A:$Z,26,0)</f>
        <v>1.4</v>
      </c>
      <c r="Y20" s="10">
        <f>VLOOKUP(A20,[1]TDSheet!$A:$Z,25,0)</f>
        <v>32</v>
      </c>
      <c r="Z20" s="10">
        <f>VLOOKUP(A20,[1]TDSheet!$A:$Z,24,0)</f>
        <v>35.200000000000003</v>
      </c>
      <c r="AA20" s="10">
        <f>VLOOKUP(A20,[1]TDSheet!$A:$Z,23,0)</f>
        <v>41</v>
      </c>
      <c r="AB20" s="1"/>
      <c r="AC20" s="1">
        <f t="shared" ref="AC20:AC27" si="8">R20*G20</f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49</v>
      </c>
      <c r="B21" s="1" t="s">
        <v>34</v>
      </c>
      <c r="C21" s="1">
        <v>15</v>
      </c>
      <c r="D21" s="1">
        <v>3403</v>
      </c>
      <c r="E21" s="1">
        <v>694</v>
      </c>
      <c r="F21" s="1">
        <v>2629</v>
      </c>
      <c r="G21" s="7">
        <v>0.18</v>
      </c>
      <c r="H21" s="1">
        <f>VLOOKUP(A21,[1]TDSheet!$A:$I,9,0)</f>
        <v>120</v>
      </c>
      <c r="I21" s="1"/>
      <c r="J21" s="1"/>
      <c r="K21" s="1">
        <v>733</v>
      </c>
      <c r="L21" s="1">
        <f t="shared" si="2"/>
        <v>-39</v>
      </c>
      <c r="M21" s="1"/>
      <c r="N21" s="1"/>
      <c r="O21" s="1"/>
      <c r="P21" s="1"/>
      <c r="Q21" s="1">
        <f t="shared" si="3"/>
        <v>138.80000000000001</v>
      </c>
      <c r="R21" s="9">
        <f t="shared" ref="R21" si="9">20*Q21-O21-F21</f>
        <v>147</v>
      </c>
      <c r="S21" s="9"/>
      <c r="T21" s="1"/>
      <c r="U21" s="1">
        <f t="shared" si="6"/>
        <v>20</v>
      </c>
      <c r="V21" s="1">
        <f t="shared" si="7"/>
        <v>18.940922190201729</v>
      </c>
      <c r="W21" s="10">
        <f>VLOOKUP(A21,[1]TDSheet!$A:$Z,16,0)</f>
        <v>42</v>
      </c>
      <c r="X21" s="11">
        <f>VLOOKUP(A21,[1]TDSheet!$A:$Z,26,0)</f>
        <v>156</v>
      </c>
      <c r="Y21" s="10">
        <f>VLOOKUP(A21,[1]TDSheet!$A:$Z,25,0)</f>
        <v>193.8</v>
      </c>
      <c r="Z21" s="10">
        <f>VLOOKUP(A21,[1]TDSheet!$A:$Z,24,0)</f>
        <v>94.6</v>
      </c>
      <c r="AA21" s="10">
        <f>VLOOKUP(A21,[1]TDSheet!$A:$Z,23,0)</f>
        <v>137.6</v>
      </c>
      <c r="AB21" s="1"/>
      <c r="AC21" s="1">
        <f t="shared" si="8"/>
        <v>26.459999999999997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50</v>
      </c>
      <c r="B22" s="1" t="s">
        <v>34</v>
      </c>
      <c r="C22" s="1">
        <v>91</v>
      </c>
      <c r="D22" s="1"/>
      <c r="E22" s="1"/>
      <c r="F22" s="1">
        <v>89</v>
      </c>
      <c r="G22" s="7">
        <v>0.4</v>
      </c>
      <c r="H22" s="1">
        <f>VLOOKUP(A22,[1]TDSheet!$A:$I,9,0)</f>
        <v>270</v>
      </c>
      <c r="I22" s="1"/>
      <c r="J22" s="1"/>
      <c r="K22" s="1"/>
      <c r="L22" s="1">
        <f t="shared" si="2"/>
        <v>0</v>
      </c>
      <c r="M22" s="1"/>
      <c r="N22" s="1"/>
      <c r="O22" s="1"/>
      <c r="P22" s="1"/>
      <c r="Q22" s="1">
        <f t="shared" si="3"/>
        <v>0</v>
      </c>
      <c r="R22" s="9"/>
      <c r="S22" s="9"/>
      <c r="T22" s="1"/>
      <c r="U22" s="1" t="e">
        <f t="shared" si="6"/>
        <v>#DIV/0!</v>
      </c>
      <c r="V22" s="1" t="e">
        <f t="shared" si="7"/>
        <v>#DIV/0!</v>
      </c>
      <c r="W22" s="10">
        <f>VLOOKUP(A22,[1]TDSheet!$A:$Z,16,0)</f>
        <v>0.2</v>
      </c>
      <c r="X22" s="11">
        <f>VLOOKUP(A22,[1]TDSheet!$A:$Z,26,0)</f>
        <v>0.2</v>
      </c>
      <c r="Y22" s="10">
        <f>VLOOKUP(A22,[1]TDSheet!$A:$Z,25,0)</f>
        <v>0.2</v>
      </c>
      <c r="Z22" s="10">
        <f>VLOOKUP(A22,[1]TDSheet!$A:$Z,24,0)</f>
        <v>0</v>
      </c>
      <c r="AA22" s="10">
        <f>VLOOKUP(A22,[1]TDSheet!$A:$Z,23,0)</f>
        <v>1</v>
      </c>
      <c r="AB22" s="19" t="s">
        <v>87</v>
      </c>
      <c r="AC22" s="1">
        <f t="shared" si="8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51</v>
      </c>
      <c r="B23" s="1" t="s">
        <v>34</v>
      </c>
      <c r="C23" s="1">
        <v>221</v>
      </c>
      <c r="D23" s="1"/>
      <c r="E23" s="1">
        <v>5</v>
      </c>
      <c r="F23" s="1">
        <v>215</v>
      </c>
      <c r="G23" s="7">
        <v>0.18</v>
      </c>
      <c r="H23" s="1"/>
      <c r="I23" s="1"/>
      <c r="J23" s="1"/>
      <c r="K23" s="1">
        <v>5</v>
      </c>
      <c r="L23" s="1">
        <f t="shared" si="2"/>
        <v>0</v>
      </c>
      <c r="M23" s="1"/>
      <c r="N23" s="1"/>
      <c r="O23" s="1"/>
      <c r="P23" s="1"/>
      <c r="Q23" s="1">
        <f t="shared" si="3"/>
        <v>1</v>
      </c>
      <c r="R23" s="9"/>
      <c r="S23" s="9"/>
      <c r="T23" s="1"/>
      <c r="U23" s="1">
        <f t="shared" si="6"/>
        <v>215</v>
      </c>
      <c r="V23" s="1">
        <f t="shared" si="7"/>
        <v>215</v>
      </c>
      <c r="W23" s="10">
        <f>VLOOKUP(A23,[1]TDSheet!$A:$Z,16,0)</f>
        <v>1</v>
      </c>
      <c r="X23" s="11">
        <f>VLOOKUP(A23,[1]TDSheet!$A:$Z,26,0)</f>
        <v>1.4</v>
      </c>
      <c r="Y23" s="10">
        <f>VLOOKUP(A23,[1]TDSheet!$A:$Z,25,0)</f>
        <v>0.6</v>
      </c>
      <c r="Z23" s="10">
        <f>VLOOKUP(A23,[1]TDSheet!$A:$Z,24,0)</f>
        <v>3.2</v>
      </c>
      <c r="AA23" s="10">
        <f>VLOOKUP(A23,[1]TDSheet!$A:$Z,23,0)</f>
        <v>3.6</v>
      </c>
      <c r="AB23" s="19" t="s">
        <v>87</v>
      </c>
      <c r="AC23" s="1">
        <f t="shared" si="8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52</v>
      </c>
      <c r="B24" s="1" t="s">
        <v>34</v>
      </c>
      <c r="C24" s="1">
        <v>16</v>
      </c>
      <c r="D24" s="1">
        <v>40</v>
      </c>
      <c r="E24" s="1">
        <v>11</v>
      </c>
      <c r="F24" s="1">
        <v>45</v>
      </c>
      <c r="G24" s="7">
        <v>0.4</v>
      </c>
      <c r="H24" s="1">
        <f>VLOOKUP(A24,[1]TDSheet!$A:$I,9,0)</f>
        <v>270</v>
      </c>
      <c r="I24" s="1"/>
      <c r="J24" s="1"/>
      <c r="K24" s="1">
        <v>11</v>
      </c>
      <c r="L24" s="1">
        <f t="shared" si="2"/>
        <v>0</v>
      </c>
      <c r="M24" s="1"/>
      <c r="N24" s="1"/>
      <c r="O24" s="1"/>
      <c r="P24" s="1"/>
      <c r="Q24" s="1">
        <f t="shared" si="3"/>
        <v>2.2000000000000002</v>
      </c>
      <c r="R24" s="9"/>
      <c r="S24" s="9"/>
      <c r="T24" s="1"/>
      <c r="U24" s="1">
        <f t="shared" si="6"/>
        <v>20.454545454545453</v>
      </c>
      <c r="V24" s="1">
        <f t="shared" si="7"/>
        <v>20.454545454545453</v>
      </c>
      <c r="W24" s="10">
        <f>VLOOKUP(A24,[1]TDSheet!$A:$Z,16,0)</f>
        <v>0.8</v>
      </c>
      <c r="X24" s="11">
        <f>VLOOKUP(A24,[1]TDSheet!$A:$Z,26,0)</f>
        <v>2.8</v>
      </c>
      <c r="Y24" s="10">
        <f>VLOOKUP(A24,[1]TDSheet!$A:$Z,25,0)</f>
        <v>0.6</v>
      </c>
      <c r="Z24" s="10">
        <f>VLOOKUP(A24,[1]TDSheet!$A:$Z,24,0)</f>
        <v>0.6</v>
      </c>
      <c r="AA24" s="10">
        <f>VLOOKUP(A24,[1]TDSheet!$A:$Z,23,0)</f>
        <v>0.4</v>
      </c>
      <c r="AB24" s="1"/>
      <c r="AC24" s="1">
        <f t="shared" si="8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53</v>
      </c>
      <c r="B25" s="1" t="s">
        <v>32</v>
      </c>
      <c r="C25" s="1">
        <v>54.895000000000003</v>
      </c>
      <c r="D25" s="1"/>
      <c r="E25" s="1"/>
      <c r="F25" s="1">
        <v>51.576999999999998</v>
      </c>
      <c r="G25" s="7">
        <v>1</v>
      </c>
      <c r="H25" s="1"/>
      <c r="I25" s="1"/>
      <c r="J25" s="1"/>
      <c r="K25" s="1">
        <v>3.5</v>
      </c>
      <c r="L25" s="1">
        <f t="shared" si="2"/>
        <v>-3.5</v>
      </c>
      <c r="M25" s="1"/>
      <c r="N25" s="1"/>
      <c r="O25" s="1"/>
      <c r="P25" s="1"/>
      <c r="Q25" s="1">
        <f t="shared" si="3"/>
        <v>0</v>
      </c>
      <c r="R25" s="9"/>
      <c r="S25" s="9"/>
      <c r="T25" s="1"/>
      <c r="U25" s="1" t="e">
        <f t="shared" si="6"/>
        <v>#DIV/0!</v>
      </c>
      <c r="V25" s="1" t="e">
        <f t="shared" si="7"/>
        <v>#DIV/0!</v>
      </c>
      <c r="W25" s="10">
        <f>VLOOKUP(A25,[1]TDSheet!$A:$Z,16,0)</f>
        <v>0</v>
      </c>
      <c r="X25" s="11">
        <f>VLOOKUP(A25,[1]TDSheet!$A:$Z,26,0)</f>
        <v>1.7669999999999999</v>
      </c>
      <c r="Y25" s="10">
        <f>VLOOKUP(A25,[1]TDSheet!$A:$Z,25,0)</f>
        <v>0</v>
      </c>
      <c r="Z25" s="10">
        <f>VLOOKUP(A25,[1]TDSheet!$A:$Z,24,0)</f>
        <v>0.97499999999999998</v>
      </c>
      <c r="AA25" s="10">
        <f>VLOOKUP(A25,[1]TDSheet!$A:$Z,23,0)</f>
        <v>0.44500000000000001</v>
      </c>
      <c r="AB25" s="19" t="s">
        <v>87</v>
      </c>
      <c r="AC25" s="1">
        <f t="shared" si="8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54</v>
      </c>
      <c r="B26" s="1" t="s">
        <v>34</v>
      </c>
      <c r="C26" s="1">
        <v>27</v>
      </c>
      <c r="D26" s="1"/>
      <c r="E26" s="1"/>
      <c r="F26" s="1">
        <v>27</v>
      </c>
      <c r="G26" s="7">
        <v>0.2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3"/>
        <v>0</v>
      </c>
      <c r="R26" s="9"/>
      <c r="S26" s="9"/>
      <c r="T26" s="1"/>
      <c r="U26" s="1" t="e">
        <f t="shared" si="6"/>
        <v>#DIV/0!</v>
      </c>
      <c r="V26" s="1" t="e">
        <f t="shared" si="7"/>
        <v>#DIV/0!</v>
      </c>
      <c r="W26" s="10">
        <f>VLOOKUP(A26,[1]TDSheet!$A:$Z,16,0)</f>
        <v>0</v>
      </c>
      <c r="X26" s="11">
        <f>VLOOKUP(A26,[1]TDSheet!$A:$Z,26,0)</f>
        <v>0</v>
      </c>
      <c r="Y26" s="10">
        <f>VLOOKUP(A26,[1]TDSheet!$A:$Z,25,0)</f>
        <v>0</v>
      </c>
      <c r="Z26" s="10">
        <f>VLOOKUP(A26,[1]TDSheet!$A:$Z,24,0)</f>
        <v>1</v>
      </c>
      <c r="AA26" s="10">
        <f>VLOOKUP(A26,[1]TDSheet!$A:$Z,23,0)</f>
        <v>0</v>
      </c>
      <c r="AB26" s="19" t="s">
        <v>87</v>
      </c>
      <c r="AC26" s="1">
        <f t="shared" si="8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55</v>
      </c>
      <c r="B27" s="1" t="s">
        <v>32</v>
      </c>
      <c r="C27" s="1">
        <v>67.125</v>
      </c>
      <c r="D27" s="1"/>
      <c r="E27" s="1"/>
      <c r="F27" s="1">
        <v>67.125</v>
      </c>
      <c r="G27" s="7">
        <v>1</v>
      </c>
      <c r="H27" s="1"/>
      <c r="I27" s="1"/>
      <c r="J27" s="1"/>
      <c r="K27" s="1"/>
      <c r="L27" s="1">
        <f t="shared" si="2"/>
        <v>0</v>
      </c>
      <c r="M27" s="1"/>
      <c r="N27" s="1"/>
      <c r="O27" s="1"/>
      <c r="P27" s="1"/>
      <c r="Q27" s="1">
        <f t="shared" si="3"/>
        <v>0</v>
      </c>
      <c r="R27" s="9"/>
      <c r="S27" s="9"/>
      <c r="T27" s="1"/>
      <c r="U27" s="1" t="e">
        <f t="shared" si="6"/>
        <v>#DIV/0!</v>
      </c>
      <c r="V27" s="1" t="e">
        <f t="shared" si="7"/>
        <v>#DIV/0!</v>
      </c>
      <c r="W27" s="10">
        <f>VLOOKUP(A27,[1]TDSheet!$A:$Z,16,0)</f>
        <v>0</v>
      </c>
      <c r="X27" s="11">
        <f>VLOOKUP(A27,[1]TDSheet!$A:$Z,26,0)</f>
        <v>0</v>
      </c>
      <c r="Y27" s="10">
        <f>VLOOKUP(A27,[1]TDSheet!$A:$Z,25,0)</f>
        <v>0</v>
      </c>
      <c r="Z27" s="10">
        <f>VLOOKUP(A27,[1]TDSheet!$A:$Z,24,0)</f>
        <v>0</v>
      </c>
      <c r="AA27" s="10">
        <f>VLOOKUP(A27,[1]TDSheet!$A:$Z,23,0)</f>
        <v>0</v>
      </c>
      <c r="AB27" s="19" t="s">
        <v>87</v>
      </c>
      <c r="AC27" s="1">
        <f t="shared" si="8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2" t="s">
        <v>56</v>
      </c>
      <c r="B28" s="12" t="s">
        <v>32</v>
      </c>
      <c r="C28" s="12"/>
      <c r="D28" s="12"/>
      <c r="E28" s="17">
        <v>1.1879999999999999</v>
      </c>
      <c r="F28" s="17">
        <v>-2.4020000000000001</v>
      </c>
      <c r="G28" s="13">
        <v>0</v>
      </c>
      <c r="H28" s="12"/>
      <c r="I28" s="12" t="s">
        <v>57</v>
      </c>
      <c r="J28" s="12" t="s">
        <v>31</v>
      </c>
      <c r="K28" s="12">
        <v>1.5</v>
      </c>
      <c r="L28" s="12">
        <f t="shared" si="2"/>
        <v>-0.31200000000000006</v>
      </c>
      <c r="M28" s="12"/>
      <c r="N28" s="12"/>
      <c r="O28" s="12"/>
      <c r="P28" s="12"/>
      <c r="Q28" s="12">
        <f t="shared" si="3"/>
        <v>0.23759999999999998</v>
      </c>
      <c r="R28" s="14"/>
      <c r="S28" s="14"/>
      <c r="T28" s="12"/>
      <c r="U28" s="12">
        <f t="shared" si="6"/>
        <v>-10.109427609427611</v>
      </c>
      <c r="V28" s="12">
        <f t="shared" si="7"/>
        <v>-10.109427609427611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2"/>
      <c r="AC28" s="1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58</v>
      </c>
      <c r="B29" s="1" t="s">
        <v>34</v>
      </c>
      <c r="C29" s="1">
        <v>117</v>
      </c>
      <c r="D29" s="1"/>
      <c r="E29" s="1"/>
      <c r="F29" s="1">
        <v>117</v>
      </c>
      <c r="G29" s="7">
        <v>0.18</v>
      </c>
      <c r="H29" s="1">
        <f>VLOOKUP(A29,[1]TDSheet!$A:$I,9,0)</f>
        <v>150</v>
      </c>
      <c r="I29" s="1"/>
      <c r="J29" s="1"/>
      <c r="K29" s="1">
        <v>120</v>
      </c>
      <c r="L29" s="1">
        <f t="shared" si="2"/>
        <v>-120</v>
      </c>
      <c r="M29" s="1"/>
      <c r="N29" s="1"/>
      <c r="O29" s="1"/>
      <c r="P29" s="1">
        <v>200</v>
      </c>
      <c r="Q29" s="1">
        <f t="shared" si="3"/>
        <v>0</v>
      </c>
      <c r="R29" s="9"/>
      <c r="S29" s="9"/>
      <c r="T29" s="1"/>
      <c r="U29" s="1" t="e">
        <f>(F29+O29+R29+P29)/Q29</f>
        <v>#DIV/0!</v>
      </c>
      <c r="V29" s="1" t="e">
        <f>(F29+O29+P29)/Q29</f>
        <v>#DIV/0!</v>
      </c>
      <c r="W29" s="10">
        <f>VLOOKUP(A29,[1]TDSheet!$A:$Z,16,0)</f>
        <v>0</v>
      </c>
      <c r="X29" s="11">
        <f>VLOOKUP(A29,[1]TDSheet!$A:$Z,26,0)</f>
        <v>-0.2</v>
      </c>
      <c r="Y29" s="10">
        <f>VLOOKUP(A29,[1]TDSheet!$A:$Z,25,0)</f>
        <v>-0.6</v>
      </c>
      <c r="Z29" s="10">
        <f>VLOOKUP(A29,[1]TDSheet!$A:$Z,24,0)</f>
        <v>-0.6</v>
      </c>
      <c r="AA29" s="10">
        <f>VLOOKUP(A29,[1]TDSheet!$A:$Z,23,0)</f>
        <v>0</v>
      </c>
      <c r="AB29" s="19" t="s">
        <v>87</v>
      </c>
      <c r="AC29" s="1">
        <f t="shared" ref="AC29:AC38" si="10">R29*G29</f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59</v>
      </c>
      <c r="B30" s="1" t="s">
        <v>34</v>
      </c>
      <c r="C30" s="1">
        <v>55</v>
      </c>
      <c r="D30" s="1"/>
      <c r="E30" s="1">
        <v>37</v>
      </c>
      <c r="F30" s="1">
        <v>15</v>
      </c>
      <c r="G30" s="7">
        <v>0.1</v>
      </c>
      <c r="H30" s="1">
        <f>VLOOKUP(A30,[1]TDSheet!$A:$I,9,0)</f>
        <v>90</v>
      </c>
      <c r="I30" s="1"/>
      <c r="J30" s="1"/>
      <c r="K30" s="1">
        <v>76</v>
      </c>
      <c r="L30" s="1">
        <f t="shared" si="2"/>
        <v>-39</v>
      </c>
      <c r="M30" s="1"/>
      <c r="N30" s="1"/>
      <c r="O30" s="1">
        <f>VLOOKUP(A30,[1]TDSheet!$A:$R,18,0)</f>
        <v>189</v>
      </c>
      <c r="P30" s="1"/>
      <c r="Q30" s="1">
        <f t="shared" si="3"/>
        <v>7.4</v>
      </c>
      <c r="R30" s="9"/>
      <c r="S30" s="9"/>
      <c r="T30" s="1"/>
      <c r="U30" s="1">
        <f t="shared" si="6"/>
        <v>27.567567567567565</v>
      </c>
      <c r="V30" s="1">
        <f t="shared" si="7"/>
        <v>27.567567567567565</v>
      </c>
      <c r="W30" s="10">
        <f>VLOOKUP(A30,[1]TDSheet!$A:$Z,16,0)</f>
        <v>12.2</v>
      </c>
      <c r="X30" s="11">
        <f>VLOOKUP(A30,[1]TDSheet!$A:$Z,26,0)</f>
        <v>-0.6</v>
      </c>
      <c r="Y30" s="10">
        <f>VLOOKUP(A30,[1]TDSheet!$A:$Z,25,0)</f>
        <v>0</v>
      </c>
      <c r="Z30" s="10">
        <f>VLOOKUP(A30,[1]TDSheet!$A:$Z,24,0)</f>
        <v>0</v>
      </c>
      <c r="AA30" s="10">
        <f>VLOOKUP(A30,[1]TDSheet!$A:$Z,23,0)</f>
        <v>0</v>
      </c>
      <c r="AB30" s="1"/>
      <c r="AC30" s="1">
        <f t="shared" si="10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60</v>
      </c>
      <c r="B31" s="1" t="s">
        <v>34</v>
      </c>
      <c r="C31" s="1">
        <v>-3</v>
      </c>
      <c r="D31" s="1">
        <v>671</v>
      </c>
      <c r="E31" s="1">
        <v>187</v>
      </c>
      <c r="F31" s="1">
        <v>447</v>
      </c>
      <c r="G31" s="7">
        <v>0.1</v>
      </c>
      <c r="H31" s="1"/>
      <c r="I31" s="1"/>
      <c r="J31" s="1"/>
      <c r="K31" s="1">
        <v>195</v>
      </c>
      <c r="L31" s="1">
        <f t="shared" si="2"/>
        <v>-8</v>
      </c>
      <c r="M31" s="1"/>
      <c r="N31" s="1"/>
      <c r="O31" s="1"/>
      <c r="P31" s="1"/>
      <c r="Q31" s="1">
        <f t="shared" si="3"/>
        <v>37.4</v>
      </c>
      <c r="R31" s="9">
        <f t="shared" ref="R31:R37" si="11">20*Q31-O31-F31</f>
        <v>301</v>
      </c>
      <c r="S31" s="9"/>
      <c r="T31" s="1"/>
      <c r="U31" s="1">
        <f t="shared" si="6"/>
        <v>20</v>
      </c>
      <c r="V31" s="1">
        <f t="shared" si="7"/>
        <v>11.951871657754012</v>
      </c>
      <c r="W31" s="10">
        <f>VLOOKUP(A31,[1]TDSheet!$A:$Z,16,0)</f>
        <v>2</v>
      </c>
      <c r="X31" s="11">
        <f>VLOOKUP(A31,[1]TDSheet!$A:$Z,26,0)</f>
        <v>24.8</v>
      </c>
      <c r="Y31" s="10">
        <f>VLOOKUP(A31,[1]TDSheet!$A:$Z,25,0)</f>
        <v>44.2</v>
      </c>
      <c r="Z31" s="10">
        <f>VLOOKUP(A31,[1]TDSheet!$A:$Z,24,0)</f>
        <v>5.2</v>
      </c>
      <c r="AA31" s="10">
        <f>VLOOKUP(A31,[1]TDSheet!$A:$Z,23,0)</f>
        <v>14</v>
      </c>
      <c r="AB31" s="1"/>
      <c r="AC31" s="1">
        <f t="shared" si="10"/>
        <v>30.1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61</v>
      </c>
      <c r="B32" s="1" t="s">
        <v>34</v>
      </c>
      <c r="C32" s="1">
        <v>1</v>
      </c>
      <c r="D32" s="1">
        <v>337</v>
      </c>
      <c r="E32" s="1">
        <v>133</v>
      </c>
      <c r="F32" s="1">
        <v>191</v>
      </c>
      <c r="G32" s="7">
        <v>0.1</v>
      </c>
      <c r="H32" s="1"/>
      <c r="I32" s="1"/>
      <c r="J32" s="1"/>
      <c r="K32" s="1">
        <v>134</v>
      </c>
      <c r="L32" s="1">
        <f t="shared" si="2"/>
        <v>-1</v>
      </c>
      <c r="M32" s="1"/>
      <c r="N32" s="1"/>
      <c r="O32" s="1">
        <f>VLOOKUP(A32,[1]TDSheet!$A:$R,18,0)</f>
        <v>94</v>
      </c>
      <c r="P32" s="1"/>
      <c r="Q32" s="1">
        <f t="shared" si="3"/>
        <v>26.6</v>
      </c>
      <c r="R32" s="9">
        <f t="shared" si="11"/>
        <v>247</v>
      </c>
      <c r="S32" s="9"/>
      <c r="T32" s="1"/>
      <c r="U32" s="1">
        <f t="shared" si="6"/>
        <v>20</v>
      </c>
      <c r="V32" s="1">
        <f t="shared" si="7"/>
        <v>10.714285714285714</v>
      </c>
      <c r="W32" s="10">
        <f>VLOOKUP(A32,[1]TDSheet!$A:$Z,16,0)</f>
        <v>20.6</v>
      </c>
      <c r="X32" s="11">
        <f>VLOOKUP(A32,[1]TDSheet!$A:$Z,26,0)</f>
        <v>21.4</v>
      </c>
      <c r="Y32" s="10">
        <f>VLOOKUP(A32,[1]TDSheet!$A:$Z,25,0)</f>
        <v>28</v>
      </c>
      <c r="Z32" s="10">
        <f>VLOOKUP(A32,[1]TDSheet!$A:$Z,24,0)</f>
        <v>2.2000000000000002</v>
      </c>
      <c r="AA32" s="10">
        <f>VLOOKUP(A32,[1]TDSheet!$A:$Z,23,0)</f>
        <v>16.2</v>
      </c>
      <c r="AB32" s="1"/>
      <c r="AC32" s="1">
        <f t="shared" si="10"/>
        <v>24.700000000000003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62</v>
      </c>
      <c r="B33" s="1" t="s">
        <v>34</v>
      </c>
      <c r="C33" s="1">
        <v>93</v>
      </c>
      <c r="D33" s="1">
        <v>302</v>
      </c>
      <c r="E33" s="1">
        <v>166</v>
      </c>
      <c r="F33" s="1">
        <v>214</v>
      </c>
      <c r="G33" s="7">
        <v>0.18</v>
      </c>
      <c r="H33" s="1">
        <f>VLOOKUP(A33,[1]TDSheet!$A:$I,9,0)</f>
        <v>150</v>
      </c>
      <c r="I33" s="1"/>
      <c r="J33" s="1"/>
      <c r="K33" s="1">
        <v>163</v>
      </c>
      <c r="L33" s="1">
        <f t="shared" si="2"/>
        <v>3</v>
      </c>
      <c r="M33" s="1"/>
      <c r="N33" s="1"/>
      <c r="O33" s="1">
        <f>VLOOKUP(A33,[1]TDSheet!$A:$R,18,0)</f>
        <v>71</v>
      </c>
      <c r="P33" s="1">
        <v>100</v>
      </c>
      <c r="Q33" s="1">
        <f t="shared" si="3"/>
        <v>33.200000000000003</v>
      </c>
      <c r="R33" s="9">
        <f>20*Q33-O33-F33-P33</f>
        <v>279</v>
      </c>
      <c r="S33" s="9"/>
      <c r="T33" s="1"/>
      <c r="U33" s="1">
        <f t="shared" ref="U33:U34" si="12">(F33+O33+R33+P33)/Q33</f>
        <v>20</v>
      </c>
      <c r="V33" s="1">
        <f t="shared" ref="V33:V34" si="13">(F33+O33+P33)/Q33</f>
        <v>11.596385542168674</v>
      </c>
      <c r="W33" s="10">
        <f>VLOOKUP(A33,[1]TDSheet!$A:$Z,16,0)</f>
        <v>23.2</v>
      </c>
      <c r="X33" s="11">
        <f>VLOOKUP(A33,[1]TDSheet!$A:$Z,26,0)</f>
        <v>15</v>
      </c>
      <c r="Y33" s="10">
        <f>VLOOKUP(A33,[1]TDSheet!$A:$Z,25,0)</f>
        <v>35</v>
      </c>
      <c r="Z33" s="10">
        <f>VLOOKUP(A33,[1]TDSheet!$A:$Z,24,0)</f>
        <v>37.799999999999997</v>
      </c>
      <c r="AA33" s="10">
        <f>VLOOKUP(A33,[1]TDSheet!$A:$Z,23,0)</f>
        <v>39.4</v>
      </c>
      <c r="AB33" s="1"/>
      <c r="AC33" s="1">
        <f t="shared" si="10"/>
        <v>50.22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63</v>
      </c>
      <c r="B34" s="1" t="s">
        <v>34</v>
      </c>
      <c r="C34" s="1">
        <v>-19</v>
      </c>
      <c r="D34" s="1">
        <v>1014</v>
      </c>
      <c r="E34" s="1">
        <v>421</v>
      </c>
      <c r="F34" s="1">
        <v>551</v>
      </c>
      <c r="G34" s="7">
        <v>0.18</v>
      </c>
      <c r="H34" s="1">
        <f>VLOOKUP(A34,[1]TDSheet!$A:$I,9,0)</f>
        <v>150</v>
      </c>
      <c r="I34" s="1"/>
      <c r="J34" s="1"/>
      <c r="K34" s="1">
        <v>438</v>
      </c>
      <c r="L34" s="1">
        <f t="shared" si="2"/>
        <v>-17</v>
      </c>
      <c r="M34" s="1"/>
      <c r="N34" s="1"/>
      <c r="O34" s="1"/>
      <c r="P34" s="1">
        <v>250</v>
      </c>
      <c r="Q34" s="1">
        <f t="shared" si="3"/>
        <v>84.2</v>
      </c>
      <c r="R34" s="9">
        <f>20*Q34-O34-F34-P34</f>
        <v>883</v>
      </c>
      <c r="S34" s="9"/>
      <c r="T34" s="1"/>
      <c r="U34" s="1">
        <f t="shared" si="12"/>
        <v>20</v>
      </c>
      <c r="V34" s="1">
        <f t="shared" si="13"/>
        <v>9.513064133016627</v>
      </c>
      <c r="W34" s="10">
        <f>VLOOKUP(A34,[1]TDSheet!$A:$Z,16,0)</f>
        <v>19.8</v>
      </c>
      <c r="X34" s="11">
        <f>VLOOKUP(A34,[1]TDSheet!$A:$Z,26,0)</f>
        <v>15.8</v>
      </c>
      <c r="Y34" s="10">
        <f>VLOOKUP(A34,[1]TDSheet!$A:$Z,25,0)</f>
        <v>83.6</v>
      </c>
      <c r="Z34" s="10">
        <f>VLOOKUP(A34,[1]TDSheet!$A:$Z,24,0)</f>
        <v>2</v>
      </c>
      <c r="AA34" s="10">
        <f>VLOOKUP(A34,[1]TDSheet!$A:$Z,23,0)</f>
        <v>26.4</v>
      </c>
      <c r="AB34" s="1"/>
      <c r="AC34" s="1">
        <f t="shared" si="10"/>
        <v>158.94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64</v>
      </c>
      <c r="B35" s="1" t="s">
        <v>34</v>
      </c>
      <c r="C35" s="1">
        <v>126</v>
      </c>
      <c r="D35" s="1"/>
      <c r="E35" s="1">
        <v>-1</v>
      </c>
      <c r="F35" s="1">
        <v>126</v>
      </c>
      <c r="G35" s="7">
        <v>0.18</v>
      </c>
      <c r="H35" s="1">
        <f>VLOOKUP(A35,[1]TDSheet!$A:$I,9,0)</f>
        <v>150</v>
      </c>
      <c r="I35" s="1"/>
      <c r="J35" s="1"/>
      <c r="K35" s="1">
        <v>99</v>
      </c>
      <c r="L35" s="1">
        <f t="shared" si="2"/>
        <v>-100</v>
      </c>
      <c r="M35" s="1"/>
      <c r="N35" s="1"/>
      <c r="O35" s="1"/>
      <c r="P35" s="1"/>
      <c r="Q35" s="1">
        <f t="shared" si="3"/>
        <v>-0.2</v>
      </c>
      <c r="R35" s="9"/>
      <c r="S35" s="9"/>
      <c r="T35" s="1"/>
      <c r="U35" s="1">
        <f t="shared" si="6"/>
        <v>-630</v>
      </c>
      <c r="V35" s="1">
        <f t="shared" si="7"/>
        <v>-630</v>
      </c>
      <c r="W35" s="10">
        <f>VLOOKUP(A35,[1]TDSheet!$A:$Z,16,0)</f>
        <v>0</v>
      </c>
      <c r="X35" s="11">
        <f>VLOOKUP(A35,[1]TDSheet!$A:$Z,26,0)</f>
        <v>-0.4</v>
      </c>
      <c r="Y35" s="10">
        <f>VLOOKUP(A35,[1]TDSheet!$A:$Z,25,0)</f>
        <v>-0.4</v>
      </c>
      <c r="Z35" s="10">
        <f>VLOOKUP(A35,[1]TDSheet!$A:$Z,24,0)</f>
        <v>0</v>
      </c>
      <c r="AA35" s="10">
        <f>VLOOKUP(A35,[1]TDSheet!$A:$Z,23,0)</f>
        <v>0.2</v>
      </c>
      <c r="AB35" s="19" t="s">
        <v>87</v>
      </c>
      <c r="AC35" s="1">
        <f t="shared" si="10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65</v>
      </c>
      <c r="B36" s="1" t="s">
        <v>34</v>
      </c>
      <c r="C36" s="1">
        <v>97</v>
      </c>
      <c r="D36" s="1">
        <v>211</v>
      </c>
      <c r="E36" s="1">
        <v>73</v>
      </c>
      <c r="F36" s="17">
        <f>230+F39</f>
        <v>228</v>
      </c>
      <c r="G36" s="7">
        <v>0.18</v>
      </c>
      <c r="H36" s="1">
        <f>VLOOKUP(A36,[1]TDSheet!$A:$I,9,0)</f>
        <v>120</v>
      </c>
      <c r="I36" s="1"/>
      <c r="J36" s="1"/>
      <c r="K36" s="1">
        <v>71</v>
      </c>
      <c r="L36" s="1">
        <f t="shared" si="2"/>
        <v>2</v>
      </c>
      <c r="M36" s="1"/>
      <c r="N36" s="1"/>
      <c r="O36" s="1">
        <f>VLOOKUP(A36,[1]TDSheet!$A:$R,18,0)</f>
        <v>230</v>
      </c>
      <c r="P36" s="1"/>
      <c r="Q36" s="1">
        <f t="shared" si="3"/>
        <v>14.6</v>
      </c>
      <c r="R36" s="9"/>
      <c r="S36" s="9"/>
      <c r="T36" s="1"/>
      <c r="U36" s="1">
        <f t="shared" si="6"/>
        <v>31.36986301369863</v>
      </c>
      <c r="V36" s="1">
        <f t="shared" si="7"/>
        <v>31.36986301369863</v>
      </c>
      <c r="W36" s="10">
        <f>VLOOKUP(A36,[1]TDSheet!$A:$Z,16,0)</f>
        <v>27</v>
      </c>
      <c r="X36" s="11">
        <f>VLOOKUP(A36,[1]TDSheet!$A:$Z,26,0)</f>
        <v>22.4</v>
      </c>
      <c r="Y36" s="10">
        <f>VLOOKUP(A36,[1]TDSheet!$A:$Z,25,0)</f>
        <v>19.2</v>
      </c>
      <c r="Z36" s="10">
        <f>VLOOKUP(A36,[1]TDSheet!$A:$Z,24,0)</f>
        <v>19.2</v>
      </c>
      <c r="AA36" s="10">
        <f>VLOOKUP(A36,[1]TDSheet!$A:$Z,23,0)</f>
        <v>17.399999999999999</v>
      </c>
      <c r="AB36" s="1"/>
      <c r="AC36" s="1">
        <f t="shared" si="10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66</v>
      </c>
      <c r="B37" s="1" t="s">
        <v>34</v>
      </c>
      <c r="C37" s="1">
        <v>117</v>
      </c>
      <c r="D37" s="1">
        <v>714</v>
      </c>
      <c r="E37" s="1">
        <v>325</v>
      </c>
      <c r="F37" s="17">
        <f>470+F40</f>
        <v>468</v>
      </c>
      <c r="G37" s="7">
        <v>0.18</v>
      </c>
      <c r="H37" s="1">
        <f>VLOOKUP(A37,[1]TDSheet!$A:$I,9,0)</f>
        <v>150</v>
      </c>
      <c r="I37" s="1"/>
      <c r="J37" s="1"/>
      <c r="K37" s="1">
        <v>345</v>
      </c>
      <c r="L37" s="1">
        <f t="shared" si="2"/>
        <v>-20</v>
      </c>
      <c r="M37" s="1"/>
      <c r="N37" s="1"/>
      <c r="O37" s="1"/>
      <c r="P37" s="1"/>
      <c r="Q37" s="1">
        <f t="shared" si="3"/>
        <v>65</v>
      </c>
      <c r="R37" s="9">
        <f t="shared" si="11"/>
        <v>832</v>
      </c>
      <c r="S37" s="9"/>
      <c r="T37" s="1"/>
      <c r="U37" s="1">
        <f t="shared" si="6"/>
        <v>20</v>
      </c>
      <c r="V37" s="1">
        <f t="shared" si="7"/>
        <v>7.2</v>
      </c>
      <c r="W37" s="10">
        <f>VLOOKUP(A37,[1]TDSheet!$A:$Z,16,0)</f>
        <v>24.4</v>
      </c>
      <c r="X37" s="11">
        <f>VLOOKUP(A37,[1]TDSheet!$A:$Z,26,0)</f>
        <v>46</v>
      </c>
      <c r="Y37" s="10">
        <f>VLOOKUP(A37,[1]TDSheet!$A:$Z,25,0)</f>
        <v>78</v>
      </c>
      <c r="Z37" s="10">
        <f>VLOOKUP(A37,[1]TDSheet!$A:$Z,24,0)</f>
        <v>1.2</v>
      </c>
      <c r="AA37" s="10">
        <f>VLOOKUP(A37,[1]TDSheet!$A:$Z,23,0)</f>
        <v>47.8</v>
      </c>
      <c r="AB37" s="1"/>
      <c r="AC37" s="1">
        <f t="shared" si="10"/>
        <v>149.76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67</v>
      </c>
      <c r="B38" s="1" t="s">
        <v>34</v>
      </c>
      <c r="C38" s="1">
        <v>203</v>
      </c>
      <c r="D38" s="1">
        <v>65</v>
      </c>
      <c r="E38" s="1">
        <v>85</v>
      </c>
      <c r="F38" s="1">
        <v>152</v>
      </c>
      <c r="G38" s="7">
        <v>0.18</v>
      </c>
      <c r="H38" s="1">
        <f>VLOOKUP(A38,[1]TDSheet!$A:$I,9,0)</f>
        <v>120</v>
      </c>
      <c r="I38" s="1"/>
      <c r="J38" s="1"/>
      <c r="K38" s="1">
        <v>122</v>
      </c>
      <c r="L38" s="1">
        <f t="shared" ref="L38:L56" si="14">E38-K38</f>
        <v>-37</v>
      </c>
      <c r="M38" s="1"/>
      <c r="N38" s="1"/>
      <c r="O38" s="1">
        <f>VLOOKUP(A38,[1]TDSheet!$A:$R,18,0)</f>
        <v>478</v>
      </c>
      <c r="P38" s="1">
        <v>550</v>
      </c>
      <c r="Q38" s="1">
        <f t="shared" ref="Q38:Q56" si="15">E38/5</f>
        <v>17</v>
      </c>
      <c r="R38" s="9"/>
      <c r="S38" s="9"/>
      <c r="T38" s="1"/>
      <c r="U38" s="1">
        <f>(F38+O38+R38+P38)/Q38</f>
        <v>69.411764705882348</v>
      </c>
      <c r="V38" s="1">
        <f>(F38+O38+P38)/Q38</f>
        <v>69.411764705882348</v>
      </c>
      <c r="W38" s="10">
        <f>VLOOKUP(A38,[1]TDSheet!$A:$Z,16,0)</f>
        <v>36.799999999999997</v>
      </c>
      <c r="X38" s="11">
        <f>VLOOKUP(A38,[1]TDSheet!$A:$Z,26,0)</f>
        <v>22.6</v>
      </c>
      <c r="Y38" s="10">
        <f>VLOOKUP(A38,[1]TDSheet!$A:$Z,25,0)</f>
        <v>22</v>
      </c>
      <c r="Z38" s="10">
        <f>VLOOKUP(A38,[1]TDSheet!$A:$Z,24,0)</f>
        <v>28.4</v>
      </c>
      <c r="AA38" s="10">
        <f>VLOOKUP(A38,[1]TDSheet!$A:$Z,23,0)</f>
        <v>31.4</v>
      </c>
      <c r="AB38" s="1"/>
      <c r="AC38" s="1">
        <f t="shared" si="10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2" t="s">
        <v>68</v>
      </c>
      <c r="B39" s="12" t="s">
        <v>34</v>
      </c>
      <c r="C39" s="12">
        <v>-2</v>
      </c>
      <c r="D39" s="12"/>
      <c r="E39" s="12"/>
      <c r="F39" s="17">
        <v>-2</v>
      </c>
      <c r="G39" s="13">
        <v>0</v>
      </c>
      <c r="H39" s="12"/>
      <c r="I39" s="12" t="s">
        <v>57</v>
      </c>
      <c r="J39" s="12" t="s">
        <v>65</v>
      </c>
      <c r="K39" s="12"/>
      <c r="L39" s="12">
        <f t="shared" si="14"/>
        <v>0</v>
      </c>
      <c r="M39" s="12"/>
      <c r="N39" s="12"/>
      <c r="O39" s="12">
        <f>VLOOKUP(A39,[1]TDSheet!$A:$R,18,0)</f>
        <v>10</v>
      </c>
      <c r="P39" s="12"/>
      <c r="Q39" s="12">
        <f t="shared" si="15"/>
        <v>0</v>
      </c>
      <c r="R39" s="14"/>
      <c r="S39" s="14"/>
      <c r="T39" s="12"/>
      <c r="U39" s="12" t="e">
        <f t="shared" si="6"/>
        <v>#DIV/0!</v>
      </c>
      <c r="V39" s="12" t="e">
        <f t="shared" si="7"/>
        <v>#DIV/0!</v>
      </c>
      <c r="W39" s="15">
        <f>VLOOKUP(A39,[1]TDSheet!$A:$Z,16,0)</f>
        <v>0.4</v>
      </c>
      <c r="X39" s="16">
        <f>VLOOKUP(A39,[1]TDSheet!$A:$Z,26,0)</f>
        <v>0</v>
      </c>
      <c r="Y39" s="15">
        <f>VLOOKUP(A39,[1]TDSheet!$A:$Z,25,0)</f>
        <v>0</v>
      </c>
      <c r="Z39" s="15">
        <f>VLOOKUP(A39,[1]TDSheet!$A:$Z,24,0)</f>
        <v>0</v>
      </c>
      <c r="AA39" s="15">
        <f>VLOOKUP(A39,[1]TDSheet!$A:$Z,23,0)</f>
        <v>0</v>
      </c>
      <c r="AB39" s="12"/>
      <c r="AC39" s="1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2" t="s">
        <v>69</v>
      </c>
      <c r="B40" s="12" t="s">
        <v>34</v>
      </c>
      <c r="C40" s="12">
        <v>-2</v>
      </c>
      <c r="D40" s="12"/>
      <c r="E40" s="12"/>
      <c r="F40" s="17">
        <v>-2</v>
      </c>
      <c r="G40" s="13">
        <v>0</v>
      </c>
      <c r="H40" s="12"/>
      <c r="I40" s="12" t="s">
        <v>57</v>
      </c>
      <c r="J40" s="12" t="s">
        <v>66</v>
      </c>
      <c r="K40" s="12">
        <v>1</v>
      </c>
      <c r="L40" s="12">
        <f t="shared" si="14"/>
        <v>-1</v>
      </c>
      <c r="M40" s="12"/>
      <c r="N40" s="12"/>
      <c r="O40" s="12">
        <f>VLOOKUP(A40,[1]TDSheet!$A:$R,18,0)</f>
        <v>10</v>
      </c>
      <c r="P40" s="12"/>
      <c r="Q40" s="12">
        <f t="shared" si="15"/>
        <v>0</v>
      </c>
      <c r="R40" s="14"/>
      <c r="S40" s="14"/>
      <c r="T40" s="12"/>
      <c r="U40" s="12" t="e">
        <f t="shared" si="6"/>
        <v>#DIV/0!</v>
      </c>
      <c r="V40" s="12" t="e">
        <f t="shared" si="7"/>
        <v>#DIV/0!</v>
      </c>
      <c r="W40" s="15">
        <f>VLOOKUP(A40,[1]TDSheet!$A:$Z,16,0)</f>
        <v>0.4</v>
      </c>
      <c r="X40" s="16">
        <f>VLOOKUP(A40,[1]TDSheet!$A:$Z,26,0)</f>
        <v>0</v>
      </c>
      <c r="Y40" s="15">
        <f>VLOOKUP(A40,[1]TDSheet!$A:$Z,25,0)</f>
        <v>0</v>
      </c>
      <c r="Z40" s="15">
        <f>VLOOKUP(A40,[1]TDSheet!$A:$Z,24,0)</f>
        <v>0</v>
      </c>
      <c r="AA40" s="15">
        <f>VLOOKUP(A40,[1]TDSheet!$A:$Z,23,0)</f>
        <v>0</v>
      </c>
      <c r="AB40" s="12"/>
      <c r="AC40" s="1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70</v>
      </c>
      <c r="B41" s="1" t="s">
        <v>34</v>
      </c>
      <c r="C41" s="1">
        <v>187</v>
      </c>
      <c r="D41" s="1">
        <v>36</v>
      </c>
      <c r="E41" s="17">
        <f>98+E42</f>
        <v>101</v>
      </c>
      <c r="F41" s="17">
        <f>118+F42</f>
        <v>115</v>
      </c>
      <c r="G41" s="7">
        <v>0.18</v>
      </c>
      <c r="H41" s="1">
        <f>VLOOKUP(A41,[1]TDSheet!$A:$I,9,0)</f>
        <v>270</v>
      </c>
      <c r="I41" s="1"/>
      <c r="J41" s="1"/>
      <c r="K41" s="1">
        <v>96</v>
      </c>
      <c r="L41" s="1">
        <f t="shared" si="14"/>
        <v>5</v>
      </c>
      <c r="M41" s="1"/>
      <c r="N41" s="1"/>
      <c r="O41" s="1">
        <f>VLOOKUP(A41,[1]TDSheet!$A:$R,18,0)</f>
        <v>157</v>
      </c>
      <c r="P41" s="1"/>
      <c r="Q41" s="1">
        <f t="shared" si="15"/>
        <v>20.2</v>
      </c>
      <c r="R41" s="9">
        <f t="shared" ref="R41" si="16">20*Q41-O41-F41</f>
        <v>132</v>
      </c>
      <c r="S41" s="9"/>
      <c r="T41" s="1"/>
      <c r="U41" s="1">
        <f t="shared" si="6"/>
        <v>20</v>
      </c>
      <c r="V41" s="1">
        <f t="shared" si="7"/>
        <v>13.465346534653467</v>
      </c>
      <c r="W41" s="10">
        <f>VLOOKUP(A41,[1]TDSheet!$A:$Z,16,0)</f>
        <v>18.600000000000001</v>
      </c>
      <c r="X41" s="11">
        <f>VLOOKUP(A41,[1]TDSheet!$A:$Z,26,0)</f>
        <v>15.4</v>
      </c>
      <c r="Y41" s="10">
        <f>VLOOKUP(A41,[1]TDSheet!$A:$Z,25,0)</f>
        <v>13.4</v>
      </c>
      <c r="Z41" s="10">
        <f>VLOOKUP(A41,[1]TDSheet!$A:$Z,24,0)</f>
        <v>17</v>
      </c>
      <c r="AA41" s="10">
        <f>VLOOKUP(A41,[1]TDSheet!$A:$Z,23,0)</f>
        <v>8.8000000000000007</v>
      </c>
      <c r="AB41" s="1"/>
      <c r="AC41" s="1">
        <f t="shared" ref="AC41:AC44" si="17">R41*G41</f>
        <v>23.759999999999998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2" t="s">
        <v>71</v>
      </c>
      <c r="B42" s="12" t="s">
        <v>34</v>
      </c>
      <c r="C42" s="12"/>
      <c r="D42" s="12"/>
      <c r="E42" s="17">
        <v>3</v>
      </c>
      <c r="F42" s="17">
        <v>-3</v>
      </c>
      <c r="G42" s="13">
        <v>0</v>
      </c>
      <c r="H42" s="12"/>
      <c r="I42" s="12" t="s">
        <v>57</v>
      </c>
      <c r="J42" s="12" t="s">
        <v>70</v>
      </c>
      <c r="K42" s="12">
        <v>5</v>
      </c>
      <c r="L42" s="12">
        <f t="shared" si="14"/>
        <v>-2</v>
      </c>
      <c r="M42" s="12"/>
      <c r="N42" s="12"/>
      <c r="O42" s="12"/>
      <c r="P42" s="12"/>
      <c r="Q42" s="12">
        <f t="shared" si="15"/>
        <v>0.6</v>
      </c>
      <c r="R42" s="14"/>
      <c r="S42" s="14"/>
      <c r="T42" s="12"/>
      <c r="U42" s="12">
        <f t="shared" si="6"/>
        <v>-5</v>
      </c>
      <c r="V42" s="12">
        <f t="shared" si="7"/>
        <v>-5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2"/>
      <c r="AC42" s="1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72</v>
      </c>
      <c r="B43" s="1" t="s">
        <v>32</v>
      </c>
      <c r="C43" s="1">
        <v>185.29</v>
      </c>
      <c r="D43" s="1"/>
      <c r="E43" s="1">
        <v>6.5460000000000003</v>
      </c>
      <c r="F43" s="1">
        <v>175.744</v>
      </c>
      <c r="G43" s="7">
        <v>1</v>
      </c>
      <c r="H43" s="1"/>
      <c r="I43" s="1"/>
      <c r="J43" s="1"/>
      <c r="K43" s="1">
        <v>6.5</v>
      </c>
      <c r="L43" s="1">
        <f t="shared" si="14"/>
        <v>4.6000000000000263E-2</v>
      </c>
      <c r="M43" s="1"/>
      <c r="N43" s="1"/>
      <c r="O43" s="1"/>
      <c r="P43" s="1"/>
      <c r="Q43" s="1">
        <f t="shared" si="15"/>
        <v>1.3092000000000001</v>
      </c>
      <c r="R43" s="9"/>
      <c r="S43" s="9"/>
      <c r="T43" s="1"/>
      <c r="U43" s="1">
        <f t="shared" si="6"/>
        <v>134.23770241368774</v>
      </c>
      <c r="V43" s="1">
        <f t="shared" si="7"/>
        <v>134.23770241368774</v>
      </c>
      <c r="W43" s="10">
        <f>VLOOKUP(A43,[1]TDSheet!$A:$Z,16,0)</f>
        <v>4.6415999999999995</v>
      </c>
      <c r="X43" s="11">
        <f>VLOOKUP(A43,[1]TDSheet!$A:$Z,26,0)</f>
        <v>1.8744000000000001</v>
      </c>
      <c r="Y43" s="10">
        <f>VLOOKUP(A43,[1]TDSheet!$A:$Z,25,0)</f>
        <v>3.3104</v>
      </c>
      <c r="Z43" s="10">
        <f>VLOOKUP(A43,[1]TDSheet!$A:$Z,24,0)</f>
        <v>5.3731999999999998</v>
      </c>
      <c r="AA43" s="10">
        <f>VLOOKUP(A43,[1]TDSheet!$A:$Z,23,0)</f>
        <v>10.0892</v>
      </c>
      <c r="AB43" s="19" t="s">
        <v>87</v>
      </c>
      <c r="AC43" s="1">
        <f t="shared" si="17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73</v>
      </c>
      <c r="B44" s="1" t="s">
        <v>32</v>
      </c>
      <c r="C44" s="1">
        <v>160.03800000000001</v>
      </c>
      <c r="D44" s="1"/>
      <c r="E44" s="1">
        <v>13.256</v>
      </c>
      <c r="F44" s="1">
        <v>137.13999999999999</v>
      </c>
      <c r="G44" s="7">
        <v>1</v>
      </c>
      <c r="H44" s="1"/>
      <c r="I44" s="1"/>
      <c r="J44" s="1"/>
      <c r="K44" s="1">
        <v>12.5</v>
      </c>
      <c r="L44" s="1">
        <f t="shared" si="14"/>
        <v>0.75600000000000023</v>
      </c>
      <c r="M44" s="1"/>
      <c r="N44" s="1"/>
      <c r="O44" s="1"/>
      <c r="P44" s="1"/>
      <c r="Q44" s="1">
        <f t="shared" si="15"/>
        <v>2.6512000000000002</v>
      </c>
      <c r="R44" s="9"/>
      <c r="S44" s="9"/>
      <c r="T44" s="1"/>
      <c r="U44" s="1">
        <f t="shared" si="6"/>
        <v>51.727519613759796</v>
      </c>
      <c r="V44" s="1">
        <f t="shared" si="7"/>
        <v>51.727519613759796</v>
      </c>
      <c r="W44" s="10">
        <f>VLOOKUP(A44,[1]TDSheet!$A:$Z,16,0)</f>
        <v>1.9647999999999999</v>
      </c>
      <c r="X44" s="11">
        <f>VLOOKUP(A44,[1]TDSheet!$A:$Z,26,0)</f>
        <v>5.1787999999999998</v>
      </c>
      <c r="Y44" s="10">
        <f>VLOOKUP(A44,[1]TDSheet!$A:$Z,25,0)</f>
        <v>3.278</v>
      </c>
      <c r="Z44" s="10">
        <f>VLOOKUP(A44,[1]TDSheet!$A:$Z,24,0)</f>
        <v>0</v>
      </c>
      <c r="AA44" s="10">
        <f>VLOOKUP(A44,[1]TDSheet!$A:$Z,23,0)</f>
        <v>0</v>
      </c>
      <c r="AB44" s="19" t="s">
        <v>87</v>
      </c>
      <c r="AC44" s="1">
        <f t="shared" si="17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2" t="s">
        <v>74</v>
      </c>
      <c r="B45" s="12" t="s">
        <v>32</v>
      </c>
      <c r="C45" s="12"/>
      <c r="D45" s="12"/>
      <c r="E45" s="17">
        <v>1.24</v>
      </c>
      <c r="F45" s="17">
        <v>-2.5099999999999998</v>
      </c>
      <c r="G45" s="13">
        <v>0</v>
      </c>
      <c r="H45" s="12"/>
      <c r="I45" s="12" t="s">
        <v>57</v>
      </c>
      <c r="J45" s="12" t="s">
        <v>31</v>
      </c>
      <c r="K45" s="12">
        <v>10.9</v>
      </c>
      <c r="L45" s="12">
        <f t="shared" si="14"/>
        <v>-9.66</v>
      </c>
      <c r="M45" s="12"/>
      <c r="N45" s="12"/>
      <c r="O45" s="12"/>
      <c r="P45" s="12"/>
      <c r="Q45" s="12">
        <f t="shared" si="15"/>
        <v>0.248</v>
      </c>
      <c r="R45" s="14"/>
      <c r="S45" s="14"/>
      <c r="T45" s="12"/>
      <c r="U45" s="12">
        <f t="shared" si="6"/>
        <v>-10.120967741935482</v>
      </c>
      <c r="V45" s="12">
        <f t="shared" si="7"/>
        <v>-10.120967741935482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2"/>
      <c r="AC45" s="1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75</v>
      </c>
      <c r="B46" s="1" t="s">
        <v>32</v>
      </c>
      <c r="C46" s="1">
        <v>232.75399999999999</v>
      </c>
      <c r="D46" s="1">
        <v>2.9420000000000002</v>
      </c>
      <c r="E46" s="1">
        <v>38.287999999999997</v>
      </c>
      <c r="F46" s="1">
        <v>181.65799999999999</v>
      </c>
      <c r="G46" s="7">
        <v>1</v>
      </c>
      <c r="H46" s="1">
        <f>VLOOKUP(A46,[1]TDSheet!$A:$I,9,0)</f>
        <v>120</v>
      </c>
      <c r="I46" s="1"/>
      <c r="J46" s="1"/>
      <c r="K46" s="1">
        <v>43.5</v>
      </c>
      <c r="L46" s="1">
        <f t="shared" si="14"/>
        <v>-5.2120000000000033</v>
      </c>
      <c r="M46" s="1"/>
      <c r="N46" s="1"/>
      <c r="O46" s="1"/>
      <c r="P46" s="1"/>
      <c r="Q46" s="1">
        <f t="shared" si="15"/>
        <v>7.6575999999999995</v>
      </c>
      <c r="R46" s="9"/>
      <c r="S46" s="9"/>
      <c r="T46" s="1"/>
      <c r="U46" s="1">
        <f t="shared" si="6"/>
        <v>23.722576264103637</v>
      </c>
      <c r="V46" s="1">
        <f t="shared" si="7"/>
        <v>23.722576264103637</v>
      </c>
      <c r="W46" s="10">
        <f>VLOOKUP(A46,[1]TDSheet!$A:$Z,16,0)</f>
        <v>5.2435999999999998</v>
      </c>
      <c r="X46" s="11">
        <f>VLOOKUP(A46,[1]TDSheet!$A:$Z,26,0)</f>
        <v>8.76</v>
      </c>
      <c r="Y46" s="10">
        <f>VLOOKUP(A46,[1]TDSheet!$A:$Z,25,0)</f>
        <v>11.757999999999999</v>
      </c>
      <c r="Z46" s="10">
        <f>VLOOKUP(A46,[1]TDSheet!$A:$Z,24,0)</f>
        <v>13.148400000000001</v>
      </c>
      <c r="AA46" s="10">
        <f>VLOOKUP(A46,[1]TDSheet!$A:$Z,23,0)</f>
        <v>6.5208000000000004</v>
      </c>
      <c r="AB46" s="18" t="s">
        <v>86</v>
      </c>
      <c r="AC46" s="1">
        <f t="shared" ref="AC46:AC56" si="18">R46*G46</f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76</v>
      </c>
      <c r="B47" s="1" t="s">
        <v>32</v>
      </c>
      <c r="C47" s="1">
        <v>158.48599999999999</v>
      </c>
      <c r="D47" s="1"/>
      <c r="E47" s="1">
        <v>3.1640000000000001</v>
      </c>
      <c r="F47" s="1">
        <v>152.24199999999999</v>
      </c>
      <c r="G47" s="7">
        <v>1</v>
      </c>
      <c r="H47" s="1"/>
      <c r="I47" s="1"/>
      <c r="J47" s="1"/>
      <c r="K47" s="1">
        <v>3.5</v>
      </c>
      <c r="L47" s="1">
        <f t="shared" si="14"/>
        <v>-0.33599999999999985</v>
      </c>
      <c r="M47" s="1"/>
      <c r="N47" s="1"/>
      <c r="O47" s="1"/>
      <c r="P47" s="1"/>
      <c r="Q47" s="1">
        <f t="shared" si="15"/>
        <v>0.63280000000000003</v>
      </c>
      <c r="R47" s="9"/>
      <c r="S47" s="9"/>
      <c r="T47" s="1"/>
      <c r="U47" s="1">
        <f t="shared" si="6"/>
        <v>240.58470290771174</v>
      </c>
      <c r="V47" s="1">
        <f t="shared" si="7"/>
        <v>240.58470290771174</v>
      </c>
      <c r="W47" s="10">
        <f>VLOOKUP(A47,[1]TDSheet!$A:$Z,16,0)</f>
        <v>2.4143999999999997</v>
      </c>
      <c r="X47" s="11">
        <f>VLOOKUP(A47,[1]TDSheet!$A:$Z,26,0)</f>
        <v>3.694</v>
      </c>
      <c r="Y47" s="10">
        <f>VLOOKUP(A47,[1]TDSheet!$A:$Z,25,0)</f>
        <v>1.24</v>
      </c>
      <c r="Z47" s="10">
        <f>VLOOKUP(A47,[1]TDSheet!$A:$Z,24,0)</f>
        <v>0.59599999999999997</v>
      </c>
      <c r="AA47" s="10">
        <f>VLOOKUP(A47,[1]TDSheet!$A:$Z,23,0)</f>
        <v>6.4363999999999999</v>
      </c>
      <c r="AB47" s="19" t="s">
        <v>87</v>
      </c>
      <c r="AC47" s="1">
        <f t="shared" si="18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77</v>
      </c>
      <c r="B48" s="1" t="s">
        <v>34</v>
      </c>
      <c r="C48" s="1">
        <v>-11</v>
      </c>
      <c r="D48" s="1">
        <v>747</v>
      </c>
      <c r="E48" s="1">
        <v>3</v>
      </c>
      <c r="F48" s="1">
        <v>711</v>
      </c>
      <c r="G48" s="7">
        <v>0.1</v>
      </c>
      <c r="H48" s="1">
        <f>VLOOKUP(A48,[1]TDSheet!$A:$I,9,0)</f>
        <v>60</v>
      </c>
      <c r="I48" s="1"/>
      <c r="J48" s="1"/>
      <c r="K48" s="1">
        <v>204</v>
      </c>
      <c r="L48" s="1">
        <f t="shared" si="14"/>
        <v>-201</v>
      </c>
      <c r="M48" s="1"/>
      <c r="N48" s="1"/>
      <c r="O48" s="1"/>
      <c r="P48" s="1"/>
      <c r="Q48" s="1">
        <f t="shared" si="15"/>
        <v>0.6</v>
      </c>
      <c r="R48" s="9"/>
      <c r="S48" s="9"/>
      <c r="T48" s="1"/>
      <c r="U48" s="1">
        <f t="shared" si="6"/>
        <v>1185</v>
      </c>
      <c r="V48" s="1">
        <f t="shared" si="7"/>
        <v>1185</v>
      </c>
      <c r="W48" s="10">
        <f>VLOOKUP(A48,[1]TDSheet!$A:$Z,16,0)</f>
        <v>34</v>
      </c>
      <c r="X48" s="11">
        <f>VLOOKUP(A48,[1]TDSheet!$A:$Z,26,0)</f>
        <v>68</v>
      </c>
      <c r="Y48" s="10">
        <f>VLOOKUP(A48,[1]TDSheet!$A:$Z,25,0)</f>
        <v>12.8</v>
      </c>
      <c r="Z48" s="10">
        <f>VLOOKUP(A48,[1]TDSheet!$A:$Z,24,0)</f>
        <v>13</v>
      </c>
      <c r="AA48" s="10">
        <f>VLOOKUP(A48,[1]TDSheet!$A:$Z,23,0)</f>
        <v>87.8</v>
      </c>
      <c r="AB48" s="1"/>
      <c r="AC48" s="1">
        <f t="shared" si="18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78</v>
      </c>
      <c r="B49" s="1" t="s">
        <v>34</v>
      </c>
      <c r="C49" s="1">
        <v>252</v>
      </c>
      <c r="D49" s="1">
        <v>31</v>
      </c>
      <c r="E49" s="1">
        <v>248</v>
      </c>
      <c r="F49" s="1">
        <v>16</v>
      </c>
      <c r="G49" s="7">
        <v>0.1</v>
      </c>
      <c r="H49" s="1">
        <f>VLOOKUP(A49,[1]TDSheet!$A:$I,9,0)</f>
        <v>90</v>
      </c>
      <c r="I49" s="1"/>
      <c r="J49" s="1"/>
      <c r="K49" s="1">
        <v>254</v>
      </c>
      <c r="L49" s="1">
        <f t="shared" si="14"/>
        <v>-6</v>
      </c>
      <c r="M49" s="1"/>
      <c r="N49" s="1"/>
      <c r="O49" s="1">
        <f>VLOOKUP(A49,[1]TDSheet!$A:$R,18,0)</f>
        <v>390</v>
      </c>
      <c r="P49" s="1"/>
      <c r="Q49" s="1">
        <f t="shared" si="15"/>
        <v>49.6</v>
      </c>
      <c r="R49" s="9">
        <f t="shared" ref="R49:R56" si="19">20*Q49-O49-F49</f>
        <v>586</v>
      </c>
      <c r="S49" s="9"/>
      <c r="T49" s="1"/>
      <c r="U49" s="1">
        <f t="shared" si="6"/>
        <v>20</v>
      </c>
      <c r="V49" s="1">
        <f t="shared" si="7"/>
        <v>8.185483870967742</v>
      </c>
      <c r="W49" s="10">
        <f>VLOOKUP(A49,[1]TDSheet!$A:$Z,16,0)</f>
        <v>33.200000000000003</v>
      </c>
      <c r="X49" s="11">
        <f>VLOOKUP(A49,[1]TDSheet!$A:$Z,26,0)</f>
        <v>22.2</v>
      </c>
      <c r="Y49" s="10">
        <f>VLOOKUP(A49,[1]TDSheet!$A:$Z,25,0)</f>
        <v>30.2</v>
      </c>
      <c r="Z49" s="10">
        <f>VLOOKUP(A49,[1]TDSheet!$A:$Z,24,0)</f>
        <v>35.799999999999997</v>
      </c>
      <c r="AA49" s="10">
        <f>VLOOKUP(A49,[1]TDSheet!$A:$Z,23,0)</f>
        <v>48.4</v>
      </c>
      <c r="AB49" s="1"/>
      <c r="AC49" s="1">
        <f t="shared" si="18"/>
        <v>58.6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79</v>
      </c>
      <c r="B50" s="1" t="s">
        <v>34</v>
      </c>
      <c r="C50" s="1">
        <v>23</v>
      </c>
      <c r="D50" s="1">
        <v>106</v>
      </c>
      <c r="E50" s="1">
        <v>9</v>
      </c>
      <c r="F50" s="1">
        <v>107</v>
      </c>
      <c r="G50" s="7">
        <v>0.1</v>
      </c>
      <c r="H50" s="1"/>
      <c r="I50" s="1"/>
      <c r="J50" s="1"/>
      <c r="K50" s="1">
        <v>21</v>
      </c>
      <c r="L50" s="1">
        <f t="shared" si="14"/>
        <v>-12</v>
      </c>
      <c r="M50" s="1"/>
      <c r="N50" s="1"/>
      <c r="O50" s="1">
        <f>VLOOKUP(A50,[1]TDSheet!$A:$R,18,0)</f>
        <v>24</v>
      </c>
      <c r="P50" s="1"/>
      <c r="Q50" s="1">
        <f t="shared" si="15"/>
        <v>1.8</v>
      </c>
      <c r="R50" s="9"/>
      <c r="S50" s="9"/>
      <c r="T50" s="1"/>
      <c r="U50" s="1">
        <f t="shared" si="6"/>
        <v>72.777777777777771</v>
      </c>
      <c r="V50" s="1">
        <f t="shared" si="7"/>
        <v>72.777777777777771</v>
      </c>
      <c r="W50" s="10">
        <f>VLOOKUP(A50,[1]TDSheet!$A:$Z,16,0)</f>
        <v>7.4</v>
      </c>
      <c r="X50" s="11">
        <f>VLOOKUP(A50,[1]TDSheet!$A:$Z,26,0)</f>
        <v>7.2</v>
      </c>
      <c r="Y50" s="10">
        <f>VLOOKUP(A50,[1]TDSheet!$A:$Z,25,0)</f>
        <v>10.4</v>
      </c>
      <c r="Z50" s="10">
        <f>VLOOKUP(A50,[1]TDSheet!$A:$Z,24,0)</f>
        <v>3.8</v>
      </c>
      <c r="AA50" s="10">
        <f>VLOOKUP(A50,[1]TDSheet!$A:$Z,23,0)</f>
        <v>3.2</v>
      </c>
      <c r="AB50" s="1"/>
      <c r="AC50" s="1">
        <f t="shared" si="18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80</v>
      </c>
      <c r="B51" s="1" t="s">
        <v>34</v>
      </c>
      <c r="C51" s="1">
        <v>86</v>
      </c>
      <c r="D51" s="1">
        <v>2</v>
      </c>
      <c r="E51" s="1">
        <v>17</v>
      </c>
      <c r="F51" s="1">
        <v>66</v>
      </c>
      <c r="G51" s="7">
        <v>0.14000000000000001</v>
      </c>
      <c r="H51" s="1">
        <f>VLOOKUP(A51,[1]TDSheet!$A:$I,9,0)</f>
        <v>180</v>
      </c>
      <c r="I51" s="1"/>
      <c r="J51" s="1"/>
      <c r="K51" s="1">
        <v>19</v>
      </c>
      <c r="L51" s="1">
        <f t="shared" si="14"/>
        <v>-2</v>
      </c>
      <c r="M51" s="1"/>
      <c r="N51" s="1"/>
      <c r="O51" s="1">
        <f>VLOOKUP(A51,[1]TDSheet!$A:$R,18,0)</f>
        <v>26</v>
      </c>
      <c r="P51" s="1"/>
      <c r="Q51" s="1">
        <f t="shared" si="15"/>
        <v>3.4</v>
      </c>
      <c r="R51" s="9"/>
      <c r="S51" s="9"/>
      <c r="T51" s="1"/>
      <c r="U51" s="1">
        <f t="shared" si="6"/>
        <v>27.058823529411764</v>
      </c>
      <c r="V51" s="1">
        <f t="shared" si="7"/>
        <v>27.058823529411764</v>
      </c>
      <c r="W51" s="10">
        <f>VLOOKUP(A51,[1]TDSheet!$A:$Z,16,0)</f>
        <v>5.6</v>
      </c>
      <c r="X51" s="11">
        <f>VLOOKUP(A51,[1]TDSheet!$A:$Z,26,0)</f>
        <v>1.8</v>
      </c>
      <c r="Y51" s="10">
        <f>VLOOKUP(A51,[1]TDSheet!$A:$Z,25,0)</f>
        <v>5.4</v>
      </c>
      <c r="Z51" s="10">
        <f>VLOOKUP(A51,[1]TDSheet!$A:$Z,24,0)</f>
        <v>7</v>
      </c>
      <c r="AA51" s="10">
        <f>VLOOKUP(A51,[1]TDSheet!$A:$Z,23,0)</f>
        <v>2.4</v>
      </c>
      <c r="AB51" s="18" t="s">
        <v>86</v>
      </c>
      <c r="AC51" s="1">
        <f t="shared" si="18"/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81</v>
      </c>
      <c r="B52" s="1" t="s">
        <v>34</v>
      </c>
      <c r="C52" s="1">
        <v>167</v>
      </c>
      <c r="D52" s="1">
        <v>10</v>
      </c>
      <c r="E52" s="1">
        <v>24</v>
      </c>
      <c r="F52" s="1">
        <v>143</v>
      </c>
      <c r="G52" s="7">
        <v>0.14000000000000001</v>
      </c>
      <c r="H52" s="1">
        <f>VLOOKUP(A52,[1]TDSheet!$A:$I,9,0)</f>
        <v>180</v>
      </c>
      <c r="I52" s="1"/>
      <c r="J52" s="1"/>
      <c r="K52" s="1">
        <v>32</v>
      </c>
      <c r="L52" s="1">
        <f t="shared" si="14"/>
        <v>-8</v>
      </c>
      <c r="M52" s="1"/>
      <c r="N52" s="1"/>
      <c r="O52" s="1">
        <f>VLOOKUP(A52,[1]TDSheet!$A:$R,18,0)</f>
        <v>45</v>
      </c>
      <c r="P52" s="1"/>
      <c r="Q52" s="1">
        <f t="shared" si="15"/>
        <v>4.8</v>
      </c>
      <c r="R52" s="9"/>
      <c r="S52" s="9"/>
      <c r="T52" s="1"/>
      <c r="U52" s="1">
        <f t="shared" si="6"/>
        <v>39.166666666666671</v>
      </c>
      <c r="V52" s="1">
        <f t="shared" si="7"/>
        <v>39.166666666666671</v>
      </c>
      <c r="W52" s="10">
        <f>VLOOKUP(A52,[1]TDSheet!$A:$Z,16,0)</f>
        <v>10.6</v>
      </c>
      <c r="X52" s="11">
        <f>VLOOKUP(A52,[1]TDSheet!$A:$Z,26,0)</f>
        <v>3.4</v>
      </c>
      <c r="Y52" s="10">
        <f>VLOOKUP(A52,[1]TDSheet!$A:$Z,25,0)</f>
        <v>6.2</v>
      </c>
      <c r="Z52" s="10">
        <f>VLOOKUP(A52,[1]TDSheet!$A:$Z,24,0)</f>
        <v>13.4</v>
      </c>
      <c r="AA52" s="10">
        <f>VLOOKUP(A52,[1]TDSheet!$A:$Z,23,0)</f>
        <v>5</v>
      </c>
      <c r="AB52" s="19" t="s">
        <v>87</v>
      </c>
      <c r="AC52" s="1">
        <f t="shared" si="18"/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82</v>
      </c>
      <c r="B53" s="1" t="s">
        <v>34</v>
      </c>
      <c r="C53" s="1">
        <v>154</v>
      </c>
      <c r="D53" s="1"/>
      <c r="E53" s="1">
        <v>24</v>
      </c>
      <c r="F53" s="1">
        <v>128</v>
      </c>
      <c r="G53" s="7">
        <v>0.2</v>
      </c>
      <c r="H53" s="1"/>
      <c r="I53" s="1"/>
      <c r="J53" s="1"/>
      <c r="K53" s="1">
        <v>21</v>
      </c>
      <c r="L53" s="1">
        <f t="shared" si="14"/>
        <v>3</v>
      </c>
      <c r="M53" s="1"/>
      <c r="N53" s="1"/>
      <c r="O53" s="1"/>
      <c r="P53" s="1"/>
      <c r="Q53" s="1">
        <f t="shared" si="15"/>
        <v>4.8</v>
      </c>
      <c r="R53" s="9"/>
      <c r="S53" s="9"/>
      <c r="T53" s="1"/>
      <c r="U53" s="1">
        <f t="shared" si="6"/>
        <v>26.666666666666668</v>
      </c>
      <c r="V53" s="1">
        <f t="shared" si="7"/>
        <v>26.666666666666668</v>
      </c>
      <c r="W53" s="10">
        <f>VLOOKUP(A53,[1]TDSheet!$A:$Z,16,0)</f>
        <v>7.8</v>
      </c>
      <c r="X53" s="11">
        <f>VLOOKUP(A53,[1]TDSheet!$A:$Z,26,0)</f>
        <v>7.4</v>
      </c>
      <c r="Y53" s="10">
        <f>VLOOKUP(A53,[1]TDSheet!$A:$Z,25,0)</f>
        <v>2.2000000000000002</v>
      </c>
      <c r="Z53" s="10">
        <f>VLOOKUP(A53,[1]TDSheet!$A:$Z,24,0)</f>
        <v>12</v>
      </c>
      <c r="AA53" s="10">
        <f>VLOOKUP(A53,[1]TDSheet!$A:$Z,23,0)</f>
        <v>9.1999999999999993</v>
      </c>
      <c r="AB53" s="19" t="s">
        <v>87</v>
      </c>
      <c r="AC53" s="1">
        <f t="shared" si="18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83</v>
      </c>
      <c r="B54" s="1" t="s">
        <v>32</v>
      </c>
      <c r="C54" s="1">
        <v>452.35500000000002</v>
      </c>
      <c r="D54" s="1"/>
      <c r="E54" s="1">
        <v>31.957999999999998</v>
      </c>
      <c r="F54" s="1">
        <v>99.513000000000005</v>
      </c>
      <c r="G54" s="7">
        <v>1</v>
      </c>
      <c r="H54" s="1"/>
      <c r="I54" s="1"/>
      <c r="J54" s="1"/>
      <c r="K54" s="1">
        <v>31.5</v>
      </c>
      <c r="L54" s="1">
        <f t="shared" si="14"/>
        <v>0.45799999999999841</v>
      </c>
      <c r="M54" s="1"/>
      <c r="N54" s="1"/>
      <c r="O54" s="1">
        <f>VLOOKUP(A54,[1]TDSheet!$A:$R,18,0)</f>
        <v>235.125</v>
      </c>
      <c r="P54" s="1"/>
      <c r="Q54" s="1">
        <f t="shared" si="15"/>
        <v>6.3915999999999995</v>
      </c>
      <c r="R54" s="9"/>
      <c r="S54" s="9"/>
      <c r="T54" s="1"/>
      <c r="U54" s="1">
        <f t="shared" si="6"/>
        <v>52.355904624820084</v>
      </c>
      <c r="V54" s="1">
        <f t="shared" si="7"/>
        <v>52.355904624820084</v>
      </c>
      <c r="W54" s="10">
        <f>VLOOKUP(A54,[1]TDSheet!$A:$Z,16,0)</f>
        <v>34.374000000000002</v>
      </c>
      <c r="X54" s="11">
        <f>VLOOKUP(A54,[1]TDSheet!$A:$Z,26,0)</f>
        <v>1.9136</v>
      </c>
      <c r="Y54" s="10">
        <f>VLOOKUP(A54,[1]TDSheet!$A:$Z,25,0)</f>
        <v>2.6507999999999998</v>
      </c>
      <c r="Z54" s="10">
        <f>VLOOKUP(A54,[1]TDSheet!$A:$Z,24,0)</f>
        <v>1.1095999999999999</v>
      </c>
      <c r="AA54" s="10">
        <f>VLOOKUP(A54,[1]TDSheet!$A:$Z,23,0)</f>
        <v>2.7692000000000001</v>
      </c>
      <c r="AB54" s="19" t="s">
        <v>87</v>
      </c>
      <c r="AC54" s="1">
        <f t="shared" si="18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84</v>
      </c>
      <c r="B55" s="1" t="s">
        <v>34</v>
      </c>
      <c r="C55" s="1">
        <v>6</v>
      </c>
      <c r="D55" s="1">
        <v>40</v>
      </c>
      <c r="E55" s="1">
        <v>3</v>
      </c>
      <c r="F55" s="1">
        <v>42</v>
      </c>
      <c r="G55" s="7">
        <v>0.2</v>
      </c>
      <c r="H55" s="1"/>
      <c r="I55" s="1"/>
      <c r="J55" s="1"/>
      <c r="K55" s="1">
        <v>11</v>
      </c>
      <c r="L55" s="1">
        <f t="shared" si="14"/>
        <v>-8</v>
      </c>
      <c r="M55" s="1"/>
      <c r="N55" s="1"/>
      <c r="O55" s="1">
        <f>VLOOKUP(A55,[1]TDSheet!$A:$R,18,0)</f>
        <v>59</v>
      </c>
      <c r="P55" s="1"/>
      <c r="Q55" s="1">
        <f t="shared" si="15"/>
        <v>0.6</v>
      </c>
      <c r="R55" s="9"/>
      <c r="S55" s="9"/>
      <c r="T55" s="1"/>
      <c r="U55" s="1">
        <f t="shared" si="6"/>
        <v>168.33333333333334</v>
      </c>
      <c r="V55" s="1">
        <f t="shared" si="7"/>
        <v>168.33333333333334</v>
      </c>
      <c r="W55" s="10">
        <f>VLOOKUP(A55,[1]TDSheet!$A:$Z,16,0)</f>
        <v>5.4</v>
      </c>
      <c r="X55" s="11">
        <f>VLOOKUP(A55,[1]TDSheet!$A:$Z,26,0)</f>
        <v>3.8</v>
      </c>
      <c r="Y55" s="10">
        <f>VLOOKUP(A55,[1]TDSheet!$A:$Z,25,0)</f>
        <v>2</v>
      </c>
      <c r="Z55" s="10">
        <f>VLOOKUP(A55,[1]TDSheet!$A:$Z,24,0)</f>
        <v>2.4</v>
      </c>
      <c r="AA55" s="10">
        <f>VLOOKUP(A55,[1]TDSheet!$A:$Z,23,0)</f>
        <v>3.4</v>
      </c>
      <c r="AB55" s="1"/>
      <c r="AC55" s="1">
        <f t="shared" si="18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85</v>
      </c>
      <c r="B56" s="1" t="s">
        <v>32</v>
      </c>
      <c r="C56" s="1">
        <v>15.066000000000001</v>
      </c>
      <c r="D56" s="1">
        <v>102.146</v>
      </c>
      <c r="E56" s="1">
        <v>58.058</v>
      </c>
      <c r="F56" s="1">
        <v>56.154000000000003</v>
      </c>
      <c r="G56" s="7">
        <v>1</v>
      </c>
      <c r="H56" s="1"/>
      <c r="I56" s="1"/>
      <c r="J56" s="1"/>
      <c r="K56" s="1">
        <v>55.5</v>
      </c>
      <c r="L56" s="1">
        <f t="shared" si="14"/>
        <v>2.5579999999999998</v>
      </c>
      <c r="M56" s="1"/>
      <c r="N56" s="1"/>
      <c r="O56" s="1">
        <f>VLOOKUP(A56,[1]TDSheet!$A:$R,18,0)</f>
        <v>19.238</v>
      </c>
      <c r="P56" s="1"/>
      <c r="Q56" s="1">
        <f t="shared" si="15"/>
        <v>11.611599999999999</v>
      </c>
      <c r="R56" s="9">
        <f t="shared" si="19"/>
        <v>156.83999999999997</v>
      </c>
      <c r="S56" s="9"/>
      <c r="T56" s="1"/>
      <c r="U56" s="1">
        <f t="shared" si="6"/>
        <v>20</v>
      </c>
      <c r="V56" s="1">
        <f t="shared" si="7"/>
        <v>6.4928175273002857</v>
      </c>
      <c r="W56" s="10">
        <f>VLOOKUP(A56,[1]TDSheet!$A:$Z,16,0)</f>
        <v>6.7152000000000003</v>
      </c>
      <c r="X56" s="11">
        <f>VLOOKUP(A56,[1]TDSheet!$A:$Z,26,0)</f>
        <v>5.1492000000000004</v>
      </c>
      <c r="Y56" s="10">
        <f>VLOOKUP(A56,[1]TDSheet!$A:$Z,25,0)</f>
        <v>9.7072000000000003</v>
      </c>
      <c r="Z56" s="10">
        <f>VLOOKUP(A56,[1]TDSheet!$A:$Z,24,0)</f>
        <v>6.5612000000000004</v>
      </c>
      <c r="AA56" s="10">
        <f>VLOOKUP(A56,[1]TDSheet!$A:$Z,23,0)</f>
        <v>6.3895999999999997</v>
      </c>
      <c r="AB56" s="1"/>
      <c r="AC56" s="1">
        <f t="shared" si="18"/>
        <v>156.83999999999997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</sheetData>
  <autoFilter ref="A3:AC56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2026-01-26T07:51:28Z</dcterms:created>
  <dcterms:modified xsi:type="dcterms:W3CDTF">2026-07-02T06:45:00Z</dcterms:modified>
</cp:coreProperties>
</file>